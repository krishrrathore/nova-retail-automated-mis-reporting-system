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8_{9133A593-8E27-4C13-A0AB-D1820676E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Cover_ReadMe" sheetId="1" r:id="rId1"/>
    <sheet name="01_Model_Overall_Month" sheetId="2" r:id="rId2"/>
    <sheet name="01_Model_Region_Month" sheetId="3" r:id="rId3"/>
    <sheet name="01_Model_Store_Month" sheetId="4" r:id="rId4"/>
    <sheet name="01_Model_Store_Score" sheetId="5" r:id="rId5"/>
    <sheet name="01_Model_Category" sheetId="6" r:id="rId6"/>
    <sheet name="01_Model_Category_Month" sheetId="7" r:id="rId7"/>
    <sheet name="01_Model_Promotion" sheetId="8" r:id="rId8"/>
    <sheet name="01_Model_SLA" sheetId="9" r:id="rId9"/>
    <sheet name="02_KPI_Margin" sheetId="10" r:id="rId10"/>
    <sheet name="03_KPI_Target" sheetId="11" r:id="rId11"/>
    <sheet name="04_KPI_Category" sheetId="12" r:id="rId12"/>
    <sheet name="05_KPI_Discount" sheetId="13" r:id="rId13"/>
    <sheet name="06_KPI_Returns" sheetId="14" r:id="rId14"/>
    <sheet name="07_KPI_SLA" sheetId="15" r:id="rId15"/>
    <sheet name="08_KPI_Promotion" sheetId="16" r:id="rId16"/>
    <sheet name="09_KPI_StoreScore" sheetId="17" r:id="rId17"/>
    <sheet name="10_Report_Trend" sheetId="18" r:id="rId18"/>
    <sheet name="11_Report_Contribution" sheetId="19" r:id="rId19"/>
    <sheet name="13_Business_Insights" sheetId="21" r:id="rId20"/>
    <sheet name="14_Recommendations" sheetId="22" r:id="rId21"/>
    <sheet name="15_Data_Limitations" sheetId="23" r:id="rId22"/>
  </sheets>
  <definedNames>
    <definedName name="wDiscountWeight">'09_KPI_StoreScore'!$B$9</definedName>
    <definedName name="wGrowthWeight">'09_KPI_StoreScore'!$B$10</definedName>
    <definedName name="wMarginWeight">'09_KPI_StoreScore'!$B$6</definedName>
    <definedName name="wReturnWeight">'09_KPI_StoreScore'!$B$8</definedName>
    <definedName name="wTrendWeight">'09_KPI_StoreScore'!$B$7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5" i="22" l="1"/>
  <c r="C163" i="22"/>
  <c r="C156" i="22"/>
  <c r="C150" i="22"/>
  <c r="C146" i="22"/>
  <c r="C138" i="22"/>
  <c r="C130" i="22"/>
  <c r="C129" i="22"/>
  <c r="C128" i="22"/>
  <c r="C111" i="22"/>
  <c r="C95" i="22"/>
  <c r="C80" i="22"/>
  <c r="C76" i="22"/>
  <c r="C17" i="22"/>
  <c r="C16" i="22"/>
  <c r="C15" i="22"/>
  <c r="C14" i="22"/>
  <c r="C13" i="22"/>
  <c r="C12" i="22"/>
  <c r="C11" i="22"/>
  <c r="C10" i="22"/>
  <c r="C9" i="22"/>
  <c r="C8" i="22"/>
  <c r="C7" i="22"/>
  <c r="C6" i="22"/>
  <c r="D15" i="19"/>
  <c r="C15" i="19"/>
  <c r="B15" i="19"/>
  <c r="C14" i="19"/>
  <c r="B14" i="19"/>
  <c r="D13" i="19"/>
  <c r="C13" i="19"/>
  <c r="B13" i="19"/>
  <c r="C12" i="19"/>
  <c r="B12" i="19"/>
  <c r="E11" i="19"/>
  <c r="C11" i="19"/>
  <c r="D11" i="19" s="1"/>
  <c r="B11" i="19"/>
  <c r="C10" i="19"/>
  <c r="D10" i="19" s="1"/>
  <c r="B10" i="19"/>
  <c r="C9" i="19"/>
  <c r="D9" i="19" s="1"/>
  <c r="B9" i="19"/>
  <c r="C8" i="19"/>
  <c r="D8" i="19" s="1"/>
  <c r="B8" i="19"/>
  <c r="C7" i="19"/>
  <c r="D7" i="19" s="1"/>
  <c r="B7" i="19"/>
  <c r="C6" i="19"/>
  <c r="D6" i="19" s="1"/>
  <c r="B6" i="19"/>
  <c r="C5" i="19"/>
  <c r="B5" i="19"/>
  <c r="C4" i="19"/>
  <c r="B4" i="19"/>
  <c r="I1" i="19"/>
  <c r="C51" i="18"/>
  <c r="B51" i="18"/>
  <c r="A51" i="18"/>
  <c r="C50" i="18"/>
  <c r="B50" i="18"/>
  <c r="A50" i="18"/>
  <c r="C49" i="18"/>
  <c r="B49" i="18"/>
  <c r="A49" i="18"/>
  <c r="C48" i="18"/>
  <c r="B48" i="18"/>
  <c r="A48" i="18"/>
  <c r="C47" i="18"/>
  <c r="B47" i="18"/>
  <c r="A47" i="18"/>
  <c r="C46" i="18"/>
  <c r="B46" i="18"/>
  <c r="A46" i="18"/>
  <c r="C45" i="18"/>
  <c r="B45" i="18"/>
  <c r="A45" i="18"/>
  <c r="C44" i="18"/>
  <c r="B44" i="18"/>
  <c r="A44" i="18"/>
  <c r="C43" i="18"/>
  <c r="B43" i="18"/>
  <c r="A43" i="18"/>
  <c r="C42" i="18"/>
  <c r="B42" i="18"/>
  <c r="A42" i="18"/>
  <c r="C41" i="18"/>
  <c r="B41" i="18"/>
  <c r="A41" i="18"/>
  <c r="C40" i="18"/>
  <c r="B40" i="18"/>
  <c r="A40" i="18"/>
  <c r="C39" i="18"/>
  <c r="B39" i="18"/>
  <c r="A39" i="18"/>
  <c r="C38" i="18"/>
  <c r="B38" i="18"/>
  <c r="A38" i="18"/>
  <c r="C37" i="18"/>
  <c r="B37" i="18"/>
  <c r="A37" i="18"/>
  <c r="C36" i="18"/>
  <c r="B36" i="18"/>
  <c r="A36" i="18"/>
  <c r="C35" i="18"/>
  <c r="B35" i="18"/>
  <c r="A35" i="18"/>
  <c r="C34" i="18"/>
  <c r="B34" i="18"/>
  <c r="A34" i="18"/>
  <c r="C33" i="18"/>
  <c r="B33" i="18"/>
  <c r="A33" i="18"/>
  <c r="C32" i="18"/>
  <c r="B32" i="18"/>
  <c r="A32" i="18"/>
  <c r="C31" i="18"/>
  <c r="B31" i="18"/>
  <c r="A31" i="18"/>
  <c r="C30" i="18"/>
  <c r="B30" i="18"/>
  <c r="A30" i="18"/>
  <c r="C29" i="18"/>
  <c r="B29" i="18"/>
  <c r="A29" i="18"/>
  <c r="C28" i="18"/>
  <c r="B28" i="18"/>
  <c r="A28" i="18"/>
  <c r="C27" i="18"/>
  <c r="B27" i="18"/>
  <c r="A27" i="18"/>
  <c r="C26" i="18"/>
  <c r="B26" i="18"/>
  <c r="A26" i="18"/>
  <c r="C25" i="18"/>
  <c r="B25" i="18"/>
  <c r="A25" i="18"/>
  <c r="C24" i="18"/>
  <c r="B24" i="18"/>
  <c r="A24" i="18"/>
  <c r="C23" i="18"/>
  <c r="B23" i="18"/>
  <c r="A23" i="18"/>
  <c r="C22" i="18"/>
  <c r="B22" i="18"/>
  <c r="A22" i="18"/>
  <c r="C21" i="18"/>
  <c r="B21" i="18"/>
  <c r="A21" i="18"/>
  <c r="C20" i="18"/>
  <c r="B20" i="18"/>
  <c r="A20" i="18"/>
  <c r="C19" i="18"/>
  <c r="B19" i="18"/>
  <c r="A19" i="18"/>
  <c r="C18" i="18"/>
  <c r="B18" i="18"/>
  <c r="A18" i="18"/>
  <c r="C17" i="18"/>
  <c r="B17" i="18"/>
  <c r="A17" i="18"/>
  <c r="C16" i="18"/>
  <c r="B16" i="18"/>
  <c r="A16" i="18"/>
  <c r="C15" i="18"/>
  <c r="B15" i="18"/>
  <c r="A15" i="18"/>
  <c r="C14" i="18"/>
  <c r="B14" i="18"/>
  <c r="A14" i="18"/>
  <c r="C13" i="18"/>
  <c r="B13" i="18"/>
  <c r="A13" i="18"/>
  <c r="C12" i="18"/>
  <c r="B12" i="18"/>
  <c r="A12" i="18"/>
  <c r="C11" i="18"/>
  <c r="B11" i="18"/>
  <c r="A11" i="18"/>
  <c r="C10" i="18"/>
  <c r="B10" i="18"/>
  <c r="A10" i="18"/>
  <c r="C9" i="18"/>
  <c r="B9" i="18"/>
  <c r="A9" i="18"/>
  <c r="C8" i="18"/>
  <c r="B8" i="18"/>
  <c r="A8" i="18"/>
  <c r="C7" i="18"/>
  <c r="B7" i="18"/>
  <c r="A7" i="18"/>
  <c r="C6" i="18"/>
  <c r="B6" i="18"/>
  <c r="A6" i="18"/>
  <c r="C5" i="18"/>
  <c r="B5" i="18"/>
  <c r="A5" i="18"/>
  <c r="C4" i="18"/>
  <c r="B4" i="18"/>
  <c r="A4" i="18"/>
  <c r="G134" i="17"/>
  <c r="F134" i="17"/>
  <c r="E134" i="17"/>
  <c r="D134" i="17"/>
  <c r="C134" i="17"/>
  <c r="B134" i="17"/>
  <c r="A134" i="17"/>
  <c r="C157" i="22" s="1"/>
  <c r="G133" i="17"/>
  <c r="F133" i="17"/>
  <c r="E133" i="17"/>
  <c r="D133" i="17"/>
  <c r="C133" i="17"/>
  <c r="B133" i="17"/>
  <c r="A133" i="17"/>
  <c r="G132" i="17"/>
  <c r="F132" i="17"/>
  <c r="E132" i="17"/>
  <c r="D132" i="17"/>
  <c r="C132" i="17"/>
  <c r="B132" i="17"/>
  <c r="A132" i="17"/>
  <c r="C155" i="22" s="1"/>
  <c r="G131" i="17"/>
  <c r="F131" i="17"/>
  <c r="E131" i="17"/>
  <c r="D131" i="17"/>
  <c r="C131" i="17"/>
  <c r="B131" i="17"/>
  <c r="A131" i="17"/>
  <c r="C154" i="22" s="1"/>
  <c r="G130" i="17"/>
  <c r="F130" i="17"/>
  <c r="E130" i="17"/>
  <c r="D130" i="17"/>
  <c r="C130" i="17"/>
  <c r="B130" i="17"/>
  <c r="A130" i="17"/>
  <c r="C153" i="22" s="1"/>
  <c r="G129" i="17"/>
  <c r="F129" i="17"/>
  <c r="E129" i="17"/>
  <c r="D129" i="17"/>
  <c r="C129" i="17"/>
  <c r="B129" i="17"/>
  <c r="A129" i="17"/>
  <c r="C152" i="22" s="1"/>
  <c r="G128" i="17"/>
  <c r="F128" i="17"/>
  <c r="E128" i="17"/>
  <c r="D128" i="17"/>
  <c r="C128" i="17"/>
  <c r="B128" i="17"/>
  <c r="A128" i="17"/>
  <c r="C151" i="22" s="1"/>
  <c r="G127" i="17"/>
  <c r="F127" i="17"/>
  <c r="E127" i="17"/>
  <c r="D127" i="17"/>
  <c r="C127" i="17"/>
  <c r="B127" i="17"/>
  <c r="A127" i="17"/>
  <c r="G126" i="17"/>
  <c r="F126" i="17"/>
  <c r="E126" i="17"/>
  <c r="D126" i="17"/>
  <c r="C126" i="17"/>
  <c r="B126" i="17"/>
  <c r="A126" i="17"/>
  <c r="C149" i="22" s="1"/>
  <c r="G125" i="17"/>
  <c r="F125" i="17"/>
  <c r="E125" i="17"/>
  <c r="D125" i="17"/>
  <c r="C125" i="17"/>
  <c r="B125" i="17"/>
  <c r="A125" i="17"/>
  <c r="C148" i="22" s="1"/>
  <c r="G124" i="17"/>
  <c r="F124" i="17"/>
  <c r="E124" i="17"/>
  <c r="D124" i="17"/>
  <c r="C124" i="17"/>
  <c r="B124" i="17"/>
  <c r="A124" i="17"/>
  <c r="C147" i="22" s="1"/>
  <c r="G123" i="17"/>
  <c r="F123" i="17"/>
  <c r="E123" i="17"/>
  <c r="D123" i="17"/>
  <c r="C123" i="17"/>
  <c r="B123" i="17"/>
  <c r="A123" i="17"/>
  <c r="G122" i="17"/>
  <c r="F122" i="17"/>
  <c r="E122" i="17"/>
  <c r="D122" i="17"/>
  <c r="C122" i="17"/>
  <c r="B122" i="17"/>
  <c r="A122" i="17"/>
  <c r="C145" i="22" s="1"/>
  <c r="G121" i="17"/>
  <c r="F121" i="17"/>
  <c r="E121" i="17"/>
  <c r="D121" i="17"/>
  <c r="C121" i="17"/>
  <c r="B121" i="17"/>
  <c r="A121" i="17"/>
  <c r="C144" i="22" s="1"/>
  <c r="G120" i="17"/>
  <c r="F120" i="17"/>
  <c r="E120" i="17"/>
  <c r="D120" i="17"/>
  <c r="C120" i="17"/>
  <c r="B120" i="17"/>
  <c r="A120" i="17"/>
  <c r="C143" i="22" s="1"/>
  <c r="G119" i="17"/>
  <c r="F119" i="17"/>
  <c r="E119" i="17"/>
  <c r="D119" i="17"/>
  <c r="C119" i="17"/>
  <c r="B119" i="17"/>
  <c r="A119" i="17"/>
  <c r="C142" i="22" s="1"/>
  <c r="H118" i="17"/>
  <c r="G118" i="17"/>
  <c r="F118" i="17"/>
  <c r="E118" i="17"/>
  <c r="D118" i="17"/>
  <c r="C118" i="17"/>
  <c r="B118" i="17"/>
  <c r="A118" i="17"/>
  <c r="C141" i="22" s="1"/>
  <c r="G117" i="17"/>
  <c r="F117" i="17"/>
  <c r="E117" i="17"/>
  <c r="D117" i="17"/>
  <c r="C117" i="17"/>
  <c r="B117" i="17"/>
  <c r="A117" i="17"/>
  <c r="C140" i="22" s="1"/>
  <c r="G116" i="17"/>
  <c r="F116" i="17"/>
  <c r="E116" i="17"/>
  <c r="D116" i="17"/>
  <c r="C116" i="17"/>
  <c r="B116" i="17"/>
  <c r="A116" i="17"/>
  <c r="C139" i="22" s="1"/>
  <c r="G115" i="17"/>
  <c r="F115" i="17"/>
  <c r="K19" i="17" s="1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C137" i="22" s="1"/>
  <c r="G113" i="17"/>
  <c r="F113" i="17"/>
  <c r="E113" i="17"/>
  <c r="D113" i="17"/>
  <c r="C113" i="17"/>
  <c r="B113" i="17"/>
  <c r="A113" i="17"/>
  <c r="C136" i="22" s="1"/>
  <c r="G112" i="17"/>
  <c r="F112" i="17"/>
  <c r="E112" i="17"/>
  <c r="J112" i="17" s="1"/>
  <c r="D112" i="17"/>
  <c r="C112" i="17"/>
  <c r="B112" i="17"/>
  <c r="A112" i="17"/>
  <c r="C135" i="22" s="1"/>
  <c r="G111" i="17"/>
  <c r="F111" i="17"/>
  <c r="E111" i="17"/>
  <c r="D111" i="17"/>
  <c r="C111" i="17"/>
  <c r="B111" i="17"/>
  <c r="A111" i="17"/>
  <c r="C134" i="22" s="1"/>
  <c r="G110" i="17"/>
  <c r="F110" i="17"/>
  <c r="E110" i="17"/>
  <c r="D110" i="17"/>
  <c r="C110" i="17"/>
  <c r="B110" i="17"/>
  <c r="A110" i="17"/>
  <c r="C133" i="22" s="1"/>
  <c r="G109" i="17"/>
  <c r="F109" i="17"/>
  <c r="E109" i="17"/>
  <c r="D109" i="17"/>
  <c r="C109" i="17"/>
  <c r="B109" i="17"/>
  <c r="A109" i="17"/>
  <c r="C132" i="22" s="1"/>
  <c r="G108" i="17"/>
  <c r="F108" i="17"/>
  <c r="E108" i="17"/>
  <c r="D108" i="17"/>
  <c r="C108" i="17"/>
  <c r="B108" i="17"/>
  <c r="A108" i="17"/>
  <c r="C131" i="22" s="1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C127" i="22" s="1"/>
  <c r="G103" i="17"/>
  <c r="F103" i="17"/>
  <c r="E103" i="17"/>
  <c r="D103" i="17"/>
  <c r="C103" i="17"/>
  <c r="B103" i="17"/>
  <c r="A103" i="17"/>
  <c r="C126" i="22" s="1"/>
  <c r="G102" i="17"/>
  <c r="F102" i="17"/>
  <c r="E102" i="17"/>
  <c r="D102" i="17"/>
  <c r="C102" i="17"/>
  <c r="B102" i="17"/>
  <c r="A102" i="17"/>
  <c r="C125" i="22" s="1"/>
  <c r="G101" i="17"/>
  <c r="F101" i="17"/>
  <c r="E101" i="17"/>
  <c r="D101" i="17"/>
  <c r="C101" i="17"/>
  <c r="B101" i="17"/>
  <c r="A101" i="17"/>
  <c r="C124" i="22" s="1"/>
  <c r="G100" i="17"/>
  <c r="F100" i="17"/>
  <c r="E100" i="17"/>
  <c r="D100" i="17"/>
  <c r="C100" i="17"/>
  <c r="B100" i="17"/>
  <c r="A100" i="17"/>
  <c r="C123" i="22" s="1"/>
  <c r="G99" i="17"/>
  <c r="F99" i="17"/>
  <c r="E99" i="17"/>
  <c r="D99" i="17"/>
  <c r="C99" i="17"/>
  <c r="B99" i="17"/>
  <c r="A99" i="17"/>
  <c r="C122" i="22" s="1"/>
  <c r="G98" i="17"/>
  <c r="F98" i="17"/>
  <c r="E98" i="17"/>
  <c r="D98" i="17"/>
  <c r="C98" i="17"/>
  <c r="B98" i="17"/>
  <c r="A98" i="17"/>
  <c r="C121" i="22" s="1"/>
  <c r="G97" i="17"/>
  <c r="F97" i="17"/>
  <c r="E97" i="17"/>
  <c r="D97" i="17"/>
  <c r="C97" i="17"/>
  <c r="B97" i="17"/>
  <c r="A97" i="17"/>
  <c r="C120" i="22" s="1"/>
  <c r="G96" i="17"/>
  <c r="F96" i="17"/>
  <c r="E96" i="17"/>
  <c r="D96" i="17"/>
  <c r="C96" i="17"/>
  <c r="B96" i="17"/>
  <c r="A96" i="17"/>
  <c r="C119" i="22" s="1"/>
  <c r="G95" i="17"/>
  <c r="F95" i="17"/>
  <c r="E95" i="17"/>
  <c r="D95" i="17"/>
  <c r="C95" i="17"/>
  <c r="B95" i="17"/>
  <c r="A95" i="17"/>
  <c r="C118" i="22" s="1"/>
  <c r="G94" i="17"/>
  <c r="F94" i="17"/>
  <c r="E94" i="17"/>
  <c r="D94" i="17"/>
  <c r="C94" i="17"/>
  <c r="B94" i="17"/>
  <c r="A94" i="17"/>
  <c r="C117" i="22" s="1"/>
  <c r="G93" i="17"/>
  <c r="F93" i="17"/>
  <c r="E93" i="17"/>
  <c r="D93" i="17"/>
  <c r="C93" i="17"/>
  <c r="B93" i="17"/>
  <c r="A93" i="17"/>
  <c r="C116" i="22" s="1"/>
  <c r="G92" i="17"/>
  <c r="F92" i="17"/>
  <c r="E92" i="17"/>
  <c r="D92" i="17"/>
  <c r="C92" i="17"/>
  <c r="B92" i="17"/>
  <c r="A92" i="17"/>
  <c r="C115" i="22" s="1"/>
  <c r="G91" i="17"/>
  <c r="F91" i="17"/>
  <c r="E91" i="17"/>
  <c r="D91" i="17"/>
  <c r="C91" i="17"/>
  <c r="B91" i="17"/>
  <c r="A91" i="17"/>
  <c r="C114" i="22" s="1"/>
  <c r="G90" i="17"/>
  <c r="F90" i="17"/>
  <c r="E90" i="17"/>
  <c r="D90" i="17"/>
  <c r="C90" i="17"/>
  <c r="B90" i="17"/>
  <c r="A90" i="17"/>
  <c r="C113" i="22" s="1"/>
  <c r="G89" i="17"/>
  <c r="F89" i="17"/>
  <c r="E89" i="17"/>
  <c r="D89" i="17"/>
  <c r="C89" i="17"/>
  <c r="B89" i="17"/>
  <c r="A89" i="17"/>
  <c r="C112" i="22" s="1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C110" i="22" s="1"/>
  <c r="G86" i="17"/>
  <c r="F86" i="17"/>
  <c r="E86" i="17"/>
  <c r="D86" i="17"/>
  <c r="C86" i="17"/>
  <c r="B86" i="17"/>
  <c r="A86" i="17"/>
  <c r="C109" i="22" s="1"/>
  <c r="G85" i="17"/>
  <c r="F85" i="17"/>
  <c r="E85" i="17"/>
  <c r="D85" i="17"/>
  <c r="C85" i="17"/>
  <c r="B85" i="17"/>
  <c r="A85" i="17"/>
  <c r="C108" i="22" s="1"/>
  <c r="G84" i="17"/>
  <c r="F84" i="17"/>
  <c r="E84" i="17"/>
  <c r="D84" i="17"/>
  <c r="C84" i="17"/>
  <c r="B84" i="17"/>
  <c r="A84" i="17"/>
  <c r="C107" i="22" s="1"/>
  <c r="G83" i="17"/>
  <c r="F83" i="17"/>
  <c r="E83" i="17"/>
  <c r="D83" i="17"/>
  <c r="C83" i="17"/>
  <c r="B83" i="17"/>
  <c r="A83" i="17"/>
  <c r="C106" i="22" s="1"/>
  <c r="G82" i="17"/>
  <c r="F82" i="17"/>
  <c r="E82" i="17"/>
  <c r="D82" i="17"/>
  <c r="C82" i="17"/>
  <c r="B82" i="17"/>
  <c r="A82" i="17"/>
  <c r="C105" i="22" s="1"/>
  <c r="G81" i="17"/>
  <c r="F81" i="17"/>
  <c r="E81" i="17"/>
  <c r="D81" i="17"/>
  <c r="C81" i="17"/>
  <c r="B81" i="17"/>
  <c r="A81" i="17"/>
  <c r="C104" i="22" s="1"/>
  <c r="G80" i="17"/>
  <c r="F80" i="17"/>
  <c r="E80" i="17"/>
  <c r="D80" i="17"/>
  <c r="C80" i="17"/>
  <c r="B80" i="17"/>
  <c r="A80" i="17"/>
  <c r="C103" i="22" s="1"/>
  <c r="G79" i="17"/>
  <c r="F79" i="17"/>
  <c r="E79" i="17"/>
  <c r="D79" i="17"/>
  <c r="C79" i="17"/>
  <c r="B79" i="17"/>
  <c r="A79" i="17"/>
  <c r="C102" i="22" s="1"/>
  <c r="G78" i="17"/>
  <c r="F78" i="17"/>
  <c r="E78" i="17"/>
  <c r="D78" i="17"/>
  <c r="C78" i="17"/>
  <c r="B78" i="17"/>
  <c r="A78" i="17"/>
  <c r="C101" i="22" s="1"/>
  <c r="J77" i="17"/>
  <c r="G77" i="17"/>
  <c r="F77" i="17"/>
  <c r="E77" i="17"/>
  <c r="D77" i="17"/>
  <c r="C77" i="17"/>
  <c r="B77" i="17"/>
  <c r="A77" i="17"/>
  <c r="C100" i="22" s="1"/>
  <c r="G76" i="17"/>
  <c r="F76" i="17"/>
  <c r="E76" i="17"/>
  <c r="D76" i="17"/>
  <c r="C76" i="17"/>
  <c r="H76" i="17" s="1"/>
  <c r="B76" i="17"/>
  <c r="A76" i="17"/>
  <c r="C99" i="22" s="1"/>
  <c r="G75" i="17"/>
  <c r="F75" i="17"/>
  <c r="E75" i="17"/>
  <c r="D75" i="17"/>
  <c r="C75" i="17"/>
  <c r="B75" i="17"/>
  <c r="A75" i="17"/>
  <c r="C98" i="22" s="1"/>
  <c r="G74" i="17"/>
  <c r="F74" i="17"/>
  <c r="E74" i="17"/>
  <c r="D74" i="17"/>
  <c r="C74" i="17"/>
  <c r="B74" i="17"/>
  <c r="A74" i="17"/>
  <c r="C97" i="22" s="1"/>
  <c r="G73" i="17"/>
  <c r="F73" i="17"/>
  <c r="E73" i="17"/>
  <c r="D73" i="17"/>
  <c r="C73" i="17"/>
  <c r="B73" i="17"/>
  <c r="A73" i="17"/>
  <c r="C96" i="22" s="1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C94" i="22" s="1"/>
  <c r="G70" i="17"/>
  <c r="F70" i="17"/>
  <c r="E70" i="17"/>
  <c r="D70" i="17"/>
  <c r="C70" i="17"/>
  <c r="B70" i="17"/>
  <c r="A70" i="17"/>
  <c r="C93" i="22" s="1"/>
  <c r="G69" i="17"/>
  <c r="F69" i="17"/>
  <c r="E69" i="17"/>
  <c r="D69" i="17"/>
  <c r="C69" i="17"/>
  <c r="B69" i="17"/>
  <c r="A69" i="17"/>
  <c r="C92" i="22" s="1"/>
  <c r="G68" i="17"/>
  <c r="F68" i="17"/>
  <c r="E68" i="17"/>
  <c r="D68" i="17"/>
  <c r="C68" i="17"/>
  <c r="B68" i="17"/>
  <c r="A68" i="17"/>
  <c r="C91" i="22" s="1"/>
  <c r="G67" i="17"/>
  <c r="F67" i="17"/>
  <c r="E67" i="17"/>
  <c r="D67" i="17"/>
  <c r="C67" i="17"/>
  <c r="B67" i="17"/>
  <c r="A67" i="17"/>
  <c r="C90" i="22" s="1"/>
  <c r="G66" i="17"/>
  <c r="F66" i="17"/>
  <c r="E66" i="17"/>
  <c r="D66" i="17"/>
  <c r="C66" i="17"/>
  <c r="B66" i="17"/>
  <c r="A66" i="17"/>
  <c r="C89" i="22" s="1"/>
  <c r="G65" i="17"/>
  <c r="F65" i="17"/>
  <c r="E65" i="17"/>
  <c r="D65" i="17"/>
  <c r="C65" i="17"/>
  <c r="B65" i="17"/>
  <c r="A65" i="17"/>
  <c r="C88" i="22" s="1"/>
  <c r="G64" i="17"/>
  <c r="F64" i="17"/>
  <c r="E64" i="17"/>
  <c r="D64" i="17"/>
  <c r="C64" i="17"/>
  <c r="B64" i="17"/>
  <c r="A64" i="17"/>
  <c r="C87" i="22" s="1"/>
  <c r="G63" i="17"/>
  <c r="F63" i="17"/>
  <c r="E63" i="17"/>
  <c r="D63" i="17"/>
  <c r="C63" i="17"/>
  <c r="B63" i="17"/>
  <c r="A63" i="17"/>
  <c r="C86" i="22" s="1"/>
  <c r="G62" i="17"/>
  <c r="F62" i="17"/>
  <c r="E62" i="17"/>
  <c r="D62" i="17"/>
  <c r="C62" i="17"/>
  <c r="B62" i="17"/>
  <c r="A62" i="17"/>
  <c r="C85" i="22" s="1"/>
  <c r="G61" i="17"/>
  <c r="F61" i="17"/>
  <c r="E61" i="17"/>
  <c r="D61" i="17"/>
  <c r="C61" i="17"/>
  <c r="B61" i="17"/>
  <c r="A61" i="17"/>
  <c r="C84" i="22" s="1"/>
  <c r="G60" i="17"/>
  <c r="F60" i="17"/>
  <c r="E60" i="17"/>
  <c r="D60" i="17"/>
  <c r="C60" i="17"/>
  <c r="B60" i="17"/>
  <c r="A60" i="17"/>
  <c r="C83" i="22" s="1"/>
  <c r="G59" i="17"/>
  <c r="F59" i="17"/>
  <c r="E59" i="17"/>
  <c r="D59" i="17"/>
  <c r="C59" i="17"/>
  <c r="B59" i="17"/>
  <c r="A59" i="17"/>
  <c r="C82" i="22" s="1"/>
  <c r="G58" i="17"/>
  <c r="F58" i="17"/>
  <c r="E58" i="17"/>
  <c r="D58" i="17"/>
  <c r="C58" i="17"/>
  <c r="B58" i="17"/>
  <c r="A58" i="17"/>
  <c r="C81" i="22" s="1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C79" i="22" s="1"/>
  <c r="G55" i="17"/>
  <c r="F55" i="17"/>
  <c r="E55" i="17"/>
  <c r="D55" i="17"/>
  <c r="C55" i="17"/>
  <c r="B55" i="17"/>
  <c r="A55" i="17"/>
  <c r="C78" i="22" s="1"/>
  <c r="G54" i="17"/>
  <c r="F54" i="17"/>
  <c r="E54" i="17"/>
  <c r="D54" i="17"/>
  <c r="C54" i="17"/>
  <c r="B54" i="17"/>
  <c r="A54" i="17"/>
  <c r="C77" i="22" s="1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C75" i="22" s="1"/>
  <c r="I51" i="17"/>
  <c r="G51" i="17"/>
  <c r="F51" i="17"/>
  <c r="E51" i="17"/>
  <c r="D51" i="17"/>
  <c r="C51" i="17"/>
  <c r="B51" i="17"/>
  <c r="A51" i="17"/>
  <c r="C74" i="22" s="1"/>
  <c r="G50" i="17"/>
  <c r="F50" i="17"/>
  <c r="E50" i="17"/>
  <c r="D50" i="17"/>
  <c r="C50" i="17"/>
  <c r="B50" i="17"/>
  <c r="A50" i="17"/>
  <c r="C73" i="22" s="1"/>
  <c r="G49" i="17"/>
  <c r="F49" i="17"/>
  <c r="E49" i="17"/>
  <c r="D49" i="17"/>
  <c r="C49" i="17"/>
  <c r="B49" i="17"/>
  <c r="A49" i="17"/>
  <c r="C72" i="22" s="1"/>
  <c r="G48" i="17"/>
  <c r="F48" i="17"/>
  <c r="E48" i="17"/>
  <c r="D48" i="17"/>
  <c r="C48" i="17"/>
  <c r="B48" i="17"/>
  <c r="A48" i="17"/>
  <c r="C71" i="22" s="1"/>
  <c r="G47" i="17"/>
  <c r="F47" i="17"/>
  <c r="E47" i="17"/>
  <c r="D47" i="17"/>
  <c r="C47" i="17"/>
  <c r="B47" i="17"/>
  <c r="A47" i="17"/>
  <c r="C70" i="22" s="1"/>
  <c r="G46" i="17"/>
  <c r="F46" i="17"/>
  <c r="E46" i="17"/>
  <c r="D46" i="17"/>
  <c r="C46" i="17"/>
  <c r="B46" i="17"/>
  <c r="A46" i="17"/>
  <c r="C69" i="22" s="1"/>
  <c r="G45" i="17"/>
  <c r="F45" i="17"/>
  <c r="E45" i="17"/>
  <c r="D45" i="17"/>
  <c r="C45" i="17"/>
  <c r="B45" i="17"/>
  <c r="A45" i="17"/>
  <c r="C68" i="22" s="1"/>
  <c r="G44" i="17"/>
  <c r="F44" i="17"/>
  <c r="E44" i="17"/>
  <c r="D44" i="17"/>
  <c r="C44" i="17"/>
  <c r="B44" i="17"/>
  <c r="A44" i="17"/>
  <c r="C67" i="22" s="1"/>
  <c r="G43" i="17"/>
  <c r="F43" i="17"/>
  <c r="E43" i="17"/>
  <c r="D43" i="17"/>
  <c r="C43" i="17"/>
  <c r="B43" i="17"/>
  <c r="A43" i="17"/>
  <c r="C66" i="22" s="1"/>
  <c r="G42" i="17"/>
  <c r="F42" i="17"/>
  <c r="E42" i="17"/>
  <c r="D42" i="17"/>
  <c r="C42" i="17"/>
  <c r="B42" i="17"/>
  <c r="A42" i="17"/>
  <c r="C65" i="22" s="1"/>
  <c r="G41" i="17"/>
  <c r="F41" i="17"/>
  <c r="E41" i="17"/>
  <c r="D41" i="17"/>
  <c r="C41" i="17"/>
  <c r="B41" i="17"/>
  <c r="A41" i="17"/>
  <c r="C64" i="22" s="1"/>
  <c r="G40" i="17"/>
  <c r="F40" i="17"/>
  <c r="E40" i="17"/>
  <c r="D40" i="17"/>
  <c r="C40" i="17"/>
  <c r="B40" i="17"/>
  <c r="A40" i="17"/>
  <c r="C63" i="22" s="1"/>
  <c r="G39" i="17"/>
  <c r="F39" i="17"/>
  <c r="E39" i="17"/>
  <c r="D39" i="17"/>
  <c r="C39" i="17"/>
  <c r="B39" i="17"/>
  <c r="A39" i="17"/>
  <c r="C62" i="22" s="1"/>
  <c r="G38" i="17"/>
  <c r="F38" i="17"/>
  <c r="E38" i="17"/>
  <c r="D38" i="17"/>
  <c r="C38" i="17"/>
  <c r="B38" i="17"/>
  <c r="A38" i="17"/>
  <c r="C61" i="22" s="1"/>
  <c r="K37" i="17"/>
  <c r="G37" i="17"/>
  <c r="F37" i="17"/>
  <c r="E37" i="17"/>
  <c r="D37" i="17"/>
  <c r="C37" i="17"/>
  <c r="B37" i="17"/>
  <c r="A37" i="17"/>
  <c r="C60" i="22" s="1"/>
  <c r="G36" i="17"/>
  <c r="F36" i="17"/>
  <c r="E36" i="17"/>
  <c r="D36" i="17"/>
  <c r="C36" i="17"/>
  <c r="B36" i="17"/>
  <c r="A36" i="17"/>
  <c r="C59" i="22" s="1"/>
  <c r="G35" i="17"/>
  <c r="F35" i="17"/>
  <c r="E35" i="17"/>
  <c r="D35" i="17"/>
  <c r="C35" i="17"/>
  <c r="B35" i="17"/>
  <c r="A35" i="17"/>
  <c r="C58" i="22" s="1"/>
  <c r="H34" i="17"/>
  <c r="G34" i="17"/>
  <c r="F34" i="17"/>
  <c r="E34" i="17"/>
  <c r="D34" i="17"/>
  <c r="C34" i="17"/>
  <c r="B34" i="17"/>
  <c r="A34" i="17"/>
  <c r="C57" i="22" s="1"/>
  <c r="G33" i="17"/>
  <c r="F33" i="17"/>
  <c r="E33" i="17"/>
  <c r="D33" i="17"/>
  <c r="C33" i="17"/>
  <c r="B33" i="17"/>
  <c r="A33" i="17"/>
  <c r="C56" i="22" s="1"/>
  <c r="G32" i="17"/>
  <c r="F32" i="17"/>
  <c r="E32" i="17"/>
  <c r="D32" i="17"/>
  <c r="C32" i="17"/>
  <c r="B32" i="17"/>
  <c r="A32" i="17"/>
  <c r="C55" i="22" s="1"/>
  <c r="G31" i="17"/>
  <c r="F31" i="17"/>
  <c r="E31" i="17"/>
  <c r="D31" i="17"/>
  <c r="C31" i="17"/>
  <c r="B31" i="17"/>
  <c r="A31" i="17"/>
  <c r="C54" i="22" s="1"/>
  <c r="G30" i="17"/>
  <c r="F30" i="17"/>
  <c r="E30" i="17"/>
  <c r="D30" i="17"/>
  <c r="C30" i="17"/>
  <c r="B30" i="17"/>
  <c r="A30" i="17"/>
  <c r="C53" i="22" s="1"/>
  <c r="G29" i="17"/>
  <c r="F29" i="17"/>
  <c r="E29" i="17"/>
  <c r="J27" i="17" s="1"/>
  <c r="D29" i="17"/>
  <c r="C29" i="17"/>
  <c r="B29" i="17"/>
  <c r="A29" i="17"/>
  <c r="C52" i="22" s="1"/>
  <c r="G28" i="17"/>
  <c r="F28" i="17"/>
  <c r="E28" i="17"/>
  <c r="D28" i="17"/>
  <c r="C28" i="17"/>
  <c r="B28" i="17"/>
  <c r="A28" i="17"/>
  <c r="C51" i="22" s="1"/>
  <c r="G27" i="17"/>
  <c r="F27" i="17"/>
  <c r="E27" i="17"/>
  <c r="D27" i="17"/>
  <c r="C27" i="17"/>
  <c r="B27" i="17"/>
  <c r="A27" i="17"/>
  <c r="C50" i="22" s="1"/>
  <c r="G26" i="17"/>
  <c r="F26" i="17"/>
  <c r="E26" i="17"/>
  <c r="D26" i="17"/>
  <c r="C26" i="17"/>
  <c r="B26" i="17"/>
  <c r="A26" i="17"/>
  <c r="C49" i="22" s="1"/>
  <c r="G25" i="17"/>
  <c r="F25" i="17"/>
  <c r="E25" i="17"/>
  <c r="D25" i="17"/>
  <c r="C25" i="17"/>
  <c r="B25" i="17"/>
  <c r="A25" i="17"/>
  <c r="C48" i="22" s="1"/>
  <c r="G24" i="17"/>
  <c r="F24" i="17"/>
  <c r="E24" i="17"/>
  <c r="D24" i="17"/>
  <c r="C24" i="17"/>
  <c r="B24" i="17"/>
  <c r="A24" i="17"/>
  <c r="C47" i="22" s="1"/>
  <c r="G23" i="17"/>
  <c r="F23" i="17"/>
  <c r="E23" i="17"/>
  <c r="D23" i="17"/>
  <c r="C23" i="17"/>
  <c r="B23" i="17"/>
  <c r="A23" i="17"/>
  <c r="C46" i="22" s="1"/>
  <c r="G22" i="17"/>
  <c r="F22" i="17"/>
  <c r="E22" i="17"/>
  <c r="D22" i="17"/>
  <c r="C22" i="17"/>
  <c r="B22" i="17"/>
  <c r="A22" i="17"/>
  <c r="C45" i="22" s="1"/>
  <c r="G21" i="17"/>
  <c r="F21" i="17"/>
  <c r="E21" i="17"/>
  <c r="D21" i="17"/>
  <c r="C21" i="17"/>
  <c r="B21" i="17"/>
  <c r="A21" i="17"/>
  <c r="C44" i="22" s="1"/>
  <c r="G20" i="17"/>
  <c r="F20" i="17"/>
  <c r="E20" i="17"/>
  <c r="D20" i="17"/>
  <c r="C20" i="17"/>
  <c r="B20" i="17"/>
  <c r="A20" i="17"/>
  <c r="C43" i="22" s="1"/>
  <c r="G19" i="17"/>
  <c r="F19" i="17"/>
  <c r="E19" i="17"/>
  <c r="D19" i="17"/>
  <c r="C19" i="17"/>
  <c r="B19" i="17"/>
  <c r="A19" i="17"/>
  <c r="C42" i="22" s="1"/>
  <c r="G18" i="17"/>
  <c r="F18" i="17"/>
  <c r="E18" i="17"/>
  <c r="D18" i="17"/>
  <c r="C18" i="17"/>
  <c r="B18" i="17"/>
  <c r="A18" i="17"/>
  <c r="C41" i="22" s="1"/>
  <c r="G17" i="17"/>
  <c r="F17" i="17"/>
  <c r="E17" i="17"/>
  <c r="D17" i="17"/>
  <c r="C17" i="17"/>
  <c r="B17" i="17"/>
  <c r="A17" i="17"/>
  <c r="C40" i="22" s="1"/>
  <c r="G16" i="17"/>
  <c r="F16" i="17"/>
  <c r="E16" i="17"/>
  <c r="D16" i="17"/>
  <c r="C16" i="17"/>
  <c r="B16" i="17"/>
  <c r="A16" i="17"/>
  <c r="C39" i="22" s="1"/>
  <c r="J15" i="17"/>
  <c r="G15" i="17"/>
  <c r="F15" i="17"/>
  <c r="E15" i="17"/>
  <c r="J54" i="17" s="1"/>
  <c r="D15" i="17"/>
  <c r="C15" i="17"/>
  <c r="B15" i="17"/>
  <c r="A15" i="17"/>
  <c r="C38" i="22" s="1"/>
  <c r="B11" i="17"/>
  <c r="H204" i="16"/>
  <c r="E204" i="16"/>
  <c r="D204" i="16"/>
  <c r="C204" i="16"/>
  <c r="B204" i="16"/>
  <c r="A204" i="16"/>
  <c r="C357" i="22" s="1"/>
  <c r="H203" i="16"/>
  <c r="F203" i="16"/>
  <c r="E203" i="16"/>
  <c r="G203" i="16" s="1"/>
  <c r="B203" i="16"/>
  <c r="A203" i="16"/>
  <c r="H202" i="16"/>
  <c r="F202" i="16"/>
  <c r="E202" i="16"/>
  <c r="G202" i="16" s="1"/>
  <c r="C202" i="16"/>
  <c r="B202" i="16"/>
  <c r="A202" i="16"/>
  <c r="C355" i="22" s="1"/>
  <c r="H201" i="16"/>
  <c r="F201" i="16"/>
  <c r="G201" i="16" s="1"/>
  <c r="E201" i="16"/>
  <c r="C201" i="16"/>
  <c r="B201" i="16"/>
  <c r="A201" i="16"/>
  <c r="C354" i="22" s="1"/>
  <c r="H200" i="16"/>
  <c r="E200" i="16"/>
  <c r="D200" i="16"/>
  <c r="C200" i="16"/>
  <c r="A200" i="16"/>
  <c r="E199" i="16"/>
  <c r="G199" i="16" s="1"/>
  <c r="A199" i="16"/>
  <c r="F199" i="16" s="1"/>
  <c r="H198" i="16"/>
  <c r="G198" i="16"/>
  <c r="F198" i="16"/>
  <c r="E198" i="16"/>
  <c r="D198" i="16"/>
  <c r="C198" i="16"/>
  <c r="B198" i="16"/>
  <c r="A198" i="16"/>
  <c r="C351" i="22" s="1"/>
  <c r="H197" i="16"/>
  <c r="F197" i="16"/>
  <c r="E197" i="16"/>
  <c r="G197" i="16" s="1"/>
  <c r="D197" i="16"/>
  <c r="C197" i="16"/>
  <c r="A197" i="16"/>
  <c r="C350" i="22" s="1"/>
  <c r="A196" i="16"/>
  <c r="E195" i="16"/>
  <c r="A195" i="16"/>
  <c r="H194" i="16"/>
  <c r="F194" i="16"/>
  <c r="E194" i="16"/>
  <c r="G194" i="16" s="1"/>
  <c r="A194" i="16"/>
  <c r="F193" i="16"/>
  <c r="D193" i="16"/>
  <c r="C193" i="16"/>
  <c r="B193" i="16"/>
  <c r="A193" i="16"/>
  <c r="E192" i="16"/>
  <c r="A192" i="16"/>
  <c r="A191" i="16"/>
  <c r="F190" i="16"/>
  <c r="E190" i="16"/>
  <c r="G190" i="16" s="1"/>
  <c r="D190" i="16"/>
  <c r="C190" i="16"/>
  <c r="B190" i="16"/>
  <c r="A190" i="16"/>
  <c r="C189" i="16"/>
  <c r="A189" i="16"/>
  <c r="F189" i="16" s="1"/>
  <c r="H188" i="16"/>
  <c r="E188" i="16"/>
  <c r="D188" i="16"/>
  <c r="C188" i="16"/>
  <c r="B188" i="16"/>
  <c r="A188" i="16"/>
  <c r="D187" i="16"/>
  <c r="B187" i="16"/>
  <c r="A187" i="16"/>
  <c r="H187" i="16" s="1"/>
  <c r="H186" i="16"/>
  <c r="D186" i="16"/>
  <c r="C186" i="16"/>
  <c r="A186" i="16"/>
  <c r="H185" i="16"/>
  <c r="F185" i="16"/>
  <c r="G185" i="16" s="1"/>
  <c r="E185" i="16"/>
  <c r="D185" i="16"/>
  <c r="C185" i="16"/>
  <c r="B185" i="16"/>
  <c r="A185" i="16"/>
  <c r="C338" i="22" s="1"/>
  <c r="H184" i="16"/>
  <c r="E184" i="16"/>
  <c r="D184" i="16"/>
  <c r="C184" i="16"/>
  <c r="B184" i="16"/>
  <c r="A184" i="16"/>
  <c r="E183" i="16"/>
  <c r="A183" i="16"/>
  <c r="A182" i="16"/>
  <c r="H181" i="16"/>
  <c r="F181" i="16"/>
  <c r="E181" i="16"/>
  <c r="G181" i="16" s="1"/>
  <c r="D181" i="16"/>
  <c r="C181" i="16"/>
  <c r="A181" i="16"/>
  <c r="E180" i="16"/>
  <c r="B180" i="16"/>
  <c r="A180" i="16"/>
  <c r="A179" i="16"/>
  <c r="D178" i="16"/>
  <c r="B178" i="16"/>
  <c r="A178" i="16"/>
  <c r="H178" i="16" s="1"/>
  <c r="F177" i="16"/>
  <c r="E177" i="16"/>
  <c r="G177" i="16" s="1"/>
  <c r="D177" i="16"/>
  <c r="C177" i="16"/>
  <c r="A177" i="16"/>
  <c r="B176" i="16"/>
  <c r="A176" i="16"/>
  <c r="H175" i="16"/>
  <c r="F175" i="16"/>
  <c r="G175" i="16" s="1"/>
  <c r="E175" i="16"/>
  <c r="A175" i="16"/>
  <c r="A174" i="16"/>
  <c r="F173" i="16"/>
  <c r="C173" i="16"/>
  <c r="A173" i="16"/>
  <c r="H172" i="16"/>
  <c r="E172" i="16"/>
  <c r="D172" i="16"/>
  <c r="C172" i="16"/>
  <c r="B172" i="16"/>
  <c r="A172" i="16"/>
  <c r="H171" i="16"/>
  <c r="D171" i="16"/>
  <c r="A171" i="16"/>
  <c r="F171" i="16" s="1"/>
  <c r="H170" i="16"/>
  <c r="A170" i="16"/>
  <c r="H169" i="16"/>
  <c r="F169" i="16"/>
  <c r="E169" i="16"/>
  <c r="G169" i="16" s="1"/>
  <c r="D169" i="16"/>
  <c r="C169" i="16"/>
  <c r="B169" i="16"/>
  <c r="A169" i="16"/>
  <c r="C322" i="22" s="1"/>
  <c r="H168" i="16"/>
  <c r="A168" i="16"/>
  <c r="E167" i="16"/>
  <c r="A167" i="16"/>
  <c r="H166" i="16"/>
  <c r="E166" i="16"/>
  <c r="D166" i="16"/>
  <c r="A166" i="16"/>
  <c r="F166" i="16" s="1"/>
  <c r="G166" i="16" s="1"/>
  <c r="D165" i="16"/>
  <c r="C165" i="16"/>
  <c r="B165" i="16"/>
  <c r="A165" i="16"/>
  <c r="A164" i="16"/>
  <c r="A163" i="16"/>
  <c r="A162" i="16"/>
  <c r="D162" i="16" s="1"/>
  <c r="F161" i="16"/>
  <c r="E161" i="16"/>
  <c r="G161" i="16" s="1"/>
  <c r="D161" i="16"/>
  <c r="A161" i="16"/>
  <c r="A160" i="16"/>
  <c r="H159" i="16"/>
  <c r="D159" i="16"/>
  <c r="A159" i="16"/>
  <c r="F159" i="16" s="1"/>
  <c r="D158" i="16"/>
  <c r="C158" i="16"/>
  <c r="B158" i="16"/>
  <c r="A158" i="16"/>
  <c r="F157" i="16"/>
  <c r="A157" i="16"/>
  <c r="H156" i="16"/>
  <c r="E156" i="16"/>
  <c r="D156" i="16"/>
  <c r="C156" i="16"/>
  <c r="B156" i="16"/>
  <c r="A156" i="16"/>
  <c r="H155" i="16"/>
  <c r="E155" i="16"/>
  <c r="A155" i="16"/>
  <c r="H154" i="16"/>
  <c r="C154" i="16"/>
  <c r="A154" i="16"/>
  <c r="F154" i="16" s="1"/>
  <c r="H153" i="16"/>
  <c r="F153" i="16"/>
  <c r="E153" i="16"/>
  <c r="G153" i="16" s="1"/>
  <c r="D153" i="16"/>
  <c r="C153" i="16"/>
  <c r="B153" i="16"/>
  <c r="A153" i="16"/>
  <c r="C306" i="22" s="1"/>
  <c r="H152" i="16"/>
  <c r="D152" i="16"/>
  <c r="A152" i="16"/>
  <c r="H151" i="16"/>
  <c r="D151" i="16"/>
  <c r="B151" i="16"/>
  <c r="A151" i="16"/>
  <c r="E151" i="16" s="1"/>
  <c r="H150" i="16"/>
  <c r="C150" i="16"/>
  <c r="A150" i="16"/>
  <c r="F149" i="16"/>
  <c r="D149" i="16"/>
  <c r="C149" i="16"/>
  <c r="B149" i="16"/>
  <c r="A149" i="16"/>
  <c r="C302" i="22" s="1"/>
  <c r="H148" i="16"/>
  <c r="E148" i="16"/>
  <c r="D148" i="16"/>
  <c r="A148" i="16"/>
  <c r="D147" i="16"/>
  <c r="A147" i="16"/>
  <c r="H146" i="16"/>
  <c r="E146" i="16"/>
  <c r="B146" i="16"/>
  <c r="A146" i="16"/>
  <c r="C299" i="22" s="1"/>
  <c r="H145" i="16"/>
  <c r="F145" i="16"/>
  <c r="E145" i="16"/>
  <c r="D145" i="16"/>
  <c r="C145" i="16"/>
  <c r="A145" i="16"/>
  <c r="C298" i="22" s="1"/>
  <c r="A144" i="16"/>
  <c r="H143" i="16"/>
  <c r="D143" i="16"/>
  <c r="A143" i="16"/>
  <c r="F143" i="16" s="1"/>
  <c r="F142" i="16"/>
  <c r="E142" i="16"/>
  <c r="G142" i="16" s="1"/>
  <c r="D142" i="16"/>
  <c r="C142" i="16"/>
  <c r="B142" i="16"/>
  <c r="A142" i="16"/>
  <c r="E141" i="16"/>
  <c r="C141" i="16"/>
  <c r="B141" i="16"/>
  <c r="A141" i="16"/>
  <c r="H141" i="16" s="1"/>
  <c r="H140" i="16"/>
  <c r="E140" i="16"/>
  <c r="C140" i="16"/>
  <c r="B140" i="16"/>
  <c r="A140" i="16"/>
  <c r="D140" i="16" s="1"/>
  <c r="D139" i="16"/>
  <c r="B139" i="16"/>
  <c r="A139" i="16"/>
  <c r="F138" i="16"/>
  <c r="B138" i="16"/>
  <c r="A138" i="16"/>
  <c r="H138" i="16" s="1"/>
  <c r="H137" i="16"/>
  <c r="F137" i="16"/>
  <c r="E137" i="16"/>
  <c r="G137" i="16" s="1"/>
  <c r="D137" i="16"/>
  <c r="C137" i="16"/>
  <c r="B137" i="16"/>
  <c r="A137" i="16"/>
  <c r="C290" i="22" s="1"/>
  <c r="A136" i="16"/>
  <c r="A135" i="16"/>
  <c r="F134" i="16"/>
  <c r="E134" i="16"/>
  <c r="G134" i="16" s="1"/>
  <c r="D134" i="16"/>
  <c r="A134" i="16"/>
  <c r="H133" i="16"/>
  <c r="A133" i="16"/>
  <c r="H132" i="16"/>
  <c r="C132" i="16"/>
  <c r="A132" i="16"/>
  <c r="E132" i="16" s="1"/>
  <c r="H131" i="16"/>
  <c r="F131" i="16"/>
  <c r="E131" i="16"/>
  <c r="G131" i="16" s="1"/>
  <c r="D131" i="16"/>
  <c r="B131" i="16"/>
  <c r="A131" i="16"/>
  <c r="H130" i="16"/>
  <c r="A130" i="16"/>
  <c r="A129" i="16"/>
  <c r="H129" i="16" s="1"/>
  <c r="E128" i="16"/>
  <c r="D128" i="16"/>
  <c r="C128" i="16"/>
  <c r="A128" i="16"/>
  <c r="A127" i="16"/>
  <c r="H126" i="16"/>
  <c r="E126" i="16"/>
  <c r="B126" i="16"/>
  <c r="A126" i="16"/>
  <c r="C279" i="22" s="1"/>
  <c r="E125" i="16"/>
  <c r="D125" i="16"/>
  <c r="A125" i="16"/>
  <c r="A124" i="16"/>
  <c r="F123" i="16"/>
  <c r="B123" i="16"/>
  <c r="A123" i="16"/>
  <c r="H123" i="16" s="1"/>
  <c r="H122" i="16"/>
  <c r="G122" i="16"/>
  <c r="F122" i="16"/>
  <c r="E122" i="16"/>
  <c r="C122" i="16"/>
  <c r="B122" i="16"/>
  <c r="A122" i="16"/>
  <c r="D122" i="16" s="1"/>
  <c r="D121" i="16"/>
  <c r="C121" i="16"/>
  <c r="B121" i="16"/>
  <c r="A121" i="16"/>
  <c r="C120" i="16"/>
  <c r="B120" i="16"/>
  <c r="A120" i="16"/>
  <c r="H120" i="16" s="1"/>
  <c r="H119" i="16"/>
  <c r="F119" i="16"/>
  <c r="D119" i="16"/>
  <c r="B119" i="16"/>
  <c r="A119" i="16"/>
  <c r="E119" i="16" s="1"/>
  <c r="G119" i="16" s="1"/>
  <c r="H118" i="16"/>
  <c r="F118" i="16"/>
  <c r="E118" i="16"/>
  <c r="G118" i="16" s="1"/>
  <c r="D118" i="16"/>
  <c r="C118" i="16"/>
  <c r="B118" i="16"/>
  <c r="A118" i="16"/>
  <c r="C271" i="22" s="1"/>
  <c r="A117" i="16"/>
  <c r="D117" i="16" s="1"/>
  <c r="H116" i="16"/>
  <c r="D116" i="16"/>
  <c r="C116" i="16"/>
  <c r="A116" i="16"/>
  <c r="E116" i="16" s="1"/>
  <c r="H115" i="16"/>
  <c r="F115" i="16"/>
  <c r="E115" i="16"/>
  <c r="G115" i="16" s="1"/>
  <c r="D115" i="16"/>
  <c r="B115" i="16"/>
  <c r="A115" i="16"/>
  <c r="H114" i="16"/>
  <c r="A114" i="16"/>
  <c r="A113" i="16"/>
  <c r="E112" i="16"/>
  <c r="D112" i="16"/>
  <c r="C112" i="16"/>
  <c r="A112" i="16"/>
  <c r="B111" i="16"/>
  <c r="A111" i="16"/>
  <c r="H110" i="16"/>
  <c r="E110" i="16"/>
  <c r="B110" i="16"/>
  <c r="A110" i="16"/>
  <c r="C263" i="22" s="1"/>
  <c r="G109" i="16"/>
  <c r="F109" i="16"/>
  <c r="E109" i="16"/>
  <c r="D109" i="16"/>
  <c r="A109" i="16"/>
  <c r="C108" i="16"/>
  <c r="A108" i="16"/>
  <c r="F107" i="16"/>
  <c r="B107" i="16"/>
  <c r="A107" i="16"/>
  <c r="H107" i="16" s="1"/>
  <c r="H106" i="16"/>
  <c r="G106" i="16"/>
  <c r="F106" i="16"/>
  <c r="E106" i="16"/>
  <c r="C106" i="16"/>
  <c r="B106" i="16"/>
  <c r="A106" i="16"/>
  <c r="C259" i="22" s="1"/>
  <c r="C105" i="16"/>
  <c r="A105" i="16"/>
  <c r="H104" i="16"/>
  <c r="C104" i="16"/>
  <c r="B104" i="16"/>
  <c r="A104" i="16"/>
  <c r="H103" i="16"/>
  <c r="F103" i="16"/>
  <c r="D103" i="16"/>
  <c r="B103" i="16"/>
  <c r="A103" i="16"/>
  <c r="E103" i="16" s="1"/>
  <c r="G103" i="16" s="1"/>
  <c r="H102" i="16"/>
  <c r="F102" i="16"/>
  <c r="E102" i="16"/>
  <c r="G102" i="16" s="1"/>
  <c r="D102" i="16"/>
  <c r="C102" i="16"/>
  <c r="B102" i="16"/>
  <c r="A102" i="16"/>
  <c r="C255" i="22" s="1"/>
  <c r="A101" i="16"/>
  <c r="H100" i="16"/>
  <c r="D100" i="16"/>
  <c r="C100" i="16"/>
  <c r="A100" i="16"/>
  <c r="E100" i="16" s="1"/>
  <c r="H99" i="16"/>
  <c r="F99" i="16"/>
  <c r="E99" i="16"/>
  <c r="G99" i="16" s="1"/>
  <c r="D99" i="16"/>
  <c r="B99" i="16"/>
  <c r="A99" i="16"/>
  <c r="H98" i="16"/>
  <c r="E98" i="16"/>
  <c r="B98" i="16"/>
  <c r="A98" i="16"/>
  <c r="D97" i="16"/>
  <c r="A97" i="16"/>
  <c r="E96" i="16"/>
  <c r="D96" i="16"/>
  <c r="C96" i="16"/>
  <c r="A96" i="16"/>
  <c r="F95" i="16"/>
  <c r="B95" i="16"/>
  <c r="A95" i="16"/>
  <c r="H94" i="16"/>
  <c r="E94" i="16"/>
  <c r="B94" i="16"/>
  <c r="A94" i="16"/>
  <c r="C247" i="22" s="1"/>
  <c r="F93" i="16"/>
  <c r="A93" i="16"/>
  <c r="B92" i="16"/>
  <c r="A92" i="16"/>
  <c r="F91" i="16"/>
  <c r="B91" i="16"/>
  <c r="A91" i="16"/>
  <c r="H91" i="16" s="1"/>
  <c r="H90" i="16"/>
  <c r="F90" i="16"/>
  <c r="E90" i="16"/>
  <c r="G90" i="16" s="1"/>
  <c r="C90" i="16"/>
  <c r="B90" i="16"/>
  <c r="A90" i="16"/>
  <c r="C243" i="22" s="1"/>
  <c r="B89" i="16"/>
  <c r="A89" i="16"/>
  <c r="H88" i="16"/>
  <c r="C88" i="16"/>
  <c r="B88" i="16"/>
  <c r="A88" i="16"/>
  <c r="H87" i="16"/>
  <c r="F87" i="16"/>
  <c r="D87" i="16"/>
  <c r="B87" i="16"/>
  <c r="A87" i="16"/>
  <c r="E87" i="16" s="1"/>
  <c r="G87" i="16" s="1"/>
  <c r="H86" i="16"/>
  <c r="F86" i="16"/>
  <c r="E86" i="16"/>
  <c r="G86" i="16" s="1"/>
  <c r="D86" i="16"/>
  <c r="C86" i="16"/>
  <c r="B86" i="16"/>
  <c r="A86" i="16"/>
  <c r="C239" i="22" s="1"/>
  <c r="A85" i="16"/>
  <c r="H84" i="16"/>
  <c r="D84" i="16"/>
  <c r="C84" i="16"/>
  <c r="A84" i="16"/>
  <c r="E84" i="16" s="1"/>
  <c r="H83" i="16"/>
  <c r="F83" i="16"/>
  <c r="E83" i="16"/>
  <c r="D83" i="16"/>
  <c r="B83" i="16"/>
  <c r="A83" i="16"/>
  <c r="H82" i="16"/>
  <c r="A82" i="16"/>
  <c r="H81" i="16"/>
  <c r="A81" i="16"/>
  <c r="E80" i="16"/>
  <c r="D80" i="16"/>
  <c r="C80" i="16"/>
  <c r="A80" i="16"/>
  <c r="F79" i="16"/>
  <c r="E79" i="16"/>
  <c r="B79" i="16"/>
  <c r="A79" i="16"/>
  <c r="A78" i="16"/>
  <c r="E77" i="16"/>
  <c r="D77" i="16"/>
  <c r="A77" i="16"/>
  <c r="C76" i="16"/>
  <c r="B76" i="16"/>
  <c r="A76" i="16"/>
  <c r="F75" i="16"/>
  <c r="B75" i="16"/>
  <c r="A75" i="16"/>
  <c r="H74" i="16"/>
  <c r="G74" i="16"/>
  <c r="F74" i="16"/>
  <c r="E74" i="16"/>
  <c r="C74" i="16"/>
  <c r="B74" i="16"/>
  <c r="A74" i="16"/>
  <c r="C227" i="22" s="1"/>
  <c r="D73" i="16"/>
  <c r="C73" i="16"/>
  <c r="B73" i="16"/>
  <c r="A73" i="16"/>
  <c r="H72" i="16"/>
  <c r="C72" i="16"/>
  <c r="B72" i="16"/>
  <c r="A72" i="16"/>
  <c r="H71" i="16"/>
  <c r="F71" i="16"/>
  <c r="D71" i="16"/>
  <c r="B71" i="16"/>
  <c r="A71" i="16"/>
  <c r="E71" i="16" s="1"/>
  <c r="G71" i="16" s="1"/>
  <c r="H70" i="16"/>
  <c r="G70" i="16"/>
  <c r="F70" i="16"/>
  <c r="E70" i="16"/>
  <c r="D70" i="16"/>
  <c r="C70" i="16"/>
  <c r="B70" i="16"/>
  <c r="A70" i="16"/>
  <c r="C223" i="22" s="1"/>
  <c r="A69" i="16"/>
  <c r="C69" i="16" s="1"/>
  <c r="H68" i="16"/>
  <c r="D68" i="16"/>
  <c r="C68" i="16"/>
  <c r="A68" i="16"/>
  <c r="E68" i="16" s="1"/>
  <c r="H67" i="16"/>
  <c r="F67" i="16"/>
  <c r="E67" i="16"/>
  <c r="D67" i="16"/>
  <c r="B67" i="16"/>
  <c r="A67" i="16"/>
  <c r="E66" i="16"/>
  <c r="D66" i="16"/>
  <c r="A66" i="16"/>
  <c r="A65" i="16"/>
  <c r="E65" i="16" s="1"/>
  <c r="D64" i="16"/>
  <c r="C64" i="16"/>
  <c r="A64" i="16"/>
  <c r="F63" i="16"/>
  <c r="A63" i="16"/>
  <c r="H62" i="16"/>
  <c r="B62" i="16"/>
  <c r="A62" i="16"/>
  <c r="A61" i="16"/>
  <c r="E60" i="16"/>
  <c r="A60" i="16"/>
  <c r="B59" i="16"/>
  <c r="A59" i="16"/>
  <c r="H58" i="16"/>
  <c r="F58" i="16"/>
  <c r="G58" i="16" s="1"/>
  <c r="E58" i="16"/>
  <c r="C58" i="16"/>
  <c r="B58" i="16"/>
  <c r="A58" i="16"/>
  <c r="C211" i="22" s="1"/>
  <c r="C57" i="16"/>
  <c r="B57" i="16"/>
  <c r="A57" i="16"/>
  <c r="H56" i="16"/>
  <c r="C56" i="16"/>
  <c r="B56" i="16"/>
  <c r="A56" i="16"/>
  <c r="H55" i="16"/>
  <c r="F55" i="16"/>
  <c r="D55" i="16"/>
  <c r="B55" i="16"/>
  <c r="A55" i="16"/>
  <c r="E55" i="16" s="1"/>
  <c r="G55" i="16" s="1"/>
  <c r="H54" i="16"/>
  <c r="G54" i="16"/>
  <c r="F54" i="16"/>
  <c r="E54" i="16"/>
  <c r="D54" i="16"/>
  <c r="C54" i="16"/>
  <c r="B54" i="16"/>
  <c r="A54" i="16"/>
  <c r="C207" i="22" s="1"/>
  <c r="A53" i="16"/>
  <c r="H52" i="16"/>
  <c r="D52" i="16"/>
  <c r="C52" i="16"/>
  <c r="A52" i="16"/>
  <c r="E52" i="16" s="1"/>
  <c r="H51" i="16"/>
  <c r="F51" i="16"/>
  <c r="E51" i="16"/>
  <c r="D51" i="16"/>
  <c r="B51" i="16"/>
  <c r="A51" i="16"/>
  <c r="H50" i="16"/>
  <c r="D50" i="16"/>
  <c r="B50" i="16"/>
  <c r="A50" i="16"/>
  <c r="E49" i="16"/>
  <c r="D49" i="16"/>
  <c r="A49" i="16"/>
  <c r="C48" i="16"/>
  <c r="A48" i="16"/>
  <c r="A47" i="16"/>
  <c r="H46" i="16"/>
  <c r="F46" i="16"/>
  <c r="A46" i="16"/>
  <c r="H45" i="16"/>
  <c r="F45" i="16"/>
  <c r="E45" i="16"/>
  <c r="G45" i="16" s="1"/>
  <c r="C45" i="16"/>
  <c r="B45" i="16"/>
  <c r="A45" i="16"/>
  <c r="C198" i="22" s="1"/>
  <c r="H44" i="16"/>
  <c r="G44" i="16"/>
  <c r="F44" i="16"/>
  <c r="E44" i="16"/>
  <c r="D44" i="16"/>
  <c r="C44" i="16"/>
  <c r="B44" i="16"/>
  <c r="A44" i="16"/>
  <c r="C197" i="22" s="1"/>
  <c r="H43" i="16"/>
  <c r="E43" i="16"/>
  <c r="A43" i="16"/>
  <c r="F42" i="16"/>
  <c r="E42" i="16"/>
  <c r="A42" i="16"/>
  <c r="H41" i="16"/>
  <c r="F41" i="16"/>
  <c r="E41" i="16"/>
  <c r="G41" i="16" s="1"/>
  <c r="C41" i="16"/>
  <c r="B41" i="16"/>
  <c r="A41" i="16"/>
  <c r="C194" i="22" s="1"/>
  <c r="H40" i="16"/>
  <c r="G40" i="16"/>
  <c r="F40" i="16"/>
  <c r="E40" i="16"/>
  <c r="D40" i="16"/>
  <c r="C40" i="16"/>
  <c r="B40" i="16"/>
  <c r="A40" i="16"/>
  <c r="C193" i="22" s="1"/>
  <c r="H39" i="16"/>
  <c r="E39" i="16"/>
  <c r="A39" i="16"/>
  <c r="B38" i="16"/>
  <c r="A38" i="16"/>
  <c r="H37" i="16"/>
  <c r="F37" i="16"/>
  <c r="G37" i="16" s="1"/>
  <c r="E37" i="16"/>
  <c r="C37" i="16"/>
  <c r="B37" i="16"/>
  <c r="A37" i="16"/>
  <c r="C190" i="22" s="1"/>
  <c r="H36" i="16"/>
  <c r="F36" i="16"/>
  <c r="E36" i="16"/>
  <c r="G36" i="16" s="1"/>
  <c r="D36" i="16"/>
  <c r="C36" i="16"/>
  <c r="B36" i="16"/>
  <c r="A36" i="16"/>
  <c r="C189" i="22" s="1"/>
  <c r="E35" i="16"/>
  <c r="D35" i="16"/>
  <c r="A35" i="16"/>
  <c r="H34" i="16"/>
  <c r="F34" i="16"/>
  <c r="A34" i="16"/>
  <c r="H33" i="16"/>
  <c r="F33" i="16"/>
  <c r="E33" i="16"/>
  <c r="G33" i="16" s="1"/>
  <c r="C33" i="16"/>
  <c r="B33" i="16"/>
  <c r="A33" i="16"/>
  <c r="C186" i="22" s="1"/>
  <c r="H32" i="16"/>
  <c r="G32" i="16"/>
  <c r="F32" i="16"/>
  <c r="E32" i="16"/>
  <c r="D32" i="16"/>
  <c r="C32" i="16"/>
  <c r="B32" i="16"/>
  <c r="A32" i="16"/>
  <c r="C185" i="22" s="1"/>
  <c r="C31" i="16"/>
  <c r="A31" i="16"/>
  <c r="H30" i="16"/>
  <c r="B30" i="16"/>
  <c r="A30" i="16"/>
  <c r="H29" i="16"/>
  <c r="G29" i="16"/>
  <c r="F29" i="16"/>
  <c r="E29" i="16"/>
  <c r="D29" i="16"/>
  <c r="C29" i="16"/>
  <c r="B29" i="16"/>
  <c r="A29" i="16"/>
  <c r="C182" i="22" s="1"/>
  <c r="H28" i="16"/>
  <c r="G28" i="16"/>
  <c r="F28" i="16"/>
  <c r="E28" i="16"/>
  <c r="D28" i="16"/>
  <c r="C28" i="16"/>
  <c r="B28" i="16"/>
  <c r="A28" i="16"/>
  <c r="C181" i="22" s="1"/>
  <c r="H27" i="16"/>
  <c r="E27" i="16"/>
  <c r="B27" i="16"/>
  <c r="A27" i="16"/>
  <c r="F26" i="16"/>
  <c r="E26" i="16"/>
  <c r="B26" i="16"/>
  <c r="A26" i="16"/>
  <c r="H25" i="16"/>
  <c r="F25" i="16"/>
  <c r="E25" i="16"/>
  <c r="G25" i="16" s="1"/>
  <c r="D25" i="16"/>
  <c r="C25" i="16"/>
  <c r="B25" i="16"/>
  <c r="A25" i="16"/>
  <c r="C178" i="22" s="1"/>
  <c r="H24" i="16"/>
  <c r="G24" i="16"/>
  <c r="F24" i="16"/>
  <c r="E24" i="16"/>
  <c r="D24" i="16"/>
  <c r="C24" i="16"/>
  <c r="B24" i="16"/>
  <c r="A24" i="16"/>
  <c r="C177" i="22" s="1"/>
  <c r="A23" i="16"/>
  <c r="H22" i="16"/>
  <c r="B22" i="16"/>
  <c r="A22" i="16"/>
  <c r="H21" i="16"/>
  <c r="F21" i="16"/>
  <c r="E21" i="16"/>
  <c r="G21" i="16" s="1"/>
  <c r="D21" i="16"/>
  <c r="C21" i="16"/>
  <c r="B21" i="16"/>
  <c r="A21" i="16"/>
  <c r="C174" i="22" s="1"/>
  <c r="C20" i="16"/>
  <c r="B20" i="16"/>
  <c r="A20" i="16"/>
  <c r="H19" i="16"/>
  <c r="E19" i="16"/>
  <c r="B19" i="16"/>
  <c r="A19" i="16"/>
  <c r="E18" i="16"/>
  <c r="B18" i="16"/>
  <c r="A18" i="16"/>
  <c r="H17" i="16"/>
  <c r="F17" i="16"/>
  <c r="E17" i="16"/>
  <c r="D17" i="16"/>
  <c r="C17" i="16"/>
  <c r="B17" i="16"/>
  <c r="A17" i="16"/>
  <c r="C170" i="22" s="1"/>
  <c r="H16" i="16"/>
  <c r="F16" i="16"/>
  <c r="E16" i="16"/>
  <c r="G16" i="16" s="1"/>
  <c r="B16" i="16"/>
  <c r="A16" i="16"/>
  <c r="C169" i="22" s="1"/>
  <c r="A15" i="16"/>
  <c r="B15" i="16" s="1"/>
  <c r="F14" i="16"/>
  <c r="E14" i="16"/>
  <c r="G14" i="16" s="1"/>
  <c r="A14" i="16"/>
  <c r="H13" i="16"/>
  <c r="F13" i="16"/>
  <c r="E13" i="16"/>
  <c r="G13" i="16" s="1"/>
  <c r="D13" i="16"/>
  <c r="C13" i="16"/>
  <c r="B13" i="16"/>
  <c r="A13" i="16"/>
  <c r="C166" i="22" s="1"/>
  <c r="E12" i="16"/>
  <c r="D12" i="16"/>
  <c r="C12" i="16"/>
  <c r="B12" i="16"/>
  <c r="A12" i="16"/>
  <c r="C165" i="22" s="1"/>
  <c r="D11" i="16"/>
  <c r="C11" i="16"/>
  <c r="A11" i="16"/>
  <c r="H10" i="16"/>
  <c r="F10" i="16"/>
  <c r="E10" i="16"/>
  <c r="G10" i="16" s="1"/>
  <c r="B10" i="16"/>
  <c r="A10" i="16"/>
  <c r="H9" i="16"/>
  <c r="G9" i="16"/>
  <c r="F9" i="16"/>
  <c r="E9" i="16"/>
  <c r="D9" i="16"/>
  <c r="C9" i="16"/>
  <c r="B9" i="16"/>
  <c r="A9" i="16"/>
  <c r="C162" i="22" s="1"/>
  <c r="H8" i="16"/>
  <c r="D8" i="16"/>
  <c r="C8" i="16"/>
  <c r="A8" i="16"/>
  <c r="C161" i="22" s="1"/>
  <c r="H7" i="16"/>
  <c r="E7" i="16"/>
  <c r="D7" i="16"/>
  <c r="C7" i="16"/>
  <c r="B7" i="16"/>
  <c r="A7" i="16"/>
  <c r="E6" i="16"/>
  <c r="D6" i="16"/>
  <c r="B6" i="16"/>
  <c r="A6" i="16"/>
  <c r="A5" i="16"/>
  <c r="D64" i="15"/>
  <c r="E64" i="15" s="1"/>
  <c r="F64" i="15" s="1"/>
  <c r="C64" i="15"/>
  <c r="E63" i="15"/>
  <c r="D63" i="15"/>
  <c r="C63" i="15"/>
  <c r="D62" i="15"/>
  <c r="E62" i="15" s="1"/>
  <c r="C62" i="15"/>
  <c r="D61" i="15"/>
  <c r="C61" i="15"/>
  <c r="E61" i="15" s="1"/>
  <c r="F61" i="15" s="1"/>
  <c r="D60" i="15"/>
  <c r="E60" i="15" s="1"/>
  <c r="F60" i="15" s="1"/>
  <c r="C60" i="15"/>
  <c r="D59" i="15"/>
  <c r="C59" i="15"/>
  <c r="E58" i="15"/>
  <c r="F58" i="15" s="1"/>
  <c r="D58" i="15"/>
  <c r="C58" i="15"/>
  <c r="F57" i="15"/>
  <c r="D57" i="15"/>
  <c r="C57" i="15"/>
  <c r="E57" i="15" s="1"/>
  <c r="D56" i="15"/>
  <c r="C56" i="15"/>
  <c r="E55" i="15"/>
  <c r="F55" i="15" s="1"/>
  <c r="D55" i="15"/>
  <c r="C55" i="15"/>
  <c r="E54" i="15"/>
  <c r="D54" i="15"/>
  <c r="C54" i="15"/>
  <c r="F53" i="15"/>
  <c r="D53" i="15"/>
  <c r="E53" i="15" s="1"/>
  <c r="C53" i="15"/>
  <c r="D52" i="15"/>
  <c r="E52" i="15" s="1"/>
  <c r="F52" i="15" s="1"/>
  <c r="C52" i="15"/>
  <c r="D51" i="15"/>
  <c r="E51" i="15" s="1"/>
  <c r="F51" i="15" s="1"/>
  <c r="C51" i="15"/>
  <c r="D50" i="15"/>
  <c r="C50" i="15"/>
  <c r="D49" i="15"/>
  <c r="E49" i="15" s="1"/>
  <c r="F49" i="15" s="1"/>
  <c r="C49" i="15"/>
  <c r="D48" i="15"/>
  <c r="E48" i="15" s="1"/>
  <c r="F48" i="15" s="1"/>
  <c r="C48" i="15"/>
  <c r="D47" i="15"/>
  <c r="C47" i="15"/>
  <c r="D46" i="15"/>
  <c r="C46" i="15"/>
  <c r="D45" i="15"/>
  <c r="C45" i="15"/>
  <c r="E45" i="15" s="1"/>
  <c r="F45" i="15" s="1"/>
  <c r="F44" i="15"/>
  <c r="D44" i="15"/>
  <c r="E44" i="15" s="1"/>
  <c r="C44" i="15"/>
  <c r="F43" i="15"/>
  <c r="E43" i="15"/>
  <c r="D43" i="15"/>
  <c r="C43" i="15"/>
  <c r="D42" i="15"/>
  <c r="E42" i="15" s="1"/>
  <c r="F42" i="15" s="1"/>
  <c r="C42" i="15"/>
  <c r="D41" i="15"/>
  <c r="E41" i="15" s="1"/>
  <c r="F41" i="15" s="1"/>
  <c r="C41" i="15"/>
  <c r="E40" i="15"/>
  <c r="F40" i="15" s="1"/>
  <c r="D40" i="15"/>
  <c r="C40" i="15"/>
  <c r="E39" i="15"/>
  <c r="F39" i="15" s="1"/>
  <c r="D39" i="15"/>
  <c r="C39" i="15"/>
  <c r="D38" i="15"/>
  <c r="E38" i="15" s="1"/>
  <c r="F38" i="15" s="1"/>
  <c r="C38" i="15"/>
  <c r="D37" i="15"/>
  <c r="C37" i="15"/>
  <c r="D36" i="15"/>
  <c r="C36" i="15"/>
  <c r="D35" i="15"/>
  <c r="C35" i="15"/>
  <c r="D34" i="15"/>
  <c r="C34" i="15"/>
  <c r="E34" i="15" s="1"/>
  <c r="F34" i="15" s="1"/>
  <c r="D33" i="15"/>
  <c r="C33" i="15"/>
  <c r="D32" i="15"/>
  <c r="C32" i="15"/>
  <c r="F31" i="15"/>
  <c r="E31" i="15"/>
  <c r="D31" i="15"/>
  <c r="C31" i="15"/>
  <c r="E30" i="15"/>
  <c r="F30" i="15" s="1"/>
  <c r="D30" i="15"/>
  <c r="C30" i="15"/>
  <c r="D29" i="15"/>
  <c r="C29" i="15"/>
  <c r="F28" i="15"/>
  <c r="E28" i="15"/>
  <c r="D28" i="15"/>
  <c r="C28" i="15"/>
  <c r="D27" i="15"/>
  <c r="E27" i="15" s="1"/>
  <c r="F27" i="15" s="1"/>
  <c r="C27" i="15"/>
  <c r="D26" i="15"/>
  <c r="E26" i="15" s="1"/>
  <c r="F26" i="15" s="1"/>
  <c r="C26" i="15"/>
  <c r="D25" i="15"/>
  <c r="E25" i="15" s="1"/>
  <c r="F25" i="15" s="1"/>
  <c r="C25" i="15"/>
  <c r="D24" i="15"/>
  <c r="E24" i="15" s="1"/>
  <c r="F24" i="15" s="1"/>
  <c r="C24" i="15"/>
  <c r="D23" i="15"/>
  <c r="C23" i="15"/>
  <c r="D22" i="15"/>
  <c r="E22" i="15" s="1"/>
  <c r="F22" i="15" s="1"/>
  <c r="C22" i="15"/>
  <c r="D21" i="15"/>
  <c r="C21" i="15"/>
  <c r="E21" i="15" s="1"/>
  <c r="F21" i="15" s="1"/>
  <c r="D20" i="15"/>
  <c r="C20" i="15"/>
  <c r="D19" i="15"/>
  <c r="E19" i="15" s="1"/>
  <c r="F19" i="15" s="1"/>
  <c r="C19" i="15"/>
  <c r="F18" i="15"/>
  <c r="E18" i="15"/>
  <c r="D18" i="15"/>
  <c r="C18" i="15"/>
  <c r="D17" i="15"/>
  <c r="E17" i="15" s="1"/>
  <c r="F17" i="15" s="1"/>
  <c r="C17" i="15"/>
  <c r="D16" i="15"/>
  <c r="E16" i="15" s="1"/>
  <c r="F16" i="15" s="1"/>
  <c r="C16" i="15"/>
  <c r="D15" i="15"/>
  <c r="E15" i="15" s="1"/>
  <c r="F15" i="15" s="1"/>
  <c r="C15" i="15"/>
  <c r="D14" i="15"/>
  <c r="C14" i="15"/>
  <c r="D13" i="15"/>
  <c r="C13" i="15"/>
  <c r="D12" i="15"/>
  <c r="E12" i="15" s="1"/>
  <c r="F12" i="15" s="1"/>
  <c r="C12" i="15"/>
  <c r="D11" i="15"/>
  <c r="C11" i="15"/>
  <c r="D10" i="15"/>
  <c r="C10" i="15"/>
  <c r="D9" i="15"/>
  <c r="E9" i="15" s="1"/>
  <c r="F9" i="15" s="1"/>
  <c r="C9" i="15"/>
  <c r="D8" i="15"/>
  <c r="E8" i="15" s="1"/>
  <c r="C8" i="15"/>
  <c r="E7" i="15"/>
  <c r="F7" i="15" s="1"/>
  <c r="D7" i="15"/>
  <c r="C7" i="15"/>
  <c r="D6" i="15"/>
  <c r="E6" i="15" s="1"/>
  <c r="F6" i="15" s="1"/>
  <c r="C6" i="15"/>
  <c r="F5" i="15"/>
  <c r="E5" i="15"/>
  <c r="D5" i="15"/>
  <c r="C5" i="15"/>
  <c r="I1" i="15"/>
  <c r="F8" i="15" s="1"/>
  <c r="A24" i="14"/>
  <c r="E24" i="14" s="1"/>
  <c r="E23" i="14"/>
  <c r="A23" i="14"/>
  <c r="C22" i="14"/>
  <c r="A22" i="14"/>
  <c r="E22" i="14" s="1"/>
  <c r="A21" i="14"/>
  <c r="C20" i="14"/>
  <c r="B20" i="14"/>
  <c r="A20" i="14"/>
  <c r="E20" i="14" s="1"/>
  <c r="E19" i="14"/>
  <c r="A19" i="14"/>
  <c r="A18" i="14"/>
  <c r="E18" i="14" s="1"/>
  <c r="E17" i="14"/>
  <c r="A17" i="14"/>
  <c r="C16" i="14"/>
  <c r="A16" i="14"/>
  <c r="E16" i="14" s="1"/>
  <c r="A15" i="14"/>
  <c r="C14" i="14"/>
  <c r="B14" i="14"/>
  <c r="A14" i="14"/>
  <c r="E14" i="14" s="1"/>
  <c r="E13" i="14"/>
  <c r="A13" i="14"/>
  <c r="A12" i="14"/>
  <c r="E12" i="14" s="1"/>
  <c r="E11" i="14"/>
  <c r="A11" i="14"/>
  <c r="C10" i="14"/>
  <c r="A10" i="14"/>
  <c r="E10" i="14" s="1"/>
  <c r="A9" i="14"/>
  <c r="C8" i="14"/>
  <c r="D8" i="14" s="1"/>
  <c r="F8" i="14" s="1"/>
  <c r="B8" i="14"/>
  <c r="A8" i="14"/>
  <c r="E8" i="14" s="1"/>
  <c r="A7" i="14"/>
  <c r="E7" i="14" s="1"/>
  <c r="A6" i="14"/>
  <c r="E5" i="14"/>
  <c r="A5" i="14"/>
  <c r="I1" i="14"/>
  <c r="A24" i="13"/>
  <c r="D24" i="13" s="1"/>
  <c r="B23" i="13"/>
  <c r="A23" i="13"/>
  <c r="A22" i="13"/>
  <c r="D22" i="13" s="1"/>
  <c r="A21" i="13"/>
  <c r="D20" i="13"/>
  <c r="E20" i="13" s="1"/>
  <c r="F20" i="13" s="1"/>
  <c r="C20" i="13"/>
  <c r="A20" i="13"/>
  <c r="B20" i="13" s="1"/>
  <c r="A19" i="13"/>
  <c r="B19" i="13" s="1"/>
  <c r="A18" i="13"/>
  <c r="D18" i="13" s="1"/>
  <c r="B17" i="13"/>
  <c r="A17" i="13"/>
  <c r="A16" i="13"/>
  <c r="C16" i="13" s="1"/>
  <c r="B15" i="13"/>
  <c r="A15" i="13"/>
  <c r="A14" i="13"/>
  <c r="D14" i="13" s="1"/>
  <c r="A13" i="13"/>
  <c r="D12" i="13"/>
  <c r="E12" i="13" s="1"/>
  <c r="F12" i="13" s="1"/>
  <c r="C12" i="13"/>
  <c r="A12" i="13"/>
  <c r="B12" i="13" s="1"/>
  <c r="A11" i="13"/>
  <c r="C10" i="13"/>
  <c r="A10" i="13"/>
  <c r="D10" i="13" s="1"/>
  <c r="B9" i="13"/>
  <c r="A9" i="13"/>
  <c r="A8" i="13"/>
  <c r="C8" i="13" s="1"/>
  <c r="B7" i="13"/>
  <c r="A7" i="13"/>
  <c r="A6" i="13"/>
  <c r="D6" i="13" s="1"/>
  <c r="A5" i="13"/>
  <c r="I1" i="13"/>
  <c r="F24" i="12"/>
  <c r="E24" i="12"/>
  <c r="D24" i="12"/>
  <c r="B24" i="12"/>
  <c r="C24" i="12" s="1"/>
  <c r="A24" i="12"/>
  <c r="C37" i="22" s="1"/>
  <c r="F23" i="12"/>
  <c r="E23" i="12"/>
  <c r="D23" i="12"/>
  <c r="B23" i="12"/>
  <c r="C23" i="12" s="1"/>
  <c r="A23" i="12"/>
  <c r="C36" i="22" s="1"/>
  <c r="F22" i="12"/>
  <c r="E22" i="12"/>
  <c r="D22" i="12"/>
  <c r="B22" i="12"/>
  <c r="C22" i="12" s="1"/>
  <c r="A22" i="12"/>
  <c r="C35" i="22" s="1"/>
  <c r="F21" i="12"/>
  <c r="E21" i="12"/>
  <c r="D21" i="12"/>
  <c r="C21" i="12"/>
  <c r="B21" i="12"/>
  <c r="A21" i="12"/>
  <c r="C34" i="22" s="1"/>
  <c r="F20" i="12"/>
  <c r="E20" i="12"/>
  <c r="D20" i="12"/>
  <c r="B20" i="12"/>
  <c r="C20" i="12" s="1"/>
  <c r="A20" i="12"/>
  <c r="C33" i="22" s="1"/>
  <c r="F19" i="12"/>
  <c r="E19" i="12"/>
  <c r="D19" i="12"/>
  <c r="C19" i="12"/>
  <c r="B19" i="12"/>
  <c r="A19" i="12"/>
  <c r="C32" i="22" s="1"/>
  <c r="F18" i="12"/>
  <c r="E18" i="12"/>
  <c r="D18" i="12"/>
  <c r="C18" i="12"/>
  <c r="B18" i="12"/>
  <c r="A18" i="12"/>
  <c r="C31" i="22" s="1"/>
  <c r="F17" i="12"/>
  <c r="E17" i="12"/>
  <c r="D17" i="12"/>
  <c r="C17" i="12"/>
  <c r="B17" i="12"/>
  <c r="A17" i="12"/>
  <c r="C30" i="22" s="1"/>
  <c r="F16" i="12"/>
  <c r="E16" i="12"/>
  <c r="D16" i="12"/>
  <c r="B16" i="12"/>
  <c r="C16" i="12" s="1"/>
  <c r="A16" i="12"/>
  <c r="C29" i="22" s="1"/>
  <c r="F15" i="12"/>
  <c r="E15" i="12"/>
  <c r="D15" i="12"/>
  <c r="C15" i="12"/>
  <c r="B15" i="12"/>
  <c r="A15" i="12"/>
  <c r="C28" i="22" s="1"/>
  <c r="F14" i="12"/>
  <c r="E14" i="12"/>
  <c r="D14" i="12"/>
  <c r="B14" i="12"/>
  <c r="C14" i="12" s="1"/>
  <c r="A14" i="12"/>
  <c r="C27" i="22" s="1"/>
  <c r="F13" i="12"/>
  <c r="E13" i="12"/>
  <c r="D13" i="12"/>
  <c r="B13" i="12"/>
  <c r="C13" i="12" s="1"/>
  <c r="A13" i="12"/>
  <c r="C26" i="22" s="1"/>
  <c r="F12" i="12"/>
  <c r="E12" i="12"/>
  <c r="D12" i="12"/>
  <c r="C12" i="12"/>
  <c r="B12" i="12"/>
  <c r="A12" i="12"/>
  <c r="C25" i="22" s="1"/>
  <c r="F11" i="12"/>
  <c r="E11" i="12"/>
  <c r="D11" i="12"/>
  <c r="B11" i="12"/>
  <c r="C11" i="12" s="1"/>
  <c r="A11" i="12"/>
  <c r="C24" i="22" s="1"/>
  <c r="F10" i="12"/>
  <c r="E10" i="12"/>
  <c r="D10" i="12"/>
  <c r="B10" i="12"/>
  <c r="C10" i="12" s="1"/>
  <c r="A10" i="12"/>
  <c r="C23" i="22" s="1"/>
  <c r="F9" i="12"/>
  <c r="E9" i="12"/>
  <c r="D9" i="12"/>
  <c r="B9" i="12"/>
  <c r="C9" i="12" s="1"/>
  <c r="A9" i="12"/>
  <c r="C22" i="22" s="1"/>
  <c r="F8" i="12"/>
  <c r="E8" i="12"/>
  <c r="D8" i="12"/>
  <c r="B8" i="12"/>
  <c r="C8" i="12" s="1"/>
  <c r="A8" i="12"/>
  <c r="C21" i="22" s="1"/>
  <c r="F7" i="12"/>
  <c r="E7" i="12"/>
  <c r="D7" i="12"/>
  <c r="B7" i="12"/>
  <c r="C7" i="12" s="1"/>
  <c r="A7" i="12"/>
  <c r="C20" i="22" s="1"/>
  <c r="F6" i="12"/>
  <c r="E6" i="12"/>
  <c r="D6" i="12"/>
  <c r="C6" i="12"/>
  <c r="B6" i="12"/>
  <c r="A6" i="12"/>
  <c r="C19" i="22" s="1"/>
  <c r="F5" i="12"/>
  <c r="E5" i="12"/>
  <c r="D5" i="12"/>
  <c r="C5" i="12"/>
  <c r="B5" i="12"/>
  <c r="A5" i="12"/>
  <c r="C18" i="22" s="1"/>
  <c r="I1" i="12"/>
  <c r="F16" i="11"/>
  <c r="D16" i="11"/>
  <c r="C16" i="11"/>
  <c r="E16" i="11" s="1"/>
  <c r="D15" i="11"/>
  <c r="C15" i="11"/>
  <c r="E15" i="11" s="1"/>
  <c r="F15" i="11" s="1"/>
  <c r="E14" i="11"/>
  <c r="F14" i="11" s="1"/>
  <c r="D14" i="11"/>
  <c r="C14" i="11"/>
  <c r="D13" i="11"/>
  <c r="C13" i="11"/>
  <c r="D12" i="11"/>
  <c r="E12" i="11" s="1"/>
  <c r="F12" i="11" s="1"/>
  <c r="C12" i="11"/>
  <c r="D11" i="11"/>
  <c r="C11" i="11"/>
  <c r="E11" i="11" s="1"/>
  <c r="F11" i="11" s="1"/>
  <c r="D10" i="11"/>
  <c r="C10" i="11"/>
  <c r="E10" i="11" s="1"/>
  <c r="F10" i="11" s="1"/>
  <c r="D9" i="11"/>
  <c r="C9" i="11"/>
  <c r="E9" i="11" s="1"/>
  <c r="F9" i="11" s="1"/>
  <c r="D8" i="11"/>
  <c r="C8" i="11"/>
  <c r="D7" i="11"/>
  <c r="C7" i="11"/>
  <c r="D6" i="11"/>
  <c r="C6" i="11"/>
  <c r="E6" i="11" s="1"/>
  <c r="F6" i="11" s="1"/>
  <c r="D5" i="11"/>
  <c r="C5" i="11"/>
  <c r="E5" i="11" s="1"/>
  <c r="F5" i="11" s="1"/>
  <c r="B25" i="10"/>
  <c r="C25" i="10" s="1"/>
  <c r="C26" i="10" s="1"/>
  <c r="C24" i="10"/>
  <c r="B24" i="10"/>
  <c r="C19" i="10"/>
  <c r="B19" i="10"/>
  <c r="D19" i="10" s="1"/>
  <c r="E19" i="10" s="1"/>
  <c r="C18" i="10"/>
  <c r="B18" i="10"/>
  <c r="D18" i="10" s="1"/>
  <c r="E18" i="10" s="1"/>
  <c r="C17" i="10"/>
  <c r="D17" i="10" s="1"/>
  <c r="E17" i="10" s="1"/>
  <c r="B17" i="10"/>
  <c r="D16" i="10"/>
  <c r="E16" i="10" s="1"/>
  <c r="C16" i="10"/>
  <c r="B16" i="10"/>
  <c r="B11" i="10"/>
  <c r="B12" i="10" s="1"/>
  <c r="B10" i="10"/>
  <c r="B9" i="10"/>
  <c r="B6" i="10"/>
  <c r="B5" i="10"/>
  <c r="D12" i="22" l="1"/>
  <c r="E12" i="22"/>
  <c r="E15" i="22"/>
  <c r="D15" i="22"/>
  <c r="C266" i="22"/>
  <c r="C113" i="16"/>
  <c r="B113" i="16"/>
  <c r="F113" i="16"/>
  <c r="E113" i="16"/>
  <c r="G113" i="16" s="1"/>
  <c r="H113" i="16"/>
  <c r="D113" i="16"/>
  <c r="E13" i="22"/>
  <c r="D13" i="22"/>
  <c r="B18" i="13"/>
  <c r="C206" i="22"/>
  <c r="F53" i="16"/>
  <c r="E53" i="16"/>
  <c r="B53" i="16"/>
  <c r="H53" i="16"/>
  <c r="D53" i="16"/>
  <c r="K31" i="17"/>
  <c r="B7" i="10"/>
  <c r="B8" i="10" s="1"/>
  <c r="D22" i="22"/>
  <c r="C18" i="13"/>
  <c r="E18" i="13" s="1"/>
  <c r="F18" i="13" s="1"/>
  <c r="E24" i="13"/>
  <c r="F24" i="13" s="1"/>
  <c r="C53" i="16"/>
  <c r="K16" i="17"/>
  <c r="C5" i="13"/>
  <c r="D5" i="13"/>
  <c r="C214" i="22"/>
  <c r="H61" i="16"/>
  <c r="C61" i="16"/>
  <c r="F61" i="16"/>
  <c r="B61" i="16"/>
  <c r="E61" i="16"/>
  <c r="D61" i="16"/>
  <c r="C176" i="22"/>
  <c r="F23" i="16"/>
  <c r="H23" i="16"/>
  <c r="E23" i="16"/>
  <c r="D23" i="16"/>
  <c r="C23" i="16"/>
  <c r="B23" i="16"/>
  <c r="I18" i="17"/>
  <c r="I58" i="17"/>
  <c r="I49" i="17"/>
  <c r="I42" i="17"/>
  <c r="I130" i="17"/>
  <c r="I68" i="17"/>
  <c r="I98" i="17"/>
  <c r="I59" i="17"/>
  <c r="I36" i="17"/>
  <c r="I26" i="17"/>
  <c r="I37" i="17"/>
  <c r="I118" i="17"/>
  <c r="M118" i="17" s="1"/>
  <c r="I38" i="17"/>
  <c r="I110" i="17"/>
  <c r="I66" i="17"/>
  <c r="I30" i="17"/>
  <c r="I115" i="17"/>
  <c r="E8" i="11"/>
  <c r="F8" i="11" s="1"/>
  <c r="D13" i="13"/>
  <c r="C13" i="13"/>
  <c r="B13" i="13"/>
  <c r="D14" i="14"/>
  <c r="F14" i="14" s="1"/>
  <c r="E13" i="15"/>
  <c r="F13" i="15" s="1"/>
  <c r="E32" i="15"/>
  <c r="F32" i="15" s="1"/>
  <c r="C171" i="22"/>
  <c r="D18" i="16"/>
  <c r="C18" i="16"/>
  <c r="H18" i="16"/>
  <c r="F18" i="16"/>
  <c r="G79" i="16"/>
  <c r="G43" i="16"/>
  <c r="C344" i="22"/>
  <c r="C191" i="16"/>
  <c r="D191" i="16"/>
  <c r="B191" i="16"/>
  <c r="F191" i="16"/>
  <c r="E191" i="16"/>
  <c r="H191" i="16"/>
  <c r="I2" i="12"/>
  <c r="G9" i="12" s="1"/>
  <c r="G5" i="12"/>
  <c r="E10" i="22"/>
  <c r="D10" i="22"/>
  <c r="D20" i="14"/>
  <c r="F20" i="14" s="1"/>
  <c r="G18" i="16"/>
  <c r="C280" i="22"/>
  <c r="C127" i="16"/>
  <c r="H127" i="16"/>
  <c r="E127" i="16"/>
  <c r="G127" i="16" s="1"/>
  <c r="D127" i="16"/>
  <c r="F127" i="16"/>
  <c r="B127" i="16"/>
  <c r="L130" i="17"/>
  <c r="L129" i="17"/>
  <c r="L15" i="17"/>
  <c r="L117" i="17"/>
  <c r="L126" i="17"/>
  <c r="L82" i="17"/>
  <c r="L81" i="17"/>
  <c r="L109" i="17"/>
  <c r="L89" i="17"/>
  <c r="L75" i="17"/>
  <c r="L70" i="17"/>
  <c r="L68" i="17"/>
  <c r="L67" i="17"/>
  <c r="L122" i="17"/>
  <c r="L121" i="17"/>
  <c r="L113" i="17"/>
  <c r="L71" i="17"/>
  <c r="L133" i="17"/>
  <c r="L63" i="17"/>
  <c r="L46" i="17"/>
  <c r="L105" i="17"/>
  <c r="L42" i="17"/>
  <c r="L41" i="17"/>
  <c r="L43" i="17"/>
  <c r="L97" i="17"/>
  <c r="L58" i="17"/>
  <c r="L57" i="17"/>
  <c r="L66" i="17"/>
  <c r="L37" i="17"/>
  <c r="L36" i="17"/>
  <c r="L98" i="17"/>
  <c r="L59" i="17"/>
  <c r="L125" i="17"/>
  <c r="L40" i="17"/>
  <c r="L74" i="17"/>
  <c r="L53" i="17"/>
  <c r="L86" i="17"/>
  <c r="L48" i="17"/>
  <c r="L102" i="17"/>
  <c r="K86" i="17"/>
  <c r="I126" i="17"/>
  <c r="E22" i="13"/>
  <c r="F22" i="13" s="1"/>
  <c r="E31" i="22"/>
  <c r="E29" i="15"/>
  <c r="F29" i="15" s="1"/>
  <c r="C277" i="22"/>
  <c r="F124" i="16"/>
  <c r="H124" i="16"/>
  <c r="E124" i="16"/>
  <c r="G124" i="16" s="1"/>
  <c r="D124" i="16"/>
  <c r="B124" i="16"/>
  <c r="C124" i="16"/>
  <c r="K115" i="17"/>
  <c r="K123" i="17"/>
  <c r="K24" i="17"/>
  <c r="D7" i="22"/>
  <c r="E7" i="22"/>
  <c r="B5" i="13"/>
  <c r="G77" i="16"/>
  <c r="G39" i="16"/>
  <c r="E11" i="22"/>
  <c r="D11" i="22"/>
  <c r="E10" i="13"/>
  <c r="F10" i="13" s="1"/>
  <c r="E6" i="14"/>
  <c r="C6" i="14"/>
  <c r="D6" i="14" s="1"/>
  <c r="F6" i="14" s="1"/>
  <c r="G26" i="16"/>
  <c r="G96" i="16"/>
  <c r="L77" i="17"/>
  <c r="C222" i="22"/>
  <c r="F69" i="16"/>
  <c r="E69" i="16"/>
  <c r="B69" i="16"/>
  <c r="D69" i="16"/>
  <c r="H69" i="16"/>
  <c r="E36" i="15"/>
  <c r="F36" i="15" s="1"/>
  <c r="K56" i="17"/>
  <c r="E6" i="22"/>
  <c r="D6" i="22"/>
  <c r="D16" i="22"/>
  <c r="E16" i="22"/>
  <c r="B10" i="13"/>
  <c r="D21" i="13"/>
  <c r="C21" i="13"/>
  <c r="B21" i="13"/>
  <c r="B6" i="14"/>
  <c r="K72" i="17"/>
  <c r="E14" i="15"/>
  <c r="F14" i="15" s="1"/>
  <c r="E37" i="15"/>
  <c r="F37" i="15" s="1"/>
  <c r="G12" i="16"/>
  <c r="C184" i="22"/>
  <c r="F31" i="16"/>
  <c r="H31" i="16"/>
  <c r="E31" i="16"/>
  <c r="C258" i="22"/>
  <c r="H105" i="16"/>
  <c r="F105" i="16"/>
  <c r="E105" i="16"/>
  <c r="G105" i="16" s="1"/>
  <c r="G110" i="16"/>
  <c r="C345" i="22"/>
  <c r="F192" i="16"/>
  <c r="H192" i="16"/>
  <c r="D192" i="16"/>
  <c r="C192" i="16"/>
  <c r="H30" i="17"/>
  <c r="H45" i="17"/>
  <c r="K50" i="17"/>
  <c r="L61" i="17"/>
  <c r="L69" i="17"/>
  <c r="B8" i="13"/>
  <c r="B16" i="13"/>
  <c r="B24" i="13"/>
  <c r="B12" i="14"/>
  <c r="B18" i="14"/>
  <c r="B24" i="14"/>
  <c r="E10" i="15"/>
  <c r="F10" i="15" s="1"/>
  <c r="E33" i="15"/>
  <c r="F33" i="15" s="1"/>
  <c r="B31" i="16"/>
  <c r="C202" i="22"/>
  <c r="C49" i="16"/>
  <c r="B49" i="16"/>
  <c r="F49" i="16"/>
  <c r="G49" i="16" s="1"/>
  <c r="H49" i="16"/>
  <c r="G51" i="16"/>
  <c r="G67" i="16"/>
  <c r="C230" i="22"/>
  <c r="H77" i="16"/>
  <c r="C77" i="16"/>
  <c r="B77" i="16"/>
  <c r="B105" i="16"/>
  <c r="B192" i="16"/>
  <c r="H65" i="17"/>
  <c r="H17" i="17"/>
  <c r="H46" i="17"/>
  <c r="H32" i="17"/>
  <c r="H29" i="17"/>
  <c r="M29" i="17" s="1"/>
  <c r="H22" i="17"/>
  <c r="C15" i="14"/>
  <c r="B15" i="14"/>
  <c r="C158" i="22"/>
  <c r="F5" i="16"/>
  <c r="D5" i="16"/>
  <c r="C5" i="16"/>
  <c r="B5" i="16"/>
  <c r="D31" i="16"/>
  <c r="G98" i="16"/>
  <c r="B6" i="13"/>
  <c r="B14" i="13"/>
  <c r="B22" i="13"/>
  <c r="C13" i="14"/>
  <c r="B13" i="14"/>
  <c r="C19" i="14"/>
  <c r="B19" i="14"/>
  <c r="E50" i="15"/>
  <c r="F50" i="15" s="1"/>
  <c r="E5" i="16"/>
  <c r="C15" i="16"/>
  <c r="G19" i="16"/>
  <c r="F77" i="16"/>
  <c r="C242" i="22"/>
  <c r="H89" i="16"/>
  <c r="F89" i="16"/>
  <c r="E89" i="16"/>
  <c r="D89" i="16"/>
  <c r="C89" i="16"/>
  <c r="D129" i="16"/>
  <c r="C292" i="22"/>
  <c r="C139" i="16"/>
  <c r="H139" i="16"/>
  <c r="F139" i="16"/>
  <c r="E139" i="16"/>
  <c r="G139" i="16" s="1"/>
  <c r="J23" i="17"/>
  <c r="J26" i="17"/>
  <c r="L29" i="17"/>
  <c r="L94" i="17"/>
  <c r="G188" i="16"/>
  <c r="C9" i="14"/>
  <c r="B9" i="14"/>
  <c r="D37" i="22"/>
  <c r="E37" i="22"/>
  <c r="C24" i="13"/>
  <c r="C18" i="14"/>
  <c r="D18" i="14" s="1"/>
  <c r="F18" i="14" s="1"/>
  <c r="C218" i="22"/>
  <c r="C65" i="16"/>
  <c r="B65" i="16"/>
  <c r="F65" i="16"/>
  <c r="G65" i="16" s="1"/>
  <c r="G192" i="16"/>
  <c r="J24" i="17"/>
  <c r="J30" i="17"/>
  <c r="H112" i="17"/>
  <c r="D8" i="13"/>
  <c r="E8" i="13" s="1"/>
  <c r="F8" i="13" s="1"/>
  <c r="D16" i="13"/>
  <c r="E16" i="13" s="1"/>
  <c r="F16" i="13" s="1"/>
  <c r="L44" i="17"/>
  <c r="H62" i="17"/>
  <c r="I96" i="17"/>
  <c r="E13" i="11"/>
  <c r="F13" i="11" s="1"/>
  <c r="C6" i="13"/>
  <c r="E6" i="13" s="1"/>
  <c r="F6" i="13" s="1"/>
  <c r="E34" i="22" s="1"/>
  <c r="D9" i="13"/>
  <c r="C9" i="13"/>
  <c r="C14" i="13"/>
  <c r="E14" i="13" s="1"/>
  <c r="F14" i="13" s="1"/>
  <c r="D17" i="13"/>
  <c r="C17" i="13"/>
  <c r="C22" i="13"/>
  <c r="B10" i="14"/>
  <c r="B16" i="14"/>
  <c r="D16" i="14" s="1"/>
  <c r="F16" i="14" s="1"/>
  <c r="B22" i="14"/>
  <c r="E46" i="15"/>
  <c r="F46" i="15" s="1"/>
  <c r="F62" i="15"/>
  <c r="H5" i="16"/>
  <c r="D15" i="16"/>
  <c r="G17" i="16"/>
  <c r="C191" i="22"/>
  <c r="D38" i="16"/>
  <c r="C38" i="16"/>
  <c r="H38" i="16"/>
  <c r="F38" i="16"/>
  <c r="C212" i="22"/>
  <c r="C59" i="16"/>
  <c r="E59" i="16"/>
  <c r="D59" i="16"/>
  <c r="H59" i="16"/>
  <c r="F59" i="16"/>
  <c r="C254" i="22"/>
  <c r="F101" i="16"/>
  <c r="E101" i="16"/>
  <c r="G101" i="16" s="1"/>
  <c r="C101" i="16"/>
  <c r="B101" i="16"/>
  <c r="H101" i="16"/>
  <c r="C297" i="22"/>
  <c r="F144" i="16"/>
  <c r="C144" i="16"/>
  <c r="H144" i="16"/>
  <c r="D144" i="16"/>
  <c r="B144" i="16"/>
  <c r="E144" i="16"/>
  <c r="C163" i="16"/>
  <c r="C316" i="22"/>
  <c r="D163" i="16"/>
  <c r="B163" i="16"/>
  <c r="H163" i="16"/>
  <c r="F163" i="16"/>
  <c r="E163" i="16"/>
  <c r="G163" i="16" s="1"/>
  <c r="G172" i="16"/>
  <c r="C332" i="22"/>
  <c r="C179" i="16"/>
  <c r="D179" i="16"/>
  <c r="B179" i="16"/>
  <c r="H179" i="16"/>
  <c r="C335" i="22"/>
  <c r="F182" i="16"/>
  <c r="C182" i="16"/>
  <c r="B182" i="16"/>
  <c r="E182" i="16"/>
  <c r="D182" i="16"/>
  <c r="H182" i="16"/>
  <c r="J17" i="17"/>
  <c r="H20" i="17"/>
  <c r="I22" i="17"/>
  <c r="K23" i="17"/>
  <c r="K131" i="17"/>
  <c r="H38" i="17"/>
  <c r="K54" i="17"/>
  <c r="J60" i="17"/>
  <c r="C270" i="22"/>
  <c r="F117" i="16"/>
  <c r="E117" i="16"/>
  <c r="G117" i="16" s="1"/>
  <c r="C117" i="16"/>
  <c r="B117" i="16"/>
  <c r="H117" i="16"/>
  <c r="L30" i="17"/>
  <c r="D19" i="13"/>
  <c r="C19" i="13"/>
  <c r="F162" i="16"/>
  <c r="E162" i="16"/>
  <c r="C162" i="16"/>
  <c r="B162" i="16"/>
  <c r="H162" i="16"/>
  <c r="C315" i="22"/>
  <c r="E17" i="22"/>
  <c r="D17" i="22"/>
  <c r="C5" i="14"/>
  <c r="D5" i="14" s="1"/>
  <c r="F5" i="14" s="1"/>
  <c r="E32" i="22" s="1"/>
  <c r="B5" i="14"/>
  <c r="D10" i="14"/>
  <c r="F10" i="14" s="1"/>
  <c r="E22" i="22" s="1"/>
  <c r="D22" i="14"/>
  <c r="F22" i="14" s="1"/>
  <c r="F54" i="15"/>
  <c r="E15" i="16"/>
  <c r="G15" i="16" s="1"/>
  <c r="C187" i="22"/>
  <c r="D34" i="16"/>
  <c r="C34" i="16"/>
  <c r="C196" i="22"/>
  <c r="F43" i="16"/>
  <c r="C43" i="16"/>
  <c r="C200" i="22"/>
  <c r="C47" i="16"/>
  <c r="H47" i="16"/>
  <c r="D47" i="16"/>
  <c r="F47" i="16"/>
  <c r="C216" i="22"/>
  <c r="C63" i="16"/>
  <c r="H63" i="16"/>
  <c r="D63" i="16"/>
  <c r="H65" i="16"/>
  <c r="C231" i="22"/>
  <c r="D78" i="16"/>
  <c r="C78" i="16"/>
  <c r="F78" i="16"/>
  <c r="H78" i="16"/>
  <c r="E78" i="16"/>
  <c r="G78" i="16" s="1"/>
  <c r="B78" i="16"/>
  <c r="C235" i="22"/>
  <c r="F82" i="16"/>
  <c r="D82" i="16"/>
  <c r="C82" i="16"/>
  <c r="C246" i="22"/>
  <c r="H93" i="16"/>
  <c r="C93" i="16"/>
  <c r="B93" i="16"/>
  <c r="D101" i="16"/>
  <c r="G116" i="16"/>
  <c r="C321" i="22"/>
  <c r="F168" i="16"/>
  <c r="C168" i="16"/>
  <c r="B168" i="16"/>
  <c r="C323" i="22"/>
  <c r="F170" i="16"/>
  <c r="E170" i="16"/>
  <c r="G170" i="16" s="1"/>
  <c r="D170" i="16"/>
  <c r="E179" i="16"/>
  <c r="G179" i="16" s="1"/>
  <c r="K17" i="17"/>
  <c r="J22" i="17"/>
  <c r="L54" i="17"/>
  <c r="I56" i="17"/>
  <c r="H57" i="17"/>
  <c r="I63" i="17"/>
  <c r="C21" i="14"/>
  <c r="B21" i="14"/>
  <c r="B5" i="21"/>
  <c r="D11" i="13"/>
  <c r="C11" i="13"/>
  <c r="C12" i="14"/>
  <c r="D12" i="14" s="1"/>
  <c r="F12" i="14" s="1"/>
  <c r="E26" i="22" s="1"/>
  <c r="E15" i="14"/>
  <c r="E21" i="14"/>
  <c r="C24" i="14"/>
  <c r="D24" i="14" s="1"/>
  <c r="F24" i="14" s="1"/>
  <c r="J29" i="17"/>
  <c r="L23" i="17"/>
  <c r="E7" i="11"/>
  <c r="F7" i="11" s="1"/>
  <c r="E35" i="15"/>
  <c r="F35" i="15" s="1"/>
  <c r="C159" i="22"/>
  <c r="C6" i="16"/>
  <c r="H6" i="16"/>
  <c r="F6" i="16"/>
  <c r="G6" i="16" s="1"/>
  <c r="C173" i="22"/>
  <c r="H20" i="16"/>
  <c r="F20" i="16"/>
  <c r="E20" i="16"/>
  <c r="D20" i="16"/>
  <c r="C179" i="22"/>
  <c r="D26" i="16"/>
  <c r="C26" i="16"/>
  <c r="H26" i="16"/>
  <c r="B34" i="16"/>
  <c r="E38" i="16"/>
  <c r="G38" i="16" s="1"/>
  <c r="B43" i="16"/>
  <c r="B47" i="16"/>
  <c r="C210" i="22"/>
  <c r="H57" i="16"/>
  <c r="E57" i="16"/>
  <c r="G57" i="16" s="1"/>
  <c r="F57" i="16"/>
  <c r="D57" i="16"/>
  <c r="B63" i="16"/>
  <c r="C228" i="22"/>
  <c r="C75" i="16"/>
  <c r="E75" i="16"/>
  <c r="G75" i="16" s="1"/>
  <c r="D75" i="16"/>
  <c r="H75" i="16"/>
  <c r="B82" i="16"/>
  <c r="D93" i="16"/>
  <c r="D168" i="16"/>
  <c r="B170" i="16"/>
  <c r="F179" i="16"/>
  <c r="H16" i="17"/>
  <c r="H37" i="17"/>
  <c r="J38" i="17"/>
  <c r="H83" i="17"/>
  <c r="M83" i="17" s="1"/>
  <c r="E9" i="14"/>
  <c r="C168" i="22"/>
  <c r="F15" i="16"/>
  <c r="H15" i="16"/>
  <c r="B11" i="13"/>
  <c r="C7" i="14"/>
  <c r="B7" i="14"/>
  <c r="D65" i="16"/>
  <c r="D105" i="16"/>
  <c r="C282" i="22"/>
  <c r="C129" i="16"/>
  <c r="B129" i="16"/>
  <c r="F129" i="16"/>
  <c r="E129" i="16"/>
  <c r="D7" i="13"/>
  <c r="E7" i="13" s="1"/>
  <c r="F7" i="13" s="1"/>
  <c r="C7" i="13"/>
  <c r="D15" i="13"/>
  <c r="C15" i="13"/>
  <c r="D23" i="13"/>
  <c r="E23" i="13" s="1"/>
  <c r="F23" i="13" s="1"/>
  <c r="C23" i="13"/>
  <c r="C11" i="14"/>
  <c r="D11" i="14" s="1"/>
  <c r="F11" i="14" s="1"/>
  <c r="D20" i="22" s="1"/>
  <c r="B11" i="14"/>
  <c r="C17" i="14"/>
  <c r="B17" i="14"/>
  <c r="C23" i="14"/>
  <c r="B23" i="14"/>
  <c r="B15" i="21"/>
  <c r="F63" i="15"/>
  <c r="H12" i="16"/>
  <c r="F12" i="16"/>
  <c r="E34" i="16"/>
  <c r="G34" i="16" s="1"/>
  <c r="D43" i="16"/>
  <c r="E47" i="16"/>
  <c r="G47" i="16" s="1"/>
  <c r="E63" i="16"/>
  <c r="G63" i="16" s="1"/>
  <c r="C226" i="22"/>
  <c r="H73" i="16"/>
  <c r="E73" i="16"/>
  <c r="F73" i="16"/>
  <c r="E82" i="16"/>
  <c r="E93" i="16"/>
  <c r="G93" i="16" s="1"/>
  <c r="G148" i="16"/>
  <c r="E168" i="16"/>
  <c r="C170" i="16"/>
  <c r="J134" i="17"/>
  <c r="J130" i="17"/>
  <c r="J126" i="17"/>
  <c r="J122" i="17"/>
  <c r="J118" i="17"/>
  <c r="J114" i="17"/>
  <c r="J101" i="17"/>
  <c r="J98" i="17"/>
  <c r="J94" i="17"/>
  <c r="J131" i="17"/>
  <c r="J125" i="17"/>
  <c r="J99" i="17"/>
  <c r="J95" i="17"/>
  <c r="J89" i="17"/>
  <c r="J86" i="17"/>
  <c r="J57" i="17"/>
  <c r="J41" i="17"/>
  <c r="J85" i="17"/>
  <c r="J104" i="17"/>
  <c r="J73" i="17"/>
  <c r="J61" i="17"/>
  <c r="J45" i="17"/>
  <c r="J105" i="17"/>
  <c r="J102" i="17"/>
  <c r="J127" i="17"/>
  <c r="J110" i="17"/>
  <c r="J53" i="17"/>
  <c r="J37" i="17"/>
  <c r="J69" i="17"/>
  <c r="J109" i="17"/>
  <c r="J68" i="17"/>
  <c r="J67" i="17"/>
  <c r="J123" i="17"/>
  <c r="J106" i="17"/>
  <c r="J103" i="17"/>
  <c r="J76" i="17"/>
  <c r="J72" i="17"/>
  <c r="J117" i="17"/>
  <c r="J82" i="17"/>
  <c r="J65" i="17"/>
  <c r="J88" i="17"/>
  <c r="J64" i="17"/>
  <c r="J19" i="17"/>
  <c r="J49" i="17"/>
  <c r="J20" i="17"/>
  <c r="J28" i="17"/>
  <c r="J121" i="17"/>
  <c r="J44" i="17"/>
  <c r="J119" i="17"/>
  <c r="J87" i="17"/>
  <c r="J25" i="17"/>
  <c r="J47" i="17"/>
  <c r="J32" i="17"/>
  <c r="J90" i="17"/>
  <c r="J21" i="17"/>
  <c r="J18" i="17"/>
  <c r="J59" i="17"/>
  <c r="J43" i="17"/>
  <c r="J71" i="17"/>
  <c r="J33" i="17"/>
  <c r="J16" i="17"/>
  <c r="L22" i="17"/>
  <c r="K48" i="17"/>
  <c r="K40" i="17"/>
  <c r="K20" i="17"/>
  <c r="K27" i="17"/>
  <c r="K21" i="17"/>
  <c r="K35" i="17"/>
  <c r="K29" i="17"/>
  <c r="K15" i="17"/>
  <c r="K32" i="17"/>
  <c r="K46" i="17"/>
  <c r="K28" i="17"/>
  <c r="K25" i="17"/>
  <c r="K65" i="17"/>
  <c r="K36" i="17"/>
  <c r="K125" i="17"/>
  <c r="K122" i="17"/>
  <c r="K60" i="17"/>
  <c r="H69" i="17"/>
  <c r="J83" i="17"/>
  <c r="E23" i="15"/>
  <c r="F23" i="15" s="1"/>
  <c r="E59" i="15"/>
  <c r="F59" i="15" s="1"/>
  <c r="C164" i="22"/>
  <c r="F11" i="16"/>
  <c r="C167" i="22"/>
  <c r="D14" i="16"/>
  <c r="C14" i="16"/>
  <c r="C188" i="22"/>
  <c r="F35" i="16"/>
  <c r="C35" i="16"/>
  <c r="C195" i="22"/>
  <c r="D42" i="16"/>
  <c r="C42" i="16"/>
  <c r="C219" i="22"/>
  <c r="F66" i="16"/>
  <c r="C66" i="16"/>
  <c r="C238" i="22"/>
  <c r="F85" i="16"/>
  <c r="E85" i="16"/>
  <c r="G85" i="16" s="1"/>
  <c r="C85" i="16"/>
  <c r="B85" i="16"/>
  <c r="H85" i="16"/>
  <c r="C261" i="22"/>
  <c r="F108" i="16"/>
  <c r="H108" i="16"/>
  <c r="E108" i="16"/>
  <c r="G108" i="16" s="1"/>
  <c r="D108" i="16"/>
  <c r="C283" i="22"/>
  <c r="F130" i="16"/>
  <c r="D130" i="16"/>
  <c r="C130" i="16"/>
  <c r="C288" i="22"/>
  <c r="C135" i="16"/>
  <c r="F135" i="16"/>
  <c r="D135" i="16"/>
  <c r="B135" i="16"/>
  <c r="H135" i="16"/>
  <c r="C183" i="16"/>
  <c r="C336" i="22"/>
  <c r="F183" i="16"/>
  <c r="H183" i="16"/>
  <c r="C349" i="22"/>
  <c r="F196" i="16"/>
  <c r="H196" i="16"/>
  <c r="C196" i="16"/>
  <c r="B196" i="16"/>
  <c r="G200" i="16"/>
  <c r="I21" i="17"/>
  <c r="I25" i="17"/>
  <c r="I35" i="17"/>
  <c r="K43" i="17"/>
  <c r="J46" i="17"/>
  <c r="I55" i="17"/>
  <c r="H73" i="17"/>
  <c r="H84" i="17"/>
  <c r="L114" i="17"/>
  <c r="E20" i="15"/>
  <c r="F20" i="15" s="1"/>
  <c r="E56" i="15"/>
  <c r="F56" i="15" s="1"/>
  <c r="B8" i="16"/>
  <c r="B11" i="16"/>
  <c r="B14" i="16"/>
  <c r="B35" i="16"/>
  <c r="B42" i="16"/>
  <c r="C203" i="22"/>
  <c r="F50" i="16"/>
  <c r="C50" i="16"/>
  <c r="F64" i="16"/>
  <c r="C217" i="22"/>
  <c r="H64" i="16"/>
  <c r="B64" i="16"/>
  <c r="B66" i="16"/>
  <c r="C229" i="22"/>
  <c r="F76" i="16"/>
  <c r="H76" i="16"/>
  <c r="D76" i="16"/>
  <c r="D85" i="16"/>
  <c r="G94" i="16"/>
  <c r="C250" i="22"/>
  <c r="C97" i="16"/>
  <c r="B97" i="16"/>
  <c r="F97" i="16"/>
  <c r="E97" i="16"/>
  <c r="B108" i="16"/>
  <c r="C278" i="22"/>
  <c r="H125" i="16"/>
  <c r="C125" i="16"/>
  <c r="B125" i="16"/>
  <c r="B130" i="16"/>
  <c r="E135" i="16"/>
  <c r="G135" i="16" s="1"/>
  <c r="C300" i="22"/>
  <c r="C147" i="16"/>
  <c r="B147" i="16"/>
  <c r="H147" i="16"/>
  <c r="F147" i="16"/>
  <c r="E147" i="16"/>
  <c r="C305" i="22"/>
  <c r="F152" i="16"/>
  <c r="E152" i="16"/>
  <c r="G152" i="16" s="1"/>
  <c r="C152" i="16"/>
  <c r="B152" i="16"/>
  <c r="C327" i="22"/>
  <c r="H174" i="16"/>
  <c r="F174" i="16"/>
  <c r="E174" i="16"/>
  <c r="G174" i="16" s="1"/>
  <c r="C174" i="16"/>
  <c r="B174" i="16"/>
  <c r="B183" i="16"/>
  <c r="D196" i="16"/>
  <c r="J35" i="17"/>
  <c r="I39" i="17"/>
  <c r="J52" i="17"/>
  <c r="K79" i="17"/>
  <c r="I103" i="17"/>
  <c r="C172" i="22"/>
  <c r="F19" i="16"/>
  <c r="C175" i="22"/>
  <c r="D22" i="16"/>
  <c r="C22" i="16"/>
  <c r="C180" i="22"/>
  <c r="F27" i="16"/>
  <c r="G27" i="16" s="1"/>
  <c r="C183" i="22"/>
  <c r="D30" i="16"/>
  <c r="C30" i="16"/>
  <c r="G42" i="16"/>
  <c r="C201" i="22"/>
  <c r="F48" i="16"/>
  <c r="H48" i="16"/>
  <c r="B48" i="16"/>
  <c r="C215" i="22"/>
  <c r="D62" i="16"/>
  <c r="C62" i="16"/>
  <c r="G83" i="16"/>
  <c r="C245" i="22"/>
  <c r="F92" i="16"/>
  <c r="H92" i="16"/>
  <c r="E92" i="16"/>
  <c r="G92" i="16" s="1"/>
  <c r="D92" i="16"/>
  <c r="C264" i="22"/>
  <c r="C111" i="16"/>
  <c r="H111" i="16"/>
  <c r="E111" i="16"/>
  <c r="D111" i="16"/>
  <c r="E130" i="16"/>
  <c r="C303" i="22"/>
  <c r="B150" i="16"/>
  <c r="F150" i="16"/>
  <c r="C310" i="22"/>
  <c r="E157" i="16"/>
  <c r="G157" i="16" s="1"/>
  <c r="D157" i="16"/>
  <c r="C157" i="16"/>
  <c r="B157" i="16"/>
  <c r="H157" i="16"/>
  <c r="C313" i="22"/>
  <c r="F160" i="16"/>
  <c r="D160" i="16"/>
  <c r="C160" i="16"/>
  <c r="H160" i="16"/>
  <c r="E160" i="16"/>
  <c r="G160" i="16" s="1"/>
  <c r="B160" i="16"/>
  <c r="D174" i="16"/>
  <c r="D183" i="16"/>
  <c r="E196" i="16"/>
  <c r="G196" i="16" s="1"/>
  <c r="L18" i="17"/>
  <c r="K76" i="17"/>
  <c r="K116" i="17"/>
  <c r="L119" i="17"/>
  <c r="G35" i="16"/>
  <c r="C192" i="22"/>
  <c r="F39" i="16"/>
  <c r="C39" i="16"/>
  <c r="C199" i="22"/>
  <c r="D46" i="16"/>
  <c r="C46" i="16"/>
  <c r="C213" i="22"/>
  <c r="F60" i="16"/>
  <c r="G60" i="16" s="1"/>
  <c r="H60" i="16"/>
  <c r="D60" i="16"/>
  <c r="G66" i="16"/>
  <c r="C81" i="16"/>
  <c r="B81" i="16"/>
  <c r="F81" i="16"/>
  <c r="C234" i="22"/>
  <c r="E81" i="16"/>
  <c r="G81" i="16" s="1"/>
  <c r="C267" i="22"/>
  <c r="F114" i="16"/>
  <c r="D114" i="16"/>
  <c r="C114" i="16"/>
  <c r="C286" i="22"/>
  <c r="F133" i="16"/>
  <c r="D133" i="16"/>
  <c r="C133" i="16"/>
  <c r="C289" i="22"/>
  <c r="F136" i="16"/>
  <c r="H136" i="16"/>
  <c r="E136" i="16"/>
  <c r="D136" i="16"/>
  <c r="C317" i="22"/>
  <c r="F164" i="16"/>
  <c r="H164" i="16"/>
  <c r="C164" i="16"/>
  <c r="B164" i="16"/>
  <c r="E164" i="16"/>
  <c r="G180" i="16"/>
  <c r="G183" i="16"/>
  <c r="L25" i="17"/>
  <c r="J31" i="17"/>
  <c r="L35" i="17"/>
  <c r="L55" i="17"/>
  <c r="J70" i="17"/>
  <c r="K73" i="17"/>
  <c r="J97" i="17"/>
  <c r="J100" i="17"/>
  <c r="E35" i="22"/>
  <c r="E11" i="15"/>
  <c r="F11" i="15" s="1"/>
  <c r="E47" i="15"/>
  <c r="F47" i="15" s="1"/>
  <c r="C160" i="22"/>
  <c r="F7" i="16"/>
  <c r="G7" i="16" s="1"/>
  <c r="E8" i="16"/>
  <c r="E11" i="16"/>
  <c r="G11" i="16" s="1"/>
  <c r="C16" i="16"/>
  <c r="C19" i="16"/>
  <c r="E22" i="16"/>
  <c r="G22" i="16" s="1"/>
  <c r="C27" i="16"/>
  <c r="E30" i="16"/>
  <c r="G30" i="16" s="1"/>
  <c r="H35" i="16"/>
  <c r="B39" i="16"/>
  <c r="H42" i="16"/>
  <c r="B46" i="16"/>
  <c r="D48" i="16"/>
  <c r="E50" i="16"/>
  <c r="B60" i="16"/>
  <c r="E62" i="16"/>
  <c r="E64" i="16"/>
  <c r="G64" i="16" s="1"/>
  <c r="H66" i="16"/>
  <c r="E76" i="16"/>
  <c r="G76" i="16" s="1"/>
  <c r="C232" i="22"/>
  <c r="C79" i="16"/>
  <c r="H79" i="16"/>
  <c r="D79" i="16"/>
  <c r="D81" i="16"/>
  <c r="C92" i="16"/>
  <c r="C248" i="22"/>
  <c r="C95" i="16"/>
  <c r="H95" i="16"/>
  <c r="E95" i="16"/>
  <c r="G95" i="16" s="1"/>
  <c r="D95" i="16"/>
  <c r="H97" i="16"/>
  <c r="C262" i="22"/>
  <c r="H109" i="16"/>
  <c r="C109" i="16"/>
  <c r="B109" i="16"/>
  <c r="F111" i="16"/>
  <c r="B114" i="16"/>
  <c r="F125" i="16"/>
  <c r="G125" i="16" s="1"/>
  <c r="B133" i="16"/>
  <c r="B136" i="16"/>
  <c r="C301" i="22"/>
  <c r="F148" i="16"/>
  <c r="C148" i="16"/>
  <c r="B148" i="16"/>
  <c r="D150" i="16"/>
  <c r="C308" i="22"/>
  <c r="C155" i="16"/>
  <c r="F155" i="16"/>
  <c r="D155" i="16"/>
  <c r="B155" i="16"/>
  <c r="C311" i="22"/>
  <c r="H158" i="16"/>
  <c r="F158" i="16"/>
  <c r="E158" i="16"/>
  <c r="G158" i="16" s="1"/>
  <c r="C314" i="22"/>
  <c r="H161" i="16"/>
  <c r="C161" i="16"/>
  <c r="B161" i="16"/>
  <c r="D164" i="16"/>
  <c r="C167" i="16"/>
  <c r="F167" i="16"/>
  <c r="G167" i="16" s="1"/>
  <c r="C320" i="22"/>
  <c r="H167" i="16"/>
  <c r="D167" i="16"/>
  <c r="B167" i="16"/>
  <c r="I23" i="17"/>
  <c r="I27" i="17"/>
  <c r="I34" i="17"/>
  <c r="M34" i="17" s="1"/>
  <c r="L39" i="17"/>
  <c r="H41" i="17"/>
  <c r="H33" i="17"/>
  <c r="H26" i="17"/>
  <c r="H114" i="17"/>
  <c r="H108" i="17"/>
  <c r="H124" i="17"/>
  <c r="H53" i="17"/>
  <c r="H21" i="17"/>
  <c r="M21" i="17" s="1"/>
  <c r="H70" i="17"/>
  <c r="M70" i="17" s="1"/>
  <c r="H28" i="17"/>
  <c r="M28" i="17" s="1"/>
  <c r="H107" i="17"/>
  <c r="H24" i="17"/>
  <c r="M24" i="17" s="1"/>
  <c r="H127" i="17"/>
  <c r="H119" i="17"/>
  <c r="H39" i="17"/>
  <c r="H25" i="17"/>
  <c r="H18" i="17"/>
  <c r="H58" i="17"/>
  <c r="J92" i="17"/>
  <c r="F8" i="16"/>
  <c r="D10" i="16"/>
  <c r="C10" i="16"/>
  <c r="H11" i="16"/>
  <c r="H14" i="16"/>
  <c r="D16" i="16"/>
  <c r="D19" i="16"/>
  <c r="F22" i="16"/>
  <c r="D27" i="16"/>
  <c r="F30" i="16"/>
  <c r="D39" i="16"/>
  <c r="E46" i="16"/>
  <c r="G46" i="16" s="1"/>
  <c r="E48" i="16"/>
  <c r="C60" i="16"/>
  <c r="F62" i="16"/>
  <c r="C251" i="22"/>
  <c r="F98" i="16"/>
  <c r="D98" i="16"/>
  <c r="C98" i="16"/>
  <c r="E114" i="16"/>
  <c r="G114" i="16" s="1"/>
  <c r="C274" i="22"/>
  <c r="H121" i="16"/>
  <c r="F121" i="16"/>
  <c r="E121" i="16"/>
  <c r="G121" i="16" s="1"/>
  <c r="E133" i="16"/>
  <c r="G133" i="16" s="1"/>
  <c r="C136" i="16"/>
  <c r="G145" i="16"/>
  <c r="E150" i="16"/>
  <c r="G150" i="16" s="1"/>
  <c r="G155" i="16"/>
  <c r="C318" i="22"/>
  <c r="H165" i="16"/>
  <c r="F165" i="16"/>
  <c r="E165" i="16"/>
  <c r="J34" i="17"/>
  <c r="L45" i="17"/>
  <c r="L118" i="17"/>
  <c r="C233" i="22"/>
  <c r="F80" i="16"/>
  <c r="G80" i="16" s="1"/>
  <c r="F94" i="16"/>
  <c r="C249" i="22"/>
  <c r="F96" i="16"/>
  <c r="F110" i="16"/>
  <c r="C265" i="22"/>
  <c r="F112" i="16"/>
  <c r="G112" i="16" s="1"/>
  <c r="F126" i="16"/>
  <c r="G126" i="16" s="1"/>
  <c r="C281" i="22"/>
  <c r="F128" i="16"/>
  <c r="G128" i="16" s="1"/>
  <c r="D132" i="16"/>
  <c r="C287" i="22"/>
  <c r="B134" i="16"/>
  <c r="E143" i="16"/>
  <c r="G143" i="16" s="1"/>
  <c r="F146" i="16"/>
  <c r="G146" i="16" s="1"/>
  <c r="D154" i="16"/>
  <c r="E159" i="16"/>
  <c r="G159" i="16" s="1"/>
  <c r="E171" i="16"/>
  <c r="G171" i="16" s="1"/>
  <c r="C326" i="22"/>
  <c r="H173" i="16"/>
  <c r="E173" i="16"/>
  <c r="G173" i="16" s="1"/>
  <c r="D173" i="16"/>
  <c r="C328" i="22"/>
  <c r="C175" i="16"/>
  <c r="D175" i="16"/>
  <c r="C330" i="22"/>
  <c r="H177" i="16"/>
  <c r="C339" i="22"/>
  <c r="F186" i="16"/>
  <c r="E186" i="16"/>
  <c r="G186" i="16" s="1"/>
  <c r="C347" i="22"/>
  <c r="C194" i="16"/>
  <c r="B194" i="16"/>
  <c r="L31" i="17"/>
  <c r="K33" i="17"/>
  <c r="K38" i="17"/>
  <c r="I45" i="17"/>
  <c r="J51" i="17"/>
  <c r="K61" i="17"/>
  <c r="J63" i="17"/>
  <c r="J74" i="17"/>
  <c r="K80" i="17"/>
  <c r="L93" i="17"/>
  <c r="L107" i="17"/>
  <c r="H132" i="17"/>
  <c r="D33" i="16"/>
  <c r="D37" i="16"/>
  <c r="D41" i="16"/>
  <c r="D45" i="16"/>
  <c r="C204" i="22"/>
  <c r="C51" i="16"/>
  <c r="D58" i="16"/>
  <c r="C220" i="22"/>
  <c r="C67" i="16"/>
  <c r="D74" i="16"/>
  <c r="B80" i="16"/>
  <c r="C236" i="22"/>
  <c r="C83" i="16"/>
  <c r="D90" i="16"/>
  <c r="B96" i="16"/>
  <c r="C252" i="22"/>
  <c r="C99" i="16"/>
  <c r="D106" i="16"/>
  <c r="B112" i="16"/>
  <c r="C268" i="22"/>
  <c r="C115" i="16"/>
  <c r="B128" i="16"/>
  <c r="C284" i="22"/>
  <c r="C131" i="16"/>
  <c r="C134" i="16"/>
  <c r="C295" i="22"/>
  <c r="H142" i="16"/>
  <c r="B145" i="16"/>
  <c r="H149" i="16"/>
  <c r="B173" i="16"/>
  <c r="B175" i="16"/>
  <c r="B177" i="16"/>
  <c r="C334" i="22"/>
  <c r="B181" i="16"/>
  <c r="B186" i="16"/>
  <c r="C343" i="22"/>
  <c r="H190" i="16"/>
  <c r="D194" i="16"/>
  <c r="I134" i="17"/>
  <c r="I131" i="17"/>
  <c r="I86" i="17"/>
  <c r="I106" i="17"/>
  <c r="I76" i="17"/>
  <c r="M76" i="17" s="1"/>
  <c r="I64" i="17"/>
  <c r="I15" i="17"/>
  <c r="I123" i="17"/>
  <c r="I122" i="17"/>
  <c r="I114" i="17"/>
  <c r="I102" i="17"/>
  <c r="I48" i="17"/>
  <c r="I47" i="17"/>
  <c r="I70" i="17"/>
  <c r="I69" i="17"/>
  <c r="I90" i="17"/>
  <c r="I71" i="17"/>
  <c r="I54" i="17"/>
  <c r="I72" i="17"/>
  <c r="I53" i="17"/>
  <c r="I119" i="17"/>
  <c r="I87" i="17"/>
  <c r="I44" i="17"/>
  <c r="L17" i="17"/>
  <c r="I29" i="17"/>
  <c r="J36" i="17"/>
  <c r="L38" i="17"/>
  <c r="H50" i="17"/>
  <c r="J58" i="17"/>
  <c r="I60" i="17"/>
  <c r="K63" i="17"/>
  <c r="K71" i="17"/>
  <c r="K74" i="17"/>
  <c r="L104" i="17"/>
  <c r="K113" i="17"/>
  <c r="I127" i="17"/>
  <c r="C209" i="22"/>
  <c r="F56" i="16"/>
  <c r="C225" i="22"/>
  <c r="F72" i="16"/>
  <c r="H80" i="16"/>
  <c r="C241" i="22"/>
  <c r="F88" i="16"/>
  <c r="H96" i="16"/>
  <c r="C257" i="22"/>
  <c r="F104" i="16"/>
  <c r="H112" i="16"/>
  <c r="C273" i="22"/>
  <c r="F120" i="16"/>
  <c r="H128" i="16"/>
  <c r="H134" i="16"/>
  <c r="C294" i="22"/>
  <c r="D141" i="16"/>
  <c r="C331" i="22"/>
  <c r="C178" i="16"/>
  <c r="C340" i="22"/>
  <c r="C187" i="16"/>
  <c r="C346" i="22"/>
  <c r="H193" i="16"/>
  <c r="I19" i="17"/>
  <c r="L21" i="17"/>
  <c r="I33" i="17"/>
  <c r="K49" i="17"/>
  <c r="K57" i="17"/>
  <c r="K58" i="17"/>
  <c r="K62" i="17"/>
  <c r="L73" i="17"/>
  <c r="I82" i="17"/>
  <c r="J108" i="17"/>
  <c r="I111" i="17"/>
  <c r="C244" i="22"/>
  <c r="C91" i="16"/>
  <c r="C260" i="22"/>
  <c r="C107" i="16"/>
  <c r="C276" i="22"/>
  <c r="C123" i="16"/>
  <c r="C291" i="22"/>
  <c r="E138" i="16"/>
  <c r="G138" i="16" s="1"/>
  <c r="C329" i="22"/>
  <c r="F176" i="16"/>
  <c r="H176" i="16"/>
  <c r="D176" i="16"/>
  <c r="C176" i="16"/>
  <c r="C333" i="22"/>
  <c r="F180" i="16"/>
  <c r="H180" i="16"/>
  <c r="C348" i="22"/>
  <c r="C195" i="16"/>
  <c r="F195" i="16"/>
  <c r="G195" i="16" s="1"/>
  <c r="D195" i="16"/>
  <c r="B195" i="16"/>
  <c r="L27" i="17"/>
  <c r="L34" i="17"/>
  <c r="J40" i="17"/>
  <c r="I43" i="17"/>
  <c r="K44" i="17"/>
  <c r="H47" i="17"/>
  <c r="I52" i="17"/>
  <c r="H55" i="17"/>
  <c r="L56" i="17"/>
  <c r="H61" i="17"/>
  <c r="M61" i="17" s="1"/>
  <c r="L62" i="17"/>
  <c r="L65" i="17"/>
  <c r="L85" i="17"/>
  <c r="I91" i="17"/>
  <c r="K120" i="17"/>
  <c r="C205" i="22"/>
  <c r="F52" i="16"/>
  <c r="G52" i="16" s="1"/>
  <c r="D56" i="16"/>
  <c r="C221" i="22"/>
  <c r="F68" i="16"/>
  <c r="G68" i="16" s="1"/>
  <c r="D72" i="16"/>
  <c r="C237" i="22"/>
  <c r="F84" i="16"/>
  <c r="G84" i="16" s="1"/>
  <c r="D88" i="16"/>
  <c r="D91" i="16"/>
  <c r="C94" i="16"/>
  <c r="C253" i="22"/>
  <c r="F100" i="16"/>
  <c r="G100" i="16" s="1"/>
  <c r="D104" i="16"/>
  <c r="D107" i="16"/>
  <c r="C110" i="16"/>
  <c r="C269" i="22"/>
  <c r="F116" i="16"/>
  <c r="D120" i="16"/>
  <c r="D123" i="16"/>
  <c r="C126" i="16"/>
  <c r="C285" i="22"/>
  <c r="F132" i="16"/>
  <c r="G132" i="16" s="1"/>
  <c r="C138" i="16"/>
  <c r="C296" i="22"/>
  <c r="C143" i="16"/>
  <c r="C146" i="16"/>
  <c r="C307" i="22"/>
  <c r="E154" i="16"/>
  <c r="G154" i="16" s="1"/>
  <c r="C312" i="22"/>
  <c r="C159" i="16"/>
  <c r="C324" i="22"/>
  <c r="C171" i="16"/>
  <c r="E176" i="16"/>
  <c r="G176" i="16" s="1"/>
  <c r="E178" i="16"/>
  <c r="C180" i="16"/>
  <c r="E187" i="16"/>
  <c r="G187" i="16" s="1"/>
  <c r="C342" i="22"/>
  <c r="H189" i="16"/>
  <c r="E189" i="16"/>
  <c r="G189" i="16" s="1"/>
  <c r="D189" i="16"/>
  <c r="H195" i="16"/>
  <c r="C352" i="22"/>
  <c r="D199" i="16"/>
  <c r="C199" i="16"/>
  <c r="H199" i="16"/>
  <c r="L19" i="17"/>
  <c r="L26" i="17"/>
  <c r="I31" i="17"/>
  <c r="L33" i="17"/>
  <c r="J39" i="17"/>
  <c r="K41" i="17"/>
  <c r="K42" i="17"/>
  <c r="J55" i="17"/>
  <c r="L64" i="17"/>
  <c r="H67" i="17"/>
  <c r="K69" i="17"/>
  <c r="K75" i="17"/>
  <c r="I93" i="17"/>
  <c r="J96" i="17"/>
  <c r="I107" i="17"/>
  <c r="L111" i="17"/>
  <c r="J133" i="17"/>
  <c r="E10" i="19"/>
  <c r="E6" i="19"/>
  <c r="E13" i="19"/>
  <c r="E9" i="19"/>
  <c r="E8" i="19"/>
  <c r="B52" i="16"/>
  <c r="C208" i="22"/>
  <c r="C55" i="16"/>
  <c r="E56" i="16"/>
  <c r="G56" i="16" s="1"/>
  <c r="B68" i="16"/>
  <c r="C224" i="22"/>
  <c r="C71" i="16"/>
  <c r="E72" i="16"/>
  <c r="G72" i="16" s="1"/>
  <c r="B84" i="16"/>
  <c r="C240" i="22"/>
  <c r="C87" i="16"/>
  <c r="E88" i="16"/>
  <c r="G88" i="16" s="1"/>
  <c r="E91" i="16"/>
  <c r="G91" i="16" s="1"/>
  <c r="D94" i="16"/>
  <c r="B100" i="16"/>
  <c r="C256" i="22"/>
  <c r="C103" i="16"/>
  <c r="E104" i="16"/>
  <c r="E107" i="16"/>
  <c r="G107" i="16" s="1"/>
  <c r="D110" i="16"/>
  <c r="B116" i="16"/>
  <c r="C272" i="22"/>
  <c r="C119" i="16"/>
  <c r="E120" i="16"/>
  <c r="G120" i="16" s="1"/>
  <c r="E123" i="16"/>
  <c r="G123" i="16" s="1"/>
  <c r="D126" i="16"/>
  <c r="B132" i="16"/>
  <c r="D138" i="16"/>
  <c r="C293" i="22"/>
  <c r="F140" i="16"/>
  <c r="G140" i="16" s="1"/>
  <c r="F141" i="16"/>
  <c r="G141" i="16" s="1"/>
  <c r="B143" i="16"/>
  <c r="D146" i="16"/>
  <c r="E149" i="16"/>
  <c r="G149" i="16" s="1"/>
  <c r="C304" i="22"/>
  <c r="C151" i="16"/>
  <c r="F151" i="16"/>
  <c r="G151" i="16" s="1"/>
  <c r="B154" i="16"/>
  <c r="B159" i="16"/>
  <c r="C319" i="22"/>
  <c r="C166" i="16"/>
  <c r="B166" i="16"/>
  <c r="B171" i="16"/>
  <c r="F178" i="16"/>
  <c r="D180" i="16"/>
  <c r="F187" i="16"/>
  <c r="B189" i="16"/>
  <c r="E193" i="16"/>
  <c r="G193" i="16" s="1"/>
  <c r="B199" i="16"/>
  <c r="H49" i="17"/>
  <c r="I17" i="17"/>
  <c r="K47" i="17"/>
  <c r="H51" i="17"/>
  <c r="M51" i="17" s="1"/>
  <c r="L52" i="17"/>
  <c r="K55" i="17"/>
  <c r="I67" i="17"/>
  <c r="L72" i="17"/>
  <c r="H77" i="17"/>
  <c r="I80" i="17"/>
  <c r="L91" i="17"/>
  <c r="J93" i="17"/>
  <c r="K96" i="17"/>
  <c r="I104" i="17"/>
  <c r="J107" i="17"/>
  <c r="J113" i="17"/>
  <c r="L123" i="17"/>
  <c r="K133" i="17"/>
  <c r="K101" i="17"/>
  <c r="K98" i="17"/>
  <c r="K85" i="17"/>
  <c r="K82" i="17"/>
  <c r="K97" i="17"/>
  <c r="K94" i="17"/>
  <c r="K81" i="17"/>
  <c r="K110" i="17"/>
  <c r="K130" i="17"/>
  <c r="K129" i="17"/>
  <c r="K106" i="17"/>
  <c r="K103" i="17"/>
  <c r="K105" i="17"/>
  <c r="K102" i="17"/>
  <c r="K118" i="17"/>
  <c r="K117" i="17"/>
  <c r="K121" i="17"/>
  <c r="K109" i="17"/>
  <c r="K90" i="17"/>
  <c r="K87" i="17"/>
  <c r="K83" i="17"/>
  <c r="L16" i="17"/>
  <c r="K18" i="17"/>
  <c r="L20" i="17"/>
  <c r="K22" i="17"/>
  <c r="L24" i="17"/>
  <c r="K26" i="17"/>
  <c r="L28" i="17"/>
  <c r="K30" i="17"/>
  <c r="L32" i="17"/>
  <c r="K34" i="17"/>
  <c r="K39" i="17"/>
  <c r="H42" i="17"/>
  <c r="K45" i="17"/>
  <c r="H52" i="17"/>
  <c r="J56" i="17"/>
  <c r="K59" i="17"/>
  <c r="L60" i="17"/>
  <c r="K64" i="17"/>
  <c r="I73" i="17"/>
  <c r="I77" i="17"/>
  <c r="L78" i="17"/>
  <c r="H80" i="17"/>
  <c r="H85" i="17"/>
  <c r="M85" i="17" s="1"/>
  <c r="H100" i="17"/>
  <c r="L101" i="17"/>
  <c r="K107" i="17"/>
  <c r="K126" i="17"/>
  <c r="K127" i="17"/>
  <c r="H131" i="17"/>
  <c r="H133" i="17"/>
  <c r="C356" i="22"/>
  <c r="D203" i="16"/>
  <c r="C203" i="16"/>
  <c r="I50" i="17"/>
  <c r="K51" i="17"/>
  <c r="K52" i="17"/>
  <c r="H54" i="17"/>
  <c r="M54" i="17" s="1"/>
  <c r="I62" i="17"/>
  <c r="H66" i="17"/>
  <c r="K68" i="17"/>
  <c r="K70" i="17"/>
  <c r="I75" i="17"/>
  <c r="L76" i="17"/>
  <c r="K77" i="17"/>
  <c r="I79" i="17"/>
  <c r="L103" i="17"/>
  <c r="L106" i="17"/>
  <c r="K114" i="17"/>
  <c r="H123" i="17"/>
  <c r="M123" i="17" s="1"/>
  <c r="C309" i="22"/>
  <c r="F156" i="16"/>
  <c r="G156" i="16" s="1"/>
  <c r="C325" i="22"/>
  <c r="F172" i="16"/>
  <c r="C341" i="22"/>
  <c r="F188" i="16"/>
  <c r="I46" i="17"/>
  <c r="J48" i="17"/>
  <c r="J50" i="17"/>
  <c r="L51" i="17"/>
  <c r="K53" i="17"/>
  <c r="J62" i="17"/>
  <c r="K67" i="17"/>
  <c r="J75" i="17"/>
  <c r="J79" i="17"/>
  <c r="I92" i="17"/>
  <c r="K93" i="17"/>
  <c r="I105" i="17"/>
  <c r="H110" i="17"/>
  <c r="J116" i="17"/>
  <c r="H122" i="17"/>
  <c r="E5" i="19"/>
  <c r="D5" i="19"/>
  <c r="E15" i="19"/>
  <c r="C353" i="22"/>
  <c r="F200" i="16"/>
  <c r="H36" i="17"/>
  <c r="M36" i="17" s="1"/>
  <c r="I41" i="17"/>
  <c r="H43" i="17"/>
  <c r="L47" i="17"/>
  <c r="L49" i="17"/>
  <c r="L50" i="17"/>
  <c r="I61" i="17"/>
  <c r="I65" i="17"/>
  <c r="K66" i="17"/>
  <c r="H74" i="17"/>
  <c r="H78" i="17"/>
  <c r="K89" i="17"/>
  <c r="K92" i="17"/>
  <c r="K99" i="17"/>
  <c r="K108" i="17"/>
  <c r="K112" i="17"/>
  <c r="L120" i="17"/>
  <c r="C337" i="22"/>
  <c r="F184" i="16"/>
  <c r="G184" i="16" s="1"/>
  <c r="B197" i="16"/>
  <c r="B200" i="16"/>
  <c r="I16" i="17"/>
  <c r="H19" i="17"/>
  <c r="I20" i="17"/>
  <c r="H23" i="17"/>
  <c r="M23" i="17" s="1"/>
  <c r="I24" i="17"/>
  <c r="H27" i="17"/>
  <c r="I28" i="17"/>
  <c r="H31" i="17"/>
  <c r="I32" i="17"/>
  <c r="H35" i="17"/>
  <c r="I40" i="17"/>
  <c r="J42" i="17"/>
  <c r="I57" i="17"/>
  <c r="H59" i="17"/>
  <c r="H64" i="17"/>
  <c r="M64" i="17" s="1"/>
  <c r="I74" i="17"/>
  <c r="I78" i="17"/>
  <c r="H81" i="17"/>
  <c r="L92" i="17"/>
  <c r="K95" i="17"/>
  <c r="L112" i="17"/>
  <c r="D201" i="16"/>
  <c r="H130" i="17"/>
  <c r="H102" i="17"/>
  <c r="M102" i="17" s="1"/>
  <c r="H86" i="17"/>
  <c r="M86" i="17" s="1"/>
  <c r="H134" i="17"/>
  <c r="H99" i="17"/>
  <c r="H98" i="17"/>
  <c r="M98" i="17" s="1"/>
  <c r="H82" i="17"/>
  <c r="H95" i="17"/>
  <c r="H79" i="17"/>
  <c r="H40" i="17"/>
  <c r="H56" i="17"/>
  <c r="H63" i="17"/>
  <c r="H75" i="17"/>
  <c r="M75" i="17" s="1"/>
  <c r="J80" i="17"/>
  <c r="H94" i="17"/>
  <c r="M94" i="17" s="1"/>
  <c r="H96" i="17"/>
  <c r="H101" i="17"/>
  <c r="L108" i="17"/>
  <c r="I112" i="17"/>
  <c r="K119" i="17"/>
  <c r="H120" i="17"/>
  <c r="E12" i="19"/>
  <c r="F204" i="16"/>
  <c r="G204" i="16" s="1"/>
  <c r="H15" i="17"/>
  <c r="M15" i="17" s="1"/>
  <c r="H68" i="17"/>
  <c r="J78" i="17"/>
  <c r="I88" i="17"/>
  <c r="I89" i="17"/>
  <c r="J91" i="17"/>
  <c r="H92" i="17"/>
  <c r="M92" i="17" s="1"/>
  <c r="I95" i="17"/>
  <c r="I99" i="17"/>
  <c r="H103" i="17"/>
  <c r="H104" i="17"/>
  <c r="H106" i="17"/>
  <c r="J111" i="17"/>
  <c r="L116" i="17"/>
  <c r="J129" i="17"/>
  <c r="E4" i="19"/>
  <c r="F4" i="19" s="1"/>
  <c r="F5" i="19" s="1"/>
  <c r="F6" i="19" s="1"/>
  <c r="D4" i="19"/>
  <c r="H48" i="17"/>
  <c r="J66" i="17"/>
  <c r="K78" i="17"/>
  <c r="I83" i="17"/>
  <c r="J84" i="17"/>
  <c r="K91" i="17"/>
  <c r="L100" i="17"/>
  <c r="H109" i="17"/>
  <c r="K111" i="17"/>
  <c r="J115" i="17"/>
  <c r="H116" i="17"/>
  <c r="M116" i="17" s="1"/>
  <c r="H71" i="17"/>
  <c r="I81" i="17"/>
  <c r="L84" i="17"/>
  <c r="L87" i="17"/>
  <c r="L88" i="17"/>
  <c r="L90" i="17"/>
  <c r="H91" i="17"/>
  <c r="I94" i="17"/>
  <c r="H97" i="17"/>
  <c r="L99" i="17"/>
  <c r="H111" i="17"/>
  <c r="M111" i="17" s="1"/>
  <c r="L115" i="17"/>
  <c r="D202" i="16"/>
  <c r="H44" i="17"/>
  <c r="H60" i="17"/>
  <c r="M60" i="17" s="1"/>
  <c r="H72" i="17"/>
  <c r="M72" i="17" s="1"/>
  <c r="J81" i="17"/>
  <c r="L83" i="17"/>
  <c r="H87" i="17"/>
  <c r="H88" i="17"/>
  <c r="H90" i="17"/>
  <c r="I97" i="17"/>
  <c r="L110" i="17"/>
  <c r="H115" i="17"/>
  <c r="M115" i="17" s="1"/>
  <c r="L124" i="17"/>
  <c r="H126" i="17"/>
  <c r="M126" i="17" s="1"/>
  <c r="L127" i="17"/>
  <c r="H128" i="17"/>
  <c r="L79" i="17"/>
  <c r="L80" i="17"/>
  <c r="I84" i="17"/>
  <c r="I85" i="17"/>
  <c r="L95" i="17"/>
  <c r="L96" i="17"/>
  <c r="I100" i="17"/>
  <c r="I101" i="17"/>
  <c r="H129" i="17"/>
  <c r="I133" i="17"/>
  <c r="H125" i="17"/>
  <c r="M125" i="17" s="1"/>
  <c r="I129" i="17"/>
  <c r="I132" i="17"/>
  <c r="K84" i="17"/>
  <c r="H89" i="17"/>
  <c r="K100" i="17"/>
  <c r="H105" i="17"/>
  <c r="H121" i="17"/>
  <c r="I125" i="17"/>
  <c r="I128" i="17"/>
  <c r="J132" i="17"/>
  <c r="H117" i="17"/>
  <c r="I121" i="17"/>
  <c r="I124" i="17"/>
  <c r="J128" i="17"/>
  <c r="K132" i="17"/>
  <c r="L134" i="17"/>
  <c r="I109" i="17"/>
  <c r="H113" i="17"/>
  <c r="I117" i="17"/>
  <c r="I120" i="17"/>
  <c r="J124" i="17"/>
  <c r="K128" i="17"/>
  <c r="L132" i="17"/>
  <c r="E14" i="19"/>
  <c r="K88" i="17"/>
  <c r="H93" i="17"/>
  <c r="K104" i="17"/>
  <c r="I108" i="17"/>
  <c r="I113" i="17"/>
  <c r="I116" i="17"/>
  <c r="J120" i="17"/>
  <c r="K124" i="17"/>
  <c r="L128" i="17"/>
  <c r="L131" i="17"/>
  <c r="D12" i="19"/>
  <c r="E7" i="19"/>
  <c r="K134" i="17"/>
  <c r="D14" i="19"/>
  <c r="E25" i="22" l="1"/>
  <c r="D25" i="22"/>
  <c r="D33" i="22"/>
  <c r="E33" i="22"/>
  <c r="D34" i="22"/>
  <c r="M127" i="17"/>
  <c r="M41" i="17"/>
  <c r="G111" i="16"/>
  <c r="M69" i="17"/>
  <c r="M57" i="17"/>
  <c r="M38" i="17"/>
  <c r="G7" i="12"/>
  <c r="G23" i="12"/>
  <c r="M117" i="17"/>
  <c r="M44" i="17"/>
  <c r="M48" i="17"/>
  <c r="M101" i="17"/>
  <c r="M99" i="17"/>
  <c r="M66" i="17"/>
  <c r="M47" i="17"/>
  <c r="E15" i="13"/>
  <c r="F15" i="13" s="1"/>
  <c r="D26" i="22" s="1"/>
  <c r="D32" i="22"/>
  <c r="E17" i="13"/>
  <c r="F17" i="13" s="1"/>
  <c r="D29" i="22" s="1"/>
  <c r="M32" i="17"/>
  <c r="M129" i="17"/>
  <c r="M71" i="17"/>
  <c r="M96" i="17"/>
  <c r="M134" i="17"/>
  <c r="M59" i="17"/>
  <c r="M19" i="17"/>
  <c r="M78" i="17"/>
  <c r="M52" i="17"/>
  <c r="G104" i="16"/>
  <c r="M107" i="17"/>
  <c r="G136" i="16"/>
  <c r="G82" i="16"/>
  <c r="E19" i="13"/>
  <c r="F19" i="13" s="1"/>
  <c r="E18" i="22" s="1"/>
  <c r="G144" i="16"/>
  <c r="G89" i="16"/>
  <c r="D19" i="14"/>
  <c r="F19" i="14" s="1"/>
  <c r="M46" i="17"/>
  <c r="G24" i="12"/>
  <c r="G61" i="16"/>
  <c r="G53" i="16"/>
  <c r="M84" i="17"/>
  <c r="E9" i="13"/>
  <c r="F9" i="13" s="1"/>
  <c r="G178" i="16"/>
  <c r="M37" i="17"/>
  <c r="L2" i="16"/>
  <c r="M113" i="17"/>
  <c r="M97" i="17"/>
  <c r="M63" i="17"/>
  <c r="M122" i="17"/>
  <c r="M80" i="17"/>
  <c r="M49" i="17"/>
  <c r="G19" i="12"/>
  <c r="G13" i="12"/>
  <c r="M58" i="17"/>
  <c r="M124" i="17"/>
  <c r="G164" i="16"/>
  <c r="D17" i="14"/>
  <c r="F17" i="14" s="1"/>
  <c r="D7" i="14"/>
  <c r="F7" i="14" s="1"/>
  <c r="E11" i="13"/>
  <c r="F11" i="13" s="1"/>
  <c r="G59" i="16"/>
  <c r="M112" i="17"/>
  <c r="G23" i="16"/>
  <c r="F7" i="19"/>
  <c r="F8" i="19" s="1"/>
  <c r="F9" i="19" s="1"/>
  <c r="F10" i="19" s="1"/>
  <c r="F11" i="19" s="1"/>
  <c r="F12" i="19" s="1"/>
  <c r="F13" i="19" s="1"/>
  <c r="F14" i="19" s="1"/>
  <c r="F15" i="19" s="1"/>
  <c r="M100" i="17"/>
  <c r="G21" i="12"/>
  <c r="G12" i="12"/>
  <c r="G17" i="12"/>
  <c r="G15" i="12"/>
  <c r="G10" i="12"/>
  <c r="G6" i="12"/>
  <c r="G8" i="12"/>
  <c r="B9" i="21" s="1"/>
  <c r="M132" i="17"/>
  <c r="M73" i="17"/>
  <c r="D23" i="14"/>
  <c r="F23" i="14" s="1"/>
  <c r="G11" i="12"/>
  <c r="M105" i="17"/>
  <c r="M90" i="17"/>
  <c r="M109" i="17"/>
  <c r="M35" i="17"/>
  <c r="M53" i="17"/>
  <c r="M16" i="17"/>
  <c r="N34" i="17" s="1"/>
  <c r="E14" i="22"/>
  <c r="D14" i="22"/>
  <c r="G18" i="12"/>
  <c r="E13" i="13"/>
  <c r="F13" i="13" s="1"/>
  <c r="D31" i="22" s="1"/>
  <c r="M88" i="17"/>
  <c r="M106" i="17"/>
  <c r="M56" i="17"/>
  <c r="M89" i="17"/>
  <c r="M87" i="17"/>
  <c r="M91" i="17"/>
  <c r="M104" i="17"/>
  <c r="M40" i="17"/>
  <c r="M31" i="17"/>
  <c r="M110" i="17"/>
  <c r="M67" i="17"/>
  <c r="G165" i="16"/>
  <c r="M18" i="17"/>
  <c r="M108" i="17"/>
  <c r="G62" i="16"/>
  <c r="G182" i="16"/>
  <c r="M62" i="17"/>
  <c r="D9" i="14"/>
  <c r="F9" i="14" s="1"/>
  <c r="M45" i="17"/>
  <c r="G69" i="16"/>
  <c r="G20" i="12"/>
  <c r="G191" i="16"/>
  <c r="E20" i="22"/>
  <c r="E5" i="13"/>
  <c r="F5" i="13" s="1"/>
  <c r="M74" i="17"/>
  <c r="M17" i="17"/>
  <c r="M42" i="17"/>
  <c r="G73" i="16"/>
  <c r="M20" i="17"/>
  <c r="O15" i="17" s="1"/>
  <c r="M65" i="17"/>
  <c r="E21" i="13"/>
  <c r="F21" i="13" s="1"/>
  <c r="M68" i="17"/>
  <c r="M103" i="17"/>
  <c r="M79" i="17"/>
  <c r="M25" i="17"/>
  <c r="D18" i="22"/>
  <c r="D8" i="22"/>
  <c r="E8" i="22"/>
  <c r="M30" i="17"/>
  <c r="B7" i="21"/>
  <c r="G16" i="12"/>
  <c r="G22" i="12"/>
  <c r="M93" i="17"/>
  <c r="M95" i="17"/>
  <c r="M81" i="17"/>
  <c r="M27" i="17"/>
  <c r="M43" i="17"/>
  <c r="M133" i="17"/>
  <c r="M77" i="17"/>
  <c r="M39" i="17"/>
  <c r="M26" i="17"/>
  <c r="N36" i="17" s="1"/>
  <c r="G50" i="16"/>
  <c r="G8" i="16"/>
  <c r="G130" i="16"/>
  <c r="G147" i="16"/>
  <c r="G168" i="16"/>
  <c r="D21" i="14"/>
  <c r="F21" i="14" s="1"/>
  <c r="D15" i="14"/>
  <c r="F15" i="14" s="1"/>
  <c r="E9" i="22"/>
  <c r="D9" i="22"/>
  <c r="G14" i="12"/>
  <c r="D13" i="14"/>
  <c r="F13" i="14" s="1"/>
  <c r="M121" i="17"/>
  <c r="M130" i="17"/>
  <c r="G48" i="16"/>
  <c r="M120" i="17"/>
  <c r="M114" i="17"/>
  <c r="M128" i="17"/>
  <c r="M82" i="17"/>
  <c r="M131" i="17"/>
  <c r="M55" i="17"/>
  <c r="M50" i="17"/>
  <c r="M119" i="17"/>
  <c r="M33" i="17"/>
  <c r="N15" i="17" s="1"/>
  <c r="G97" i="16"/>
  <c r="G129" i="16"/>
  <c r="G20" i="16"/>
  <c r="G162" i="16"/>
  <c r="G5" i="16"/>
  <c r="M22" i="17"/>
  <c r="G31" i="16"/>
  <c r="E38" i="22" l="1"/>
  <c r="D38" i="22"/>
  <c r="O128" i="17"/>
  <c r="N128" i="17"/>
  <c r="N121" i="17"/>
  <c r="O121" i="17"/>
  <c r="N54" i="17"/>
  <c r="N81" i="17"/>
  <c r="O81" i="17"/>
  <c r="N42" i="17"/>
  <c r="O42" i="17"/>
  <c r="N94" i="17"/>
  <c r="O45" i="17"/>
  <c r="N45" i="17"/>
  <c r="N88" i="17"/>
  <c r="O88" i="17"/>
  <c r="O109" i="17"/>
  <c r="N109" i="17"/>
  <c r="O132" i="17"/>
  <c r="N132" i="17"/>
  <c r="I59" i="16"/>
  <c r="N124" i="17"/>
  <c r="O124" i="17"/>
  <c r="O122" i="17"/>
  <c r="N122" i="17"/>
  <c r="O125" i="17"/>
  <c r="O107" i="17"/>
  <c r="N107" i="17"/>
  <c r="O126" i="17"/>
  <c r="I97" i="16"/>
  <c r="D23" i="22"/>
  <c r="E23" i="22"/>
  <c r="O95" i="17"/>
  <c r="N95" i="17"/>
  <c r="O68" i="17"/>
  <c r="N68" i="17"/>
  <c r="N102" i="17"/>
  <c r="O94" i="17"/>
  <c r="E19" i="22"/>
  <c r="D19" i="22"/>
  <c r="O90" i="17"/>
  <c r="N90" i="17"/>
  <c r="N85" i="17"/>
  <c r="N58" i="17"/>
  <c r="O58" i="17"/>
  <c r="N63" i="17"/>
  <c r="O63" i="17"/>
  <c r="O84" i="17"/>
  <c r="N84" i="17"/>
  <c r="N125" i="17"/>
  <c r="N47" i="17"/>
  <c r="O47" i="17"/>
  <c r="O117" i="17"/>
  <c r="N117" i="17"/>
  <c r="N38" i="17"/>
  <c r="O38" i="17"/>
  <c r="N23" i="17"/>
  <c r="N118" i="17"/>
  <c r="O36" i="17"/>
  <c r="N93" i="17"/>
  <c r="O93" i="17"/>
  <c r="O102" i="17"/>
  <c r="N98" i="17"/>
  <c r="N62" i="17"/>
  <c r="O62" i="17"/>
  <c r="O105" i="17"/>
  <c r="N105" i="17"/>
  <c r="O85" i="17"/>
  <c r="N97" i="17"/>
  <c r="O97" i="17"/>
  <c r="O32" i="17"/>
  <c r="N32" i="17"/>
  <c r="O57" i="17"/>
  <c r="N57" i="17"/>
  <c r="O23" i="17"/>
  <c r="O118" i="17"/>
  <c r="O33" i="17"/>
  <c r="N33" i="17"/>
  <c r="N111" i="17"/>
  <c r="N83" i="17"/>
  <c r="N92" i="17"/>
  <c r="O119" i="17"/>
  <c r="N119" i="17"/>
  <c r="O26" i="17"/>
  <c r="N26" i="17"/>
  <c r="O31" i="17"/>
  <c r="N31" i="17"/>
  <c r="N66" i="17"/>
  <c r="O66" i="17"/>
  <c r="O39" i="17"/>
  <c r="N39" i="17"/>
  <c r="O20" i="17"/>
  <c r="N20" i="17"/>
  <c r="I62" i="16"/>
  <c r="D28" i="22"/>
  <c r="E28" i="22"/>
  <c r="N46" i="17"/>
  <c r="O46" i="17"/>
  <c r="O108" i="17"/>
  <c r="N108" i="17"/>
  <c r="N73" i="17"/>
  <c r="O73" i="17"/>
  <c r="E30" i="22"/>
  <c r="D30" i="22"/>
  <c r="O76" i="17"/>
  <c r="O22" i="17"/>
  <c r="N22" i="17"/>
  <c r="D24" i="22"/>
  <c r="E24" i="22"/>
  <c r="O61" i="17"/>
  <c r="O17" i="17"/>
  <c r="N17" i="17"/>
  <c r="O18" i="17"/>
  <c r="N18" i="17"/>
  <c r="O91" i="17"/>
  <c r="N91" i="17"/>
  <c r="N115" i="17"/>
  <c r="O37" i="17"/>
  <c r="N37" i="17"/>
  <c r="O123" i="17"/>
  <c r="O59" i="17"/>
  <c r="N59" i="17"/>
  <c r="O99" i="17"/>
  <c r="N99" i="17"/>
  <c r="O70" i="17"/>
  <c r="O98" i="17"/>
  <c r="N70" i="17"/>
  <c r="O111" i="17"/>
  <c r="O83" i="17"/>
  <c r="N50" i="17"/>
  <c r="O50" i="17"/>
  <c r="O25" i="17"/>
  <c r="N25" i="17"/>
  <c r="O40" i="17"/>
  <c r="N40" i="17"/>
  <c r="D36" i="22"/>
  <c r="E36" i="22"/>
  <c r="O30" i="17"/>
  <c r="N30" i="17"/>
  <c r="O104" i="17"/>
  <c r="N104" i="17"/>
  <c r="D21" i="22"/>
  <c r="E21" i="22"/>
  <c r="N123" i="17"/>
  <c r="O19" i="17"/>
  <c r="N19" i="17"/>
  <c r="O64" i="17"/>
  <c r="L3" i="16"/>
  <c r="I111" i="16" s="1"/>
  <c r="L1" i="16"/>
  <c r="O131" i="17"/>
  <c r="N131" i="17"/>
  <c r="O120" i="17"/>
  <c r="N120" i="17"/>
  <c r="N77" i="17"/>
  <c r="O77" i="17"/>
  <c r="N61" i="17"/>
  <c r="I165" i="16"/>
  <c r="O87" i="17"/>
  <c r="N87" i="17"/>
  <c r="O115" i="17"/>
  <c r="N86" i="17"/>
  <c r="O134" i="17"/>
  <c r="N134" i="17"/>
  <c r="O101" i="17"/>
  <c r="N101" i="17"/>
  <c r="N29" i="17"/>
  <c r="O41" i="17"/>
  <c r="N41" i="17"/>
  <c r="O114" i="17"/>
  <c r="N114" i="17"/>
  <c r="N65" i="17"/>
  <c r="O65" i="17"/>
  <c r="O52" i="17"/>
  <c r="N52" i="17"/>
  <c r="E29" i="22"/>
  <c r="O92" i="17"/>
  <c r="O60" i="17"/>
  <c r="O51" i="17"/>
  <c r="O78" i="17"/>
  <c r="N78" i="17"/>
  <c r="N76" i="17"/>
  <c r="O16" i="17"/>
  <c r="B19" i="21" s="1"/>
  <c r="N16" i="17"/>
  <c r="O82" i="17"/>
  <c r="N82" i="17"/>
  <c r="O133" i="17"/>
  <c r="N133" i="17"/>
  <c r="O79" i="17"/>
  <c r="N79" i="17"/>
  <c r="O53" i="17"/>
  <c r="N53" i="17"/>
  <c r="N21" i="17"/>
  <c r="O86" i="17"/>
  <c r="O96" i="17"/>
  <c r="N96" i="17"/>
  <c r="N24" i="17"/>
  <c r="O127" i="17"/>
  <c r="N127" i="17"/>
  <c r="I20" i="16"/>
  <c r="N72" i="17"/>
  <c r="O28" i="17"/>
  <c r="D27" i="22"/>
  <c r="E27" i="22"/>
  <c r="O43" i="17"/>
  <c r="N43" i="17"/>
  <c r="O103" i="17"/>
  <c r="N103" i="17"/>
  <c r="O56" i="17"/>
  <c r="N56" i="17"/>
  <c r="O21" i="17"/>
  <c r="O49" i="17"/>
  <c r="N49" i="17"/>
  <c r="N75" i="17"/>
  <c r="N116" i="17"/>
  <c r="O71" i="17"/>
  <c r="N71" i="17"/>
  <c r="O24" i="17"/>
  <c r="O44" i="17"/>
  <c r="N44" i="17"/>
  <c r="O110" i="17"/>
  <c r="N110" i="17"/>
  <c r="O113" i="17"/>
  <c r="N113" i="17"/>
  <c r="N60" i="17"/>
  <c r="N51" i="17"/>
  <c r="N69" i="17"/>
  <c r="O69" i="17"/>
  <c r="N64" i="17"/>
  <c r="O55" i="17"/>
  <c r="N55" i="17"/>
  <c r="B13" i="21"/>
  <c r="D35" i="22"/>
  <c r="N28" i="17"/>
  <c r="B11" i="21"/>
  <c r="O89" i="17"/>
  <c r="N89" i="17"/>
  <c r="O75" i="17"/>
  <c r="O48" i="17"/>
  <c r="N48" i="17"/>
  <c r="O29" i="17"/>
  <c r="O34" i="17"/>
  <c r="I129" i="16"/>
  <c r="O72" i="17"/>
  <c r="O130" i="17"/>
  <c r="N130" i="17"/>
  <c r="O54" i="17"/>
  <c r="O27" i="17"/>
  <c r="N27" i="17"/>
  <c r="N74" i="17"/>
  <c r="O74" i="17"/>
  <c r="O67" i="17"/>
  <c r="N67" i="17"/>
  <c r="O106" i="17"/>
  <c r="N106" i="17"/>
  <c r="O35" i="17"/>
  <c r="N35" i="17"/>
  <c r="O100" i="17"/>
  <c r="N100" i="17"/>
  <c r="O112" i="17"/>
  <c r="N112" i="17"/>
  <c r="O80" i="17"/>
  <c r="N80" i="17"/>
  <c r="O116" i="17"/>
  <c r="O129" i="17"/>
  <c r="N129" i="17"/>
  <c r="N126" i="17"/>
  <c r="E264" i="22" l="1"/>
  <c r="D264" i="22"/>
  <c r="E44" i="22"/>
  <c r="D44" i="22"/>
  <c r="D137" i="22"/>
  <c r="E137" i="22"/>
  <c r="E154" i="22"/>
  <c r="D154" i="22"/>
  <c r="E127" i="22"/>
  <c r="D127" i="22"/>
  <c r="E134" i="22"/>
  <c r="D134" i="22"/>
  <c r="D69" i="22"/>
  <c r="E69" i="22"/>
  <c r="E54" i="22"/>
  <c r="D54" i="22"/>
  <c r="D141" i="22"/>
  <c r="E141" i="22"/>
  <c r="E128" i="22"/>
  <c r="D128" i="22"/>
  <c r="D61" i="22"/>
  <c r="E61" i="22"/>
  <c r="I130" i="16"/>
  <c r="D212" i="22"/>
  <c r="E212" i="22"/>
  <c r="E104" i="22"/>
  <c r="D104" i="22"/>
  <c r="D90" i="22"/>
  <c r="E90" i="22"/>
  <c r="D57" i="22"/>
  <c r="E57" i="22"/>
  <c r="D133" i="22"/>
  <c r="E133" i="22"/>
  <c r="D173" i="22"/>
  <c r="E173" i="22"/>
  <c r="D101" i="22"/>
  <c r="E101" i="22"/>
  <c r="I99" i="16"/>
  <c r="I203" i="16"/>
  <c r="I198" i="16"/>
  <c r="I13" i="16"/>
  <c r="I16" i="16"/>
  <c r="I134" i="16"/>
  <c r="I14" i="16"/>
  <c r="I199" i="16"/>
  <c r="I142" i="16"/>
  <c r="I118" i="16"/>
  <c r="I40" i="16"/>
  <c r="I119" i="16"/>
  <c r="I166" i="16"/>
  <c r="I37" i="16"/>
  <c r="I74" i="16"/>
  <c r="I106" i="16"/>
  <c r="I194" i="16"/>
  <c r="I202" i="16"/>
  <c r="I153" i="16"/>
  <c r="I103" i="16"/>
  <c r="I28" i="16"/>
  <c r="I122" i="16"/>
  <c r="I102" i="16"/>
  <c r="I87" i="16"/>
  <c r="I55" i="16"/>
  <c r="I45" i="16"/>
  <c r="I109" i="16"/>
  <c r="I181" i="16"/>
  <c r="I197" i="16"/>
  <c r="I58" i="16"/>
  <c r="I175" i="16"/>
  <c r="I185" i="16"/>
  <c r="I161" i="16"/>
  <c r="I177" i="16"/>
  <c r="I190" i="16"/>
  <c r="I32" i="16"/>
  <c r="I21" i="16"/>
  <c r="I44" i="16"/>
  <c r="I70" i="16"/>
  <c r="I169" i="16"/>
  <c r="I90" i="16"/>
  <c r="I137" i="16"/>
  <c r="I201" i="16"/>
  <c r="I36" i="16"/>
  <c r="I9" i="16"/>
  <c r="I25" i="16"/>
  <c r="I29" i="16"/>
  <c r="I41" i="16"/>
  <c r="I71" i="16"/>
  <c r="I33" i="16"/>
  <c r="I86" i="16"/>
  <c r="I10" i="16"/>
  <c r="I131" i="16"/>
  <c r="I24" i="16"/>
  <c r="I115" i="16"/>
  <c r="I54" i="16"/>
  <c r="I132" i="16"/>
  <c r="I80" i="16"/>
  <c r="I189" i="16"/>
  <c r="I188" i="16"/>
  <c r="I150" i="16"/>
  <c r="I95" i="16"/>
  <c r="I128" i="16"/>
  <c r="I133" i="16"/>
  <c r="I157" i="16"/>
  <c r="I68" i="16"/>
  <c r="I116" i="16"/>
  <c r="I65" i="16"/>
  <c r="I187" i="16"/>
  <c r="I151" i="16"/>
  <c r="I148" i="16"/>
  <c r="I141" i="16"/>
  <c r="I43" i="16"/>
  <c r="I126" i="16"/>
  <c r="I146" i="16"/>
  <c r="I155" i="16"/>
  <c r="I98" i="16"/>
  <c r="I64" i="16"/>
  <c r="I105" i="16"/>
  <c r="I173" i="16"/>
  <c r="I84" i="16"/>
  <c r="I75" i="16"/>
  <c r="I30" i="16"/>
  <c r="I167" i="16"/>
  <c r="I176" i="16"/>
  <c r="I112" i="16"/>
  <c r="I18" i="16"/>
  <c r="I180" i="16"/>
  <c r="I76" i="16"/>
  <c r="I77" i="16"/>
  <c r="I79" i="16"/>
  <c r="I63" i="16"/>
  <c r="I156" i="16"/>
  <c r="I174" i="16"/>
  <c r="I46" i="16"/>
  <c r="I160" i="16"/>
  <c r="I92" i="16"/>
  <c r="I158" i="16"/>
  <c r="I17" i="16"/>
  <c r="I135" i="16"/>
  <c r="I192" i="16"/>
  <c r="I196" i="16"/>
  <c r="I184" i="16"/>
  <c r="I125" i="16"/>
  <c r="I96" i="16"/>
  <c r="I124" i="16"/>
  <c r="I171" i="16"/>
  <c r="I186" i="16"/>
  <c r="I27" i="16"/>
  <c r="I127" i="16"/>
  <c r="I204" i="16"/>
  <c r="I123" i="16"/>
  <c r="I100" i="16"/>
  <c r="I110" i="16"/>
  <c r="I108" i="16"/>
  <c r="I195" i="16"/>
  <c r="I60" i="16"/>
  <c r="I67" i="16"/>
  <c r="I152" i="16"/>
  <c r="I42" i="16"/>
  <c r="I22" i="16"/>
  <c r="I94" i="16"/>
  <c r="I19" i="16"/>
  <c r="I149" i="16"/>
  <c r="I12" i="16"/>
  <c r="I138" i="16"/>
  <c r="I154" i="16"/>
  <c r="I93" i="16"/>
  <c r="I179" i="16"/>
  <c r="I172" i="16"/>
  <c r="I159" i="16"/>
  <c r="I200" i="16"/>
  <c r="I56" i="16"/>
  <c r="I114" i="16"/>
  <c r="I139" i="16"/>
  <c r="I11" i="16"/>
  <c r="I140" i="16"/>
  <c r="I170" i="16"/>
  <c r="I66" i="16"/>
  <c r="I113" i="16"/>
  <c r="I107" i="16"/>
  <c r="I15" i="16"/>
  <c r="I91" i="16"/>
  <c r="I117" i="16"/>
  <c r="I183" i="16"/>
  <c r="I193" i="16"/>
  <c r="I26" i="16"/>
  <c r="I47" i="16"/>
  <c r="I81" i="16"/>
  <c r="I35" i="16"/>
  <c r="I7" i="16"/>
  <c r="I6" i="16"/>
  <c r="I51" i="16"/>
  <c r="I145" i="16"/>
  <c r="I163" i="16"/>
  <c r="I38" i="16"/>
  <c r="I120" i="16"/>
  <c r="I83" i="16"/>
  <c r="I49" i="16"/>
  <c r="I52" i="16"/>
  <c r="I72" i="16"/>
  <c r="I101" i="16"/>
  <c r="I143" i="16"/>
  <c r="I39" i="16"/>
  <c r="I85" i="16"/>
  <c r="I78" i="16"/>
  <c r="I88" i="16"/>
  <c r="I121" i="16"/>
  <c r="I57" i="16"/>
  <c r="I34" i="16"/>
  <c r="E60" i="22"/>
  <c r="D60" i="22"/>
  <c r="E46" i="22"/>
  <c r="D46" i="22"/>
  <c r="D103" i="22"/>
  <c r="E103" i="22"/>
  <c r="I69" i="16"/>
  <c r="E52" i="22"/>
  <c r="D52" i="22"/>
  <c r="E102" i="22"/>
  <c r="D102" i="22"/>
  <c r="E74" i="22"/>
  <c r="D74" i="22"/>
  <c r="E64" i="22"/>
  <c r="D64" i="22"/>
  <c r="D110" i="22"/>
  <c r="E110" i="22"/>
  <c r="I5" i="16"/>
  <c r="D53" i="22"/>
  <c r="E53" i="22"/>
  <c r="I61" i="16"/>
  <c r="D45" i="22"/>
  <c r="E45" i="22"/>
  <c r="D49" i="22"/>
  <c r="E49" i="22"/>
  <c r="D85" i="22"/>
  <c r="E85" i="22"/>
  <c r="E155" i="22"/>
  <c r="D155" i="22"/>
  <c r="I147" i="16"/>
  <c r="E156" i="22"/>
  <c r="D156" i="22"/>
  <c r="I191" i="16"/>
  <c r="E215" i="22"/>
  <c r="D215" i="22"/>
  <c r="E132" i="22"/>
  <c r="D132" i="22"/>
  <c r="E126" i="22"/>
  <c r="D126" i="22"/>
  <c r="D93" i="22"/>
  <c r="E93" i="22"/>
  <c r="D123" i="22"/>
  <c r="E123" i="22"/>
  <c r="E94" i="22"/>
  <c r="D94" i="22"/>
  <c r="D42" i="22"/>
  <c r="E42" i="22"/>
  <c r="E43" i="22"/>
  <c r="D43" i="22"/>
  <c r="I104" i="16"/>
  <c r="E130" i="22"/>
  <c r="D130" i="22"/>
  <c r="E66" i="22"/>
  <c r="D66" i="22"/>
  <c r="D105" i="22"/>
  <c r="E105" i="22"/>
  <c r="D157" i="22"/>
  <c r="E157" i="22"/>
  <c r="E100" i="22"/>
  <c r="D100" i="22"/>
  <c r="E122" i="22"/>
  <c r="D122" i="22"/>
  <c r="D41" i="22"/>
  <c r="E41" i="22"/>
  <c r="E96" i="22"/>
  <c r="D96" i="22"/>
  <c r="I53" i="16"/>
  <c r="E148" i="22"/>
  <c r="D148" i="22"/>
  <c r="D151" i="22"/>
  <c r="E151" i="22"/>
  <c r="E139" i="22"/>
  <c r="D139" i="22"/>
  <c r="D282" i="22"/>
  <c r="E282" i="22"/>
  <c r="D76" i="22"/>
  <c r="E76" i="22"/>
  <c r="E78" i="22"/>
  <c r="D78" i="22"/>
  <c r="E79" i="22"/>
  <c r="D79" i="22"/>
  <c r="E47" i="22"/>
  <c r="D47" i="22"/>
  <c r="E87" i="22"/>
  <c r="D87" i="22"/>
  <c r="E70" i="22"/>
  <c r="D70" i="22"/>
  <c r="E92" i="22"/>
  <c r="D92" i="22"/>
  <c r="E124" i="22"/>
  <c r="D124" i="22"/>
  <c r="D55" i="22"/>
  <c r="E55" i="22"/>
  <c r="D50" i="22"/>
  <c r="E50" i="22"/>
  <c r="I164" i="16"/>
  <c r="E119" i="22"/>
  <c r="D119" i="22"/>
  <c r="E63" i="22"/>
  <c r="D63" i="22"/>
  <c r="D116" i="22"/>
  <c r="E116" i="22"/>
  <c r="D117" i="22"/>
  <c r="E117" i="22"/>
  <c r="I168" i="16"/>
  <c r="I82" i="16"/>
  <c r="D109" i="22"/>
  <c r="E109" i="22"/>
  <c r="D77" i="22"/>
  <c r="E77" i="22"/>
  <c r="E112" i="22"/>
  <c r="D112" i="22"/>
  <c r="I23" i="16"/>
  <c r="D75" i="22"/>
  <c r="E75" i="22"/>
  <c r="I144" i="16"/>
  <c r="E48" i="22"/>
  <c r="D48" i="22"/>
  <c r="D62" i="22"/>
  <c r="E62" i="22"/>
  <c r="E120" i="22"/>
  <c r="D120" i="22"/>
  <c r="I8" i="16"/>
  <c r="E107" i="22"/>
  <c r="D107" i="22"/>
  <c r="D68" i="22"/>
  <c r="E68" i="22"/>
  <c r="D97" i="22"/>
  <c r="E97" i="22"/>
  <c r="E67" i="22"/>
  <c r="D67" i="22"/>
  <c r="E150" i="22"/>
  <c r="D150" i="22"/>
  <c r="E99" i="22"/>
  <c r="D99" i="22"/>
  <c r="E140" i="22"/>
  <c r="D140" i="22"/>
  <c r="D113" i="22"/>
  <c r="E113" i="22"/>
  <c r="E250" i="22"/>
  <c r="D250" i="22"/>
  <c r="E135" i="22"/>
  <c r="D135" i="22"/>
  <c r="E83" i="22"/>
  <c r="D83" i="22"/>
  <c r="E142" i="22"/>
  <c r="D142" i="22"/>
  <c r="E144" i="22"/>
  <c r="D144" i="22"/>
  <c r="E114" i="22"/>
  <c r="D114" i="22"/>
  <c r="D111" i="22"/>
  <c r="E111" i="22"/>
  <c r="D88" i="22"/>
  <c r="E88" i="22"/>
  <c r="E82" i="22"/>
  <c r="D82" i="22"/>
  <c r="D89" i="22"/>
  <c r="E89" i="22"/>
  <c r="I50" i="16"/>
  <c r="E86" i="22"/>
  <c r="D86" i="22"/>
  <c r="E91" i="22"/>
  <c r="D91" i="22"/>
  <c r="E152" i="22"/>
  <c r="D152" i="22"/>
  <c r="D153" i="22"/>
  <c r="E153" i="22"/>
  <c r="E51" i="22"/>
  <c r="D51" i="22"/>
  <c r="I31" i="16"/>
  <c r="I178" i="16"/>
  <c r="E143" i="22"/>
  <c r="D143" i="22"/>
  <c r="I89" i="16"/>
  <c r="E84" i="22"/>
  <c r="D84" i="22"/>
  <c r="E131" i="22"/>
  <c r="D131" i="22"/>
  <c r="E108" i="22"/>
  <c r="D108" i="22"/>
  <c r="D147" i="22"/>
  <c r="E147" i="22"/>
  <c r="D65" i="22"/>
  <c r="E65" i="22"/>
  <c r="D318" i="22"/>
  <c r="E318" i="22"/>
  <c r="I182" i="16"/>
  <c r="E80" i="22"/>
  <c r="D80" i="22"/>
  <c r="E71" i="22"/>
  <c r="D71" i="22"/>
  <c r="D121" i="22"/>
  <c r="E121" i="22"/>
  <c r="D149" i="22"/>
  <c r="E149" i="22"/>
  <c r="E98" i="22"/>
  <c r="D98" i="22"/>
  <c r="E115" i="22"/>
  <c r="D115" i="22"/>
  <c r="D125" i="22"/>
  <c r="E125" i="22"/>
  <c r="E58" i="22"/>
  <c r="D58" i="22"/>
  <c r="E39" i="22"/>
  <c r="D39" i="22"/>
  <c r="D73" i="22"/>
  <c r="E73" i="22"/>
  <c r="D40" i="22"/>
  <c r="E40" i="22"/>
  <c r="E59" i="22"/>
  <c r="D59" i="22"/>
  <c r="D145" i="22"/>
  <c r="E145" i="22"/>
  <c r="I136" i="16"/>
  <c r="D129" i="22"/>
  <c r="E129" i="22"/>
  <c r="E95" i="22"/>
  <c r="D95" i="22"/>
  <c r="I162" i="16"/>
  <c r="D136" i="22"/>
  <c r="E136" i="22"/>
  <c r="E72" i="22"/>
  <c r="D72" i="22"/>
  <c r="I48" i="16"/>
  <c r="D138" i="22"/>
  <c r="E138" i="22"/>
  <c r="E106" i="22"/>
  <c r="D106" i="22"/>
  <c r="D146" i="22"/>
  <c r="E146" i="22"/>
  <c r="I73" i="16"/>
  <c r="E56" i="22"/>
  <c r="D56" i="22"/>
  <c r="D81" i="22"/>
  <c r="E81" i="22"/>
  <c r="E118" i="22"/>
  <c r="D118" i="22"/>
  <c r="E203" i="22" l="1"/>
  <c r="D203" i="22"/>
  <c r="D302" i="22"/>
  <c r="E302" i="22"/>
  <c r="D321" i="22"/>
  <c r="E321" i="22"/>
  <c r="E296" i="22"/>
  <c r="D296" i="22"/>
  <c r="E160" i="22"/>
  <c r="D160" i="22"/>
  <c r="D219" i="22"/>
  <c r="E219" i="22"/>
  <c r="E307" i="22"/>
  <c r="D307" i="22"/>
  <c r="D261" i="22"/>
  <c r="E261" i="22"/>
  <c r="D337" i="22"/>
  <c r="E337" i="22"/>
  <c r="E232" i="22"/>
  <c r="D232" i="22"/>
  <c r="E258" i="22"/>
  <c r="D258" i="22"/>
  <c r="D269" i="22"/>
  <c r="E269" i="22"/>
  <c r="D268" i="22"/>
  <c r="E268" i="22"/>
  <c r="E354" i="22"/>
  <c r="D354" i="22"/>
  <c r="E328" i="22"/>
  <c r="D328" i="22"/>
  <c r="D306" i="22"/>
  <c r="E306" i="22"/>
  <c r="E167" i="22"/>
  <c r="D167" i="22"/>
  <c r="E331" i="22"/>
  <c r="D331" i="22"/>
  <c r="D257" i="22"/>
  <c r="E257" i="22"/>
  <c r="D254" i="22"/>
  <c r="E254" i="22"/>
  <c r="E188" i="22"/>
  <c r="D188" i="22"/>
  <c r="E323" i="22"/>
  <c r="D323" i="22"/>
  <c r="E291" i="22"/>
  <c r="D291" i="22"/>
  <c r="E263" i="22"/>
  <c r="D263" i="22"/>
  <c r="D349" i="22"/>
  <c r="E349" i="22"/>
  <c r="D230" i="22"/>
  <c r="E230" i="22"/>
  <c r="D217" i="22"/>
  <c r="E217" i="22"/>
  <c r="D221" i="22"/>
  <c r="E221" i="22"/>
  <c r="D177" i="22"/>
  <c r="E177" i="22"/>
  <c r="D290" i="22"/>
  <c r="E290" i="22"/>
  <c r="E211" i="22"/>
  <c r="D211" i="22"/>
  <c r="E355" i="22"/>
  <c r="D355" i="22"/>
  <c r="E287" i="22"/>
  <c r="D287" i="22"/>
  <c r="D289" i="22"/>
  <c r="E289" i="22"/>
  <c r="D184" i="22"/>
  <c r="E184" i="22"/>
  <c r="E176" i="22"/>
  <c r="D176" i="22"/>
  <c r="D225" i="22"/>
  <c r="E225" i="22"/>
  <c r="D234" i="22"/>
  <c r="E234" i="22"/>
  <c r="D293" i="22"/>
  <c r="E293" i="22"/>
  <c r="D165" i="22"/>
  <c r="E165" i="22"/>
  <c r="D253" i="22"/>
  <c r="E253" i="22"/>
  <c r="D345" i="22"/>
  <c r="E345" i="22"/>
  <c r="D229" i="22"/>
  <c r="E229" i="22"/>
  <c r="E251" i="22"/>
  <c r="D251" i="22"/>
  <c r="D310" i="22"/>
  <c r="E310" i="22"/>
  <c r="D284" i="22"/>
  <c r="E284" i="22"/>
  <c r="E243" i="22"/>
  <c r="D243" i="22"/>
  <c r="D350" i="22"/>
  <c r="E350" i="22"/>
  <c r="E347" i="22"/>
  <c r="D347" i="22"/>
  <c r="D169" i="22"/>
  <c r="E169" i="22"/>
  <c r="D205" i="22"/>
  <c r="E205" i="22"/>
  <c r="E276" i="22"/>
  <c r="D276" i="22"/>
  <c r="D333" i="22"/>
  <c r="E333" i="22"/>
  <c r="E163" i="22"/>
  <c r="D163" i="22"/>
  <c r="D334" i="22"/>
  <c r="E334" i="22"/>
  <c r="D201" i="22"/>
  <c r="E201" i="22"/>
  <c r="E202" i="22"/>
  <c r="D202" i="22"/>
  <c r="D357" i="22"/>
  <c r="E357" i="22"/>
  <c r="D171" i="22"/>
  <c r="E171" i="22"/>
  <c r="D281" i="22"/>
  <c r="E281" i="22"/>
  <c r="E223" i="22"/>
  <c r="D223" i="22"/>
  <c r="E227" i="22"/>
  <c r="D227" i="22"/>
  <c r="E351" i="22"/>
  <c r="D351" i="22"/>
  <c r="E187" i="22"/>
  <c r="D187" i="22"/>
  <c r="D346" i="22"/>
  <c r="E346" i="22"/>
  <c r="D247" i="22"/>
  <c r="E247" i="22"/>
  <c r="D311" i="22"/>
  <c r="E311" i="22"/>
  <c r="D265" i="22"/>
  <c r="E265" i="22"/>
  <c r="E248" i="22"/>
  <c r="D248" i="22"/>
  <c r="D186" i="22"/>
  <c r="E186" i="22"/>
  <c r="D197" i="22"/>
  <c r="E197" i="22"/>
  <c r="E198" i="22"/>
  <c r="D198" i="22"/>
  <c r="E190" i="22"/>
  <c r="D190" i="22"/>
  <c r="E356" i="22"/>
  <c r="D356" i="22"/>
  <c r="D206" i="22"/>
  <c r="E206" i="22"/>
  <c r="E344" i="22"/>
  <c r="D344" i="22"/>
  <c r="D273" i="22"/>
  <c r="E273" i="22"/>
  <c r="D209" i="22"/>
  <c r="E209" i="22"/>
  <c r="E175" i="22"/>
  <c r="D175" i="22"/>
  <c r="E180" i="22"/>
  <c r="D180" i="22"/>
  <c r="D245" i="22"/>
  <c r="E245" i="22"/>
  <c r="D329" i="22"/>
  <c r="E329" i="22"/>
  <c r="E196" i="22"/>
  <c r="D196" i="22"/>
  <c r="E303" i="22"/>
  <c r="D303" i="22"/>
  <c r="E174" i="22"/>
  <c r="D174" i="22"/>
  <c r="E208" i="22"/>
  <c r="D208" i="22"/>
  <c r="E319" i="22"/>
  <c r="D319" i="22"/>
  <c r="E252" i="22"/>
  <c r="D252" i="22"/>
  <c r="E335" i="22"/>
  <c r="D335" i="22"/>
  <c r="D274" i="22"/>
  <c r="E274" i="22"/>
  <c r="E191" i="22"/>
  <c r="D191" i="22"/>
  <c r="D270" i="22"/>
  <c r="E270" i="22"/>
  <c r="D353" i="22"/>
  <c r="E353" i="22"/>
  <c r="E195" i="22"/>
  <c r="D195" i="22"/>
  <c r="E339" i="22"/>
  <c r="D339" i="22"/>
  <c r="D313" i="22"/>
  <c r="E313" i="22"/>
  <c r="E320" i="22"/>
  <c r="D320" i="22"/>
  <c r="D294" i="22"/>
  <c r="E294" i="22"/>
  <c r="D341" i="22"/>
  <c r="E341" i="22"/>
  <c r="E194" i="22"/>
  <c r="D194" i="22"/>
  <c r="D185" i="22"/>
  <c r="E185" i="22"/>
  <c r="E240" i="22"/>
  <c r="D240" i="22"/>
  <c r="E272" i="22"/>
  <c r="D272" i="22"/>
  <c r="E200" i="22"/>
  <c r="D200" i="22"/>
  <c r="E308" i="22"/>
  <c r="D308" i="22"/>
  <c r="E179" i="22"/>
  <c r="D179" i="22"/>
  <c r="D172" i="22"/>
  <c r="E172" i="22"/>
  <c r="E299" i="22"/>
  <c r="D299" i="22"/>
  <c r="E239" i="22"/>
  <c r="D239" i="22"/>
  <c r="E262" i="22"/>
  <c r="D262" i="22"/>
  <c r="E236" i="22"/>
  <c r="D236" i="22"/>
  <c r="E267" i="22"/>
  <c r="D267" i="22"/>
  <c r="E280" i="22"/>
  <c r="D280" i="22"/>
  <c r="D279" i="22"/>
  <c r="E279" i="22"/>
  <c r="E214" i="22"/>
  <c r="D214" i="22"/>
  <c r="E210" i="22"/>
  <c r="D210" i="22"/>
  <c r="E336" i="22"/>
  <c r="D336" i="22"/>
  <c r="E224" i="22"/>
  <c r="D224" i="22"/>
  <c r="E242" i="22"/>
  <c r="D242" i="22"/>
  <c r="E222" i="22"/>
  <c r="D222" i="22"/>
  <c r="D241" i="22"/>
  <c r="E241" i="22"/>
  <c r="D316" i="22"/>
  <c r="E316" i="22"/>
  <c r="D244" i="22"/>
  <c r="E244" i="22"/>
  <c r="E312" i="22"/>
  <c r="D312" i="22"/>
  <c r="D305" i="22"/>
  <c r="E305" i="22"/>
  <c r="E324" i="22"/>
  <c r="D324" i="22"/>
  <c r="D199" i="22"/>
  <c r="E199" i="22"/>
  <c r="E183" i="22"/>
  <c r="D183" i="22"/>
  <c r="D301" i="22"/>
  <c r="E301" i="22"/>
  <c r="D342" i="22"/>
  <c r="E342" i="22"/>
  <c r="E182" i="22"/>
  <c r="D182" i="22"/>
  <c r="D343" i="22"/>
  <c r="E343" i="22"/>
  <c r="E255" i="22"/>
  <c r="D255" i="22"/>
  <c r="D193" i="22"/>
  <c r="E193" i="22"/>
  <c r="E288" i="22"/>
  <c r="D288" i="22"/>
  <c r="D286" i="22"/>
  <c r="E286" i="22"/>
  <c r="D322" i="22"/>
  <c r="E322" i="22"/>
  <c r="E259" i="22"/>
  <c r="D259" i="22"/>
  <c r="E166" i="22"/>
  <c r="D166" i="22"/>
  <c r="D161" i="22"/>
  <c r="E161" i="22"/>
  <c r="E292" i="22"/>
  <c r="D292" i="22"/>
  <c r="E170" i="22"/>
  <c r="D170" i="22"/>
  <c r="E226" i="22"/>
  <c r="D226" i="22"/>
  <c r="E315" i="22"/>
  <c r="D315" i="22"/>
  <c r="D300" i="22"/>
  <c r="E300" i="22"/>
  <c r="D158" i="22"/>
  <c r="B17" i="21"/>
  <c r="E158" i="22"/>
  <c r="E231" i="22"/>
  <c r="D231" i="22"/>
  <c r="D298" i="22"/>
  <c r="E298" i="22"/>
  <c r="E168" i="22"/>
  <c r="D168" i="22"/>
  <c r="D325" i="22"/>
  <c r="E325" i="22"/>
  <c r="E220" i="22"/>
  <c r="D220" i="22"/>
  <c r="D277" i="22"/>
  <c r="E277" i="22"/>
  <c r="D327" i="22"/>
  <c r="E327" i="22"/>
  <c r="E228" i="22"/>
  <c r="D228" i="22"/>
  <c r="E304" i="22"/>
  <c r="D304" i="22"/>
  <c r="D233" i="22"/>
  <c r="E233" i="22"/>
  <c r="E178" i="22"/>
  <c r="D178" i="22"/>
  <c r="D330" i="22"/>
  <c r="E330" i="22"/>
  <c r="E275" i="22"/>
  <c r="D275" i="22"/>
  <c r="E271" i="22"/>
  <c r="D271" i="22"/>
  <c r="E238" i="22"/>
  <c r="D238" i="22"/>
  <c r="E204" i="22"/>
  <c r="D204" i="22"/>
  <c r="E260" i="22"/>
  <c r="D260" i="22"/>
  <c r="D332" i="22"/>
  <c r="E332" i="22"/>
  <c r="D213" i="22"/>
  <c r="E213" i="22"/>
  <c r="D249" i="22"/>
  <c r="E249" i="22"/>
  <c r="D309" i="22"/>
  <c r="E309" i="22"/>
  <c r="D237" i="22"/>
  <c r="E237" i="22"/>
  <c r="E340" i="22"/>
  <c r="D340" i="22"/>
  <c r="D285" i="22"/>
  <c r="E285" i="22"/>
  <c r="E162" i="22"/>
  <c r="D162" i="22"/>
  <c r="D314" i="22"/>
  <c r="E314" i="22"/>
  <c r="D181" i="22"/>
  <c r="E181" i="22"/>
  <c r="D295" i="22"/>
  <c r="E295" i="22"/>
  <c r="D164" i="22"/>
  <c r="E164" i="22"/>
  <c r="D297" i="22"/>
  <c r="E297" i="22"/>
  <c r="D235" i="22"/>
  <c r="E235" i="22"/>
  <c r="D317" i="22"/>
  <c r="E317" i="22"/>
  <c r="E192" i="22"/>
  <c r="D192" i="22"/>
  <c r="E159" i="22"/>
  <c r="D159" i="22"/>
  <c r="E266" i="22"/>
  <c r="D266" i="22"/>
  <c r="E246" i="22"/>
  <c r="D246" i="22"/>
  <c r="D348" i="22"/>
  <c r="E348" i="22"/>
  <c r="D278" i="22"/>
  <c r="E278" i="22"/>
  <c r="E216" i="22"/>
  <c r="D216" i="22"/>
  <c r="D326" i="22"/>
  <c r="E326" i="22"/>
  <c r="E218" i="22"/>
  <c r="D218" i="22"/>
  <c r="D207" i="22"/>
  <c r="E207" i="22"/>
  <c r="D189" i="22"/>
  <c r="E189" i="22"/>
  <c r="D338" i="22"/>
  <c r="E338" i="22"/>
  <c r="E256" i="22"/>
  <c r="D256" i="22"/>
  <c r="E352" i="22"/>
  <c r="D352" i="22"/>
  <c r="E283" i="22"/>
  <c r="D283" i="22"/>
</calcChain>
</file>

<file path=xl/sharedStrings.xml><?xml version="1.0" encoding="utf-8"?>
<sst xmlns="http://schemas.openxmlformats.org/spreadsheetml/2006/main" count="22973" uniqueCount="921">
  <si>
    <t>NOVA RETAIL — MIS REPORTING SYSTEM</t>
  </si>
  <si>
    <t>Profitability Monitoring, Margin Volatility &amp; Performance Diagnostic</t>
  </si>
  <si>
    <t>Business Problem</t>
  </si>
  <si>
    <t>Scope &amp; Data Source</t>
  </si>
  <si>
    <t>Source: Nova Retail ERP dataset (15 tables, Jan 2021 - Dec 2024, verified zero orphan keys). This workbook is built entirely from that dataset. No figures are estimated, assumed, or fabricated.</t>
  </si>
  <si>
    <t>How This Workbook Is Built</t>
  </si>
  <si>
    <t>KPI_* sheets    =  Business logic layer. Every cell is a live formula referencing Model_* tables (SUMIFS / INDEX-MATCH / LET). No hardcoded numbers.</t>
  </si>
  <si>
    <t>Report_* sheets =  Aggregated views + native charts answering each locked business question.</t>
  </si>
  <si>
    <t>Insights          =  Formula-generated sentences, built from live KPI cells.</t>
  </si>
  <si>
    <t>Recommendations  =  Actions tied 1:1 to each insight.</t>
  </si>
  <si>
    <t>Data_Limitations =  What this dataset explicitly cannot prove. Read before presenting.</t>
  </si>
  <si>
    <t>Locked Business Questions</t>
  </si>
  <si>
    <t>Known Limitation (see Data_Limitations sheet for full list)</t>
  </si>
  <si>
    <t>No inventory/warehouse table, no freight/logistics cost, no supplier lead-time data, no employee cost data, no store-level sales target exists in source data.</t>
  </si>
  <si>
    <t>year</t>
  </si>
  <si>
    <t>month</t>
  </si>
  <si>
    <t>ym</t>
  </si>
  <si>
    <t>revenue</t>
  </si>
  <si>
    <t>cost</t>
  </si>
  <si>
    <t>orders</t>
  </si>
  <si>
    <t>margin</t>
  </si>
  <si>
    <t>margin_pct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</si>
  <si>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</si>
  <si>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</si>
  <si>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</si>
  <si>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</si>
  <si>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</si>
  <si>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</si>
  <si>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</si>
  <si>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</si>
  <si>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</si>
  <si>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</si>
  <si>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</si>
  <si>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</si>
  <si>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</si>
  <si>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</si>
  <si>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</si>
  <si>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</si>
  <si>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</si>
  <si>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</si>
  <si>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</si>
  <si>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</si>
  <si>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</si>
  <si>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</si>
  <si>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</si>
  <si>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</si>
  <si>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</si>
  <si>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</si>
  <si>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</si>
  <si>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</si>
  <si>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</si>
  <si>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</si>
  <si>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</si>
  <si>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</si>
  <si>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</si>
  <si>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</si>
  <si>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</si>
  <si>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</si>
  <si>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</si>
  <si>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</si>
  <si>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</si>
  <si>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</si>
  <si>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</si>
  <si>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</si>
  <si>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</si>
  <si>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</si>
  <si>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</si>
  <si>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</si>
  <si>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</si>
  <si>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</si>
  <si>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01_Model_Region_Month — ETL output (materialized). Source: Power Query joins documented in PowerQuery_DAX_Specification.md</t>
  </si>
  <si>
    <t>region_id</t>
  </si>
  <si>
    <t>region_name</t>
  </si>
  <si>
    <t>zone</t>
  </si>
  <si>
    <t>target_amount</t>
  </si>
  <si>
    <t>achievement_pct</t>
  </si>
  <si>
    <t>Delhi NCR</t>
  </si>
  <si>
    <t>North</t>
  </si>
  <si>
    <t>Gujarat</t>
  </si>
  <si>
    <t>West</t>
  </si>
  <si>
    <t>Karnataka</t>
  </si>
  <si>
    <t>South</t>
  </si>
  <si>
    <t>Kerala</t>
  </si>
  <si>
    <t>Madhya Pradesh</t>
  </si>
  <si>
    <t>Central</t>
  </si>
  <si>
    <t>Maharashtra</t>
  </si>
  <si>
    <t>Odisha-Jharkhand</t>
  </si>
  <si>
    <t>East</t>
  </si>
  <si>
    <t>Punjab-Haryana</t>
  </si>
  <si>
    <t>Rajasthan</t>
  </si>
  <si>
    <t>Tamil Nadu</t>
  </si>
  <si>
    <t>Telangana-AP</t>
  </si>
  <si>
    <t>West Bengal</t>
  </si>
  <si>
    <t>01_Model_Store_Month — ETL output (materialized). Source: Power Query joins documented in PowerQuery_DAX_Specification.md</t>
  </si>
  <si>
    <t>store_id</t>
  </si>
  <si>
    <t>store_name</t>
  </si>
  <si>
    <t>discount_leak</t>
  </si>
  <si>
    <t>catalog_value</t>
  </si>
  <si>
    <t>return_count</t>
  </si>
  <si>
    <t>refund_amount</t>
  </si>
  <si>
    <t>Nova Retail - Ahmedabad Flagship</t>
  </si>
  <si>
    <t>Nova Retail - Ahmedabad Standard</t>
  </si>
  <si>
    <t>Nova Retail - Amritsar Compact</t>
  </si>
  <si>
    <t>Nova Retail - Amritsar Flagship</t>
  </si>
  <si>
    <t>Nova Retail - Amritsar Standard</t>
  </si>
  <si>
    <t>Nova Retail - Bengaluru Compact</t>
  </si>
  <si>
    <t>Nova Retail - Bengaluru Standard</t>
  </si>
  <si>
    <t>Nova Retail - Bhopal Standard</t>
  </si>
  <si>
    <t>Nova Retail - Bhubaneswar Standard</t>
  </si>
  <si>
    <t>Nova Retail - Chandigarh Compact</t>
  </si>
  <si>
    <t>Nova Retail - Chandigarh Standard</t>
  </si>
  <si>
    <t>Nova Retail - Chennai Compact</t>
  </si>
  <si>
    <t>Nova Retail - Chennai Standard</t>
  </si>
  <si>
    <t>Nova Retail - Coimbatore Compact</t>
  </si>
  <si>
    <t>Nova Retail - Cuttack Standard</t>
  </si>
  <si>
    <t>Nova Retail - Durgapur Standard</t>
  </si>
  <si>
    <t>Nova Retail - Faridabad Standard</t>
  </si>
  <si>
    <t>Nova Retail - Gurugram Compact</t>
  </si>
  <si>
    <t>Nova Retail - Gurugram Standard</t>
  </si>
  <si>
    <t>Nova Retail - Gwalior Compact</t>
  </si>
  <si>
    <t>Nova Retail - Gwalior Flagship</t>
  </si>
  <si>
    <t>Nova Retail - Gwalior Standard</t>
  </si>
  <si>
    <t>Nova Retail - Howrah Compact</t>
  </si>
  <si>
    <t>Nova Retail - Howrah Standard</t>
  </si>
  <si>
    <t>Nova Retail - Hubballi Compact</t>
  </si>
  <si>
    <t>Nova Retail - Hubballi Flagship</t>
  </si>
  <si>
    <t>Nova Retail - Hubballi Standard</t>
  </si>
  <si>
    <t>Nova Retail - Hyderabad Standard</t>
  </si>
  <si>
    <t>Nova Retail - Indore Compact</t>
  </si>
  <si>
    <t>Nova Retail - Indore Standard</t>
  </si>
  <si>
    <t>Nova Retail - Jabalpur Flagship</t>
  </si>
  <si>
    <t>Nova Retail - Jabalpur Standard</t>
  </si>
  <si>
    <t>Nova Retail - Jaipur Flagship</t>
  </si>
  <si>
    <t>Nova Retail - Jamshedpur Compact</t>
  </si>
  <si>
    <t>Nova Retail - Jamshedpur Standard</t>
  </si>
  <si>
    <t>Nova Retail - Jodhpur Compact</t>
  </si>
  <si>
    <t>Nova Retail - Karnal Standard</t>
  </si>
  <si>
    <t>Nova Retail - Kochi Standard</t>
  </si>
  <si>
    <t>Nova Retail - Kolkata Compact</t>
  </si>
  <si>
    <t>Nova Retail - Kolkata Standard</t>
  </si>
  <si>
    <t>Nova Retail - Kota Standard</t>
  </si>
  <si>
    <t>Nova Retail - Kozhikode Compact</t>
  </si>
  <si>
    <t>Nova Retail - Kozhikode Standard</t>
  </si>
  <si>
    <t>Nova Retail - Ludhiana Compact</t>
  </si>
  <si>
    <t>Nova Retail - Ludhiana Flagship</t>
  </si>
  <si>
    <t>Nova Retail - Ludhiana Standard</t>
  </si>
  <si>
    <t>Nova Retail - Madurai Compact</t>
  </si>
  <si>
    <t>Nova Retail - Madurai Standard</t>
  </si>
  <si>
    <t>Nova Retail - Mangaluru Compact</t>
  </si>
  <si>
    <t>Nova Retail - Mangaluru Standard</t>
  </si>
  <si>
    <t>Nova Retail - Mumbai Compact</t>
  </si>
  <si>
    <t>Nova Retail - Mumbai Flagship</t>
  </si>
  <si>
    <t>Nova Retail - Mumbai Standard</t>
  </si>
  <si>
    <t>Nova Retail - Mysuru Standard</t>
  </si>
  <si>
    <t>Nova Retail - Nagpur Compact</t>
  </si>
  <si>
    <t>Nova Retail - Nashik Standard</t>
  </si>
  <si>
    <t>Nova Retail - New Delhi Standard</t>
  </si>
  <si>
    <t>Nova Retail - Noida Flagship</t>
  </si>
  <si>
    <t>Nova Retail - Pune Standard</t>
  </si>
  <si>
    <t>Nova Retail - Rajkot Compact</t>
  </si>
  <si>
    <t>Nova Retail - Ranchi Standard</t>
  </si>
  <si>
    <t>Nova Retail - Salem Compact</t>
  </si>
  <si>
    <t>Nova Retail - Salem Standard</t>
  </si>
  <si>
    <t>Nova Retail - Siliguri Compact</t>
  </si>
  <si>
    <t>Nova Retail - Siliguri Flagship</t>
  </si>
  <si>
    <t>Nova Retail - Siliguri Standard</t>
  </si>
  <si>
    <t>Nova Retail - Surat Standard</t>
  </si>
  <si>
    <t>Nova Retail - Thiruvananthapuram Standard</t>
  </si>
  <si>
    <t>Nova Retail - Thrissur Standard</t>
  </si>
  <si>
    <t>Nova Retail - Udaipur Standard</t>
  </si>
  <si>
    <t>Nova Retail - Vadodara Compact</t>
  </si>
  <si>
    <t>Nova Retail - Vadodara Standard</t>
  </si>
  <si>
    <t>Nova Retail - Vijayawada Standard</t>
  </si>
  <si>
    <t>Nova Retail - Visakhapatnam Compact</t>
  </si>
  <si>
    <t>Nova Retail - Visakhapatnam Standard</t>
  </si>
  <si>
    <t>Nova Retail - Warangal Compact</t>
  </si>
  <si>
    <t>Nova Retail - Warangal Standard</t>
  </si>
  <si>
    <t>01_Model_Store_Score — ETL output (materialized). Source: Power Query joins documented in PowerQuery_DAX_Specification.md</t>
  </si>
  <si>
    <t>revenue_last6</t>
  </si>
  <si>
    <t>cost_last6</t>
  </si>
  <si>
    <t>discount_leak_last6</t>
  </si>
  <si>
    <t>catalog_value_last6</t>
  </si>
  <si>
    <t>order_count_last6</t>
  </si>
  <si>
    <t>lines_last6</t>
  </si>
  <si>
    <t>margin_last6</t>
  </si>
  <si>
    <t>margin_pct_last6</t>
  </si>
  <si>
    <t>discount_leak_pct_last6</t>
  </si>
  <si>
    <t>revenue_prior6</t>
  </si>
  <si>
    <t>cost_prior6</t>
  </si>
  <si>
    <t>discount_leak_prior6</t>
  </si>
  <si>
    <t>catalog_value_prior6</t>
  </si>
  <si>
    <t>order_count_prior6</t>
  </si>
  <si>
    <t>lines_prior6</t>
  </si>
  <si>
    <t>margin_prior6</t>
  </si>
  <si>
    <t>margin_pct_prior6</t>
  </si>
  <si>
    <t>discount_leak_pct_prior6</t>
  </si>
  <si>
    <t>return_rate_last6</t>
  </si>
  <si>
    <t>revenue_growth_pct</t>
  </si>
  <si>
    <t>margin_trend_pp</t>
  </si>
  <si>
    <t>01_Model_Category — ETL output (materialized). Source: Power Query joins documented in PowerQuery_DAX_Specification.md</t>
  </si>
  <si>
    <t>category_id</t>
  </si>
  <si>
    <t>category_name</t>
  </si>
  <si>
    <t>category_group</t>
  </si>
  <si>
    <t>lines</t>
  </si>
  <si>
    <t>discount_leak_pct</t>
  </si>
  <si>
    <t>return_rate</t>
  </si>
  <si>
    <t>revenue_share</t>
  </si>
  <si>
    <t>Refrigerators</t>
  </si>
  <si>
    <t>Appliances</t>
  </si>
  <si>
    <t>Laptops &amp; Computers</t>
  </si>
  <si>
    <t>Electronics</t>
  </si>
  <si>
    <t>Televisions</t>
  </si>
  <si>
    <t>Furniture</t>
  </si>
  <si>
    <t>Home &amp; Living</t>
  </si>
  <si>
    <t>Mobiles &amp; Accessories</t>
  </si>
  <si>
    <t>Air Conditioners &amp; Coolers</t>
  </si>
  <si>
    <t>Washing Machines</t>
  </si>
  <si>
    <t>Kitchen Appliances</t>
  </si>
  <si>
    <t>Home Audio</t>
  </si>
  <si>
    <t>Heaters &amp; Winter Appliances</t>
  </si>
  <si>
    <t>Footwear</t>
  </si>
  <si>
    <t>Apparel</t>
  </si>
  <si>
    <t>Festive &amp; Gifting</t>
  </si>
  <si>
    <t>Seasonal</t>
  </si>
  <si>
    <t>Home Decor</t>
  </si>
  <si>
    <t>Women's Apparel</t>
  </si>
  <si>
    <t>Men's Apparel</t>
  </si>
  <si>
    <t>Toys &amp; Games</t>
  </si>
  <si>
    <t>Kitchenware</t>
  </si>
  <si>
    <t>Kids Apparel</t>
  </si>
  <si>
    <t>Personal Care</t>
  </si>
  <si>
    <t>Grocery</t>
  </si>
  <si>
    <t>Groceries &amp; Staples</t>
  </si>
  <si>
    <t>01_Model_Category_Month — ETL output (materialized). Source: Power Query joins documented in PowerQuery_DAX_Specification.md</t>
  </si>
  <si>
    <t>01_Model_Promotion — ETL output (materialized). Source: Power Query joins documented in PowerQuery_DAX_Specification.md</t>
  </si>
  <si>
    <t>promotion_id</t>
  </si>
  <si>
    <t>avg_order_value</t>
  </si>
  <si>
    <t>promotion_name</t>
  </si>
  <si>
    <t>promotion_type</t>
  </si>
  <si>
    <t>discount_pct</t>
  </si>
  <si>
    <t>start_date</t>
  </si>
  <si>
    <t>end_date</t>
  </si>
  <si>
    <t>baseline_margin_pct</t>
  </si>
  <si>
    <t>baseline_avg_order_value</t>
  </si>
  <si>
    <t>margin_pct_delta_pp</t>
  </si>
  <si>
    <t>aov_lift_pct</t>
  </si>
  <si>
    <t>Loyalty Sep2024 - 5% Off</t>
  </si>
  <si>
    <t>Loyalty</t>
  </si>
  <si>
    <t>2024-09-19</t>
  </si>
  <si>
    <t>2024-10-03</t>
  </si>
  <si>
    <t>Festive Nov2024 - 5% Off</t>
  </si>
  <si>
    <t>Festive</t>
  </si>
  <si>
    <t>2024-11-26</t>
  </si>
  <si>
    <t>2024-12-06</t>
  </si>
  <si>
    <t>Seasonal Nov2024 - 5% Off</t>
  </si>
  <si>
    <t>2024-11-24</t>
  </si>
  <si>
    <t>2024-12-01</t>
  </si>
  <si>
    <t>Seasonal Dec2023 - 15% Off</t>
  </si>
  <si>
    <t>2023-12-25</t>
  </si>
  <si>
    <t>2024-01-12</t>
  </si>
  <si>
    <t>Festive Nov2022 - 5% Off</t>
  </si>
  <si>
    <t>2022-11-27</t>
  </si>
  <si>
    <t>2022-12-17</t>
  </si>
  <si>
    <t>Festive Oct2021 - 5% Off</t>
  </si>
  <si>
    <t>2021-10-30</t>
  </si>
  <si>
    <t>2021-11-06</t>
  </si>
  <si>
    <t>Festive Jun2022 - 10% Off</t>
  </si>
  <si>
    <t>2022-06-27</t>
  </si>
  <si>
    <t>2022-07-09</t>
  </si>
  <si>
    <t>Festive Nov2023 - 25% Off</t>
  </si>
  <si>
    <t>2023-11-27</t>
  </si>
  <si>
    <t>2023-12-13</t>
  </si>
  <si>
    <t>Seasonal Nov2022 - 12% Off</t>
  </si>
  <si>
    <t>2022-11-22</t>
  </si>
  <si>
    <t>2022-12-04</t>
  </si>
  <si>
    <t>Festive Oct2021 - 15% Off</t>
  </si>
  <si>
    <t>2021-10-26</t>
  </si>
  <si>
    <t>2021-11-07</t>
  </si>
  <si>
    <t>Loyalty Nov2023 - 30% Off</t>
  </si>
  <si>
    <t>2023-11-13</t>
  </si>
  <si>
    <t>2023-12-01</t>
  </si>
  <si>
    <t>Flash Sale Jun2022 - 30% Off</t>
  </si>
  <si>
    <t>Flash Sale</t>
  </si>
  <si>
    <t>2022-06-30</t>
  </si>
  <si>
    <t>2022-07-02</t>
  </si>
  <si>
    <t>Flash Sale Jun2023 - 10% Off</t>
  </si>
  <si>
    <t>2023-06-30</t>
  </si>
  <si>
    <t>2023-07-03</t>
  </si>
  <si>
    <t>Festive Sep2022 - 20% Off</t>
  </si>
  <si>
    <t>2022-09-23</t>
  </si>
  <si>
    <t>2022-10-07</t>
  </si>
  <si>
    <t>Seasonal Jun2024 - 5% Off</t>
  </si>
  <si>
    <t>2024-06-21</t>
  </si>
  <si>
    <t>2024-07-11</t>
  </si>
  <si>
    <t>Clearance May2024 - 25% Off</t>
  </si>
  <si>
    <t>Clearance</t>
  </si>
  <si>
    <t>2024-05-27</t>
  </si>
  <si>
    <t>2024-06-10</t>
  </si>
  <si>
    <t>Clearance Sep2023 - 20% Off</t>
  </si>
  <si>
    <t>2023-09-24</t>
  </si>
  <si>
    <t>2023-10-03</t>
  </si>
  <si>
    <t>Loyalty Dec2021 - 5% Off</t>
  </si>
  <si>
    <t>2021-12-25</t>
  </si>
  <si>
    <t>2022-01-02</t>
  </si>
  <si>
    <t>Seasonal Jun2024 - 10% Off</t>
  </si>
  <si>
    <t>2024-06-23</t>
  </si>
  <si>
    <t>2024-07-10</t>
  </si>
  <si>
    <t>Festive Sep2023 - 18% Off</t>
  </si>
  <si>
    <t>2023-09-28</t>
  </si>
  <si>
    <t>2023-10-07</t>
  </si>
  <si>
    <t>Seasonal Jun2023 - 25% Off</t>
  </si>
  <si>
    <t>2023-06-26</t>
  </si>
  <si>
    <t>2023-07-16</t>
  </si>
  <si>
    <t>Festive Oct2022 - 35% Off</t>
  </si>
  <si>
    <t>2022-10-25</t>
  </si>
  <si>
    <t>2022-11-14</t>
  </si>
  <si>
    <t>Clearance Jul2023 - 18% Off</t>
  </si>
  <si>
    <t>2023-07-31</t>
  </si>
  <si>
    <t>2023-08-14</t>
  </si>
  <si>
    <t>Festive Apr2024 - 12% Off</t>
  </si>
  <si>
    <t>2024-04-21</t>
  </si>
  <si>
    <t>2024-05-04</t>
  </si>
  <si>
    <t>Loyalty Jul2023 - 18% Off</t>
  </si>
  <si>
    <t>2023-07-29</t>
  </si>
  <si>
    <t>Festive May2022 - 10% Off</t>
  </si>
  <si>
    <t>2022-05-23</t>
  </si>
  <si>
    <t>2022-06-05</t>
  </si>
  <si>
    <t>Flash Sale Dec2023 - 25% Off</t>
  </si>
  <si>
    <t>2023-12-05</t>
  </si>
  <si>
    <t>2023-12-07</t>
  </si>
  <si>
    <t>Loyalty Apr2023 - 25% Off</t>
  </si>
  <si>
    <t>2023-04-25</t>
  </si>
  <si>
    <t>2023-05-04</t>
  </si>
  <si>
    <t>Flash Sale Sep2022 - 20% Off</t>
  </si>
  <si>
    <t>2022-09-09</t>
  </si>
  <si>
    <t>2022-09-10</t>
  </si>
  <si>
    <t>Flash Sale Nov2023 - 10% Off</t>
  </si>
  <si>
    <t>2023-11-20</t>
  </si>
  <si>
    <t>2023-11-21</t>
  </si>
  <si>
    <t>Festive Jan2022 - 25% Off</t>
  </si>
  <si>
    <t>2022-01-30</t>
  </si>
  <si>
    <t>2022-02-02</t>
  </si>
  <si>
    <t>Seasonal Nov2023 - 12% Off</t>
  </si>
  <si>
    <t>2023-11-12</t>
  </si>
  <si>
    <t>2023-11-15</t>
  </si>
  <si>
    <t>Loyalty Feb2022 - 5% Off</t>
  </si>
  <si>
    <t>2022-02-17</t>
  </si>
  <si>
    <t>2022-03-04</t>
  </si>
  <si>
    <t>Seasonal Jan2024 - 20% Off</t>
  </si>
  <si>
    <t>2024-01-24</t>
  </si>
  <si>
    <t>Festive Apr2023 - 18% Off</t>
  </si>
  <si>
    <t>2023-04-23</t>
  </si>
  <si>
    <t>2023-05-05</t>
  </si>
  <si>
    <t>Loyalty Jan2024 - 25% Off</t>
  </si>
  <si>
    <t>2024-01-17</t>
  </si>
  <si>
    <t>Seasonal Sep2022 - 15% Off</t>
  </si>
  <si>
    <t>2022-09-19</t>
  </si>
  <si>
    <t>2022-09-30</t>
  </si>
  <si>
    <t>Clearance Nov2022 - 10% Off</t>
  </si>
  <si>
    <t>2022-11-05</t>
  </si>
  <si>
    <t>2022-11-25</t>
  </si>
  <si>
    <t>Seasonal Jan2023 - 5% Off</t>
  </si>
  <si>
    <t>2023-01-24</t>
  </si>
  <si>
    <t>2023-02-08</t>
  </si>
  <si>
    <t>Festive Jul2024 - 15% Off</t>
  </si>
  <si>
    <t>2024-07-18</t>
  </si>
  <si>
    <t>2024-08-06</t>
  </si>
  <si>
    <t>Clearance Dec2022 - 15% Off</t>
  </si>
  <si>
    <t>2022-12-14</t>
  </si>
  <si>
    <t>2022-12-27</t>
  </si>
  <si>
    <t>Loyalty Jun2023 - 10% Off</t>
  </si>
  <si>
    <t>2023-06-13</t>
  </si>
  <si>
    <t>2023-06-28</t>
  </si>
  <si>
    <t>Flash Sale Jun2023 - 15% Off</t>
  </si>
  <si>
    <t>2023-06-10</t>
  </si>
  <si>
    <t>2023-06-11</t>
  </si>
  <si>
    <t>Flash Sale Sep2024 - 10% Off</t>
  </si>
  <si>
    <t>2024-09-13</t>
  </si>
  <si>
    <t>2024-09-15</t>
  </si>
  <si>
    <t>Festive Apr2022 - 5% Off</t>
  </si>
  <si>
    <t>2022-04-20</t>
  </si>
  <si>
    <t>2022-05-03</t>
  </si>
  <si>
    <t>Festive Jan2023 - 10% Off</t>
  </si>
  <si>
    <t>2023-01-17</t>
  </si>
  <si>
    <t>2023-02-01</t>
  </si>
  <si>
    <t>Loyalty May2022 - 20% Off</t>
  </si>
  <si>
    <t>2022-06-03</t>
  </si>
  <si>
    <t>Loyalty Aug2022 - 12% Off</t>
  </si>
  <si>
    <t>2022-08-08</t>
  </si>
  <si>
    <t>2022-08-18</t>
  </si>
  <si>
    <t>Seasonal Jul2024 - 12% Off</t>
  </si>
  <si>
    <t>2024-07-31</t>
  </si>
  <si>
    <t>2024-08-14</t>
  </si>
  <si>
    <t>Loyalty Jul2024 - 18% Off</t>
  </si>
  <si>
    <t>2024-07-15</t>
  </si>
  <si>
    <t>2024-08-04</t>
  </si>
  <si>
    <t>Festive Mar2021 - 5% Off</t>
  </si>
  <si>
    <t>2021-03-18</t>
  </si>
  <si>
    <t>2021-03-29</t>
  </si>
  <si>
    <t>Festive Dec2022 - 12% Off</t>
  </si>
  <si>
    <t>2022-12-03</t>
  </si>
  <si>
    <t>2022-12-18</t>
  </si>
  <si>
    <t>Seasonal Mar2023 - 15% Off</t>
  </si>
  <si>
    <t>2023-03-29</t>
  </si>
  <si>
    <t>2023-04-12</t>
  </si>
  <si>
    <t>Seasonal May2024 - 10% Off</t>
  </si>
  <si>
    <t>2024-05-17</t>
  </si>
  <si>
    <t>2024-05-21</t>
  </si>
  <si>
    <t>Loyalty Oct2023 - 10% Off</t>
  </si>
  <si>
    <t>2023-10-14</t>
  </si>
  <si>
    <t>2023-10-31</t>
  </si>
  <si>
    <t>Loyalty Sep2024 - 10% Off</t>
  </si>
  <si>
    <t>2024-09-08</t>
  </si>
  <si>
    <t>Seasonal Sep2024 - 5% Off</t>
  </si>
  <si>
    <t>2024-09-09</t>
  </si>
  <si>
    <t>2024-09-27</t>
  </si>
  <si>
    <t>Festive Jun2024 - 5% Off</t>
  </si>
  <si>
    <t>2024-06-12</t>
  </si>
  <si>
    <t>2024-06-22</t>
  </si>
  <si>
    <t>Loyalty Jun2024 - 12% Off</t>
  </si>
  <si>
    <t>2024-06-13</t>
  </si>
  <si>
    <t>Seasonal Apr2022 - 20% Off</t>
  </si>
  <si>
    <t>2022-04-26</t>
  </si>
  <si>
    <t>2022-05-06</t>
  </si>
  <si>
    <t>Festive Sep2024 - 15% Off</t>
  </si>
  <si>
    <t>2024-09-06</t>
  </si>
  <si>
    <t>2024-09-18</t>
  </si>
  <si>
    <t>Flash Sale Nov2024 - 5% Off</t>
  </si>
  <si>
    <t>2024-11-27</t>
  </si>
  <si>
    <t>2024-11-30</t>
  </si>
  <si>
    <t>Seasonal Aug2023 - 35% Off</t>
  </si>
  <si>
    <t>2023-08-26</t>
  </si>
  <si>
    <t>2023-09-09</t>
  </si>
  <si>
    <t>Seasonal Jan2021 - 18% Off</t>
  </si>
  <si>
    <t>2021-01-12</t>
  </si>
  <si>
    <t>2021-01-15</t>
  </si>
  <si>
    <t>Seasonal Jan2022 - 5% Off</t>
  </si>
  <si>
    <t>2022-01-08</t>
  </si>
  <si>
    <t>2022-01-13</t>
  </si>
  <si>
    <t>Flash Sale May2024 - 12% Off</t>
  </si>
  <si>
    <t>2024-05-05</t>
  </si>
  <si>
    <t>2024-05-08</t>
  </si>
  <si>
    <t>Seasonal Mar2021 - 20% Off</t>
  </si>
  <si>
    <t>2021-03-25</t>
  </si>
  <si>
    <t>Clearance Mar2022 - 15% Off</t>
  </si>
  <si>
    <t>2022-03-30</t>
  </si>
  <si>
    <t>2022-04-04</t>
  </si>
  <si>
    <t>Clearance Feb2024 - 10% Off</t>
  </si>
  <si>
    <t>2024-02-15</t>
  </si>
  <si>
    <t>2024-03-04</t>
  </si>
  <si>
    <t>Festive Apr2022 - 25% Off</t>
  </si>
  <si>
    <t>2022-04-24</t>
  </si>
  <si>
    <t>2022-05-13</t>
  </si>
  <si>
    <t>Festive Nov2024 - 12% Off</t>
  </si>
  <si>
    <t>2024-11-02</t>
  </si>
  <si>
    <t>2024-11-13</t>
  </si>
  <si>
    <t>Festive Nov2023 - 30% Off</t>
  </si>
  <si>
    <t>2023-11-19</t>
  </si>
  <si>
    <t>2023-11-25</t>
  </si>
  <si>
    <t>Seasonal Oct2023 - 15% Off</t>
  </si>
  <si>
    <t>2023-10-12</t>
  </si>
  <si>
    <t>2023-10-25</t>
  </si>
  <si>
    <t>Clearance Nov2024 - 20% Off</t>
  </si>
  <si>
    <t>2024-11-16</t>
  </si>
  <si>
    <t>2024-11-28</t>
  </si>
  <si>
    <t>Festive Apr2021 - 20% Off</t>
  </si>
  <si>
    <t>2021-04-29</t>
  </si>
  <si>
    <t>2021-05-11</t>
  </si>
  <si>
    <t>Loyalty Oct2023 - 18% Off</t>
  </si>
  <si>
    <t>2023-10-23</t>
  </si>
  <si>
    <t>2023-10-30</t>
  </si>
  <si>
    <t>Clearance Nov2024 - 18% Off</t>
  </si>
  <si>
    <t>2024-11-04</t>
  </si>
  <si>
    <t>2024-11-22</t>
  </si>
  <si>
    <t>Seasonal Aug2021 - 12% Off</t>
  </si>
  <si>
    <t>2021-08-30</t>
  </si>
  <si>
    <t>2021-09-04</t>
  </si>
  <si>
    <t>Festive Nov2024 - 20% Off</t>
  </si>
  <si>
    <t>2024-11-10</t>
  </si>
  <si>
    <t>2024-11-14</t>
  </si>
  <si>
    <t>Flash Sale Oct2023 - 20% Off</t>
  </si>
  <si>
    <t>2023-10-02</t>
  </si>
  <si>
    <t>Clearance Jul2021 - 12% Off</t>
  </si>
  <si>
    <t>2021-07-30</t>
  </si>
  <si>
    <t>2021-08-07</t>
  </si>
  <si>
    <t>Seasonal Sep2021 - 20% Off</t>
  </si>
  <si>
    <t>2021-09-17</t>
  </si>
  <si>
    <t>2021-10-07</t>
  </si>
  <si>
    <t>Festive Mar2022 - 30% Off</t>
  </si>
  <si>
    <t>2022-03-28</t>
  </si>
  <si>
    <t>2022-04-13</t>
  </si>
  <si>
    <t>Clearance Aug2022 - 35% Off</t>
  </si>
  <si>
    <t>2022-08-11</t>
  </si>
  <si>
    <t>2022-08-26</t>
  </si>
  <si>
    <t>Clearance Feb2024 - 18% Off</t>
  </si>
  <si>
    <t>2024-02-23</t>
  </si>
  <si>
    <t>2024-03-03</t>
  </si>
  <si>
    <t>Festive Mar2023 - 25% Off</t>
  </si>
  <si>
    <t>2023-04-15</t>
  </si>
  <si>
    <t>Festive Apr2021 - 30% Off</t>
  </si>
  <si>
    <t>2021-04-13</t>
  </si>
  <si>
    <t>2021-05-01</t>
  </si>
  <si>
    <t>Loyalty May2023 - 12% Off</t>
  </si>
  <si>
    <t>2023-05-11</t>
  </si>
  <si>
    <t>2023-05-17</t>
  </si>
  <si>
    <t>Festive Mar2024 - 12% Off</t>
  </si>
  <si>
    <t>2024-03-22</t>
  </si>
  <si>
    <t>2024-04-08</t>
  </si>
  <si>
    <t>Clearance Sep2021 - 18% Off</t>
  </si>
  <si>
    <t>2021-09-22</t>
  </si>
  <si>
    <t>2021-10-04</t>
  </si>
  <si>
    <t>2024-02-19</t>
  </si>
  <si>
    <t>2024-03-01</t>
  </si>
  <si>
    <t>Seasonal Jul2023 - 15% Off</t>
  </si>
  <si>
    <t>2023-07-13</t>
  </si>
  <si>
    <t>2023-07-22</t>
  </si>
  <si>
    <t>Clearance Aug2022 - 40% Off</t>
  </si>
  <si>
    <t>2022-08-12</t>
  </si>
  <si>
    <t>2022-08-24</t>
  </si>
  <si>
    <t>Flash Sale Jan2021 - 30% Off</t>
  </si>
  <si>
    <t>2021-01-14</t>
  </si>
  <si>
    <t>Seasonal Aug2021 - 20% Off</t>
  </si>
  <si>
    <t>2021-09-16</t>
  </si>
  <si>
    <t>Festive Oct2022 - 15% Off</t>
  </si>
  <si>
    <t>2022-10-03</t>
  </si>
  <si>
    <t>2022-10-15</t>
  </si>
  <si>
    <t>Seasonal May2023 - 10% Off</t>
  </si>
  <si>
    <t>2023-05-15</t>
  </si>
  <si>
    <t>Loyalty Jan2023 - 15% Off</t>
  </si>
  <si>
    <t>2023-01-02</t>
  </si>
  <si>
    <t>2023-01-05</t>
  </si>
  <si>
    <t>Seasonal Aug2023 - 10% Off</t>
  </si>
  <si>
    <t>2023-08-15</t>
  </si>
  <si>
    <t>2023-08-24</t>
  </si>
  <si>
    <t>Festive May2023 - 12% Off</t>
  </si>
  <si>
    <t>2023-05-28</t>
  </si>
  <si>
    <t>Flash Sale Oct2022 - 15% Off</t>
  </si>
  <si>
    <t>2022-10-13</t>
  </si>
  <si>
    <t>2022-10-14</t>
  </si>
  <si>
    <t>Festive Mar2024 - 5% Off</t>
  </si>
  <si>
    <t>2024-03-20</t>
  </si>
  <si>
    <t>2024-04-01</t>
  </si>
  <si>
    <t>Seasonal Mar2024 - 15% Off</t>
  </si>
  <si>
    <t>2024-03-24</t>
  </si>
  <si>
    <t>Seasonal Feb2023 - 12% Off</t>
  </si>
  <si>
    <t>2023-02-23</t>
  </si>
  <si>
    <t>2023-03-01</t>
  </si>
  <si>
    <t>Seasonal Feb2023 - 10% Off</t>
  </si>
  <si>
    <t>2023-02-28</t>
  </si>
  <si>
    <t>2023-03-07</t>
  </si>
  <si>
    <t>Loyalty Aug2024 - 12% Off</t>
  </si>
  <si>
    <t>2024-08-03</t>
  </si>
  <si>
    <t>2024-08-18</t>
  </si>
  <si>
    <t>2024-02-28</t>
  </si>
  <si>
    <t>2024-03-18</t>
  </si>
  <si>
    <t>Festive May2021 - 12% Off</t>
  </si>
  <si>
    <t>2021-05-19</t>
  </si>
  <si>
    <t>2021-06-08</t>
  </si>
  <si>
    <t>Seasonal Jun2022 - 12% Off</t>
  </si>
  <si>
    <t>2022-06-16</t>
  </si>
  <si>
    <t>2022-06-25</t>
  </si>
  <si>
    <t>Clearance Mar2024 - 10% Off</t>
  </si>
  <si>
    <t>2024-03-31</t>
  </si>
  <si>
    <t>2024-04-12</t>
  </si>
  <si>
    <t>Seasonal Aug2024 - 10% Off</t>
  </si>
  <si>
    <t>2024-08-10</t>
  </si>
  <si>
    <t>2024-08-13</t>
  </si>
  <si>
    <t>Festive Feb2023 - 18% Off</t>
  </si>
  <si>
    <t>2023-02-26</t>
  </si>
  <si>
    <t>2023-03-03</t>
  </si>
  <si>
    <t>Clearance Jan2023 - 40% Off</t>
  </si>
  <si>
    <t>2023-01-28</t>
  </si>
  <si>
    <t>2023-02-10</t>
  </si>
  <si>
    <t>Seasonal May2023 - 25% Off</t>
  </si>
  <si>
    <t>2023-05-14</t>
  </si>
  <si>
    <t>2023-05-30</t>
  </si>
  <si>
    <t>Loyalty May2024 - 40% Off</t>
  </si>
  <si>
    <t>2024-05-10</t>
  </si>
  <si>
    <t>Clearance Sep2023 - 15% Off</t>
  </si>
  <si>
    <t>2023-09-03</t>
  </si>
  <si>
    <t>2023-09-11</t>
  </si>
  <si>
    <t>Clearance Jul2024 - 15% Off</t>
  </si>
  <si>
    <t>2024-07-02</t>
  </si>
  <si>
    <t>Clearance Aug2023 - 18% Off</t>
  </si>
  <si>
    <t>2023-08-13</t>
  </si>
  <si>
    <t>2023-08-29</t>
  </si>
  <si>
    <t>Loyalty Aug2024 - 18% Off</t>
  </si>
  <si>
    <t>2024-08-05</t>
  </si>
  <si>
    <t>2024-08-22</t>
  </si>
  <si>
    <t>Seasonal Aug2021 - 10% Off</t>
  </si>
  <si>
    <t>2021-08-22</t>
  </si>
  <si>
    <t>2021-08-26</t>
  </si>
  <si>
    <t>Flash Sale Oct2022 - 25% Off</t>
  </si>
  <si>
    <t>2022-10-16</t>
  </si>
  <si>
    <t>2022-10-19</t>
  </si>
  <si>
    <t>Seasonal Apr2023 - 10% Off</t>
  </si>
  <si>
    <t>2023-04-17</t>
  </si>
  <si>
    <t>2023-04-21</t>
  </si>
  <si>
    <t>Festive Mar2024 - 25% Off</t>
  </si>
  <si>
    <t>2024-03-29</t>
  </si>
  <si>
    <t>2024-04-02</t>
  </si>
  <si>
    <t>Seasonal Feb2023 - 18% Off</t>
  </si>
  <si>
    <t>2023-02-19</t>
  </si>
  <si>
    <t>Clearance Oct2021 - 15% Off</t>
  </si>
  <si>
    <t>2021-10-08</t>
  </si>
  <si>
    <t>2021-10-11</t>
  </si>
  <si>
    <t>Flash Sale Sep2023 - 18% Off</t>
  </si>
  <si>
    <t>2023-09-27</t>
  </si>
  <si>
    <t>2023-09-29</t>
  </si>
  <si>
    <t>Seasonal Jan2023 - 30% Off</t>
  </si>
  <si>
    <t>2023-01-21</t>
  </si>
  <si>
    <t>Flash Sale Mar2022 - 5% Off</t>
  </si>
  <si>
    <t>2022-03-07</t>
  </si>
  <si>
    <t>Festive Aug2024 - 18% Off</t>
  </si>
  <si>
    <t>2024-08-31</t>
  </si>
  <si>
    <t>Seasonal Apr2023 - 15% Off</t>
  </si>
  <si>
    <t>2023-04-19</t>
  </si>
  <si>
    <t>2023-04-24</t>
  </si>
  <si>
    <t>Festive Feb2023 - 25% Off</t>
  </si>
  <si>
    <t>2023-02-20</t>
  </si>
  <si>
    <t>2023-03-04</t>
  </si>
  <si>
    <t>Flash Sale Oct2022 - 30% Off</t>
  </si>
  <si>
    <t>2022-10-01</t>
  </si>
  <si>
    <t>Seasonal Apr2022 - 5% Off</t>
  </si>
  <si>
    <t>2022-04-07</t>
  </si>
  <si>
    <t>Festive Apr2021 - 15% Off</t>
  </si>
  <si>
    <t>2021-04-08</t>
  </si>
  <si>
    <t>2021-04-11</t>
  </si>
  <si>
    <t>Flash Sale Oct2021 - 5% Off</t>
  </si>
  <si>
    <t>2021-10-16</t>
  </si>
  <si>
    <t>2021-10-17</t>
  </si>
  <si>
    <t>Clearance Sep2023 - 30% Off</t>
  </si>
  <si>
    <t>2023-09-18</t>
  </si>
  <si>
    <t>Loyalty Aug2023 - 25% Off</t>
  </si>
  <si>
    <t>Clearance Mar2022 - 5% Off</t>
  </si>
  <si>
    <t>2022-03-06</t>
  </si>
  <si>
    <t>2022-03-22</t>
  </si>
  <si>
    <t>Flash Sale Feb2022 - 5% Off</t>
  </si>
  <si>
    <t>2022-02-16</t>
  </si>
  <si>
    <t>Seasonal Dec2021 - 5% Off</t>
  </si>
  <si>
    <t>2021-12-01</t>
  </si>
  <si>
    <t>2021-12-18</t>
  </si>
  <si>
    <t>Seasonal Sep2023 - 20% Off</t>
  </si>
  <si>
    <t>2023-09-05</t>
  </si>
  <si>
    <t>Festive Apr2023 - 25% Off</t>
  </si>
  <si>
    <t>2023-04-01</t>
  </si>
  <si>
    <t>2023-04-16</t>
  </si>
  <si>
    <t>Festive Dec2021 - 5% Off</t>
  </si>
  <si>
    <t>2021-12-05</t>
  </si>
  <si>
    <t>2021-12-24</t>
  </si>
  <si>
    <t>Loyalty Jul2024 - 10% Off</t>
  </si>
  <si>
    <t>2024-07-04</t>
  </si>
  <si>
    <t>2024-07-09</t>
  </si>
  <si>
    <t>2024-02-02</t>
  </si>
  <si>
    <t>2024-02-08</t>
  </si>
  <si>
    <t>2022-02-01</t>
  </si>
  <si>
    <t>Flash Sale Dec2021 - 5% Off</t>
  </si>
  <si>
    <t>2021-12-04</t>
  </si>
  <si>
    <t>Festive Feb2024 - 18% Off</t>
  </si>
  <si>
    <t>Festive Apr2021 - 12% Off</t>
  </si>
  <si>
    <t>2021-04-03</t>
  </si>
  <si>
    <t>2021-04-07</t>
  </si>
  <si>
    <t>Seasonal Jun2021 - 12% Off</t>
  </si>
  <si>
    <t>2021-06-28</t>
  </si>
  <si>
    <t>2021-07-14</t>
  </si>
  <si>
    <t>Seasonal Feb2024 - 18% Off</t>
  </si>
  <si>
    <t>2024-02-18</t>
  </si>
  <si>
    <t>Loyalty Feb2022 - 20% Off</t>
  </si>
  <si>
    <t>2022-02-03</t>
  </si>
  <si>
    <t>2022-02-08</t>
  </si>
  <si>
    <t>Clearance Jun2021 - 15% Off</t>
  </si>
  <si>
    <t>Seasonal Mar2022 - 30% Off</t>
  </si>
  <si>
    <t>2022-03-02</t>
  </si>
  <si>
    <t>2022-03-13</t>
  </si>
  <si>
    <t>Seasonal Apr2024 - 15% Off</t>
  </si>
  <si>
    <t>2024-04-09</t>
  </si>
  <si>
    <t>Seasonal Jul2023 - 40% Off</t>
  </si>
  <si>
    <t>2023-07-05</t>
  </si>
  <si>
    <t>2023-07-15</t>
  </si>
  <si>
    <t>Festive May2022 - 30% Off</t>
  </si>
  <si>
    <t>2022-05-10</t>
  </si>
  <si>
    <t>2022-05-28</t>
  </si>
  <si>
    <t>Loyalty Jun2021 - 15% Off</t>
  </si>
  <si>
    <t>2021-06-23</t>
  </si>
  <si>
    <t>2021-07-12</t>
  </si>
  <si>
    <t>Clearance May2021 - 5% Off</t>
  </si>
  <si>
    <t>2021-05-15</t>
  </si>
  <si>
    <t>2021-05-22</t>
  </si>
  <si>
    <t>2021-05-03</t>
  </si>
  <si>
    <t>2021-05-14</t>
  </si>
  <si>
    <t>Seasonal Feb2021 - 5% Off</t>
  </si>
  <si>
    <t>2021-02-17</t>
  </si>
  <si>
    <t>2021-02-22</t>
  </si>
  <si>
    <t>Loyalty Mar2024 - 10% Off</t>
  </si>
  <si>
    <t>2024-03-10</t>
  </si>
  <si>
    <t>Clearance Feb2021 - 20% Off</t>
  </si>
  <si>
    <t>2021-02-24</t>
  </si>
  <si>
    <t>2021-02-27</t>
  </si>
  <si>
    <t>Festive Jun2021 - 30% Off</t>
  </si>
  <si>
    <t>2021-07-03</t>
  </si>
  <si>
    <t>Flash Sale Apr2022 - 20% Off</t>
  </si>
  <si>
    <t>2022-04-15</t>
  </si>
  <si>
    <t>2022-04-17</t>
  </si>
  <si>
    <t>Seasonal Jul2024 - 35% Off</t>
  </si>
  <si>
    <t>2024-07-20</t>
  </si>
  <si>
    <t>2024-07-30</t>
  </si>
  <si>
    <t>Festive Apr2024 - 18% Off</t>
  </si>
  <si>
    <t>2024-04-19</t>
  </si>
  <si>
    <t>2024-04-26</t>
  </si>
  <si>
    <t>Festive Apr2024 - 25% Off</t>
  </si>
  <si>
    <t>2024-04-24</t>
  </si>
  <si>
    <t>Clearance Dec2021 - 35% Off</t>
  </si>
  <si>
    <t>2021-12-15</t>
  </si>
  <si>
    <t>2021-12-31</t>
  </si>
  <si>
    <t>Festive Apr2024 - 15% Off</t>
  </si>
  <si>
    <t>2024-04-10</t>
  </si>
  <si>
    <t>Clearance Mar2023 - 15% Off</t>
  </si>
  <si>
    <t>2023-03-17</t>
  </si>
  <si>
    <t>Festive Feb2021 - 15% Off</t>
  </si>
  <si>
    <t>2021-02-01</t>
  </si>
  <si>
    <t>2023-03-09</t>
  </si>
  <si>
    <t>2023-03-12</t>
  </si>
  <si>
    <t>Festive Sep2021 - 12% Off</t>
  </si>
  <si>
    <t>2021-09-15</t>
  </si>
  <si>
    <t>2021-09-19</t>
  </si>
  <si>
    <t>Seasonal Dec2021 - 25% Off</t>
  </si>
  <si>
    <t>2021-12-12</t>
  </si>
  <si>
    <t>2021-12-28</t>
  </si>
  <si>
    <t>Seasonal Mar2023 - 25% Off</t>
  </si>
  <si>
    <t>2023-03-10</t>
  </si>
  <si>
    <t>Flash Sale Apr2024 - 30% Off</t>
  </si>
  <si>
    <t>2024-04-11</t>
  </si>
  <si>
    <t>Clearance Jun2021 - 40% Off</t>
  </si>
  <si>
    <t>2021-06-18</t>
  </si>
  <si>
    <t>Flash Sale Feb2021 - 20% Off</t>
  </si>
  <si>
    <t>2021-02-26</t>
  </si>
  <si>
    <t>Flash Sale Feb2021 - 30% Off</t>
  </si>
  <si>
    <t>2021-02-18</t>
  </si>
  <si>
    <t>2021-02-19</t>
  </si>
  <si>
    <t>2024-03-06</t>
  </si>
  <si>
    <t>Seasonal Sep2021 - 10% Off</t>
  </si>
  <si>
    <t>2021-09-21</t>
  </si>
  <si>
    <t>Festive Feb2023 - 10% Off</t>
  </si>
  <si>
    <t>2023-02-13</t>
  </si>
  <si>
    <t>Seasonal Jul2021 - 18% Off</t>
  </si>
  <si>
    <t>2021-07-23</t>
  </si>
  <si>
    <t>2021-07-31</t>
  </si>
  <si>
    <t>Flash Sale Sep2021 - 25% Off</t>
  </si>
  <si>
    <t>Loyalty Feb2023 - 12% Off</t>
  </si>
  <si>
    <t>2023-02-05</t>
  </si>
  <si>
    <t>Seasonal Sep2021 - 25% Off</t>
  </si>
  <si>
    <t>Flash Sale Feb2023 - 20% Off</t>
  </si>
  <si>
    <t>2023-02-21</t>
  </si>
  <si>
    <t>2023-02-22</t>
  </si>
  <si>
    <t>Festive Feb2023 - 5% Off</t>
  </si>
  <si>
    <t>2023-02-18</t>
  </si>
  <si>
    <t>2023-02-27</t>
  </si>
  <si>
    <t>Festive Jul2021 - 20% Off</t>
  </si>
  <si>
    <t>2021-07-07</t>
  </si>
  <si>
    <t>Festive May2021 - 40% Off</t>
  </si>
  <si>
    <t>2021-05-18</t>
  </si>
  <si>
    <t>2021-05-30</t>
  </si>
  <si>
    <t>Seasonal Jun2021 - 10% Off</t>
  </si>
  <si>
    <t>2021-06-26</t>
  </si>
  <si>
    <t>2021-06-29</t>
  </si>
  <si>
    <t>Clearance Mar2024 - 30% Off</t>
  </si>
  <si>
    <t>2021-06-01</t>
  </si>
  <si>
    <t>2021-06-15</t>
  </si>
  <si>
    <t>Seasonal Mar2024 - 35% Off</t>
  </si>
  <si>
    <t>2024-03-15</t>
  </si>
  <si>
    <t>Clearance Jul2021 - 18% Off</t>
  </si>
  <si>
    <t>2021-07-11</t>
  </si>
  <si>
    <t>2021-07-18</t>
  </si>
  <si>
    <t>Flash Sale Jun2021 - 12% Off</t>
  </si>
  <si>
    <t>2021-06-16</t>
  </si>
  <si>
    <t>2021-06-19</t>
  </si>
  <si>
    <t>Loyalty Jun2021 - 25% Off</t>
  </si>
  <si>
    <t>01_Model_SLA — ETL output (materialized). Source: Power Query joins documented in PowerQuery_DAX_Specification.md</t>
  </si>
  <si>
    <t>courier_partner</t>
  </si>
  <si>
    <t>shipment_count</t>
  </si>
  <si>
    <t>late_count</t>
  </si>
  <si>
    <t>late_rate</t>
  </si>
  <si>
    <t>BlueDart Express</t>
  </si>
  <si>
    <t>DTDC</t>
  </si>
  <si>
    <t>Delhivery</t>
  </si>
  <si>
    <t>Ekart Logistics</t>
  </si>
  <si>
    <t>XpressBees</t>
  </si>
  <si>
    <t>Q1 — Revenue &amp; Margin Trend</t>
  </si>
  <si>
    <t>All figures computed live from 01_Model_Overall_Month. No typed totals.</t>
  </si>
  <si>
    <t>Overall Metrics (Full Period: Jan 2021 - Dec 2024)</t>
  </si>
  <si>
    <t>Total Revenue</t>
  </si>
  <si>
    <t>Total Cost</t>
  </si>
  <si>
    <t>Total Margin (Rs)</t>
  </si>
  <si>
    <t>Overall Margin %</t>
  </si>
  <si>
    <t>Margin % Volatility (StDev of monthly margin %)</t>
  </si>
  <si>
    <t>Highest Monthly Margin %</t>
  </si>
  <si>
    <t>Lowest Monthly Margin %</t>
  </si>
  <si>
    <t>Margin % Range (Volatility Spread)</t>
  </si>
  <si>
    <t>Margin % by Year</t>
  </si>
  <si>
    <t>Year</t>
  </si>
  <si>
    <t>Revenue</t>
  </si>
  <si>
    <t>Cost</t>
  </si>
  <si>
    <t>Margin</t>
  </si>
  <si>
    <t>Margin %</t>
  </si>
  <si>
    <t>Last 6 Months (Jul-Dec 2024) vs Prior 6 Months (Jan-Jun 2024)</t>
  </si>
  <si>
    <t>Period</t>
  </si>
  <si>
    <t>Prior 6M (Jan-Jun 2024)</t>
  </si>
  <si>
    <t>Last 6M (Jul-Dec 2024)</t>
  </si>
  <si>
    <t>Change (percentage points)</t>
  </si>
  <si>
    <t>Q2 — Target vs Achievement (Region-Level; no store-level target exists in source data)</t>
  </si>
  <si>
    <t>FY2024 Region-Level Target vs Achievement (Jan-Dec 2024)</t>
  </si>
  <si>
    <t>Region</t>
  </si>
  <si>
    <t>Zone</t>
  </si>
  <si>
    <t>Revenue 2024</t>
  </si>
  <si>
    <t>Target 2024</t>
  </si>
  <si>
    <t>Achievement %</t>
  </si>
  <si>
    <t>Status</t>
  </si>
  <si>
    <t>Q3 — Which categories drive revenue but not profit, and why</t>
  </si>
  <si>
    <t>Overall Avg Margin %</t>
  </si>
  <si>
    <t>Ranked by revenue. Diagnostic columns show discount leakage % and return rate as candidate causes.</t>
  </si>
  <si>
    <t>Median Revenue Share %</t>
  </si>
  <si>
    <t>Category</t>
  </si>
  <si>
    <t>Revenue Share %</t>
  </si>
  <si>
    <t>Discount Leak %</t>
  </si>
  <si>
    <t>Return Rate %</t>
  </si>
  <si>
    <t>Diagnosis</t>
  </si>
  <si>
    <t>Q5 — Where discounting erodes margin the most</t>
  </si>
  <si>
    <t>Overall Avg Discount Leak %</t>
  </si>
  <si>
    <t>Category-level discount leakage (catalog price vs actual charged price). Flagged vs overall average.</t>
  </si>
  <si>
    <t>Catalog Value</t>
  </si>
  <si>
    <t>Discount Leakage (Rs)</t>
  </si>
  <si>
    <t>Discount Leakage %</t>
  </si>
  <si>
    <t>Flag</t>
  </si>
  <si>
    <t>Q4 — Highest-return categories and Rs margin leakage from refunds</t>
  </si>
  <si>
    <t>Overall Avg Return Rate %</t>
  </si>
  <si>
    <t>Order Lines</t>
  </si>
  <si>
    <t>Return Count</t>
  </si>
  <si>
    <t>Refund Leakage (Rs)</t>
  </si>
  <si>
    <t>Q6 — Delivery SLA by Region &amp; Courier (OPERATIONAL RISK INDICATOR ONLY)</t>
  </si>
  <si>
    <t>Overall Avg Late Rate %</t>
  </si>
  <si>
    <t>Courier</t>
  </si>
  <si>
    <t>Shipments</t>
  </si>
  <si>
    <t>Late Count</t>
  </si>
  <si>
    <t>Late Rate %</t>
  </si>
  <si>
    <t>Q8 — Promotion Effectiveness: Continue vs Discontinue</t>
  </si>
  <si>
    <t>Median Margin Impact (pp)</t>
  </si>
  <si>
    <t>Median AOV Lift %</t>
  </si>
  <si>
    <t>25th Pctile Margin Impact (pp) - worst quartile</t>
  </si>
  <si>
    <t>Promotion</t>
  </si>
  <si>
    <t>Type</t>
  </si>
  <si>
    <t>Discount %</t>
  </si>
  <si>
    <t>Margin % (Promo)</t>
  </si>
  <si>
    <t>Margin % (Baseline, same category)</t>
  </si>
  <si>
    <t>Margin Impact (pp)</t>
  </si>
  <si>
    <t>AOV Lift %</t>
  </si>
  <si>
    <t>Decision</t>
  </si>
  <si>
    <t>Q9 — Store Performance Score (Transparent, Margin-Weighted, Auditable)</t>
  </si>
  <si>
    <t>Compares each store's last 6 months (Jul-Dec 2024) vs prior 6 months (Jan-Jun 2024). No store-level target used - not present in source data. Every weight below is editable; the whole score recomputes live.</t>
  </si>
  <si>
    <t>Scoring Weights (editable inputs)</t>
  </si>
  <si>
    <t>Metric</t>
  </si>
  <si>
    <t>Weight</t>
  </si>
  <si>
    <t>Direction</t>
  </si>
  <si>
    <t>Business Justification</t>
  </si>
  <si>
    <t>Gross Margin %</t>
  </si>
  <si>
    <t>Higher better</t>
  </si>
  <si>
    <t>Core problem is margin, not sales - highest weight</t>
  </si>
  <si>
    <t>Margin Trend (last6 vs prior6)</t>
  </si>
  <si>
    <t>Direction matters more than a snapshot - early warning signal</t>
  </si>
  <si>
    <t>Lower better</t>
  </si>
  <si>
    <t>Direct, provable Rs margin leak via refunds</t>
  </si>
  <si>
    <t>Real signal but overlaps with margin % itself - weighted lower to avoid double-counting</t>
  </si>
  <si>
    <t>Revenue Growth %</t>
  </si>
  <si>
    <t>Lowest weight deliberately - this is a margin diagnostic, not a sales diagnostic</t>
  </si>
  <si>
    <t>Weights Sum Check</t>
  </si>
  <si>
    <t>Store</t>
  </si>
  <si>
    <t>Margin % (Last6)</t>
  </si>
  <si>
    <t>Margin Trend (pp)</t>
  </si>
  <si>
    <t>Norm: Margin</t>
  </si>
  <si>
    <t>Norm: Trend</t>
  </si>
  <si>
    <t>Norm: Return</t>
  </si>
  <si>
    <t>Norm: Discount</t>
  </si>
  <si>
    <t>Norm: Growth</t>
  </si>
  <si>
    <t>Weighted Score</t>
  </si>
  <si>
    <t>Rank</t>
  </si>
  <si>
    <t>Priority Flag</t>
  </si>
  <si>
    <t>Q1 — Monthly Revenue &amp; Margin % Trend (48 months)</t>
  </si>
  <si>
    <t>Month</t>
  </si>
  <si>
    <t>Q7 — Regional Revenue &amp; Profit Contribution (Concentration / Dependency Risk)</t>
  </si>
  <si>
    <t>Revenue (FY21-24)</t>
  </si>
  <si>
    <t>Cumulative Share %</t>
  </si>
  <si>
    <t>BUSINESS INSIGHTS</t>
  </si>
  <si>
    <t>RECOMMENDATIONS ENGINE</t>
  </si>
  <si>
    <t>Area</t>
  </si>
  <si>
    <t>Item</t>
  </si>
  <si>
    <t>Recommended Action</t>
  </si>
  <si>
    <t>DATA LIMITATIONS — READ BEFORE PRESENTING THIS WORKBOOK</t>
  </si>
  <si>
    <t>Not Supported</t>
  </si>
  <si>
    <t>Why</t>
  </si>
  <si>
    <t>Inventory / warehouse holding cost, dead stock</t>
  </si>
  <si>
    <t>No inventory or warehouse table exists in the source ERP export. Any 'dead stock' or 'carrying cost' figure would have to be invented - not built.</t>
  </si>
  <si>
    <t>Freight / logistics cost in Rs</t>
  </si>
  <si>
    <t>Shipments table has dates and status only, no cost field. Late-delivery RATE is measurable (see 07_KPI_SLA); late-delivery COST is not.</t>
  </si>
  <si>
    <t>Supplier delivery/lead-time performance</t>
  </si>
  <si>
    <t>Shipments link to couriers, not suppliers. Suppliers connect only via Products, with no PO or lead-time data - 'Supplier X causes delays' cannot be proven from this dataset.</t>
  </si>
  <si>
    <t>Store-level sales target</t>
  </si>
  <si>
    <t>Sales_Targets exists only at region grain (12 regions x 48 months). The Store Performance Score (09_KPI_StoreScore) deliberately excludes any target-vs-actual metric rather than fabricate a proportional store allocation.</t>
  </si>
  <si>
    <t>Employee cost-efficiency</t>
  </si>
  <si>
    <t>Employees table has no salary/cost field, so employee activity volume cannot be tied to profitability.</t>
  </si>
  <si>
    <t>Full P&amp;L / operating margin</t>
  </si>
  <si>
    <t>This workbook computes gross/contribution margin (revenue less product cost) only. No overhead, rent, or fixed-cost allocation data exists in source, so this is not a full operating P&amp;L.</t>
  </si>
  <si>
    <t>The following areas are outside the scope of the available source data.”</t>
  </si>
  <si>
    <r>
      <t>Margin Volatility</t>
    </r>
    <r>
      <rPr>
        <sz val="11"/>
        <color theme="1"/>
        <rFont val="Calibri"/>
        <family val="2"/>
        <scheme val="minor"/>
      </rPr>
      <t xml:space="preserve"> — Is profitability trending or volatile, and by how much?</t>
    </r>
  </si>
  <si>
    <r>
      <t>Target Achievement</t>
    </r>
    <r>
      <rPr>
        <sz val="11"/>
        <color theme="1"/>
        <rFont val="Calibri"/>
        <family val="2"/>
        <scheme val="minor"/>
      </rPr>
      <t xml:space="preserve"> — Which regions are missing target, and by how much?</t>
    </r>
  </si>
  <si>
    <r>
      <t>Category Profitability</t>
    </r>
    <r>
      <rPr>
        <sz val="11"/>
        <color theme="1"/>
        <rFont val="Calibri"/>
        <family val="2"/>
        <scheme val="minor"/>
      </rPr>
      <t xml:space="preserve"> — Which categories generate revenue but relatively weak margins?</t>
    </r>
  </si>
  <si>
    <r>
      <t>Return &amp; Discount Leakage</t>
    </r>
    <r>
      <rPr>
        <sz val="11"/>
        <color theme="1"/>
        <rFont val="Calibri"/>
        <family val="2"/>
        <scheme val="minor"/>
      </rPr>
      <t xml:space="preserve"> — Where is profitability leakage concentrated in ₹?</t>
    </r>
  </si>
  <si>
    <r>
      <t>Promotion Effectiveness</t>
    </r>
    <r>
      <rPr>
        <sz val="11"/>
        <color theme="1"/>
        <rFont val="Calibri"/>
        <family val="2"/>
        <scheme val="minor"/>
      </rPr>
      <t xml:space="preserve"> — Which promotions should continue vs. discontinue?</t>
    </r>
  </si>
  <si>
    <r>
      <t>Store Performance</t>
    </r>
    <r>
      <rPr>
        <sz val="11"/>
        <color theme="1"/>
        <rFont val="Calibri"/>
        <family val="2"/>
        <scheme val="minor"/>
      </rPr>
      <t xml:space="preserve"> — Which stores are structurally weak based on a transparent, margin-weighted score?</t>
    </r>
  </si>
  <si>
    <r>
      <t>Delivery SLA</t>
    </r>
    <r>
      <rPr>
        <sz val="11"/>
        <color theme="1"/>
        <rFont val="Calibri"/>
        <family val="2"/>
        <scheme val="minor"/>
      </rPr>
      <t xml:space="preserve"> — Where is delivery service quality weakest? </t>
    </r>
    <r>
      <rPr>
        <i/>
        <sz val="11"/>
        <color theme="1"/>
        <rFont val="Calibri"/>
        <family val="2"/>
        <scheme val="minor"/>
      </rPr>
      <t>(Operational indicator only.)</t>
    </r>
  </si>
  <si>
    <t>Nova Retail's leadership lacks a centralized, consistent MIS system to identify where profitability is unstable across regions, stores, categories, returns, and promotions.</t>
  </si>
  <si>
    <t>Model_ sheets = cleaned and aggregated reporting layer produced from the ERP data.*</t>
  </si>
  <si>
    <t>Dashboard = Executive reporting layer; KPI values and visuals are linked to calculated data, with no manually typed business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</si>
</sst>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2"/>
      <color rgb="FF595959"/>
      <name val="Arial"/>
    </font>
    <font>
      <b/>
      <sz val="12"/>
      <color rgb="FF1F3864"/>
      <name val="Arial"/>
    </font>
    <font>
      <sz val="10"/>
      <name val="Arial"/>
    </font>
    <font>
      <b/>
      <sz val="12"/>
      <color rgb="FFC00000"/>
      <name val="Arial"/>
    </font>
    <font>
      <i/>
      <sz val="1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b/>
      <sz val="13"/>
      <color rgb="FF1F3864"/>
      <name val="Arial"/>
    </font>
    <font>
      <b/>
      <sz val="10"/>
      <name val="Arial"/>
    </font>
    <font>
      <b/>
      <sz val="10"/>
      <color rgb="FF1F3864"/>
      <name val="Arial"/>
    </font>
    <font>
      <i/>
      <sz val="9"/>
      <color rgb="FFC00000"/>
      <name val="Arial"/>
    </font>
    <font>
      <b/>
      <sz val="10"/>
      <color rgb="FF404040"/>
      <name val="Arial"/>
    </font>
    <font>
      <i/>
      <sz val="9"/>
      <color rgb="FF595959"/>
      <name val="Arial"/>
    </font>
    <font>
      <b/>
      <sz val="10"/>
      <color rgb="FF833C00"/>
      <name val="Arial"/>
    </font>
    <font>
      <i/>
      <sz val="9"/>
      <name val="Arial"/>
    </font>
    <font>
      <b/>
      <sz val="10"/>
      <color rgb="FF375623"/>
      <name val="Arial"/>
    </font>
    <font>
      <b/>
      <sz val="16"/>
      <color rgb="FF1F3864"/>
      <name val="Arial"/>
    </font>
    <font>
      <sz val="11"/>
      <name val="Arial"/>
    </font>
    <font>
      <b/>
      <sz val="10"/>
      <color rgb="FF7F6000"/>
      <name val="Arial"/>
    </font>
    <font>
      <b/>
      <sz val="14"/>
      <color rgb="FFC00000"/>
      <name val="Arial"/>
    </font>
    <font>
      <b/>
      <sz val="11"/>
      <name val="Arial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3" fontId="0" fillId="0" borderId="0" xfId="0" applyNumberFormat="1"/>
    <xf numFmtId="164" fontId="0" fillId="0" borderId="0" xfId="0" applyNumberFormat="1"/>
    <xf numFmtId="0" fontId="11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5" borderId="0" xfId="0" applyFont="1" applyFill="1" applyAlignment="1">
      <alignment horizontal="center" vertical="center" wrapText="1"/>
    </xf>
    <xf numFmtId="164" fontId="15" fillId="5" borderId="0" xfId="0" applyNumberFormat="1" applyFont="1" applyFill="1" applyAlignment="1">
      <alignment horizontal="center" vertical="center" wrapText="1"/>
    </xf>
    <xf numFmtId="164" fontId="16" fillId="0" borderId="0" xfId="0" applyNumberFormat="1" applyFont="1"/>
    <xf numFmtId="164" fontId="11" fillId="3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  <xf numFmtId="0" fontId="17" fillId="6" borderId="0" xfId="0" applyFont="1" applyFill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vertical="top" wrapText="1"/>
    </xf>
    <xf numFmtId="0" fontId="20" fillId="7" borderId="0" xfId="0" applyFont="1" applyFill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0" fillId="0" borderId="0" xfId="0" applyFont="1" applyAlignment="1">
      <alignment vertical="top" wrapText="1"/>
    </xf>
    <xf numFmtId="0" fontId="23" fillId="0" borderId="0" xfId="0" applyFont="1"/>
    <xf numFmtId="0" fontId="25" fillId="0" borderId="0" xfId="0" applyFont="1" applyAlignment="1">
      <alignment vertical="top" wrapText="1"/>
    </xf>
  </cellXfs>
  <cellStyles count="1">
    <cellStyle name="Normal" xfId="0" builtinId="0"/>
  </cellStyles>
  <dxfs count="10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(Rs)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'10_Report_Trend'!$B$3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'10_Report_Trend'!$A$4:$A$51</c:f>
              <c:strCache>
                <c:ptCount val="48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</c:strCache>
            </c:strRef>
          </c:cat>
          <c:val>
            <c:numRef>
              <c:f>'10_Report_Trend'!$B$4:$B$51</c:f>
              <c:numCache>
                <c:formatCode>#,##0</c:formatCode>
                <c:ptCount val="48"/>
                <c:pt idx="0">
                  <c:v>196258182</c:v>
                </c:pt>
                <c:pt idx="1">
                  <c:v>178833814</c:v>
                </c:pt>
                <c:pt idx="2">
                  <c:v>215985173</c:v>
                </c:pt>
                <c:pt idx="3">
                  <c:v>222112137</c:v>
                </c:pt>
                <c:pt idx="4">
                  <c:v>249111988</c:v>
                </c:pt>
                <c:pt idx="5">
                  <c:v>232257296</c:v>
                </c:pt>
                <c:pt idx="6">
                  <c:v>219645765</c:v>
                </c:pt>
                <c:pt idx="7">
                  <c:v>243118909</c:v>
                </c:pt>
                <c:pt idx="8">
                  <c:v>238960088</c:v>
                </c:pt>
                <c:pt idx="9">
                  <c:v>351828947</c:v>
                </c:pt>
                <c:pt idx="10">
                  <c:v>342872940</c:v>
                </c:pt>
                <c:pt idx="11">
                  <c:v>341260894</c:v>
                </c:pt>
                <c:pt idx="12">
                  <c:v>292334349</c:v>
                </c:pt>
                <c:pt idx="13">
                  <c:v>256472632</c:v>
                </c:pt>
                <c:pt idx="14">
                  <c:v>324325667</c:v>
                </c:pt>
                <c:pt idx="15">
                  <c:v>330363190</c:v>
                </c:pt>
                <c:pt idx="16">
                  <c:v>349269144</c:v>
                </c:pt>
                <c:pt idx="17">
                  <c:v>327040286</c:v>
                </c:pt>
                <c:pt idx="18">
                  <c:v>322701646</c:v>
                </c:pt>
                <c:pt idx="19">
                  <c:v>307583423</c:v>
                </c:pt>
                <c:pt idx="20">
                  <c:v>371627457</c:v>
                </c:pt>
                <c:pt idx="21">
                  <c:v>437372446</c:v>
                </c:pt>
                <c:pt idx="22">
                  <c:v>467060775</c:v>
                </c:pt>
                <c:pt idx="23">
                  <c:v>502126571</c:v>
                </c:pt>
                <c:pt idx="24">
                  <c:v>372505695</c:v>
                </c:pt>
                <c:pt idx="25">
                  <c:v>328442560</c:v>
                </c:pt>
                <c:pt idx="26">
                  <c:v>397715622</c:v>
                </c:pt>
                <c:pt idx="27">
                  <c:v>415744447</c:v>
                </c:pt>
                <c:pt idx="28">
                  <c:v>450455392</c:v>
                </c:pt>
                <c:pt idx="29">
                  <c:v>439281067</c:v>
                </c:pt>
                <c:pt idx="30">
                  <c:v>394674298</c:v>
                </c:pt>
                <c:pt idx="31">
                  <c:v>404051750</c:v>
                </c:pt>
                <c:pt idx="32">
                  <c:v>451558362</c:v>
                </c:pt>
                <c:pt idx="33">
                  <c:v>591731750</c:v>
                </c:pt>
                <c:pt idx="34">
                  <c:v>559320297</c:v>
                </c:pt>
                <c:pt idx="35">
                  <c:v>589404095</c:v>
                </c:pt>
                <c:pt idx="36">
                  <c:v>402957407</c:v>
                </c:pt>
                <c:pt idx="37">
                  <c:v>378546491</c:v>
                </c:pt>
                <c:pt idx="38">
                  <c:v>433155806</c:v>
                </c:pt>
                <c:pt idx="39">
                  <c:v>442533470</c:v>
                </c:pt>
                <c:pt idx="40">
                  <c:v>472791912</c:v>
                </c:pt>
                <c:pt idx="41">
                  <c:v>499417380</c:v>
                </c:pt>
                <c:pt idx="42">
                  <c:v>453454309</c:v>
                </c:pt>
                <c:pt idx="43">
                  <c:v>449938612</c:v>
                </c:pt>
                <c:pt idx="44">
                  <c:v>542566709</c:v>
                </c:pt>
                <c:pt idx="45">
                  <c:v>693862518</c:v>
                </c:pt>
                <c:pt idx="46">
                  <c:v>694624504</c:v>
                </c:pt>
                <c:pt idx="47">
                  <c:v>700106315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4-47C3-AB05-D598589F5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Margin %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'10_Report_Trend'!$C$3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'10_Report_Trend'!$A$4:$A$51</c:f>
              <c:strCache>
                <c:ptCount val="48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</c:strCache>
            </c:strRef>
          </c:cat>
          <c:val>
            <c:numRef>
              <c:f>'10_Report_Trend'!$C$4:$C$51</c:f>
              <c:numCache>
                <c:formatCode>0.0%</c:formatCode>
                <c:ptCount val="48"/>
                <c:pt idx="0">
                  <c:v>9.5200000000000007E-2</c:v>
                </c:pt>
                <c:pt idx="1">
                  <c:v>0.12429999999999999</c:v>
                </c:pt>
                <c:pt idx="2">
                  <c:v>0.1605</c:v>
                </c:pt>
                <c:pt idx="3">
                  <c:v>0.1206</c:v>
                </c:pt>
                <c:pt idx="4">
                  <c:v>0.1263</c:v>
                </c:pt>
                <c:pt idx="5">
                  <c:v>0.1278</c:v>
                </c:pt>
                <c:pt idx="6">
                  <c:v>0.12130000000000001</c:v>
                </c:pt>
                <c:pt idx="7">
                  <c:v>0.15490000000000001</c:v>
                </c:pt>
                <c:pt idx="8">
                  <c:v>0.1305</c:v>
                </c:pt>
                <c:pt idx="9">
                  <c:v>0.15540000000000001</c:v>
                </c:pt>
                <c:pt idx="10">
                  <c:v>0.1724</c:v>
                </c:pt>
                <c:pt idx="11">
                  <c:v>0.15970000000000001</c:v>
                </c:pt>
                <c:pt idx="12">
                  <c:v>0.16420000000000001</c:v>
                </c:pt>
                <c:pt idx="13">
                  <c:v>0.1643</c:v>
                </c:pt>
                <c:pt idx="14">
                  <c:v>0.14319999999999999</c:v>
                </c:pt>
                <c:pt idx="15">
                  <c:v>0.1348</c:v>
                </c:pt>
                <c:pt idx="16">
                  <c:v>0.12659999999999999</c:v>
                </c:pt>
                <c:pt idx="17">
                  <c:v>0.14080000000000001</c:v>
                </c:pt>
                <c:pt idx="18">
                  <c:v>0.1143</c:v>
                </c:pt>
                <c:pt idx="19">
                  <c:v>5.8999999999999997E-2</c:v>
                </c:pt>
                <c:pt idx="20">
                  <c:v>0.1265</c:v>
                </c:pt>
                <c:pt idx="21">
                  <c:v>0.1042</c:v>
                </c:pt>
                <c:pt idx="22">
                  <c:v>0.14749999999999999</c:v>
                </c:pt>
                <c:pt idx="23">
                  <c:v>0.1699</c:v>
                </c:pt>
                <c:pt idx="24">
                  <c:v>0.12139999999999999</c:v>
                </c:pt>
                <c:pt idx="25">
                  <c:v>0.14399999999999999</c:v>
                </c:pt>
                <c:pt idx="26">
                  <c:v>0.1295</c:v>
                </c:pt>
                <c:pt idx="27">
                  <c:v>0.1244</c:v>
                </c:pt>
                <c:pt idx="28">
                  <c:v>0.1338</c:v>
                </c:pt>
                <c:pt idx="29">
                  <c:v>0.1472</c:v>
                </c:pt>
                <c:pt idx="30">
                  <c:v>0.113</c:v>
                </c:pt>
                <c:pt idx="31">
                  <c:v>0.1177</c:v>
                </c:pt>
                <c:pt idx="32">
                  <c:v>0.1021</c:v>
                </c:pt>
                <c:pt idx="33">
                  <c:v>0.13689999999999999</c:v>
                </c:pt>
                <c:pt idx="34">
                  <c:v>0.1119</c:v>
                </c:pt>
                <c:pt idx="35">
                  <c:v>9.7699999999999995E-2</c:v>
                </c:pt>
                <c:pt idx="36">
                  <c:v>0.1177</c:v>
                </c:pt>
                <c:pt idx="37">
                  <c:v>0.14460000000000001</c:v>
                </c:pt>
                <c:pt idx="38">
                  <c:v>0.13450000000000001</c:v>
                </c:pt>
                <c:pt idx="39">
                  <c:v>0.1346</c:v>
                </c:pt>
                <c:pt idx="40">
                  <c:v>0.1206</c:v>
                </c:pt>
                <c:pt idx="41">
                  <c:v>0.16719999999999999</c:v>
                </c:pt>
                <c:pt idx="42">
                  <c:v>0.1482</c:v>
                </c:pt>
                <c:pt idx="43">
                  <c:v>0.14949999999999999</c:v>
                </c:pt>
                <c:pt idx="44">
                  <c:v>0.17829999999999999</c:v>
                </c:pt>
                <c:pt idx="45">
                  <c:v>0.19600000000000001</c:v>
                </c:pt>
                <c:pt idx="46">
                  <c:v>0.1643</c:v>
                </c:pt>
                <c:pt idx="47">
                  <c:v>0.19900000000000001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46-403D-BEC5-F490E9EF0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 (sorted, high to low)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'11_Report_Contribution'!$B$3</c:f>
              <c:strCache>
                <c:ptCount val="1"/>
                <c:pt idx="0">
                  <c:v>Revenue (FY21-24)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'11_Report_Contribution'!$A$4:$A$15</c:f>
              <c:strCache>
                <c:ptCount val="12"/>
                <c:pt idx="0">
                  <c:v>West Bengal</c:v>
                </c:pt>
                <c:pt idx="1">
                  <c:v>Punjab-Haryana</c:v>
                </c:pt>
                <c:pt idx="2">
                  <c:v>Karnataka</c:v>
                </c:pt>
                <c:pt idx="3">
                  <c:v>Tamil Nadu</c:v>
                </c:pt>
                <c:pt idx="4">
                  <c:v>Maharashtra</c:v>
                </c:pt>
                <c:pt idx="5">
                  <c:v>Rajasthan</c:v>
                </c:pt>
                <c:pt idx="6">
                  <c:v>Gujarat</c:v>
                </c:pt>
                <c:pt idx="7">
                  <c:v>Delhi NCR</c:v>
                </c:pt>
                <c:pt idx="8">
                  <c:v>Kerala</c:v>
                </c:pt>
                <c:pt idx="9">
                  <c:v>Madhya Pradesh</c:v>
                </c:pt>
                <c:pt idx="10">
                  <c:v>Odisha-Jharkhand</c:v>
                </c:pt>
                <c:pt idx="11">
                  <c:v>Telangana-AP</c:v>
                </c:pt>
              </c:strCache>
            </c:strRef>
          </c:cat>
          <c:val>
            <c:numRef>
              <c:f>'11_Report_Contribution'!$B$4:$B$15</c:f>
              <c:numCache>
                <c:formatCode>#,##0</c:formatCode>
                <c:ptCount val="12"/>
                <c:pt idx="0">
                  <c:v>2718395856</c:v>
                </c:pt>
                <c:pt idx="1">
                  <c:v>2293173113</c:v>
                </c:pt>
                <c:pt idx="2">
                  <c:v>1867206983</c:v>
                </c:pt>
                <c:pt idx="3">
                  <c:v>1857928147</c:v>
                </c:pt>
                <c:pt idx="4">
                  <c:v>1838530545</c:v>
                </c:pt>
                <c:pt idx="5">
                  <c:v>1422287055</c:v>
                </c:pt>
                <c:pt idx="6">
                  <c:v>1374352415</c:v>
                </c:pt>
                <c:pt idx="7">
                  <c:v>1320698054</c:v>
                </c:pt>
                <c:pt idx="8">
                  <c:v>1294535367</c:v>
                </c:pt>
                <c:pt idx="9">
                  <c:v>1016767735</c:v>
                </c:pt>
                <c:pt idx="10">
                  <c:v>1016485174</c:v>
                </c:pt>
                <c:pt idx="11">
                  <c:v>859004043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2-4C34-8C63-FBC8A5C66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365760</xdr:colOff>
      <xdr:row>1</xdr:row>
      <xdr:rowOff>99060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delOverallMonth" displayName="tblModelOverallMonth" ref="A3:H51">
  <autoFilter ref="A3:H51" xr:uid="{00000000-0009-0000-0100-000001000000}"/>
  <tableColumns count="8">
    <tableColumn id="1" xr3:uid="{00000000-0010-0000-0000-000001000000}" name="year"/>
    <tableColumn id="2" xr3:uid="{00000000-0010-0000-0000-000002000000}" name="month"/>
    <tableColumn id="3" xr3:uid="{00000000-0010-0000-0000-000003000000}" name="ym"/>
    <tableColumn id="4" xr3:uid="{00000000-0010-0000-0000-000004000000}" name="revenue"/>
    <tableColumn id="5" xr3:uid="{00000000-0010-0000-0000-000005000000}" name="cost"/>
    <tableColumn id="6" xr3:uid="{00000000-0010-0000-0000-000006000000}" name="orders"/>
    <tableColumn id="7" xr3:uid="{00000000-0010-0000-0000-000007000000}" name="margin"/>
    <tableColumn id="8" xr3:uid="{00000000-0010-0000-0000-000008000000}" name="margin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delRegionMonth" displayName="tblModelRegionMonth" ref="A3:M579">
  <autoFilter ref="A3:M579" xr:uid="{00000000-0009-0000-0100-000002000000}"/>
  <tableColumns count="13">
    <tableColumn id="1" xr3:uid="{00000000-0010-0000-0100-000001000000}" name="region_id"/>
    <tableColumn id="2" xr3:uid="{00000000-0010-0000-0100-000002000000}" name="region_name"/>
    <tableColumn id="3" xr3:uid="{00000000-0010-0000-0100-000003000000}" name="zone"/>
    <tableColumn id="4" xr3:uid="{00000000-0010-0000-0100-000004000000}" name="year"/>
    <tableColumn id="5" xr3:uid="{00000000-0010-0000-0100-000005000000}" name="month"/>
    <tableColumn id="6" xr3:uid="{00000000-0010-0000-0100-000006000000}" name="ym"/>
    <tableColumn id="7" xr3:uid="{00000000-0010-0000-0100-000007000000}" name="revenue"/>
    <tableColumn id="8" xr3:uid="{00000000-0010-0000-0100-000008000000}" name="cost"/>
    <tableColumn id="9" xr3:uid="{00000000-0010-0000-0100-000009000000}" name="orders"/>
    <tableColumn id="10" xr3:uid="{00000000-0010-0000-0100-00000A000000}" name="margin"/>
    <tableColumn id="11" xr3:uid="{00000000-0010-0000-0100-00000B000000}" name="margin_pct"/>
    <tableColumn id="12" xr3:uid="{00000000-0010-0000-0100-00000C000000}" name="target_amount"/>
    <tableColumn id="13" xr3:uid="{00000000-0010-0000-0100-00000D000000}" name="achievement_pc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odelStoreMonth" displayName="tblModelStoreMonth" ref="A3:P5762">
  <autoFilter ref="A3:P5762" xr:uid="{00000000-0009-0000-0100-000003000000}"/>
  <tableColumns count="16">
    <tableColumn id="1" xr3:uid="{00000000-0010-0000-0200-000001000000}" name="store_id"/>
    <tableColumn id="2" xr3:uid="{00000000-0010-0000-0200-000002000000}" name="store_name"/>
    <tableColumn id="3" xr3:uid="{00000000-0010-0000-0200-000003000000}" name="region_id"/>
    <tableColumn id="4" xr3:uid="{00000000-0010-0000-0200-000004000000}" name="region_name"/>
    <tableColumn id="5" xr3:uid="{00000000-0010-0000-0200-000005000000}" name="year"/>
    <tableColumn id="6" xr3:uid="{00000000-0010-0000-0200-000006000000}" name="month"/>
    <tableColumn id="7" xr3:uid="{00000000-0010-0000-0200-000007000000}" name="ym"/>
    <tableColumn id="8" xr3:uid="{00000000-0010-0000-0200-000008000000}" name="revenue"/>
    <tableColumn id="9" xr3:uid="{00000000-0010-0000-0200-000009000000}" name="cost"/>
    <tableColumn id="10" xr3:uid="{00000000-0010-0000-0200-00000A000000}" name="orders"/>
    <tableColumn id="11" xr3:uid="{00000000-0010-0000-0200-00000B000000}" name="discount_leak"/>
    <tableColumn id="12" xr3:uid="{00000000-0010-0000-0200-00000C000000}" name="catalog_value"/>
    <tableColumn id="13" xr3:uid="{00000000-0010-0000-0200-00000D000000}" name="margin"/>
    <tableColumn id="14" xr3:uid="{00000000-0010-0000-0200-00000E000000}" name="margin_pct"/>
    <tableColumn id="15" xr3:uid="{00000000-0010-0000-0200-00000F000000}" name="return_count"/>
    <tableColumn id="16" xr3:uid="{00000000-0010-0000-0200-000010000000}" name="refund_am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delStoreScore" displayName="tblModelStoreScore" ref="A3:Y123">
  <autoFilter ref="A3:Y123" xr:uid="{00000000-0009-0000-0100-000004000000}"/>
  <tableColumns count="25">
    <tableColumn id="1" xr3:uid="{00000000-0010-0000-0300-000001000000}" name="store_id"/>
    <tableColumn id="2" xr3:uid="{00000000-0010-0000-0300-000002000000}" name="store_name"/>
    <tableColumn id="3" xr3:uid="{00000000-0010-0000-0300-000003000000}" name="region_id"/>
    <tableColumn id="4" xr3:uid="{00000000-0010-0000-0300-000004000000}" name="region_name"/>
    <tableColumn id="5" xr3:uid="{00000000-0010-0000-0300-000005000000}" name="revenue_last6"/>
    <tableColumn id="6" xr3:uid="{00000000-0010-0000-0300-000006000000}" name="cost_last6"/>
    <tableColumn id="7" xr3:uid="{00000000-0010-0000-0300-000007000000}" name="discount_leak_last6"/>
    <tableColumn id="8" xr3:uid="{00000000-0010-0000-0300-000008000000}" name="catalog_value_last6"/>
    <tableColumn id="9" xr3:uid="{00000000-0010-0000-0300-000009000000}" name="order_count_last6"/>
    <tableColumn id="10" xr3:uid="{00000000-0010-0000-0300-00000A000000}" name="lines_last6"/>
    <tableColumn id="11" xr3:uid="{00000000-0010-0000-0300-00000B000000}" name="margin_last6"/>
    <tableColumn id="12" xr3:uid="{00000000-0010-0000-0300-00000C000000}" name="margin_pct_last6"/>
    <tableColumn id="13" xr3:uid="{00000000-0010-0000-0300-00000D000000}" name="discount_leak_pct_last6"/>
    <tableColumn id="14" xr3:uid="{00000000-0010-0000-0300-00000E000000}" name="revenue_prior6"/>
    <tableColumn id="15" xr3:uid="{00000000-0010-0000-0300-00000F000000}" name="cost_prior6"/>
    <tableColumn id="16" xr3:uid="{00000000-0010-0000-0300-000010000000}" name="discount_leak_prior6"/>
    <tableColumn id="17" xr3:uid="{00000000-0010-0000-0300-000011000000}" name="catalog_value_prior6"/>
    <tableColumn id="18" xr3:uid="{00000000-0010-0000-0300-000012000000}" name="order_count_prior6"/>
    <tableColumn id="19" xr3:uid="{00000000-0010-0000-0300-000013000000}" name="lines_prior6"/>
    <tableColumn id="20" xr3:uid="{00000000-0010-0000-0300-000014000000}" name="margin_prior6"/>
    <tableColumn id="21" xr3:uid="{00000000-0010-0000-0300-000015000000}" name="margin_pct_prior6"/>
    <tableColumn id="22" xr3:uid="{00000000-0010-0000-0300-000016000000}" name="discount_leak_pct_prior6"/>
    <tableColumn id="23" xr3:uid="{00000000-0010-0000-0300-000017000000}" name="return_rate_last6"/>
    <tableColumn id="24" xr3:uid="{00000000-0010-0000-0300-000018000000}" name="revenue_growth_pct"/>
    <tableColumn id="25" xr3:uid="{00000000-0010-0000-0300-000019000000}" name="margin_trend_p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odelCategory" displayName="tblModelCategory" ref="A3:O23">
  <autoFilter ref="A3:O23" xr:uid="{00000000-0009-0000-0100-000005000000}"/>
  <tableColumns count="15">
    <tableColumn id="1" xr3:uid="{00000000-0010-0000-0400-000001000000}" name="category_id"/>
    <tableColumn id="2" xr3:uid="{00000000-0010-0000-0400-000002000000}" name="category_name"/>
    <tableColumn id="3" xr3:uid="{00000000-0010-0000-0400-000003000000}" name="category_group"/>
    <tableColumn id="4" xr3:uid="{00000000-0010-0000-0400-000004000000}" name="revenue"/>
    <tableColumn id="5" xr3:uid="{00000000-0010-0000-0400-000005000000}" name="cost"/>
    <tableColumn id="6" xr3:uid="{00000000-0010-0000-0400-000006000000}" name="discount_leak"/>
    <tableColumn id="7" xr3:uid="{00000000-0010-0000-0400-000007000000}" name="catalog_value"/>
    <tableColumn id="8" xr3:uid="{00000000-0010-0000-0400-000008000000}" name="lines"/>
    <tableColumn id="9" xr3:uid="{00000000-0010-0000-0400-000009000000}" name="margin"/>
    <tableColumn id="10" xr3:uid="{00000000-0010-0000-0400-00000A000000}" name="margin_pct"/>
    <tableColumn id="11" xr3:uid="{00000000-0010-0000-0400-00000B000000}" name="discount_leak_pct"/>
    <tableColumn id="12" xr3:uid="{00000000-0010-0000-0400-00000C000000}" name="return_count"/>
    <tableColumn id="13" xr3:uid="{00000000-0010-0000-0400-00000D000000}" name="refund_amount"/>
    <tableColumn id="14" xr3:uid="{00000000-0010-0000-0400-00000E000000}" name="return_rate"/>
    <tableColumn id="15" xr3:uid="{00000000-0010-0000-0400-00000F000000}" name="revenue_sha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odelCategoryMonth" displayName="tblModelCategoryMonth" ref="A3:H963">
  <autoFilter ref="A3:H963" xr:uid="{00000000-0009-0000-0100-000006000000}"/>
  <tableColumns count="8">
    <tableColumn id="1" xr3:uid="{00000000-0010-0000-0500-000001000000}" name="category_id"/>
    <tableColumn id="2" xr3:uid="{00000000-0010-0000-0500-000002000000}" name="category_name"/>
    <tableColumn id="3" xr3:uid="{00000000-0010-0000-0500-000003000000}" name="ym"/>
    <tableColumn id="4" xr3:uid="{00000000-0010-0000-0500-000004000000}" name="year"/>
    <tableColumn id="5" xr3:uid="{00000000-0010-0000-0500-000005000000}" name="month"/>
    <tableColumn id="6" xr3:uid="{00000000-0010-0000-0500-000006000000}" name="revenue"/>
    <tableColumn id="7" xr3:uid="{00000000-0010-0000-0500-000007000000}" name="cost"/>
    <tableColumn id="8" xr3:uid="{00000000-0010-0000-0500-000008000000}" name="margin_pc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odelPromotion" displayName="tblModelPromotion" ref="A3:Q203">
  <autoFilter ref="A3:Q203" xr:uid="{00000000-0009-0000-0100-000007000000}"/>
  <tableColumns count="17">
    <tableColumn id="1" xr3:uid="{00000000-0010-0000-0600-000001000000}" name="promotion_id"/>
    <tableColumn id="2" xr3:uid="{00000000-0010-0000-0600-000002000000}" name="revenue"/>
    <tableColumn id="3" xr3:uid="{00000000-0010-0000-0600-000003000000}" name="cost"/>
    <tableColumn id="4" xr3:uid="{00000000-0010-0000-0600-000004000000}" name="orders"/>
    <tableColumn id="5" xr3:uid="{00000000-0010-0000-0600-000005000000}" name="lines"/>
    <tableColumn id="6" xr3:uid="{00000000-0010-0000-0600-000006000000}" name="margin"/>
    <tableColumn id="7" xr3:uid="{00000000-0010-0000-0600-000007000000}" name="margin_pct"/>
    <tableColumn id="8" xr3:uid="{00000000-0010-0000-0600-000008000000}" name="avg_order_value"/>
    <tableColumn id="9" xr3:uid="{00000000-0010-0000-0600-000009000000}" name="promotion_name"/>
    <tableColumn id="10" xr3:uid="{00000000-0010-0000-0600-00000A000000}" name="promotion_type"/>
    <tableColumn id="11" xr3:uid="{00000000-0010-0000-0600-00000B000000}" name="discount_pct"/>
    <tableColumn id="12" xr3:uid="{00000000-0010-0000-0600-00000C000000}" name="start_date"/>
    <tableColumn id="13" xr3:uid="{00000000-0010-0000-0600-00000D000000}" name="end_date"/>
    <tableColumn id="14" xr3:uid="{00000000-0010-0000-0600-00000E000000}" name="baseline_margin_pct"/>
    <tableColumn id="15" xr3:uid="{00000000-0010-0000-0600-00000F000000}" name="baseline_avg_order_value"/>
    <tableColumn id="16" xr3:uid="{00000000-0010-0000-0600-000010000000}" name="margin_pct_delta_pp"/>
    <tableColumn id="17" xr3:uid="{00000000-0010-0000-0600-000011000000}" name="aov_lift_pc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odelSLA" displayName="tblModelSLA" ref="A3:F63">
  <autoFilter ref="A3:F63" xr:uid="{00000000-0009-0000-0100-000008000000}"/>
  <tableColumns count="6">
    <tableColumn id="1" xr3:uid="{00000000-0010-0000-0700-000001000000}" name="region_id"/>
    <tableColumn id="2" xr3:uid="{00000000-0010-0000-0700-000002000000}" name="region_name"/>
    <tableColumn id="3" xr3:uid="{00000000-0010-0000-0700-000003000000}" name="courier_partner"/>
    <tableColumn id="4" xr3:uid="{00000000-0010-0000-0700-000004000000}" name="shipment_count"/>
    <tableColumn id="5" xr3:uid="{00000000-0010-0000-0700-000005000000}" name="late_count"/>
    <tableColumn id="6" xr3:uid="{00000000-0010-0000-0700-000006000000}" name="late_rat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Recommendations" displayName="tblRecommendations" ref="B5:E357">
  <autoFilter ref="B5:E357" xr:uid="{00000000-0009-0000-0100-000009000000}"/>
  <tableColumns count="4">
    <tableColumn id="2" xr3:uid="{00000000-0010-0000-0800-000002000000}" name="Area"/>
    <tableColumn id="3" xr3:uid="{00000000-0010-0000-0800-000003000000}" name="Item"/>
    <tableColumn id="4" xr3:uid="{00000000-0010-0000-0800-000004000000}" name="Status"/>
    <tableColumn id="5" xr3:uid="{00000000-0010-0000-0800-000005000000}" name="Recommended 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B33"/>
  <sheetViews>
    <sheetView showGridLines="0" tabSelected="1" zoomScale="89" workbookViewId="0">
      <selection activeCell="B18" sqref="B18"/>
    </sheetView>
  </sheetViews>
  <sheetFormatPr defaultRowHeight="14.4" x14ac:dyDescent="0.3"/>
  <cols>
    <col min="1" max="1" width="3" customWidth="1"/>
    <col min="2" max="2" width="110" customWidth="1"/>
  </cols>
  <sheetData>
    <row r="2" spans="2:2" ht="24.6" x14ac:dyDescent="0.4">
      <c r="B2" s="1" t="s">
        <v>0</v>
      </c>
    </row>
    <row r="3" spans="2:2" ht="15.6" x14ac:dyDescent="0.3">
      <c r="B3" s="2" t="s">
        <v>1</v>
      </c>
    </row>
    <row r="6" spans="2:2" ht="15.6" x14ac:dyDescent="0.3">
      <c r="B6" s="3" t="s">
        <v>2</v>
      </c>
    </row>
    <row r="7" spans="2:2" ht="30" customHeight="1" x14ac:dyDescent="0.3">
      <c r="B7" s="32" t="s">
        <v>918</v>
      </c>
    </row>
    <row r="9" spans="2:2" ht="15.6" x14ac:dyDescent="0.3">
      <c r="B9" s="3" t="s">
        <v>3</v>
      </c>
    </row>
    <row r="10" spans="2:2" ht="30" customHeight="1" x14ac:dyDescent="0.3">
      <c r="B10" s="4" t="s">
        <v>4</v>
      </c>
    </row>
    <row r="12" spans="2:2" ht="15.6" x14ac:dyDescent="0.3">
      <c r="B12" s="3" t="s">
        <v>5</v>
      </c>
    </row>
    <row r="13" spans="2:2" ht="30" customHeight="1" x14ac:dyDescent="0.3">
      <c r="B13" s="32" t="s">
        <v>919</v>
      </c>
    </row>
    <row r="14" spans="2:2" ht="30" customHeight="1" x14ac:dyDescent="0.3">
      <c r="B14" s="4" t="s">
        <v>6</v>
      </c>
    </row>
    <row r="15" spans="2:2" ht="30" customHeight="1" x14ac:dyDescent="0.3">
      <c r="B15" s="4" t="s">
        <v>7</v>
      </c>
    </row>
    <row r="16" spans="2:2" ht="30" customHeight="1" x14ac:dyDescent="0.3">
      <c r="B16" s="32" t="s">
        <v>920</v>
      </c>
    </row>
    <row r="17" spans="2:2" ht="30" customHeight="1" x14ac:dyDescent="0.3">
      <c r="B17" s="4" t="s">
        <v>8</v>
      </c>
    </row>
    <row r="18" spans="2:2" ht="30" customHeight="1" x14ac:dyDescent="0.3">
      <c r="B18" s="4" t="s">
        <v>9</v>
      </c>
    </row>
    <row r="19" spans="2:2" ht="30" customHeight="1" x14ac:dyDescent="0.3">
      <c r="B19" s="4" t="s">
        <v>10</v>
      </c>
    </row>
    <row r="21" spans="2:2" ht="15.6" x14ac:dyDescent="0.3">
      <c r="B21" s="3" t="s">
        <v>11</v>
      </c>
    </row>
    <row r="22" spans="2:2" x14ac:dyDescent="0.3">
      <c r="B22" s="31" t="s">
        <v>911</v>
      </c>
    </row>
    <row r="23" spans="2:2" x14ac:dyDescent="0.3">
      <c r="B23" s="31" t="s">
        <v>912</v>
      </c>
    </row>
    <row r="24" spans="2:2" x14ac:dyDescent="0.3">
      <c r="B24" s="31" t="s">
        <v>913</v>
      </c>
    </row>
    <row r="25" spans="2:2" x14ac:dyDescent="0.3">
      <c r="B25" s="31" t="s">
        <v>914</v>
      </c>
    </row>
    <row r="26" spans="2:2" x14ac:dyDescent="0.3">
      <c r="B26" s="31" t="s">
        <v>915</v>
      </c>
    </row>
    <row r="27" spans="2:2" x14ac:dyDescent="0.3">
      <c r="B27" s="31" t="s">
        <v>916</v>
      </c>
    </row>
    <row r="28" spans="2:2" x14ac:dyDescent="0.3">
      <c r="B28" s="31" t="s">
        <v>917</v>
      </c>
    </row>
    <row r="30" spans="2:2" ht="15.6" x14ac:dyDescent="0.3">
      <c r="B30" s="6" t="s">
        <v>12</v>
      </c>
    </row>
    <row r="31" spans="2:2" x14ac:dyDescent="0.3">
      <c r="B31" s="7" t="s">
        <v>13</v>
      </c>
    </row>
    <row r="33" ht="19.95" customHeight="1" x14ac:dyDescent="0.3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H51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3" width="10" customWidth="1"/>
    <col min="4" max="4" width="11" customWidth="1"/>
    <col min="5" max="5" width="14" customWidth="1"/>
    <col min="6" max="6" width="10" customWidth="1"/>
    <col min="7" max="7" width="14" customWidth="1"/>
    <col min="8" max="8" width="12" customWidth="1"/>
  </cols>
  <sheetData>
    <row r="1" spans="1:8" x14ac:dyDescent="0.3">
      <c r="A1" s="8"/>
    </row>
    <row r="3" spans="1:8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</row>
    <row r="4" spans="1:8" x14ac:dyDescent="0.3">
      <c r="A4" s="5">
        <v>2021</v>
      </c>
      <c r="B4" s="5">
        <v>1</v>
      </c>
      <c r="C4" s="5" t="s">
        <v>22</v>
      </c>
      <c r="D4" s="5">
        <v>196258182</v>
      </c>
      <c r="E4" s="5">
        <v>177581603.75</v>
      </c>
      <c r="F4" s="5">
        <v>3043</v>
      </c>
      <c r="G4" s="5">
        <v>18676578.25</v>
      </c>
      <c r="H4" s="5">
        <v>9.5200000000000007E-2</v>
      </c>
    </row>
    <row r="5" spans="1:8" x14ac:dyDescent="0.3">
      <c r="A5" s="5">
        <v>2021</v>
      </c>
      <c r="B5" s="5">
        <v>2</v>
      </c>
      <c r="C5" s="5" t="s">
        <v>23</v>
      </c>
      <c r="D5" s="5">
        <v>178833814</v>
      </c>
      <c r="E5" s="5">
        <v>156613278.34</v>
      </c>
      <c r="F5" s="5">
        <v>2736</v>
      </c>
      <c r="G5" s="5">
        <v>22220535.66</v>
      </c>
      <c r="H5" s="5">
        <v>0.12429999999999999</v>
      </c>
    </row>
    <row r="6" spans="1:8" x14ac:dyDescent="0.3">
      <c r="A6" s="5">
        <v>2021</v>
      </c>
      <c r="B6" s="5">
        <v>3</v>
      </c>
      <c r="C6" s="5" t="s">
        <v>24</v>
      </c>
      <c r="D6" s="5">
        <v>215985173</v>
      </c>
      <c r="E6" s="5">
        <v>181319140.96000001</v>
      </c>
      <c r="F6" s="5">
        <v>3081</v>
      </c>
      <c r="G6" s="5">
        <v>34666032.039999999</v>
      </c>
      <c r="H6" s="5">
        <v>0.1605</v>
      </c>
    </row>
    <row r="7" spans="1:8" x14ac:dyDescent="0.3">
      <c r="A7" s="5">
        <v>2021</v>
      </c>
      <c r="B7" s="5">
        <v>4</v>
      </c>
      <c r="C7" s="5" t="s">
        <v>25</v>
      </c>
      <c r="D7" s="5">
        <v>222112137</v>
      </c>
      <c r="E7" s="5">
        <v>195323141.49000001</v>
      </c>
      <c r="F7" s="5">
        <v>3305</v>
      </c>
      <c r="G7" s="5">
        <v>26788995.510000002</v>
      </c>
      <c r="H7" s="5">
        <v>0.1206</v>
      </c>
    </row>
    <row r="8" spans="1:8" x14ac:dyDescent="0.3">
      <c r="A8" s="5">
        <v>2021</v>
      </c>
      <c r="B8" s="5">
        <v>5</v>
      </c>
      <c r="C8" s="5" t="s">
        <v>26</v>
      </c>
      <c r="D8" s="5">
        <v>249111988</v>
      </c>
      <c r="E8" s="5">
        <v>217648735.28</v>
      </c>
      <c r="F8" s="5">
        <v>3746</v>
      </c>
      <c r="G8" s="5">
        <v>31463252.719999999</v>
      </c>
      <c r="H8" s="5">
        <v>0.1263</v>
      </c>
    </row>
    <row r="9" spans="1:8" x14ac:dyDescent="0.3">
      <c r="A9" s="5">
        <v>2021</v>
      </c>
      <c r="B9" s="5">
        <v>6</v>
      </c>
      <c r="C9" s="5" t="s">
        <v>27</v>
      </c>
      <c r="D9" s="5">
        <v>232257296</v>
      </c>
      <c r="E9" s="5">
        <v>202565134.91999999</v>
      </c>
      <c r="F9" s="5">
        <v>3505</v>
      </c>
      <c r="G9" s="5">
        <v>29692161.079999998</v>
      </c>
      <c r="H9" s="5">
        <v>0.1278</v>
      </c>
    </row>
    <row r="10" spans="1:8" x14ac:dyDescent="0.3">
      <c r="A10" s="5">
        <v>2021</v>
      </c>
      <c r="B10" s="5">
        <v>7</v>
      </c>
      <c r="C10" s="5" t="s">
        <v>28</v>
      </c>
      <c r="D10" s="5">
        <v>219645765</v>
      </c>
      <c r="E10" s="5">
        <v>193003946.44999999</v>
      </c>
      <c r="F10" s="5">
        <v>3378</v>
      </c>
      <c r="G10" s="5">
        <v>26641818.550000001</v>
      </c>
      <c r="H10" s="5">
        <v>0.12130000000000001</v>
      </c>
    </row>
    <row r="11" spans="1:8" x14ac:dyDescent="0.3">
      <c r="A11" s="5">
        <v>2021</v>
      </c>
      <c r="B11" s="5">
        <v>8</v>
      </c>
      <c r="C11" s="5" t="s">
        <v>29</v>
      </c>
      <c r="D11" s="5">
        <v>243118909</v>
      </c>
      <c r="E11" s="5">
        <v>205463186.06</v>
      </c>
      <c r="F11" s="5">
        <v>3448</v>
      </c>
      <c r="G11" s="5">
        <v>37655722.939999998</v>
      </c>
      <c r="H11" s="5">
        <v>0.15490000000000001</v>
      </c>
    </row>
    <row r="12" spans="1:8" x14ac:dyDescent="0.3">
      <c r="A12" s="5">
        <v>2021</v>
      </c>
      <c r="B12" s="5">
        <v>9</v>
      </c>
      <c r="C12" s="5" t="s">
        <v>30</v>
      </c>
      <c r="D12" s="5">
        <v>238960088</v>
      </c>
      <c r="E12" s="5">
        <v>207782548.05000001</v>
      </c>
      <c r="F12" s="5">
        <v>3625</v>
      </c>
      <c r="G12" s="5">
        <v>31177539.949999999</v>
      </c>
      <c r="H12" s="5">
        <v>0.1305</v>
      </c>
    </row>
    <row r="13" spans="1:8" x14ac:dyDescent="0.3">
      <c r="A13" s="5">
        <v>2021</v>
      </c>
      <c r="B13" s="5">
        <v>10</v>
      </c>
      <c r="C13" s="5" t="s">
        <v>31</v>
      </c>
      <c r="D13" s="5">
        <v>351828947</v>
      </c>
      <c r="E13" s="5">
        <v>297146876.92000002</v>
      </c>
      <c r="F13" s="5">
        <v>5074</v>
      </c>
      <c r="G13" s="5">
        <v>54682070.079999998</v>
      </c>
      <c r="H13" s="5">
        <v>0.15540000000000001</v>
      </c>
    </row>
    <row r="14" spans="1:8" x14ac:dyDescent="0.3">
      <c r="A14" s="5">
        <v>2021</v>
      </c>
      <c r="B14" s="5">
        <v>11</v>
      </c>
      <c r="C14" s="5" t="s">
        <v>32</v>
      </c>
      <c r="D14" s="5">
        <v>342872940</v>
      </c>
      <c r="E14" s="5">
        <v>283754489.45999998</v>
      </c>
      <c r="F14" s="5">
        <v>4967</v>
      </c>
      <c r="G14" s="5">
        <v>59118450.539999999</v>
      </c>
      <c r="H14" s="5">
        <v>0.1724</v>
      </c>
    </row>
    <row r="15" spans="1:8" x14ac:dyDescent="0.3">
      <c r="A15" s="5">
        <v>2021</v>
      </c>
      <c r="B15" s="5">
        <v>12</v>
      </c>
      <c r="C15" s="5" t="s">
        <v>33</v>
      </c>
      <c r="D15" s="5">
        <v>341260894</v>
      </c>
      <c r="E15" s="5">
        <v>286751235.18000001</v>
      </c>
      <c r="F15" s="5">
        <v>4787</v>
      </c>
      <c r="G15" s="5">
        <v>54509658.82</v>
      </c>
      <c r="H15" s="5">
        <v>0.15970000000000001</v>
      </c>
    </row>
    <row r="16" spans="1:8" x14ac:dyDescent="0.3">
      <c r="A16" s="5">
        <v>2022</v>
      </c>
      <c r="B16" s="5">
        <v>1</v>
      </c>
      <c r="C16" s="5" t="s">
        <v>34</v>
      </c>
      <c r="D16" s="5">
        <v>292334349</v>
      </c>
      <c r="E16" s="5">
        <v>244320128.03</v>
      </c>
      <c r="F16" s="5">
        <v>4219</v>
      </c>
      <c r="G16" s="5">
        <v>48014220.969999999</v>
      </c>
      <c r="H16" s="5">
        <v>0.16420000000000001</v>
      </c>
    </row>
    <row r="17" spans="1:8" x14ac:dyDescent="0.3">
      <c r="A17" s="5">
        <v>2022</v>
      </c>
      <c r="B17" s="5">
        <v>2</v>
      </c>
      <c r="C17" s="5" t="s">
        <v>35</v>
      </c>
      <c r="D17" s="5">
        <v>256472632</v>
      </c>
      <c r="E17" s="5">
        <v>214324768.40000001</v>
      </c>
      <c r="F17" s="5">
        <v>3730</v>
      </c>
      <c r="G17" s="5">
        <v>42147863.600000001</v>
      </c>
      <c r="H17" s="5">
        <v>0.1643</v>
      </c>
    </row>
    <row r="18" spans="1:8" x14ac:dyDescent="0.3">
      <c r="A18" s="5">
        <v>2022</v>
      </c>
      <c r="B18" s="5">
        <v>3</v>
      </c>
      <c r="C18" s="5" t="s">
        <v>36</v>
      </c>
      <c r="D18" s="5">
        <v>324325667</v>
      </c>
      <c r="E18" s="5">
        <v>277892545.38</v>
      </c>
      <c r="F18" s="5">
        <v>4620</v>
      </c>
      <c r="G18" s="5">
        <v>46433121.619999997</v>
      </c>
      <c r="H18" s="5">
        <v>0.14319999999999999</v>
      </c>
    </row>
    <row r="19" spans="1:8" x14ac:dyDescent="0.3">
      <c r="A19" s="5">
        <v>2022</v>
      </c>
      <c r="B19" s="5">
        <v>4</v>
      </c>
      <c r="C19" s="5" t="s">
        <v>37</v>
      </c>
      <c r="D19" s="5">
        <v>330363190</v>
      </c>
      <c r="E19" s="5">
        <v>285843461.75</v>
      </c>
      <c r="F19" s="5">
        <v>4837</v>
      </c>
      <c r="G19" s="5">
        <v>44519728.25</v>
      </c>
      <c r="H19" s="5">
        <v>0.1348</v>
      </c>
    </row>
    <row r="20" spans="1:8" x14ac:dyDescent="0.3">
      <c r="A20" s="5">
        <v>2022</v>
      </c>
      <c r="B20" s="5">
        <v>5</v>
      </c>
      <c r="C20" s="5" t="s">
        <v>38</v>
      </c>
      <c r="D20" s="5">
        <v>349269144</v>
      </c>
      <c r="E20" s="5">
        <v>305065640.44999999</v>
      </c>
      <c r="F20" s="5">
        <v>5223</v>
      </c>
      <c r="G20" s="5">
        <v>44203503.549999997</v>
      </c>
      <c r="H20" s="5">
        <v>0.12659999999999999</v>
      </c>
    </row>
    <row r="21" spans="1:8" x14ac:dyDescent="0.3">
      <c r="A21" s="5">
        <v>2022</v>
      </c>
      <c r="B21" s="5">
        <v>6</v>
      </c>
      <c r="C21" s="5" t="s">
        <v>39</v>
      </c>
      <c r="D21" s="5">
        <v>327040286</v>
      </c>
      <c r="E21" s="5">
        <v>281001985.23000002</v>
      </c>
      <c r="F21" s="5">
        <v>4931</v>
      </c>
      <c r="G21" s="5">
        <v>46038300.770000003</v>
      </c>
      <c r="H21" s="5">
        <v>0.14080000000000001</v>
      </c>
    </row>
    <row r="22" spans="1:8" x14ac:dyDescent="0.3">
      <c r="A22" s="5">
        <v>2022</v>
      </c>
      <c r="B22" s="5">
        <v>7</v>
      </c>
      <c r="C22" s="5" t="s">
        <v>40</v>
      </c>
      <c r="D22" s="5">
        <v>322701646</v>
      </c>
      <c r="E22" s="5">
        <v>285820064</v>
      </c>
      <c r="F22" s="5">
        <v>4896</v>
      </c>
      <c r="G22" s="5">
        <v>36881582</v>
      </c>
      <c r="H22" s="5">
        <v>0.1143</v>
      </c>
    </row>
    <row r="23" spans="1:8" x14ac:dyDescent="0.3">
      <c r="A23" s="5">
        <v>2022</v>
      </c>
      <c r="B23" s="5">
        <v>8</v>
      </c>
      <c r="C23" s="5" t="s">
        <v>41</v>
      </c>
      <c r="D23" s="5">
        <v>307583423</v>
      </c>
      <c r="E23" s="5">
        <v>289429792.25999999</v>
      </c>
      <c r="F23" s="5">
        <v>4900</v>
      </c>
      <c r="G23" s="5">
        <v>18153630.739999998</v>
      </c>
      <c r="H23" s="5">
        <v>5.8999999999999997E-2</v>
      </c>
    </row>
    <row r="24" spans="1:8" x14ac:dyDescent="0.3">
      <c r="A24" s="5">
        <v>2022</v>
      </c>
      <c r="B24" s="5">
        <v>9</v>
      </c>
      <c r="C24" s="5" t="s">
        <v>42</v>
      </c>
      <c r="D24" s="5">
        <v>371627457</v>
      </c>
      <c r="E24" s="5">
        <v>324616544.47000003</v>
      </c>
      <c r="F24" s="5">
        <v>5412</v>
      </c>
      <c r="G24" s="5">
        <v>47010912.530000001</v>
      </c>
      <c r="H24" s="5">
        <v>0.1265</v>
      </c>
    </row>
    <row r="25" spans="1:8" x14ac:dyDescent="0.3">
      <c r="A25" s="5">
        <v>2022</v>
      </c>
      <c r="B25" s="5">
        <v>10</v>
      </c>
      <c r="C25" s="5" t="s">
        <v>43</v>
      </c>
      <c r="D25" s="5">
        <v>437372446</v>
      </c>
      <c r="E25" s="5">
        <v>391815625.95999998</v>
      </c>
      <c r="F25" s="5">
        <v>6906</v>
      </c>
      <c r="G25" s="5">
        <v>45556820.039999999</v>
      </c>
      <c r="H25" s="5">
        <v>0.1042</v>
      </c>
    </row>
    <row r="26" spans="1:8" x14ac:dyDescent="0.3">
      <c r="A26" s="5">
        <v>2022</v>
      </c>
      <c r="B26" s="5">
        <v>11</v>
      </c>
      <c r="C26" s="5" t="s">
        <v>44</v>
      </c>
      <c r="D26" s="5">
        <v>467060775</v>
      </c>
      <c r="E26" s="5">
        <v>398177807.60000002</v>
      </c>
      <c r="F26" s="5">
        <v>6995</v>
      </c>
      <c r="G26" s="5">
        <v>68882967.400000006</v>
      </c>
      <c r="H26" s="5">
        <v>0.14749999999999999</v>
      </c>
    </row>
    <row r="27" spans="1:8" x14ac:dyDescent="0.3">
      <c r="A27" s="5">
        <v>2022</v>
      </c>
      <c r="B27" s="5">
        <v>12</v>
      </c>
      <c r="C27" s="5" t="s">
        <v>45</v>
      </c>
      <c r="D27" s="5">
        <v>502126571</v>
      </c>
      <c r="E27" s="5">
        <v>416809576.92000002</v>
      </c>
      <c r="F27" s="5">
        <v>7108</v>
      </c>
      <c r="G27" s="5">
        <v>85316994.079999998</v>
      </c>
      <c r="H27" s="5">
        <v>0.1699</v>
      </c>
    </row>
    <row r="28" spans="1:8" x14ac:dyDescent="0.3">
      <c r="A28" s="5">
        <v>2023</v>
      </c>
      <c r="B28" s="5">
        <v>1</v>
      </c>
      <c r="C28" s="5" t="s">
        <v>46</v>
      </c>
      <c r="D28" s="5">
        <v>372505695</v>
      </c>
      <c r="E28" s="5">
        <v>327266402.26999998</v>
      </c>
      <c r="F28" s="5">
        <v>5433</v>
      </c>
      <c r="G28" s="5">
        <v>45239292.729999997</v>
      </c>
      <c r="H28" s="5">
        <v>0.12139999999999999</v>
      </c>
    </row>
    <row r="29" spans="1:8" x14ac:dyDescent="0.3">
      <c r="A29" s="5">
        <v>2023</v>
      </c>
      <c r="B29" s="5">
        <v>2</v>
      </c>
      <c r="C29" s="5" t="s">
        <v>47</v>
      </c>
      <c r="D29" s="5">
        <v>328442560</v>
      </c>
      <c r="E29" s="5">
        <v>281156573.22000003</v>
      </c>
      <c r="F29" s="5">
        <v>4832</v>
      </c>
      <c r="G29" s="5">
        <v>47285986.780000001</v>
      </c>
      <c r="H29" s="5">
        <v>0.14399999999999999</v>
      </c>
    </row>
    <row r="30" spans="1:8" x14ac:dyDescent="0.3">
      <c r="A30" s="5">
        <v>2023</v>
      </c>
      <c r="B30" s="5">
        <v>3</v>
      </c>
      <c r="C30" s="5" t="s">
        <v>48</v>
      </c>
      <c r="D30" s="5">
        <v>397715622</v>
      </c>
      <c r="E30" s="5">
        <v>346220550.37</v>
      </c>
      <c r="F30" s="5">
        <v>5812</v>
      </c>
      <c r="G30" s="5">
        <v>51495071.630000003</v>
      </c>
      <c r="H30" s="5">
        <v>0.1295</v>
      </c>
    </row>
    <row r="31" spans="1:8" x14ac:dyDescent="0.3">
      <c r="A31" s="5">
        <v>2023</v>
      </c>
      <c r="B31" s="5">
        <v>4</v>
      </c>
      <c r="C31" s="5" t="s">
        <v>49</v>
      </c>
      <c r="D31" s="5">
        <v>415744447</v>
      </c>
      <c r="E31" s="5">
        <v>364013554.25999999</v>
      </c>
      <c r="F31" s="5">
        <v>6308</v>
      </c>
      <c r="G31" s="5">
        <v>51730892.740000002</v>
      </c>
      <c r="H31" s="5">
        <v>0.1244</v>
      </c>
    </row>
    <row r="32" spans="1:8" x14ac:dyDescent="0.3">
      <c r="A32" s="5">
        <v>2023</v>
      </c>
      <c r="B32" s="5">
        <v>5</v>
      </c>
      <c r="C32" s="5" t="s">
        <v>50</v>
      </c>
      <c r="D32" s="5">
        <v>450455392</v>
      </c>
      <c r="E32" s="5">
        <v>390190803.68000001</v>
      </c>
      <c r="F32" s="5">
        <v>6683</v>
      </c>
      <c r="G32" s="5">
        <v>60264588.32</v>
      </c>
      <c r="H32" s="5">
        <v>0.1338</v>
      </c>
    </row>
    <row r="33" spans="1:8" x14ac:dyDescent="0.3">
      <c r="A33" s="5">
        <v>2023</v>
      </c>
      <c r="B33" s="5">
        <v>6</v>
      </c>
      <c r="C33" s="5" t="s">
        <v>51</v>
      </c>
      <c r="D33" s="5">
        <v>439281067</v>
      </c>
      <c r="E33" s="5">
        <v>374602195.86000001</v>
      </c>
      <c r="F33" s="5">
        <v>6315</v>
      </c>
      <c r="G33" s="5">
        <v>64678871.140000001</v>
      </c>
      <c r="H33" s="5">
        <v>0.1472</v>
      </c>
    </row>
    <row r="34" spans="1:8" x14ac:dyDescent="0.3">
      <c r="A34" s="5">
        <v>2023</v>
      </c>
      <c r="B34" s="5">
        <v>7</v>
      </c>
      <c r="C34" s="5" t="s">
        <v>52</v>
      </c>
      <c r="D34" s="5">
        <v>394674298</v>
      </c>
      <c r="E34" s="5">
        <v>350058811.81</v>
      </c>
      <c r="F34" s="5">
        <v>6001</v>
      </c>
      <c r="G34" s="5">
        <v>44615486.189999998</v>
      </c>
      <c r="H34" s="5">
        <v>0.113</v>
      </c>
    </row>
    <row r="35" spans="1:8" x14ac:dyDescent="0.3">
      <c r="A35" s="5">
        <v>2023</v>
      </c>
      <c r="B35" s="5">
        <v>8</v>
      </c>
      <c r="C35" s="5" t="s">
        <v>53</v>
      </c>
      <c r="D35" s="5">
        <v>404051750</v>
      </c>
      <c r="E35" s="5">
        <v>356506257.42000002</v>
      </c>
      <c r="F35" s="5">
        <v>6122</v>
      </c>
      <c r="G35" s="5">
        <v>47545492.579999998</v>
      </c>
      <c r="H35" s="5">
        <v>0.1177</v>
      </c>
    </row>
    <row r="36" spans="1:8" x14ac:dyDescent="0.3">
      <c r="A36" s="5">
        <v>2023</v>
      </c>
      <c r="B36" s="5">
        <v>9</v>
      </c>
      <c r="C36" s="5" t="s">
        <v>54</v>
      </c>
      <c r="D36" s="5">
        <v>451558362</v>
      </c>
      <c r="E36" s="5">
        <v>405450003.98000002</v>
      </c>
      <c r="F36" s="5">
        <v>6865</v>
      </c>
      <c r="G36" s="5">
        <v>46108358.020000003</v>
      </c>
      <c r="H36" s="5">
        <v>0.1021</v>
      </c>
    </row>
    <row r="37" spans="1:8" x14ac:dyDescent="0.3">
      <c r="A37" s="5">
        <v>2023</v>
      </c>
      <c r="B37" s="5">
        <v>10</v>
      </c>
      <c r="C37" s="5" t="s">
        <v>55</v>
      </c>
      <c r="D37" s="5">
        <v>591731750</v>
      </c>
      <c r="E37" s="5">
        <v>510741302.60000002</v>
      </c>
      <c r="F37" s="5">
        <v>8559</v>
      </c>
      <c r="G37" s="5">
        <v>80990447.400000006</v>
      </c>
      <c r="H37" s="5">
        <v>0.13689999999999999</v>
      </c>
    </row>
    <row r="38" spans="1:8" x14ac:dyDescent="0.3">
      <c r="A38" s="5">
        <v>2023</v>
      </c>
      <c r="B38" s="5">
        <v>11</v>
      </c>
      <c r="C38" s="5" t="s">
        <v>56</v>
      </c>
      <c r="D38" s="5">
        <v>559320297</v>
      </c>
      <c r="E38" s="5">
        <v>496733461.76999998</v>
      </c>
      <c r="F38" s="5">
        <v>8627</v>
      </c>
      <c r="G38" s="5">
        <v>62586835.229999997</v>
      </c>
      <c r="H38" s="5">
        <v>0.1119</v>
      </c>
    </row>
    <row r="39" spans="1:8" x14ac:dyDescent="0.3">
      <c r="A39" s="5">
        <v>2023</v>
      </c>
      <c r="B39" s="5">
        <v>12</v>
      </c>
      <c r="C39" s="5" t="s">
        <v>57</v>
      </c>
      <c r="D39" s="5">
        <v>589404095</v>
      </c>
      <c r="E39" s="5">
        <v>531830574.97000003</v>
      </c>
      <c r="F39" s="5">
        <v>9269</v>
      </c>
      <c r="G39" s="5">
        <v>57573520.030000001</v>
      </c>
      <c r="H39" s="5">
        <v>9.7699999999999995E-2</v>
      </c>
    </row>
    <row r="40" spans="1:8" x14ac:dyDescent="0.3">
      <c r="A40" s="5">
        <v>2024</v>
      </c>
      <c r="B40" s="5">
        <v>1</v>
      </c>
      <c r="C40" s="5" t="s">
        <v>58</v>
      </c>
      <c r="D40" s="5">
        <v>402957407</v>
      </c>
      <c r="E40" s="5">
        <v>355523708.13</v>
      </c>
      <c r="F40" s="5">
        <v>6063</v>
      </c>
      <c r="G40" s="5">
        <v>47433698.869999997</v>
      </c>
      <c r="H40" s="5">
        <v>0.1177</v>
      </c>
    </row>
    <row r="41" spans="1:8" x14ac:dyDescent="0.3">
      <c r="A41" s="5">
        <v>2024</v>
      </c>
      <c r="B41" s="5">
        <v>2</v>
      </c>
      <c r="C41" s="5" t="s">
        <v>59</v>
      </c>
      <c r="D41" s="5">
        <v>378546491</v>
      </c>
      <c r="E41" s="5">
        <v>323793353.36000001</v>
      </c>
      <c r="F41" s="5">
        <v>5507</v>
      </c>
      <c r="G41" s="5">
        <v>54753137.640000001</v>
      </c>
      <c r="H41" s="5">
        <v>0.14460000000000001</v>
      </c>
    </row>
    <row r="42" spans="1:8" x14ac:dyDescent="0.3">
      <c r="A42" s="5">
        <v>2024</v>
      </c>
      <c r="B42" s="5">
        <v>3</v>
      </c>
      <c r="C42" s="5" t="s">
        <v>60</v>
      </c>
      <c r="D42" s="5">
        <v>433155806</v>
      </c>
      <c r="E42" s="5">
        <v>374895767.83999997</v>
      </c>
      <c r="F42" s="5">
        <v>6299</v>
      </c>
      <c r="G42" s="5">
        <v>58260038.159999996</v>
      </c>
      <c r="H42" s="5">
        <v>0.13450000000000001</v>
      </c>
    </row>
    <row r="43" spans="1:8" x14ac:dyDescent="0.3">
      <c r="A43" s="5">
        <v>2024</v>
      </c>
      <c r="B43" s="5">
        <v>4</v>
      </c>
      <c r="C43" s="5" t="s">
        <v>61</v>
      </c>
      <c r="D43" s="5">
        <v>442533470</v>
      </c>
      <c r="E43" s="5">
        <v>382967474.68000001</v>
      </c>
      <c r="F43" s="5">
        <v>6505</v>
      </c>
      <c r="G43" s="5">
        <v>59565995.32</v>
      </c>
      <c r="H43" s="5">
        <v>0.1346</v>
      </c>
    </row>
    <row r="44" spans="1:8" x14ac:dyDescent="0.3">
      <c r="A44" s="5">
        <v>2024</v>
      </c>
      <c r="B44" s="5">
        <v>5</v>
      </c>
      <c r="C44" s="5" t="s">
        <v>62</v>
      </c>
      <c r="D44" s="5">
        <v>472791912</v>
      </c>
      <c r="E44" s="5">
        <v>415773076.10000002</v>
      </c>
      <c r="F44" s="5">
        <v>7186</v>
      </c>
      <c r="G44" s="5">
        <v>57018835.899999999</v>
      </c>
      <c r="H44" s="5">
        <v>0.1206</v>
      </c>
    </row>
    <row r="45" spans="1:8" x14ac:dyDescent="0.3">
      <c r="A45" s="5">
        <v>2024</v>
      </c>
      <c r="B45" s="5">
        <v>6</v>
      </c>
      <c r="C45" s="5" t="s">
        <v>63</v>
      </c>
      <c r="D45" s="5">
        <v>499417380</v>
      </c>
      <c r="E45" s="5">
        <v>415932817.07999998</v>
      </c>
      <c r="F45" s="5">
        <v>7032</v>
      </c>
      <c r="G45" s="5">
        <v>83484562.920000002</v>
      </c>
      <c r="H45" s="5">
        <v>0.16719999999999999</v>
      </c>
    </row>
    <row r="46" spans="1:8" x14ac:dyDescent="0.3">
      <c r="A46" s="5">
        <v>2024</v>
      </c>
      <c r="B46" s="5">
        <v>7</v>
      </c>
      <c r="C46" s="5" t="s">
        <v>64</v>
      </c>
      <c r="D46" s="5">
        <v>453454309</v>
      </c>
      <c r="E46" s="5">
        <v>386232213.66000003</v>
      </c>
      <c r="F46" s="5">
        <v>6666</v>
      </c>
      <c r="G46" s="5">
        <v>67222095.340000004</v>
      </c>
      <c r="H46" s="5">
        <v>0.1482</v>
      </c>
    </row>
    <row r="47" spans="1:8" x14ac:dyDescent="0.3">
      <c r="A47" s="5">
        <v>2024</v>
      </c>
      <c r="B47" s="5">
        <v>8</v>
      </c>
      <c r="C47" s="5" t="s">
        <v>65</v>
      </c>
      <c r="D47" s="5">
        <v>449938612</v>
      </c>
      <c r="E47" s="5">
        <v>382671447.79000002</v>
      </c>
      <c r="F47" s="5">
        <v>6861</v>
      </c>
      <c r="G47" s="5">
        <v>67267164.209999993</v>
      </c>
      <c r="H47" s="5">
        <v>0.14949999999999999</v>
      </c>
    </row>
    <row r="48" spans="1:8" x14ac:dyDescent="0.3">
      <c r="A48" s="5">
        <v>2024</v>
      </c>
      <c r="B48" s="5">
        <v>9</v>
      </c>
      <c r="C48" s="5" t="s">
        <v>66</v>
      </c>
      <c r="D48" s="5">
        <v>542566709</v>
      </c>
      <c r="E48" s="5">
        <v>445846529.76999998</v>
      </c>
      <c r="F48" s="5">
        <v>7601</v>
      </c>
      <c r="G48" s="5">
        <v>96720179.230000004</v>
      </c>
      <c r="H48" s="5">
        <v>0.17829999999999999</v>
      </c>
    </row>
    <row r="49" spans="1:8" x14ac:dyDescent="0.3">
      <c r="A49" s="5">
        <v>2024</v>
      </c>
      <c r="B49" s="5">
        <v>10</v>
      </c>
      <c r="C49" s="5" t="s">
        <v>67</v>
      </c>
      <c r="D49" s="5">
        <v>693862518</v>
      </c>
      <c r="E49" s="5">
        <v>557859514.24000001</v>
      </c>
      <c r="F49" s="5">
        <v>9486</v>
      </c>
      <c r="G49" s="5">
        <v>136003003.75999999</v>
      </c>
      <c r="H49" s="5">
        <v>0.19600000000000001</v>
      </c>
    </row>
    <row r="50" spans="1:8" x14ac:dyDescent="0.3">
      <c r="A50" s="5">
        <v>2024</v>
      </c>
      <c r="B50" s="5">
        <v>11</v>
      </c>
      <c r="C50" s="5" t="s">
        <v>68</v>
      </c>
      <c r="D50" s="5">
        <v>694624504</v>
      </c>
      <c r="E50" s="5">
        <v>580466413.99000001</v>
      </c>
      <c r="F50" s="5">
        <v>10044</v>
      </c>
      <c r="G50" s="5">
        <v>114158090.01000001</v>
      </c>
      <c r="H50" s="5">
        <v>0.1643</v>
      </c>
    </row>
    <row r="51" spans="1:8" x14ac:dyDescent="0.3">
      <c r="A51" s="5">
        <v>2024</v>
      </c>
      <c r="B51" s="5">
        <v>12</v>
      </c>
      <c r="C51" s="5" t="s">
        <v>69</v>
      </c>
      <c r="D51" s="5">
        <v>700106315</v>
      </c>
      <c r="E51" s="5">
        <v>560781775.20000005</v>
      </c>
      <c r="F51" s="5">
        <v>9569</v>
      </c>
      <c r="G51" s="5">
        <v>139324539.80000001</v>
      </c>
      <c r="H51" s="5">
        <v>0.19900000000000001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M57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1" customWidth="1"/>
    <col min="2" max="2" width="16" customWidth="1"/>
    <col min="3" max="7" width="10" customWidth="1"/>
    <col min="8" max="8" width="13" customWidth="1"/>
    <col min="9" max="9" width="10" customWidth="1"/>
    <col min="10" max="10" width="13" customWidth="1"/>
    <col min="11" max="11" width="12" customWidth="1"/>
    <col min="12" max="12" width="15" customWidth="1"/>
    <col min="13" max="13" width="17" customWidth="1"/>
  </cols>
  <sheetData>
    <row r="1" spans="1:13" x14ac:dyDescent="0.3">
      <c r="A1" s="8" t="s">
        <v>70</v>
      </c>
    </row>
    <row r="3" spans="1:13" x14ac:dyDescent="0.3">
      <c r="A3" s="9" t="s">
        <v>71</v>
      </c>
      <c r="B3" s="9" t="s">
        <v>72</v>
      </c>
      <c r="C3" s="9" t="s">
        <v>73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74</v>
      </c>
      <c r="M3" s="9" t="s">
        <v>75</v>
      </c>
    </row>
    <row r="4" spans="1:13" x14ac:dyDescent="0.3">
      <c r="A4" s="5">
        <v>1</v>
      </c>
      <c r="B4" s="5" t="s">
        <v>76</v>
      </c>
      <c r="C4" s="5" t="s">
        <v>77</v>
      </c>
      <c r="D4" s="5">
        <v>2021</v>
      </c>
      <c r="E4" s="5">
        <v>1</v>
      </c>
      <c r="F4" s="5" t="s">
        <v>22</v>
      </c>
      <c r="G4" s="5">
        <v>12380981</v>
      </c>
      <c r="H4" s="5">
        <v>11087563.67</v>
      </c>
      <c r="I4" s="5">
        <v>213</v>
      </c>
      <c r="J4" s="5">
        <v>1293417.33</v>
      </c>
      <c r="K4" s="5">
        <v>0.1045</v>
      </c>
      <c r="L4" s="5">
        <v>10697000</v>
      </c>
      <c r="M4" s="5">
        <v>1.1574</v>
      </c>
    </row>
    <row r="5" spans="1:13" x14ac:dyDescent="0.3">
      <c r="A5" s="5">
        <v>1</v>
      </c>
      <c r="B5" s="5" t="s">
        <v>76</v>
      </c>
      <c r="C5" s="5" t="s">
        <v>77</v>
      </c>
      <c r="D5" s="5">
        <v>2021</v>
      </c>
      <c r="E5" s="5">
        <v>2</v>
      </c>
      <c r="F5" s="5" t="s">
        <v>23</v>
      </c>
      <c r="G5" s="5">
        <v>10959141</v>
      </c>
      <c r="H5" s="5">
        <v>9670859.6899999995</v>
      </c>
      <c r="I5" s="5">
        <v>174</v>
      </c>
      <c r="J5" s="5">
        <v>1288281.31</v>
      </c>
      <c r="K5" s="5">
        <v>0.1176</v>
      </c>
      <c r="L5" s="5">
        <v>9457000</v>
      </c>
      <c r="M5" s="5">
        <v>1.1588000000000001</v>
      </c>
    </row>
    <row r="6" spans="1:13" x14ac:dyDescent="0.3">
      <c r="A6" s="5">
        <v>1</v>
      </c>
      <c r="B6" s="5" t="s">
        <v>76</v>
      </c>
      <c r="C6" s="5" t="s">
        <v>77</v>
      </c>
      <c r="D6" s="5">
        <v>2021</v>
      </c>
      <c r="E6" s="5">
        <v>3</v>
      </c>
      <c r="F6" s="5" t="s">
        <v>24</v>
      </c>
      <c r="G6" s="5">
        <v>15822191</v>
      </c>
      <c r="H6" s="5">
        <v>13111980.27</v>
      </c>
      <c r="I6" s="5">
        <v>208</v>
      </c>
      <c r="J6" s="5">
        <v>2710210.73</v>
      </c>
      <c r="K6" s="5">
        <v>0.17130000000000001</v>
      </c>
      <c r="L6" s="5">
        <v>13587000</v>
      </c>
      <c r="M6" s="5">
        <v>1.1645000000000001</v>
      </c>
    </row>
    <row r="7" spans="1:13" x14ac:dyDescent="0.3">
      <c r="A7" s="5">
        <v>1</v>
      </c>
      <c r="B7" s="5" t="s">
        <v>76</v>
      </c>
      <c r="C7" s="5" t="s">
        <v>77</v>
      </c>
      <c r="D7" s="5">
        <v>2021</v>
      </c>
      <c r="E7" s="5">
        <v>4</v>
      </c>
      <c r="F7" s="5" t="s">
        <v>25</v>
      </c>
      <c r="G7" s="5">
        <v>16070756</v>
      </c>
      <c r="H7" s="5">
        <v>14418970.060000001</v>
      </c>
      <c r="I7" s="5">
        <v>245</v>
      </c>
      <c r="J7" s="5">
        <v>1651785.94</v>
      </c>
      <c r="K7" s="5">
        <v>0.1028</v>
      </c>
      <c r="L7" s="5">
        <v>13088000</v>
      </c>
      <c r="M7" s="5">
        <v>1.2279</v>
      </c>
    </row>
    <row r="8" spans="1:13" x14ac:dyDescent="0.3">
      <c r="A8" s="5">
        <v>1</v>
      </c>
      <c r="B8" s="5" t="s">
        <v>76</v>
      </c>
      <c r="C8" s="5" t="s">
        <v>77</v>
      </c>
      <c r="D8" s="5">
        <v>2021</v>
      </c>
      <c r="E8" s="5">
        <v>5</v>
      </c>
      <c r="F8" s="5" t="s">
        <v>26</v>
      </c>
      <c r="G8" s="5">
        <v>18356840</v>
      </c>
      <c r="H8" s="5">
        <v>15878880.74</v>
      </c>
      <c r="I8" s="5">
        <v>270</v>
      </c>
      <c r="J8" s="5">
        <v>2477959.2599999998</v>
      </c>
      <c r="K8" s="5">
        <v>0.13500000000000001</v>
      </c>
      <c r="L8" s="5">
        <v>16709000</v>
      </c>
      <c r="M8" s="5">
        <v>1.0986</v>
      </c>
    </row>
    <row r="9" spans="1:13" x14ac:dyDescent="0.3">
      <c r="A9" s="5">
        <v>1</v>
      </c>
      <c r="B9" s="5" t="s">
        <v>76</v>
      </c>
      <c r="C9" s="5" t="s">
        <v>77</v>
      </c>
      <c r="D9" s="5">
        <v>2021</v>
      </c>
      <c r="E9" s="5">
        <v>6</v>
      </c>
      <c r="F9" s="5" t="s">
        <v>27</v>
      </c>
      <c r="G9" s="5">
        <v>13950991</v>
      </c>
      <c r="H9" s="5">
        <v>12055818.43</v>
      </c>
      <c r="I9" s="5">
        <v>241</v>
      </c>
      <c r="J9" s="5">
        <v>1895172.57</v>
      </c>
      <c r="K9" s="5">
        <v>0.1358</v>
      </c>
      <c r="L9" s="5">
        <v>12129000</v>
      </c>
      <c r="M9" s="5">
        <v>1.1501999999999999</v>
      </c>
    </row>
    <row r="10" spans="1:13" x14ac:dyDescent="0.3">
      <c r="A10" s="5">
        <v>1</v>
      </c>
      <c r="B10" s="5" t="s">
        <v>76</v>
      </c>
      <c r="C10" s="5" t="s">
        <v>77</v>
      </c>
      <c r="D10" s="5">
        <v>2021</v>
      </c>
      <c r="E10" s="5">
        <v>7</v>
      </c>
      <c r="F10" s="5" t="s">
        <v>28</v>
      </c>
      <c r="G10" s="5">
        <v>16941381</v>
      </c>
      <c r="H10" s="5">
        <v>14926802.050000001</v>
      </c>
      <c r="I10" s="5">
        <v>256</v>
      </c>
      <c r="J10" s="5">
        <v>2014578.95</v>
      </c>
      <c r="K10" s="5">
        <v>0.11890000000000001</v>
      </c>
      <c r="L10" s="5">
        <v>14875000</v>
      </c>
      <c r="M10" s="5">
        <v>1.1389</v>
      </c>
    </row>
    <row r="11" spans="1:13" x14ac:dyDescent="0.3">
      <c r="A11" s="5">
        <v>1</v>
      </c>
      <c r="B11" s="5" t="s">
        <v>76</v>
      </c>
      <c r="C11" s="5" t="s">
        <v>77</v>
      </c>
      <c r="D11" s="5">
        <v>2021</v>
      </c>
      <c r="E11" s="5">
        <v>8</v>
      </c>
      <c r="F11" s="5" t="s">
        <v>29</v>
      </c>
      <c r="G11" s="5">
        <v>16036560</v>
      </c>
      <c r="H11" s="5">
        <v>13628001.76</v>
      </c>
      <c r="I11" s="5">
        <v>250</v>
      </c>
      <c r="J11" s="5">
        <v>2408558.2400000002</v>
      </c>
      <c r="K11" s="5">
        <v>0.1502</v>
      </c>
      <c r="L11" s="5">
        <v>13400000</v>
      </c>
      <c r="M11" s="5">
        <v>1.1968000000000001</v>
      </c>
    </row>
    <row r="12" spans="1:13" x14ac:dyDescent="0.3">
      <c r="A12" s="5">
        <v>1</v>
      </c>
      <c r="B12" s="5" t="s">
        <v>76</v>
      </c>
      <c r="C12" s="5" t="s">
        <v>77</v>
      </c>
      <c r="D12" s="5">
        <v>2021</v>
      </c>
      <c r="E12" s="5">
        <v>9</v>
      </c>
      <c r="F12" s="5" t="s">
        <v>30</v>
      </c>
      <c r="G12" s="5">
        <v>15839935</v>
      </c>
      <c r="H12" s="5">
        <v>13850583.949999999</v>
      </c>
      <c r="I12" s="5">
        <v>242</v>
      </c>
      <c r="J12" s="5">
        <v>1989351.05</v>
      </c>
      <c r="K12" s="5">
        <v>0.12559999999999999</v>
      </c>
      <c r="L12" s="5">
        <v>13365000</v>
      </c>
      <c r="M12" s="5">
        <v>1.1852</v>
      </c>
    </row>
    <row r="13" spans="1:13" x14ac:dyDescent="0.3">
      <c r="A13" s="5">
        <v>1</v>
      </c>
      <c r="B13" s="5" t="s">
        <v>76</v>
      </c>
      <c r="C13" s="5" t="s">
        <v>77</v>
      </c>
      <c r="D13" s="5">
        <v>2021</v>
      </c>
      <c r="E13" s="5">
        <v>10</v>
      </c>
      <c r="F13" s="5" t="s">
        <v>31</v>
      </c>
      <c r="G13" s="5">
        <v>24202697</v>
      </c>
      <c r="H13" s="5">
        <v>20462866.859999999</v>
      </c>
      <c r="I13" s="5">
        <v>350</v>
      </c>
      <c r="J13" s="5">
        <v>3739830.14</v>
      </c>
      <c r="K13" s="5">
        <v>0.1545</v>
      </c>
      <c r="L13" s="5">
        <v>22084000</v>
      </c>
      <c r="M13" s="5">
        <v>1.0959000000000001</v>
      </c>
    </row>
    <row r="14" spans="1:13" x14ac:dyDescent="0.3">
      <c r="A14" s="5">
        <v>1</v>
      </c>
      <c r="B14" s="5" t="s">
        <v>76</v>
      </c>
      <c r="C14" s="5" t="s">
        <v>77</v>
      </c>
      <c r="D14" s="5">
        <v>2021</v>
      </c>
      <c r="E14" s="5">
        <v>11</v>
      </c>
      <c r="F14" s="5" t="s">
        <v>32</v>
      </c>
      <c r="G14" s="5">
        <v>23510204</v>
      </c>
      <c r="H14" s="5">
        <v>19398144.969999999</v>
      </c>
      <c r="I14" s="5">
        <v>357</v>
      </c>
      <c r="J14" s="5">
        <v>4112059.03</v>
      </c>
      <c r="K14" s="5">
        <v>0.1749</v>
      </c>
      <c r="L14" s="5">
        <v>19722000</v>
      </c>
      <c r="M14" s="5">
        <v>1.1920999999999999</v>
      </c>
    </row>
    <row r="15" spans="1:13" x14ac:dyDescent="0.3">
      <c r="A15" s="5">
        <v>1</v>
      </c>
      <c r="B15" s="5" t="s">
        <v>76</v>
      </c>
      <c r="C15" s="5" t="s">
        <v>77</v>
      </c>
      <c r="D15" s="5">
        <v>2021</v>
      </c>
      <c r="E15" s="5">
        <v>12</v>
      </c>
      <c r="F15" s="5" t="s">
        <v>33</v>
      </c>
      <c r="G15" s="5">
        <v>27045888</v>
      </c>
      <c r="H15" s="5">
        <v>22680534.359999999</v>
      </c>
      <c r="I15" s="5">
        <v>346</v>
      </c>
      <c r="J15" s="5">
        <v>4365353.6399999997</v>
      </c>
      <c r="K15" s="5">
        <v>0.16139999999999999</v>
      </c>
      <c r="L15" s="5">
        <v>22318000</v>
      </c>
      <c r="M15" s="5">
        <v>1.2118</v>
      </c>
    </row>
    <row r="16" spans="1:13" x14ac:dyDescent="0.3">
      <c r="A16" s="5">
        <v>1</v>
      </c>
      <c r="B16" s="5" t="s">
        <v>76</v>
      </c>
      <c r="C16" s="5" t="s">
        <v>77</v>
      </c>
      <c r="D16" s="5">
        <v>2022</v>
      </c>
      <c r="E16" s="5">
        <v>1</v>
      </c>
      <c r="F16" s="5" t="s">
        <v>34</v>
      </c>
      <c r="G16" s="5">
        <v>19159753</v>
      </c>
      <c r="H16" s="5">
        <v>16217447.85</v>
      </c>
      <c r="I16" s="5">
        <v>277</v>
      </c>
      <c r="J16" s="5">
        <v>2942305.15</v>
      </c>
      <c r="K16" s="5">
        <v>0.15359999999999999</v>
      </c>
      <c r="L16" s="5">
        <v>16183000</v>
      </c>
      <c r="M16" s="5">
        <v>1.1839</v>
      </c>
    </row>
    <row r="17" spans="1:13" x14ac:dyDescent="0.3">
      <c r="A17" s="5">
        <v>1</v>
      </c>
      <c r="B17" s="5" t="s">
        <v>76</v>
      </c>
      <c r="C17" s="5" t="s">
        <v>77</v>
      </c>
      <c r="D17" s="5">
        <v>2022</v>
      </c>
      <c r="E17" s="5">
        <v>2</v>
      </c>
      <c r="F17" s="5" t="s">
        <v>35</v>
      </c>
      <c r="G17" s="5">
        <v>20626791</v>
      </c>
      <c r="H17" s="5">
        <v>16964466.350000001</v>
      </c>
      <c r="I17" s="5">
        <v>272</v>
      </c>
      <c r="J17" s="5">
        <v>3662324.65</v>
      </c>
      <c r="K17" s="5">
        <v>0.17760000000000001</v>
      </c>
      <c r="L17" s="5">
        <v>18330000</v>
      </c>
      <c r="M17" s="5">
        <v>1.1253</v>
      </c>
    </row>
    <row r="18" spans="1:13" x14ac:dyDescent="0.3">
      <c r="A18" s="5">
        <v>1</v>
      </c>
      <c r="B18" s="5" t="s">
        <v>76</v>
      </c>
      <c r="C18" s="5" t="s">
        <v>77</v>
      </c>
      <c r="D18" s="5">
        <v>2022</v>
      </c>
      <c r="E18" s="5">
        <v>3</v>
      </c>
      <c r="F18" s="5" t="s">
        <v>36</v>
      </c>
      <c r="G18" s="5">
        <v>21341842</v>
      </c>
      <c r="H18" s="5">
        <v>18338726.48</v>
      </c>
      <c r="I18" s="5">
        <v>314</v>
      </c>
      <c r="J18" s="5">
        <v>3003115.52</v>
      </c>
      <c r="K18" s="5">
        <v>0.14069999999999999</v>
      </c>
      <c r="L18" s="5">
        <v>18779000</v>
      </c>
      <c r="M18" s="5">
        <v>1.1365000000000001</v>
      </c>
    </row>
    <row r="19" spans="1:13" x14ac:dyDescent="0.3">
      <c r="A19" s="5">
        <v>1</v>
      </c>
      <c r="B19" s="5" t="s">
        <v>76</v>
      </c>
      <c r="C19" s="5" t="s">
        <v>77</v>
      </c>
      <c r="D19" s="5">
        <v>2022</v>
      </c>
      <c r="E19" s="5">
        <v>4</v>
      </c>
      <c r="F19" s="5" t="s">
        <v>37</v>
      </c>
      <c r="G19" s="5">
        <v>24304411</v>
      </c>
      <c r="H19" s="5">
        <v>21177145.57</v>
      </c>
      <c r="I19" s="5">
        <v>364</v>
      </c>
      <c r="J19" s="5">
        <v>3127265.43</v>
      </c>
      <c r="K19" s="5">
        <v>0.12870000000000001</v>
      </c>
      <c r="L19" s="5">
        <v>20017000</v>
      </c>
      <c r="M19" s="5">
        <v>1.2141999999999999</v>
      </c>
    </row>
    <row r="20" spans="1:13" x14ac:dyDescent="0.3">
      <c r="A20" s="5">
        <v>1</v>
      </c>
      <c r="B20" s="5" t="s">
        <v>76</v>
      </c>
      <c r="C20" s="5" t="s">
        <v>77</v>
      </c>
      <c r="D20" s="5">
        <v>2022</v>
      </c>
      <c r="E20" s="5">
        <v>5</v>
      </c>
      <c r="F20" s="5" t="s">
        <v>38</v>
      </c>
      <c r="G20" s="5">
        <v>20860981</v>
      </c>
      <c r="H20" s="5">
        <v>18353540.82</v>
      </c>
      <c r="I20" s="5">
        <v>339</v>
      </c>
      <c r="J20" s="5">
        <v>2507440.1800000002</v>
      </c>
      <c r="K20" s="5">
        <v>0.1202</v>
      </c>
      <c r="L20" s="5">
        <v>17822000</v>
      </c>
      <c r="M20" s="5">
        <v>1.1705000000000001</v>
      </c>
    </row>
    <row r="21" spans="1:13" x14ac:dyDescent="0.3">
      <c r="A21" s="5">
        <v>1</v>
      </c>
      <c r="B21" s="5" t="s">
        <v>76</v>
      </c>
      <c r="C21" s="5" t="s">
        <v>77</v>
      </c>
      <c r="D21" s="5">
        <v>2022</v>
      </c>
      <c r="E21" s="5">
        <v>6</v>
      </c>
      <c r="F21" s="5" t="s">
        <v>39</v>
      </c>
      <c r="G21" s="5">
        <v>21883864</v>
      </c>
      <c r="H21" s="5">
        <v>18568553.859999999</v>
      </c>
      <c r="I21" s="5">
        <v>337</v>
      </c>
      <c r="J21" s="5">
        <v>3315310.14</v>
      </c>
      <c r="K21" s="5">
        <v>0.1515</v>
      </c>
      <c r="L21" s="5">
        <v>18583000</v>
      </c>
      <c r="M21" s="5">
        <v>1.1776</v>
      </c>
    </row>
    <row r="22" spans="1:13" x14ac:dyDescent="0.3">
      <c r="A22" s="5">
        <v>1</v>
      </c>
      <c r="B22" s="5" t="s">
        <v>76</v>
      </c>
      <c r="C22" s="5" t="s">
        <v>77</v>
      </c>
      <c r="D22" s="5">
        <v>2022</v>
      </c>
      <c r="E22" s="5">
        <v>7</v>
      </c>
      <c r="F22" s="5" t="s">
        <v>40</v>
      </c>
      <c r="G22" s="5">
        <v>25677012</v>
      </c>
      <c r="H22" s="5">
        <v>22937372.219999999</v>
      </c>
      <c r="I22" s="5">
        <v>387</v>
      </c>
      <c r="J22" s="5">
        <v>2739639.78</v>
      </c>
      <c r="K22" s="5">
        <v>0.1067</v>
      </c>
      <c r="L22" s="5">
        <v>22486000</v>
      </c>
      <c r="M22" s="5">
        <v>1.1418999999999999</v>
      </c>
    </row>
    <row r="23" spans="1:13" x14ac:dyDescent="0.3">
      <c r="A23" s="5">
        <v>1</v>
      </c>
      <c r="B23" s="5" t="s">
        <v>76</v>
      </c>
      <c r="C23" s="5" t="s">
        <v>77</v>
      </c>
      <c r="D23" s="5">
        <v>2022</v>
      </c>
      <c r="E23" s="5">
        <v>8</v>
      </c>
      <c r="F23" s="5" t="s">
        <v>41</v>
      </c>
      <c r="G23" s="5">
        <v>21128268</v>
      </c>
      <c r="H23" s="5">
        <v>19861739.09</v>
      </c>
      <c r="I23" s="5">
        <v>357</v>
      </c>
      <c r="J23" s="5">
        <v>1266528.9099999999</v>
      </c>
      <c r="K23" s="5">
        <v>5.9900000000000002E-2</v>
      </c>
      <c r="L23" s="5">
        <v>17961000</v>
      </c>
      <c r="M23" s="5">
        <v>1.1762999999999999</v>
      </c>
    </row>
    <row r="24" spans="1:13" x14ac:dyDescent="0.3">
      <c r="A24" s="5">
        <v>1</v>
      </c>
      <c r="B24" s="5" t="s">
        <v>76</v>
      </c>
      <c r="C24" s="5" t="s">
        <v>77</v>
      </c>
      <c r="D24" s="5">
        <v>2022</v>
      </c>
      <c r="E24" s="5">
        <v>9</v>
      </c>
      <c r="F24" s="5" t="s">
        <v>42</v>
      </c>
      <c r="G24" s="5">
        <v>24522651</v>
      </c>
      <c r="H24" s="5">
        <v>21357865.34</v>
      </c>
      <c r="I24" s="5">
        <v>360</v>
      </c>
      <c r="J24" s="5">
        <v>3164785.66</v>
      </c>
      <c r="K24" s="5">
        <v>0.12909999999999999</v>
      </c>
      <c r="L24" s="5">
        <v>22116000</v>
      </c>
      <c r="M24" s="5">
        <v>1.1088</v>
      </c>
    </row>
    <row r="25" spans="1:13" x14ac:dyDescent="0.3">
      <c r="A25" s="5">
        <v>1</v>
      </c>
      <c r="B25" s="5" t="s">
        <v>76</v>
      </c>
      <c r="C25" s="5" t="s">
        <v>77</v>
      </c>
      <c r="D25" s="5">
        <v>2022</v>
      </c>
      <c r="E25" s="5">
        <v>10</v>
      </c>
      <c r="F25" s="5" t="s">
        <v>43</v>
      </c>
      <c r="G25" s="5">
        <v>30549176</v>
      </c>
      <c r="H25" s="5">
        <v>27286519.059999999</v>
      </c>
      <c r="I25" s="5">
        <v>482</v>
      </c>
      <c r="J25" s="5">
        <v>3262656.94</v>
      </c>
      <c r="K25" s="5">
        <v>0.10680000000000001</v>
      </c>
      <c r="L25" s="5">
        <v>26622000</v>
      </c>
      <c r="M25" s="5">
        <v>1.1475</v>
      </c>
    </row>
    <row r="26" spans="1:13" x14ac:dyDescent="0.3">
      <c r="A26" s="5">
        <v>1</v>
      </c>
      <c r="B26" s="5" t="s">
        <v>76</v>
      </c>
      <c r="C26" s="5" t="s">
        <v>77</v>
      </c>
      <c r="D26" s="5">
        <v>2022</v>
      </c>
      <c r="E26" s="5">
        <v>11</v>
      </c>
      <c r="F26" s="5" t="s">
        <v>44</v>
      </c>
      <c r="G26" s="5">
        <v>31653821</v>
      </c>
      <c r="H26" s="5">
        <v>27127791.57</v>
      </c>
      <c r="I26" s="5">
        <v>456</v>
      </c>
      <c r="J26" s="5">
        <v>4526029.43</v>
      </c>
      <c r="K26" s="5">
        <v>0.14299999999999999</v>
      </c>
      <c r="L26" s="5">
        <v>27332000</v>
      </c>
      <c r="M26" s="5">
        <v>1.1580999999999999</v>
      </c>
    </row>
    <row r="27" spans="1:13" x14ac:dyDescent="0.3">
      <c r="A27" s="5">
        <v>1</v>
      </c>
      <c r="B27" s="5" t="s">
        <v>76</v>
      </c>
      <c r="C27" s="5" t="s">
        <v>77</v>
      </c>
      <c r="D27" s="5">
        <v>2022</v>
      </c>
      <c r="E27" s="5">
        <v>12</v>
      </c>
      <c r="F27" s="5" t="s">
        <v>45</v>
      </c>
      <c r="G27" s="5">
        <v>34542351</v>
      </c>
      <c r="H27" s="5">
        <v>28585599.620000001</v>
      </c>
      <c r="I27" s="5">
        <v>496</v>
      </c>
      <c r="J27" s="5">
        <v>5956751.3799999999</v>
      </c>
      <c r="K27" s="5">
        <v>0.1724</v>
      </c>
      <c r="L27" s="5">
        <v>29316000</v>
      </c>
      <c r="M27" s="5">
        <v>1.1782999999999999</v>
      </c>
    </row>
    <row r="28" spans="1:13" x14ac:dyDescent="0.3">
      <c r="A28" s="5">
        <v>1</v>
      </c>
      <c r="B28" s="5" t="s">
        <v>76</v>
      </c>
      <c r="C28" s="5" t="s">
        <v>77</v>
      </c>
      <c r="D28" s="5">
        <v>2023</v>
      </c>
      <c r="E28" s="5">
        <v>1</v>
      </c>
      <c r="F28" s="5" t="s">
        <v>46</v>
      </c>
      <c r="G28" s="5">
        <v>24963790</v>
      </c>
      <c r="H28" s="5">
        <v>21182380.640000001</v>
      </c>
      <c r="I28" s="5">
        <v>381</v>
      </c>
      <c r="J28" s="5">
        <v>3781409.36</v>
      </c>
      <c r="K28" s="5">
        <v>0.1515</v>
      </c>
      <c r="L28" s="5">
        <v>21228000</v>
      </c>
      <c r="M28" s="5">
        <v>1.1759999999999999</v>
      </c>
    </row>
    <row r="29" spans="1:13" x14ac:dyDescent="0.3">
      <c r="A29" s="5">
        <v>1</v>
      </c>
      <c r="B29" s="5" t="s">
        <v>76</v>
      </c>
      <c r="C29" s="5" t="s">
        <v>77</v>
      </c>
      <c r="D29" s="5">
        <v>2023</v>
      </c>
      <c r="E29" s="5">
        <v>2</v>
      </c>
      <c r="F29" s="5" t="s">
        <v>47</v>
      </c>
      <c r="G29" s="5">
        <v>25319262</v>
      </c>
      <c r="H29" s="5">
        <v>21652456.829999998</v>
      </c>
      <c r="I29" s="5">
        <v>353</v>
      </c>
      <c r="J29" s="5">
        <v>3666805.17</v>
      </c>
      <c r="K29" s="5">
        <v>0.14480000000000001</v>
      </c>
      <c r="L29" s="5">
        <v>21730000</v>
      </c>
      <c r="M29" s="5">
        <v>1.1652</v>
      </c>
    </row>
    <row r="30" spans="1:13" x14ac:dyDescent="0.3">
      <c r="A30" s="5">
        <v>1</v>
      </c>
      <c r="B30" s="5" t="s">
        <v>76</v>
      </c>
      <c r="C30" s="5" t="s">
        <v>77</v>
      </c>
      <c r="D30" s="5">
        <v>2023</v>
      </c>
      <c r="E30" s="5">
        <v>3</v>
      </c>
      <c r="F30" s="5" t="s">
        <v>48</v>
      </c>
      <c r="G30" s="5">
        <v>28380644</v>
      </c>
      <c r="H30" s="5">
        <v>24505083.5</v>
      </c>
      <c r="I30" s="5">
        <v>396</v>
      </c>
      <c r="J30" s="5">
        <v>3875560.5</v>
      </c>
      <c r="K30" s="5">
        <v>0.1366</v>
      </c>
      <c r="L30" s="5">
        <v>25255000</v>
      </c>
      <c r="M30" s="5">
        <v>1.1237999999999999</v>
      </c>
    </row>
    <row r="31" spans="1:13" x14ac:dyDescent="0.3">
      <c r="A31" s="5">
        <v>1</v>
      </c>
      <c r="B31" s="5" t="s">
        <v>76</v>
      </c>
      <c r="C31" s="5" t="s">
        <v>77</v>
      </c>
      <c r="D31" s="5">
        <v>2023</v>
      </c>
      <c r="E31" s="5">
        <v>4</v>
      </c>
      <c r="F31" s="5" t="s">
        <v>49</v>
      </c>
      <c r="G31" s="5">
        <v>30582034</v>
      </c>
      <c r="H31" s="5">
        <v>26548291.91</v>
      </c>
      <c r="I31" s="5">
        <v>455</v>
      </c>
      <c r="J31" s="5">
        <v>4033742.09</v>
      </c>
      <c r="K31" s="5">
        <v>0.13189999999999999</v>
      </c>
      <c r="L31" s="5">
        <v>25700000</v>
      </c>
      <c r="M31" s="5">
        <v>1.19</v>
      </c>
    </row>
    <row r="32" spans="1:13" x14ac:dyDescent="0.3">
      <c r="A32" s="5">
        <v>1</v>
      </c>
      <c r="B32" s="5" t="s">
        <v>76</v>
      </c>
      <c r="C32" s="5" t="s">
        <v>77</v>
      </c>
      <c r="D32" s="5">
        <v>2023</v>
      </c>
      <c r="E32" s="5">
        <v>5</v>
      </c>
      <c r="F32" s="5" t="s">
        <v>50</v>
      </c>
      <c r="G32" s="5">
        <v>27831535</v>
      </c>
      <c r="H32" s="5">
        <v>24112138.120000001</v>
      </c>
      <c r="I32" s="5">
        <v>485</v>
      </c>
      <c r="J32" s="5">
        <v>3719396.88</v>
      </c>
      <c r="K32" s="5">
        <v>0.1336</v>
      </c>
      <c r="L32" s="5">
        <v>23694000</v>
      </c>
      <c r="M32" s="5">
        <v>1.1746000000000001</v>
      </c>
    </row>
    <row r="33" spans="1:13" x14ac:dyDescent="0.3">
      <c r="A33" s="5">
        <v>1</v>
      </c>
      <c r="B33" s="5" t="s">
        <v>76</v>
      </c>
      <c r="C33" s="5" t="s">
        <v>77</v>
      </c>
      <c r="D33" s="5">
        <v>2023</v>
      </c>
      <c r="E33" s="5">
        <v>6</v>
      </c>
      <c r="F33" s="5" t="s">
        <v>51</v>
      </c>
      <c r="G33" s="5">
        <v>34840414</v>
      </c>
      <c r="H33" s="5">
        <v>29558816.370000001</v>
      </c>
      <c r="I33" s="5">
        <v>480</v>
      </c>
      <c r="J33" s="5">
        <v>5281597.63</v>
      </c>
      <c r="K33" s="5">
        <v>0.15160000000000001</v>
      </c>
      <c r="L33" s="5">
        <v>29227000</v>
      </c>
      <c r="M33" s="5">
        <v>1.1920999999999999</v>
      </c>
    </row>
    <row r="34" spans="1:13" x14ac:dyDescent="0.3">
      <c r="A34" s="5">
        <v>1</v>
      </c>
      <c r="B34" s="5" t="s">
        <v>76</v>
      </c>
      <c r="C34" s="5" t="s">
        <v>77</v>
      </c>
      <c r="D34" s="5">
        <v>2023</v>
      </c>
      <c r="E34" s="5">
        <v>7</v>
      </c>
      <c r="F34" s="5" t="s">
        <v>52</v>
      </c>
      <c r="G34" s="5">
        <v>27759230</v>
      </c>
      <c r="H34" s="5">
        <v>25051547.690000001</v>
      </c>
      <c r="I34" s="5">
        <v>417</v>
      </c>
      <c r="J34" s="5">
        <v>2707682.31</v>
      </c>
      <c r="K34" s="5">
        <v>9.7500000000000003E-2</v>
      </c>
      <c r="L34" s="5">
        <v>24423000</v>
      </c>
      <c r="M34" s="5">
        <v>1.1366000000000001</v>
      </c>
    </row>
    <row r="35" spans="1:13" x14ac:dyDescent="0.3">
      <c r="A35" s="5">
        <v>1</v>
      </c>
      <c r="B35" s="5" t="s">
        <v>76</v>
      </c>
      <c r="C35" s="5" t="s">
        <v>77</v>
      </c>
      <c r="D35" s="5">
        <v>2023</v>
      </c>
      <c r="E35" s="5">
        <v>8</v>
      </c>
      <c r="F35" s="5" t="s">
        <v>53</v>
      </c>
      <c r="G35" s="5">
        <v>27214540</v>
      </c>
      <c r="H35" s="5">
        <v>23591771.710000001</v>
      </c>
      <c r="I35" s="5">
        <v>424</v>
      </c>
      <c r="J35" s="5">
        <v>3622768.29</v>
      </c>
      <c r="K35" s="5">
        <v>0.1331</v>
      </c>
      <c r="L35" s="5">
        <v>23329000</v>
      </c>
      <c r="M35" s="5">
        <v>1.1666000000000001</v>
      </c>
    </row>
    <row r="36" spans="1:13" x14ac:dyDescent="0.3">
      <c r="A36" s="5">
        <v>1</v>
      </c>
      <c r="B36" s="5" t="s">
        <v>76</v>
      </c>
      <c r="C36" s="5" t="s">
        <v>77</v>
      </c>
      <c r="D36" s="5">
        <v>2023</v>
      </c>
      <c r="E36" s="5">
        <v>9</v>
      </c>
      <c r="F36" s="5" t="s">
        <v>54</v>
      </c>
      <c r="G36" s="5">
        <v>36940313</v>
      </c>
      <c r="H36" s="5">
        <v>33377112.469999999</v>
      </c>
      <c r="I36" s="5">
        <v>488</v>
      </c>
      <c r="J36" s="5">
        <v>3563200.53</v>
      </c>
      <c r="K36" s="5">
        <v>9.6500000000000002E-2</v>
      </c>
      <c r="L36" s="5">
        <v>31929000</v>
      </c>
      <c r="M36" s="5">
        <v>1.157</v>
      </c>
    </row>
    <row r="37" spans="1:13" x14ac:dyDescent="0.3">
      <c r="A37" s="5">
        <v>1</v>
      </c>
      <c r="B37" s="5" t="s">
        <v>76</v>
      </c>
      <c r="C37" s="5" t="s">
        <v>77</v>
      </c>
      <c r="D37" s="5">
        <v>2023</v>
      </c>
      <c r="E37" s="5">
        <v>10</v>
      </c>
      <c r="F37" s="5" t="s">
        <v>55</v>
      </c>
      <c r="G37" s="5">
        <v>42538985</v>
      </c>
      <c r="H37" s="5">
        <v>36608395.700000003</v>
      </c>
      <c r="I37" s="5">
        <v>610</v>
      </c>
      <c r="J37" s="5">
        <v>5930589.2999999998</v>
      </c>
      <c r="K37" s="5">
        <v>0.1394</v>
      </c>
      <c r="L37" s="5">
        <v>35622000</v>
      </c>
      <c r="M37" s="5">
        <v>1.1941999999999999</v>
      </c>
    </row>
    <row r="38" spans="1:13" x14ac:dyDescent="0.3">
      <c r="A38" s="5">
        <v>1</v>
      </c>
      <c r="B38" s="5" t="s">
        <v>76</v>
      </c>
      <c r="C38" s="5" t="s">
        <v>77</v>
      </c>
      <c r="D38" s="5">
        <v>2023</v>
      </c>
      <c r="E38" s="5">
        <v>11</v>
      </c>
      <c r="F38" s="5" t="s">
        <v>56</v>
      </c>
      <c r="G38" s="5">
        <v>37098548</v>
      </c>
      <c r="H38" s="5">
        <v>33233531.91</v>
      </c>
      <c r="I38" s="5">
        <v>606</v>
      </c>
      <c r="J38" s="5">
        <v>3865016.09</v>
      </c>
      <c r="K38" s="5">
        <v>0.1042</v>
      </c>
      <c r="L38" s="5">
        <v>33732000</v>
      </c>
      <c r="M38" s="5">
        <v>1.0998000000000001</v>
      </c>
    </row>
    <row r="39" spans="1:13" x14ac:dyDescent="0.3">
      <c r="A39" s="5">
        <v>1</v>
      </c>
      <c r="B39" s="5" t="s">
        <v>76</v>
      </c>
      <c r="C39" s="5" t="s">
        <v>77</v>
      </c>
      <c r="D39" s="5">
        <v>2023</v>
      </c>
      <c r="E39" s="5">
        <v>12</v>
      </c>
      <c r="F39" s="5" t="s">
        <v>57</v>
      </c>
      <c r="G39" s="5">
        <v>42796096</v>
      </c>
      <c r="H39" s="5">
        <v>38929209.82</v>
      </c>
      <c r="I39" s="5">
        <v>654</v>
      </c>
      <c r="J39" s="5">
        <v>3866886.18</v>
      </c>
      <c r="K39" s="5">
        <v>9.0399999999999994E-2</v>
      </c>
      <c r="L39" s="5">
        <v>38134000</v>
      </c>
      <c r="M39" s="5">
        <v>1.1223000000000001</v>
      </c>
    </row>
    <row r="40" spans="1:13" x14ac:dyDescent="0.3">
      <c r="A40" s="5">
        <v>1</v>
      </c>
      <c r="B40" s="5" t="s">
        <v>76</v>
      </c>
      <c r="C40" s="5" t="s">
        <v>77</v>
      </c>
      <c r="D40" s="5">
        <v>2024</v>
      </c>
      <c r="E40" s="5">
        <v>1</v>
      </c>
      <c r="F40" s="5" t="s">
        <v>58</v>
      </c>
      <c r="G40" s="5">
        <v>28954633</v>
      </c>
      <c r="H40" s="5">
        <v>25865921.09</v>
      </c>
      <c r="I40" s="5">
        <v>439</v>
      </c>
      <c r="J40" s="5">
        <v>3088711.91</v>
      </c>
      <c r="K40" s="5">
        <v>0.1067</v>
      </c>
      <c r="L40" s="5">
        <v>24726000</v>
      </c>
      <c r="M40" s="5">
        <v>1.171</v>
      </c>
    </row>
    <row r="41" spans="1:13" x14ac:dyDescent="0.3">
      <c r="A41" s="5">
        <v>1</v>
      </c>
      <c r="B41" s="5" t="s">
        <v>76</v>
      </c>
      <c r="C41" s="5" t="s">
        <v>77</v>
      </c>
      <c r="D41" s="5">
        <v>2024</v>
      </c>
      <c r="E41" s="5">
        <v>2</v>
      </c>
      <c r="F41" s="5" t="s">
        <v>59</v>
      </c>
      <c r="G41" s="5">
        <v>26050686</v>
      </c>
      <c r="H41" s="5">
        <v>22301598.420000002</v>
      </c>
      <c r="I41" s="5">
        <v>375</v>
      </c>
      <c r="J41" s="5">
        <v>3749087.58</v>
      </c>
      <c r="K41" s="5">
        <v>0.1439</v>
      </c>
      <c r="L41" s="5">
        <v>23324000</v>
      </c>
      <c r="M41" s="5">
        <v>1.1169</v>
      </c>
    </row>
    <row r="42" spans="1:13" x14ac:dyDescent="0.3">
      <c r="A42" s="5">
        <v>1</v>
      </c>
      <c r="B42" s="5" t="s">
        <v>76</v>
      </c>
      <c r="C42" s="5" t="s">
        <v>77</v>
      </c>
      <c r="D42" s="5">
        <v>2024</v>
      </c>
      <c r="E42" s="5">
        <v>3</v>
      </c>
      <c r="F42" s="5" t="s">
        <v>60</v>
      </c>
      <c r="G42" s="5">
        <v>28467375</v>
      </c>
      <c r="H42" s="5">
        <v>24717571.260000002</v>
      </c>
      <c r="I42" s="5">
        <v>421</v>
      </c>
      <c r="J42" s="5">
        <v>3749803.74</v>
      </c>
      <c r="K42" s="5">
        <v>0.13170000000000001</v>
      </c>
      <c r="L42" s="5">
        <v>24959000</v>
      </c>
      <c r="M42" s="5">
        <v>1.1406000000000001</v>
      </c>
    </row>
    <row r="43" spans="1:13" x14ac:dyDescent="0.3">
      <c r="A43" s="5">
        <v>1</v>
      </c>
      <c r="B43" s="5" t="s">
        <v>76</v>
      </c>
      <c r="C43" s="5" t="s">
        <v>77</v>
      </c>
      <c r="D43" s="5">
        <v>2024</v>
      </c>
      <c r="E43" s="5">
        <v>4</v>
      </c>
      <c r="F43" s="5" t="s">
        <v>61</v>
      </c>
      <c r="G43" s="5">
        <v>27793828</v>
      </c>
      <c r="H43" s="5">
        <v>24067789.02</v>
      </c>
      <c r="I43" s="5">
        <v>423</v>
      </c>
      <c r="J43" s="5">
        <v>3726038.98</v>
      </c>
      <c r="K43" s="5">
        <v>0.1341</v>
      </c>
      <c r="L43" s="5">
        <v>23688000</v>
      </c>
      <c r="M43" s="5">
        <v>1.1733</v>
      </c>
    </row>
    <row r="44" spans="1:13" x14ac:dyDescent="0.3">
      <c r="A44" s="5">
        <v>1</v>
      </c>
      <c r="B44" s="5" t="s">
        <v>76</v>
      </c>
      <c r="C44" s="5" t="s">
        <v>77</v>
      </c>
      <c r="D44" s="5">
        <v>2024</v>
      </c>
      <c r="E44" s="5">
        <v>5</v>
      </c>
      <c r="F44" s="5" t="s">
        <v>62</v>
      </c>
      <c r="G44" s="5">
        <v>32156337</v>
      </c>
      <c r="H44" s="5">
        <v>28467384.940000001</v>
      </c>
      <c r="I44" s="5">
        <v>512</v>
      </c>
      <c r="J44" s="5">
        <v>3688952.06</v>
      </c>
      <c r="K44" s="5">
        <v>0.1147</v>
      </c>
      <c r="L44" s="5">
        <v>26824000</v>
      </c>
      <c r="M44" s="5">
        <v>1.1988000000000001</v>
      </c>
    </row>
    <row r="45" spans="1:13" x14ac:dyDescent="0.3">
      <c r="A45" s="5">
        <v>1</v>
      </c>
      <c r="B45" s="5" t="s">
        <v>76</v>
      </c>
      <c r="C45" s="5" t="s">
        <v>77</v>
      </c>
      <c r="D45" s="5">
        <v>2024</v>
      </c>
      <c r="E45" s="5">
        <v>6</v>
      </c>
      <c r="F45" s="5" t="s">
        <v>63</v>
      </c>
      <c r="G45" s="5">
        <v>31972407</v>
      </c>
      <c r="H45" s="5">
        <v>26465146.850000001</v>
      </c>
      <c r="I45" s="5">
        <v>490</v>
      </c>
      <c r="J45" s="5">
        <v>5507260.1500000004</v>
      </c>
      <c r="K45" s="5">
        <v>0.17230000000000001</v>
      </c>
      <c r="L45" s="5">
        <v>28198000</v>
      </c>
      <c r="M45" s="5">
        <v>1.1338999999999999</v>
      </c>
    </row>
    <row r="46" spans="1:13" x14ac:dyDescent="0.3">
      <c r="A46" s="5">
        <v>1</v>
      </c>
      <c r="B46" s="5" t="s">
        <v>76</v>
      </c>
      <c r="C46" s="5" t="s">
        <v>77</v>
      </c>
      <c r="D46" s="5">
        <v>2024</v>
      </c>
      <c r="E46" s="5">
        <v>7</v>
      </c>
      <c r="F46" s="5" t="s">
        <v>64</v>
      </c>
      <c r="G46" s="5">
        <v>33443108</v>
      </c>
      <c r="H46" s="5">
        <v>28715007.949999999</v>
      </c>
      <c r="I46" s="5">
        <v>472</v>
      </c>
      <c r="J46" s="5">
        <v>4728100.05</v>
      </c>
      <c r="K46" s="5">
        <v>0.1414</v>
      </c>
      <c r="L46" s="5">
        <v>30384000</v>
      </c>
      <c r="M46" s="5">
        <v>1.1007</v>
      </c>
    </row>
    <row r="47" spans="1:13" x14ac:dyDescent="0.3">
      <c r="A47" s="5">
        <v>1</v>
      </c>
      <c r="B47" s="5" t="s">
        <v>76</v>
      </c>
      <c r="C47" s="5" t="s">
        <v>77</v>
      </c>
      <c r="D47" s="5">
        <v>2024</v>
      </c>
      <c r="E47" s="5">
        <v>8</v>
      </c>
      <c r="F47" s="5" t="s">
        <v>65</v>
      </c>
      <c r="G47" s="5">
        <v>35412472</v>
      </c>
      <c r="H47" s="5">
        <v>29796557.579999998</v>
      </c>
      <c r="I47" s="5">
        <v>500</v>
      </c>
      <c r="J47" s="5">
        <v>5615914.4199999999</v>
      </c>
      <c r="K47" s="5">
        <v>0.15859999999999999</v>
      </c>
      <c r="L47" s="5">
        <v>31605000</v>
      </c>
      <c r="M47" s="5">
        <v>1.1205000000000001</v>
      </c>
    </row>
    <row r="48" spans="1:13" x14ac:dyDescent="0.3">
      <c r="A48" s="5">
        <v>1</v>
      </c>
      <c r="B48" s="5" t="s">
        <v>76</v>
      </c>
      <c r="C48" s="5" t="s">
        <v>77</v>
      </c>
      <c r="D48" s="5">
        <v>2024</v>
      </c>
      <c r="E48" s="5">
        <v>9</v>
      </c>
      <c r="F48" s="5" t="s">
        <v>66</v>
      </c>
      <c r="G48" s="5">
        <v>39410043</v>
      </c>
      <c r="H48" s="5">
        <v>32000644.52</v>
      </c>
      <c r="I48" s="5">
        <v>563</v>
      </c>
      <c r="J48" s="5">
        <v>7409398.4800000004</v>
      </c>
      <c r="K48" s="5">
        <v>0.188</v>
      </c>
      <c r="L48" s="5">
        <v>33910000</v>
      </c>
      <c r="M48" s="5">
        <v>1.1621999999999999</v>
      </c>
    </row>
    <row r="49" spans="1:13" x14ac:dyDescent="0.3">
      <c r="A49" s="5">
        <v>1</v>
      </c>
      <c r="B49" s="5" t="s">
        <v>76</v>
      </c>
      <c r="C49" s="5" t="s">
        <v>77</v>
      </c>
      <c r="D49" s="5">
        <v>2024</v>
      </c>
      <c r="E49" s="5">
        <v>10</v>
      </c>
      <c r="F49" s="5" t="s">
        <v>67</v>
      </c>
      <c r="G49" s="5">
        <v>46228896</v>
      </c>
      <c r="H49" s="5">
        <v>36910616.090000004</v>
      </c>
      <c r="I49" s="5">
        <v>642</v>
      </c>
      <c r="J49" s="5">
        <v>9318279.9100000001</v>
      </c>
      <c r="K49" s="5">
        <v>0.2016</v>
      </c>
      <c r="L49" s="5">
        <v>40149000</v>
      </c>
      <c r="M49" s="5">
        <v>1.1514</v>
      </c>
    </row>
    <row r="50" spans="1:13" x14ac:dyDescent="0.3">
      <c r="A50" s="5">
        <v>1</v>
      </c>
      <c r="B50" s="5" t="s">
        <v>76</v>
      </c>
      <c r="C50" s="5" t="s">
        <v>77</v>
      </c>
      <c r="D50" s="5">
        <v>2024</v>
      </c>
      <c r="E50" s="5">
        <v>11</v>
      </c>
      <c r="F50" s="5" t="s">
        <v>68</v>
      </c>
      <c r="G50" s="5">
        <v>49716515</v>
      </c>
      <c r="H50" s="5">
        <v>41150230.090000004</v>
      </c>
      <c r="I50" s="5">
        <v>703</v>
      </c>
      <c r="J50" s="5">
        <v>8566284.9100000001</v>
      </c>
      <c r="K50" s="5">
        <v>0.17230000000000001</v>
      </c>
      <c r="L50" s="5">
        <v>40793000</v>
      </c>
      <c r="M50" s="5">
        <v>1.2188000000000001</v>
      </c>
    </row>
    <row r="51" spans="1:13" x14ac:dyDescent="0.3">
      <c r="A51" s="5">
        <v>1</v>
      </c>
      <c r="B51" s="5" t="s">
        <v>76</v>
      </c>
      <c r="C51" s="5" t="s">
        <v>77</v>
      </c>
      <c r="D51" s="5">
        <v>2024</v>
      </c>
      <c r="E51" s="5">
        <v>12</v>
      </c>
      <c r="F51" s="5" t="s">
        <v>69</v>
      </c>
      <c r="G51" s="5">
        <v>47457877</v>
      </c>
      <c r="H51" s="5">
        <v>37911384.020000003</v>
      </c>
      <c r="I51" s="5">
        <v>656</v>
      </c>
      <c r="J51" s="5">
        <v>9546492.9800000004</v>
      </c>
      <c r="K51" s="5">
        <v>0.20119999999999999</v>
      </c>
      <c r="L51" s="5">
        <v>44019000</v>
      </c>
      <c r="M51" s="5">
        <v>1.0781000000000001</v>
      </c>
    </row>
    <row r="52" spans="1:13" x14ac:dyDescent="0.3">
      <c r="A52" s="5">
        <v>4</v>
      </c>
      <c r="B52" s="5" t="s">
        <v>78</v>
      </c>
      <c r="C52" s="5" t="s">
        <v>79</v>
      </c>
      <c r="D52" s="5">
        <v>2021</v>
      </c>
      <c r="E52" s="5">
        <v>1</v>
      </c>
      <c r="F52" s="5" t="s">
        <v>22</v>
      </c>
      <c r="G52" s="5">
        <v>15355035</v>
      </c>
      <c r="H52" s="5">
        <v>14073000.810000001</v>
      </c>
      <c r="I52" s="5">
        <v>230</v>
      </c>
      <c r="J52" s="5">
        <v>1282034.19</v>
      </c>
      <c r="K52" s="5">
        <v>8.3500000000000005E-2</v>
      </c>
      <c r="L52" s="5">
        <v>14362000</v>
      </c>
      <c r="M52" s="5">
        <v>1.0690999999999999</v>
      </c>
    </row>
    <row r="53" spans="1:13" x14ac:dyDescent="0.3">
      <c r="A53" s="5">
        <v>4</v>
      </c>
      <c r="B53" s="5" t="s">
        <v>78</v>
      </c>
      <c r="C53" s="5" t="s">
        <v>79</v>
      </c>
      <c r="D53" s="5">
        <v>2021</v>
      </c>
      <c r="E53" s="5">
        <v>2</v>
      </c>
      <c r="F53" s="5" t="s">
        <v>23</v>
      </c>
      <c r="G53" s="5">
        <v>10670856</v>
      </c>
      <c r="H53" s="5">
        <v>9382571.3000000007</v>
      </c>
      <c r="I53" s="5">
        <v>185</v>
      </c>
      <c r="J53" s="5">
        <v>1288284.7</v>
      </c>
      <c r="K53" s="5">
        <v>0.1207</v>
      </c>
      <c r="L53" s="5">
        <v>9448000</v>
      </c>
      <c r="M53" s="5">
        <v>1.1294</v>
      </c>
    </row>
    <row r="54" spans="1:13" x14ac:dyDescent="0.3">
      <c r="A54" s="5">
        <v>4</v>
      </c>
      <c r="B54" s="5" t="s">
        <v>78</v>
      </c>
      <c r="C54" s="5" t="s">
        <v>79</v>
      </c>
      <c r="D54" s="5">
        <v>2021</v>
      </c>
      <c r="E54" s="5">
        <v>3</v>
      </c>
      <c r="F54" s="5" t="s">
        <v>24</v>
      </c>
      <c r="G54" s="5">
        <v>16021071</v>
      </c>
      <c r="H54" s="5">
        <v>13288874.029999999</v>
      </c>
      <c r="I54" s="5">
        <v>222</v>
      </c>
      <c r="J54" s="5">
        <v>2732196.97</v>
      </c>
      <c r="K54" s="5">
        <v>0.17050000000000001</v>
      </c>
      <c r="L54" s="5">
        <v>15285000</v>
      </c>
      <c r="M54" s="5">
        <v>1.0482</v>
      </c>
    </row>
    <row r="55" spans="1:13" x14ac:dyDescent="0.3">
      <c r="A55" s="5">
        <v>4</v>
      </c>
      <c r="B55" s="5" t="s">
        <v>78</v>
      </c>
      <c r="C55" s="5" t="s">
        <v>79</v>
      </c>
      <c r="D55" s="5">
        <v>2021</v>
      </c>
      <c r="E55" s="5">
        <v>4</v>
      </c>
      <c r="F55" s="5" t="s">
        <v>25</v>
      </c>
      <c r="G55" s="5">
        <v>16369432</v>
      </c>
      <c r="H55" s="5">
        <v>14162718.890000001</v>
      </c>
      <c r="I55" s="5">
        <v>236</v>
      </c>
      <c r="J55" s="5">
        <v>2206713.11</v>
      </c>
      <c r="K55" s="5">
        <v>0.1348</v>
      </c>
      <c r="L55" s="5">
        <v>15517000</v>
      </c>
      <c r="M55" s="5">
        <v>1.0548999999999999</v>
      </c>
    </row>
    <row r="56" spans="1:13" x14ac:dyDescent="0.3">
      <c r="A56" s="5">
        <v>4</v>
      </c>
      <c r="B56" s="5" t="s">
        <v>78</v>
      </c>
      <c r="C56" s="5" t="s">
        <v>79</v>
      </c>
      <c r="D56" s="5">
        <v>2021</v>
      </c>
      <c r="E56" s="5">
        <v>5</v>
      </c>
      <c r="F56" s="5" t="s">
        <v>26</v>
      </c>
      <c r="G56" s="5">
        <v>17966534</v>
      </c>
      <c r="H56" s="5">
        <v>15783804.02</v>
      </c>
      <c r="I56" s="5">
        <v>282</v>
      </c>
      <c r="J56" s="5">
        <v>2182729.98</v>
      </c>
      <c r="K56" s="5">
        <v>0.1215</v>
      </c>
      <c r="L56" s="5">
        <v>16426000</v>
      </c>
      <c r="M56" s="5">
        <v>1.0938000000000001</v>
      </c>
    </row>
    <row r="57" spans="1:13" x14ac:dyDescent="0.3">
      <c r="A57" s="5">
        <v>4</v>
      </c>
      <c r="B57" s="5" t="s">
        <v>78</v>
      </c>
      <c r="C57" s="5" t="s">
        <v>79</v>
      </c>
      <c r="D57" s="5">
        <v>2021</v>
      </c>
      <c r="E57" s="5">
        <v>6</v>
      </c>
      <c r="F57" s="5" t="s">
        <v>27</v>
      </c>
      <c r="G57" s="5">
        <v>17867650</v>
      </c>
      <c r="H57" s="5">
        <v>15590718.5</v>
      </c>
      <c r="I57" s="5">
        <v>279</v>
      </c>
      <c r="J57" s="5">
        <v>2276931.5</v>
      </c>
      <c r="K57" s="5">
        <v>0.12740000000000001</v>
      </c>
      <c r="L57" s="5">
        <v>17180000</v>
      </c>
      <c r="M57" s="5">
        <v>1.04</v>
      </c>
    </row>
    <row r="58" spans="1:13" x14ac:dyDescent="0.3">
      <c r="A58" s="5">
        <v>4</v>
      </c>
      <c r="B58" s="5" t="s">
        <v>78</v>
      </c>
      <c r="C58" s="5" t="s">
        <v>79</v>
      </c>
      <c r="D58" s="5">
        <v>2021</v>
      </c>
      <c r="E58" s="5">
        <v>7</v>
      </c>
      <c r="F58" s="5" t="s">
        <v>28</v>
      </c>
      <c r="G58" s="5">
        <v>17360879</v>
      </c>
      <c r="H58" s="5">
        <v>14969613.109999999</v>
      </c>
      <c r="I58" s="5">
        <v>269</v>
      </c>
      <c r="J58" s="5">
        <v>2391265.89</v>
      </c>
      <c r="K58" s="5">
        <v>0.13769999999999999</v>
      </c>
      <c r="L58" s="5">
        <v>16623000</v>
      </c>
      <c r="M58" s="5">
        <v>1.0444</v>
      </c>
    </row>
    <row r="59" spans="1:13" x14ac:dyDescent="0.3">
      <c r="A59" s="5">
        <v>4</v>
      </c>
      <c r="B59" s="5" t="s">
        <v>78</v>
      </c>
      <c r="C59" s="5" t="s">
        <v>79</v>
      </c>
      <c r="D59" s="5">
        <v>2021</v>
      </c>
      <c r="E59" s="5">
        <v>8</v>
      </c>
      <c r="F59" s="5" t="s">
        <v>29</v>
      </c>
      <c r="G59" s="5">
        <v>18879305</v>
      </c>
      <c r="H59" s="5">
        <v>15958161.390000001</v>
      </c>
      <c r="I59" s="5">
        <v>258</v>
      </c>
      <c r="J59" s="5">
        <v>2921143.61</v>
      </c>
      <c r="K59" s="5">
        <v>0.1547</v>
      </c>
      <c r="L59" s="5">
        <v>16293000</v>
      </c>
      <c r="M59" s="5">
        <v>1.1587000000000001</v>
      </c>
    </row>
    <row r="60" spans="1:13" x14ac:dyDescent="0.3">
      <c r="A60" s="5">
        <v>4</v>
      </c>
      <c r="B60" s="5" t="s">
        <v>78</v>
      </c>
      <c r="C60" s="5" t="s">
        <v>79</v>
      </c>
      <c r="D60" s="5">
        <v>2021</v>
      </c>
      <c r="E60" s="5">
        <v>9</v>
      </c>
      <c r="F60" s="5" t="s">
        <v>30</v>
      </c>
      <c r="G60" s="5">
        <v>16411099</v>
      </c>
      <c r="H60" s="5">
        <v>14232562.25</v>
      </c>
      <c r="I60" s="5">
        <v>260</v>
      </c>
      <c r="J60" s="5">
        <v>2178536.75</v>
      </c>
      <c r="K60" s="5">
        <v>0.13270000000000001</v>
      </c>
      <c r="L60" s="5">
        <v>14031000</v>
      </c>
      <c r="M60" s="5">
        <v>1.1696</v>
      </c>
    </row>
    <row r="61" spans="1:13" x14ac:dyDescent="0.3">
      <c r="A61" s="5">
        <v>4</v>
      </c>
      <c r="B61" s="5" t="s">
        <v>78</v>
      </c>
      <c r="C61" s="5" t="s">
        <v>79</v>
      </c>
      <c r="D61" s="5">
        <v>2021</v>
      </c>
      <c r="E61" s="5">
        <v>10</v>
      </c>
      <c r="F61" s="5" t="s">
        <v>31</v>
      </c>
      <c r="G61" s="5">
        <v>25726426</v>
      </c>
      <c r="H61" s="5">
        <v>21707803.129999999</v>
      </c>
      <c r="I61" s="5">
        <v>366</v>
      </c>
      <c r="J61" s="5">
        <v>4018622.87</v>
      </c>
      <c r="K61" s="5">
        <v>0.15620000000000001</v>
      </c>
      <c r="L61" s="5">
        <v>24237000</v>
      </c>
      <c r="M61" s="5">
        <v>1.0615000000000001</v>
      </c>
    </row>
    <row r="62" spans="1:13" x14ac:dyDescent="0.3">
      <c r="A62" s="5">
        <v>4</v>
      </c>
      <c r="B62" s="5" t="s">
        <v>78</v>
      </c>
      <c r="C62" s="5" t="s">
        <v>79</v>
      </c>
      <c r="D62" s="5">
        <v>2021</v>
      </c>
      <c r="E62" s="5">
        <v>11</v>
      </c>
      <c r="F62" s="5" t="s">
        <v>32</v>
      </c>
      <c r="G62" s="5">
        <v>21990377</v>
      </c>
      <c r="H62" s="5">
        <v>18175699.600000001</v>
      </c>
      <c r="I62" s="5">
        <v>355</v>
      </c>
      <c r="J62" s="5">
        <v>3814677.4</v>
      </c>
      <c r="K62" s="5">
        <v>0.17349999999999999</v>
      </c>
      <c r="L62" s="5">
        <v>19514000</v>
      </c>
      <c r="M62" s="5">
        <v>1.1269</v>
      </c>
    </row>
    <row r="63" spans="1:13" x14ac:dyDescent="0.3">
      <c r="A63" s="5">
        <v>4</v>
      </c>
      <c r="B63" s="5" t="s">
        <v>78</v>
      </c>
      <c r="C63" s="5" t="s">
        <v>79</v>
      </c>
      <c r="D63" s="5">
        <v>2021</v>
      </c>
      <c r="E63" s="5">
        <v>12</v>
      </c>
      <c r="F63" s="5" t="s">
        <v>33</v>
      </c>
      <c r="G63" s="5">
        <v>26861684</v>
      </c>
      <c r="H63" s="5">
        <v>22361046.210000001</v>
      </c>
      <c r="I63" s="5">
        <v>340</v>
      </c>
      <c r="J63" s="5">
        <v>4500637.79</v>
      </c>
      <c r="K63" s="5">
        <v>0.16750000000000001</v>
      </c>
      <c r="L63" s="5">
        <v>25166000</v>
      </c>
      <c r="M63" s="5">
        <v>1.0673999999999999</v>
      </c>
    </row>
    <row r="64" spans="1:13" x14ac:dyDescent="0.3">
      <c r="A64" s="5">
        <v>4</v>
      </c>
      <c r="B64" s="5" t="s">
        <v>78</v>
      </c>
      <c r="C64" s="5" t="s">
        <v>79</v>
      </c>
      <c r="D64" s="5">
        <v>2022</v>
      </c>
      <c r="E64" s="5">
        <v>1</v>
      </c>
      <c r="F64" s="5" t="s">
        <v>34</v>
      </c>
      <c r="G64" s="5">
        <v>20252347</v>
      </c>
      <c r="H64" s="5">
        <v>16820617.32</v>
      </c>
      <c r="I64" s="5">
        <v>305</v>
      </c>
      <c r="J64" s="5">
        <v>3431729.68</v>
      </c>
      <c r="K64" s="5">
        <v>0.1694</v>
      </c>
      <c r="L64" s="5">
        <v>19518000</v>
      </c>
      <c r="M64" s="5">
        <v>1.0376000000000001</v>
      </c>
    </row>
    <row r="65" spans="1:13" x14ac:dyDescent="0.3">
      <c r="A65" s="5">
        <v>4</v>
      </c>
      <c r="B65" s="5" t="s">
        <v>78</v>
      </c>
      <c r="C65" s="5" t="s">
        <v>79</v>
      </c>
      <c r="D65" s="5">
        <v>2022</v>
      </c>
      <c r="E65" s="5">
        <v>2</v>
      </c>
      <c r="F65" s="5" t="s">
        <v>35</v>
      </c>
      <c r="G65" s="5">
        <v>17137449</v>
      </c>
      <c r="H65" s="5">
        <v>14397008.970000001</v>
      </c>
      <c r="I65" s="5">
        <v>270</v>
      </c>
      <c r="J65" s="5">
        <v>2740440.03</v>
      </c>
      <c r="K65" s="5">
        <v>0.15989999999999999</v>
      </c>
      <c r="L65" s="5">
        <v>14952000</v>
      </c>
      <c r="M65" s="5">
        <v>1.1462000000000001</v>
      </c>
    </row>
    <row r="66" spans="1:13" x14ac:dyDescent="0.3">
      <c r="A66" s="5">
        <v>4</v>
      </c>
      <c r="B66" s="5" t="s">
        <v>78</v>
      </c>
      <c r="C66" s="5" t="s">
        <v>79</v>
      </c>
      <c r="D66" s="5">
        <v>2022</v>
      </c>
      <c r="E66" s="5">
        <v>3</v>
      </c>
      <c r="F66" s="5" t="s">
        <v>36</v>
      </c>
      <c r="G66" s="5">
        <v>19955473</v>
      </c>
      <c r="H66" s="5">
        <v>16850766.219999999</v>
      </c>
      <c r="I66" s="5">
        <v>316</v>
      </c>
      <c r="J66" s="5">
        <v>3104706.78</v>
      </c>
      <c r="K66" s="5">
        <v>0.15559999999999999</v>
      </c>
      <c r="L66" s="5">
        <v>18193000</v>
      </c>
      <c r="M66" s="5">
        <v>1.0969</v>
      </c>
    </row>
    <row r="67" spans="1:13" x14ac:dyDescent="0.3">
      <c r="A67" s="5">
        <v>4</v>
      </c>
      <c r="B67" s="5" t="s">
        <v>78</v>
      </c>
      <c r="C67" s="5" t="s">
        <v>79</v>
      </c>
      <c r="D67" s="5">
        <v>2022</v>
      </c>
      <c r="E67" s="5">
        <v>4</v>
      </c>
      <c r="F67" s="5" t="s">
        <v>37</v>
      </c>
      <c r="G67" s="5">
        <v>24911894</v>
      </c>
      <c r="H67" s="5">
        <v>21563680.920000002</v>
      </c>
      <c r="I67" s="5">
        <v>382</v>
      </c>
      <c r="J67" s="5">
        <v>3348213.08</v>
      </c>
      <c r="K67" s="5">
        <v>0.13439999999999999</v>
      </c>
      <c r="L67" s="5">
        <v>22639000</v>
      </c>
      <c r="M67" s="5">
        <v>1.1004</v>
      </c>
    </row>
    <row r="68" spans="1:13" x14ac:dyDescent="0.3">
      <c r="A68" s="5">
        <v>4</v>
      </c>
      <c r="B68" s="5" t="s">
        <v>78</v>
      </c>
      <c r="C68" s="5" t="s">
        <v>79</v>
      </c>
      <c r="D68" s="5">
        <v>2022</v>
      </c>
      <c r="E68" s="5">
        <v>5</v>
      </c>
      <c r="F68" s="5" t="s">
        <v>38</v>
      </c>
      <c r="G68" s="5">
        <v>23651207</v>
      </c>
      <c r="H68" s="5">
        <v>20579496.629999999</v>
      </c>
      <c r="I68" s="5">
        <v>385</v>
      </c>
      <c r="J68" s="5">
        <v>3071710.37</v>
      </c>
      <c r="K68" s="5">
        <v>0.12989999999999999</v>
      </c>
      <c r="L68" s="5">
        <v>21231000</v>
      </c>
      <c r="M68" s="5">
        <v>1.1140000000000001</v>
      </c>
    </row>
    <row r="69" spans="1:13" x14ac:dyDescent="0.3">
      <c r="A69" s="5">
        <v>4</v>
      </c>
      <c r="B69" s="5" t="s">
        <v>78</v>
      </c>
      <c r="C69" s="5" t="s">
        <v>79</v>
      </c>
      <c r="D69" s="5">
        <v>2022</v>
      </c>
      <c r="E69" s="5">
        <v>6</v>
      </c>
      <c r="F69" s="5" t="s">
        <v>39</v>
      </c>
      <c r="G69" s="5">
        <v>28918274</v>
      </c>
      <c r="H69" s="5">
        <v>25022703.809999999</v>
      </c>
      <c r="I69" s="5">
        <v>400</v>
      </c>
      <c r="J69" s="5">
        <v>3895570.19</v>
      </c>
      <c r="K69" s="5">
        <v>0.13469999999999999</v>
      </c>
      <c r="L69" s="5">
        <v>25415000</v>
      </c>
      <c r="M69" s="5">
        <v>1.1377999999999999</v>
      </c>
    </row>
    <row r="70" spans="1:13" x14ac:dyDescent="0.3">
      <c r="A70" s="5">
        <v>4</v>
      </c>
      <c r="B70" s="5" t="s">
        <v>78</v>
      </c>
      <c r="C70" s="5" t="s">
        <v>79</v>
      </c>
      <c r="D70" s="5">
        <v>2022</v>
      </c>
      <c r="E70" s="5">
        <v>7</v>
      </c>
      <c r="F70" s="5" t="s">
        <v>40</v>
      </c>
      <c r="G70" s="5">
        <v>22360148</v>
      </c>
      <c r="H70" s="5">
        <v>19559539.309999999</v>
      </c>
      <c r="I70" s="5">
        <v>367</v>
      </c>
      <c r="J70" s="5">
        <v>2800608.69</v>
      </c>
      <c r="K70" s="5">
        <v>0.12529999999999999</v>
      </c>
      <c r="L70" s="5">
        <v>20827000</v>
      </c>
      <c r="M70" s="5">
        <v>1.0736000000000001</v>
      </c>
    </row>
    <row r="71" spans="1:13" x14ac:dyDescent="0.3">
      <c r="A71" s="5">
        <v>4</v>
      </c>
      <c r="B71" s="5" t="s">
        <v>78</v>
      </c>
      <c r="C71" s="5" t="s">
        <v>79</v>
      </c>
      <c r="D71" s="5">
        <v>2022</v>
      </c>
      <c r="E71" s="5">
        <v>8</v>
      </c>
      <c r="F71" s="5" t="s">
        <v>41</v>
      </c>
      <c r="G71" s="5">
        <v>22356038</v>
      </c>
      <c r="H71" s="5">
        <v>20483878.260000002</v>
      </c>
      <c r="I71" s="5">
        <v>372</v>
      </c>
      <c r="J71" s="5">
        <v>1872159.74</v>
      </c>
      <c r="K71" s="5">
        <v>8.3699999999999997E-2</v>
      </c>
      <c r="L71" s="5">
        <v>20193000</v>
      </c>
      <c r="M71" s="5">
        <v>1.1071</v>
      </c>
    </row>
    <row r="72" spans="1:13" x14ac:dyDescent="0.3">
      <c r="A72" s="5">
        <v>4</v>
      </c>
      <c r="B72" s="5" t="s">
        <v>78</v>
      </c>
      <c r="C72" s="5" t="s">
        <v>79</v>
      </c>
      <c r="D72" s="5">
        <v>2022</v>
      </c>
      <c r="E72" s="5">
        <v>9</v>
      </c>
      <c r="F72" s="5" t="s">
        <v>42</v>
      </c>
      <c r="G72" s="5">
        <v>25688920</v>
      </c>
      <c r="H72" s="5">
        <v>22565143.710000001</v>
      </c>
      <c r="I72" s="5">
        <v>379</v>
      </c>
      <c r="J72" s="5">
        <v>3123776.29</v>
      </c>
      <c r="K72" s="5">
        <v>0.1216</v>
      </c>
      <c r="L72" s="5">
        <v>24509000</v>
      </c>
      <c r="M72" s="5">
        <v>1.0481</v>
      </c>
    </row>
    <row r="73" spans="1:13" x14ac:dyDescent="0.3">
      <c r="A73" s="5">
        <v>4</v>
      </c>
      <c r="B73" s="5" t="s">
        <v>78</v>
      </c>
      <c r="C73" s="5" t="s">
        <v>79</v>
      </c>
      <c r="D73" s="5">
        <v>2022</v>
      </c>
      <c r="E73" s="5">
        <v>10</v>
      </c>
      <c r="F73" s="5" t="s">
        <v>43</v>
      </c>
      <c r="G73" s="5">
        <v>31501707</v>
      </c>
      <c r="H73" s="5">
        <v>27978072.940000001</v>
      </c>
      <c r="I73" s="5">
        <v>515</v>
      </c>
      <c r="J73" s="5">
        <v>3523634.06</v>
      </c>
      <c r="K73" s="5">
        <v>0.1119</v>
      </c>
      <c r="L73" s="5">
        <v>30069000</v>
      </c>
      <c r="M73" s="5">
        <v>1.0476000000000001</v>
      </c>
    </row>
    <row r="74" spans="1:13" x14ac:dyDescent="0.3">
      <c r="A74" s="5">
        <v>4</v>
      </c>
      <c r="B74" s="5" t="s">
        <v>78</v>
      </c>
      <c r="C74" s="5" t="s">
        <v>79</v>
      </c>
      <c r="D74" s="5">
        <v>2022</v>
      </c>
      <c r="E74" s="5">
        <v>11</v>
      </c>
      <c r="F74" s="5" t="s">
        <v>44</v>
      </c>
      <c r="G74" s="5">
        <v>31390239</v>
      </c>
      <c r="H74" s="5">
        <v>26815489.460000001</v>
      </c>
      <c r="I74" s="5">
        <v>530</v>
      </c>
      <c r="J74" s="5">
        <v>4574749.54</v>
      </c>
      <c r="K74" s="5">
        <v>0.1457</v>
      </c>
      <c r="L74" s="5">
        <v>27794000</v>
      </c>
      <c r="M74" s="5">
        <v>1.1294</v>
      </c>
    </row>
    <row r="75" spans="1:13" x14ac:dyDescent="0.3">
      <c r="A75" s="5">
        <v>4</v>
      </c>
      <c r="B75" s="5" t="s">
        <v>78</v>
      </c>
      <c r="C75" s="5" t="s">
        <v>79</v>
      </c>
      <c r="D75" s="5">
        <v>2022</v>
      </c>
      <c r="E75" s="5">
        <v>12</v>
      </c>
      <c r="F75" s="5" t="s">
        <v>45</v>
      </c>
      <c r="G75" s="5">
        <v>36782765</v>
      </c>
      <c r="H75" s="5">
        <v>30492654.739999998</v>
      </c>
      <c r="I75" s="5">
        <v>515</v>
      </c>
      <c r="J75" s="5">
        <v>6290110.2599999998</v>
      </c>
      <c r="K75" s="5">
        <v>0.17100000000000001</v>
      </c>
      <c r="L75" s="5">
        <v>35020000</v>
      </c>
      <c r="M75" s="5">
        <v>1.0503</v>
      </c>
    </row>
    <row r="76" spans="1:13" x14ac:dyDescent="0.3">
      <c r="A76" s="5">
        <v>4</v>
      </c>
      <c r="B76" s="5" t="s">
        <v>78</v>
      </c>
      <c r="C76" s="5" t="s">
        <v>79</v>
      </c>
      <c r="D76" s="5">
        <v>2023</v>
      </c>
      <c r="E76" s="5">
        <v>1</v>
      </c>
      <c r="F76" s="5" t="s">
        <v>46</v>
      </c>
      <c r="G76" s="5">
        <v>24748679</v>
      </c>
      <c r="H76" s="5">
        <v>21404553.620000001</v>
      </c>
      <c r="I76" s="5">
        <v>376</v>
      </c>
      <c r="J76" s="5">
        <v>3344125.38</v>
      </c>
      <c r="K76" s="5">
        <v>0.1351</v>
      </c>
      <c r="L76" s="5">
        <v>21273000</v>
      </c>
      <c r="M76" s="5">
        <v>1.1634</v>
      </c>
    </row>
    <row r="77" spans="1:13" x14ac:dyDescent="0.3">
      <c r="A77" s="5">
        <v>4</v>
      </c>
      <c r="B77" s="5" t="s">
        <v>78</v>
      </c>
      <c r="C77" s="5" t="s">
        <v>79</v>
      </c>
      <c r="D77" s="5">
        <v>2023</v>
      </c>
      <c r="E77" s="5">
        <v>2</v>
      </c>
      <c r="F77" s="5" t="s">
        <v>47</v>
      </c>
      <c r="G77" s="5">
        <v>24149581</v>
      </c>
      <c r="H77" s="5">
        <v>20967387.07</v>
      </c>
      <c r="I77" s="5">
        <v>370</v>
      </c>
      <c r="J77" s="5">
        <v>3182193.93</v>
      </c>
      <c r="K77" s="5">
        <v>0.1318</v>
      </c>
      <c r="L77" s="5">
        <v>22406000</v>
      </c>
      <c r="M77" s="5">
        <v>1.0778000000000001</v>
      </c>
    </row>
    <row r="78" spans="1:13" x14ac:dyDescent="0.3">
      <c r="A78" s="5">
        <v>4</v>
      </c>
      <c r="B78" s="5" t="s">
        <v>78</v>
      </c>
      <c r="C78" s="5" t="s">
        <v>79</v>
      </c>
      <c r="D78" s="5">
        <v>2023</v>
      </c>
      <c r="E78" s="5">
        <v>3</v>
      </c>
      <c r="F78" s="5" t="s">
        <v>48</v>
      </c>
      <c r="G78" s="5">
        <v>29696672</v>
      </c>
      <c r="H78" s="5">
        <v>26072551.329999998</v>
      </c>
      <c r="I78" s="5">
        <v>430</v>
      </c>
      <c r="J78" s="5">
        <v>3624120.67</v>
      </c>
      <c r="K78" s="5">
        <v>0.122</v>
      </c>
      <c r="L78" s="5">
        <v>26820000</v>
      </c>
      <c r="M78" s="5">
        <v>1.1073</v>
      </c>
    </row>
    <row r="79" spans="1:13" x14ac:dyDescent="0.3">
      <c r="A79" s="5">
        <v>4</v>
      </c>
      <c r="B79" s="5" t="s">
        <v>78</v>
      </c>
      <c r="C79" s="5" t="s">
        <v>79</v>
      </c>
      <c r="D79" s="5">
        <v>2023</v>
      </c>
      <c r="E79" s="5">
        <v>4</v>
      </c>
      <c r="F79" s="5" t="s">
        <v>49</v>
      </c>
      <c r="G79" s="5">
        <v>30611022</v>
      </c>
      <c r="H79" s="5">
        <v>27079737.390000001</v>
      </c>
      <c r="I79" s="5">
        <v>473</v>
      </c>
      <c r="J79" s="5">
        <v>3531284.61</v>
      </c>
      <c r="K79" s="5">
        <v>0.1154</v>
      </c>
      <c r="L79" s="5">
        <v>27019000</v>
      </c>
      <c r="M79" s="5">
        <v>1.1329</v>
      </c>
    </row>
    <row r="80" spans="1:13" x14ac:dyDescent="0.3">
      <c r="A80" s="5">
        <v>4</v>
      </c>
      <c r="B80" s="5" t="s">
        <v>78</v>
      </c>
      <c r="C80" s="5" t="s">
        <v>79</v>
      </c>
      <c r="D80" s="5">
        <v>2023</v>
      </c>
      <c r="E80" s="5">
        <v>5</v>
      </c>
      <c r="F80" s="5" t="s">
        <v>50</v>
      </c>
      <c r="G80" s="5">
        <v>33341052</v>
      </c>
      <c r="H80" s="5">
        <v>28991728.23</v>
      </c>
      <c r="I80" s="5">
        <v>454</v>
      </c>
      <c r="J80" s="5">
        <v>4349323.7699999996</v>
      </c>
      <c r="K80" s="5">
        <v>0.13039999999999999</v>
      </c>
      <c r="L80" s="5">
        <v>31165000</v>
      </c>
      <c r="M80" s="5">
        <v>1.0698000000000001</v>
      </c>
    </row>
    <row r="81" spans="1:13" x14ac:dyDescent="0.3">
      <c r="A81" s="5">
        <v>4</v>
      </c>
      <c r="B81" s="5" t="s">
        <v>78</v>
      </c>
      <c r="C81" s="5" t="s">
        <v>79</v>
      </c>
      <c r="D81" s="5">
        <v>2023</v>
      </c>
      <c r="E81" s="5">
        <v>6</v>
      </c>
      <c r="F81" s="5" t="s">
        <v>51</v>
      </c>
      <c r="G81" s="5">
        <v>33922968</v>
      </c>
      <c r="H81" s="5">
        <v>28875287.800000001</v>
      </c>
      <c r="I81" s="5">
        <v>452</v>
      </c>
      <c r="J81" s="5">
        <v>5047680.2</v>
      </c>
      <c r="K81" s="5">
        <v>0.14879999999999999</v>
      </c>
      <c r="L81" s="5">
        <v>32814000</v>
      </c>
      <c r="M81" s="5">
        <v>1.0338000000000001</v>
      </c>
    </row>
    <row r="82" spans="1:13" x14ac:dyDescent="0.3">
      <c r="A82" s="5">
        <v>4</v>
      </c>
      <c r="B82" s="5" t="s">
        <v>78</v>
      </c>
      <c r="C82" s="5" t="s">
        <v>79</v>
      </c>
      <c r="D82" s="5">
        <v>2023</v>
      </c>
      <c r="E82" s="5">
        <v>7</v>
      </c>
      <c r="F82" s="5" t="s">
        <v>52</v>
      </c>
      <c r="G82" s="5">
        <v>30485178</v>
      </c>
      <c r="H82" s="5">
        <v>27526285.850000001</v>
      </c>
      <c r="I82" s="5">
        <v>426</v>
      </c>
      <c r="J82" s="5">
        <v>2958892.15</v>
      </c>
      <c r="K82" s="5">
        <v>9.7100000000000006E-2</v>
      </c>
      <c r="L82" s="5">
        <v>26461000</v>
      </c>
      <c r="M82" s="5">
        <v>1.1520999999999999</v>
      </c>
    </row>
    <row r="83" spans="1:13" x14ac:dyDescent="0.3">
      <c r="A83" s="5">
        <v>4</v>
      </c>
      <c r="B83" s="5" t="s">
        <v>78</v>
      </c>
      <c r="C83" s="5" t="s">
        <v>79</v>
      </c>
      <c r="D83" s="5">
        <v>2023</v>
      </c>
      <c r="E83" s="5">
        <v>8</v>
      </c>
      <c r="F83" s="5" t="s">
        <v>53</v>
      </c>
      <c r="G83" s="5">
        <v>29829281</v>
      </c>
      <c r="H83" s="5">
        <v>26475329.829999998</v>
      </c>
      <c r="I83" s="5">
        <v>449</v>
      </c>
      <c r="J83" s="5">
        <v>3353951.17</v>
      </c>
      <c r="K83" s="5">
        <v>0.1124</v>
      </c>
      <c r="L83" s="5">
        <v>27717000</v>
      </c>
      <c r="M83" s="5">
        <v>1.0762</v>
      </c>
    </row>
    <row r="84" spans="1:13" x14ac:dyDescent="0.3">
      <c r="A84" s="5">
        <v>4</v>
      </c>
      <c r="B84" s="5" t="s">
        <v>78</v>
      </c>
      <c r="C84" s="5" t="s">
        <v>79</v>
      </c>
      <c r="D84" s="5">
        <v>2023</v>
      </c>
      <c r="E84" s="5">
        <v>9</v>
      </c>
      <c r="F84" s="5" t="s">
        <v>54</v>
      </c>
      <c r="G84" s="5">
        <v>34746268</v>
      </c>
      <c r="H84" s="5">
        <v>31262044.68</v>
      </c>
      <c r="I84" s="5">
        <v>517</v>
      </c>
      <c r="J84" s="5">
        <v>3484223.32</v>
      </c>
      <c r="K84" s="5">
        <v>0.1003</v>
      </c>
      <c r="L84" s="5">
        <v>31818000</v>
      </c>
      <c r="M84" s="5">
        <v>1.0920000000000001</v>
      </c>
    </row>
    <row r="85" spans="1:13" x14ac:dyDescent="0.3">
      <c r="A85" s="5">
        <v>4</v>
      </c>
      <c r="B85" s="5" t="s">
        <v>78</v>
      </c>
      <c r="C85" s="5" t="s">
        <v>79</v>
      </c>
      <c r="D85" s="5">
        <v>2023</v>
      </c>
      <c r="E85" s="5">
        <v>10</v>
      </c>
      <c r="F85" s="5" t="s">
        <v>55</v>
      </c>
      <c r="G85" s="5">
        <v>43124058</v>
      </c>
      <c r="H85" s="5">
        <v>37455578.960000001</v>
      </c>
      <c r="I85" s="5">
        <v>642</v>
      </c>
      <c r="J85" s="5">
        <v>5668479.04</v>
      </c>
      <c r="K85" s="5">
        <v>0.13139999999999999</v>
      </c>
      <c r="L85" s="5">
        <v>40228000</v>
      </c>
      <c r="M85" s="5">
        <v>1.0720000000000001</v>
      </c>
    </row>
    <row r="86" spans="1:13" x14ac:dyDescent="0.3">
      <c r="A86" s="5">
        <v>4</v>
      </c>
      <c r="B86" s="5" t="s">
        <v>78</v>
      </c>
      <c r="C86" s="5" t="s">
        <v>79</v>
      </c>
      <c r="D86" s="5">
        <v>2023</v>
      </c>
      <c r="E86" s="5">
        <v>11</v>
      </c>
      <c r="F86" s="5" t="s">
        <v>56</v>
      </c>
      <c r="G86" s="5">
        <v>38619879</v>
      </c>
      <c r="H86" s="5">
        <v>33871053.810000002</v>
      </c>
      <c r="I86" s="5">
        <v>604</v>
      </c>
      <c r="J86" s="5">
        <v>4748825.1900000004</v>
      </c>
      <c r="K86" s="5">
        <v>0.123</v>
      </c>
      <c r="L86" s="5">
        <v>35666000</v>
      </c>
      <c r="M86" s="5">
        <v>1.0828</v>
      </c>
    </row>
    <row r="87" spans="1:13" x14ac:dyDescent="0.3">
      <c r="A87" s="5">
        <v>4</v>
      </c>
      <c r="B87" s="5" t="s">
        <v>78</v>
      </c>
      <c r="C87" s="5" t="s">
        <v>79</v>
      </c>
      <c r="D87" s="5">
        <v>2023</v>
      </c>
      <c r="E87" s="5">
        <v>12</v>
      </c>
      <c r="F87" s="5" t="s">
        <v>57</v>
      </c>
      <c r="G87" s="5">
        <v>44638202</v>
      </c>
      <c r="H87" s="5">
        <v>40140830.149999999</v>
      </c>
      <c r="I87" s="5">
        <v>724</v>
      </c>
      <c r="J87" s="5">
        <v>4497371.8499999996</v>
      </c>
      <c r="K87" s="5">
        <v>0.1008</v>
      </c>
      <c r="L87" s="5">
        <v>38745000</v>
      </c>
      <c r="M87" s="5">
        <v>1.1520999999999999</v>
      </c>
    </row>
    <row r="88" spans="1:13" x14ac:dyDescent="0.3">
      <c r="A88" s="5">
        <v>4</v>
      </c>
      <c r="B88" s="5" t="s">
        <v>78</v>
      </c>
      <c r="C88" s="5" t="s">
        <v>79</v>
      </c>
      <c r="D88" s="5">
        <v>2024</v>
      </c>
      <c r="E88" s="5">
        <v>1</v>
      </c>
      <c r="F88" s="5" t="s">
        <v>58</v>
      </c>
      <c r="G88" s="5">
        <v>31060286</v>
      </c>
      <c r="H88" s="5">
        <v>27119869.370000001</v>
      </c>
      <c r="I88" s="5">
        <v>450</v>
      </c>
      <c r="J88" s="5">
        <v>3940416.63</v>
      </c>
      <c r="K88" s="5">
        <v>0.12690000000000001</v>
      </c>
      <c r="L88" s="5">
        <v>28102000</v>
      </c>
      <c r="M88" s="5">
        <v>1.1052999999999999</v>
      </c>
    </row>
    <row r="89" spans="1:13" x14ac:dyDescent="0.3">
      <c r="A89" s="5">
        <v>4</v>
      </c>
      <c r="B89" s="5" t="s">
        <v>78</v>
      </c>
      <c r="C89" s="5" t="s">
        <v>79</v>
      </c>
      <c r="D89" s="5">
        <v>2024</v>
      </c>
      <c r="E89" s="5">
        <v>2</v>
      </c>
      <c r="F89" s="5" t="s">
        <v>59</v>
      </c>
      <c r="G89" s="5">
        <v>24329026</v>
      </c>
      <c r="H89" s="5">
        <v>21004709.77</v>
      </c>
      <c r="I89" s="5">
        <v>400</v>
      </c>
      <c r="J89" s="5">
        <v>3324316.23</v>
      </c>
      <c r="K89" s="5">
        <v>0.1366</v>
      </c>
      <c r="L89" s="5">
        <v>23204000</v>
      </c>
      <c r="M89" s="5">
        <v>1.0485</v>
      </c>
    </row>
    <row r="90" spans="1:13" x14ac:dyDescent="0.3">
      <c r="A90" s="5">
        <v>4</v>
      </c>
      <c r="B90" s="5" t="s">
        <v>78</v>
      </c>
      <c r="C90" s="5" t="s">
        <v>79</v>
      </c>
      <c r="D90" s="5">
        <v>2024</v>
      </c>
      <c r="E90" s="5">
        <v>3</v>
      </c>
      <c r="F90" s="5" t="s">
        <v>60</v>
      </c>
      <c r="G90" s="5">
        <v>33178195</v>
      </c>
      <c r="H90" s="5">
        <v>28703188.510000002</v>
      </c>
      <c r="I90" s="5">
        <v>484</v>
      </c>
      <c r="J90" s="5">
        <v>4475006.49</v>
      </c>
      <c r="K90" s="5">
        <v>0.13489999999999999</v>
      </c>
      <c r="L90" s="5">
        <v>31803000</v>
      </c>
      <c r="M90" s="5">
        <v>1.0431999999999999</v>
      </c>
    </row>
    <row r="91" spans="1:13" x14ac:dyDescent="0.3">
      <c r="A91" s="5">
        <v>4</v>
      </c>
      <c r="B91" s="5" t="s">
        <v>78</v>
      </c>
      <c r="C91" s="5" t="s">
        <v>79</v>
      </c>
      <c r="D91" s="5">
        <v>2024</v>
      </c>
      <c r="E91" s="5">
        <v>4</v>
      </c>
      <c r="F91" s="5" t="s">
        <v>61</v>
      </c>
      <c r="G91" s="5">
        <v>34370790</v>
      </c>
      <c r="H91" s="5">
        <v>30162819.73</v>
      </c>
      <c r="I91" s="5">
        <v>500</v>
      </c>
      <c r="J91" s="5">
        <v>4207970.2699999996</v>
      </c>
      <c r="K91" s="5">
        <v>0.12239999999999999</v>
      </c>
      <c r="L91" s="5">
        <v>31082000</v>
      </c>
      <c r="M91" s="5">
        <v>1.1057999999999999</v>
      </c>
    </row>
    <row r="92" spans="1:13" x14ac:dyDescent="0.3">
      <c r="A92" s="5">
        <v>4</v>
      </c>
      <c r="B92" s="5" t="s">
        <v>78</v>
      </c>
      <c r="C92" s="5" t="s">
        <v>79</v>
      </c>
      <c r="D92" s="5">
        <v>2024</v>
      </c>
      <c r="E92" s="5">
        <v>5</v>
      </c>
      <c r="F92" s="5" t="s">
        <v>62</v>
      </c>
      <c r="G92" s="5">
        <v>30563759</v>
      </c>
      <c r="H92" s="5">
        <v>27095324.420000002</v>
      </c>
      <c r="I92" s="5">
        <v>518</v>
      </c>
      <c r="J92" s="5">
        <v>3468434.58</v>
      </c>
      <c r="K92" s="5">
        <v>0.1135</v>
      </c>
      <c r="L92" s="5">
        <v>29065000</v>
      </c>
      <c r="M92" s="5">
        <v>1.0516000000000001</v>
      </c>
    </row>
    <row r="93" spans="1:13" x14ac:dyDescent="0.3">
      <c r="A93" s="5">
        <v>4</v>
      </c>
      <c r="B93" s="5" t="s">
        <v>78</v>
      </c>
      <c r="C93" s="5" t="s">
        <v>79</v>
      </c>
      <c r="D93" s="5">
        <v>2024</v>
      </c>
      <c r="E93" s="5">
        <v>6</v>
      </c>
      <c r="F93" s="5" t="s">
        <v>63</v>
      </c>
      <c r="G93" s="5">
        <v>37631652</v>
      </c>
      <c r="H93" s="5">
        <v>31441869.890000001</v>
      </c>
      <c r="I93" s="5">
        <v>529</v>
      </c>
      <c r="J93" s="5">
        <v>6189782.1100000003</v>
      </c>
      <c r="K93" s="5">
        <v>0.16450000000000001</v>
      </c>
      <c r="L93" s="5">
        <v>35076000</v>
      </c>
      <c r="M93" s="5">
        <v>1.0729</v>
      </c>
    </row>
    <row r="94" spans="1:13" x14ac:dyDescent="0.3">
      <c r="A94" s="5">
        <v>4</v>
      </c>
      <c r="B94" s="5" t="s">
        <v>78</v>
      </c>
      <c r="C94" s="5" t="s">
        <v>79</v>
      </c>
      <c r="D94" s="5">
        <v>2024</v>
      </c>
      <c r="E94" s="5">
        <v>7</v>
      </c>
      <c r="F94" s="5" t="s">
        <v>64</v>
      </c>
      <c r="G94" s="5">
        <v>33516304</v>
      </c>
      <c r="H94" s="5">
        <v>28497425.699999999</v>
      </c>
      <c r="I94" s="5">
        <v>479</v>
      </c>
      <c r="J94" s="5">
        <v>5018878.3</v>
      </c>
      <c r="K94" s="5">
        <v>0.1497</v>
      </c>
      <c r="L94" s="5">
        <v>31548000</v>
      </c>
      <c r="M94" s="5">
        <v>1.0624</v>
      </c>
    </row>
    <row r="95" spans="1:13" x14ac:dyDescent="0.3">
      <c r="A95" s="5">
        <v>4</v>
      </c>
      <c r="B95" s="5" t="s">
        <v>78</v>
      </c>
      <c r="C95" s="5" t="s">
        <v>79</v>
      </c>
      <c r="D95" s="5">
        <v>2024</v>
      </c>
      <c r="E95" s="5">
        <v>8</v>
      </c>
      <c r="F95" s="5" t="s">
        <v>65</v>
      </c>
      <c r="G95" s="5">
        <v>31290488</v>
      </c>
      <c r="H95" s="5">
        <v>26646743.949999999</v>
      </c>
      <c r="I95" s="5">
        <v>506</v>
      </c>
      <c r="J95" s="5">
        <v>4643744.05</v>
      </c>
      <c r="K95" s="5">
        <v>0.1484</v>
      </c>
      <c r="L95" s="5">
        <v>29131000</v>
      </c>
      <c r="M95" s="5">
        <v>1.0741000000000001</v>
      </c>
    </row>
    <row r="96" spans="1:13" x14ac:dyDescent="0.3">
      <c r="A96" s="5">
        <v>4</v>
      </c>
      <c r="B96" s="5" t="s">
        <v>78</v>
      </c>
      <c r="C96" s="5" t="s">
        <v>79</v>
      </c>
      <c r="D96" s="5">
        <v>2024</v>
      </c>
      <c r="E96" s="5">
        <v>9</v>
      </c>
      <c r="F96" s="5" t="s">
        <v>66</v>
      </c>
      <c r="G96" s="5">
        <v>40841102</v>
      </c>
      <c r="H96" s="5">
        <v>33577419.149999999</v>
      </c>
      <c r="I96" s="5">
        <v>575</v>
      </c>
      <c r="J96" s="5">
        <v>7263682.8499999996</v>
      </c>
      <c r="K96" s="5">
        <v>0.1779</v>
      </c>
      <c r="L96" s="5">
        <v>38344000</v>
      </c>
      <c r="M96" s="5">
        <v>1.0650999999999999</v>
      </c>
    </row>
    <row r="97" spans="1:13" x14ac:dyDescent="0.3">
      <c r="A97" s="5">
        <v>4</v>
      </c>
      <c r="B97" s="5" t="s">
        <v>78</v>
      </c>
      <c r="C97" s="5" t="s">
        <v>79</v>
      </c>
      <c r="D97" s="5">
        <v>2024</v>
      </c>
      <c r="E97" s="5">
        <v>10</v>
      </c>
      <c r="F97" s="5" t="s">
        <v>67</v>
      </c>
      <c r="G97" s="5">
        <v>50760284</v>
      </c>
      <c r="H97" s="5">
        <v>40671433.829999998</v>
      </c>
      <c r="I97" s="5">
        <v>691</v>
      </c>
      <c r="J97" s="5">
        <v>10088850.17</v>
      </c>
      <c r="K97" s="5">
        <v>0.1988</v>
      </c>
      <c r="L97" s="5">
        <v>45379000</v>
      </c>
      <c r="M97" s="5">
        <v>1.1186</v>
      </c>
    </row>
    <row r="98" spans="1:13" x14ac:dyDescent="0.3">
      <c r="A98" s="5">
        <v>4</v>
      </c>
      <c r="B98" s="5" t="s">
        <v>78</v>
      </c>
      <c r="C98" s="5" t="s">
        <v>79</v>
      </c>
      <c r="D98" s="5">
        <v>2024</v>
      </c>
      <c r="E98" s="5">
        <v>11</v>
      </c>
      <c r="F98" s="5" t="s">
        <v>68</v>
      </c>
      <c r="G98" s="5">
        <v>51085616</v>
      </c>
      <c r="H98" s="5">
        <v>42444612.68</v>
      </c>
      <c r="I98" s="5">
        <v>741</v>
      </c>
      <c r="J98" s="5">
        <v>8641003.3200000003</v>
      </c>
      <c r="K98" s="5">
        <v>0.1691</v>
      </c>
      <c r="L98" s="5">
        <v>44949000</v>
      </c>
      <c r="M98" s="5">
        <v>1.1365000000000001</v>
      </c>
    </row>
    <row r="99" spans="1:13" x14ac:dyDescent="0.3">
      <c r="A99" s="5">
        <v>4</v>
      </c>
      <c r="B99" s="5" t="s">
        <v>78</v>
      </c>
      <c r="C99" s="5" t="s">
        <v>79</v>
      </c>
      <c r="D99" s="5">
        <v>2024</v>
      </c>
      <c r="E99" s="5">
        <v>12</v>
      </c>
      <c r="F99" s="5" t="s">
        <v>69</v>
      </c>
      <c r="G99" s="5">
        <v>51425264</v>
      </c>
      <c r="H99" s="5">
        <v>41011964.630000003</v>
      </c>
      <c r="I99" s="5">
        <v>715</v>
      </c>
      <c r="J99" s="5">
        <v>10413299.369999999</v>
      </c>
      <c r="K99" s="5">
        <v>0.20250000000000001</v>
      </c>
      <c r="L99" s="5">
        <v>47930000</v>
      </c>
      <c r="M99" s="5">
        <v>1.0729</v>
      </c>
    </row>
    <row r="100" spans="1:13" x14ac:dyDescent="0.3">
      <c r="A100" s="5">
        <v>5</v>
      </c>
      <c r="B100" s="5" t="s">
        <v>80</v>
      </c>
      <c r="C100" s="5" t="s">
        <v>81</v>
      </c>
      <c r="D100" s="5">
        <v>2021</v>
      </c>
      <c r="E100" s="5">
        <v>1</v>
      </c>
      <c r="F100" s="5" t="s">
        <v>22</v>
      </c>
      <c r="G100" s="5">
        <v>18054396</v>
      </c>
      <c r="H100" s="5">
        <v>16185274.42</v>
      </c>
      <c r="I100" s="5">
        <v>276</v>
      </c>
      <c r="J100" s="5">
        <v>1869121.58</v>
      </c>
      <c r="K100" s="5">
        <v>0.10349999999999999</v>
      </c>
      <c r="L100" s="5">
        <v>17610000</v>
      </c>
      <c r="M100" s="5">
        <v>1.0251999999999999</v>
      </c>
    </row>
    <row r="101" spans="1:13" x14ac:dyDescent="0.3">
      <c r="A101" s="5">
        <v>5</v>
      </c>
      <c r="B101" s="5" t="s">
        <v>80</v>
      </c>
      <c r="C101" s="5" t="s">
        <v>81</v>
      </c>
      <c r="D101" s="5">
        <v>2021</v>
      </c>
      <c r="E101" s="5">
        <v>2</v>
      </c>
      <c r="F101" s="5" t="s">
        <v>23</v>
      </c>
      <c r="G101" s="5">
        <v>20132376</v>
      </c>
      <c r="H101" s="5">
        <v>17431589.440000001</v>
      </c>
      <c r="I101" s="5">
        <v>296</v>
      </c>
      <c r="J101" s="5">
        <v>2700786.56</v>
      </c>
      <c r="K101" s="5">
        <v>0.13420000000000001</v>
      </c>
      <c r="L101" s="5">
        <v>18671000</v>
      </c>
      <c r="M101" s="5">
        <v>1.0783</v>
      </c>
    </row>
    <row r="102" spans="1:13" x14ac:dyDescent="0.3">
      <c r="A102" s="5">
        <v>5</v>
      </c>
      <c r="B102" s="5" t="s">
        <v>80</v>
      </c>
      <c r="C102" s="5" t="s">
        <v>81</v>
      </c>
      <c r="D102" s="5">
        <v>2021</v>
      </c>
      <c r="E102" s="5">
        <v>3</v>
      </c>
      <c r="F102" s="5" t="s">
        <v>24</v>
      </c>
      <c r="G102" s="5">
        <v>21506160</v>
      </c>
      <c r="H102" s="5">
        <v>18176617.850000001</v>
      </c>
      <c r="I102" s="5">
        <v>291</v>
      </c>
      <c r="J102" s="5">
        <v>3329542.15</v>
      </c>
      <c r="K102" s="5">
        <v>0.15479999999999999</v>
      </c>
      <c r="L102" s="5">
        <v>20397000</v>
      </c>
      <c r="M102" s="5">
        <v>1.0544</v>
      </c>
    </row>
    <row r="103" spans="1:13" x14ac:dyDescent="0.3">
      <c r="A103" s="5">
        <v>5</v>
      </c>
      <c r="B103" s="5" t="s">
        <v>80</v>
      </c>
      <c r="C103" s="5" t="s">
        <v>81</v>
      </c>
      <c r="D103" s="5">
        <v>2021</v>
      </c>
      <c r="E103" s="5">
        <v>4</v>
      </c>
      <c r="F103" s="5" t="s">
        <v>25</v>
      </c>
      <c r="G103" s="5">
        <v>19132858</v>
      </c>
      <c r="H103" s="5">
        <v>16578972.32</v>
      </c>
      <c r="I103" s="5">
        <v>327</v>
      </c>
      <c r="J103" s="5">
        <v>2553885.6800000002</v>
      </c>
      <c r="K103" s="5">
        <v>0.13350000000000001</v>
      </c>
      <c r="L103" s="5">
        <v>18435000</v>
      </c>
      <c r="M103" s="5">
        <v>1.0379</v>
      </c>
    </row>
    <row r="104" spans="1:13" x14ac:dyDescent="0.3">
      <c r="A104" s="5">
        <v>5</v>
      </c>
      <c r="B104" s="5" t="s">
        <v>80</v>
      </c>
      <c r="C104" s="5" t="s">
        <v>81</v>
      </c>
      <c r="D104" s="5">
        <v>2021</v>
      </c>
      <c r="E104" s="5">
        <v>5</v>
      </c>
      <c r="F104" s="5" t="s">
        <v>26</v>
      </c>
      <c r="G104" s="5">
        <v>27121799</v>
      </c>
      <c r="H104" s="5">
        <v>23636452.210000001</v>
      </c>
      <c r="I104" s="5">
        <v>360</v>
      </c>
      <c r="J104" s="5">
        <v>3485346.79</v>
      </c>
      <c r="K104" s="5">
        <v>0.1285</v>
      </c>
      <c r="L104" s="5">
        <v>25274000</v>
      </c>
      <c r="M104" s="5">
        <v>1.0730999999999999</v>
      </c>
    </row>
    <row r="105" spans="1:13" x14ac:dyDescent="0.3">
      <c r="A105" s="5">
        <v>5</v>
      </c>
      <c r="B105" s="5" t="s">
        <v>80</v>
      </c>
      <c r="C105" s="5" t="s">
        <v>81</v>
      </c>
      <c r="D105" s="5">
        <v>2021</v>
      </c>
      <c r="E105" s="5">
        <v>6</v>
      </c>
      <c r="F105" s="5" t="s">
        <v>27</v>
      </c>
      <c r="G105" s="5">
        <v>21671733</v>
      </c>
      <c r="H105" s="5">
        <v>18700827.32</v>
      </c>
      <c r="I105" s="5">
        <v>333</v>
      </c>
      <c r="J105" s="5">
        <v>2970905.68</v>
      </c>
      <c r="K105" s="5">
        <v>0.1371</v>
      </c>
      <c r="L105" s="5">
        <v>19983000</v>
      </c>
      <c r="M105" s="5">
        <v>1.0845</v>
      </c>
    </row>
    <row r="106" spans="1:13" x14ac:dyDescent="0.3">
      <c r="A106" s="5">
        <v>5</v>
      </c>
      <c r="B106" s="5" t="s">
        <v>80</v>
      </c>
      <c r="C106" s="5" t="s">
        <v>81</v>
      </c>
      <c r="D106" s="5">
        <v>2021</v>
      </c>
      <c r="E106" s="5">
        <v>7</v>
      </c>
      <c r="F106" s="5" t="s">
        <v>28</v>
      </c>
      <c r="G106" s="5">
        <v>23246742</v>
      </c>
      <c r="H106" s="5">
        <v>20414101.879999999</v>
      </c>
      <c r="I106" s="5">
        <v>346</v>
      </c>
      <c r="J106" s="5">
        <v>2832640.12</v>
      </c>
      <c r="K106" s="5">
        <v>0.12189999999999999</v>
      </c>
      <c r="L106" s="5">
        <v>21183000</v>
      </c>
      <c r="M106" s="5">
        <v>1.0973999999999999</v>
      </c>
    </row>
    <row r="107" spans="1:13" x14ac:dyDescent="0.3">
      <c r="A107" s="5">
        <v>5</v>
      </c>
      <c r="B107" s="5" t="s">
        <v>80</v>
      </c>
      <c r="C107" s="5" t="s">
        <v>81</v>
      </c>
      <c r="D107" s="5">
        <v>2021</v>
      </c>
      <c r="E107" s="5">
        <v>8</v>
      </c>
      <c r="F107" s="5" t="s">
        <v>29</v>
      </c>
      <c r="G107" s="5">
        <v>24907072</v>
      </c>
      <c r="H107" s="5">
        <v>21142698.210000001</v>
      </c>
      <c r="I107" s="5">
        <v>350</v>
      </c>
      <c r="J107" s="5">
        <v>3764373.79</v>
      </c>
      <c r="K107" s="5">
        <v>0.15110000000000001</v>
      </c>
      <c r="L107" s="5">
        <v>21705000</v>
      </c>
      <c r="M107" s="5">
        <v>1.1475</v>
      </c>
    </row>
    <row r="108" spans="1:13" x14ac:dyDescent="0.3">
      <c r="A108" s="5">
        <v>5</v>
      </c>
      <c r="B108" s="5" t="s">
        <v>80</v>
      </c>
      <c r="C108" s="5" t="s">
        <v>81</v>
      </c>
      <c r="D108" s="5">
        <v>2021</v>
      </c>
      <c r="E108" s="5">
        <v>9</v>
      </c>
      <c r="F108" s="5" t="s">
        <v>30</v>
      </c>
      <c r="G108" s="5">
        <v>23782843</v>
      </c>
      <c r="H108" s="5">
        <v>20610389.960000001</v>
      </c>
      <c r="I108" s="5">
        <v>358</v>
      </c>
      <c r="J108" s="5">
        <v>3172453.04</v>
      </c>
      <c r="K108" s="5">
        <v>0.13339999999999999</v>
      </c>
      <c r="L108" s="5">
        <v>21261000</v>
      </c>
      <c r="M108" s="5">
        <v>1.1186</v>
      </c>
    </row>
    <row r="109" spans="1:13" x14ac:dyDescent="0.3">
      <c r="A109" s="5">
        <v>5</v>
      </c>
      <c r="B109" s="5" t="s">
        <v>80</v>
      </c>
      <c r="C109" s="5" t="s">
        <v>81</v>
      </c>
      <c r="D109" s="5">
        <v>2021</v>
      </c>
      <c r="E109" s="5">
        <v>10</v>
      </c>
      <c r="F109" s="5" t="s">
        <v>31</v>
      </c>
      <c r="G109" s="5">
        <v>34454411</v>
      </c>
      <c r="H109" s="5">
        <v>29156047.27</v>
      </c>
      <c r="I109" s="5">
        <v>476</v>
      </c>
      <c r="J109" s="5">
        <v>5298363.7300000004</v>
      </c>
      <c r="K109" s="5">
        <v>0.15379999999999999</v>
      </c>
      <c r="L109" s="5">
        <v>30869000</v>
      </c>
      <c r="M109" s="5">
        <v>1.1161000000000001</v>
      </c>
    </row>
    <row r="110" spans="1:13" x14ac:dyDescent="0.3">
      <c r="A110" s="5">
        <v>5</v>
      </c>
      <c r="B110" s="5" t="s">
        <v>80</v>
      </c>
      <c r="C110" s="5" t="s">
        <v>81</v>
      </c>
      <c r="D110" s="5">
        <v>2021</v>
      </c>
      <c r="E110" s="5">
        <v>11</v>
      </c>
      <c r="F110" s="5" t="s">
        <v>32</v>
      </c>
      <c r="G110" s="5">
        <v>35604295</v>
      </c>
      <c r="H110" s="5">
        <v>29282050.260000002</v>
      </c>
      <c r="I110" s="5">
        <v>487</v>
      </c>
      <c r="J110" s="5">
        <v>6322244.7400000002</v>
      </c>
      <c r="K110" s="5">
        <v>0.17760000000000001</v>
      </c>
      <c r="L110" s="5">
        <v>31606000</v>
      </c>
      <c r="M110" s="5">
        <v>1.1265000000000001</v>
      </c>
    </row>
    <row r="111" spans="1:13" x14ac:dyDescent="0.3">
      <c r="A111" s="5">
        <v>5</v>
      </c>
      <c r="B111" s="5" t="s">
        <v>80</v>
      </c>
      <c r="C111" s="5" t="s">
        <v>81</v>
      </c>
      <c r="D111" s="5">
        <v>2021</v>
      </c>
      <c r="E111" s="5">
        <v>12</v>
      </c>
      <c r="F111" s="5" t="s">
        <v>33</v>
      </c>
      <c r="G111" s="5">
        <v>31138048</v>
      </c>
      <c r="H111" s="5">
        <v>26082327.77</v>
      </c>
      <c r="I111" s="5">
        <v>451</v>
      </c>
      <c r="J111" s="5">
        <v>5055720.2300000004</v>
      </c>
      <c r="K111" s="5">
        <v>0.16239999999999999</v>
      </c>
      <c r="L111" s="5">
        <v>29491000</v>
      </c>
      <c r="M111" s="5">
        <v>1.0558000000000001</v>
      </c>
    </row>
    <row r="112" spans="1:13" x14ac:dyDescent="0.3">
      <c r="A112" s="5">
        <v>5</v>
      </c>
      <c r="B112" s="5" t="s">
        <v>80</v>
      </c>
      <c r="C112" s="5" t="s">
        <v>81</v>
      </c>
      <c r="D112" s="5">
        <v>2022</v>
      </c>
      <c r="E112" s="5">
        <v>1</v>
      </c>
      <c r="F112" s="5" t="s">
        <v>34</v>
      </c>
      <c r="G112" s="5">
        <v>31788226</v>
      </c>
      <c r="H112" s="5">
        <v>27066980.48</v>
      </c>
      <c r="I112" s="5">
        <v>415</v>
      </c>
      <c r="J112" s="5">
        <v>4721245.5199999996</v>
      </c>
      <c r="K112" s="5">
        <v>0.14849999999999999</v>
      </c>
      <c r="L112" s="5">
        <v>29565000</v>
      </c>
      <c r="M112" s="5">
        <v>1.0751999999999999</v>
      </c>
    </row>
    <row r="113" spans="1:13" x14ac:dyDescent="0.3">
      <c r="A113" s="5">
        <v>5</v>
      </c>
      <c r="B113" s="5" t="s">
        <v>80</v>
      </c>
      <c r="C113" s="5" t="s">
        <v>81</v>
      </c>
      <c r="D113" s="5">
        <v>2022</v>
      </c>
      <c r="E113" s="5">
        <v>2</v>
      </c>
      <c r="F113" s="5" t="s">
        <v>35</v>
      </c>
      <c r="G113" s="5">
        <v>28043576</v>
      </c>
      <c r="H113" s="5">
        <v>23793231.59</v>
      </c>
      <c r="I113" s="5">
        <v>391</v>
      </c>
      <c r="J113" s="5">
        <v>4250344.41</v>
      </c>
      <c r="K113" s="5">
        <v>0.15160000000000001</v>
      </c>
      <c r="L113" s="5">
        <v>24815000</v>
      </c>
      <c r="M113" s="5">
        <v>1.1301000000000001</v>
      </c>
    </row>
    <row r="114" spans="1:13" x14ac:dyDescent="0.3">
      <c r="A114" s="5">
        <v>5</v>
      </c>
      <c r="B114" s="5" t="s">
        <v>80</v>
      </c>
      <c r="C114" s="5" t="s">
        <v>81</v>
      </c>
      <c r="D114" s="5">
        <v>2022</v>
      </c>
      <c r="E114" s="5">
        <v>3</v>
      </c>
      <c r="F114" s="5" t="s">
        <v>36</v>
      </c>
      <c r="G114" s="5">
        <v>35256844</v>
      </c>
      <c r="H114" s="5">
        <v>30539105.670000002</v>
      </c>
      <c r="I114" s="5">
        <v>458</v>
      </c>
      <c r="J114" s="5">
        <v>4717738.33</v>
      </c>
      <c r="K114" s="5">
        <v>0.1338</v>
      </c>
      <c r="L114" s="5">
        <v>32040000</v>
      </c>
      <c r="M114" s="5">
        <v>1.1004</v>
      </c>
    </row>
    <row r="115" spans="1:13" x14ac:dyDescent="0.3">
      <c r="A115" s="5">
        <v>5</v>
      </c>
      <c r="B115" s="5" t="s">
        <v>80</v>
      </c>
      <c r="C115" s="5" t="s">
        <v>81</v>
      </c>
      <c r="D115" s="5">
        <v>2022</v>
      </c>
      <c r="E115" s="5">
        <v>4</v>
      </c>
      <c r="F115" s="5" t="s">
        <v>37</v>
      </c>
      <c r="G115" s="5">
        <v>26989951</v>
      </c>
      <c r="H115" s="5">
        <v>23504671.899999999</v>
      </c>
      <c r="I115" s="5">
        <v>421</v>
      </c>
      <c r="J115" s="5">
        <v>3485279.1</v>
      </c>
      <c r="K115" s="5">
        <v>0.12909999999999999</v>
      </c>
      <c r="L115" s="5">
        <v>25731000</v>
      </c>
      <c r="M115" s="5">
        <v>1.0488999999999999</v>
      </c>
    </row>
    <row r="116" spans="1:13" x14ac:dyDescent="0.3">
      <c r="A116" s="5">
        <v>5</v>
      </c>
      <c r="B116" s="5" t="s">
        <v>80</v>
      </c>
      <c r="C116" s="5" t="s">
        <v>81</v>
      </c>
      <c r="D116" s="5">
        <v>2022</v>
      </c>
      <c r="E116" s="5">
        <v>5</v>
      </c>
      <c r="F116" s="5" t="s">
        <v>38</v>
      </c>
      <c r="G116" s="5">
        <v>33923739</v>
      </c>
      <c r="H116" s="5">
        <v>28794351.850000001</v>
      </c>
      <c r="I116" s="5">
        <v>503</v>
      </c>
      <c r="J116" s="5">
        <v>5129387.1500000004</v>
      </c>
      <c r="K116" s="5">
        <v>0.1512</v>
      </c>
      <c r="L116" s="5">
        <v>33310000</v>
      </c>
      <c r="M116" s="5">
        <v>1.0184</v>
      </c>
    </row>
    <row r="117" spans="1:13" x14ac:dyDescent="0.3">
      <c r="A117" s="5">
        <v>5</v>
      </c>
      <c r="B117" s="5" t="s">
        <v>80</v>
      </c>
      <c r="C117" s="5" t="s">
        <v>81</v>
      </c>
      <c r="D117" s="5">
        <v>2022</v>
      </c>
      <c r="E117" s="5">
        <v>6</v>
      </c>
      <c r="F117" s="5" t="s">
        <v>39</v>
      </c>
      <c r="G117" s="5">
        <v>30157294</v>
      </c>
      <c r="H117" s="5">
        <v>26239223.25</v>
      </c>
      <c r="I117" s="5">
        <v>463</v>
      </c>
      <c r="J117" s="5">
        <v>3918070.75</v>
      </c>
      <c r="K117" s="5">
        <v>0.12989999999999999</v>
      </c>
      <c r="L117" s="5">
        <v>28940000</v>
      </c>
      <c r="M117" s="5">
        <v>1.0421</v>
      </c>
    </row>
    <row r="118" spans="1:13" x14ac:dyDescent="0.3">
      <c r="A118" s="5">
        <v>5</v>
      </c>
      <c r="B118" s="5" t="s">
        <v>80</v>
      </c>
      <c r="C118" s="5" t="s">
        <v>81</v>
      </c>
      <c r="D118" s="5">
        <v>2022</v>
      </c>
      <c r="E118" s="5">
        <v>7</v>
      </c>
      <c r="F118" s="5" t="s">
        <v>40</v>
      </c>
      <c r="G118" s="5">
        <v>32104530</v>
      </c>
      <c r="H118" s="5">
        <v>28501874.620000001</v>
      </c>
      <c r="I118" s="5">
        <v>463</v>
      </c>
      <c r="J118" s="5">
        <v>3602655.38</v>
      </c>
      <c r="K118" s="5">
        <v>0.11219999999999999</v>
      </c>
      <c r="L118" s="5">
        <v>30405000</v>
      </c>
      <c r="M118" s="5">
        <v>1.0559000000000001</v>
      </c>
    </row>
    <row r="119" spans="1:13" x14ac:dyDescent="0.3">
      <c r="A119" s="5">
        <v>5</v>
      </c>
      <c r="B119" s="5" t="s">
        <v>80</v>
      </c>
      <c r="C119" s="5" t="s">
        <v>81</v>
      </c>
      <c r="D119" s="5">
        <v>2022</v>
      </c>
      <c r="E119" s="5">
        <v>8</v>
      </c>
      <c r="F119" s="5" t="s">
        <v>41</v>
      </c>
      <c r="G119" s="5">
        <v>28415505</v>
      </c>
      <c r="H119" s="5">
        <v>27220881.140000001</v>
      </c>
      <c r="I119" s="5">
        <v>470</v>
      </c>
      <c r="J119" s="5">
        <v>1194623.8600000001</v>
      </c>
      <c r="K119" s="5">
        <v>4.2000000000000003E-2</v>
      </c>
      <c r="L119" s="5">
        <v>27802000</v>
      </c>
      <c r="M119" s="5">
        <v>1.0221</v>
      </c>
    </row>
    <row r="120" spans="1:13" x14ac:dyDescent="0.3">
      <c r="A120" s="5">
        <v>5</v>
      </c>
      <c r="B120" s="5" t="s">
        <v>80</v>
      </c>
      <c r="C120" s="5" t="s">
        <v>81</v>
      </c>
      <c r="D120" s="5">
        <v>2022</v>
      </c>
      <c r="E120" s="5">
        <v>9</v>
      </c>
      <c r="F120" s="5" t="s">
        <v>42</v>
      </c>
      <c r="G120" s="5">
        <v>37575284</v>
      </c>
      <c r="H120" s="5">
        <v>33089030.579999998</v>
      </c>
      <c r="I120" s="5">
        <v>524</v>
      </c>
      <c r="J120" s="5">
        <v>4486253.42</v>
      </c>
      <c r="K120" s="5">
        <v>0.11940000000000001</v>
      </c>
      <c r="L120" s="5">
        <v>33789000</v>
      </c>
      <c r="M120" s="5">
        <v>1.1121000000000001</v>
      </c>
    </row>
    <row r="121" spans="1:13" x14ac:dyDescent="0.3">
      <c r="A121" s="5">
        <v>5</v>
      </c>
      <c r="B121" s="5" t="s">
        <v>80</v>
      </c>
      <c r="C121" s="5" t="s">
        <v>81</v>
      </c>
      <c r="D121" s="5">
        <v>2022</v>
      </c>
      <c r="E121" s="5">
        <v>10</v>
      </c>
      <c r="F121" s="5" t="s">
        <v>43</v>
      </c>
      <c r="G121" s="5">
        <v>47714067</v>
      </c>
      <c r="H121" s="5">
        <v>42973805.07</v>
      </c>
      <c r="I121" s="5">
        <v>702</v>
      </c>
      <c r="J121" s="5">
        <v>4740261.93</v>
      </c>
      <c r="K121" s="5">
        <v>9.9299999999999999E-2</v>
      </c>
      <c r="L121" s="5">
        <v>45851000</v>
      </c>
      <c r="M121" s="5">
        <v>1.0406</v>
      </c>
    </row>
    <row r="122" spans="1:13" x14ac:dyDescent="0.3">
      <c r="A122" s="5">
        <v>5</v>
      </c>
      <c r="B122" s="5" t="s">
        <v>80</v>
      </c>
      <c r="C122" s="5" t="s">
        <v>81</v>
      </c>
      <c r="D122" s="5">
        <v>2022</v>
      </c>
      <c r="E122" s="5">
        <v>11</v>
      </c>
      <c r="F122" s="5" t="s">
        <v>44</v>
      </c>
      <c r="G122" s="5">
        <v>47655521</v>
      </c>
      <c r="H122" s="5">
        <v>40620004.560000002</v>
      </c>
      <c r="I122" s="5">
        <v>661</v>
      </c>
      <c r="J122" s="5">
        <v>7035516.4400000004</v>
      </c>
      <c r="K122" s="5">
        <v>0.14760000000000001</v>
      </c>
      <c r="L122" s="5">
        <v>43596000</v>
      </c>
      <c r="M122" s="5">
        <v>1.0931</v>
      </c>
    </row>
    <row r="123" spans="1:13" x14ac:dyDescent="0.3">
      <c r="A123" s="5">
        <v>5</v>
      </c>
      <c r="B123" s="5" t="s">
        <v>80</v>
      </c>
      <c r="C123" s="5" t="s">
        <v>81</v>
      </c>
      <c r="D123" s="5">
        <v>2022</v>
      </c>
      <c r="E123" s="5">
        <v>12</v>
      </c>
      <c r="F123" s="5" t="s">
        <v>45</v>
      </c>
      <c r="G123" s="5">
        <v>49833515</v>
      </c>
      <c r="H123" s="5">
        <v>41309527.469999999</v>
      </c>
      <c r="I123" s="5">
        <v>706</v>
      </c>
      <c r="J123" s="5">
        <v>8523987.5299999993</v>
      </c>
      <c r="K123" s="5">
        <v>0.17100000000000001</v>
      </c>
      <c r="L123" s="5">
        <v>43852000</v>
      </c>
      <c r="M123" s="5">
        <v>1.1364000000000001</v>
      </c>
    </row>
    <row r="124" spans="1:13" x14ac:dyDescent="0.3">
      <c r="A124" s="5">
        <v>5</v>
      </c>
      <c r="B124" s="5" t="s">
        <v>80</v>
      </c>
      <c r="C124" s="5" t="s">
        <v>81</v>
      </c>
      <c r="D124" s="5">
        <v>2023</v>
      </c>
      <c r="E124" s="5">
        <v>1</v>
      </c>
      <c r="F124" s="5" t="s">
        <v>46</v>
      </c>
      <c r="G124" s="5">
        <v>37434173</v>
      </c>
      <c r="H124" s="5">
        <v>32592935.510000002</v>
      </c>
      <c r="I124" s="5">
        <v>544</v>
      </c>
      <c r="J124" s="5">
        <v>4841237.49</v>
      </c>
      <c r="K124" s="5">
        <v>0.1293</v>
      </c>
      <c r="L124" s="5">
        <v>33992000</v>
      </c>
      <c r="M124" s="5">
        <v>1.1012999999999999</v>
      </c>
    </row>
    <row r="125" spans="1:13" x14ac:dyDescent="0.3">
      <c r="A125" s="5">
        <v>5</v>
      </c>
      <c r="B125" s="5" t="s">
        <v>80</v>
      </c>
      <c r="C125" s="5" t="s">
        <v>81</v>
      </c>
      <c r="D125" s="5">
        <v>2023</v>
      </c>
      <c r="E125" s="5">
        <v>2</v>
      </c>
      <c r="F125" s="5" t="s">
        <v>47</v>
      </c>
      <c r="G125" s="5">
        <v>35399712</v>
      </c>
      <c r="H125" s="5">
        <v>30270069.789999999</v>
      </c>
      <c r="I125" s="5">
        <v>473</v>
      </c>
      <c r="J125" s="5">
        <v>5129642.21</v>
      </c>
      <c r="K125" s="5">
        <v>0.1449</v>
      </c>
      <c r="L125" s="5">
        <v>33418000</v>
      </c>
      <c r="M125" s="5">
        <v>1.0592999999999999</v>
      </c>
    </row>
    <row r="126" spans="1:13" x14ac:dyDescent="0.3">
      <c r="A126" s="5">
        <v>5</v>
      </c>
      <c r="B126" s="5" t="s">
        <v>80</v>
      </c>
      <c r="C126" s="5" t="s">
        <v>81</v>
      </c>
      <c r="D126" s="5">
        <v>2023</v>
      </c>
      <c r="E126" s="5">
        <v>3</v>
      </c>
      <c r="F126" s="5" t="s">
        <v>48</v>
      </c>
      <c r="G126" s="5">
        <v>36699568</v>
      </c>
      <c r="H126" s="5">
        <v>31825642.850000001</v>
      </c>
      <c r="I126" s="5">
        <v>530</v>
      </c>
      <c r="J126" s="5">
        <v>4873925.1500000004</v>
      </c>
      <c r="K126" s="5">
        <v>0.1328</v>
      </c>
      <c r="L126" s="5">
        <v>34373000</v>
      </c>
      <c r="M126" s="5">
        <v>1.0677000000000001</v>
      </c>
    </row>
    <row r="127" spans="1:13" x14ac:dyDescent="0.3">
      <c r="A127" s="5">
        <v>5</v>
      </c>
      <c r="B127" s="5" t="s">
        <v>80</v>
      </c>
      <c r="C127" s="5" t="s">
        <v>81</v>
      </c>
      <c r="D127" s="5">
        <v>2023</v>
      </c>
      <c r="E127" s="5">
        <v>4</v>
      </c>
      <c r="F127" s="5" t="s">
        <v>49</v>
      </c>
      <c r="G127" s="5">
        <v>39491735</v>
      </c>
      <c r="H127" s="5">
        <v>34607778.409999996</v>
      </c>
      <c r="I127" s="5">
        <v>595</v>
      </c>
      <c r="J127" s="5">
        <v>4883956.59</v>
      </c>
      <c r="K127" s="5">
        <v>0.1237</v>
      </c>
      <c r="L127" s="5">
        <v>37953000</v>
      </c>
      <c r="M127" s="5">
        <v>1.0405</v>
      </c>
    </row>
    <row r="128" spans="1:13" x14ac:dyDescent="0.3">
      <c r="A128" s="5">
        <v>5</v>
      </c>
      <c r="B128" s="5" t="s">
        <v>80</v>
      </c>
      <c r="C128" s="5" t="s">
        <v>81</v>
      </c>
      <c r="D128" s="5">
        <v>2023</v>
      </c>
      <c r="E128" s="5">
        <v>5</v>
      </c>
      <c r="F128" s="5" t="s">
        <v>50</v>
      </c>
      <c r="G128" s="5">
        <v>45914742</v>
      </c>
      <c r="H128" s="5">
        <v>39034045.520000003</v>
      </c>
      <c r="I128" s="5">
        <v>643</v>
      </c>
      <c r="J128" s="5">
        <v>6880696.4800000004</v>
      </c>
      <c r="K128" s="5">
        <v>0.14990000000000001</v>
      </c>
      <c r="L128" s="5">
        <v>44525000</v>
      </c>
      <c r="M128" s="5">
        <v>1.0311999999999999</v>
      </c>
    </row>
    <row r="129" spans="1:13" x14ac:dyDescent="0.3">
      <c r="A129" s="5">
        <v>5</v>
      </c>
      <c r="B129" s="5" t="s">
        <v>80</v>
      </c>
      <c r="C129" s="5" t="s">
        <v>81</v>
      </c>
      <c r="D129" s="5">
        <v>2023</v>
      </c>
      <c r="E129" s="5">
        <v>6</v>
      </c>
      <c r="F129" s="5" t="s">
        <v>51</v>
      </c>
      <c r="G129" s="5">
        <v>44108390</v>
      </c>
      <c r="H129" s="5">
        <v>37629097.979999997</v>
      </c>
      <c r="I129" s="5">
        <v>628</v>
      </c>
      <c r="J129" s="5">
        <v>6479292.0199999996</v>
      </c>
      <c r="K129" s="5">
        <v>0.1469</v>
      </c>
      <c r="L129" s="5">
        <v>39086000</v>
      </c>
      <c r="M129" s="5">
        <v>1.1285000000000001</v>
      </c>
    </row>
    <row r="130" spans="1:13" x14ac:dyDescent="0.3">
      <c r="A130" s="5">
        <v>5</v>
      </c>
      <c r="B130" s="5" t="s">
        <v>80</v>
      </c>
      <c r="C130" s="5" t="s">
        <v>81</v>
      </c>
      <c r="D130" s="5">
        <v>2023</v>
      </c>
      <c r="E130" s="5">
        <v>7</v>
      </c>
      <c r="F130" s="5" t="s">
        <v>52</v>
      </c>
      <c r="G130" s="5">
        <v>43874925</v>
      </c>
      <c r="H130" s="5">
        <v>39314976.240000002</v>
      </c>
      <c r="I130" s="5">
        <v>619</v>
      </c>
      <c r="J130" s="5">
        <v>4559948.76</v>
      </c>
      <c r="K130" s="5">
        <v>0.10390000000000001</v>
      </c>
      <c r="L130" s="5">
        <v>42427000</v>
      </c>
      <c r="M130" s="5">
        <v>1.0341</v>
      </c>
    </row>
    <row r="131" spans="1:13" x14ac:dyDescent="0.3">
      <c r="A131" s="5">
        <v>5</v>
      </c>
      <c r="B131" s="5" t="s">
        <v>80</v>
      </c>
      <c r="C131" s="5" t="s">
        <v>81</v>
      </c>
      <c r="D131" s="5">
        <v>2023</v>
      </c>
      <c r="E131" s="5">
        <v>8</v>
      </c>
      <c r="F131" s="5" t="s">
        <v>53</v>
      </c>
      <c r="G131" s="5">
        <v>43701535</v>
      </c>
      <c r="H131" s="5">
        <v>38467870.600000001</v>
      </c>
      <c r="I131" s="5">
        <v>622</v>
      </c>
      <c r="J131" s="5">
        <v>5233664.4000000004</v>
      </c>
      <c r="K131" s="5">
        <v>0.1198</v>
      </c>
      <c r="L131" s="5">
        <v>39639000</v>
      </c>
      <c r="M131" s="5">
        <v>1.1025</v>
      </c>
    </row>
    <row r="132" spans="1:13" x14ac:dyDescent="0.3">
      <c r="A132" s="5">
        <v>5</v>
      </c>
      <c r="B132" s="5" t="s">
        <v>80</v>
      </c>
      <c r="C132" s="5" t="s">
        <v>81</v>
      </c>
      <c r="D132" s="5">
        <v>2023</v>
      </c>
      <c r="E132" s="5">
        <v>9</v>
      </c>
      <c r="F132" s="5" t="s">
        <v>54</v>
      </c>
      <c r="G132" s="5">
        <v>43908209</v>
      </c>
      <c r="H132" s="5">
        <v>39009254.979999997</v>
      </c>
      <c r="I132" s="5">
        <v>653</v>
      </c>
      <c r="J132" s="5">
        <v>4898954.0199999996</v>
      </c>
      <c r="K132" s="5">
        <v>0.1116</v>
      </c>
      <c r="L132" s="5">
        <v>40980000</v>
      </c>
      <c r="M132" s="5">
        <v>1.0714999999999999</v>
      </c>
    </row>
    <row r="133" spans="1:13" x14ac:dyDescent="0.3">
      <c r="A133" s="5">
        <v>5</v>
      </c>
      <c r="B133" s="5" t="s">
        <v>80</v>
      </c>
      <c r="C133" s="5" t="s">
        <v>81</v>
      </c>
      <c r="D133" s="5">
        <v>2023</v>
      </c>
      <c r="E133" s="5">
        <v>10</v>
      </c>
      <c r="F133" s="5" t="s">
        <v>55</v>
      </c>
      <c r="G133" s="5">
        <v>63827129</v>
      </c>
      <c r="H133" s="5">
        <v>54576898.32</v>
      </c>
      <c r="I133" s="5">
        <v>856</v>
      </c>
      <c r="J133" s="5">
        <v>9250230.6799999997</v>
      </c>
      <c r="K133" s="5">
        <v>0.1449</v>
      </c>
      <c r="L133" s="5">
        <v>57157000</v>
      </c>
      <c r="M133" s="5">
        <v>1.1167</v>
      </c>
    </row>
    <row r="134" spans="1:13" x14ac:dyDescent="0.3">
      <c r="A134" s="5">
        <v>5</v>
      </c>
      <c r="B134" s="5" t="s">
        <v>80</v>
      </c>
      <c r="C134" s="5" t="s">
        <v>81</v>
      </c>
      <c r="D134" s="5">
        <v>2023</v>
      </c>
      <c r="E134" s="5">
        <v>11</v>
      </c>
      <c r="F134" s="5" t="s">
        <v>56</v>
      </c>
      <c r="G134" s="5">
        <v>52804904</v>
      </c>
      <c r="H134" s="5">
        <v>46554225.759999998</v>
      </c>
      <c r="I134" s="5">
        <v>818</v>
      </c>
      <c r="J134" s="5">
        <v>6250678.2400000002</v>
      </c>
      <c r="K134" s="5">
        <v>0.11840000000000001</v>
      </c>
      <c r="L134" s="5">
        <v>50495000</v>
      </c>
      <c r="M134" s="5">
        <v>1.0457000000000001</v>
      </c>
    </row>
    <row r="135" spans="1:13" x14ac:dyDescent="0.3">
      <c r="A135" s="5">
        <v>5</v>
      </c>
      <c r="B135" s="5" t="s">
        <v>80</v>
      </c>
      <c r="C135" s="5" t="s">
        <v>81</v>
      </c>
      <c r="D135" s="5">
        <v>2023</v>
      </c>
      <c r="E135" s="5">
        <v>12</v>
      </c>
      <c r="F135" s="5" t="s">
        <v>57</v>
      </c>
      <c r="G135" s="5">
        <v>57913848</v>
      </c>
      <c r="H135" s="5">
        <v>52162021.810000002</v>
      </c>
      <c r="I135" s="5">
        <v>952</v>
      </c>
      <c r="J135" s="5">
        <v>5751826.1900000004</v>
      </c>
      <c r="K135" s="5">
        <v>9.9299999999999999E-2</v>
      </c>
      <c r="L135" s="5">
        <v>54106000</v>
      </c>
      <c r="M135" s="5">
        <v>1.0704</v>
      </c>
    </row>
    <row r="136" spans="1:13" x14ac:dyDescent="0.3">
      <c r="A136" s="5">
        <v>5</v>
      </c>
      <c r="B136" s="5" t="s">
        <v>80</v>
      </c>
      <c r="C136" s="5" t="s">
        <v>81</v>
      </c>
      <c r="D136" s="5">
        <v>2024</v>
      </c>
      <c r="E136" s="5">
        <v>1</v>
      </c>
      <c r="F136" s="5" t="s">
        <v>58</v>
      </c>
      <c r="G136" s="5">
        <v>38595073</v>
      </c>
      <c r="H136" s="5">
        <v>33728885.600000001</v>
      </c>
      <c r="I136" s="5">
        <v>570</v>
      </c>
      <c r="J136" s="5">
        <v>4866187.4000000004</v>
      </c>
      <c r="K136" s="5">
        <v>0.12609999999999999</v>
      </c>
      <c r="L136" s="5">
        <v>34571000</v>
      </c>
      <c r="M136" s="5">
        <v>1.1164000000000001</v>
      </c>
    </row>
    <row r="137" spans="1:13" x14ac:dyDescent="0.3">
      <c r="A137" s="5">
        <v>5</v>
      </c>
      <c r="B137" s="5" t="s">
        <v>80</v>
      </c>
      <c r="C137" s="5" t="s">
        <v>81</v>
      </c>
      <c r="D137" s="5">
        <v>2024</v>
      </c>
      <c r="E137" s="5">
        <v>2</v>
      </c>
      <c r="F137" s="5" t="s">
        <v>59</v>
      </c>
      <c r="G137" s="5">
        <v>35330611</v>
      </c>
      <c r="H137" s="5">
        <v>30139384.989999998</v>
      </c>
      <c r="I137" s="5">
        <v>518</v>
      </c>
      <c r="J137" s="5">
        <v>5191226.01</v>
      </c>
      <c r="K137" s="5">
        <v>0.1469</v>
      </c>
      <c r="L137" s="5">
        <v>33400000</v>
      </c>
      <c r="M137" s="5">
        <v>1.0578000000000001</v>
      </c>
    </row>
    <row r="138" spans="1:13" x14ac:dyDescent="0.3">
      <c r="A138" s="5">
        <v>5</v>
      </c>
      <c r="B138" s="5" t="s">
        <v>80</v>
      </c>
      <c r="C138" s="5" t="s">
        <v>81</v>
      </c>
      <c r="D138" s="5">
        <v>2024</v>
      </c>
      <c r="E138" s="5">
        <v>3</v>
      </c>
      <c r="F138" s="5" t="s">
        <v>60</v>
      </c>
      <c r="G138" s="5">
        <v>41526378</v>
      </c>
      <c r="H138" s="5">
        <v>35839361.149999999</v>
      </c>
      <c r="I138" s="5">
        <v>573</v>
      </c>
      <c r="J138" s="5">
        <v>5687016.8499999996</v>
      </c>
      <c r="K138" s="5">
        <v>0.13689999999999999</v>
      </c>
      <c r="L138" s="5">
        <v>36828000</v>
      </c>
      <c r="M138" s="5">
        <v>1.1275999999999999</v>
      </c>
    </row>
    <row r="139" spans="1:13" x14ac:dyDescent="0.3">
      <c r="A139" s="5">
        <v>5</v>
      </c>
      <c r="B139" s="5" t="s">
        <v>80</v>
      </c>
      <c r="C139" s="5" t="s">
        <v>81</v>
      </c>
      <c r="D139" s="5">
        <v>2024</v>
      </c>
      <c r="E139" s="5">
        <v>4</v>
      </c>
      <c r="F139" s="5" t="s">
        <v>61</v>
      </c>
      <c r="G139" s="5">
        <v>43338023</v>
      </c>
      <c r="H139" s="5">
        <v>37812235.189999998</v>
      </c>
      <c r="I139" s="5">
        <v>612</v>
      </c>
      <c r="J139" s="5">
        <v>5525787.8099999996</v>
      </c>
      <c r="K139" s="5">
        <v>0.1275</v>
      </c>
      <c r="L139" s="5">
        <v>39031000</v>
      </c>
      <c r="M139" s="5">
        <v>1.1103000000000001</v>
      </c>
    </row>
    <row r="140" spans="1:13" x14ac:dyDescent="0.3">
      <c r="A140" s="5">
        <v>5</v>
      </c>
      <c r="B140" s="5" t="s">
        <v>80</v>
      </c>
      <c r="C140" s="5" t="s">
        <v>81</v>
      </c>
      <c r="D140" s="5">
        <v>2024</v>
      </c>
      <c r="E140" s="5">
        <v>5</v>
      </c>
      <c r="F140" s="5" t="s">
        <v>62</v>
      </c>
      <c r="G140" s="5">
        <v>45164748</v>
      </c>
      <c r="H140" s="5">
        <v>39823943.149999999</v>
      </c>
      <c r="I140" s="5">
        <v>687</v>
      </c>
      <c r="J140" s="5">
        <v>5340804.8499999996</v>
      </c>
      <c r="K140" s="5">
        <v>0.1183</v>
      </c>
      <c r="L140" s="5">
        <v>42498000</v>
      </c>
      <c r="M140" s="5">
        <v>1.0627</v>
      </c>
    </row>
    <row r="141" spans="1:13" x14ac:dyDescent="0.3">
      <c r="A141" s="5">
        <v>5</v>
      </c>
      <c r="B141" s="5" t="s">
        <v>80</v>
      </c>
      <c r="C141" s="5" t="s">
        <v>81</v>
      </c>
      <c r="D141" s="5">
        <v>2024</v>
      </c>
      <c r="E141" s="5">
        <v>6</v>
      </c>
      <c r="F141" s="5" t="s">
        <v>63</v>
      </c>
      <c r="G141" s="5">
        <v>49823707</v>
      </c>
      <c r="H141" s="5">
        <v>41496846.619999997</v>
      </c>
      <c r="I141" s="5">
        <v>686</v>
      </c>
      <c r="J141" s="5">
        <v>8326860.3799999999</v>
      </c>
      <c r="K141" s="5">
        <v>0.1671</v>
      </c>
      <c r="L141" s="5">
        <v>45923000</v>
      </c>
      <c r="M141" s="5">
        <v>1.0849</v>
      </c>
    </row>
    <row r="142" spans="1:13" x14ac:dyDescent="0.3">
      <c r="A142" s="5">
        <v>5</v>
      </c>
      <c r="B142" s="5" t="s">
        <v>80</v>
      </c>
      <c r="C142" s="5" t="s">
        <v>81</v>
      </c>
      <c r="D142" s="5">
        <v>2024</v>
      </c>
      <c r="E142" s="5">
        <v>7</v>
      </c>
      <c r="F142" s="5" t="s">
        <v>64</v>
      </c>
      <c r="G142" s="5">
        <v>43466271</v>
      </c>
      <c r="H142" s="5">
        <v>36594109.049999997</v>
      </c>
      <c r="I142" s="5">
        <v>641</v>
      </c>
      <c r="J142" s="5">
        <v>6872161.9500000002</v>
      </c>
      <c r="K142" s="5">
        <v>0.15809999999999999</v>
      </c>
      <c r="L142" s="5">
        <v>42420000</v>
      </c>
      <c r="M142" s="5">
        <v>1.0246999999999999</v>
      </c>
    </row>
    <row r="143" spans="1:13" x14ac:dyDescent="0.3">
      <c r="A143" s="5">
        <v>5</v>
      </c>
      <c r="B143" s="5" t="s">
        <v>80</v>
      </c>
      <c r="C143" s="5" t="s">
        <v>81</v>
      </c>
      <c r="D143" s="5">
        <v>2024</v>
      </c>
      <c r="E143" s="5">
        <v>8</v>
      </c>
      <c r="F143" s="5" t="s">
        <v>65</v>
      </c>
      <c r="G143" s="5">
        <v>42803303</v>
      </c>
      <c r="H143" s="5">
        <v>36414683.020000003</v>
      </c>
      <c r="I143" s="5">
        <v>640</v>
      </c>
      <c r="J143" s="5">
        <v>6388619.9800000004</v>
      </c>
      <c r="K143" s="5">
        <v>0.14929999999999999</v>
      </c>
      <c r="L143" s="5">
        <v>37750000</v>
      </c>
      <c r="M143" s="5">
        <v>1.1338999999999999</v>
      </c>
    </row>
    <row r="144" spans="1:13" x14ac:dyDescent="0.3">
      <c r="A144" s="5">
        <v>5</v>
      </c>
      <c r="B144" s="5" t="s">
        <v>80</v>
      </c>
      <c r="C144" s="5" t="s">
        <v>81</v>
      </c>
      <c r="D144" s="5">
        <v>2024</v>
      </c>
      <c r="E144" s="5">
        <v>9</v>
      </c>
      <c r="F144" s="5" t="s">
        <v>66</v>
      </c>
      <c r="G144" s="5">
        <v>52266391</v>
      </c>
      <c r="H144" s="5">
        <v>43074613.079999998</v>
      </c>
      <c r="I144" s="5">
        <v>731</v>
      </c>
      <c r="J144" s="5">
        <v>9191777.9199999999</v>
      </c>
      <c r="K144" s="5">
        <v>0.1759</v>
      </c>
      <c r="L144" s="5">
        <v>46984000</v>
      </c>
      <c r="M144" s="5">
        <v>1.1124000000000001</v>
      </c>
    </row>
    <row r="145" spans="1:13" x14ac:dyDescent="0.3">
      <c r="A145" s="5">
        <v>5</v>
      </c>
      <c r="B145" s="5" t="s">
        <v>80</v>
      </c>
      <c r="C145" s="5" t="s">
        <v>81</v>
      </c>
      <c r="D145" s="5">
        <v>2024</v>
      </c>
      <c r="E145" s="5">
        <v>10</v>
      </c>
      <c r="F145" s="5" t="s">
        <v>67</v>
      </c>
      <c r="G145" s="5">
        <v>64638844</v>
      </c>
      <c r="H145" s="5">
        <v>51931405.57</v>
      </c>
      <c r="I145" s="5">
        <v>924</v>
      </c>
      <c r="J145" s="5">
        <v>12707438.43</v>
      </c>
      <c r="K145" s="5">
        <v>0.1966</v>
      </c>
      <c r="L145" s="5">
        <v>58632000</v>
      </c>
      <c r="M145" s="5">
        <v>1.1024</v>
      </c>
    </row>
    <row r="146" spans="1:13" x14ac:dyDescent="0.3">
      <c r="A146" s="5">
        <v>5</v>
      </c>
      <c r="B146" s="5" t="s">
        <v>80</v>
      </c>
      <c r="C146" s="5" t="s">
        <v>81</v>
      </c>
      <c r="D146" s="5">
        <v>2024</v>
      </c>
      <c r="E146" s="5">
        <v>11</v>
      </c>
      <c r="F146" s="5" t="s">
        <v>68</v>
      </c>
      <c r="G146" s="5">
        <v>67730682</v>
      </c>
      <c r="H146" s="5">
        <v>56324189.640000001</v>
      </c>
      <c r="I146" s="5">
        <v>944</v>
      </c>
      <c r="J146" s="5">
        <v>11406492.359999999</v>
      </c>
      <c r="K146" s="5">
        <v>0.16839999999999999</v>
      </c>
      <c r="L146" s="5">
        <v>59563000</v>
      </c>
      <c r="M146" s="5">
        <v>1.1371</v>
      </c>
    </row>
    <row r="147" spans="1:13" x14ac:dyDescent="0.3">
      <c r="A147" s="5">
        <v>5</v>
      </c>
      <c r="B147" s="5" t="s">
        <v>80</v>
      </c>
      <c r="C147" s="5" t="s">
        <v>81</v>
      </c>
      <c r="D147" s="5">
        <v>2024</v>
      </c>
      <c r="E147" s="5">
        <v>12</v>
      </c>
      <c r="F147" s="5" t="s">
        <v>69</v>
      </c>
      <c r="G147" s="5">
        <v>67233297</v>
      </c>
      <c r="H147" s="5">
        <v>53552326.549999997</v>
      </c>
      <c r="I147" s="5">
        <v>944</v>
      </c>
      <c r="J147" s="5">
        <v>13680970.449999999</v>
      </c>
      <c r="K147" s="5">
        <v>0.20349999999999999</v>
      </c>
      <c r="L147" s="5">
        <v>67139000</v>
      </c>
      <c r="M147" s="5">
        <v>1.0014000000000001</v>
      </c>
    </row>
    <row r="148" spans="1:13" x14ac:dyDescent="0.3">
      <c r="A148" s="5">
        <v>8</v>
      </c>
      <c r="B148" s="5" t="s">
        <v>82</v>
      </c>
      <c r="C148" s="5" t="s">
        <v>81</v>
      </c>
      <c r="D148" s="5">
        <v>2021</v>
      </c>
      <c r="E148" s="5">
        <v>1</v>
      </c>
      <c r="F148" s="5" t="s">
        <v>22</v>
      </c>
      <c r="G148" s="5">
        <v>14198830</v>
      </c>
      <c r="H148" s="5">
        <v>13030269.289999999</v>
      </c>
      <c r="I148" s="5">
        <v>213</v>
      </c>
      <c r="J148" s="5">
        <v>1168560.71</v>
      </c>
      <c r="K148" s="5">
        <v>8.2299999999999998E-2</v>
      </c>
      <c r="L148" s="5">
        <v>10948000</v>
      </c>
      <c r="M148" s="5">
        <v>1.2968999999999999</v>
      </c>
    </row>
    <row r="149" spans="1:13" x14ac:dyDescent="0.3">
      <c r="A149" s="5">
        <v>8</v>
      </c>
      <c r="B149" s="5" t="s">
        <v>82</v>
      </c>
      <c r="C149" s="5" t="s">
        <v>81</v>
      </c>
      <c r="D149" s="5">
        <v>2021</v>
      </c>
      <c r="E149" s="5">
        <v>2</v>
      </c>
      <c r="F149" s="5" t="s">
        <v>23</v>
      </c>
      <c r="G149" s="5">
        <v>11072109</v>
      </c>
      <c r="H149" s="5">
        <v>9691938.2899999991</v>
      </c>
      <c r="I149" s="5">
        <v>187</v>
      </c>
      <c r="J149" s="5">
        <v>1380170.71</v>
      </c>
      <c r="K149" s="5">
        <v>0.12470000000000001</v>
      </c>
      <c r="L149" s="5">
        <v>8487000</v>
      </c>
      <c r="M149" s="5">
        <v>1.3046</v>
      </c>
    </row>
    <row r="150" spans="1:13" x14ac:dyDescent="0.3">
      <c r="A150" s="5">
        <v>8</v>
      </c>
      <c r="B150" s="5" t="s">
        <v>82</v>
      </c>
      <c r="C150" s="5" t="s">
        <v>81</v>
      </c>
      <c r="D150" s="5">
        <v>2021</v>
      </c>
      <c r="E150" s="5">
        <v>3</v>
      </c>
      <c r="F150" s="5" t="s">
        <v>24</v>
      </c>
      <c r="G150" s="5">
        <v>15876428</v>
      </c>
      <c r="H150" s="5">
        <v>13235196.48</v>
      </c>
      <c r="I150" s="5">
        <v>224</v>
      </c>
      <c r="J150" s="5">
        <v>2641231.52</v>
      </c>
      <c r="K150" s="5">
        <v>0.16639999999999999</v>
      </c>
      <c r="L150" s="5">
        <v>12282000</v>
      </c>
      <c r="M150" s="5">
        <v>1.2927</v>
      </c>
    </row>
    <row r="151" spans="1:13" x14ac:dyDescent="0.3">
      <c r="A151" s="5">
        <v>8</v>
      </c>
      <c r="B151" s="5" t="s">
        <v>82</v>
      </c>
      <c r="C151" s="5" t="s">
        <v>81</v>
      </c>
      <c r="D151" s="5">
        <v>2021</v>
      </c>
      <c r="E151" s="5">
        <v>4</v>
      </c>
      <c r="F151" s="5" t="s">
        <v>25</v>
      </c>
      <c r="G151" s="5">
        <v>13989125</v>
      </c>
      <c r="H151" s="5">
        <v>12124467.16</v>
      </c>
      <c r="I151" s="5">
        <v>226</v>
      </c>
      <c r="J151" s="5">
        <v>1864657.84</v>
      </c>
      <c r="K151" s="5">
        <v>0.1333</v>
      </c>
      <c r="L151" s="5">
        <v>11021000</v>
      </c>
      <c r="M151" s="5">
        <v>1.2693000000000001</v>
      </c>
    </row>
    <row r="152" spans="1:13" x14ac:dyDescent="0.3">
      <c r="A152" s="5">
        <v>8</v>
      </c>
      <c r="B152" s="5" t="s">
        <v>82</v>
      </c>
      <c r="C152" s="5" t="s">
        <v>81</v>
      </c>
      <c r="D152" s="5">
        <v>2021</v>
      </c>
      <c r="E152" s="5">
        <v>5</v>
      </c>
      <c r="F152" s="5" t="s">
        <v>26</v>
      </c>
      <c r="G152" s="5">
        <v>15245717</v>
      </c>
      <c r="H152" s="5">
        <v>13229687.26</v>
      </c>
      <c r="I152" s="5">
        <v>257</v>
      </c>
      <c r="J152" s="5">
        <v>2016029.74</v>
      </c>
      <c r="K152" s="5">
        <v>0.13220000000000001</v>
      </c>
      <c r="L152" s="5">
        <v>11862000</v>
      </c>
      <c r="M152" s="5">
        <v>1.2853000000000001</v>
      </c>
    </row>
    <row r="153" spans="1:13" x14ac:dyDescent="0.3">
      <c r="A153" s="5">
        <v>8</v>
      </c>
      <c r="B153" s="5" t="s">
        <v>82</v>
      </c>
      <c r="C153" s="5" t="s">
        <v>81</v>
      </c>
      <c r="D153" s="5">
        <v>2021</v>
      </c>
      <c r="E153" s="5">
        <v>6</v>
      </c>
      <c r="F153" s="5" t="s">
        <v>27</v>
      </c>
      <c r="G153" s="5">
        <v>15448742</v>
      </c>
      <c r="H153" s="5">
        <v>13712261.619999999</v>
      </c>
      <c r="I153" s="5">
        <v>256</v>
      </c>
      <c r="J153" s="5">
        <v>1736480.38</v>
      </c>
      <c r="K153" s="5">
        <v>0.1124</v>
      </c>
      <c r="L153" s="5">
        <v>12628000</v>
      </c>
      <c r="M153" s="5">
        <v>1.2234</v>
      </c>
    </row>
    <row r="154" spans="1:13" x14ac:dyDescent="0.3">
      <c r="A154" s="5">
        <v>8</v>
      </c>
      <c r="B154" s="5" t="s">
        <v>82</v>
      </c>
      <c r="C154" s="5" t="s">
        <v>81</v>
      </c>
      <c r="D154" s="5">
        <v>2021</v>
      </c>
      <c r="E154" s="5">
        <v>7</v>
      </c>
      <c r="F154" s="5" t="s">
        <v>28</v>
      </c>
      <c r="G154" s="5">
        <v>16316138</v>
      </c>
      <c r="H154" s="5">
        <v>14372553.789999999</v>
      </c>
      <c r="I154" s="5">
        <v>229</v>
      </c>
      <c r="J154" s="5">
        <v>1943584.21</v>
      </c>
      <c r="K154" s="5">
        <v>0.1191</v>
      </c>
      <c r="L154" s="5">
        <v>13008000</v>
      </c>
      <c r="M154" s="5">
        <v>1.2543</v>
      </c>
    </row>
    <row r="155" spans="1:13" x14ac:dyDescent="0.3">
      <c r="A155" s="5">
        <v>8</v>
      </c>
      <c r="B155" s="5" t="s">
        <v>82</v>
      </c>
      <c r="C155" s="5" t="s">
        <v>81</v>
      </c>
      <c r="D155" s="5">
        <v>2021</v>
      </c>
      <c r="E155" s="5">
        <v>8</v>
      </c>
      <c r="F155" s="5" t="s">
        <v>29</v>
      </c>
      <c r="G155" s="5">
        <v>16199234</v>
      </c>
      <c r="H155" s="5">
        <v>13834191.279999999</v>
      </c>
      <c r="I155" s="5">
        <v>215</v>
      </c>
      <c r="J155" s="5">
        <v>2365042.7200000002</v>
      </c>
      <c r="K155" s="5">
        <v>0.14599999999999999</v>
      </c>
      <c r="L155" s="5">
        <v>13527000</v>
      </c>
      <c r="M155" s="5">
        <v>1.1975</v>
      </c>
    </row>
    <row r="156" spans="1:13" x14ac:dyDescent="0.3">
      <c r="A156" s="5">
        <v>8</v>
      </c>
      <c r="B156" s="5" t="s">
        <v>82</v>
      </c>
      <c r="C156" s="5" t="s">
        <v>81</v>
      </c>
      <c r="D156" s="5">
        <v>2021</v>
      </c>
      <c r="E156" s="5">
        <v>9</v>
      </c>
      <c r="F156" s="5" t="s">
        <v>30</v>
      </c>
      <c r="G156" s="5">
        <v>16594756</v>
      </c>
      <c r="H156" s="5">
        <v>14701771</v>
      </c>
      <c r="I156" s="5">
        <v>263</v>
      </c>
      <c r="J156" s="5">
        <v>1892985</v>
      </c>
      <c r="K156" s="5">
        <v>0.11409999999999999</v>
      </c>
      <c r="L156" s="5">
        <v>13298000</v>
      </c>
      <c r="M156" s="5">
        <v>1.2479</v>
      </c>
    </row>
    <row r="157" spans="1:13" x14ac:dyDescent="0.3">
      <c r="A157" s="5">
        <v>8</v>
      </c>
      <c r="B157" s="5" t="s">
        <v>82</v>
      </c>
      <c r="C157" s="5" t="s">
        <v>81</v>
      </c>
      <c r="D157" s="5">
        <v>2021</v>
      </c>
      <c r="E157" s="5">
        <v>10</v>
      </c>
      <c r="F157" s="5" t="s">
        <v>31</v>
      </c>
      <c r="G157" s="5">
        <v>23320019</v>
      </c>
      <c r="H157" s="5">
        <v>19408740.989999998</v>
      </c>
      <c r="I157" s="5">
        <v>357</v>
      </c>
      <c r="J157" s="5">
        <v>3911278.01</v>
      </c>
      <c r="K157" s="5">
        <v>0.16769999999999999</v>
      </c>
      <c r="L157" s="5">
        <v>18018000</v>
      </c>
      <c r="M157" s="5">
        <v>1.2943</v>
      </c>
    </row>
    <row r="158" spans="1:13" x14ac:dyDescent="0.3">
      <c r="A158" s="5">
        <v>8</v>
      </c>
      <c r="B158" s="5" t="s">
        <v>82</v>
      </c>
      <c r="C158" s="5" t="s">
        <v>81</v>
      </c>
      <c r="D158" s="5">
        <v>2021</v>
      </c>
      <c r="E158" s="5">
        <v>11</v>
      </c>
      <c r="F158" s="5" t="s">
        <v>32</v>
      </c>
      <c r="G158" s="5">
        <v>22579947</v>
      </c>
      <c r="H158" s="5">
        <v>18435538.34</v>
      </c>
      <c r="I158" s="5">
        <v>334</v>
      </c>
      <c r="J158" s="5">
        <v>4144408.66</v>
      </c>
      <c r="K158" s="5">
        <v>0.1835</v>
      </c>
      <c r="L158" s="5">
        <v>18657000</v>
      </c>
      <c r="M158" s="5">
        <v>1.2102999999999999</v>
      </c>
    </row>
    <row r="159" spans="1:13" x14ac:dyDescent="0.3">
      <c r="A159" s="5">
        <v>8</v>
      </c>
      <c r="B159" s="5" t="s">
        <v>82</v>
      </c>
      <c r="C159" s="5" t="s">
        <v>81</v>
      </c>
      <c r="D159" s="5">
        <v>2021</v>
      </c>
      <c r="E159" s="5">
        <v>12</v>
      </c>
      <c r="F159" s="5" t="s">
        <v>33</v>
      </c>
      <c r="G159" s="5">
        <v>22502980</v>
      </c>
      <c r="H159" s="5">
        <v>18835392.27</v>
      </c>
      <c r="I159" s="5">
        <v>334</v>
      </c>
      <c r="J159" s="5">
        <v>3667587.73</v>
      </c>
      <c r="K159" s="5">
        <v>0.16300000000000001</v>
      </c>
      <c r="L159" s="5">
        <v>18254000</v>
      </c>
      <c r="M159" s="5">
        <v>1.2327999999999999</v>
      </c>
    </row>
    <row r="160" spans="1:13" x14ac:dyDescent="0.3">
      <c r="A160" s="5">
        <v>8</v>
      </c>
      <c r="B160" s="5" t="s">
        <v>82</v>
      </c>
      <c r="C160" s="5" t="s">
        <v>81</v>
      </c>
      <c r="D160" s="5">
        <v>2022</v>
      </c>
      <c r="E160" s="5">
        <v>1</v>
      </c>
      <c r="F160" s="5" t="s">
        <v>34</v>
      </c>
      <c r="G160" s="5">
        <v>19622975</v>
      </c>
      <c r="H160" s="5">
        <v>16623184.279999999</v>
      </c>
      <c r="I160" s="5">
        <v>290</v>
      </c>
      <c r="J160" s="5">
        <v>2999790.72</v>
      </c>
      <c r="K160" s="5">
        <v>0.15290000000000001</v>
      </c>
      <c r="L160" s="5">
        <v>15934000</v>
      </c>
      <c r="M160" s="5">
        <v>1.2315</v>
      </c>
    </row>
    <row r="161" spans="1:13" x14ac:dyDescent="0.3">
      <c r="A161" s="5">
        <v>8</v>
      </c>
      <c r="B161" s="5" t="s">
        <v>82</v>
      </c>
      <c r="C161" s="5" t="s">
        <v>81</v>
      </c>
      <c r="D161" s="5">
        <v>2022</v>
      </c>
      <c r="E161" s="5">
        <v>2</v>
      </c>
      <c r="F161" s="5" t="s">
        <v>35</v>
      </c>
      <c r="G161" s="5">
        <v>16081779</v>
      </c>
      <c r="H161" s="5">
        <v>13101544.74</v>
      </c>
      <c r="I161" s="5">
        <v>260</v>
      </c>
      <c r="J161" s="5">
        <v>2980234.26</v>
      </c>
      <c r="K161" s="5">
        <v>0.18529999999999999</v>
      </c>
      <c r="L161" s="5">
        <v>12870000</v>
      </c>
      <c r="M161" s="5">
        <v>1.2496</v>
      </c>
    </row>
    <row r="162" spans="1:13" x14ac:dyDescent="0.3">
      <c r="A162" s="5">
        <v>8</v>
      </c>
      <c r="B162" s="5" t="s">
        <v>82</v>
      </c>
      <c r="C162" s="5" t="s">
        <v>81</v>
      </c>
      <c r="D162" s="5">
        <v>2022</v>
      </c>
      <c r="E162" s="5">
        <v>3</v>
      </c>
      <c r="F162" s="5" t="s">
        <v>36</v>
      </c>
      <c r="G162" s="5">
        <v>23388122</v>
      </c>
      <c r="H162" s="5">
        <v>20349694.129999999</v>
      </c>
      <c r="I162" s="5">
        <v>319</v>
      </c>
      <c r="J162" s="5">
        <v>3038427.87</v>
      </c>
      <c r="K162" s="5">
        <v>0.12989999999999999</v>
      </c>
      <c r="L162" s="5">
        <v>19630000</v>
      </c>
      <c r="M162" s="5">
        <v>1.1914</v>
      </c>
    </row>
    <row r="163" spans="1:13" x14ac:dyDescent="0.3">
      <c r="A163" s="5">
        <v>8</v>
      </c>
      <c r="B163" s="5" t="s">
        <v>82</v>
      </c>
      <c r="C163" s="5" t="s">
        <v>81</v>
      </c>
      <c r="D163" s="5">
        <v>2022</v>
      </c>
      <c r="E163" s="5">
        <v>4</v>
      </c>
      <c r="F163" s="5" t="s">
        <v>37</v>
      </c>
      <c r="G163" s="5">
        <v>24069596</v>
      </c>
      <c r="H163" s="5">
        <v>21032949.059999999</v>
      </c>
      <c r="I163" s="5">
        <v>317</v>
      </c>
      <c r="J163" s="5">
        <v>3036646.94</v>
      </c>
      <c r="K163" s="5">
        <v>0.12620000000000001</v>
      </c>
      <c r="L163" s="5">
        <v>20643000</v>
      </c>
      <c r="M163" s="5">
        <v>1.1659999999999999</v>
      </c>
    </row>
    <row r="164" spans="1:13" x14ac:dyDescent="0.3">
      <c r="A164" s="5">
        <v>8</v>
      </c>
      <c r="B164" s="5" t="s">
        <v>82</v>
      </c>
      <c r="C164" s="5" t="s">
        <v>81</v>
      </c>
      <c r="D164" s="5">
        <v>2022</v>
      </c>
      <c r="E164" s="5">
        <v>5</v>
      </c>
      <c r="F164" s="5" t="s">
        <v>38</v>
      </c>
      <c r="G164" s="5">
        <v>24705832</v>
      </c>
      <c r="H164" s="5">
        <v>21639114.48</v>
      </c>
      <c r="I164" s="5">
        <v>358</v>
      </c>
      <c r="J164" s="5">
        <v>3066717.52</v>
      </c>
      <c r="K164" s="5">
        <v>0.1241</v>
      </c>
      <c r="L164" s="5">
        <v>20210000</v>
      </c>
      <c r="M164" s="5">
        <v>1.2224999999999999</v>
      </c>
    </row>
    <row r="165" spans="1:13" x14ac:dyDescent="0.3">
      <c r="A165" s="5">
        <v>8</v>
      </c>
      <c r="B165" s="5" t="s">
        <v>82</v>
      </c>
      <c r="C165" s="5" t="s">
        <v>81</v>
      </c>
      <c r="D165" s="5">
        <v>2022</v>
      </c>
      <c r="E165" s="5">
        <v>6</v>
      </c>
      <c r="F165" s="5" t="s">
        <v>39</v>
      </c>
      <c r="G165" s="5">
        <v>23793011</v>
      </c>
      <c r="H165" s="5">
        <v>20508419.120000001</v>
      </c>
      <c r="I165" s="5">
        <v>355</v>
      </c>
      <c r="J165" s="5">
        <v>3284591.88</v>
      </c>
      <c r="K165" s="5">
        <v>0.13800000000000001</v>
      </c>
      <c r="L165" s="5">
        <v>20024000</v>
      </c>
      <c r="M165" s="5">
        <v>1.1881999999999999</v>
      </c>
    </row>
    <row r="166" spans="1:13" x14ac:dyDescent="0.3">
      <c r="A166" s="5">
        <v>8</v>
      </c>
      <c r="B166" s="5" t="s">
        <v>82</v>
      </c>
      <c r="C166" s="5" t="s">
        <v>81</v>
      </c>
      <c r="D166" s="5">
        <v>2022</v>
      </c>
      <c r="E166" s="5">
        <v>7</v>
      </c>
      <c r="F166" s="5" t="s">
        <v>40</v>
      </c>
      <c r="G166" s="5">
        <v>23291519</v>
      </c>
      <c r="H166" s="5">
        <v>20584578.48</v>
      </c>
      <c r="I166" s="5">
        <v>354</v>
      </c>
      <c r="J166" s="5">
        <v>2706940.52</v>
      </c>
      <c r="K166" s="5">
        <v>0.1162</v>
      </c>
      <c r="L166" s="5">
        <v>19677000</v>
      </c>
      <c r="M166" s="5">
        <v>1.1837</v>
      </c>
    </row>
    <row r="167" spans="1:13" x14ac:dyDescent="0.3">
      <c r="A167" s="5">
        <v>8</v>
      </c>
      <c r="B167" s="5" t="s">
        <v>82</v>
      </c>
      <c r="C167" s="5" t="s">
        <v>81</v>
      </c>
      <c r="D167" s="5">
        <v>2022</v>
      </c>
      <c r="E167" s="5">
        <v>8</v>
      </c>
      <c r="F167" s="5" t="s">
        <v>41</v>
      </c>
      <c r="G167" s="5">
        <v>21026787</v>
      </c>
      <c r="H167" s="5">
        <v>19370848.75</v>
      </c>
      <c r="I167" s="5">
        <v>330</v>
      </c>
      <c r="J167" s="5">
        <v>1655938.25</v>
      </c>
      <c r="K167" s="5">
        <v>7.8799999999999995E-2</v>
      </c>
      <c r="L167" s="5">
        <v>17925000</v>
      </c>
      <c r="M167" s="5">
        <v>1.173</v>
      </c>
    </row>
    <row r="168" spans="1:13" x14ac:dyDescent="0.3">
      <c r="A168" s="5">
        <v>8</v>
      </c>
      <c r="B168" s="5" t="s">
        <v>82</v>
      </c>
      <c r="C168" s="5" t="s">
        <v>81</v>
      </c>
      <c r="D168" s="5">
        <v>2022</v>
      </c>
      <c r="E168" s="5">
        <v>9</v>
      </c>
      <c r="F168" s="5" t="s">
        <v>42</v>
      </c>
      <c r="G168" s="5">
        <v>21437923</v>
      </c>
      <c r="H168" s="5">
        <v>18703722.969999999</v>
      </c>
      <c r="I168" s="5">
        <v>333</v>
      </c>
      <c r="J168" s="5">
        <v>2734200.03</v>
      </c>
      <c r="K168" s="5">
        <v>0.1275</v>
      </c>
      <c r="L168" s="5">
        <v>17226000</v>
      </c>
      <c r="M168" s="5">
        <v>1.2444999999999999</v>
      </c>
    </row>
    <row r="169" spans="1:13" x14ac:dyDescent="0.3">
      <c r="A169" s="5">
        <v>8</v>
      </c>
      <c r="B169" s="5" t="s">
        <v>82</v>
      </c>
      <c r="C169" s="5" t="s">
        <v>81</v>
      </c>
      <c r="D169" s="5">
        <v>2022</v>
      </c>
      <c r="E169" s="5">
        <v>10</v>
      </c>
      <c r="F169" s="5" t="s">
        <v>43</v>
      </c>
      <c r="G169" s="5">
        <v>30724700</v>
      </c>
      <c r="H169" s="5">
        <v>26997741.07</v>
      </c>
      <c r="I169" s="5">
        <v>488</v>
      </c>
      <c r="J169" s="5">
        <v>3726958.93</v>
      </c>
      <c r="K169" s="5">
        <v>0.12130000000000001</v>
      </c>
      <c r="L169" s="5">
        <v>24355000</v>
      </c>
      <c r="M169" s="5">
        <v>1.2615000000000001</v>
      </c>
    </row>
    <row r="170" spans="1:13" x14ac:dyDescent="0.3">
      <c r="A170" s="5">
        <v>8</v>
      </c>
      <c r="B170" s="5" t="s">
        <v>82</v>
      </c>
      <c r="C170" s="5" t="s">
        <v>81</v>
      </c>
      <c r="D170" s="5">
        <v>2022</v>
      </c>
      <c r="E170" s="5">
        <v>11</v>
      </c>
      <c r="F170" s="5" t="s">
        <v>44</v>
      </c>
      <c r="G170" s="5">
        <v>32154146</v>
      </c>
      <c r="H170" s="5">
        <v>26967662.960000001</v>
      </c>
      <c r="I170" s="5">
        <v>464</v>
      </c>
      <c r="J170" s="5">
        <v>5186483.04</v>
      </c>
      <c r="K170" s="5">
        <v>0.1613</v>
      </c>
      <c r="L170" s="5">
        <v>26933000</v>
      </c>
      <c r="M170" s="5">
        <v>1.1939</v>
      </c>
    </row>
    <row r="171" spans="1:13" x14ac:dyDescent="0.3">
      <c r="A171" s="5">
        <v>8</v>
      </c>
      <c r="B171" s="5" t="s">
        <v>82</v>
      </c>
      <c r="C171" s="5" t="s">
        <v>81</v>
      </c>
      <c r="D171" s="5">
        <v>2022</v>
      </c>
      <c r="E171" s="5">
        <v>12</v>
      </c>
      <c r="F171" s="5" t="s">
        <v>45</v>
      </c>
      <c r="G171" s="5">
        <v>34711851</v>
      </c>
      <c r="H171" s="5">
        <v>28766950.32</v>
      </c>
      <c r="I171" s="5">
        <v>489</v>
      </c>
      <c r="J171" s="5">
        <v>5944900.6799999997</v>
      </c>
      <c r="K171" s="5">
        <v>0.17130000000000001</v>
      </c>
      <c r="L171" s="5">
        <v>27177000</v>
      </c>
      <c r="M171" s="5">
        <v>1.2773000000000001</v>
      </c>
    </row>
    <row r="172" spans="1:13" x14ac:dyDescent="0.3">
      <c r="A172" s="5">
        <v>8</v>
      </c>
      <c r="B172" s="5" t="s">
        <v>82</v>
      </c>
      <c r="C172" s="5" t="s">
        <v>81</v>
      </c>
      <c r="D172" s="5">
        <v>2023</v>
      </c>
      <c r="E172" s="5">
        <v>1</v>
      </c>
      <c r="F172" s="5" t="s">
        <v>46</v>
      </c>
      <c r="G172" s="5">
        <v>23730514</v>
      </c>
      <c r="H172" s="5">
        <v>20950073.199999999</v>
      </c>
      <c r="I172" s="5">
        <v>363</v>
      </c>
      <c r="J172" s="5">
        <v>2780440.8</v>
      </c>
      <c r="K172" s="5">
        <v>0.1172</v>
      </c>
      <c r="L172" s="5">
        <v>19623000</v>
      </c>
      <c r="M172" s="5">
        <v>1.2093</v>
      </c>
    </row>
    <row r="173" spans="1:13" x14ac:dyDescent="0.3">
      <c r="A173" s="5">
        <v>8</v>
      </c>
      <c r="B173" s="5" t="s">
        <v>82</v>
      </c>
      <c r="C173" s="5" t="s">
        <v>81</v>
      </c>
      <c r="D173" s="5">
        <v>2023</v>
      </c>
      <c r="E173" s="5">
        <v>2</v>
      </c>
      <c r="F173" s="5" t="s">
        <v>47</v>
      </c>
      <c r="G173" s="5">
        <v>22196881</v>
      </c>
      <c r="H173" s="5">
        <v>18968202.120000001</v>
      </c>
      <c r="I173" s="5">
        <v>325</v>
      </c>
      <c r="J173" s="5">
        <v>3228678.88</v>
      </c>
      <c r="K173" s="5">
        <v>0.14549999999999999</v>
      </c>
      <c r="L173" s="5">
        <v>18673000</v>
      </c>
      <c r="M173" s="5">
        <v>1.1887000000000001</v>
      </c>
    </row>
    <row r="174" spans="1:13" x14ac:dyDescent="0.3">
      <c r="A174" s="5">
        <v>8</v>
      </c>
      <c r="B174" s="5" t="s">
        <v>82</v>
      </c>
      <c r="C174" s="5" t="s">
        <v>81</v>
      </c>
      <c r="D174" s="5">
        <v>2023</v>
      </c>
      <c r="E174" s="5">
        <v>3</v>
      </c>
      <c r="F174" s="5" t="s">
        <v>48</v>
      </c>
      <c r="G174" s="5">
        <v>27823614</v>
      </c>
      <c r="H174" s="5">
        <v>23942181.109999999</v>
      </c>
      <c r="I174" s="5">
        <v>411</v>
      </c>
      <c r="J174" s="5">
        <v>3881432.89</v>
      </c>
      <c r="K174" s="5">
        <v>0.13950000000000001</v>
      </c>
      <c r="L174" s="5">
        <v>21445000</v>
      </c>
      <c r="M174" s="5">
        <v>1.2974000000000001</v>
      </c>
    </row>
    <row r="175" spans="1:13" x14ac:dyDescent="0.3">
      <c r="A175" s="5">
        <v>8</v>
      </c>
      <c r="B175" s="5" t="s">
        <v>82</v>
      </c>
      <c r="C175" s="5" t="s">
        <v>81</v>
      </c>
      <c r="D175" s="5">
        <v>2023</v>
      </c>
      <c r="E175" s="5">
        <v>4</v>
      </c>
      <c r="F175" s="5" t="s">
        <v>49</v>
      </c>
      <c r="G175" s="5">
        <v>32093902</v>
      </c>
      <c r="H175" s="5">
        <v>28034395.390000001</v>
      </c>
      <c r="I175" s="5">
        <v>458</v>
      </c>
      <c r="J175" s="5">
        <v>4059506.61</v>
      </c>
      <c r="K175" s="5">
        <v>0.1265</v>
      </c>
      <c r="L175" s="5">
        <v>26026000</v>
      </c>
      <c r="M175" s="5">
        <v>1.2331000000000001</v>
      </c>
    </row>
    <row r="176" spans="1:13" x14ac:dyDescent="0.3">
      <c r="A176" s="5">
        <v>8</v>
      </c>
      <c r="B176" s="5" t="s">
        <v>82</v>
      </c>
      <c r="C176" s="5" t="s">
        <v>81</v>
      </c>
      <c r="D176" s="5">
        <v>2023</v>
      </c>
      <c r="E176" s="5">
        <v>5</v>
      </c>
      <c r="F176" s="5" t="s">
        <v>50</v>
      </c>
      <c r="G176" s="5">
        <v>33191996</v>
      </c>
      <c r="H176" s="5">
        <v>28627067.370000001</v>
      </c>
      <c r="I176" s="5">
        <v>474</v>
      </c>
      <c r="J176" s="5">
        <v>4564928.63</v>
      </c>
      <c r="K176" s="5">
        <v>0.13750000000000001</v>
      </c>
      <c r="L176" s="5">
        <v>27557000</v>
      </c>
      <c r="M176" s="5">
        <v>1.2044999999999999</v>
      </c>
    </row>
    <row r="177" spans="1:13" x14ac:dyDescent="0.3">
      <c r="A177" s="5">
        <v>8</v>
      </c>
      <c r="B177" s="5" t="s">
        <v>82</v>
      </c>
      <c r="C177" s="5" t="s">
        <v>81</v>
      </c>
      <c r="D177" s="5">
        <v>2023</v>
      </c>
      <c r="E177" s="5">
        <v>6</v>
      </c>
      <c r="F177" s="5" t="s">
        <v>51</v>
      </c>
      <c r="G177" s="5">
        <v>31226563</v>
      </c>
      <c r="H177" s="5">
        <v>26770612.710000001</v>
      </c>
      <c r="I177" s="5">
        <v>453</v>
      </c>
      <c r="J177" s="5">
        <v>4455950.29</v>
      </c>
      <c r="K177" s="5">
        <v>0.14269999999999999</v>
      </c>
      <c r="L177" s="5">
        <v>25612000</v>
      </c>
      <c r="M177" s="5">
        <v>1.2192000000000001</v>
      </c>
    </row>
    <row r="178" spans="1:13" x14ac:dyDescent="0.3">
      <c r="A178" s="5">
        <v>8</v>
      </c>
      <c r="B178" s="5" t="s">
        <v>82</v>
      </c>
      <c r="C178" s="5" t="s">
        <v>81</v>
      </c>
      <c r="D178" s="5">
        <v>2023</v>
      </c>
      <c r="E178" s="5">
        <v>7</v>
      </c>
      <c r="F178" s="5" t="s">
        <v>52</v>
      </c>
      <c r="G178" s="5">
        <v>25162532</v>
      </c>
      <c r="H178" s="5">
        <v>22305142.010000002</v>
      </c>
      <c r="I178" s="5">
        <v>389</v>
      </c>
      <c r="J178" s="5">
        <v>2857389.99</v>
      </c>
      <c r="K178" s="5">
        <v>0.11360000000000001</v>
      </c>
      <c r="L178" s="5">
        <v>19608000</v>
      </c>
      <c r="M178" s="5">
        <v>1.2833000000000001</v>
      </c>
    </row>
    <row r="179" spans="1:13" x14ac:dyDescent="0.3">
      <c r="A179" s="5">
        <v>8</v>
      </c>
      <c r="B179" s="5" t="s">
        <v>82</v>
      </c>
      <c r="C179" s="5" t="s">
        <v>81</v>
      </c>
      <c r="D179" s="5">
        <v>2023</v>
      </c>
      <c r="E179" s="5">
        <v>8</v>
      </c>
      <c r="F179" s="5" t="s">
        <v>53</v>
      </c>
      <c r="G179" s="5">
        <v>26959115</v>
      </c>
      <c r="H179" s="5">
        <v>23388327.75</v>
      </c>
      <c r="I179" s="5">
        <v>416</v>
      </c>
      <c r="J179" s="5">
        <v>3570787.25</v>
      </c>
      <c r="K179" s="5">
        <v>0.13250000000000001</v>
      </c>
      <c r="L179" s="5">
        <v>21291000</v>
      </c>
      <c r="M179" s="5">
        <v>1.2662</v>
      </c>
    </row>
    <row r="180" spans="1:13" x14ac:dyDescent="0.3">
      <c r="A180" s="5">
        <v>8</v>
      </c>
      <c r="B180" s="5" t="s">
        <v>82</v>
      </c>
      <c r="C180" s="5" t="s">
        <v>81</v>
      </c>
      <c r="D180" s="5">
        <v>2023</v>
      </c>
      <c r="E180" s="5">
        <v>9</v>
      </c>
      <c r="F180" s="5" t="s">
        <v>54</v>
      </c>
      <c r="G180" s="5">
        <v>31463513</v>
      </c>
      <c r="H180" s="5">
        <v>28192016.050000001</v>
      </c>
      <c r="I180" s="5">
        <v>504</v>
      </c>
      <c r="J180" s="5">
        <v>3271496.95</v>
      </c>
      <c r="K180" s="5">
        <v>0.104</v>
      </c>
      <c r="L180" s="5">
        <v>24994000</v>
      </c>
      <c r="M180" s="5">
        <v>1.2587999999999999</v>
      </c>
    </row>
    <row r="181" spans="1:13" x14ac:dyDescent="0.3">
      <c r="A181" s="5">
        <v>8</v>
      </c>
      <c r="B181" s="5" t="s">
        <v>82</v>
      </c>
      <c r="C181" s="5" t="s">
        <v>81</v>
      </c>
      <c r="D181" s="5">
        <v>2023</v>
      </c>
      <c r="E181" s="5">
        <v>10</v>
      </c>
      <c r="F181" s="5" t="s">
        <v>55</v>
      </c>
      <c r="G181" s="5">
        <v>38910524</v>
      </c>
      <c r="H181" s="5">
        <v>33797111.340000004</v>
      </c>
      <c r="I181" s="5">
        <v>553</v>
      </c>
      <c r="J181" s="5">
        <v>5113412.66</v>
      </c>
      <c r="K181" s="5">
        <v>0.13139999999999999</v>
      </c>
      <c r="L181" s="5">
        <v>29981000</v>
      </c>
      <c r="M181" s="5">
        <v>1.2978000000000001</v>
      </c>
    </row>
    <row r="182" spans="1:13" x14ac:dyDescent="0.3">
      <c r="A182" s="5">
        <v>8</v>
      </c>
      <c r="B182" s="5" t="s">
        <v>82</v>
      </c>
      <c r="C182" s="5" t="s">
        <v>81</v>
      </c>
      <c r="D182" s="5">
        <v>2023</v>
      </c>
      <c r="E182" s="5">
        <v>11</v>
      </c>
      <c r="F182" s="5" t="s">
        <v>56</v>
      </c>
      <c r="G182" s="5">
        <v>36735759</v>
      </c>
      <c r="H182" s="5">
        <v>32466837.77</v>
      </c>
      <c r="I182" s="5">
        <v>562</v>
      </c>
      <c r="J182" s="5">
        <v>4268921.2300000004</v>
      </c>
      <c r="K182" s="5">
        <v>0.1162</v>
      </c>
      <c r="L182" s="5">
        <v>31308000</v>
      </c>
      <c r="M182" s="5">
        <v>1.1734</v>
      </c>
    </row>
    <row r="183" spans="1:13" x14ac:dyDescent="0.3">
      <c r="A183" s="5">
        <v>8</v>
      </c>
      <c r="B183" s="5" t="s">
        <v>82</v>
      </c>
      <c r="C183" s="5" t="s">
        <v>81</v>
      </c>
      <c r="D183" s="5">
        <v>2023</v>
      </c>
      <c r="E183" s="5">
        <v>12</v>
      </c>
      <c r="F183" s="5" t="s">
        <v>57</v>
      </c>
      <c r="G183" s="5">
        <v>38845243</v>
      </c>
      <c r="H183" s="5">
        <v>35090402.200000003</v>
      </c>
      <c r="I183" s="5">
        <v>627</v>
      </c>
      <c r="J183" s="5">
        <v>3754840.8</v>
      </c>
      <c r="K183" s="5">
        <v>9.6699999999999994E-2</v>
      </c>
      <c r="L183" s="5">
        <v>32975000</v>
      </c>
      <c r="M183" s="5">
        <v>1.1779999999999999</v>
      </c>
    </row>
    <row r="184" spans="1:13" x14ac:dyDescent="0.3">
      <c r="A184" s="5">
        <v>8</v>
      </c>
      <c r="B184" s="5" t="s">
        <v>82</v>
      </c>
      <c r="C184" s="5" t="s">
        <v>81</v>
      </c>
      <c r="D184" s="5">
        <v>2024</v>
      </c>
      <c r="E184" s="5">
        <v>1</v>
      </c>
      <c r="F184" s="5" t="s">
        <v>58</v>
      </c>
      <c r="G184" s="5">
        <v>28699663</v>
      </c>
      <c r="H184" s="5">
        <v>25087597.629999999</v>
      </c>
      <c r="I184" s="5">
        <v>411</v>
      </c>
      <c r="J184" s="5">
        <v>3612065.37</v>
      </c>
      <c r="K184" s="5">
        <v>0.12590000000000001</v>
      </c>
      <c r="L184" s="5">
        <v>23389000</v>
      </c>
      <c r="M184" s="5">
        <v>1.2271000000000001</v>
      </c>
    </row>
    <row r="185" spans="1:13" x14ac:dyDescent="0.3">
      <c r="A185" s="5">
        <v>8</v>
      </c>
      <c r="B185" s="5" t="s">
        <v>82</v>
      </c>
      <c r="C185" s="5" t="s">
        <v>81</v>
      </c>
      <c r="D185" s="5">
        <v>2024</v>
      </c>
      <c r="E185" s="5">
        <v>2</v>
      </c>
      <c r="F185" s="5" t="s">
        <v>59</v>
      </c>
      <c r="G185" s="5">
        <v>26310642</v>
      </c>
      <c r="H185" s="5">
        <v>22695344.73</v>
      </c>
      <c r="I185" s="5">
        <v>392</v>
      </c>
      <c r="J185" s="5">
        <v>3615297.27</v>
      </c>
      <c r="K185" s="5">
        <v>0.13739999999999999</v>
      </c>
      <c r="L185" s="5">
        <v>20186000</v>
      </c>
      <c r="M185" s="5">
        <v>1.3033999999999999</v>
      </c>
    </row>
    <row r="186" spans="1:13" x14ac:dyDescent="0.3">
      <c r="A186" s="5">
        <v>8</v>
      </c>
      <c r="B186" s="5" t="s">
        <v>82</v>
      </c>
      <c r="C186" s="5" t="s">
        <v>81</v>
      </c>
      <c r="D186" s="5">
        <v>2024</v>
      </c>
      <c r="E186" s="5">
        <v>3</v>
      </c>
      <c r="F186" s="5" t="s">
        <v>60</v>
      </c>
      <c r="G186" s="5">
        <v>31257017</v>
      </c>
      <c r="H186" s="5">
        <v>27064407.449999999</v>
      </c>
      <c r="I186" s="5">
        <v>413</v>
      </c>
      <c r="J186" s="5">
        <v>4192609.55</v>
      </c>
      <c r="K186" s="5">
        <v>0.1341</v>
      </c>
      <c r="L186" s="5">
        <v>25097000</v>
      </c>
      <c r="M186" s="5">
        <v>1.2454000000000001</v>
      </c>
    </row>
    <row r="187" spans="1:13" x14ac:dyDescent="0.3">
      <c r="A187" s="5">
        <v>8</v>
      </c>
      <c r="B187" s="5" t="s">
        <v>82</v>
      </c>
      <c r="C187" s="5" t="s">
        <v>81</v>
      </c>
      <c r="D187" s="5">
        <v>2024</v>
      </c>
      <c r="E187" s="5">
        <v>4</v>
      </c>
      <c r="F187" s="5" t="s">
        <v>61</v>
      </c>
      <c r="G187" s="5">
        <v>31357673</v>
      </c>
      <c r="H187" s="5">
        <v>26801968.879999999</v>
      </c>
      <c r="I187" s="5">
        <v>437</v>
      </c>
      <c r="J187" s="5">
        <v>4555704.12</v>
      </c>
      <c r="K187" s="5">
        <v>0.14530000000000001</v>
      </c>
      <c r="L187" s="5">
        <v>24415000</v>
      </c>
      <c r="M187" s="5">
        <v>1.2844</v>
      </c>
    </row>
    <row r="188" spans="1:13" x14ac:dyDescent="0.3">
      <c r="A188" s="5">
        <v>8</v>
      </c>
      <c r="B188" s="5" t="s">
        <v>82</v>
      </c>
      <c r="C188" s="5" t="s">
        <v>81</v>
      </c>
      <c r="D188" s="5">
        <v>2024</v>
      </c>
      <c r="E188" s="5">
        <v>5</v>
      </c>
      <c r="F188" s="5" t="s">
        <v>62</v>
      </c>
      <c r="G188" s="5">
        <v>33041218</v>
      </c>
      <c r="H188" s="5">
        <v>28496807.710000001</v>
      </c>
      <c r="I188" s="5">
        <v>530</v>
      </c>
      <c r="J188" s="5">
        <v>4544410.29</v>
      </c>
      <c r="K188" s="5">
        <v>0.13750000000000001</v>
      </c>
      <c r="L188" s="5">
        <v>27312000</v>
      </c>
      <c r="M188" s="5">
        <v>1.2098</v>
      </c>
    </row>
    <row r="189" spans="1:13" x14ac:dyDescent="0.3">
      <c r="A189" s="5">
        <v>8</v>
      </c>
      <c r="B189" s="5" t="s">
        <v>82</v>
      </c>
      <c r="C189" s="5" t="s">
        <v>81</v>
      </c>
      <c r="D189" s="5">
        <v>2024</v>
      </c>
      <c r="E189" s="5">
        <v>6</v>
      </c>
      <c r="F189" s="5" t="s">
        <v>63</v>
      </c>
      <c r="G189" s="5">
        <v>34279588</v>
      </c>
      <c r="H189" s="5">
        <v>28268938.399999999</v>
      </c>
      <c r="I189" s="5">
        <v>489</v>
      </c>
      <c r="J189" s="5">
        <v>6010649.5999999996</v>
      </c>
      <c r="K189" s="5">
        <v>0.17530000000000001</v>
      </c>
      <c r="L189" s="5">
        <v>26693000</v>
      </c>
      <c r="M189" s="5">
        <v>1.2842</v>
      </c>
    </row>
    <row r="190" spans="1:13" x14ac:dyDescent="0.3">
      <c r="A190" s="5">
        <v>8</v>
      </c>
      <c r="B190" s="5" t="s">
        <v>82</v>
      </c>
      <c r="C190" s="5" t="s">
        <v>81</v>
      </c>
      <c r="D190" s="5">
        <v>2024</v>
      </c>
      <c r="E190" s="5">
        <v>7</v>
      </c>
      <c r="F190" s="5" t="s">
        <v>64</v>
      </c>
      <c r="G190" s="5">
        <v>32691777</v>
      </c>
      <c r="H190" s="5">
        <v>28122076.969999999</v>
      </c>
      <c r="I190" s="5">
        <v>476</v>
      </c>
      <c r="J190" s="5">
        <v>4569700.03</v>
      </c>
      <c r="K190" s="5">
        <v>0.13980000000000001</v>
      </c>
      <c r="L190" s="5">
        <v>25230000</v>
      </c>
      <c r="M190" s="5">
        <v>1.2958000000000001</v>
      </c>
    </row>
    <row r="191" spans="1:13" x14ac:dyDescent="0.3">
      <c r="A191" s="5">
        <v>8</v>
      </c>
      <c r="B191" s="5" t="s">
        <v>82</v>
      </c>
      <c r="C191" s="5" t="s">
        <v>81</v>
      </c>
      <c r="D191" s="5">
        <v>2024</v>
      </c>
      <c r="E191" s="5">
        <v>8</v>
      </c>
      <c r="F191" s="5" t="s">
        <v>65</v>
      </c>
      <c r="G191" s="5">
        <v>28251202</v>
      </c>
      <c r="H191" s="5">
        <v>23538100.039999999</v>
      </c>
      <c r="I191" s="5">
        <v>459</v>
      </c>
      <c r="J191" s="5">
        <v>4713101.96</v>
      </c>
      <c r="K191" s="5">
        <v>0.1668</v>
      </c>
      <c r="L191" s="5">
        <v>22658000</v>
      </c>
      <c r="M191" s="5">
        <v>1.2468999999999999</v>
      </c>
    </row>
    <row r="192" spans="1:13" x14ac:dyDescent="0.3">
      <c r="A192" s="5">
        <v>8</v>
      </c>
      <c r="B192" s="5" t="s">
        <v>82</v>
      </c>
      <c r="C192" s="5" t="s">
        <v>81</v>
      </c>
      <c r="D192" s="5">
        <v>2024</v>
      </c>
      <c r="E192" s="5">
        <v>9</v>
      </c>
      <c r="F192" s="5" t="s">
        <v>66</v>
      </c>
      <c r="G192" s="5">
        <v>35077042</v>
      </c>
      <c r="H192" s="5">
        <v>28937973.109999999</v>
      </c>
      <c r="I192" s="5">
        <v>519</v>
      </c>
      <c r="J192" s="5">
        <v>6139068.8899999997</v>
      </c>
      <c r="K192" s="5">
        <v>0.17499999999999999</v>
      </c>
      <c r="L192" s="5">
        <v>28813000</v>
      </c>
      <c r="M192" s="5">
        <v>1.2174</v>
      </c>
    </row>
    <row r="193" spans="1:13" x14ac:dyDescent="0.3">
      <c r="A193" s="5">
        <v>8</v>
      </c>
      <c r="B193" s="5" t="s">
        <v>82</v>
      </c>
      <c r="C193" s="5" t="s">
        <v>81</v>
      </c>
      <c r="D193" s="5">
        <v>2024</v>
      </c>
      <c r="E193" s="5">
        <v>10</v>
      </c>
      <c r="F193" s="5" t="s">
        <v>67</v>
      </c>
      <c r="G193" s="5">
        <v>47498846</v>
      </c>
      <c r="H193" s="5">
        <v>38285968.060000002</v>
      </c>
      <c r="I193" s="5">
        <v>613</v>
      </c>
      <c r="J193" s="5">
        <v>9212877.9399999995</v>
      </c>
      <c r="K193" s="5">
        <v>0.19400000000000001</v>
      </c>
      <c r="L193" s="5">
        <v>36514000</v>
      </c>
      <c r="M193" s="5">
        <v>1.3008</v>
      </c>
    </row>
    <row r="194" spans="1:13" x14ac:dyDescent="0.3">
      <c r="A194" s="5">
        <v>8</v>
      </c>
      <c r="B194" s="5" t="s">
        <v>82</v>
      </c>
      <c r="C194" s="5" t="s">
        <v>81</v>
      </c>
      <c r="D194" s="5">
        <v>2024</v>
      </c>
      <c r="E194" s="5">
        <v>11</v>
      </c>
      <c r="F194" s="5" t="s">
        <v>68</v>
      </c>
      <c r="G194" s="5">
        <v>48011304</v>
      </c>
      <c r="H194" s="5">
        <v>40519890.890000001</v>
      </c>
      <c r="I194" s="5">
        <v>691</v>
      </c>
      <c r="J194" s="5">
        <v>7491413.1100000003</v>
      </c>
      <c r="K194" s="5">
        <v>0.156</v>
      </c>
      <c r="L194" s="5">
        <v>37609000</v>
      </c>
      <c r="M194" s="5">
        <v>1.2766</v>
      </c>
    </row>
    <row r="195" spans="1:13" x14ac:dyDescent="0.3">
      <c r="A195" s="5">
        <v>8</v>
      </c>
      <c r="B195" s="5" t="s">
        <v>82</v>
      </c>
      <c r="C195" s="5" t="s">
        <v>81</v>
      </c>
      <c r="D195" s="5">
        <v>2024</v>
      </c>
      <c r="E195" s="5">
        <v>12</v>
      </c>
      <c r="F195" s="5" t="s">
        <v>69</v>
      </c>
      <c r="G195" s="5">
        <v>51366973</v>
      </c>
      <c r="H195" s="5">
        <v>41221004.340000004</v>
      </c>
      <c r="I195" s="5">
        <v>694</v>
      </c>
      <c r="J195" s="5">
        <v>10145968.66</v>
      </c>
      <c r="K195" s="5">
        <v>0.19750000000000001</v>
      </c>
      <c r="L195" s="5">
        <v>40623000</v>
      </c>
      <c r="M195" s="5">
        <v>1.2645</v>
      </c>
    </row>
    <row r="196" spans="1:13" x14ac:dyDescent="0.3">
      <c r="A196" s="5">
        <v>11</v>
      </c>
      <c r="B196" s="5" t="s">
        <v>83</v>
      </c>
      <c r="C196" s="5" t="s">
        <v>84</v>
      </c>
      <c r="D196" s="5">
        <v>2021</v>
      </c>
      <c r="E196" s="5">
        <v>1</v>
      </c>
      <c r="F196" s="5" t="s">
        <v>22</v>
      </c>
      <c r="G196" s="5">
        <v>11645952</v>
      </c>
      <c r="H196" s="5">
        <v>10474129.02</v>
      </c>
      <c r="I196" s="5">
        <v>162</v>
      </c>
      <c r="J196" s="5">
        <v>1171822.98</v>
      </c>
      <c r="K196" s="5">
        <v>0.10059999999999999</v>
      </c>
      <c r="L196" s="5">
        <v>9346000</v>
      </c>
      <c r="M196" s="5">
        <v>1.2461</v>
      </c>
    </row>
    <row r="197" spans="1:13" x14ac:dyDescent="0.3">
      <c r="A197" s="5">
        <v>11</v>
      </c>
      <c r="B197" s="5" t="s">
        <v>83</v>
      </c>
      <c r="C197" s="5" t="s">
        <v>84</v>
      </c>
      <c r="D197" s="5">
        <v>2021</v>
      </c>
      <c r="E197" s="5">
        <v>2</v>
      </c>
      <c r="F197" s="5" t="s">
        <v>23</v>
      </c>
      <c r="G197" s="5">
        <v>9344394</v>
      </c>
      <c r="H197" s="5">
        <v>8220134.9000000004</v>
      </c>
      <c r="I197" s="5">
        <v>139</v>
      </c>
      <c r="J197" s="5">
        <v>1124259.1000000001</v>
      </c>
      <c r="K197" s="5">
        <v>0.1203</v>
      </c>
      <c r="L197" s="5">
        <v>7526000</v>
      </c>
      <c r="M197" s="5">
        <v>1.2416</v>
      </c>
    </row>
    <row r="198" spans="1:13" x14ac:dyDescent="0.3">
      <c r="A198" s="5">
        <v>11</v>
      </c>
      <c r="B198" s="5" t="s">
        <v>83</v>
      </c>
      <c r="C198" s="5" t="s">
        <v>84</v>
      </c>
      <c r="D198" s="5">
        <v>2021</v>
      </c>
      <c r="E198" s="5">
        <v>3</v>
      </c>
      <c r="F198" s="5" t="s">
        <v>24</v>
      </c>
      <c r="G198" s="5">
        <v>9996957</v>
      </c>
      <c r="H198" s="5">
        <v>8180106.2699999996</v>
      </c>
      <c r="I198" s="5">
        <v>171</v>
      </c>
      <c r="J198" s="5">
        <v>1816850.73</v>
      </c>
      <c r="K198" s="5">
        <v>0.1817</v>
      </c>
      <c r="L198" s="5">
        <v>8464000</v>
      </c>
      <c r="M198" s="5">
        <v>1.1811</v>
      </c>
    </row>
    <row r="199" spans="1:13" x14ac:dyDescent="0.3">
      <c r="A199" s="5">
        <v>11</v>
      </c>
      <c r="B199" s="5" t="s">
        <v>83</v>
      </c>
      <c r="C199" s="5" t="s">
        <v>84</v>
      </c>
      <c r="D199" s="5">
        <v>2021</v>
      </c>
      <c r="E199" s="5">
        <v>4</v>
      </c>
      <c r="F199" s="5" t="s">
        <v>25</v>
      </c>
      <c r="G199" s="5">
        <v>11139305</v>
      </c>
      <c r="H199" s="5">
        <v>9697819.9900000002</v>
      </c>
      <c r="I199" s="5">
        <v>176</v>
      </c>
      <c r="J199" s="5">
        <v>1441485.01</v>
      </c>
      <c r="K199" s="5">
        <v>0.12939999999999999</v>
      </c>
      <c r="L199" s="5">
        <v>8707000</v>
      </c>
      <c r="M199" s="5">
        <v>1.2794000000000001</v>
      </c>
    </row>
    <row r="200" spans="1:13" x14ac:dyDescent="0.3">
      <c r="A200" s="5">
        <v>11</v>
      </c>
      <c r="B200" s="5" t="s">
        <v>83</v>
      </c>
      <c r="C200" s="5" t="s">
        <v>84</v>
      </c>
      <c r="D200" s="5">
        <v>2021</v>
      </c>
      <c r="E200" s="5">
        <v>5</v>
      </c>
      <c r="F200" s="5" t="s">
        <v>26</v>
      </c>
      <c r="G200" s="5">
        <v>11830056</v>
      </c>
      <c r="H200" s="5">
        <v>10684327.310000001</v>
      </c>
      <c r="I200" s="5">
        <v>203</v>
      </c>
      <c r="J200" s="5">
        <v>1145728.69</v>
      </c>
      <c r="K200" s="5">
        <v>9.6799999999999997E-2</v>
      </c>
      <c r="L200" s="5">
        <v>9764000</v>
      </c>
      <c r="M200" s="5">
        <v>1.2116</v>
      </c>
    </row>
    <row r="201" spans="1:13" x14ac:dyDescent="0.3">
      <c r="A201" s="5">
        <v>11</v>
      </c>
      <c r="B201" s="5" t="s">
        <v>83</v>
      </c>
      <c r="C201" s="5" t="s">
        <v>84</v>
      </c>
      <c r="D201" s="5">
        <v>2021</v>
      </c>
      <c r="E201" s="5">
        <v>6</v>
      </c>
      <c r="F201" s="5" t="s">
        <v>27</v>
      </c>
      <c r="G201" s="5">
        <v>13592641</v>
      </c>
      <c r="H201" s="5">
        <v>11775784.75</v>
      </c>
      <c r="I201" s="5">
        <v>192</v>
      </c>
      <c r="J201" s="5">
        <v>1816856.25</v>
      </c>
      <c r="K201" s="5">
        <v>0.13370000000000001</v>
      </c>
      <c r="L201" s="5">
        <v>11388000</v>
      </c>
      <c r="M201" s="5">
        <v>1.1936</v>
      </c>
    </row>
    <row r="202" spans="1:13" x14ac:dyDescent="0.3">
      <c r="A202" s="5">
        <v>11</v>
      </c>
      <c r="B202" s="5" t="s">
        <v>83</v>
      </c>
      <c r="C202" s="5" t="s">
        <v>84</v>
      </c>
      <c r="D202" s="5">
        <v>2021</v>
      </c>
      <c r="E202" s="5">
        <v>7</v>
      </c>
      <c r="F202" s="5" t="s">
        <v>28</v>
      </c>
      <c r="G202" s="5">
        <v>10205585</v>
      </c>
      <c r="H202" s="5">
        <v>9198205.1600000001</v>
      </c>
      <c r="I202" s="5">
        <v>177</v>
      </c>
      <c r="J202" s="5">
        <v>1007379.84</v>
      </c>
      <c r="K202" s="5">
        <v>9.8699999999999996E-2</v>
      </c>
      <c r="L202" s="5">
        <v>8388000</v>
      </c>
      <c r="M202" s="5">
        <v>1.2166999999999999</v>
      </c>
    </row>
    <row r="203" spans="1:13" x14ac:dyDescent="0.3">
      <c r="A203" s="5">
        <v>11</v>
      </c>
      <c r="B203" s="5" t="s">
        <v>83</v>
      </c>
      <c r="C203" s="5" t="s">
        <v>84</v>
      </c>
      <c r="D203" s="5">
        <v>2021</v>
      </c>
      <c r="E203" s="5">
        <v>8</v>
      </c>
      <c r="F203" s="5" t="s">
        <v>29</v>
      </c>
      <c r="G203" s="5">
        <v>12532758</v>
      </c>
      <c r="H203" s="5">
        <v>10520178.24</v>
      </c>
      <c r="I203" s="5">
        <v>181</v>
      </c>
      <c r="J203" s="5">
        <v>2012579.76</v>
      </c>
      <c r="K203" s="5">
        <v>0.16059999999999999</v>
      </c>
      <c r="L203" s="5">
        <v>10335000</v>
      </c>
      <c r="M203" s="5">
        <v>1.2126999999999999</v>
      </c>
    </row>
    <row r="204" spans="1:13" x14ac:dyDescent="0.3">
      <c r="A204" s="5">
        <v>11</v>
      </c>
      <c r="B204" s="5" t="s">
        <v>83</v>
      </c>
      <c r="C204" s="5" t="s">
        <v>84</v>
      </c>
      <c r="D204" s="5">
        <v>2021</v>
      </c>
      <c r="E204" s="5">
        <v>9</v>
      </c>
      <c r="F204" s="5" t="s">
        <v>30</v>
      </c>
      <c r="G204" s="5">
        <v>13553549</v>
      </c>
      <c r="H204" s="5">
        <v>11581853.34</v>
      </c>
      <c r="I204" s="5">
        <v>193</v>
      </c>
      <c r="J204" s="5">
        <v>1971695.66</v>
      </c>
      <c r="K204" s="5">
        <v>0.14549999999999999</v>
      </c>
      <c r="L204" s="5">
        <v>10651000</v>
      </c>
      <c r="M204" s="5">
        <v>1.2725</v>
      </c>
    </row>
    <row r="205" spans="1:13" x14ac:dyDescent="0.3">
      <c r="A205" s="5">
        <v>11</v>
      </c>
      <c r="B205" s="5" t="s">
        <v>83</v>
      </c>
      <c r="C205" s="5" t="s">
        <v>84</v>
      </c>
      <c r="D205" s="5">
        <v>2021</v>
      </c>
      <c r="E205" s="5">
        <v>10</v>
      </c>
      <c r="F205" s="5" t="s">
        <v>31</v>
      </c>
      <c r="G205" s="5">
        <v>18254396</v>
      </c>
      <c r="H205" s="5">
        <v>15375775.83</v>
      </c>
      <c r="I205" s="5">
        <v>258</v>
      </c>
      <c r="J205" s="5">
        <v>2878620.17</v>
      </c>
      <c r="K205" s="5">
        <v>0.15770000000000001</v>
      </c>
      <c r="L205" s="5">
        <v>14626000</v>
      </c>
      <c r="M205" s="5">
        <v>1.2481</v>
      </c>
    </row>
    <row r="206" spans="1:13" x14ac:dyDescent="0.3">
      <c r="A206" s="5">
        <v>11</v>
      </c>
      <c r="B206" s="5" t="s">
        <v>83</v>
      </c>
      <c r="C206" s="5" t="s">
        <v>84</v>
      </c>
      <c r="D206" s="5">
        <v>2021</v>
      </c>
      <c r="E206" s="5">
        <v>11</v>
      </c>
      <c r="F206" s="5" t="s">
        <v>32</v>
      </c>
      <c r="G206" s="5">
        <v>17817785</v>
      </c>
      <c r="H206" s="5">
        <v>14834316.289999999</v>
      </c>
      <c r="I206" s="5">
        <v>230</v>
      </c>
      <c r="J206" s="5">
        <v>2983468.71</v>
      </c>
      <c r="K206" s="5">
        <v>0.16739999999999999</v>
      </c>
      <c r="L206" s="5">
        <v>13795000</v>
      </c>
      <c r="M206" s="5">
        <v>1.2916000000000001</v>
      </c>
    </row>
    <row r="207" spans="1:13" x14ac:dyDescent="0.3">
      <c r="A207" s="5">
        <v>11</v>
      </c>
      <c r="B207" s="5" t="s">
        <v>83</v>
      </c>
      <c r="C207" s="5" t="s">
        <v>84</v>
      </c>
      <c r="D207" s="5">
        <v>2021</v>
      </c>
      <c r="E207" s="5">
        <v>12</v>
      </c>
      <c r="F207" s="5" t="s">
        <v>33</v>
      </c>
      <c r="G207" s="5">
        <v>17072498</v>
      </c>
      <c r="H207" s="5">
        <v>14375176.359999999</v>
      </c>
      <c r="I207" s="5">
        <v>250</v>
      </c>
      <c r="J207" s="5">
        <v>2697321.64</v>
      </c>
      <c r="K207" s="5">
        <v>0.158</v>
      </c>
      <c r="L207" s="5">
        <v>13200000</v>
      </c>
      <c r="M207" s="5">
        <v>1.2934000000000001</v>
      </c>
    </row>
    <row r="208" spans="1:13" x14ac:dyDescent="0.3">
      <c r="A208" s="5">
        <v>11</v>
      </c>
      <c r="B208" s="5" t="s">
        <v>83</v>
      </c>
      <c r="C208" s="5" t="s">
        <v>84</v>
      </c>
      <c r="D208" s="5">
        <v>2022</v>
      </c>
      <c r="E208" s="5">
        <v>1</v>
      </c>
      <c r="F208" s="5" t="s">
        <v>34</v>
      </c>
      <c r="G208" s="5">
        <v>17828183</v>
      </c>
      <c r="H208" s="5">
        <v>14480179.92</v>
      </c>
      <c r="I208" s="5">
        <v>241</v>
      </c>
      <c r="J208" s="5">
        <v>3348003.08</v>
      </c>
      <c r="K208" s="5">
        <v>0.18779999999999999</v>
      </c>
      <c r="L208" s="5">
        <v>13950000</v>
      </c>
      <c r="M208" s="5">
        <v>1.278</v>
      </c>
    </row>
    <row r="209" spans="1:13" x14ac:dyDescent="0.3">
      <c r="A209" s="5">
        <v>11</v>
      </c>
      <c r="B209" s="5" t="s">
        <v>83</v>
      </c>
      <c r="C209" s="5" t="s">
        <v>84</v>
      </c>
      <c r="D209" s="5">
        <v>2022</v>
      </c>
      <c r="E209" s="5">
        <v>2</v>
      </c>
      <c r="F209" s="5" t="s">
        <v>35</v>
      </c>
      <c r="G209" s="5">
        <v>12143446</v>
      </c>
      <c r="H209" s="5">
        <v>10025828.449999999</v>
      </c>
      <c r="I209" s="5">
        <v>183</v>
      </c>
      <c r="J209" s="5">
        <v>2117617.5499999998</v>
      </c>
      <c r="K209" s="5">
        <v>0.1744</v>
      </c>
      <c r="L209" s="5">
        <v>9441000</v>
      </c>
      <c r="M209" s="5">
        <v>1.2862</v>
      </c>
    </row>
    <row r="210" spans="1:13" x14ac:dyDescent="0.3">
      <c r="A210" s="5">
        <v>11</v>
      </c>
      <c r="B210" s="5" t="s">
        <v>83</v>
      </c>
      <c r="C210" s="5" t="s">
        <v>84</v>
      </c>
      <c r="D210" s="5">
        <v>2022</v>
      </c>
      <c r="E210" s="5">
        <v>3</v>
      </c>
      <c r="F210" s="5" t="s">
        <v>36</v>
      </c>
      <c r="G210" s="5">
        <v>21424951</v>
      </c>
      <c r="H210" s="5">
        <v>18464075.190000001</v>
      </c>
      <c r="I210" s="5">
        <v>285</v>
      </c>
      <c r="J210" s="5">
        <v>2960875.81</v>
      </c>
      <c r="K210" s="5">
        <v>0.13819999999999999</v>
      </c>
      <c r="L210" s="5">
        <v>16668000</v>
      </c>
      <c r="M210" s="5">
        <v>1.2854000000000001</v>
      </c>
    </row>
    <row r="211" spans="1:13" x14ac:dyDescent="0.3">
      <c r="A211" s="5">
        <v>11</v>
      </c>
      <c r="B211" s="5" t="s">
        <v>83</v>
      </c>
      <c r="C211" s="5" t="s">
        <v>84</v>
      </c>
      <c r="D211" s="5">
        <v>2022</v>
      </c>
      <c r="E211" s="5">
        <v>4</v>
      </c>
      <c r="F211" s="5" t="s">
        <v>37</v>
      </c>
      <c r="G211" s="5">
        <v>20278524</v>
      </c>
      <c r="H211" s="5">
        <v>17489640.52</v>
      </c>
      <c r="I211" s="5">
        <v>289</v>
      </c>
      <c r="J211" s="5">
        <v>2788883.48</v>
      </c>
      <c r="K211" s="5">
        <v>0.13750000000000001</v>
      </c>
      <c r="L211" s="5">
        <v>15553000</v>
      </c>
      <c r="M211" s="5">
        <v>1.3038000000000001</v>
      </c>
    </row>
    <row r="212" spans="1:13" x14ac:dyDescent="0.3">
      <c r="A212" s="5">
        <v>11</v>
      </c>
      <c r="B212" s="5" t="s">
        <v>83</v>
      </c>
      <c r="C212" s="5" t="s">
        <v>84</v>
      </c>
      <c r="D212" s="5">
        <v>2022</v>
      </c>
      <c r="E212" s="5">
        <v>5</v>
      </c>
      <c r="F212" s="5" t="s">
        <v>38</v>
      </c>
      <c r="G212" s="5">
        <v>19399236</v>
      </c>
      <c r="H212" s="5">
        <v>17237929.16</v>
      </c>
      <c r="I212" s="5">
        <v>292</v>
      </c>
      <c r="J212" s="5">
        <v>2161306.84</v>
      </c>
      <c r="K212" s="5">
        <v>0.1114</v>
      </c>
      <c r="L212" s="5">
        <v>15119000</v>
      </c>
      <c r="M212" s="5">
        <v>1.2830999999999999</v>
      </c>
    </row>
    <row r="213" spans="1:13" x14ac:dyDescent="0.3">
      <c r="A213" s="5">
        <v>11</v>
      </c>
      <c r="B213" s="5" t="s">
        <v>83</v>
      </c>
      <c r="C213" s="5" t="s">
        <v>84</v>
      </c>
      <c r="D213" s="5">
        <v>2022</v>
      </c>
      <c r="E213" s="5">
        <v>6</v>
      </c>
      <c r="F213" s="5" t="s">
        <v>39</v>
      </c>
      <c r="G213" s="5">
        <v>18545621</v>
      </c>
      <c r="H213" s="5">
        <v>15743082.960000001</v>
      </c>
      <c r="I213" s="5">
        <v>299</v>
      </c>
      <c r="J213" s="5">
        <v>2802538.04</v>
      </c>
      <c r="K213" s="5">
        <v>0.15110000000000001</v>
      </c>
      <c r="L213" s="5">
        <v>14878000</v>
      </c>
      <c r="M213" s="5">
        <v>1.2464999999999999</v>
      </c>
    </row>
    <row r="214" spans="1:13" x14ac:dyDescent="0.3">
      <c r="A214" s="5">
        <v>11</v>
      </c>
      <c r="B214" s="5" t="s">
        <v>83</v>
      </c>
      <c r="C214" s="5" t="s">
        <v>84</v>
      </c>
      <c r="D214" s="5">
        <v>2022</v>
      </c>
      <c r="E214" s="5">
        <v>7</v>
      </c>
      <c r="F214" s="5" t="s">
        <v>40</v>
      </c>
      <c r="G214" s="5">
        <v>16871853</v>
      </c>
      <c r="H214" s="5">
        <v>15009541.529999999</v>
      </c>
      <c r="I214" s="5">
        <v>283</v>
      </c>
      <c r="J214" s="5">
        <v>1862311.47</v>
      </c>
      <c r="K214" s="5">
        <v>0.1104</v>
      </c>
      <c r="L214" s="5">
        <v>13200000</v>
      </c>
      <c r="M214" s="5">
        <v>1.2782</v>
      </c>
    </row>
    <row r="215" spans="1:13" x14ac:dyDescent="0.3">
      <c r="A215" s="5">
        <v>11</v>
      </c>
      <c r="B215" s="5" t="s">
        <v>83</v>
      </c>
      <c r="C215" s="5" t="s">
        <v>84</v>
      </c>
      <c r="D215" s="5">
        <v>2022</v>
      </c>
      <c r="E215" s="5">
        <v>8</v>
      </c>
      <c r="F215" s="5" t="s">
        <v>41</v>
      </c>
      <c r="G215" s="5">
        <v>18993396</v>
      </c>
      <c r="H215" s="5">
        <v>17917545.59</v>
      </c>
      <c r="I215" s="5">
        <v>266</v>
      </c>
      <c r="J215" s="5">
        <v>1075850.4099999999</v>
      </c>
      <c r="K215" s="5">
        <v>5.6599999999999998E-2</v>
      </c>
      <c r="L215" s="5">
        <v>16359000</v>
      </c>
      <c r="M215" s="5">
        <v>1.161</v>
      </c>
    </row>
    <row r="216" spans="1:13" x14ac:dyDescent="0.3">
      <c r="A216" s="5">
        <v>11</v>
      </c>
      <c r="B216" s="5" t="s">
        <v>83</v>
      </c>
      <c r="C216" s="5" t="s">
        <v>84</v>
      </c>
      <c r="D216" s="5">
        <v>2022</v>
      </c>
      <c r="E216" s="5">
        <v>9</v>
      </c>
      <c r="F216" s="5" t="s">
        <v>42</v>
      </c>
      <c r="G216" s="5">
        <v>19761149</v>
      </c>
      <c r="H216" s="5">
        <v>17275918.140000001</v>
      </c>
      <c r="I216" s="5">
        <v>281</v>
      </c>
      <c r="J216" s="5">
        <v>2485230.86</v>
      </c>
      <c r="K216" s="5">
        <v>0.1258</v>
      </c>
      <c r="L216" s="5">
        <v>16594000</v>
      </c>
      <c r="M216" s="5">
        <v>1.1909000000000001</v>
      </c>
    </row>
    <row r="217" spans="1:13" x14ac:dyDescent="0.3">
      <c r="A217" s="5">
        <v>11</v>
      </c>
      <c r="B217" s="5" t="s">
        <v>83</v>
      </c>
      <c r="C217" s="5" t="s">
        <v>84</v>
      </c>
      <c r="D217" s="5">
        <v>2022</v>
      </c>
      <c r="E217" s="5">
        <v>10</v>
      </c>
      <c r="F217" s="5" t="s">
        <v>43</v>
      </c>
      <c r="G217" s="5">
        <v>23648754</v>
      </c>
      <c r="H217" s="5">
        <v>21471455.629999999</v>
      </c>
      <c r="I217" s="5">
        <v>391</v>
      </c>
      <c r="J217" s="5">
        <v>2177298.37</v>
      </c>
      <c r="K217" s="5">
        <v>9.2100000000000001E-2</v>
      </c>
      <c r="L217" s="5">
        <v>19734000</v>
      </c>
      <c r="M217" s="5">
        <v>1.1983999999999999</v>
      </c>
    </row>
    <row r="218" spans="1:13" x14ac:dyDescent="0.3">
      <c r="A218" s="5">
        <v>11</v>
      </c>
      <c r="B218" s="5" t="s">
        <v>83</v>
      </c>
      <c r="C218" s="5" t="s">
        <v>84</v>
      </c>
      <c r="D218" s="5">
        <v>2022</v>
      </c>
      <c r="E218" s="5">
        <v>11</v>
      </c>
      <c r="F218" s="5" t="s">
        <v>44</v>
      </c>
      <c r="G218" s="5">
        <v>24208642</v>
      </c>
      <c r="H218" s="5">
        <v>20608323.420000002</v>
      </c>
      <c r="I218" s="5">
        <v>399</v>
      </c>
      <c r="J218" s="5">
        <v>3600318.58</v>
      </c>
      <c r="K218" s="5">
        <v>0.1487</v>
      </c>
      <c r="L218" s="5">
        <v>18596000</v>
      </c>
      <c r="M218" s="5">
        <v>1.3018000000000001</v>
      </c>
    </row>
    <row r="219" spans="1:13" x14ac:dyDescent="0.3">
      <c r="A219" s="5">
        <v>11</v>
      </c>
      <c r="B219" s="5" t="s">
        <v>83</v>
      </c>
      <c r="C219" s="5" t="s">
        <v>84</v>
      </c>
      <c r="D219" s="5">
        <v>2022</v>
      </c>
      <c r="E219" s="5">
        <v>12</v>
      </c>
      <c r="F219" s="5" t="s">
        <v>45</v>
      </c>
      <c r="G219" s="5">
        <v>30064871</v>
      </c>
      <c r="H219" s="5">
        <v>24838168.059999999</v>
      </c>
      <c r="I219" s="5">
        <v>416</v>
      </c>
      <c r="J219" s="5">
        <v>5226702.9400000004</v>
      </c>
      <c r="K219" s="5">
        <v>0.17380000000000001</v>
      </c>
      <c r="L219" s="5">
        <v>24853000</v>
      </c>
      <c r="M219" s="5">
        <v>1.2097</v>
      </c>
    </row>
    <row r="220" spans="1:13" x14ac:dyDescent="0.3">
      <c r="A220" s="5">
        <v>11</v>
      </c>
      <c r="B220" s="5" t="s">
        <v>83</v>
      </c>
      <c r="C220" s="5" t="s">
        <v>84</v>
      </c>
      <c r="D220" s="5">
        <v>2023</v>
      </c>
      <c r="E220" s="5">
        <v>1</v>
      </c>
      <c r="F220" s="5" t="s">
        <v>46</v>
      </c>
      <c r="G220" s="5">
        <v>23734037</v>
      </c>
      <c r="H220" s="5">
        <v>20819776.129999999</v>
      </c>
      <c r="I220" s="5">
        <v>316</v>
      </c>
      <c r="J220" s="5">
        <v>2914260.87</v>
      </c>
      <c r="K220" s="5">
        <v>0.12280000000000001</v>
      </c>
      <c r="L220" s="5">
        <v>18101000</v>
      </c>
      <c r="M220" s="5">
        <v>1.3111999999999999</v>
      </c>
    </row>
    <row r="221" spans="1:13" x14ac:dyDescent="0.3">
      <c r="A221" s="5">
        <v>11</v>
      </c>
      <c r="B221" s="5" t="s">
        <v>83</v>
      </c>
      <c r="C221" s="5" t="s">
        <v>84</v>
      </c>
      <c r="D221" s="5">
        <v>2023</v>
      </c>
      <c r="E221" s="5">
        <v>2</v>
      </c>
      <c r="F221" s="5" t="s">
        <v>47</v>
      </c>
      <c r="G221" s="5">
        <v>15239182</v>
      </c>
      <c r="H221" s="5">
        <v>13301785.689999999</v>
      </c>
      <c r="I221" s="5">
        <v>243</v>
      </c>
      <c r="J221" s="5">
        <v>1937396.31</v>
      </c>
      <c r="K221" s="5">
        <v>0.12709999999999999</v>
      </c>
      <c r="L221" s="5">
        <v>12416000</v>
      </c>
      <c r="M221" s="5">
        <v>1.2274</v>
      </c>
    </row>
    <row r="222" spans="1:13" x14ac:dyDescent="0.3">
      <c r="A222" s="5">
        <v>11</v>
      </c>
      <c r="B222" s="5" t="s">
        <v>83</v>
      </c>
      <c r="C222" s="5" t="s">
        <v>84</v>
      </c>
      <c r="D222" s="5">
        <v>2023</v>
      </c>
      <c r="E222" s="5">
        <v>3</v>
      </c>
      <c r="F222" s="5" t="s">
        <v>48</v>
      </c>
      <c r="G222" s="5">
        <v>22093864</v>
      </c>
      <c r="H222" s="5">
        <v>19632556.699999999</v>
      </c>
      <c r="I222" s="5">
        <v>281</v>
      </c>
      <c r="J222" s="5">
        <v>2461307.2999999998</v>
      </c>
      <c r="K222" s="5">
        <v>0.1114</v>
      </c>
      <c r="L222" s="5">
        <v>18227000</v>
      </c>
      <c r="M222" s="5">
        <v>1.2121999999999999</v>
      </c>
    </row>
    <row r="223" spans="1:13" x14ac:dyDescent="0.3">
      <c r="A223" s="5">
        <v>11</v>
      </c>
      <c r="B223" s="5" t="s">
        <v>83</v>
      </c>
      <c r="C223" s="5" t="s">
        <v>84</v>
      </c>
      <c r="D223" s="5">
        <v>2023</v>
      </c>
      <c r="E223" s="5">
        <v>4</v>
      </c>
      <c r="F223" s="5" t="s">
        <v>49</v>
      </c>
      <c r="G223" s="5">
        <v>21641175</v>
      </c>
      <c r="H223" s="5">
        <v>19151423.77</v>
      </c>
      <c r="I223" s="5">
        <v>345</v>
      </c>
      <c r="J223" s="5">
        <v>2489751.23</v>
      </c>
      <c r="K223" s="5">
        <v>0.115</v>
      </c>
      <c r="L223" s="5">
        <v>16386000</v>
      </c>
      <c r="M223" s="5">
        <v>1.3207</v>
      </c>
    </row>
    <row r="224" spans="1:13" x14ac:dyDescent="0.3">
      <c r="A224" s="5">
        <v>11</v>
      </c>
      <c r="B224" s="5" t="s">
        <v>83</v>
      </c>
      <c r="C224" s="5" t="s">
        <v>84</v>
      </c>
      <c r="D224" s="5">
        <v>2023</v>
      </c>
      <c r="E224" s="5">
        <v>5</v>
      </c>
      <c r="F224" s="5" t="s">
        <v>50</v>
      </c>
      <c r="G224" s="5">
        <v>22382053</v>
      </c>
      <c r="H224" s="5">
        <v>19424066.329999998</v>
      </c>
      <c r="I224" s="5">
        <v>362</v>
      </c>
      <c r="J224" s="5">
        <v>2957986.67</v>
      </c>
      <c r="K224" s="5">
        <v>0.13220000000000001</v>
      </c>
      <c r="L224" s="5">
        <v>18392000</v>
      </c>
      <c r="M224" s="5">
        <v>1.2169000000000001</v>
      </c>
    </row>
    <row r="225" spans="1:13" x14ac:dyDescent="0.3">
      <c r="A225" s="5">
        <v>11</v>
      </c>
      <c r="B225" s="5" t="s">
        <v>83</v>
      </c>
      <c r="C225" s="5" t="s">
        <v>84</v>
      </c>
      <c r="D225" s="5">
        <v>2023</v>
      </c>
      <c r="E225" s="5">
        <v>6</v>
      </c>
      <c r="F225" s="5" t="s">
        <v>51</v>
      </c>
      <c r="G225" s="5">
        <v>23971695</v>
      </c>
      <c r="H225" s="5">
        <v>20891252.52</v>
      </c>
      <c r="I225" s="5">
        <v>340</v>
      </c>
      <c r="J225" s="5">
        <v>3080442.48</v>
      </c>
      <c r="K225" s="5">
        <v>0.1285</v>
      </c>
      <c r="L225" s="5">
        <v>19104000</v>
      </c>
      <c r="M225" s="5">
        <v>1.2547999999999999</v>
      </c>
    </row>
    <row r="226" spans="1:13" x14ac:dyDescent="0.3">
      <c r="A226" s="5">
        <v>11</v>
      </c>
      <c r="B226" s="5" t="s">
        <v>83</v>
      </c>
      <c r="C226" s="5" t="s">
        <v>84</v>
      </c>
      <c r="D226" s="5">
        <v>2023</v>
      </c>
      <c r="E226" s="5">
        <v>7</v>
      </c>
      <c r="F226" s="5" t="s">
        <v>52</v>
      </c>
      <c r="G226" s="5">
        <v>18654268</v>
      </c>
      <c r="H226" s="5">
        <v>16516444.59</v>
      </c>
      <c r="I226" s="5">
        <v>318</v>
      </c>
      <c r="J226" s="5">
        <v>2137823.41</v>
      </c>
      <c r="K226" s="5">
        <v>0.11459999999999999</v>
      </c>
      <c r="L226" s="5">
        <v>14482000</v>
      </c>
      <c r="M226" s="5">
        <v>1.2881</v>
      </c>
    </row>
    <row r="227" spans="1:13" x14ac:dyDescent="0.3">
      <c r="A227" s="5">
        <v>11</v>
      </c>
      <c r="B227" s="5" t="s">
        <v>83</v>
      </c>
      <c r="C227" s="5" t="s">
        <v>84</v>
      </c>
      <c r="D227" s="5">
        <v>2023</v>
      </c>
      <c r="E227" s="5">
        <v>8</v>
      </c>
      <c r="F227" s="5" t="s">
        <v>53</v>
      </c>
      <c r="G227" s="5">
        <v>19752901</v>
      </c>
      <c r="H227" s="5">
        <v>17244653.75</v>
      </c>
      <c r="I227" s="5">
        <v>321</v>
      </c>
      <c r="J227" s="5">
        <v>2508247.25</v>
      </c>
      <c r="K227" s="5">
        <v>0.127</v>
      </c>
      <c r="L227" s="5">
        <v>15556000</v>
      </c>
      <c r="M227" s="5">
        <v>1.2698</v>
      </c>
    </row>
    <row r="228" spans="1:13" x14ac:dyDescent="0.3">
      <c r="A228" s="5">
        <v>11</v>
      </c>
      <c r="B228" s="5" t="s">
        <v>83</v>
      </c>
      <c r="C228" s="5" t="s">
        <v>84</v>
      </c>
      <c r="D228" s="5">
        <v>2023</v>
      </c>
      <c r="E228" s="5">
        <v>9</v>
      </c>
      <c r="F228" s="5" t="s">
        <v>54</v>
      </c>
      <c r="G228" s="5">
        <v>22222477</v>
      </c>
      <c r="H228" s="5">
        <v>20289620.289999999</v>
      </c>
      <c r="I228" s="5">
        <v>353</v>
      </c>
      <c r="J228" s="5">
        <v>1932856.71</v>
      </c>
      <c r="K228" s="5">
        <v>8.6999999999999994E-2</v>
      </c>
      <c r="L228" s="5">
        <v>17284000</v>
      </c>
      <c r="M228" s="5">
        <v>1.2857000000000001</v>
      </c>
    </row>
    <row r="229" spans="1:13" x14ac:dyDescent="0.3">
      <c r="A229" s="5">
        <v>11</v>
      </c>
      <c r="B229" s="5" t="s">
        <v>83</v>
      </c>
      <c r="C229" s="5" t="s">
        <v>84</v>
      </c>
      <c r="D229" s="5">
        <v>2023</v>
      </c>
      <c r="E229" s="5">
        <v>10</v>
      </c>
      <c r="F229" s="5" t="s">
        <v>55</v>
      </c>
      <c r="G229" s="5">
        <v>28975707</v>
      </c>
      <c r="H229" s="5">
        <v>24822549</v>
      </c>
      <c r="I229" s="5">
        <v>478</v>
      </c>
      <c r="J229" s="5">
        <v>4153158</v>
      </c>
      <c r="K229" s="5">
        <v>0.14330000000000001</v>
      </c>
      <c r="L229" s="5">
        <v>22175000</v>
      </c>
      <c r="M229" s="5">
        <v>1.3067</v>
      </c>
    </row>
    <row r="230" spans="1:13" x14ac:dyDescent="0.3">
      <c r="A230" s="5">
        <v>11</v>
      </c>
      <c r="B230" s="5" t="s">
        <v>83</v>
      </c>
      <c r="C230" s="5" t="s">
        <v>84</v>
      </c>
      <c r="D230" s="5">
        <v>2023</v>
      </c>
      <c r="E230" s="5">
        <v>11</v>
      </c>
      <c r="F230" s="5" t="s">
        <v>56</v>
      </c>
      <c r="G230" s="5">
        <v>31343250</v>
      </c>
      <c r="H230" s="5">
        <v>27805629.109999999</v>
      </c>
      <c r="I230" s="5">
        <v>490</v>
      </c>
      <c r="J230" s="5">
        <v>3537620.89</v>
      </c>
      <c r="K230" s="5">
        <v>0.1129</v>
      </c>
      <c r="L230" s="5">
        <v>25869000</v>
      </c>
      <c r="M230" s="5">
        <v>1.2116</v>
      </c>
    </row>
    <row r="231" spans="1:13" x14ac:dyDescent="0.3">
      <c r="A231" s="5">
        <v>11</v>
      </c>
      <c r="B231" s="5" t="s">
        <v>83</v>
      </c>
      <c r="C231" s="5" t="s">
        <v>84</v>
      </c>
      <c r="D231" s="5">
        <v>2023</v>
      </c>
      <c r="E231" s="5">
        <v>12</v>
      </c>
      <c r="F231" s="5" t="s">
        <v>57</v>
      </c>
      <c r="G231" s="5">
        <v>31835458</v>
      </c>
      <c r="H231" s="5">
        <v>28470709.969999999</v>
      </c>
      <c r="I231" s="5">
        <v>502</v>
      </c>
      <c r="J231" s="5">
        <v>3364748.03</v>
      </c>
      <c r="K231" s="5">
        <v>0.1057</v>
      </c>
      <c r="L231" s="5">
        <v>25204000</v>
      </c>
      <c r="M231" s="5">
        <v>1.2630999999999999</v>
      </c>
    </row>
    <row r="232" spans="1:13" x14ac:dyDescent="0.3">
      <c r="A232" s="5">
        <v>11</v>
      </c>
      <c r="B232" s="5" t="s">
        <v>83</v>
      </c>
      <c r="C232" s="5" t="s">
        <v>84</v>
      </c>
      <c r="D232" s="5">
        <v>2024</v>
      </c>
      <c r="E232" s="5">
        <v>1</v>
      </c>
      <c r="F232" s="5" t="s">
        <v>58</v>
      </c>
      <c r="G232" s="5">
        <v>23841120</v>
      </c>
      <c r="H232" s="5">
        <v>21467795.57</v>
      </c>
      <c r="I232" s="5">
        <v>340</v>
      </c>
      <c r="J232" s="5">
        <v>2373324.4300000002</v>
      </c>
      <c r="K232" s="5">
        <v>9.9500000000000005E-2</v>
      </c>
      <c r="L232" s="5">
        <v>18723000</v>
      </c>
      <c r="M232" s="5">
        <v>1.2734000000000001</v>
      </c>
    </row>
    <row r="233" spans="1:13" x14ac:dyDescent="0.3">
      <c r="A233" s="5">
        <v>11</v>
      </c>
      <c r="B233" s="5" t="s">
        <v>83</v>
      </c>
      <c r="C233" s="5" t="s">
        <v>84</v>
      </c>
      <c r="D233" s="5">
        <v>2024</v>
      </c>
      <c r="E233" s="5">
        <v>2</v>
      </c>
      <c r="F233" s="5" t="s">
        <v>59</v>
      </c>
      <c r="G233" s="5">
        <v>20767071</v>
      </c>
      <c r="H233" s="5">
        <v>17634866.390000001</v>
      </c>
      <c r="I233" s="5">
        <v>289</v>
      </c>
      <c r="J233" s="5">
        <v>3132204.61</v>
      </c>
      <c r="K233" s="5">
        <v>0.15079999999999999</v>
      </c>
      <c r="L233" s="5">
        <v>17027000</v>
      </c>
      <c r="M233" s="5">
        <v>1.2197</v>
      </c>
    </row>
    <row r="234" spans="1:13" x14ac:dyDescent="0.3">
      <c r="A234" s="5">
        <v>11</v>
      </c>
      <c r="B234" s="5" t="s">
        <v>83</v>
      </c>
      <c r="C234" s="5" t="s">
        <v>84</v>
      </c>
      <c r="D234" s="5">
        <v>2024</v>
      </c>
      <c r="E234" s="5">
        <v>3</v>
      </c>
      <c r="F234" s="5" t="s">
        <v>60</v>
      </c>
      <c r="G234" s="5">
        <v>23734669</v>
      </c>
      <c r="H234" s="5">
        <v>20753908.210000001</v>
      </c>
      <c r="I234" s="5">
        <v>371</v>
      </c>
      <c r="J234" s="5">
        <v>2980760.79</v>
      </c>
      <c r="K234" s="5">
        <v>0.12559999999999999</v>
      </c>
      <c r="L234" s="5">
        <v>18394000</v>
      </c>
      <c r="M234" s="5">
        <v>1.2903</v>
      </c>
    </row>
    <row r="235" spans="1:13" x14ac:dyDescent="0.3">
      <c r="A235" s="5">
        <v>11</v>
      </c>
      <c r="B235" s="5" t="s">
        <v>83</v>
      </c>
      <c r="C235" s="5" t="s">
        <v>84</v>
      </c>
      <c r="D235" s="5">
        <v>2024</v>
      </c>
      <c r="E235" s="5">
        <v>4</v>
      </c>
      <c r="F235" s="5" t="s">
        <v>61</v>
      </c>
      <c r="G235" s="5">
        <v>24197269</v>
      </c>
      <c r="H235" s="5">
        <v>20893804.699999999</v>
      </c>
      <c r="I235" s="5">
        <v>368</v>
      </c>
      <c r="J235" s="5">
        <v>3303464.3</v>
      </c>
      <c r="K235" s="5">
        <v>0.13650000000000001</v>
      </c>
      <c r="L235" s="5">
        <v>20179000</v>
      </c>
      <c r="M235" s="5">
        <v>1.1991000000000001</v>
      </c>
    </row>
    <row r="236" spans="1:13" x14ac:dyDescent="0.3">
      <c r="A236" s="5">
        <v>11</v>
      </c>
      <c r="B236" s="5" t="s">
        <v>83</v>
      </c>
      <c r="C236" s="5" t="s">
        <v>84</v>
      </c>
      <c r="D236" s="5">
        <v>2024</v>
      </c>
      <c r="E236" s="5">
        <v>5</v>
      </c>
      <c r="F236" s="5" t="s">
        <v>62</v>
      </c>
      <c r="G236" s="5">
        <v>25179351</v>
      </c>
      <c r="H236" s="5">
        <v>21812023.469999999</v>
      </c>
      <c r="I236" s="5">
        <v>395</v>
      </c>
      <c r="J236" s="5">
        <v>3367327.53</v>
      </c>
      <c r="K236" s="5">
        <v>0.13370000000000001</v>
      </c>
      <c r="L236" s="5">
        <v>20380000</v>
      </c>
      <c r="M236" s="5">
        <v>1.2355</v>
      </c>
    </row>
    <row r="237" spans="1:13" x14ac:dyDescent="0.3">
      <c r="A237" s="5">
        <v>11</v>
      </c>
      <c r="B237" s="5" t="s">
        <v>83</v>
      </c>
      <c r="C237" s="5" t="s">
        <v>84</v>
      </c>
      <c r="D237" s="5">
        <v>2024</v>
      </c>
      <c r="E237" s="5">
        <v>6</v>
      </c>
      <c r="F237" s="5" t="s">
        <v>63</v>
      </c>
      <c r="G237" s="5">
        <v>27193687</v>
      </c>
      <c r="H237" s="5">
        <v>22821848.129999999</v>
      </c>
      <c r="I237" s="5">
        <v>391</v>
      </c>
      <c r="J237" s="5">
        <v>4371838.87</v>
      </c>
      <c r="K237" s="5">
        <v>0.1608</v>
      </c>
      <c r="L237" s="5">
        <v>20827000</v>
      </c>
      <c r="M237" s="5">
        <v>1.3057000000000001</v>
      </c>
    </row>
    <row r="238" spans="1:13" x14ac:dyDescent="0.3">
      <c r="A238" s="5">
        <v>11</v>
      </c>
      <c r="B238" s="5" t="s">
        <v>83</v>
      </c>
      <c r="C238" s="5" t="s">
        <v>84</v>
      </c>
      <c r="D238" s="5">
        <v>2024</v>
      </c>
      <c r="E238" s="5">
        <v>7</v>
      </c>
      <c r="F238" s="5" t="s">
        <v>64</v>
      </c>
      <c r="G238" s="5">
        <v>25374316</v>
      </c>
      <c r="H238" s="5">
        <v>21630248.09</v>
      </c>
      <c r="I238" s="5">
        <v>383</v>
      </c>
      <c r="J238" s="5">
        <v>3744067.91</v>
      </c>
      <c r="K238" s="5">
        <v>0.14760000000000001</v>
      </c>
      <c r="L238" s="5">
        <v>20393000</v>
      </c>
      <c r="M238" s="5">
        <v>1.2443</v>
      </c>
    </row>
    <row r="239" spans="1:13" x14ac:dyDescent="0.3">
      <c r="A239" s="5">
        <v>11</v>
      </c>
      <c r="B239" s="5" t="s">
        <v>83</v>
      </c>
      <c r="C239" s="5" t="s">
        <v>84</v>
      </c>
      <c r="D239" s="5">
        <v>2024</v>
      </c>
      <c r="E239" s="5">
        <v>8</v>
      </c>
      <c r="F239" s="5" t="s">
        <v>65</v>
      </c>
      <c r="G239" s="5">
        <v>23642008</v>
      </c>
      <c r="H239" s="5">
        <v>20309278.899999999</v>
      </c>
      <c r="I239" s="5">
        <v>382</v>
      </c>
      <c r="J239" s="5">
        <v>3332729.1</v>
      </c>
      <c r="K239" s="5">
        <v>0.14099999999999999</v>
      </c>
      <c r="L239" s="5">
        <v>19672000</v>
      </c>
      <c r="M239" s="5">
        <v>1.2018</v>
      </c>
    </row>
    <row r="240" spans="1:13" x14ac:dyDescent="0.3">
      <c r="A240" s="5">
        <v>11</v>
      </c>
      <c r="B240" s="5" t="s">
        <v>83</v>
      </c>
      <c r="C240" s="5" t="s">
        <v>84</v>
      </c>
      <c r="D240" s="5">
        <v>2024</v>
      </c>
      <c r="E240" s="5">
        <v>9</v>
      </c>
      <c r="F240" s="5" t="s">
        <v>66</v>
      </c>
      <c r="G240" s="5">
        <v>28094433</v>
      </c>
      <c r="H240" s="5">
        <v>22811060.82</v>
      </c>
      <c r="I240" s="5">
        <v>426</v>
      </c>
      <c r="J240" s="5">
        <v>5283372.18</v>
      </c>
      <c r="K240" s="5">
        <v>0.18809999999999999</v>
      </c>
      <c r="L240" s="5">
        <v>22964000</v>
      </c>
      <c r="M240" s="5">
        <v>1.2234</v>
      </c>
    </row>
    <row r="241" spans="1:13" x14ac:dyDescent="0.3">
      <c r="A241" s="5">
        <v>11</v>
      </c>
      <c r="B241" s="5" t="s">
        <v>83</v>
      </c>
      <c r="C241" s="5" t="s">
        <v>84</v>
      </c>
      <c r="D241" s="5">
        <v>2024</v>
      </c>
      <c r="E241" s="5">
        <v>10</v>
      </c>
      <c r="F241" s="5" t="s">
        <v>67</v>
      </c>
      <c r="G241" s="5">
        <v>41388581</v>
      </c>
      <c r="H241" s="5">
        <v>33284904.539999999</v>
      </c>
      <c r="I241" s="5">
        <v>544</v>
      </c>
      <c r="J241" s="5">
        <v>8103676.46</v>
      </c>
      <c r="K241" s="5">
        <v>0.1958</v>
      </c>
      <c r="L241" s="5">
        <v>33020000</v>
      </c>
      <c r="M241" s="5">
        <v>1.2534000000000001</v>
      </c>
    </row>
    <row r="242" spans="1:13" x14ac:dyDescent="0.3">
      <c r="A242" s="5">
        <v>11</v>
      </c>
      <c r="B242" s="5" t="s">
        <v>83</v>
      </c>
      <c r="C242" s="5" t="s">
        <v>84</v>
      </c>
      <c r="D242" s="5">
        <v>2024</v>
      </c>
      <c r="E242" s="5">
        <v>11</v>
      </c>
      <c r="F242" s="5" t="s">
        <v>68</v>
      </c>
      <c r="G242" s="5">
        <v>36992801</v>
      </c>
      <c r="H242" s="5">
        <v>30814104.98</v>
      </c>
      <c r="I242" s="5">
        <v>526</v>
      </c>
      <c r="J242" s="5">
        <v>6178696.0199999996</v>
      </c>
      <c r="K242" s="5">
        <v>0.16700000000000001</v>
      </c>
      <c r="L242" s="5">
        <v>28425000</v>
      </c>
      <c r="M242" s="5">
        <v>1.3013999999999999</v>
      </c>
    </row>
    <row r="243" spans="1:13" x14ac:dyDescent="0.3">
      <c r="A243" s="5">
        <v>11</v>
      </c>
      <c r="B243" s="5" t="s">
        <v>83</v>
      </c>
      <c r="C243" s="5" t="s">
        <v>84</v>
      </c>
      <c r="D243" s="5">
        <v>2024</v>
      </c>
      <c r="E243" s="5">
        <v>12</v>
      </c>
      <c r="F243" s="5" t="s">
        <v>69</v>
      </c>
      <c r="G243" s="5">
        <v>34361860</v>
      </c>
      <c r="H243" s="5">
        <v>27463453.539999999</v>
      </c>
      <c r="I243" s="5">
        <v>496</v>
      </c>
      <c r="J243" s="5">
        <v>6898406.46</v>
      </c>
      <c r="K243" s="5">
        <v>0.20080000000000001</v>
      </c>
      <c r="L243" s="5">
        <v>30088000</v>
      </c>
      <c r="M243" s="5">
        <v>1.1419999999999999</v>
      </c>
    </row>
    <row r="244" spans="1:13" x14ac:dyDescent="0.3">
      <c r="A244" s="5">
        <v>3</v>
      </c>
      <c r="B244" s="5" t="s">
        <v>85</v>
      </c>
      <c r="C244" s="5" t="s">
        <v>79</v>
      </c>
      <c r="D244" s="5">
        <v>2021</v>
      </c>
      <c r="E244" s="5">
        <v>1</v>
      </c>
      <c r="F244" s="5" t="s">
        <v>22</v>
      </c>
      <c r="G244" s="5">
        <v>17943236</v>
      </c>
      <c r="H244" s="5">
        <v>16334544.42</v>
      </c>
      <c r="I244" s="5">
        <v>282</v>
      </c>
      <c r="J244" s="5">
        <v>1608691.58</v>
      </c>
      <c r="K244" s="5">
        <v>8.9700000000000002E-2</v>
      </c>
      <c r="L244" s="5">
        <v>16915000</v>
      </c>
      <c r="M244" s="5">
        <v>1.0608</v>
      </c>
    </row>
    <row r="245" spans="1:13" x14ac:dyDescent="0.3">
      <c r="A245" s="5">
        <v>3</v>
      </c>
      <c r="B245" s="5" t="s">
        <v>85</v>
      </c>
      <c r="C245" s="5" t="s">
        <v>79</v>
      </c>
      <c r="D245" s="5">
        <v>2021</v>
      </c>
      <c r="E245" s="5">
        <v>2</v>
      </c>
      <c r="F245" s="5" t="s">
        <v>23</v>
      </c>
      <c r="G245" s="5">
        <v>16845534</v>
      </c>
      <c r="H245" s="5">
        <v>14969060.57</v>
      </c>
      <c r="I245" s="5">
        <v>259</v>
      </c>
      <c r="J245" s="5">
        <v>1876473.43</v>
      </c>
      <c r="K245" s="5">
        <v>0.1114</v>
      </c>
      <c r="L245" s="5">
        <v>14670000</v>
      </c>
      <c r="M245" s="5">
        <v>1.1483000000000001</v>
      </c>
    </row>
    <row r="246" spans="1:13" x14ac:dyDescent="0.3">
      <c r="A246" s="5">
        <v>3</v>
      </c>
      <c r="B246" s="5" t="s">
        <v>85</v>
      </c>
      <c r="C246" s="5" t="s">
        <v>79</v>
      </c>
      <c r="D246" s="5">
        <v>2021</v>
      </c>
      <c r="E246" s="5">
        <v>3</v>
      </c>
      <c r="F246" s="5" t="s">
        <v>24</v>
      </c>
      <c r="G246" s="5">
        <v>21399323</v>
      </c>
      <c r="H246" s="5">
        <v>17850914.120000001</v>
      </c>
      <c r="I246" s="5">
        <v>319</v>
      </c>
      <c r="J246" s="5">
        <v>3548408.88</v>
      </c>
      <c r="K246" s="5">
        <v>0.1658</v>
      </c>
      <c r="L246" s="5">
        <v>19796000</v>
      </c>
      <c r="M246" s="5">
        <v>1.081</v>
      </c>
    </row>
    <row r="247" spans="1:13" x14ac:dyDescent="0.3">
      <c r="A247" s="5">
        <v>3</v>
      </c>
      <c r="B247" s="5" t="s">
        <v>85</v>
      </c>
      <c r="C247" s="5" t="s">
        <v>79</v>
      </c>
      <c r="D247" s="5">
        <v>2021</v>
      </c>
      <c r="E247" s="5">
        <v>4</v>
      </c>
      <c r="F247" s="5" t="s">
        <v>25</v>
      </c>
      <c r="G247" s="5">
        <v>22793142</v>
      </c>
      <c r="H247" s="5">
        <v>19523843.140000001</v>
      </c>
      <c r="I247" s="5">
        <v>334</v>
      </c>
      <c r="J247" s="5">
        <v>3269298.86</v>
      </c>
      <c r="K247" s="5">
        <v>0.1434</v>
      </c>
      <c r="L247" s="5">
        <v>20720000</v>
      </c>
      <c r="M247" s="5">
        <v>1.1001000000000001</v>
      </c>
    </row>
    <row r="248" spans="1:13" x14ac:dyDescent="0.3">
      <c r="A248" s="5">
        <v>3</v>
      </c>
      <c r="B248" s="5" t="s">
        <v>85</v>
      </c>
      <c r="C248" s="5" t="s">
        <v>79</v>
      </c>
      <c r="D248" s="5">
        <v>2021</v>
      </c>
      <c r="E248" s="5">
        <v>5</v>
      </c>
      <c r="F248" s="5" t="s">
        <v>26</v>
      </c>
      <c r="G248" s="5">
        <v>23073782</v>
      </c>
      <c r="H248" s="5">
        <v>20144612.440000001</v>
      </c>
      <c r="I248" s="5">
        <v>383</v>
      </c>
      <c r="J248" s="5">
        <v>2929169.56</v>
      </c>
      <c r="K248" s="5">
        <v>0.12690000000000001</v>
      </c>
      <c r="L248" s="5">
        <v>21673000</v>
      </c>
      <c r="M248" s="5">
        <v>1.0646</v>
      </c>
    </row>
    <row r="249" spans="1:13" x14ac:dyDescent="0.3">
      <c r="A249" s="5">
        <v>3</v>
      </c>
      <c r="B249" s="5" t="s">
        <v>85</v>
      </c>
      <c r="C249" s="5" t="s">
        <v>79</v>
      </c>
      <c r="D249" s="5">
        <v>2021</v>
      </c>
      <c r="E249" s="5">
        <v>6</v>
      </c>
      <c r="F249" s="5" t="s">
        <v>27</v>
      </c>
      <c r="G249" s="5">
        <v>26095827</v>
      </c>
      <c r="H249" s="5">
        <v>22902964.59</v>
      </c>
      <c r="I249" s="5">
        <v>357</v>
      </c>
      <c r="J249" s="5">
        <v>3192862.41</v>
      </c>
      <c r="K249" s="5">
        <v>0.12239999999999999</v>
      </c>
      <c r="L249" s="5">
        <v>23011000</v>
      </c>
      <c r="M249" s="5">
        <v>1.1341000000000001</v>
      </c>
    </row>
    <row r="250" spans="1:13" x14ac:dyDescent="0.3">
      <c r="A250" s="5">
        <v>3</v>
      </c>
      <c r="B250" s="5" t="s">
        <v>85</v>
      </c>
      <c r="C250" s="5" t="s">
        <v>79</v>
      </c>
      <c r="D250" s="5">
        <v>2021</v>
      </c>
      <c r="E250" s="5">
        <v>7</v>
      </c>
      <c r="F250" s="5" t="s">
        <v>28</v>
      </c>
      <c r="G250" s="5">
        <v>21287721</v>
      </c>
      <c r="H250" s="5">
        <v>19003633.010000002</v>
      </c>
      <c r="I250" s="5">
        <v>336</v>
      </c>
      <c r="J250" s="5">
        <v>2284087.9900000002</v>
      </c>
      <c r="K250" s="5">
        <v>0.10730000000000001</v>
      </c>
      <c r="L250" s="5">
        <v>19916000</v>
      </c>
      <c r="M250" s="5">
        <v>1.0689</v>
      </c>
    </row>
    <row r="251" spans="1:13" x14ac:dyDescent="0.3">
      <c r="A251" s="5">
        <v>3</v>
      </c>
      <c r="B251" s="5" t="s">
        <v>85</v>
      </c>
      <c r="C251" s="5" t="s">
        <v>79</v>
      </c>
      <c r="D251" s="5">
        <v>2021</v>
      </c>
      <c r="E251" s="5">
        <v>8</v>
      </c>
      <c r="F251" s="5" t="s">
        <v>29</v>
      </c>
      <c r="G251" s="5">
        <v>23770912</v>
      </c>
      <c r="H251" s="5">
        <v>20027088.82</v>
      </c>
      <c r="I251" s="5">
        <v>365</v>
      </c>
      <c r="J251" s="5">
        <v>3743823.18</v>
      </c>
      <c r="K251" s="5">
        <v>0.1575</v>
      </c>
      <c r="L251" s="5">
        <v>22637000</v>
      </c>
      <c r="M251" s="5">
        <v>1.0501</v>
      </c>
    </row>
    <row r="252" spans="1:13" x14ac:dyDescent="0.3">
      <c r="A252" s="5">
        <v>3</v>
      </c>
      <c r="B252" s="5" t="s">
        <v>85</v>
      </c>
      <c r="C252" s="5" t="s">
        <v>79</v>
      </c>
      <c r="D252" s="5">
        <v>2021</v>
      </c>
      <c r="E252" s="5">
        <v>9</v>
      </c>
      <c r="F252" s="5" t="s">
        <v>30</v>
      </c>
      <c r="G252" s="5">
        <v>22559310</v>
      </c>
      <c r="H252" s="5">
        <v>19404246.609999999</v>
      </c>
      <c r="I252" s="5">
        <v>333</v>
      </c>
      <c r="J252" s="5">
        <v>3155063.39</v>
      </c>
      <c r="K252" s="5">
        <v>0.1399</v>
      </c>
      <c r="L252" s="5">
        <v>20043000</v>
      </c>
      <c r="M252" s="5">
        <v>1.1254999999999999</v>
      </c>
    </row>
    <row r="253" spans="1:13" x14ac:dyDescent="0.3">
      <c r="A253" s="5">
        <v>3</v>
      </c>
      <c r="B253" s="5" t="s">
        <v>85</v>
      </c>
      <c r="C253" s="5" t="s">
        <v>79</v>
      </c>
      <c r="D253" s="5">
        <v>2021</v>
      </c>
      <c r="E253" s="5">
        <v>10</v>
      </c>
      <c r="F253" s="5" t="s">
        <v>31</v>
      </c>
      <c r="G253" s="5">
        <v>33212346</v>
      </c>
      <c r="H253" s="5">
        <v>28087363.449999999</v>
      </c>
      <c r="I253" s="5">
        <v>474</v>
      </c>
      <c r="J253" s="5">
        <v>5124982.55</v>
      </c>
      <c r="K253" s="5">
        <v>0.15429999999999999</v>
      </c>
      <c r="L253" s="5">
        <v>29817000</v>
      </c>
      <c r="M253" s="5">
        <v>1.1138999999999999</v>
      </c>
    </row>
    <row r="254" spans="1:13" x14ac:dyDescent="0.3">
      <c r="A254" s="5">
        <v>3</v>
      </c>
      <c r="B254" s="5" t="s">
        <v>85</v>
      </c>
      <c r="C254" s="5" t="s">
        <v>79</v>
      </c>
      <c r="D254" s="5">
        <v>2021</v>
      </c>
      <c r="E254" s="5">
        <v>11</v>
      </c>
      <c r="F254" s="5" t="s">
        <v>32</v>
      </c>
      <c r="G254" s="5">
        <v>32595076</v>
      </c>
      <c r="H254" s="5">
        <v>27327963.129999999</v>
      </c>
      <c r="I254" s="5">
        <v>463</v>
      </c>
      <c r="J254" s="5">
        <v>5267112.87</v>
      </c>
      <c r="K254" s="5">
        <v>0.16159999999999999</v>
      </c>
      <c r="L254" s="5">
        <v>28350000</v>
      </c>
      <c r="M254" s="5">
        <v>1.1496999999999999</v>
      </c>
    </row>
    <row r="255" spans="1:13" x14ac:dyDescent="0.3">
      <c r="A255" s="5">
        <v>3</v>
      </c>
      <c r="B255" s="5" t="s">
        <v>85</v>
      </c>
      <c r="C255" s="5" t="s">
        <v>79</v>
      </c>
      <c r="D255" s="5">
        <v>2021</v>
      </c>
      <c r="E255" s="5">
        <v>12</v>
      </c>
      <c r="F255" s="5" t="s">
        <v>33</v>
      </c>
      <c r="G255" s="5">
        <v>32681527</v>
      </c>
      <c r="H255" s="5">
        <v>27599411.93</v>
      </c>
      <c r="I255" s="5">
        <v>432</v>
      </c>
      <c r="J255" s="5">
        <v>5082115.07</v>
      </c>
      <c r="K255" s="5">
        <v>0.1555</v>
      </c>
      <c r="L255" s="5">
        <v>28972000</v>
      </c>
      <c r="M255" s="5">
        <v>1.1279999999999999</v>
      </c>
    </row>
    <row r="256" spans="1:13" x14ac:dyDescent="0.3">
      <c r="A256" s="5">
        <v>3</v>
      </c>
      <c r="B256" s="5" t="s">
        <v>85</v>
      </c>
      <c r="C256" s="5" t="s">
        <v>79</v>
      </c>
      <c r="D256" s="5">
        <v>2022</v>
      </c>
      <c r="E256" s="5">
        <v>1</v>
      </c>
      <c r="F256" s="5" t="s">
        <v>34</v>
      </c>
      <c r="G256" s="5">
        <v>26618907</v>
      </c>
      <c r="H256" s="5">
        <v>22277342.390000001</v>
      </c>
      <c r="I256" s="5">
        <v>407</v>
      </c>
      <c r="J256" s="5">
        <v>4341564.6100000003</v>
      </c>
      <c r="K256" s="5">
        <v>0.16309999999999999</v>
      </c>
      <c r="L256" s="5">
        <v>23183000</v>
      </c>
      <c r="M256" s="5">
        <v>1.1482000000000001</v>
      </c>
    </row>
    <row r="257" spans="1:13" x14ac:dyDescent="0.3">
      <c r="A257" s="5">
        <v>3</v>
      </c>
      <c r="B257" s="5" t="s">
        <v>85</v>
      </c>
      <c r="C257" s="5" t="s">
        <v>79</v>
      </c>
      <c r="D257" s="5">
        <v>2022</v>
      </c>
      <c r="E257" s="5">
        <v>2</v>
      </c>
      <c r="F257" s="5" t="s">
        <v>35</v>
      </c>
      <c r="G257" s="5">
        <v>22146163</v>
      </c>
      <c r="H257" s="5">
        <v>18870808.25</v>
      </c>
      <c r="I257" s="5">
        <v>337</v>
      </c>
      <c r="J257" s="5">
        <v>3275354.75</v>
      </c>
      <c r="K257" s="5">
        <v>0.1479</v>
      </c>
      <c r="L257" s="5">
        <v>18733000</v>
      </c>
      <c r="M257" s="5">
        <v>1.1821999999999999</v>
      </c>
    </row>
    <row r="258" spans="1:13" x14ac:dyDescent="0.3">
      <c r="A258" s="5">
        <v>3</v>
      </c>
      <c r="B258" s="5" t="s">
        <v>85</v>
      </c>
      <c r="C258" s="5" t="s">
        <v>79</v>
      </c>
      <c r="D258" s="5">
        <v>2022</v>
      </c>
      <c r="E258" s="5">
        <v>3</v>
      </c>
      <c r="F258" s="5" t="s">
        <v>36</v>
      </c>
      <c r="G258" s="5">
        <v>30894176</v>
      </c>
      <c r="H258" s="5">
        <v>26291933.309999999</v>
      </c>
      <c r="I258" s="5">
        <v>441</v>
      </c>
      <c r="J258" s="5">
        <v>4602242.6900000004</v>
      </c>
      <c r="K258" s="5">
        <v>0.14899999999999999</v>
      </c>
      <c r="L258" s="5">
        <v>26501000</v>
      </c>
      <c r="M258" s="5">
        <v>1.1657999999999999</v>
      </c>
    </row>
    <row r="259" spans="1:13" x14ac:dyDescent="0.3">
      <c r="A259" s="5">
        <v>3</v>
      </c>
      <c r="B259" s="5" t="s">
        <v>85</v>
      </c>
      <c r="C259" s="5" t="s">
        <v>79</v>
      </c>
      <c r="D259" s="5">
        <v>2022</v>
      </c>
      <c r="E259" s="5">
        <v>4</v>
      </c>
      <c r="F259" s="5" t="s">
        <v>37</v>
      </c>
      <c r="G259" s="5">
        <v>35631258</v>
      </c>
      <c r="H259" s="5">
        <v>30809314.489999998</v>
      </c>
      <c r="I259" s="5">
        <v>478</v>
      </c>
      <c r="J259" s="5">
        <v>4821943.51</v>
      </c>
      <c r="K259" s="5">
        <v>0.1353</v>
      </c>
      <c r="L259" s="5">
        <v>33849000</v>
      </c>
      <c r="M259" s="5">
        <v>1.0527</v>
      </c>
    </row>
    <row r="260" spans="1:13" x14ac:dyDescent="0.3">
      <c r="A260" s="5">
        <v>3</v>
      </c>
      <c r="B260" s="5" t="s">
        <v>85</v>
      </c>
      <c r="C260" s="5" t="s">
        <v>79</v>
      </c>
      <c r="D260" s="5">
        <v>2022</v>
      </c>
      <c r="E260" s="5">
        <v>5</v>
      </c>
      <c r="F260" s="5" t="s">
        <v>38</v>
      </c>
      <c r="G260" s="5">
        <v>34327316</v>
      </c>
      <c r="H260" s="5">
        <v>29920334.579999998</v>
      </c>
      <c r="I260" s="5">
        <v>521</v>
      </c>
      <c r="J260" s="5">
        <v>4406981.42</v>
      </c>
      <c r="K260" s="5">
        <v>0.12839999999999999</v>
      </c>
      <c r="L260" s="5">
        <v>29342000</v>
      </c>
      <c r="M260" s="5">
        <v>1.1698999999999999</v>
      </c>
    </row>
    <row r="261" spans="1:13" x14ac:dyDescent="0.3">
      <c r="A261" s="5">
        <v>3</v>
      </c>
      <c r="B261" s="5" t="s">
        <v>85</v>
      </c>
      <c r="C261" s="5" t="s">
        <v>79</v>
      </c>
      <c r="D261" s="5">
        <v>2022</v>
      </c>
      <c r="E261" s="5">
        <v>6</v>
      </c>
      <c r="F261" s="5" t="s">
        <v>39</v>
      </c>
      <c r="G261" s="5">
        <v>35692656</v>
      </c>
      <c r="H261" s="5">
        <v>30703404.039999999</v>
      </c>
      <c r="I261" s="5">
        <v>491</v>
      </c>
      <c r="J261" s="5">
        <v>4989251.96</v>
      </c>
      <c r="K261" s="5">
        <v>0.13980000000000001</v>
      </c>
      <c r="L261" s="5">
        <v>32943000</v>
      </c>
      <c r="M261" s="5">
        <v>1.0834999999999999</v>
      </c>
    </row>
    <row r="262" spans="1:13" x14ac:dyDescent="0.3">
      <c r="A262" s="5">
        <v>3</v>
      </c>
      <c r="B262" s="5" t="s">
        <v>85</v>
      </c>
      <c r="C262" s="5" t="s">
        <v>79</v>
      </c>
      <c r="D262" s="5">
        <v>2022</v>
      </c>
      <c r="E262" s="5">
        <v>7</v>
      </c>
      <c r="F262" s="5" t="s">
        <v>40</v>
      </c>
      <c r="G262" s="5">
        <v>29555965</v>
      </c>
      <c r="H262" s="5">
        <v>26072235.699999999</v>
      </c>
      <c r="I262" s="5">
        <v>445</v>
      </c>
      <c r="J262" s="5">
        <v>3483729.3</v>
      </c>
      <c r="K262" s="5">
        <v>0.1179</v>
      </c>
      <c r="L262" s="5">
        <v>25789000</v>
      </c>
      <c r="M262" s="5">
        <v>1.1460999999999999</v>
      </c>
    </row>
    <row r="263" spans="1:13" x14ac:dyDescent="0.3">
      <c r="A263" s="5">
        <v>3</v>
      </c>
      <c r="B263" s="5" t="s">
        <v>85</v>
      </c>
      <c r="C263" s="5" t="s">
        <v>79</v>
      </c>
      <c r="D263" s="5">
        <v>2022</v>
      </c>
      <c r="E263" s="5">
        <v>8</v>
      </c>
      <c r="F263" s="5" t="s">
        <v>41</v>
      </c>
      <c r="G263" s="5">
        <v>28565647</v>
      </c>
      <c r="H263" s="5">
        <v>26994547.920000002</v>
      </c>
      <c r="I263" s="5">
        <v>471</v>
      </c>
      <c r="J263" s="5">
        <v>1571099.08</v>
      </c>
      <c r="K263" s="5">
        <v>5.5E-2</v>
      </c>
      <c r="L263" s="5">
        <v>26246000</v>
      </c>
      <c r="M263" s="5">
        <v>1.0884</v>
      </c>
    </row>
    <row r="264" spans="1:13" x14ac:dyDescent="0.3">
      <c r="A264" s="5">
        <v>3</v>
      </c>
      <c r="B264" s="5" t="s">
        <v>85</v>
      </c>
      <c r="C264" s="5" t="s">
        <v>79</v>
      </c>
      <c r="D264" s="5">
        <v>2022</v>
      </c>
      <c r="E264" s="5">
        <v>9</v>
      </c>
      <c r="F264" s="5" t="s">
        <v>42</v>
      </c>
      <c r="G264" s="5">
        <v>37914987</v>
      </c>
      <c r="H264" s="5">
        <v>33488531.02</v>
      </c>
      <c r="I264" s="5">
        <v>536</v>
      </c>
      <c r="J264" s="5">
        <v>4426455.9800000004</v>
      </c>
      <c r="K264" s="5">
        <v>0.1167</v>
      </c>
      <c r="L264" s="5">
        <v>34939000</v>
      </c>
      <c r="M264" s="5">
        <v>1.0851999999999999</v>
      </c>
    </row>
    <row r="265" spans="1:13" x14ac:dyDescent="0.3">
      <c r="A265" s="5">
        <v>3</v>
      </c>
      <c r="B265" s="5" t="s">
        <v>85</v>
      </c>
      <c r="C265" s="5" t="s">
        <v>79</v>
      </c>
      <c r="D265" s="5">
        <v>2022</v>
      </c>
      <c r="E265" s="5">
        <v>10</v>
      </c>
      <c r="F265" s="5" t="s">
        <v>43</v>
      </c>
      <c r="G265" s="5">
        <v>40430199</v>
      </c>
      <c r="H265" s="5">
        <v>35820895.609999999</v>
      </c>
      <c r="I265" s="5">
        <v>680</v>
      </c>
      <c r="J265" s="5">
        <v>4609303.3899999997</v>
      </c>
      <c r="K265" s="5">
        <v>0.114</v>
      </c>
      <c r="L265" s="5">
        <v>35962000</v>
      </c>
      <c r="M265" s="5">
        <v>1.1242000000000001</v>
      </c>
    </row>
    <row r="266" spans="1:13" x14ac:dyDescent="0.3">
      <c r="A266" s="5">
        <v>3</v>
      </c>
      <c r="B266" s="5" t="s">
        <v>85</v>
      </c>
      <c r="C266" s="5" t="s">
        <v>79</v>
      </c>
      <c r="D266" s="5">
        <v>2022</v>
      </c>
      <c r="E266" s="5">
        <v>11</v>
      </c>
      <c r="F266" s="5" t="s">
        <v>44</v>
      </c>
      <c r="G266" s="5">
        <v>45513061</v>
      </c>
      <c r="H266" s="5">
        <v>39057887.740000002</v>
      </c>
      <c r="I266" s="5">
        <v>676</v>
      </c>
      <c r="J266" s="5">
        <v>6455173.2599999998</v>
      </c>
      <c r="K266" s="5">
        <v>0.14180000000000001</v>
      </c>
      <c r="L266" s="5">
        <v>39997000</v>
      </c>
      <c r="M266" s="5">
        <v>1.1378999999999999</v>
      </c>
    </row>
    <row r="267" spans="1:13" x14ac:dyDescent="0.3">
      <c r="A267" s="5">
        <v>3</v>
      </c>
      <c r="B267" s="5" t="s">
        <v>85</v>
      </c>
      <c r="C267" s="5" t="s">
        <v>79</v>
      </c>
      <c r="D267" s="5">
        <v>2022</v>
      </c>
      <c r="E267" s="5">
        <v>12</v>
      </c>
      <c r="F267" s="5" t="s">
        <v>45</v>
      </c>
      <c r="G267" s="5">
        <v>47874992</v>
      </c>
      <c r="H267" s="5">
        <v>39755362.719999999</v>
      </c>
      <c r="I267" s="5">
        <v>675</v>
      </c>
      <c r="J267" s="5">
        <v>8119629.2800000003</v>
      </c>
      <c r="K267" s="5">
        <v>0.1696</v>
      </c>
      <c r="L267" s="5">
        <v>43596000</v>
      </c>
      <c r="M267" s="5">
        <v>1.0982000000000001</v>
      </c>
    </row>
    <row r="268" spans="1:13" x14ac:dyDescent="0.3">
      <c r="A268" s="5">
        <v>3</v>
      </c>
      <c r="B268" s="5" t="s">
        <v>85</v>
      </c>
      <c r="C268" s="5" t="s">
        <v>79</v>
      </c>
      <c r="D268" s="5">
        <v>2023</v>
      </c>
      <c r="E268" s="5">
        <v>1</v>
      </c>
      <c r="F268" s="5" t="s">
        <v>46</v>
      </c>
      <c r="G268" s="5">
        <v>39298042</v>
      </c>
      <c r="H268" s="5">
        <v>34676017.490000002</v>
      </c>
      <c r="I268" s="5">
        <v>554</v>
      </c>
      <c r="J268" s="5">
        <v>4622024.51</v>
      </c>
      <c r="K268" s="5">
        <v>0.1176</v>
      </c>
      <c r="L268" s="5">
        <v>34618000</v>
      </c>
      <c r="M268" s="5">
        <v>1.1352</v>
      </c>
    </row>
    <row r="269" spans="1:13" x14ac:dyDescent="0.3">
      <c r="A269" s="5">
        <v>3</v>
      </c>
      <c r="B269" s="5" t="s">
        <v>85</v>
      </c>
      <c r="C269" s="5" t="s">
        <v>79</v>
      </c>
      <c r="D269" s="5">
        <v>2023</v>
      </c>
      <c r="E269" s="5">
        <v>2</v>
      </c>
      <c r="F269" s="5" t="s">
        <v>47</v>
      </c>
      <c r="G269" s="5">
        <v>32339581</v>
      </c>
      <c r="H269" s="5">
        <v>27655083.609999999</v>
      </c>
      <c r="I269" s="5">
        <v>488</v>
      </c>
      <c r="J269" s="5">
        <v>4684497.3899999997</v>
      </c>
      <c r="K269" s="5">
        <v>0.1449</v>
      </c>
      <c r="L269" s="5">
        <v>30011000</v>
      </c>
      <c r="M269" s="5">
        <v>1.0775999999999999</v>
      </c>
    </row>
    <row r="270" spans="1:13" x14ac:dyDescent="0.3">
      <c r="A270" s="5">
        <v>3</v>
      </c>
      <c r="B270" s="5" t="s">
        <v>85</v>
      </c>
      <c r="C270" s="5" t="s">
        <v>79</v>
      </c>
      <c r="D270" s="5">
        <v>2023</v>
      </c>
      <c r="E270" s="5">
        <v>3</v>
      </c>
      <c r="F270" s="5" t="s">
        <v>48</v>
      </c>
      <c r="G270" s="5">
        <v>35961946</v>
      </c>
      <c r="H270" s="5">
        <v>30877808.309999999</v>
      </c>
      <c r="I270" s="5">
        <v>558</v>
      </c>
      <c r="J270" s="5">
        <v>5084137.6900000004</v>
      </c>
      <c r="K270" s="5">
        <v>0.1414</v>
      </c>
      <c r="L270" s="5">
        <v>33505000</v>
      </c>
      <c r="M270" s="5">
        <v>1.0732999999999999</v>
      </c>
    </row>
    <row r="271" spans="1:13" x14ac:dyDescent="0.3">
      <c r="A271" s="5">
        <v>3</v>
      </c>
      <c r="B271" s="5" t="s">
        <v>85</v>
      </c>
      <c r="C271" s="5" t="s">
        <v>79</v>
      </c>
      <c r="D271" s="5">
        <v>2023</v>
      </c>
      <c r="E271" s="5">
        <v>4</v>
      </c>
      <c r="F271" s="5" t="s">
        <v>49</v>
      </c>
      <c r="G271" s="5">
        <v>37764680</v>
      </c>
      <c r="H271" s="5">
        <v>32883231.859999999</v>
      </c>
      <c r="I271" s="5">
        <v>603</v>
      </c>
      <c r="J271" s="5">
        <v>4881448.1399999997</v>
      </c>
      <c r="K271" s="5">
        <v>0.1293</v>
      </c>
      <c r="L271" s="5">
        <v>35862000</v>
      </c>
      <c r="M271" s="5">
        <v>1.0530999999999999</v>
      </c>
    </row>
    <row r="272" spans="1:13" x14ac:dyDescent="0.3">
      <c r="A272" s="5">
        <v>3</v>
      </c>
      <c r="B272" s="5" t="s">
        <v>85</v>
      </c>
      <c r="C272" s="5" t="s">
        <v>79</v>
      </c>
      <c r="D272" s="5">
        <v>2023</v>
      </c>
      <c r="E272" s="5">
        <v>5</v>
      </c>
      <c r="F272" s="5" t="s">
        <v>50</v>
      </c>
      <c r="G272" s="5">
        <v>46172012</v>
      </c>
      <c r="H272" s="5">
        <v>39787199.479999997</v>
      </c>
      <c r="I272" s="5">
        <v>684</v>
      </c>
      <c r="J272" s="5">
        <v>6384812.5199999996</v>
      </c>
      <c r="K272" s="5">
        <v>0.13830000000000001</v>
      </c>
      <c r="L272" s="5">
        <v>41427000</v>
      </c>
      <c r="M272" s="5">
        <v>1.1145</v>
      </c>
    </row>
    <row r="273" spans="1:13" x14ac:dyDescent="0.3">
      <c r="A273" s="5">
        <v>3</v>
      </c>
      <c r="B273" s="5" t="s">
        <v>85</v>
      </c>
      <c r="C273" s="5" t="s">
        <v>79</v>
      </c>
      <c r="D273" s="5">
        <v>2023</v>
      </c>
      <c r="E273" s="5">
        <v>6</v>
      </c>
      <c r="F273" s="5" t="s">
        <v>51</v>
      </c>
      <c r="G273" s="5">
        <v>40635825</v>
      </c>
      <c r="H273" s="5">
        <v>34339109.920000002</v>
      </c>
      <c r="I273" s="5">
        <v>572</v>
      </c>
      <c r="J273" s="5">
        <v>6296715.0800000001</v>
      </c>
      <c r="K273" s="5">
        <v>0.155</v>
      </c>
      <c r="L273" s="5">
        <v>37782000</v>
      </c>
      <c r="M273" s="5">
        <v>1.0754999999999999</v>
      </c>
    </row>
    <row r="274" spans="1:13" x14ac:dyDescent="0.3">
      <c r="A274" s="5">
        <v>3</v>
      </c>
      <c r="B274" s="5" t="s">
        <v>85</v>
      </c>
      <c r="C274" s="5" t="s">
        <v>79</v>
      </c>
      <c r="D274" s="5">
        <v>2023</v>
      </c>
      <c r="E274" s="5">
        <v>7</v>
      </c>
      <c r="F274" s="5" t="s">
        <v>52</v>
      </c>
      <c r="G274" s="5">
        <v>40683961</v>
      </c>
      <c r="H274" s="5">
        <v>35747436.149999999</v>
      </c>
      <c r="I274" s="5">
        <v>613</v>
      </c>
      <c r="J274" s="5">
        <v>4936524.8499999996</v>
      </c>
      <c r="K274" s="5">
        <v>0.12130000000000001</v>
      </c>
      <c r="L274" s="5">
        <v>38469000</v>
      </c>
      <c r="M274" s="5">
        <v>1.0576000000000001</v>
      </c>
    </row>
    <row r="275" spans="1:13" x14ac:dyDescent="0.3">
      <c r="A275" s="5">
        <v>3</v>
      </c>
      <c r="B275" s="5" t="s">
        <v>85</v>
      </c>
      <c r="C275" s="5" t="s">
        <v>79</v>
      </c>
      <c r="D275" s="5">
        <v>2023</v>
      </c>
      <c r="E275" s="5">
        <v>8</v>
      </c>
      <c r="F275" s="5" t="s">
        <v>53</v>
      </c>
      <c r="G275" s="5">
        <v>36386933</v>
      </c>
      <c r="H275" s="5">
        <v>32787484.359999999</v>
      </c>
      <c r="I275" s="5">
        <v>583</v>
      </c>
      <c r="J275" s="5">
        <v>3599448.64</v>
      </c>
      <c r="K275" s="5">
        <v>9.8900000000000002E-2</v>
      </c>
      <c r="L275" s="5">
        <v>33864000</v>
      </c>
      <c r="M275" s="5">
        <v>1.0745</v>
      </c>
    </row>
    <row r="276" spans="1:13" x14ac:dyDescent="0.3">
      <c r="A276" s="5">
        <v>3</v>
      </c>
      <c r="B276" s="5" t="s">
        <v>85</v>
      </c>
      <c r="C276" s="5" t="s">
        <v>79</v>
      </c>
      <c r="D276" s="5">
        <v>2023</v>
      </c>
      <c r="E276" s="5">
        <v>9</v>
      </c>
      <c r="F276" s="5" t="s">
        <v>54</v>
      </c>
      <c r="G276" s="5">
        <v>43170519</v>
      </c>
      <c r="H276" s="5">
        <v>38319354.579999998</v>
      </c>
      <c r="I276" s="5">
        <v>669</v>
      </c>
      <c r="J276" s="5">
        <v>4851164.42</v>
      </c>
      <c r="K276" s="5">
        <v>0.1124</v>
      </c>
      <c r="L276" s="5">
        <v>39939000</v>
      </c>
      <c r="M276" s="5">
        <v>1.0809</v>
      </c>
    </row>
    <row r="277" spans="1:13" x14ac:dyDescent="0.3">
      <c r="A277" s="5">
        <v>3</v>
      </c>
      <c r="B277" s="5" t="s">
        <v>85</v>
      </c>
      <c r="C277" s="5" t="s">
        <v>79</v>
      </c>
      <c r="D277" s="5">
        <v>2023</v>
      </c>
      <c r="E277" s="5">
        <v>10</v>
      </c>
      <c r="F277" s="5" t="s">
        <v>55</v>
      </c>
      <c r="G277" s="5">
        <v>56716497</v>
      </c>
      <c r="H277" s="5">
        <v>48711078.18</v>
      </c>
      <c r="I277" s="5">
        <v>828</v>
      </c>
      <c r="J277" s="5">
        <v>8005418.8200000003</v>
      </c>
      <c r="K277" s="5">
        <v>0.1411</v>
      </c>
      <c r="L277" s="5">
        <v>54014000</v>
      </c>
      <c r="M277" s="5">
        <v>1.05</v>
      </c>
    </row>
    <row r="278" spans="1:13" x14ac:dyDescent="0.3">
      <c r="A278" s="5">
        <v>3</v>
      </c>
      <c r="B278" s="5" t="s">
        <v>85</v>
      </c>
      <c r="C278" s="5" t="s">
        <v>79</v>
      </c>
      <c r="D278" s="5">
        <v>2023</v>
      </c>
      <c r="E278" s="5">
        <v>11</v>
      </c>
      <c r="F278" s="5" t="s">
        <v>56</v>
      </c>
      <c r="G278" s="5">
        <v>55963592</v>
      </c>
      <c r="H278" s="5">
        <v>49620696.57</v>
      </c>
      <c r="I278" s="5">
        <v>835</v>
      </c>
      <c r="J278" s="5">
        <v>6342895.4299999997</v>
      </c>
      <c r="K278" s="5">
        <v>0.1133</v>
      </c>
      <c r="L278" s="5">
        <v>52660000</v>
      </c>
      <c r="M278" s="5">
        <v>1.0627</v>
      </c>
    </row>
    <row r="279" spans="1:13" x14ac:dyDescent="0.3">
      <c r="A279" s="5">
        <v>3</v>
      </c>
      <c r="B279" s="5" t="s">
        <v>85</v>
      </c>
      <c r="C279" s="5" t="s">
        <v>79</v>
      </c>
      <c r="D279" s="5">
        <v>2023</v>
      </c>
      <c r="E279" s="5">
        <v>12</v>
      </c>
      <c r="F279" s="5" t="s">
        <v>57</v>
      </c>
      <c r="G279" s="5">
        <v>57587929</v>
      </c>
      <c r="H279" s="5">
        <v>52150538.939999998</v>
      </c>
      <c r="I279" s="5">
        <v>901</v>
      </c>
      <c r="J279" s="5">
        <v>5437390.0599999996</v>
      </c>
      <c r="K279" s="5">
        <v>9.4399999999999998E-2</v>
      </c>
      <c r="L279" s="5">
        <v>49819000</v>
      </c>
      <c r="M279" s="5">
        <v>1.1558999999999999</v>
      </c>
    </row>
    <row r="280" spans="1:13" x14ac:dyDescent="0.3">
      <c r="A280" s="5">
        <v>3</v>
      </c>
      <c r="B280" s="5" t="s">
        <v>85</v>
      </c>
      <c r="C280" s="5" t="s">
        <v>79</v>
      </c>
      <c r="D280" s="5">
        <v>2024</v>
      </c>
      <c r="E280" s="5">
        <v>1</v>
      </c>
      <c r="F280" s="5" t="s">
        <v>58</v>
      </c>
      <c r="G280" s="5">
        <v>39384084</v>
      </c>
      <c r="H280" s="5">
        <v>34299033.119999997</v>
      </c>
      <c r="I280" s="5">
        <v>588</v>
      </c>
      <c r="J280" s="5">
        <v>5085050.8799999999</v>
      </c>
      <c r="K280" s="5">
        <v>0.12909999999999999</v>
      </c>
      <c r="L280" s="5">
        <v>37588000</v>
      </c>
      <c r="M280" s="5">
        <v>1.0478000000000001</v>
      </c>
    </row>
    <row r="281" spans="1:13" x14ac:dyDescent="0.3">
      <c r="A281" s="5">
        <v>3</v>
      </c>
      <c r="B281" s="5" t="s">
        <v>85</v>
      </c>
      <c r="C281" s="5" t="s">
        <v>79</v>
      </c>
      <c r="D281" s="5">
        <v>2024</v>
      </c>
      <c r="E281" s="5">
        <v>2</v>
      </c>
      <c r="F281" s="5" t="s">
        <v>59</v>
      </c>
      <c r="G281" s="5">
        <v>38297112</v>
      </c>
      <c r="H281" s="5">
        <v>32994961.07</v>
      </c>
      <c r="I281" s="5">
        <v>530</v>
      </c>
      <c r="J281" s="5">
        <v>5302150.93</v>
      </c>
      <c r="K281" s="5">
        <v>0.1384</v>
      </c>
      <c r="L281" s="5">
        <v>35002000</v>
      </c>
      <c r="M281" s="5">
        <v>1.0941000000000001</v>
      </c>
    </row>
    <row r="282" spans="1:13" x14ac:dyDescent="0.3">
      <c r="A282" s="5">
        <v>3</v>
      </c>
      <c r="B282" s="5" t="s">
        <v>85</v>
      </c>
      <c r="C282" s="5" t="s">
        <v>79</v>
      </c>
      <c r="D282" s="5">
        <v>2024</v>
      </c>
      <c r="E282" s="5">
        <v>3</v>
      </c>
      <c r="F282" s="5" t="s">
        <v>60</v>
      </c>
      <c r="G282" s="5">
        <v>43247225</v>
      </c>
      <c r="H282" s="5">
        <v>37545780.719999999</v>
      </c>
      <c r="I282" s="5">
        <v>633</v>
      </c>
      <c r="J282" s="5">
        <v>5701444.2800000003</v>
      </c>
      <c r="K282" s="5">
        <v>0.1318</v>
      </c>
      <c r="L282" s="5">
        <v>41032000</v>
      </c>
      <c r="M282" s="5">
        <v>1.054</v>
      </c>
    </row>
    <row r="283" spans="1:13" x14ac:dyDescent="0.3">
      <c r="A283" s="5">
        <v>3</v>
      </c>
      <c r="B283" s="5" t="s">
        <v>85</v>
      </c>
      <c r="C283" s="5" t="s">
        <v>79</v>
      </c>
      <c r="D283" s="5">
        <v>2024</v>
      </c>
      <c r="E283" s="5">
        <v>4</v>
      </c>
      <c r="F283" s="5" t="s">
        <v>61</v>
      </c>
      <c r="G283" s="5">
        <v>40800898</v>
      </c>
      <c r="H283" s="5">
        <v>35307361.380000003</v>
      </c>
      <c r="I283" s="5">
        <v>635</v>
      </c>
      <c r="J283" s="5">
        <v>5493536.6200000001</v>
      </c>
      <c r="K283" s="5">
        <v>0.1346</v>
      </c>
      <c r="L283" s="5">
        <v>36276000</v>
      </c>
      <c r="M283" s="5">
        <v>1.1247</v>
      </c>
    </row>
    <row r="284" spans="1:13" x14ac:dyDescent="0.3">
      <c r="A284" s="5">
        <v>3</v>
      </c>
      <c r="B284" s="5" t="s">
        <v>85</v>
      </c>
      <c r="C284" s="5" t="s">
        <v>79</v>
      </c>
      <c r="D284" s="5">
        <v>2024</v>
      </c>
      <c r="E284" s="5">
        <v>5</v>
      </c>
      <c r="F284" s="5" t="s">
        <v>62</v>
      </c>
      <c r="G284" s="5">
        <v>46698197</v>
      </c>
      <c r="H284" s="5">
        <v>41512593.469999999</v>
      </c>
      <c r="I284" s="5">
        <v>699</v>
      </c>
      <c r="J284" s="5">
        <v>5185603.53</v>
      </c>
      <c r="K284" s="5">
        <v>0.111</v>
      </c>
      <c r="L284" s="5">
        <v>41380000</v>
      </c>
      <c r="M284" s="5">
        <v>1.1285000000000001</v>
      </c>
    </row>
    <row r="285" spans="1:13" x14ac:dyDescent="0.3">
      <c r="A285" s="5">
        <v>3</v>
      </c>
      <c r="B285" s="5" t="s">
        <v>85</v>
      </c>
      <c r="C285" s="5" t="s">
        <v>79</v>
      </c>
      <c r="D285" s="5">
        <v>2024</v>
      </c>
      <c r="E285" s="5">
        <v>6</v>
      </c>
      <c r="F285" s="5" t="s">
        <v>63</v>
      </c>
      <c r="G285" s="5">
        <v>56894845</v>
      </c>
      <c r="H285" s="5">
        <v>47459264.270000003</v>
      </c>
      <c r="I285" s="5">
        <v>740</v>
      </c>
      <c r="J285" s="5">
        <v>9435580.7300000004</v>
      </c>
      <c r="K285" s="5">
        <v>0.1658</v>
      </c>
      <c r="L285" s="5">
        <v>51905000</v>
      </c>
      <c r="M285" s="5">
        <v>1.0961000000000001</v>
      </c>
    </row>
    <row r="286" spans="1:13" x14ac:dyDescent="0.3">
      <c r="A286" s="5">
        <v>3</v>
      </c>
      <c r="B286" s="5" t="s">
        <v>85</v>
      </c>
      <c r="C286" s="5" t="s">
        <v>79</v>
      </c>
      <c r="D286" s="5">
        <v>2024</v>
      </c>
      <c r="E286" s="5">
        <v>7</v>
      </c>
      <c r="F286" s="5" t="s">
        <v>64</v>
      </c>
      <c r="G286" s="5">
        <v>38970523</v>
      </c>
      <c r="H286" s="5">
        <v>32988643.390000001</v>
      </c>
      <c r="I286" s="5">
        <v>621</v>
      </c>
      <c r="J286" s="5">
        <v>5981879.6100000003</v>
      </c>
      <c r="K286" s="5">
        <v>0.1535</v>
      </c>
      <c r="L286" s="5">
        <v>36500000</v>
      </c>
      <c r="M286" s="5">
        <v>1.0677000000000001</v>
      </c>
    </row>
    <row r="287" spans="1:13" x14ac:dyDescent="0.3">
      <c r="A287" s="5">
        <v>3</v>
      </c>
      <c r="B287" s="5" t="s">
        <v>85</v>
      </c>
      <c r="C287" s="5" t="s">
        <v>79</v>
      </c>
      <c r="D287" s="5">
        <v>2024</v>
      </c>
      <c r="E287" s="5">
        <v>8</v>
      </c>
      <c r="F287" s="5" t="s">
        <v>65</v>
      </c>
      <c r="G287" s="5">
        <v>41737052</v>
      </c>
      <c r="H287" s="5">
        <v>35617166.609999999</v>
      </c>
      <c r="I287" s="5">
        <v>656</v>
      </c>
      <c r="J287" s="5">
        <v>6119885.3899999997</v>
      </c>
      <c r="K287" s="5">
        <v>0.14660000000000001</v>
      </c>
      <c r="L287" s="5">
        <v>39765000</v>
      </c>
      <c r="M287" s="5">
        <v>1.0496000000000001</v>
      </c>
    </row>
    <row r="288" spans="1:13" x14ac:dyDescent="0.3">
      <c r="A288" s="5">
        <v>3</v>
      </c>
      <c r="B288" s="5" t="s">
        <v>85</v>
      </c>
      <c r="C288" s="5" t="s">
        <v>79</v>
      </c>
      <c r="D288" s="5">
        <v>2024</v>
      </c>
      <c r="E288" s="5">
        <v>9</v>
      </c>
      <c r="F288" s="5" t="s">
        <v>66</v>
      </c>
      <c r="G288" s="5">
        <v>55022980</v>
      </c>
      <c r="H288" s="5">
        <v>45519745.149999999</v>
      </c>
      <c r="I288" s="5">
        <v>767</v>
      </c>
      <c r="J288" s="5">
        <v>9503234.8499999996</v>
      </c>
      <c r="K288" s="5">
        <v>0.17269999999999999</v>
      </c>
      <c r="L288" s="5">
        <v>48330000</v>
      </c>
      <c r="M288" s="5">
        <v>1.1385000000000001</v>
      </c>
    </row>
    <row r="289" spans="1:13" x14ac:dyDescent="0.3">
      <c r="A289" s="5">
        <v>3</v>
      </c>
      <c r="B289" s="5" t="s">
        <v>85</v>
      </c>
      <c r="C289" s="5" t="s">
        <v>79</v>
      </c>
      <c r="D289" s="5">
        <v>2024</v>
      </c>
      <c r="E289" s="5">
        <v>10</v>
      </c>
      <c r="F289" s="5" t="s">
        <v>67</v>
      </c>
      <c r="G289" s="5">
        <v>70124076</v>
      </c>
      <c r="H289" s="5">
        <v>56436704.640000001</v>
      </c>
      <c r="I289" s="5">
        <v>955</v>
      </c>
      <c r="J289" s="5">
        <v>13687371.359999999</v>
      </c>
      <c r="K289" s="5">
        <v>0.19520000000000001</v>
      </c>
      <c r="L289" s="5">
        <v>63718000</v>
      </c>
      <c r="M289" s="5">
        <v>1.1005</v>
      </c>
    </row>
    <row r="290" spans="1:13" x14ac:dyDescent="0.3">
      <c r="A290" s="5">
        <v>3</v>
      </c>
      <c r="B290" s="5" t="s">
        <v>85</v>
      </c>
      <c r="C290" s="5" t="s">
        <v>79</v>
      </c>
      <c r="D290" s="5">
        <v>2024</v>
      </c>
      <c r="E290" s="5">
        <v>11</v>
      </c>
      <c r="F290" s="5" t="s">
        <v>68</v>
      </c>
      <c r="G290" s="5">
        <v>70337516</v>
      </c>
      <c r="H290" s="5">
        <v>59033030.759999998</v>
      </c>
      <c r="I290" s="5">
        <v>990</v>
      </c>
      <c r="J290" s="5">
        <v>11304485.24</v>
      </c>
      <c r="K290" s="5">
        <v>0.16070000000000001</v>
      </c>
      <c r="L290" s="5">
        <v>65990000</v>
      </c>
      <c r="M290" s="5">
        <v>1.0659000000000001</v>
      </c>
    </row>
    <row r="291" spans="1:13" x14ac:dyDescent="0.3">
      <c r="A291" s="5">
        <v>3</v>
      </c>
      <c r="B291" s="5" t="s">
        <v>85</v>
      </c>
      <c r="C291" s="5" t="s">
        <v>79</v>
      </c>
      <c r="D291" s="5">
        <v>2024</v>
      </c>
      <c r="E291" s="5">
        <v>12</v>
      </c>
      <c r="F291" s="5" t="s">
        <v>69</v>
      </c>
      <c r="G291" s="5">
        <v>64911457</v>
      </c>
      <c r="H291" s="5">
        <v>52375811.299999997</v>
      </c>
      <c r="I291" s="5">
        <v>899</v>
      </c>
      <c r="J291" s="5">
        <v>12535645.699999999</v>
      </c>
      <c r="K291" s="5">
        <v>0.19309999999999999</v>
      </c>
      <c r="L291" s="5">
        <v>56726000</v>
      </c>
      <c r="M291" s="5">
        <v>1.1443000000000001</v>
      </c>
    </row>
    <row r="292" spans="1:13" x14ac:dyDescent="0.3">
      <c r="A292" s="5">
        <v>10</v>
      </c>
      <c r="B292" s="5" t="s">
        <v>86</v>
      </c>
      <c r="C292" s="5" t="s">
        <v>87</v>
      </c>
      <c r="D292" s="5">
        <v>2021</v>
      </c>
      <c r="E292" s="5">
        <v>1</v>
      </c>
      <c r="F292" s="5" t="s">
        <v>22</v>
      </c>
      <c r="G292" s="5">
        <v>8954620</v>
      </c>
      <c r="H292" s="5">
        <v>7966678.7300000004</v>
      </c>
      <c r="I292" s="5">
        <v>168</v>
      </c>
      <c r="J292" s="5">
        <v>987941.27</v>
      </c>
      <c r="K292" s="5">
        <v>0.1103</v>
      </c>
      <c r="L292" s="5">
        <v>9573000</v>
      </c>
      <c r="M292" s="5">
        <v>0.93540000000000001</v>
      </c>
    </row>
    <row r="293" spans="1:13" x14ac:dyDescent="0.3">
      <c r="A293" s="5">
        <v>10</v>
      </c>
      <c r="B293" s="5" t="s">
        <v>86</v>
      </c>
      <c r="C293" s="5" t="s">
        <v>87</v>
      </c>
      <c r="D293" s="5">
        <v>2021</v>
      </c>
      <c r="E293" s="5">
        <v>2</v>
      </c>
      <c r="F293" s="5" t="s">
        <v>23</v>
      </c>
      <c r="G293" s="5">
        <v>10124591</v>
      </c>
      <c r="H293" s="5">
        <v>8835138.5700000003</v>
      </c>
      <c r="I293" s="5">
        <v>136</v>
      </c>
      <c r="J293" s="5">
        <v>1289452.43</v>
      </c>
      <c r="K293" s="5">
        <v>0.12740000000000001</v>
      </c>
      <c r="L293" s="5">
        <v>9662000</v>
      </c>
      <c r="M293" s="5">
        <v>1.0479000000000001</v>
      </c>
    </row>
    <row r="294" spans="1:13" x14ac:dyDescent="0.3">
      <c r="A294" s="5">
        <v>10</v>
      </c>
      <c r="B294" s="5" t="s">
        <v>86</v>
      </c>
      <c r="C294" s="5" t="s">
        <v>87</v>
      </c>
      <c r="D294" s="5">
        <v>2021</v>
      </c>
      <c r="E294" s="5">
        <v>3</v>
      </c>
      <c r="F294" s="5" t="s">
        <v>24</v>
      </c>
      <c r="G294" s="5">
        <v>11390815</v>
      </c>
      <c r="H294" s="5">
        <v>9549204.8399999999</v>
      </c>
      <c r="I294" s="5">
        <v>166</v>
      </c>
      <c r="J294" s="5">
        <v>1841610.16</v>
      </c>
      <c r="K294" s="5">
        <v>0.16170000000000001</v>
      </c>
      <c r="L294" s="5">
        <v>11833000</v>
      </c>
      <c r="M294" s="5">
        <v>0.96260000000000001</v>
      </c>
    </row>
    <row r="295" spans="1:13" x14ac:dyDescent="0.3">
      <c r="A295" s="5">
        <v>10</v>
      </c>
      <c r="B295" s="5" t="s">
        <v>86</v>
      </c>
      <c r="C295" s="5" t="s">
        <v>87</v>
      </c>
      <c r="D295" s="5">
        <v>2021</v>
      </c>
      <c r="E295" s="5">
        <v>4</v>
      </c>
      <c r="F295" s="5" t="s">
        <v>25</v>
      </c>
      <c r="G295" s="5">
        <v>13752742</v>
      </c>
      <c r="H295" s="5">
        <v>12356913.18</v>
      </c>
      <c r="I295" s="5">
        <v>178</v>
      </c>
      <c r="J295" s="5">
        <v>1395828.82</v>
      </c>
      <c r="K295" s="5">
        <v>0.10150000000000001</v>
      </c>
      <c r="L295" s="5">
        <v>14023000</v>
      </c>
      <c r="M295" s="5">
        <v>0.98070000000000002</v>
      </c>
    </row>
    <row r="296" spans="1:13" x14ac:dyDescent="0.3">
      <c r="A296" s="5">
        <v>10</v>
      </c>
      <c r="B296" s="5" t="s">
        <v>86</v>
      </c>
      <c r="C296" s="5" t="s">
        <v>87</v>
      </c>
      <c r="D296" s="5">
        <v>2021</v>
      </c>
      <c r="E296" s="5">
        <v>5</v>
      </c>
      <c r="F296" s="5" t="s">
        <v>26</v>
      </c>
      <c r="G296" s="5">
        <v>14238453</v>
      </c>
      <c r="H296" s="5">
        <v>12773342.77</v>
      </c>
      <c r="I296" s="5">
        <v>200</v>
      </c>
      <c r="J296" s="5">
        <v>1465110.23</v>
      </c>
      <c r="K296" s="5">
        <v>0.10290000000000001</v>
      </c>
      <c r="L296" s="5">
        <v>14802000</v>
      </c>
      <c r="M296" s="5">
        <v>0.96189999999999998</v>
      </c>
    </row>
    <row r="297" spans="1:13" x14ac:dyDescent="0.3">
      <c r="A297" s="5">
        <v>10</v>
      </c>
      <c r="B297" s="5" t="s">
        <v>86</v>
      </c>
      <c r="C297" s="5" t="s">
        <v>87</v>
      </c>
      <c r="D297" s="5">
        <v>2021</v>
      </c>
      <c r="E297" s="5">
        <v>6</v>
      </c>
      <c r="F297" s="5" t="s">
        <v>27</v>
      </c>
      <c r="G297" s="5">
        <v>12921316</v>
      </c>
      <c r="H297" s="5">
        <v>11296829.710000001</v>
      </c>
      <c r="I297" s="5">
        <v>186</v>
      </c>
      <c r="J297" s="5">
        <v>1624486.29</v>
      </c>
      <c r="K297" s="5">
        <v>0.12570000000000001</v>
      </c>
      <c r="L297" s="5">
        <v>14066000</v>
      </c>
      <c r="M297" s="5">
        <v>0.91859999999999997</v>
      </c>
    </row>
    <row r="298" spans="1:13" x14ac:dyDescent="0.3">
      <c r="A298" s="5">
        <v>10</v>
      </c>
      <c r="B298" s="5" t="s">
        <v>86</v>
      </c>
      <c r="C298" s="5" t="s">
        <v>87</v>
      </c>
      <c r="D298" s="5">
        <v>2021</v>
      </c>
      <c r="E298" s="5">
        <v>7</v>
      </c>
      <c r="F298" s="5" t="s">
        <v>28</v>
      </c>
      <c r="G298" s="5">
        <v>9087223</v>
      </c>
      <c r="H298" s="5">
        <v>8015834.3499999996</v>
      </c>
      <c r="I298" s="5">
        <v>168</v>
      </c>
      <c r="J298" s="5">
        <v>1071388.6499999999</v>
      </c>
      <c r="K298" s="5">
        <v>0.1179</v>
      </c>
      <c r="L298" s="5">
        <v>9268000</v>
      </c>
      <c r="M298" s="5">
        <v>0.98050000000000004</v>
      </c>
    </row>
    <row r="299" spans="1:13" x14ac:dyDescent="0.3">
      <c r="A299" s="5">
        <v>10</v>
      </c>
      <c r="B299" s="5" t="s">
        <v>86</v>
      </c>
      <c r="C299" s="5" t="s">
        <v>87</v>
      </c>
      <c r="D299" s="5">
        <v>2021</v>
      </c>
      <c r="E299" s="5">
        <v>8</v>
      </c>
      <c r="F299" s="5" t="s">
        <v>29</v>
      </c>
      <c r="G299" s="5">
        <v>12032425</v>
      </c>
      <c r="H299" s="5">
        <v>10145006.619999999</v>
      </c>
      <c r="I299" s="5">
        <v>162</v>
      </c>
      <c r="J299" s="5">
        <v>1887418.38</v>
      </c>
      <c r="K299" s="5">
        <v>0.15690000000000001</v>
      </c>
      <c r="L299" s="5">
        <v>12593000</v>
      </c>
      <c r="M299" s="5">
        <v>0.95550000000000002</v>
      </c>
    </row>
    <row r="300" spans="1:13" x14ac:dyDescent="0.3">
      <c r="A300" s="5">
        <v>10</v>
      </c>
      <c r="B300" s="5" t="s">
        <v>86</v>
      </c>
      <c r="C300" s="5" t="s">
        <v>87</v>
      </c>
      <c r="D300" s="5">
        <v>2021</v>
      </c>
      <c r="E300" s="5">
        <v>9</v>
      </c>
      <c r="F300" s="5" t="s">
        <v>30</v>
      </c>
      <c r="G300" s="5">
        <v>13641009</v>
      </c>
      <c r="H300" s="5">
        <v>11899401.41</v>
      </c>
      <c r="I300" s="5">
        <v>198</v>
      </c>
      <c r="J300" s="5">
        <v>1741607.59</v>
      </c>
      <c r="K300" s="5">
        <v>0.12770000000000001</v>
      </c>
      <c r="L300" s="5">
        <v>13540000</v>
      </c>
      <c r="M300" s="5">
        <v>1.0075000000000001</v>
      </c>
    </row>
    <row r="301" spans="1:13" x14ac:dyDescent="0.3">
      <c r="A301" s="5">
        <v>10</v>
      </c>
      <c r="B301" s="5" t="s">
        <v>86</v>
      </c>
      <c r="C301" s="5" t="s">
        <v>87</v>
      </c>
      <c r="D301" s="5">
        <v>2021</v>
      </c>
      <c r="E301" s="5">
        <v>10</v>
      </c>
      <c r="F301" s="5" t="s">
        <v>31</v>
      </c>
      <c r="G301" s="5">
        <v>22179162</v>
      </c>
      <c r="H301" s="5">
        <v>18972538.739999998</v>
      </c>
      <c r="I301" s="5">
        <v>293</v>
      </c>
      <c r="J301" s="5">
        <v>3206623.26</v>
      </c>
      <c r="K301" s="5">
        <v>0.14460000000000001</v>
      </c>
      <c r="L301" s="5">
        <v>22743000</v>
      </c>
      <c r="M301" s="5">
        <v>0.97519999999999996</v>
      </c>
    </row>
    <row r="302" spans="1:13" x14ac:dyDescent="0.3">
      <c r="A302" s="5">
        <v>10</v>
      </c>
      <c r="B302" s="5" t="s">
        <v>86</v>
      </c>
      <c r="C302" s="5" t="s">
        <v>87</v>
      </c>
      <c r="D302" s="5">
        <v>2021</v>
      </c>
      <c r="E302" s="5">
        <v>11</v>
      </c>
      <c r="F302" s="5" t="s">
        <v>32</v>
      </c>
      <c r="G302" s="5">
        <v>19491738</v>
      </c>
      <c r="H302" s="5">
        <v>16086229.76</v>
      </c>
      <c r="I302" s="5">
        <v>277</v>
      </c>
      <c r="J302" s="5">
        <v>3405508.24</v>
      </c>
      <c r="K302" s="5">
        <v>0.17469999999999999</v>
      </c>
      <c r="L302" s="5">
        <v>19379000</v>
      </c>
      <c r="M302" s="5">
        <v>1.0058</v>
      </c>
    </row>
    <row r="303" spans="1:13" x14ac:dyDescent="0.3">
      <c r="A303" s="5">
        <v>10</v>
      </c>
      <c r="B303" s="5" t="s">
        <v>86</v>
      </c>
      <c r="C303" s="5" t="s">
        <v>87</v>
      </c>
      <c r="D303" s="5">
        <v>2021</v>
      </c>
      <c r="E303" s="5">
        <v>12</v>
      </c>
      <c r="F303" s="5" t="s">
        <v>33</v>
      </c>
      <c r="G303" s="5">
        <v>16620093</v>
      </c>
      <c r="H303" s="5">
        <v>14106238.82</v>
      </c>
      <c r="I303" s="5">
        <v>247</v>
      </c>
      <c r="J303" s="5">
        <v>2513854.1800000002</v>
      </c>
      <c r="K303" s="5">
        <v>0.15129999999999999</v>
      </c>
      <c r="L303" s="5">
        <v>17240000</v>
      </c>
      <c r="M303" s="5">
        <v>0.96399999999999997</v>
      </c>
    </row>
    <row r="304" spans="1:13" x14ac:dyDescent="0.3">
      <c r="A304" s="5">
        <v>10</v>
      </c>
      <c r="B304" s="5" t="s">
        <v>86</v>
      </c>
      <c r="C304" s="5" t="s">
        <v>87</v>
      </c>
      <c r="D304" s="5">
        <v>2022</v>
      </c>
      <c r="E304" s="5">
        <v>1</v>
      </c>
      <c r="F304" s="5" t="s">
        <v>34</v>
      </c>
      <c r="G304" s="5">
        <v>17419493</v>
      </c>
      <c r="H304" s="5">
        <v>14625861.15</v>
      </c>
      <c r="I304" s="5">
        <v>237</v>
      </c>
      <c r="J304" s="5">
        <v>2793631.85</v>
      </c>
      <c r="K304" s="5">
        <v>0.16039999999999999</v>
      </c>
      <c r="L304" s="5">
        <v>17636000</v>
      </c>
      <c r="M304" s="5">
        <v>0.98770000000000002</v>
      </c>
    </row>
    <row r="305" spans="1:13" x14ac:dyDescent="0.3">
      <c r="A305" s="5">
        <v>10</v>
      </c>
      <c r="B305" s="5" t="s">
        <v>86</v>
      </c>
      <c r="C305" s="5" t="s">
        <v>87</v>
      </c>
      <c r="D305" s="5">
        <v>2022</v>
      </c>
      <c r="E305" s="5">
        <v>2</v>
      </c>
      <c r="F305" s="5" t="s">
        <v>35</v>
      </c>
      <c r="G305" s="5">
        <v>15461953</v>
      </c>
      <c r="H305" s="5">
        <v>12876806.08</v>
      </c>
      <c r="I305" s="5">
        <v>218</v>
      </c>
      <c r="J305" s="5">
        <v>2585146.92</v>
      </c>
      <c r="K305" s="5">
        <v>0.16719999999999999</v>
      </c>
      <c r="L305" s="5">
        <v>15893000</v>
      </c>
      <c r="M305" s="5">
        <v>0.97289999999999999</v>
      </c>
    </row>
    <row r="306" spans="1:13" x14ac:dyDescent="0.3">
      <c r="A306" s="5">
        <v>10</v>
      </c>
      <c r="B306" s="5" t="s">
        <v>86</v>
      </c>
      <c r="C306" s="5" t="s">
        <v>87</v>
      </c>
      <c r="D306" s="5">
        <v>2022</v>
      </c>
      <c r="E306" s="5">
        <v>3</v>
      </c>
      <c r="F306" s="5" t="s">
        <v>36</v>
      </c>
      <c r="G306" s="5">
        <v>16562782</v>
      </c>
      <c r="H306" s="5">
        <v>14490280.630000001</v>
      </c>
      <c r="I306" s="5">
        <v>242</v>
      </c>
      <c r="J306" s="5">
        <v>2072501.37</v>
      </c>
      <c r="K306" s="5">
        <v>0.12509999999999999</v>
      </c>
      <c r="L306" s="5">
        <v>16837000</v>
      </c>
      <c r="M306" s="5">
        <v>0.98370000000000002</v>
      </c>
    </row>
    <row r="307" spans="1:13" x14ac:dyDescent="0.3">
      <c r="A307" s="5">
        <v>10</v>
      </c>
      <c r="B307" s="5" t="s">
        <v>86</v>
      </c>
      <c r="C307" s="5" t="s">
        <v>87</v>
      </c>
      <c r="D307" s="5">
        <v>2022</v>
      </c>
      <c r="E307" s="5">
        <v>4</v>
      </c>
      <c r="F307" s="5" t="s">
        <v>37</v>
      </c>
      <c r="G307" s="5">
        <v>20757065</v>
      </c>
      <c r="H307" s="5">
        <v>17847441.18</v>
      </c>
      <c r="I307" s="5">
        <v>274</v>
      </c>
      <c r="J307" s="5">
        <v>2909623.82</v>
      </c>
      <c r="K307" s="5">
        <v>0.14019999999999999</v>
      </c>
      <c r="L307" s="5">
        <v>20911000</v>
      </c>
      <c r="M307" s="5">
        <v>0.99260000000000004</v>
      </c>
    </row>
    <row r="308" spans="1:13" x14ac:dyDescent="0.3">
      <c r="A308" s="5">
        <v>10</v>
      </c>
      <c r="B308" s="5" t="s">
        <v>86</v>
      </c>
      <c r="C308" s="5" t="s">
        <v>87</v>
      </c>
      <c r="D308" s="5">
        <v>2022</v>
      </c>
      <c r="E308" s="5">
        <v>5</v>
      </c>
      <c r="F308" s="5" t="s">
        <v>38</v>
      </c>
      <c r="G308" s="5">
        <v>19292469</v>
      </c>
      <c r="H308" s="5">
        <v>16843064.84</v>
      </c>
      <c r="I308" s="5">
        <v>285</v>
      </c>
      <c r="J308" s="5">
        <v>2449404.16</v>
      </c>
      <c r="K308" s="5">
        <v>0.127</v>
      </c>
      <c r="L308" s="5">
        <v>18880000</v>
      </c>
      <c r="M308" s="5">
        <v>1.0218</v>
      </c>
    </row>
    <row r="309" spans="1:13" x14ac:dyDescent="0.3">
      <c r="A309" s="5">
        <v>10</v>
      </c>
      <c r="B309" s="5" t="s">
        <v>86</v>
      </c>
      <c r="C309" s="5" t="s">
        <v>87</v>
      </c>
      <c r="D309" s="5">
        <v>2022</v>
      </c>
      <c r="E309" s="5">
        <v>6</v>
      </c>
      <c r="F309" s="5" t="s">
        <v>39</v>
      </c>
      <c r="G309" s="5">
        <v>13864841</v>
      </c>
      <c r="H309" s="5">
        <v>11973662.57</v>
      </c>
      <c r="I309" s="5">
        <v>242</v>
      </c>
      <c r="J309" s="5">
        <v>1891178.43</v>
      </c>
      <c r="K309" s="5">
        <v>0.13639999999999999</v>
      </c>
      <c r="L309" s="5">
        <v>14518000</v>
      </c>
      <c r="M309" s="5">
        <v>0.95499999999999996</v>
      </c>
    </row>
    <row r="310" spans="1:13" x14ac:dyDescent="0.3">
      <c r="A310" s="5">
        <v>10</v>
      </c>
      <c r="B310" s="5" t="s">
        <v>86</v>
      </c>
      <c r="C310" s="5" t="s">
        <v>87</v>
      </c>
      <c r="D310" s="5">
        <v>2022</v>
      </c>
      <c r="E310" s="5">
        <v>7</v>
      </c>
      <c r="F310" s="5" t="s">
        <v>40</v>
      </c>
      <c r="G310" s="5">
        <v>17766772</v>
      </c>
      <c r="H310" s="5">
        <v>15487364.210000001</v>
      </c>
      <c r="I310" s="5">
        <v>243</v>
      </c>
      <c r="J310" s="5">
        <v>2279407.79</v>
      </c>
      <c r="K310" s="5">
        <v>0.1283</v>
      </c>
      <c r="L310" s="5">
        <v>18925000</v>
      </c>
      <c r="M310" s="5">
        <v>0.93879999999999997</v>
      </c>
    </row>
    <row r="311" spans="1:13" x14ac:dyDescent="0.3">
      <c r="A311" s="5">
        <v>10</v>
      </c>
      <c r="B311" s="5" t="s">
        <v>86</v>
      </c>
      <c r="C311" s="5" t="s">
        <v>87</v>
      </c>
      <c r="D311" s="5">
        <v>2022</v>
      </c>
      <c r="E311" s="5">
        <v>8</v>
      </c>
      <c r="F311" s="5" t="s">
        <v>41</v>
      </c>
      <c r="G311" s="5">
        <v>16339787</v>
      </c>
      <c r="H311" s="5">
        <v>15494976.58</v>
      </c>
      <c r="I311" s="5">
        <v>245</v>
      </c>
      <c r="J311" s="5">
        <v>844810.42</v>
      </c>
      <c r="K311" s="5">
        <v>5.1700000000000003E-2</v>
      </c>
      <c r="L311" s="5">
        <v>16164000</v>
      </c>
      <c r="M311" s="5">
        <v>1.0108999999999999</v>
      </c>
    </row>
    <row r="312" spans="1:13" x14ac:dyDescent="0.3">
      <c r="A312" s="5">
        <v>10</v>
      </c>
      <c r="B312" s="5" t="s">
        <v>86</v>
      </c>
      <c r="C312" s="5" t="s">
        <v>87</v>
      </c>
      <c r="D312" s="5">
        <v>2022</v>
      </c>
      <c r="E312" s="5">
        <v>9</v>
      </c>
      <c r="F312" s="5" t="s">
        <v>42</v>
      </c>
      <c r="G312" s="5">
        <v>19286097</v>
      </c>
      <c r="H312" s="5">
        <v>16739841.99</v>
      </c>
      <c r="I312" s="5">
        <v>304</v>
      </c>
      <c r="J312" s="5">
        <v>2546255.0099999998</v>
      </c>
      <c r="K312" s="5">
        <v>0.13200000000000001</v>
      </c>
      <c r="L312" s="5">
        <v>20563000</v>
      </c>
      <c r="M312" s="5">
        <v>0.93789999999999996</v>
      </c>
    </row>
    <row r="313" spans="1:13" x14ac:dyDescent="0.3">
      <c r="A313" s="5">
        <v>10</v>
      </c>
      <c r="B313" s="5" t="s">
        <v>86</v>
      </c>
      <c r="C313" s="5" t="s">
        <v>87</v>
      </c>
      <c r="D313" s="5">
        <v>2022</v>
      </c>
      <c r="E313" s="5">
        <v>10</v>
      </c>
      <c r="F313" s="5" t="s">
        <v>43</v>
      </c>
      <c r="G313" s="5">
        <v>22797572</v>
      </c>
      <c r="H313" s="5">
        <v>19988669.34</v>
      </c>
      <c r="I313" s="5">
        <v>392</v>
      </c>
      <c r="J313" s="5">
        <v>2808902.66</v>
      </c>
      <c r="K313" s="5">
        <v>0.1232</v>
      </c>
      <c r="L313" s="5">
        <v>23544000</v>
      </c>
      <c r="M313" s="5">
        <v>0.96830000000000005</v>
      </c>
    </row>
    <row r="314" spans="1:13" x14ac:dyDescent="0.3">
      <c r="A314" s="5">
        <v>10</v>
      </c>
      <c r="B314" s="5" t="s">
        <v>86</v>
      </c>
      <c r="C314" s="5" t="s">
        <v>87</v>
      </c>
      <c r="D314" s="5">
        <v>2022</v>
      </c>
      <c r="E314" s="5">
        <v>11</v>
      </c>
      <c r="F314" s="5" t="s">
        <v>44</v>
      </c>
      <c r="G314" s="5">
        <v>26744929</v>
      </c>
      <c r="H314" s="5">
        <v>22529179.399999999</v>
      </c>
      <c r="I314" s="5">
        <v>405</v>
      </c>
      <c r="J314" s="5">
        <v>4215749.5999999996</v>
      </c>
      <c r="K314" s="5">
        <v>0.15759999999999999</v>
      </c>
      <c r="L314" s="5">
        <v>26804000</v>
      </c>
      <c r="M314" s="5">
        <v>0.99780000000000002</v>
      </c>
    </row>
    <row r="315" spans="1:13" x14ac:dyDescent="0.3">
      <c r="A315" s="5">
        <v>10</v>
      </c>
      <c r="B315" s="5" t="s">
        <v>86</v>
      </c>
      <c r="C315" s="5" t="s">
        <v>87</v>
      </c>
      <c r="D315" s="5">
        <v>2022</v>
      </c>
      <c r="E315" s="5">
        <v>12</v>
      </c>
      <c r="F315" s="5" t="s">
        <v>45</v>
      </c>
      <c r="G315" s="5">
        <v>25215349</v>
      </c>
      <c r="H315" s="5">
        <v>21194129.940000001</v>
      </c>
      <c r="I315" s="5">
        <v>397</v>
      </c>
      <c r="J315" s="5">
        <v>4021219.06</v>
      </c>
      <c r="K315" s="5">
        <v>0.1595</v>
      </c>
      <c r="L315" s="5">
        <v>26676000</v>
      </c>
      <c r="M315" s="5">
        <v>0.94520000000000004</v>
      </c>
    </row>
    <row r="316" spans="1:13" x14ac:dyDescent="0.3">
      <c r="A316" s="5">
        <v>10</v>
      </c>
      <c r="B316" s="5" t="s">
        <v>86</v>
      </c>
      <c r="C316" s="5" t="s">
        <v>87</v>
      </c>
      <c r="D316" s="5">
        <v>2023</v>
      </c>
      <c r="E316" s="5">
        <v>1</v>
      </c>
      <c r="F316" s="5" t="s">
        <v>46</v>
      </c>
      <c r="G316" s="5">
        <v>19505743</v>
      </c>
      <c r="H316" s="5">
        <v>17755433.52</v>
      </c>
      <c r="I316" s="5">
        <v>255</v>
      </c>
      <c r="J316" s="5">
        <v>1750309.48</v>
      </c>
      <c r="K316" s="5">
        <v>8.9700000000000002E-2</v>
      </c>
      <c r="L316" s="5">
        <v>20148000</v>
      </c>
      <c r="M316" s="5">
        <v>0.96809999999999996</v>
      </c>
    </row>
    <row r="317" spans="1:13" x14ac:dyDescent="0.3">
      <c r="A317" s="5">
        <v>10</v>
      </c>
      <c r="B317" s="5" t="s">
        <v>86</v>
      </c>
      <c r="C317" s="5" t="s">
        <v>87</v>
      </c>
      <c r="D317" s="5">
        <v>2023</v>
      </c>
      <c r="E317" s="5">
        <v>2</v>
      </c>
      <c r="F317" s="5" t="s">
        <v>47</v>
      </c>
      <c r="G317" s="5">
        <v>15323492</v>
      </c>
      <c r="H317" s="5">
        <v>13266347.26</v>
      </c>
      <c r="I317" s="5">
        <v>252</v>
      </c>
      <c r="J317" s="5">
        <v>2057144.74</v>
      </c>
      <c r="K317" s="5">
        <v>0.13420000000000001</v>
      </c>
      <c r="L317" s="5">
        <v>15142000</v>
      </c>
      <c r="M317" s="5">
        <v>1.012</v>
      </c>
    </row>
    <row r="318" spans="1:13" x14ac:dyDescent="0.3">
      <c r="A318" s="5">
        <v>10</v>
      </c>
      <c r="B318" s="5" t="s">
        <v>86</v>
      </c>
      <c r="C318" s="5" t="s">
        <v>87</v>
      </c>
      <c r="D318" s="5">
        <v>2023</v>
      </c>
      <c r="E318" s="5">
        <v>3</v>
      </c>
      <c r="F318" s="5" t="s">
        <v>48</v>
      </c>
      <c r="G318" s="5">
        <v>23793979</v>
      </c>
      <c r="H318" s="5">
        <v>20582802.82</v>
      </c>
      <c r="I318" s="5">
        <v>336</v>
      </c>
      <c r="J318" s="5">
        <v>3211176.18</v>
      </c>
      <c r="K318" s="5">
        <v>0.13500000000000001</v>
      </c>
      <c r="L318" s="5">
        <v>23255000</v>
      </c>
      <c r="M318" s="5">
        <v>1.0232000000000001</v>
      </c>
    </row>
    <row r="319" spans="1:13" x14ac:dyDescent="0.3">
      <c r="A319" s="5">
        <v>10</v>
      </c>
      <c r="B319" s="5" t="s">
        <v>86</v>
      </c>
      <c r="C319" s="5" t="s">
        <v>87</v>
      </c>
      <c r="D319" s="5">
        <v>2023</v>
      </c>
      <c r="E319" s="5">
        <v>4</v>
      </c>
      <c r="F319" s="5" t="s">
        <v>49</v>
      </c>
      <c r="G319" s="5">
        <v>23152528</v>
      </c>
      <c r="H319" s="5">
        <v>20667217.02</v>
      </c>
      <c r="I319" s="5">
        <v>366</v>
      </c>
      <c r="J319" s="5">
        <v>2485310.98</v>
      </c>
      <c r="K319" s="5">
        <v>0.10730000000000001</v>
      </c>
      <c r="L319" s="5">
        <v>23443000</v>
      </c>
      <c r="M319" s="5">
        <v>0.98760000000000003</v>
      </c>
    </row>
    <row r="320" spans="1:13" x14ac:dyDescent="0.3">
      <c r="A320" s="5">
        <v>10</v>
      </c>
      <c r="B320" s="5" t="s">
        <v>86</v>
      </c>
      <c r="C320" s="5" t="s">
        <v>87</v>
      </c>
      <c r="D320" s="5">
        <v>2023</v>
      </c>
      <c r="E320" s="5">
        <v>5</v>
      </c>
      <c r="F320" s="5" t="s">
        <v>50</v>
      </c>
      <c r="G320" s="5">
        <v>27425255</v>
      </c>
      <c r="H320" s="5">
        <v>24228793.379999999</v>
      </c>
      <c r="I320" s="5">
        <v>368</v>
      </c>
      <c r="J320" s="5">
        <v>3196461.62</v>
      </c>
      <c r="K320" s="5">
        <v>0.1166</v>
      </c>
      <c r="L320" s="5">
        <v>28561000</v>
      </c>
      <c r="M320" s="5">
        <v>0.96020000000000005</v>
      </c>
    </row>
    <row r="321" spans="1:13" x14ac:dyDescent="0.3">
      <c r="A321" s="5">
        <v>10</v>
      </c>
      <c r="B321" s="5" t="s">
        <v>86</v>
      </c>
      <c r="C321" s="5" t="s">
        <v>87</v>
      </c>
      <c r="D321" s="5">
        <v>2023</v>
      </c>
      <c r="E321" s="5">
        <v>6</v>
      </c>
      <c r="F321" s="5" t="s">
        <v>51</v>
      </c>
      <c r="G321" s="5">
        <v>20551011</v>
      </c>
      <c r="H321" s="5">
        <v>17479220.260000002</v>
      </c>
      <c r="I321" s="5">
        <v>326</v>
      </c>
      <c r="J321" s="5">
        <v>3071790.74</v>
      </c>
      <c r="K321" s="5">
        <v>0.14949999999999999</v>
      </c>
      <c r="L321" s="5">
        <v>21610000</v>
      </c>
      <c r="M321" s="5">
        <v>0.95099999999999996</v>
      </c>
    </row>
    <row r="322" spans="1:13" x14ac:dyDescent="0.3">
      <c r="A322" s="5">
        <v>10</v>
      </c>
      <c r="B322" s="5" t="s">
        <v>86</v>
      </c>
      <c r="C322" s="5" t="s">
        <v>87</v>
      </c>
      <c r="D322" s="5">
        <v>2023</v>
      </c>
      <c r="E322" s="5">
        <v>7</v>
      </c>
      <c r="F322" s="5" t="s">
        <v>52</v>
      </c>
      <c r="G322" s="5">
        <v>19188624</v>
      </c>
      <c r="H322" s="5">
        <v>16948518.66</v>
      </c>
      <c r="I322" s="5">
        <v>320</v>
      </c>
      <c r="J322" s="5">
        <v>2240105.34</v>
      </c>
      <c r="K322" s="5">
        <v>0.1167</v>
      </c>
      <c r="L322" s="5">
        <v>20424000</v>
      </c>
      <c r="M322" s="5">
        <v>0.9395</v>
      </c>
    </row>
    <row r="323" spans="1:13" x14ac:dyDescent="0.3">
      <c r="A323" s="5">
        <v>10</v>
      </c>
      <c r="B323" s="5" t="s">
        <v>86</v>
      </c>
      <c r="C323" s="5" t="s">
        <v>87</v>
      </c>
      <c r="D323" s="5">
        <v>2023</v>
      </c>
      <c r="E323" s="5">
        <v>8</v>
      </c>
      <c r="F323" s="5" t="s">
        <v>53</v>
      </c>
      <c r="G323" s="5">
        <v>17827342</v>
      </c>
      <c r="H323" s="5">
        <v>15885981.1</v>
      </c>
      <c r="I323" s="5">
        <v>318</v>
      </c>
      <c r="J323" s="5">
        <v>1941360.9</v>
      </c>
      <c r="K323" s="5">
        <v>0.1089</v>
      </c>
      <c r="L323" s="5">
        <v>17299000</v>
      </c>
      <c r="M323" s="5">
        <v>1.0305</v>
      </c>
    </row>
    <row r="324" spans="1:13" x14ac:dyDescent="0.3">
      <c r="A324" s="5">
        <v>10</v>
      </c>
      <c r="B324" s="5" t="s">
        <v>86</v>
      </c>
      <c r="C324" s="5" t="s">
        <v>87</v>
      </c>
      <c r="D324" s="5">
        <v>2023</v>
      </c>
      <c r="E324" s="5">
        <v>9</v>
      </c>
      <c r="F324" s="5" t="s">
        <v>54</v>
      </c>
      <c r="G324" s="5">
        <v>23689341</v>
      </c>
      <c r="H324" s="5">
        <v>20879487.600000001</v>
      </c>
      <c r="I324" s="5">
        <v>368</v>
      </c>
      <c r="J324" s="5">
        <v>2809853.4</v>
      </c>
      <c r="K324" s="5">
        <v>0.1186</v>
      </c>
      <c r="L324" s="5">
        <v>23733000</v>
      </c>
      <c r="M324" s="5">
        <v>0.99819999999999998</v>
      </c>
    </row>
    <row r="325" spans="1:13" x14ac:dyDescent="0.3">
      <c r="A325" s="5">
        <v>10</v>
      </c>
      <c r="B325" s="5" t="s">
        <v>86</v>
      </c>
      <c r="C325" s="5" t="s">
        <v>87</v>
      </c>
      <c r="D325" s="5">
        <v>2023</v>
      </c>
      <c r="E325" s="5">
        <v>10</v>
      </c>
      <c r="F325" s="5" t="s">
        <v>55</v>
      </c>
      <c r="G325" s="5">
        <v>32609450</v>
      </c>
      <c r="H325" s="5">
        <v>28290758.949999999</v>
      </c>
      <c r="I325" s="5">
        <v>461</v>
      </c>
      <c r="J325" s="5">
        <v>4318691.05</v>
      </c>
      <c r="K325" s="5">
        <v>0.13239999999999999</v>
      </c>
      <c r="L325" s="5">
        <v>34154000</v>
      </c>
      <c r="M325" s="5">
        <v>0.95479999999999998</v>
      </c>
    </row>
    <row r="326" spans="1:13" x14ac:dyDescent="0.3">
      <c r="A326" s="5">
        <v>10</v>
      </c>
      <c r="B326" s="5" t="s">
        <v>86</v>
      </c>
      <c r="C326" s="5" t="s">
        <v>87</v>
      </c>
      <c r="D326" s="5">
        <v>2023</v>
      </c>
      <c r="E326" s="5">
        <v>11</v>
      </c>
      <c r="F326" s="5" t="s">
        <v>56</v>
      </c>
      <c r="G326" s="5">
        <v>32206063</v>
      </c>
      <c r="H326" s="5">
        <v>29076770.620000001</v>
      </c>
      <c r="I326" s="5">
        <v>477</v>
      </c>
      <c r="J326" s="5">
        <v>3129292.38</v>
      </c>
      <c r="K326" s="5">
        <v>9.7199999999999995E-2</v>
      </c>
      <c r="L326" s="5">
        <v>32425000</v>
      </c>
      <c r="M326" s="5">
        <v>0.99319999999999997</v>
      </c>
    </row>
    <row r="327" spans="1:13" x14ac:dyDescent="0.3">
      <c r="A327" s="5">
        <v>10</v>
      </c>
      <c r="B327" s="5" t="s">
        <v>86</v>
      </c>
      <c r="C327" s="5" t="s">
        <v>87</v>
      </c>
      <c r="D327" s="5">
        <v>2023</v>
      </c>
      <c r="E327" s="5">
        <v>12</v>
      </c>
      <c r="F327" s="5" t="s">
        <v>57</v>
      </c>
      <c r="G327" s="5">
        <v>31724485</v>
      </c>
      <c r="H327" s="5">
        <v>28281223.68</v>
      </c>
      <c r="I327" s="5">
        <v>480</v>
      </c>
      <c r="J327" s="5">
        <v>3443261.32</v>
      </c>
      <c r="K327" s="5">
        <v>0.1085</v>
      </c>
      <c r="L327" s="5">
        <v>32036000</v>
      </c>
      <c r="M327" s="5">
        <v>0.99029999999999996</v>
      </c>
    </row>
    <row r="328" spans="1:13" x14ac:dyDescent="0.3">
      <c r="A328" s="5">
        <v>10</v>
      </c>
      <c r="B328" s="5" t="s">
        <v>86</v>
      </c>
      <c r="C328" s="5" t="s">
        <v>87</v>
      </c>
      <c r="D328" s="5">
        <v>2024</v>
      </c>
      <c r="E328" s="5">
        <v>1</v>
      </c>
      <c r="F328" s="5" t="s">
        <v>58</v>
      </c>
      <c r="G328" s="5">
        <v>19652440</v>
      </c>
      <c r="H328" s="5">
        <v>17418809.329999998</v>
      </c>
      <c r="I328" s="5">
        <v>325</v>
      </c>
      <c r="J328" s="5">
        <v>2233630.67</v>
      </c>
      <c r="K328" s="5">
        <v>0.1137</v>
      </c>
      <c r="L328" s="5">
        <v>19850000</v>
      </c>
      <c r="M328" s="5">
        <v>0.99</v>
      </c>
    </row>
    <row r="329" spans="1:13" x14ac:dyDescent="0.3">
      <c r="A329" s="5">
        <v>10</v>
      </c>
      <c r="B329" s="5" t="s">
        <v>86</v>
      </c>
      <c r="C329" s="5" t="s">
        <v>87</v>
      </c>
      <c r="D329" s="5">
        <v>2024</v>
      </c>
      <c r="E329" s="5">
        <v>2</v>
      </c>
      <c r="F329" s="5" t="s">
        <v>59</v>
      </c>
      <c r="G329" s="5">
        <v>18431680</v>
      </c>
      <c r="H329" s="5">
        <v>15631510.310000001</v>
      </c>
      <c r="I329" s="5">
        <v>293</v>
      </c>
      <c r="J329" s="5">
        <v>2800169.69</v>
      </c>
      <c r="K329" s="5">
        <v>0.15190000000000001</v>
      </c>
      <c r="L329" s="5">
        <v>18699000</v>
      </c>
      <c r="M329" s="5">
        <v>0.98570000000000002</v>
      </c>
    </row>
    <row r="330" spans="1:13" x14ac:dyDescent="0.3">
      <c r="A330" s="5">
        <v>10</v>
      </c>
      <c r="B330" s="5" t="s">
        <v>86</v>
      </c>
      <c r="C330" s="5" t="s">
        <v>87</v>
      </c>
      <c r="D330" s="5">
        <v>2024</v>
      </c>
      <c r="E330" s="5">
        <v>3</v>
      </c>
      <c r="F330" s="5" t="s">
        <v>60</v>
      </c>
      <c r="G330" s="5">
        <v>21576721</v>
      </c>
      <c r="H330" s="5">
        <v>18655584.18</v>
      </c>
      <c r="I330" s="5">
        <v>327</v>
      </c>
      <c r="J330" s="5">
        <v>2921136.82</v>
      </c>
      <c r="K330" s="5">
        <v>0.13539999999999999</v>
      </c>
      <c r="L330" s="5">
        <v>22886000</v>
      </c>
      <c r="M330" s="5">
        <v>0.94279999999999997</v>
      </c>
    </row>
    <row r="331" spans="1:13" x14ac:dyDescent="0.3">
      <c r="A331" s="5">
        <v>10</v>
      </c>
      <c r="B331" s="5" t="s">
        <v>86</v>
      </c>
      <c r="C331" s="5" t="s">
        <v>87</v>
      </c>
      <c r="D331" s="5">
        <v>2024</v>
      </c>
      <c r="E331" s="5">
        <v>4</v>
      </c>
      <c r="F331" s="5" t="s">
        <v>61</v>
      </c>
      <c r="G331" s="5">
        <v>25735178</v>
      </c>
      <c r="H331" s="5">
        <v>22327949.149999999</v>
      </c>
      <c r="I331" s="5">
        <v>349</v>
      </c>
      <c r="J331" s="5">
        <v>3407228.85</v>
      </c>
      <c r="K331" s="5">
        <v>0.13239999999999999</v>
      </c>
      <c r="L331" s="5">
        <v>26187000</v>
      </c>
      <c r="M331" s="5">
        <v>0.98270000000000002</v>
      </c>
    </row>
    <row r="332" spans="1:13" x14ac:dyDescent="0.3">
      <c r="A332" s="5">
        <v>10</v>
      </c>
      <c r="B332" s="5" t="s">
        <v>86</v>
      </c>
      <c r="C332" s="5" t="s">
        <v>87</v>
      </c>
      <c r="D332" s="5">
        <v>2024</v>
      </c>
      <c r="E332" s="5">
        <v>5</v>
      </c>
      <c r="F332" s="5" t="s">
        <v>62</v>
      </c>
      <c r="G332" s="5">
        <v>26097503</v>
      </c>
      <c r="H332" s="5">
        <v>22766196.739999998</v>
      </c>
      <c r="I332" s="5">
        <v>409</v>
      </c>
      <c r="J332" s="5">
        <v>3331306.26</v>
      </c>
      <c r="K332" s="5">
        <v>0.12759999999999999</v>
      </c>
      <c r="L332" s="5">
        <v>26439000</v>
      </c>
      <c r="M332" s="5">
        <v>0.98709999999999998</v>
      </c>
    </row>
    <row r="333" spans="1:13" x14ac:dyDescent="0.3">
      <c r="A333" s="5">
        <v>10</v>
      </c>
      <c r="B333" s="5" t="s">
        <v>86</v>
      </c>
      <c r="C333" s="5" t="s">
        <v>87</v>
      </c>
      <c r="D333" s="5">
        <v>2024</v>
      </c>
      <c r="E333" s="5">
        <v>6</v>
      </c>
      <c r="F333" s="5" t="s">
        <v>63</v>
      </c>
      <c r="G333" s="5">
        <v>23210164</v>
      </c>
      <c r="H333" s="5">
        <v>19171336.760000002</v>
      </c>
      <c r="I333" s="5">
        <v>332</v>
      </c>
      <c r="J333" s="5">
        <v>4038827.24</v>
      </c>
      <c r="K333" s="5">
        <v>0.17399999999999999</v>
      </c>
      <c r="L333" s="5">
        <v>22930000</v>
      </c>
      <c r="M333" s="5">
        <v>1.0122</v>
      </c>
    </row>
    <row r="334" spans="1:13" x14ac:dyDescent="0.3">
      <c r="A334" s="5">
        <v>10</v>
      </c>
      <c r="B334" s="5" t="s">
        <v>86</v>
      </c>
      <c r="C334" s="5" t="s">
        <v>87</v>
      </c>
      <c r="D334" s="5">
        <v>2024</v>
      </c>
      <c r="E334" s="5">
        <v>7</v>
      </c>
      <c r="F334" s="5" t="s">
        <v>64</v>
      </c>
      <c r="G334" s="5">
        <v>24072114</v>
      </c>
      <c r="H334" s="5">
        <v>20583588.5</v>
      </c>
      <c r="I334" s="5">
        <v>378</v>
      </c>
      <c r="J334" s="5">
        <v>3488525.5</v>
      </c>
      <c r="K334" s="5">
        <v>0.1449</v>
      </c>
      <c r="L334" s="5">
        <v>25382000</v>
      </c>
      <c r="M334" s="5">
        <v>0.94840000000000002</v>
      </c>
    </row>
    <row r="335" spans="1:13" x14ac:dyDescent="0.3">
      <c r="A335" s="5">
        <v>10</v>
      </c>
      <c r="B335" s="5" t="s">
        <v>86</v>
      </c>
      <c r="C335" s="5" t="s">
        <v>87</v>
      </c>
      <c r="D335" s="5">
        <v>2024</v>
      </c>
      <c r="E335" s="5">
        <v>8</v>
      </c>
      <c r="F335" s="5" t="s">
        <v>65</v>
      </c>
      <c r="G335" s="5">
        <v>29378750</v>
      </c>
      <c r="H335" s="5">
        <v>24704231.829999998</v>
      </c>
      <c r="I335" s="5">
        <v>391</v>
      </c>
      <c r="J335" s="5">
        <v>4674518.17</v>
      </c>
      <c r="K335" s="5">
        <v>0.15909999999999999</v>
      </c>
      <c r="L335" s="5">
        <v>30298000</v>
      </c>
      <c r="M335" s="5">
        <v>0.96970000000000001</v>
      </c>
    </row>
    <row r="336" spans="1:13" x14ac:dyDescent="0.3">
      <c r="A336" s="5">
        <v>10</v>
      </c>
      <c r="B336" s="5" t="s">
        <v>86</v>
      </c>
      <c r="C336" s="5" t="s">
        <v>87</v>
      </c>
      <c r="D336" s="5">
        <v>2024</v>
      </c>
      <c r="E336" s="5">
        <v>9</v>
      </c>
      <c r="F336" s="5" t="s">
        <v>66</v>
      </c>
      <c r="G336" s="5">
        <v>26323581</v>
      </c>
      <c r="H336" s="5">
        <v>21596077.43</v>
      </c>
      <c r="I336" s="5">
        <v>386</v>
      </c>
      <c r="J336" s="5">
        <v>4727503.57</v>
      </c>
      <c r="K336" s="5">
        <v>0.17960000000000001</v>
      </c>
      <c r="L336" s="5">
        <v>27417000</v>
      </c>
      <c r="M336" s="5">
        <v>0.96009999999999995</v>
      </c>
    </row>
    <row r="337" spans="1:13" x14ac:dyDescent="0.3">
      <c r="A337" s="5">
        <v>10</v>
      </c>
      <c r="B337" s="5" t="s">
        <v>86</v>
      </c>
      <c r="C337" s="5" t="s">
        <v>87</v>
      </c>
      <c r="D337" s="5">
        <v>2024</v>
      </c>
      <c r="E337" s="5">
        <v>10</v>
      </c>
      <c r="F337" s="5" t="s">
        <v>67</v>
      </c>
      <c r="G337" s="5">
        <v>36096489</v>
      </c>
      <c r="H337" s="5">
        <v>29083619.93</v>
      </c>
      <c r="I337" s="5">
        <v>517</v>
      </c>
      <c r="J337" s="5">
        <v>7012869.0700000003</v>
      </c>
      <c r="K337" s="5">
        <v>0.1943</v>
      </c>
      <c r="L337" s="5">
        <v>36468000</v>
      </c>
      <c r="M337" s="5">
        <v>0.98980000000000001</v>
      </c>
    </row>
    <row r="338" spans="1:13" x14ac:dyDescent="0.3">
      <c r="A338" s="5">
        <v>10</v>
      </c>
      <c r="B338" s="5" t="s">
        <v>86</v>
      </c>
      <c r="C338" s="5" t="s">
        <v>87</v>
      </c>
      <c r="D338" s="5">
        <v>2024</v>
      </c>
      <c r="E338" s="5">
        <v>11</v>
      </c>
      <c r="F338" s="5" t="s">
        <v>68</v>
      </c>
      <c r="G338" s="5">
        <v>40278889</v>
      </c>
      <c r="H338" s="5">
        <v>33737354.07</v>
      </c>
      <c r="I338" s="5">
        <v>590</v>
      </c>
      <c r="J338" s="5">
        <v>6541534.9299999997</v>
      </c>
      <c r="K338" s="5">
        <v>0.16239999999999999</v>
      </c>
      <c r="L338" s="5">
        <v>41812000</v>
      </c>
      <c r="M338" s="5">
        <v>0.96330000000000005</v>
      </c>
    </row>
    <row r="339" spans="1:13" x14ac:dyDescent="0.3">
      <c r="A339" s="5">
        <v>10</v>
      </c>
      <c r="B339" s="5" t="s">
        <v>86</v>
      </c>
      <c r="C339" s="5" t="s">
        <v>87</v>
      </c>
      <c r="D339" s="5">
        <v>2024</v>
      </c>
      <c r="E339" s="5">
        <v>12</v>
      </c>
      <c r="F339" s="5" t="s">
        <v>69</v>
      </c>
      <c r="G339" s="5">
        <v>42691056</v>
      </c>
      <c r="H339" s="5">
        <v>34430906.82</v>
      </c>
      <c r="I339" s="5">
        <v>531</v>
      </c>
      <c r="J339" s="5">
        <v>8260149.1799999997</v>
      </c>
      <c r="K339" s="5">
        <v>0.19350000000000001</v>
      </c>
      <c r="L339" s="5">
        <v>43234000</v>
      </c>
      <c r="M339" s="5">
        <v>0.98740000000000006</v>
      </c>
    </row>
    <row r="340" spans="1:13" x14ac:dyDescent="0.3">
      <c r="A340" s="5">
        <v>2</v>
      </c>
      <c r="B340" s="5" t="s">
        <v>88</v>
      </c>
      <c r="C340" s="5" t="s">
        <v>77</v>
      </c>
      <c r="D340" s="5">
        <v>2021</v>
      </c>
      <c r="E340" s="5">
        <v>1</v>
      </c>
      <c r="F340" s="5" t="s">
        <v>22</v>
      </c>
      <c r="G340" s="5">
        <v>28283119</v>
      </c>
      <c r="H340" s="5">
        <v>25598365.190000001</v>
      </c>
      <c r="I340" s="5">
        <v>392</v>
      </c>
      <c r="J340" s="5">
        <v>2684753.81</v>
      </c>
      <c r="K340" s="5">
        <v>9.4899999999999998E-2</v>
      </c>
      <c r="L340" s="5">
        <v>26842000</v>
      </c>
      <c r="M340" s="5">
        <v>1.0537000000000001</v>
      </c>
    </row>
    <row r="341" spans="1:13" x14ac:dyDescent="0.3">
      <c r="A341" s="5">
        <v>2</v>
      </c>
      <c r="B341" s="5" t="s">
        <v>88</v>
      </c>
      <c r="C341" s="5" t="s">
        <v>77</v>
      </c>
      <c r="D341" s="5">
        <v>2021</v>
      </c>
      <c r="E341" s="5">
        <v>2</v>
      </c>
      <c r="F341" s="5" t="s">
        <v>23</v>
      </c>
      <c r="G341" s="5">
        <v>19465472</v>
      </c>
      <c r="H341" s="5">
        <v>17051571.52</v>
      </c>
      <c r="I341" s="5">
        <v>326</v>
      </c>
      <c r="J341" s="5">
        <v>2413900.48</v>
      </c>
      <c r="K341" s="5">
        <v>0.124</v>
      </c>
      <c r="L341" s="5">
        <v>17953000</v>
      </c>
      <c r="M341" s="5">
        <v>1.0842000000000001</v>
      </c>
    </row>
    <row r="342" spans="1:13" x14ac:dyDescent="0.3">
      <c r="A342" s="5">
        <v>2</v>
      </c>
      <c r="B342" s="5" t="s">
        <v>88</v>
      </c>
      <c r="C342" s="5" t="s">
        <v>77</v>
      </c>
      <c r="D342" s="5">
        <v>2021</v>
      </c>
      <c r="E342" s="5">
        <v>3</v>
      </c>
      <c r="F342" s="5" t="s">
        <v>24</v>
      </c>
      <c r="G342" s="5">
        <v>26446930</v>
      </c>
      <c r="H342" s="5">
        <v>22218590.41</v>
      </c>
      <c r="I342" s="5">
        <v>353</v>
      </c>
      <c r="J342" s="5">
        <v>4228339.59</v>
      </c>
      <c r="K342" s="5">
        <v>0.15989999999999999</v>
      </c>
      <c r="L342" s="5">
        <v>25909000</v>
      </c>
      <c r="M342" s="5">
        <v>1.0207999999999999</v>
      </c>
    </row>
    <row r="343" spans="1:13" x14ac:dyDescent="0.3">
      <c r="A343" s="5">
        <v>2</v>
      </c>
      <c r="B343" s="5" t="s">
        <v>88</v>
      </c>
      <c r="C343" s="5" t="s">
        <v>77</v>
      </c>
      <c r="D343" s="5">
        <v>2021</v>
      </c>
      <c r="E343" s="5">
        <v>4</v>
      </c>
      <c r="F343" s="5" t="s">
        <v>25</v>
      </c>
      <c r="G343" s="5">
        <v>25344146</v>
      </c>
      <c r="H343" s="5">
        <v>22189501.800000001</v>
      </c>
      <c r="I343" s="5">
        <v>382</v>
      </c>
      <c r="J343" s="5">
        <v>3154644.2</v>
      </c>
      <c r="K343" s="5">
        <v>0.1245</v>
      </c>
      <c r="L343" s="5">
        <v>24546000</v>
      </c>
      <c r="M343" s="5">
        <v>1.0325</v>
      </c>
    </row>
    <row r="344" spans="1:13" x14ac:dyDescent="0.3">
      <c r="A344" s="5">
        <v>2</v>
      </c>
      <c r="B344" s="5" t="s">
        <v>88</v>
      </c>
      <c r="C344" s="5" t="s">
        <v>77</v>
      </c>
      <c r="D344" s="5">
        <v>2021</v>
      </c>
      <c r="E344" s="5">
        <v>5</v>
      </c>
      <c r="F344" s="5" t="s">
        <v>26</v>
      </c>
      <c r="G344" s="5">
        <v>28088535</v>
      </c>
      <c r="H344" s="5">
        <v>24321174.850000001</v>
      </c>
      <c r="I344" s="5">
        <v>451</v>
      </c>
      <c r="J344" s="5">
        <v>3767360.15</v>
      </c>
      <c r="K344" s="5">
        <v>0.1341</v>
      </c>
      <c r="L344" s="5">
        <v>25430000</v>
      </c>
      <c r="M344" s="5">
        <v>1.1045</v>
      </c>
    </row>
    <row r="345" spans="1:13" x14ac:dyDescent="0.3">
      <c r="A345" s="5">
        <v>2</v>
      </c>
      <c r="B345" s="5" t="s">
        <v>88</v>
      </c>
      <c r="C345" s="5" t="s">
        <v>77</v>
      </c>
      <c r="D345" s="5">
        <v>2021</v>
      </c>
      <c r="E345" s="5">
        <v>6</v>
      </c>
      <c r="F345" s="5" t="s">
        <v>27</v>
      </c>
      <c r="G345" s="5">
        <v>26842535</v>
      </c>
      <c r="H345" s="5">
        <v>23531359.550000001</v>
      </c>
      <c r="I345" s="5">
        <v>403</v>
      </c>
      <c r="J345" s="5">
        <v>3311175.45</v>
      </c>
      <c r="K345" s="5">
        <v>0.1234</v>
      </c>
      <c r="L345" s="5">
        <v>24256000</v>
      </c>
      <c r="M345" s="5">
        <v>1.1066</v>
      </c>
    </row>
    <row r="346" spans="1:13" x14ac:dyDescent="0.3">
      <c r="A346" s="5">
        <v>2</v>
      </c>
      <c r="B346" s="5" t="s">
        <v>88</v>
      </c>
      <c r="C346" s="5" t="s">
        <v>77</v>
      </c>
      <c r="D346" s="5">
        <v>2021</v>
      </c>
      <c r="E346" s="5">
        <v>7</v>
      </c>
      <c r="F346" s="5" t="s">
        <v>28</v>
      </c>
      <c r="G346" s="5">
        <v>27656302</v>
      </c>
      <c r="H346" s="5">
        <v>24607278.93</v>
      </c>
      <c r="I346" s="5">
        <v>412</v>
      </c>
      <c r="J346" s="5">
        <v>3049023.07</v>
      </c>
      <c r="K346" s="5">
        <v>0.11020000000000001</v>
      </c>
      <c r="L346" s="5">
        <v>25611000</v>
      </c>
      <c r="M346" s="5">
        <v>1.0799000000000001</v>
      </c>
    </row>
    <row r="347" spans="1:13" x14ac:dyDescent="0.3">
      <c r="A347" s="5">
        <v>2</v>
      </c>
      <c r="B347" s="5" t="s">
        <v>88</v>
      </c>
      <c r="C347" s="5" t="s">
        <v>77</v>
      </c>
      <c r="D347" s="5">
        <v>2021</v>
      </c>
      <c r="E347" s="5">
        <v>8</v>
      </c>
      <c r="F347" s="5" t="s">
        <v>29</v>
      </c>
      <c r="G347" s="5">
        <v>31447254</v>
      </c>
      <c r="H347" s="5">
        <v>26399319.399999999</v>
      </c>
      <c r="I347" s="5">
        <v>419</v>
      </c>
      <c r="J347" s="5">
        <v>5047934.5999999996</v>
      </c>
      <c r="K347" s="5">
        <v>0.1605</v>
      </c>
      <c r="L347" s="5">
        <v>28422000</v>
      </c>
      <c r="M347" s="5">
        <v>1.1064000000000001</v>
      </c>
    </row>
    <row r="348" spans="1:13" x14ac:dyDescent="0.3">
      <c r="A348" s="5">
        <v>2</v>
      </c>
      <c r="B348" s="5" t="s">
        <v>88</v>
      </c>
      <c r="C348" s="5" t="s">
        <v>77</v>
      </c>
      <c r="D348" s="5">
        <v>2021</v>
      </c>
      <c r="E348" s="5">
        <v>9</v>
      </c>
      <c r="F348" s="5" t="s">
        <v>30</v>
      </c>
      <c r="G348" s="5">
        <v>29688166</v>
      </c>
      <c r="H348" s="5">
        <v>25219582.739999998</v>
      </c>
      <c r="I348" s="5">
        <v>469</v>
      </c>
      <c r="J348" s="5">
        <v>4468583.26</v>
      </c>
      <c r="K348" s="5">
        <v>0.15049999999999999</v>
      </c>
      <c r="L348" s="5">
        <v>28704000</v>
      </c>
      <c r="M348" s="5">
        <v>1.0343</v>
      </c>
    </row>
    <row r="349" spans="1:13" x14ac:dyDescent="0.3">
      <c r="A349" s="5">
        <v>2</v>
      </c>
      <c r="B349" s="5" t="s">
        <v>88</v>
      </c>
      <c r="C349" s="5" t="s">
        <v>77</v>
      </c>
      <c r="D349" s="5">
        <v>2021</v>
      </c>
      <c r="E349" s="5">
        <v>10</v>
      </c>
      <c r="F349" s="5" t="s">
        <v>31</v>
      </c>
      <c r="G349" s="5">
        <v>42474896</v>
      </c>
      <c r="H349" s="5">
        <v>35903010.579999998</v>
      </c>
      <c r="I349" s="5">
        <v>642</v>
      </c>
      <c r="J349" s="5">
        <v>6571885.4199999999</v>
      </c>
      <c r="K349" s="5">
        <v>0.1547</v>
      </c>
      <c r="L349" s="5">
        <v>38019000</v>
      </c>
      <c r="M349" s="5">
        <v>1.1172</v>
      </c>
    </row>
    <row r="350" spans="1:13" x14ac:dyDescent="0.3">
      <c r="A350" s="5">
        <v>2</v>
      </c>
      <c r="B350" s="5" t="s">
        <v>88</v>
      </c>
      <c r="C350" s="5" t="s">
        <v>77</v>
      </c>
      <c r="D350" s="5">
        <v>2021</v>
      </c>
      <c r="E350" s="5">
        <v>11</v>
      </c>
      <c r="F350" s="5" t="s">
        <v>32</v>
      </c>
      <c r="G350" s="5">
        <v>42415739</v>
      </c>
      <c r="H350" s="5">
        <v>35140850.649999999</v>
      </c>
      <c r="I350" s="5">
        <v>626</v>
      </c>
      <c r="J350" s="5">
        <v>7274888.3499999996</v>
      </c>
      <c r="K350" s="5">
        <v>0.17150000000000001</v>
      </c>
      <c r="L350" s="5">
        <v>38694000</v>
      </c>
      <c r="M350" s="5">
        <v>1.0962000000000001</v>
      </c>
    </row>
    <row r="351" spans="1:13" x14ac:dyDescent="0.3">
      <c r="A351" s="5">
        <v>2</v>
      </c>
      <c r="B351" s="5" t="s">
        <v>88</v>
      </c>
      <c r="C351" s="5" t="s">
        <v>77</v>
      </c>
      <c r="D351" s="5">
        <v>2021</v>
      </c>
      <c r="E351" s="5">
        <v>12</v>
      </c>
      <c r="F351" s="5" t="s">
        <v>33</v>
      </c>
      <c r="G351" s="5">
        <v>43197884</v>
      </c>
      <c r="H351" s="5">
        <v>36702312.75</v>
      </c>
      <c r="I351" s="5">
        <v>592</v>
      </c>
      <c r="J351" s="5">
        <v>6495571.25</v>
      </c>
      <c r="K351" s="5">
        <v>0.15040000000000001</v>
      </c>
      <c r="L351" s="5">
        <v>40007000</v>
      </c>
      <c r="M351" s="5">
        <v>1.0798000000000001</v>
      </c>
    </row>
    <row r="352" spans="1:13" x14ac:dyDescent="0.3">
      <c r="A352" s="5">
        <v>2</v>
      </c>
      <c r="B352" s="5" t="s">
        <v>88</v>
      </c>
      <c r="C352" s="5" t="s">
        <v>77</v>
      </c>
      <c r="D352" s="5">
        <v>2022</v>
      </c>
      <c r="E352" s="5">
        <v>1</v>
      </c>
      <c r="F352" s="5" t="s">
        <v>34</v>
      </c>
      <c r="G352" s="5">
        <v>32870019</v>
      </c>
      <c r="H352" s="5">
        <v>27484679.350000001</v>
      </c>
      <c r="I352" s="5">
        <v>493</v>
      </c>
      <c r="J352" s="5">
        <v>5385339.6500000004</v>
      </c>
      <c r="K352" s="5">
        <v>0.1638</v>
      </c>
      <c r="L352" s="5">
        <v>29419000</v>
      </c>
      <c r="M352" s="5">
        <v>1.1173</v>
      </c>
    </row>
    <row r="353" spans="1:13" x14ac:dyDescent="0.3">
      <c r="A353" s="5">
        <v>2</v>
      </c>
      <c r="B353" s="5" t="s">
        <v>88</v>
      </c>
      <c r="C353" s="5" t="s">
        <v>77</v>
      </c>
      <c r="D353" s="5">
        <v>2022</v>
      </c>
      <c r="E353" s="5">
        <v>2</v>
      </c>
      <c r="F353" s="5" t="s">
        <v>35</v>
      </c>
      <c r="G353" s="5">
        <v>30818574</v>
      </c>
      <c r="H353" s="5">
        <v>25627449.73</v>
      </c>
      <c r="I353" s="5">
        <v>446</v>
      </c>
      <c r="J353" s="5">
        <v>5191124.2699999996</v>
      </c>
      <c r="K353" s="5">
        <v>0.16839999999999999</v>
      </c>
      <c r="L353" s="5">
        <v>27801000</v>
      </c>
      <c r="M353" s="5">
        <v>1.1085</v>
      </c>
    </row>
    <row r="354" spans="1:13" x14ac:dyDescent="0.3">
      <c r="A354" s="5">
        <v>2</v>
      </c>
      <c r="B354" s="5" t="s">
        <v>88</v>
      </c>
      <c r="C354" s="5" t="s">
        <v>77</v>
      </c>
      <c r="D354" s="5">
        <v>2022</v>
      </c>
      <c r="E354" s="5">
        <v>3</v>
      </c>
      <c r="F354" s="5" t="s">
        <v>36</v>
      </c>
      <c r="G354" s="5">
        <v>41088658</v>
      </c>
      <c r="H354" s="5">
        <v>34950273.600000001</v>
      </c>
      <c r="I354" s="5">
        <v>572</v>
      </c>
      <c r="J354" s="5">
        <v>6138384.4000000004</v>
      </c>
      <c r="K354" s="5">
        <v>0.14940000000000001</v>
      </c>
      <c r="L354" s="5">
        <v>38500000</v>
      </c>
      <c r="M354" s="5">
        <v>1.0671999999999999</v>
      </c>
    </row>
    <row r="355" spans="1:13" x14ac:dyDescent="0.3">
      <c r="A355" s="5">
        <v>2</v>
      </c>
      <c r="B355" s="5" t="s">
        <v>88</v>
      </c>
      <c r="C355" s="5" t="s">
        <v>77</v>
      </c>
      <c r="D355" s="5">
        <v>2022</v>
      </c>
      <c r="E355" s="5">
        <v>4</v>
      </c>
      <c r="F355" s="5" t="s">
        <v>37</v>
      </c>
      <c r="G355" s="5">
        <v>38560601</v>
      </c>
      <c r="H355" s="5">
        <v>33033691.57</v>
      </c>
      <c r="I355" s="5">
        <v>582</v>
      </c>
      <c r="J355" s="5">
        <v>5526909.4299999997</v>
      </c>
      <c r="K355" s="5">
        <v>0.14330000000000001</v>
      </c>
      <c r="L355" s="5">
        <v>36504000</v>
      </c>
      <c r="M355" s="5">
        <v>1.0563</v>
      </c>
    </row>
    <row r="356" spans="1:13" x14ac:dyDescent="0.3">
      <c r="A356" s="5">
        <v>2</v>
      </c>
      <c r="B356" s="5" t="s">
        <v>88</v>
      </c>
      <c r="C356" s="5" t="s">
        <v>77</v>
      </c>
      <c r="D356" s="5">
        <v>2022</v>
      </c>
      <c r="E356" s="5">
        <v>5</v>
      </c>
      <c r="F356" s="5" t="s">
        <v>38</v>
      </c>
      <c r="G356" s="5">
        <v>42512565</v>
      </c>
      <c r="H356" s="5">
        <v>37434091.079999998</v>
      </c>
      <c r="I356" s="5">
        <v>644</v>
      </c>
      <c r="J356" s="5">
        <v>5078473.92</v>
      </c>
      <c r="K356" s="5">
        <v>0.1195</v>
      </c>
      <c r="L356" s="5">
        <v>37313000</v>
      </c>
      <c r="M356" s="5">
        <v>1.1393</v>
      </c>
    </row>
    <row r="357" spans="1:13" x14ac:dyDescent="0.3">
      <c r="A357" s="5">
        <v>2</v>
      </c>
      <c r="B357" s="5" t="s">
        <v>88</v>
      </c>
      <c r="C357" s="5" t="s">
        <v>77</v>
      </c>
      <c r="D357" s="5">
        <v>2022</v>
      </c>
      <c r="E357" s="5">
        <v>6</v>
      </c>
      <c r="F357" s="5" t="s">
        <v>39</v>
      </c>
      <c r="G357" s="5">
        <v>37985713</v>
      </c>
      <c r="H357" s="5">
        <v>32646303.170000002</v>
      </c>
      <c r="I357" s="5">
        <v>551</v>
      </c>
      <c r="J357" s="5">
        <v>5339409.83</v>
      </c>
      <c r="K357" s="5">
        <v>0.1406</v>
      </c>
      <c r="L357" s="5">
        <v>33523000</v>
      </c>
      <c r="M357" s="5">
        <v>1.1331</v>
      </c>
    </row>
    <row r="358" spans="1:13" x14ac:dyDescent="0.3">
      <c r="A358" s="5">
        <v>2</v>
      </c>
      <c r="B358" s="5" t="s">
        <v>88</v>
      </c>
      <c r="C358" s="5" t="s">
        <v>77</v>
      </c>
      <c r="D358" s="5">
        <v>2022</v>
      </c>
      <c r="E358" s="5">
        <v>7</v>
      </c>
      <c r="F358" s="5" t="s">
        <v>40</v>
      </c>
      <c r="G358" s="5">
        <v>38032475</v>
      </c>
      <c r="H358" s="5">
        <v>33928189.740000002</v>
      </c>
      <c r="I358" s="5">
        <v>604</v>
      </c>
      <c r="J358" s="5">
        <v>4104285.26</v>
      </c>
      <c r="K358" s="5">
        <v>0.1079</v>
      </c>
      <c r="L358" s="5">
        <v>33543000</v>
      </c>
      <c r="M358" s="5">
        <v>1.1337999999999999</v>
      </c>
    </row>
    <row r="359" spans="1:13" x14ac:dyDescent="0.3">
      <c r="A359" s="5">
        <v>2</v>
      </c>
      <c r="B359" s="5" t="s">
        <v>88</v>
      </c>
      <c r="C359" s="5" t="s">
        <v>77</v>
      </c>
      <c r="D359" s="5">
        <v>2022</v>
      </c>
      <c r="E359" s="5">
        <v>8</v>
      </c>
      <c r="F359" s="5" t="s">
        <v>41</v>
      </c>
      <c r="G359" s="5">
        <v>41203987</v>
      </c>
      <c r="H359" s="5">
        <v>38810248.859999999</v>
      </c>
      <c r="I359" s="5">
        <v>637</v>
      </c>
      <c r="J359" s="5">
        <v>2393738.14</v>
      </c>
      <c r="K359" s="5">
        <v>5.8099999999999999E-2</v>
      </c>
      <c r="L359" s="5">
        <v>36440000</v>
      </c>
      <c r="M359" s="5">
        <v>1.1307</v>
      </c>
    </row>
    <row r="360" spans="1:13" x14ac:dyDescent="0.3">
      <c r="A360" s="5">
        <v>2</v>
      </c>
      <c r="B360" s="5" t="s">
        <v>88</v>
      </c>
      <c r="C360" s="5" t="s">
        <v>77</v>
      </c>
      <c r="D360" s="5">
        <v>2022</v>
      </c>
      <c r="E360" s="5">
        <v>9</v>
      </c>
      <c r="F360" s="5" t="s">
        <v>42</v>
      </c>
      <c r="G360" s="5">
        <v>45798003</v>
      </c>
      <c r="H360" s="5">
        <v>39702792.490000002</v>
      </c>
      <c r="I360" s="5">
        <v>655</v>
      </c>
      <c r="J360" s="5">
        <v>6095210.5099999998</v>
      </c>
      <c r="K360" s="5">
        <v>0.1331</v>
      </c>
      <c r="L360" s="5">
        <v>40635000</v>
      </c>
      <c r="M360" s="5">
        <v>1.1271</v>
      </c>
    </row>
    <row r="361" spans="1:13" x14ac:dyDescent="0.3">
      <c r="A361" s="5">
        <v>2</v>
      </c>
      <c r="B361" s="5" t="s">
        <v>88</v>
      </c>
      <c r="C361" s="5" t="s">
        <v>77</v>
      </c>
      <c r="D361" s="5">
        <v>2022</v>
      </c>
      <c r="E361" s="5">
        <v>10</v>
      </c>
      <c r="F361" s="5" t="s">
        <v>43</v>
      </c>
      <c r="G361" s="5">
        <v>51971776</v>
      </c>
      <c r="H361" s="5">
        <v>47163361.979999997</v>
      </c>
      <c r="I361" s="5">
        <v>857</v>
      </c>
      <c r="J361" s="5">
        <v>4808414.0199999996</v>
      </c>
      <c r="K361" s="5">
        <v>9.2499999999999999E-2</v>
      </c>
      <c r="L361" s="5">
        <v>47635000</v>
      </c>
      <c r="M361" s="5">
        <v>1.091</v>
      </c>
    </row>
    <row r="362" spans="1:13" x14ac:dyDescent="0.3">
      <c r="A362" s="5">
        <v>2</v>
      </c>
      <c r="B362" s="5" t="s">
        <v>88</v>
      </c>
      <c r="C362" s="5" t="s">
        <v>77</v>
      </c>
      <c r="D362" s="5">
        <v>2022</v>
      </c>
      <c r="E362" s="5">
        <v>11</v>
      </c>
      <c r="F362" s="5" t="s">
        <v>44</v>
      </c>
      <c r="G362" s="5">
        <v>58117517</v>
      </c>
      <c r="H362" s="5">
        <v>49489785.719999999</v>
      </c>
      <c r="I362" s="5">
        <v>850</v>
      </c>
      <c r="J362" s="5">
        <v>8627731.2799999993</v>
      </c>
      <c r="K362" s="5">
        <v>0.14849999999999999</v>
      </c>
      <c r="L362" s="5">
        <v>56189000</v>
      </c>
      <c r="M362" s="5">
        <v>1.0343</v>
      </c>
    </row>
    <row r="363" spans="1:13" x14ac:dyDescent="0.3">
      <c r="A363" s="5">
        <v>2</v>
      </c>
      <c r="B363" s="5" t="s">
        <v>88</v>
      </c>
      <c r="C363" s="5" t="s">
        <v>77</v>
      </c>
      <c r="D363" s="5">
        <v>2022</v>
      </c>
      <c r="E363" s="5">
        <v>12</v>
      </c>
      <c r="F363" s="5" t="s">
        <v>45</v>
      </c>
      <c r="G363" s="5">
        <v>59389182</v>
      </c>
      <c r="H363" s="5">
        <v>49127848.710000001</v>
      </c>
      <c r="I363" s="5">
        <v>818</v>
      </c>
      <c r="J363" s="5">
        <v>10261333.289999999</v>
      </c>
      <c r="K363" s="5">
        <v>0.17280000000000001</v>
      </c>
      <c r="L363" s="5">
        <v>53568000</v>
      </c>
      <c r="M363" s="5">
        <v>1.1087</v>
      </c>
    </row>
    <row r="364" spans="1:13" x14ac:dyDescent="0.3">
      <c r="A364" s="5">
        <v>2</v>
      </c>
      <c r="B364" s="5" t="s">
        <v>88</v>
      </c>
      <c r="C364" s="5" t="s">
        <v>77</v>
      </c>
      <c r="D364" s="5">
        <v>2023</v>
      </c>
      <c r="E364" s="5">
        <v>1</v>
      </c>
      <c r="F364" s="5" t="s">
        <v>46</v>
      </c>
      <c r="G364" s="5">
        <v>46373653</v>
      </c>
      <c r="H364" s="5">
        <v>40886370.380000003</v>
      </c>
      <c r="I364" s="5">
        <v>672</v>
      </c>
      <c r="J364" s="5">
        <v>5487282.6200000001</v>
      </c>
      <c r="K364" s="5">
        <v>0.1183</v>
      </c>
      <c r="L364" s="5">
        <v>44807000</v>
      </c>
      <c r="M364" s="5">
        <v>1.0349999999999999</v>
      </c>
    </row>
    <row r="365" spans="1:13" x14ac:dyDescent="0.3">
      <c r="A365" s="5">
        <v>2</v>
      </c>
      <c r="B365" s="5" t="s">
        <v>88</v>
      </c>
      <c r="C365" s="5" t="s">
        <v>77</v>
      </c>
      <c r="D365" s="5">
        <v>2023</v>
      </c>
      <c r="E365" s="5">
        <v>2</v>
      </c>
      <c r="F365" s="5" t="s">
        <v>47</v>
      </c>
      <c r="G365" s="5">
        <v>39069787</v>
      </c>
      <c r="H365" s="5">
        <v>33440073.399999999</v>
      </c>
      <c r="I365" s="5">
        <v>583</v>
      </c>
      <c r="J365" s="5">
        <v>5629713.5999999996</v>
      </c>
      <c r="K365" s="5">
        <v>0.14410000000000001</v>
      </c>
      <c r="L365" s="5">
        <v>37300000</v>
      </c>
      <c r="M365" s="5">
        <v>1.0474000000000001</v>
      </c>
    </row>
    <row r="366" spans="1:13" x14ac:dyDescent="0.3">
      <c r="A366" s="5">
        <v>2</v>
      </c>
      <c r="B366" s="5" t="s">
        <v>88</v>
      </c>
      <c r="C366" s="5" t="s">
        <v>77</v>
      </c>
      <c r="D366" s="5">
        <v>2023</v>
      </c>
      <c r="E366" s="5">
        <v>3</v>
      </c>
      <c r="F366" s="5" t="s">
        <v>48</v>
      </c>
      <c r="G366" s="5">
        <v>44767387</v>
      </c>
      <c r="H366" s="5">
        <v>39512658.479999997</v>
      </c>
      <c r="I366" s="5">
        <v>717</v>
      </c>
      <c r="J366" s="5">
        <v>5254728.5199999996</v>
      </c>
      <c r="K366" s="5">
        <v>0.1174</v>
      </c>
      <c r="L366" s="5">
        <v>40831000</v>
      </c>
      <c r="M366" s="5">
        <v>1.0964</v>
      </c>
    </row>
    <row r="367" spans="1:13" x14ac:dyDescent="0.3">
      <c r="A367" s="5">
        <v>2</v>
      </c>
      <c r="B367" s="5" t="s">
        <v>88</v>
      </c>
      <c r="C367" s="5" t="s">
        <v>77</v>
      </c>
      <c r="D367" s="5">
        <v>2023</v>
      </c>
      <c r="E367" s="5">
        <v>4</v>
      </c>
      <c r="F367" s="5" t="s">
        <v>49</v>
      </c>
      <c r="G367" s="5">
        <v>50736616</v>
      </c>
      <c r="H367" s="5">
        <v>44750942.210000001</v>
      </c>
      <c r="I367" s="5">
        <v>713</v>
      </c>
      <c r="J367" s="5">
        <v>5985673.79</v>
      </c>
      <c r="K367" s="5">
        <v>0.11799999999999999</v>
      </c>
      <c r="L367" s="5">
        <v>46864000</v>
      </c>
      <c r="M367" s="5">
        <v>1.0826</v>
      </c>
    </row>
    <row r="368" spans="1:13" x14ac:dyDescent="0.3">
      <c r="A368" s="5">
        <v>2</v>
      </c>
      <c r="B368" s="5" t="s">
        <v>88</v>
      </c>
      <c r="C368" s="5" t="s">
        <v>77</v>
      </c>
      <c r="D368" s="5">
        <v>2023</v>
      </c>
      <c r="E368" s="5">
        <v>5</v>
      </c>
      <c r="F368" s="5" t="s">
        <v>50</v>
      </c>
      <c r="G368" s="5">
        <v>53204206</v>
      </c>
      <c r="H368" s="5">
        <v>46326265.780000001</v>
      </c>
      <c r="I368" s="5">
        <v>822</v>
      </c>
      <c r="J368" s="5">
        <v>6877940.2199999997</v>
      </c>
      <c r="K368" s="5">
        <v>0.1293</v>
      </c>
      <c r="L368" s="5">
        <v>46777000</v>
      </c>
      <c r="M368" s="5">
        <v>1.1374</v>
      </c>
    </row>
    <row r="369" spans="1:13" x14ac:dyDescent="0.3">
      <c r="A369" s="5">
        <v>2</v>
      </c>
      <c r="B369" s="5" t="s">
        <v>88</v>
      </c>
      <c r="C369" s="5" t="s">
        <v>77</v>
      </c>
      <c r="D369" s="5">
        <v>2023</v>
      </c>
      <c r="E369" s="5">
        <v>6</v>
      </c>
      <c r="F369" s="5" t="s">
        <v>51</v>
      </c>
      <c r="G369" s="5">
        <v>60130957</v>
      </c>
      <c r="H369" s="5">
        <v>51283566.5</v>
      </c>
      <c r="I369" s="5">
        <v>803</v>
      </c>
      <c r="J369" s="5">
        <v>8847390.5</v>
      </c>
      <c r="K369" s="5">
        <v>0.14710000000000001</v>
      </c>
      <c r="L369" s="5">
        <v>54780000</v>
      </c>
      <c r="M369" s="5">
        <v>1.0976999999999999</v>
      </c>
    </row>
    <row r="370" spans="1:13" x14ac:dyDescent="0.3">
      <c r="A370" s="5">
        <v>2</v>
      </c>
      <c r="B370" s="5" t="s">
        <v>88</v>
      </c>
      <c r="C370" s="5" t="s">
        <v>77</v>
      </c>
      <c r="D370" s="5">
        <v>2023</v>
      </c>
      <c r="E370" s="5">
        <v>7</v>
      </c>
      <c r="F370" s="5" t="s">
        <v>52</v>
      </c>
      <c r="G370" s="5">
        <v>51790838</v>
      </c>
      <c r="H370" s="5">
        <v>45925132.840000004</v>
      </c>
      <c r="I370" s="5">
        <v>771</v>
      </c>
      <c r="J370" s="5">
        <v>5865705.1600000001</v>
      </c>
      <c r="K370" s="5">
        <v>0.1133</v>
      </c>
      <c r="L370" s="5">
        <v>49144000</v>
      </c>
      <c r="M370" s="5">
        <v>1.0539000000000001</v>
      </c>
    </row>
    <row r="371" spans="1:13" x14ac:dyDescent="0.3">
      <c r="A371" s="5">
        <v>2</v>
      </c>
      <c r="B371" s="5" t="s">
        <v>88</v>
      </c>
      <c r="C371" s="5" t="s">
        <v>77</v>
      </c>
      <c r="D371" s="5">
        <v>2023</v>
      </c>
      <c r="E371" s="5">
        <v>8</v>
      </c>
      <c r="F371" s="5" t="s">
        <v>53</v>
      </c>
      <c r="G371" s="5">
        <v>51919880</v>
      </c>
      <c r="H371" s="5">
        <v>45900768.890000001</v>
      </c>
      <c r="I371" s="5">
        <v>788</v>
      </c>
      <c r="J371" s="5">
        <v>6019111.1100000003</v>
      </c>
      <c r="K371" s="5">
        <v>0.1159</v>
      </c>
      <c r="L371" s="5">
        <v>47952000</v>
      </c>
      <c r="M371" s="5">
        <v>1.0827</v>
      </c>
    </row>
    <row r="372" spans="1:13" x14ac:dyDescent="0.3">
      <c r="A372" s="5">
        <v>2</v>
      </c>
      <c r="B372" s="5" t="s">
        <v>88</v>
      </c>
      <c r="C372" s="5" t="s">
        <v>77</v>
      </c>
      <c r="D372" s="5">
        <v>2023</v>
      </c>
      <c r="E372" s="5">
        <v>9</v>
      </c>
      <c r="F372" s="5" t="s">
        <v>54</v>
      </c>
      <c r="G372" s="5">
        <v>55788584</v>
      </c>
      <c r="H372" s="5">
        <v>50554130.509999998</v>
      </c>
      <c r="I372" s="5">
        <v>861</v>
      </c>
      <c r="J372" s="5">
        <v>5234453.49</v>
      </c>
      <c r="K372" s="5">
        <v>9.3799999999999994E-2</v>
      </c>
      <c r="L372" s="5">
        <v>49605000</v>
      </c>
      <c r="M372" s="5">
        <v>1.1247</v>
      </c>
    </row>
    <row r="373" spans="1:13" x14ac:dyDescent="0.3">
      <c r="A373" s="5">
        <v>2</v>
      </c>
      <c r="B373" s="5" t="s">
        <v>88</v>
      </c>
      <c r="C373" s="5" t="s">
        <v>77</v>
      </c>
      <c r="D373" s="5">
        <v>2023</v>
      </c>
      <c r="E373" s="5">
        <v>10</v>
      </c>
      <c r="F373" s="5" t="s">
        <v>55</v>
      </c>
      <c r="G373" s="5">
        <v>65559181</v>
      </c>
      <c r="H373" s="5">
        <v>56155792.079999998</v>
      </c>
      <c r="I373" s="5">
        <v>974</v>
      </c>
      <c r="J373" s="5">
        <v>9403388.9199999999</v>
      </c>
      <c r="K373" s="5">
        <v>0.1434</v>
      </c>
      <c r="L373" s="5">
        <v>59281000</v>
      </c>
      <c r="M373" s="5">
        <v>1.1059000000000001</v>
      </c>
    </row>
    <row r="374" spans="1:13" x14ac:dyDescent="0.3">
      <c r="A374" s="5">
        <v>2</v>
      </c>
      <c r="B374" s="5" t="s">
        <v>88</v>
      </c>
      <c r="C374" s="5" t="s">
        <v>77</v>
      </c>
      <c r="D374" s="5">
        <v>2023</v>
      </c>
      <c r="E374" s="5">
        <v>11</v>
      </c>
      <c r="F374" s="5" t="s">
        <v>56</v>
      </c>
      <c r="G374" s="5">
        <v>68082372</v>
      </c>
      <c r="H374" s="5">
        <v>60432048.399999999</v>
      </c>
      <c r="I374" s="5">
        <v>1038</v>
      </c>
      <c r="J374" s="5">
        <v>7650323.5999999996</v>
      </c>
      <c r="K374" s="5">
        <v>0.1124</v>
      </c>
      <c r="L374" s="5">
        <v>60527000</v>
      </c>
      <c r="M374" s="5">
        <v>1.1248</v>
      </c>
    </row>
    <row r="375" spans="1:13" x14ac:dyDescent="0.3">
      <c r="A375" s="5">
        <v>2</v>
      </c>
      <c r="B375" s="5" t="s">
        <v>88</v>
      </c>
      <c r="C375" s="5" t="s">
        <v>77</v>
      </c>
      <c r="D375" s="5">
        <v>2023</v>
      </c>
      <c r="E375" s="5">
        <v>12</v>
      </c>
      <c r="F375" s="5" t="s">
        <v>57</v>
      </c>
      <c r="G375" s="5">
        <v>72716708</v>
      </c>
      <c r="H375" s="5">
        <v>66000538.609999999</v>
      </c>
      <c r="I375" s="5">
        <v>1117</v>
      </c>
      <c r="J375" s="5">
        <v>6716169.3899999997</v>
      </c>
      <c r="K375" s="5">
        <v>9.2399999999999996E-2</v>
      </c>
      <c r="L375" s="5">
        <v>66832000</v>
      </c>
      <c r="M375" s="5">
        <v>1.0881000000000001</v>
      </c>
    </row>
    <row r="376" spans="1:13" x14ac:dyDescent="0.3">
      <c r="A376" s="5">
        <v>2</v>
      </c>
      <c r="B376" s="5" t="s">
        <v>88</v>
      </c>
      <c r="C376" s="5" t="s">
        <v>77</v>
      </c>
      <c r="D376" s="5">
        <v>2024</v>
      </c>
      <c r="E376" s="5">
        <v>1</v>
      </c>
      <c r="F376" s="5" t="s">
        <v>58</v>
      </c>
      <c r="G376" s="5">
        <v>51236665</v>
      </c>
      <c r="H376" s="5">
        <v>45224381.810000002</v>
      </c>
      <c r="I376" s="5">
        <v>783</v>
      </c>
      <c r="J376" s="5">
        <v>6012283.1900000004</v>
      </c>
      <c r="K376" s="5">
        <v>0.1173</v>
      </c>
      <c r="L376" s="5">
        <v>49261000</v>
      </c>
      <c r="M376" s="5">
        <v>1.0401</v>
      </c>
    </row>
    <row r="377" spans="1:13" x14ac:dyDescent="0.3">
      <c r="A377" s="5">
        <v>2</v>
      </c>
      <c r="B377" s="5" t="s">
        <v>88</v>
      </c>
      <c r="C377" s="5" t="s">
        <v>77</v>
      </c>
      <c r="D377" s="5">
        <v>2024</v>
      </c>
      <c r="E377" s="5">
        <v>2</v>
      </c>
      <c r="F377" s="5" t="s">
        <v>59</v>
      </c>
      <c r="G377" s="5">
        <v>46369183</v>
      </c>
      <c r="H377" s="5">
        <v>39572959.740000002</v>
      </c>
      <c r="I377" s="5">
        <v>655</v>
      </c>
      <c r="J377" s="5">
        <v>6796223.2599999998</v>
      </c>
      <c r="K377" s="5">
        <v>0.14660000000000001</v>
      </c>
      <c r="L377" s="5">
        <v>45261000</v>
      </c>
      <c r="M377" s="5">
        <v>1.0245</v>
      </c>
    </row>
    <row r="378" spans="1:13" x14ac:dyDescent="0.3">
      <c r="A378" s="5">
        <v>2</v>
      </c>
      <c r="B378" s="5" t="s">
        <v>88</v>
      </c>
      <c r="C378" s="5" t="s">
        <v>77</v>
      </c>
      <c r="D378" s="5">
        <v>2024</v>
      </c>
      <c r="E378" s="5">
        <v>3</v>
      </c>
      <c r="F378" s="5" t="s">
        <v>60</v>
      </c>
      <c r="G378" s="5">
        <v>55000916</v>
      </c>
      <c r="H378" s="5">
        <v>47598168.359999999</v>
      </c>
      <c r="I378" s="5">
        <v>772</v>
      </c>
      <c r="J378" s="5">
        <v>7402747.6399999997</v>
      </c>
      <c r="K378" s="5">
        <v>0.1346</v>
      </c>
      <c r="L378" s="5">
        <v>49955000</v>
      </c>
      <c r="M378" s="5">
        <v>1.101</v>
      </c>
    </row>
    <row r="379" spans="1:13" x14ac:dyDescent="0.3">
      <c r="A379" s="5">
        <v>2</v>
      </c>
      <c r="B379" s="5" t="s">
        <v>88</v>
      </c>
      <c r="C379" s="5" t="s">
        <v>77</v>
      </c>
      <c r="D379" s="5">
        <v>2024</v>
      </c>
      <c r="E379" s="5">
        <v>4</v>
      </c>
      <c r="F379" s="5" t="s">
        <v>61</v>
      </c>
      <c r="G379" s="5">
        <v>55131951</v>
      </c>
      <c r="H379" s="5">
        <v>47523148.590000004</v>
      </c>
      <c r="I379" s="5">
        <v>773</v>
      </c>
      <c r="J379" s="5">
        <v>7608802.4100000001</v>
      </c>
      <c r="K379" s="5">
        <v>0.13800000000000001</v>
      </c>
      <c r="L379" s="5">
        <v>50981000</v>
      </c>
      <c r="M379" s="5">
        <v>1.0813999999999999</v>
      </c>
    </row>
    <row r="380" spans="1:13" x14ac:dyDescent="0.3">
      <c r="A380" s="5">
        <v>2</v>
      </c>
      <c r="B380" s="5" t="s">
        <v>88</v>
      </c>
      <c r="C380" s="5" t="s">
        <v>77</v>
      </c>
      <c r="D380" s="5">
        <v>2024</v>
      </c>
      <c r="E380" s="5">
        <v>5</v>
      </c>
      <c r="F380" s="5" t="s">
        <v>62</v>
      </c>
      <c r="G380" s="5">
        <v>56879773</v>
      </c>
      <c r="H380" s="5">
        <v>49508679.840000004</v>
      </c>
      <c r="I380" s="5">
        <v>858</v>
      </c>
      <c r="J380" s="5">
        <v>7371093.1600000001</v>
      </c>
      <c r="K380" s="5">
        <v>0.12959999999999999</v>
      </c>
      <c r="L380" s="5">
        <v>52452000</v>
      </c>
      <c r="M380" s="5">
        <v>1.0844</v>
      </c>
    </row>
    <row r="381" spans="1:13" x14ac:dyDescent="0.3">
      <c r="A381" s="5">
        <v>2</v>
      </c>
      <c r="B381" s="5" t="s">
        <v>88</v>
      </c>
      <c r="C381" s="5" t="s">
        <v>77</v>
      </c>
      <c r="D381" s="5">
        <v>2024</v>
      </c>
      <c r="E381" s="5">
        <v>6</v>
      </c>
      <c r="F381" s="5" t="s">
        <v>63</v>
      </c>
      <c r="G381" s="5">
        <v>65588368</v>
      </c>
      <c r="H381" s="5">
        <v>54664311.43</v>
      </c>
      <c r="I381" s="5">
        <v>872</v>
      </c>
      <c r="J381" s="5">
        <v>10924056.57</v>
      </c>
      <c r="K381" s="5">
        <v>0.1666</v>
      </c>
      <c r="L381" s="5">
        <v>61134000</v>
      </c>
      <c r="M381" s="5">
        <v>1.0729</v>
      </c>
    </row>
    <row r="382" spans="1:13" x14ac:dyDescent="0.3">
      <c r="A382" s="5">
        <v>2</v>
      </c>
      <c r="B382" s="5" t="s">
        <v>88</v>
      </c>
      <c r="C382" s="5" t="s">
        <v>77</v>
      </c>
      <c r="D382" s="5">
        <v>2024</v>
      </c>
      <c r="E382" s="5">
        <v>7</v>
      </c>
      <c r="F382" s="5" t="s">
        <v>64</v>
      </c>
      <c r="G382" s="5">
        <v>51767214</v>
      </c>
      <c r="H382" s="5">
        <v>43577640.149999999</v>
      </c>
      <c r="I382" s="5">
        <v>816</v>
      </c>
      <c r="J382" s="5">
        <v>8189573.8499999996</v>
      </c>
      <c r="K382" s="5">
        <v>0.15820000000000001</v>
      </c>
      <c r="L382" s="5">
        <v>46789000</v>
      </c>
      <c r="M382" s="5">
        <v>1.1064000000000001</v>
      </c>
    </row>
    <row r="383" spans="1:13" x14ac:dyDescent="0.3">
      <c r="A383" s="5">
        <v>2</v>
      </c>
      <c r="B383" s="5" t="s">
        <v>88</v>
      </c>
      <c r="C383" s="5" t="s">
        <v>77</v>
      </c>
      <c r="D383" s="5">
        <v>2024</v>
      </c>
      <c r="E383" s="5">
        <v>8</v>
      </c>
      <c r="F383" s="5" t="s">
        <v>65</v>
      </c>
      <c r="G383" s="5">
        <v>54502400</v>
      </c>
      <c r="H383" s="5">
        <v>46389680.890000001</v>
      </c>
      <c r="I383" s="5">
        <v>824</v>
      </c>
      <c r="J383" s="5">
        <v>8112719.1100000003</v>
      </c>
      <c r="K383" s="5">
        <v>0.1489</v>
      </c>
      <c r="L383" s="5">
        <v>50575000</v>
      </c>
      <c r="M383" s="5">
        <v>1.0777000000000001</v>
      </c>
    </row>
    <row r="384" spans="1:13" x14ac:dyDescent="0.3">
      <c r="A384" s="5">
        <v>2</v>
      </c>
      <c r="B384" s="5" t="s">
        <v>88</v>
      </c>
      <c r="C384" s="5" t="s">
        <v>77</v>
      </c>
      <c r="D384" s="5">
        <v>2024</v>
      </c>
      <c r="E384" s="5">
        <v>9</v>
      </c>
      <c r="F384" s="5" t="s">
        <v>66</v>
      </c>
      <c r="G384" s="5">
        <v>64515816</v>
      </c>
      <c r="H384" s="5">
        <v>53242652.909999996</v>
      </c>
      <c r="I384" s="5">
        <v>904</v>
      </c>
      <c r="J384" s="5">
        <v>11273163.09</v>
      </c>
      <c r="K384" s="5">
        <v>0.17469999999999999</v>
      </c>
      <c r="L384" s="5">
        <v>60648000</v>
      </c>
      <c r="M384" s="5">
        <v>1.0638000000000001</v>
      </c>
    </row>
    <row r="385" spans="1:13" x14ac:dyDescent="0.3">
      <c r="A385" s="5">
        <v>2</v>
      </c>
      <c r="B385" s="5" t="s">
        <v>88</v>
      </c>
      <c r="C385" s="5" t="s">
        <v>77</v>
      </c>
      <c r="D385" s="5">
        <v>2024</v>
      </c>
      <c r="E385" s="5">
        <v>10</v>
      </c>
      <c r="F385" s="5" t="s">
        <v>67</v>
      </c>
      <c r="G385" s="5">
        <v>77411389</v>
      </c>
      <c r="H385" s="5">
        <v>61941056.07</v>
      </c>
      <c r="I385" s="5">
        <v>1122</v>
      </c>
      <c r="J385" s="5">
        <v>15470332.93</v>
      </c>
      <c r="K385" s="5">
        <v>0.19980000000000001</v>
      </c>
      <c r="L385" s="5">
        <v>70020000</v>
      </c>
      <c r="M385" s="5">
        <v>1.1055999999999999</v>
      </c>
    </row>
    <row r="386" spans="1:13" x14ac:dyDescent="0.3">
      <c r="A386" s="5">
        <v>2</v>
      </c>
      <c r="B386" s="5" t="s">
        <v>88</v>
      </c>
      <c r="C386" s="5" t="s">
        <v>77</v>
      </c>
      <c r="D386" s="5">
        <v>2024</v>
      </c>
      <c r="E386" s="5">
        <v>11</v>
      </c>
      <c r="F386" s="5" t="s">
        <v>68</v>
      </c>
      <c r="G386" s="5">
        <v>79833568</v>
      </c>
      <c r="H386" s="5">
        <v>66536050.07</v>
      </c>
      <c r="I386" s="5">
        <v>1241</v>
      </c>
      <c r="J386" s="5">
        <v>13297517.93</v>
      </c>
      <c r="K386" s="5">
        <v>0.1666</v>
      </c>
      <c r="L386" s="5">
        <v>69720000</v>
      </c>
      <c r="M386" s="5">
        <v>1.1451</v>
      </c>
    </row>
    <row r="387" spans="1:13" x14ac:dyDescent="0.3">
      <c r="A387" s="5">
        <v>2</v>
      </c>
      <c r="B387" s="5" t="s">
        <v>88</v>
      </c>
      <c r="C387" s="5" t="s">
        <v>77</v>
      </c>
      <c r="D387" s="5">
        <v>2024</v>
      </c>
      <c r="E387" s="5">
        <v>12</v>
      </c>
      <c r="F387" s="5" t="s">
        <v>69</v>
      </c>
      <c r="G387" s="5">
        <v>85095653</v>
      </c>
      <c r="H387" s="5">
        <v>68185886.329999998</v>
      </c>
      <c r="I387" s="5">
        <v>1149</v>
      </c>
      <c r="J387" s="5">
        <v>16909766.670000002</v>
      </c>
      <c r="K387" s="5">
        <v>0.19869999999999999</v>
      </c>
      <c r="L387" s="5">
        <v>86249000</v>
      </c>
      <c r="M387" s="5">
        <v>0.98660000000000003</v>
      </c>
    </row>
    <row r="388" spans="1:13" x14ac:dyDescent="0.3">
      <c r="A388" s="5">
        <v>12</v>
      </c>
      <c r="B388" s="5" t="s">
        <v>89</v>
      </c>
      <c r="C388" s="5" t="s">
        <v>77</v>
      </c>
      <c r="D388" s="5">
        <v>2021</v>
      </c>
      <c r="E388" s="5">
        <v>1</v>
      </c>
      <c r="F388" s="5" t="s">
        <v>22</v>
      </c>
      <c r="G388" s="5">
        <v>16215115</v>
      </c>
      <c r="H388" s="5">
        <v>14652021.060000001</v>
      </c>
      <c r="I388" s="5">
        <v>248</v>
      </c>
      <c r="J388" s="5">
        <v>1563093.94</v>
      </c>
      <c r="K388" s="5">
        <v>9.64E-2</v>
      </c>
      <c r="L388" s="5">
        <v>13367000</v>
      </c>
      <c r="M388" s="5">
        <v>1.2131000000000001</v>
      </c>
    </row>
    <row r="389" spans="1:13" x14ac:dyDescent="0.3">
      <c r="A389" s="5">
        <v>12</v>
      </c>
      <c r="B389" s="5" t="s">
        <v>89</v>
      </c>
      <c r="C389" s="5" t="s">
        <v>77</v>
      </c>
      <c r="D389" s="5">
        <v>2021</v>
      </c>
      <c r="E389" s="5">
        <v>2</v>
      </c>
      <c r="F389" s="5" t="s">
        <v>23</v>
      </c>
      <c r="G389" s="5">
        <v>15373794</v>
      </c>
      <c r="H389" s="5">
        <v>13529626.710000001</v>
      </c>
      <c r="I389" s="5">
        <v>207</v>
      </c>
      <c r="J389" s="5">
        <v>1844167.29</v>
      </c>
      <c r="K389" s="5">
        <v>0.12</v>
      </c>
      <c r="L389" s="5">
        <v>12584000</v>
      </c>
      <c r="M389" s="5">
        <v>1.2217</v>
      </c>
    </row>
    <row r="390" spans="1:13" x14ac:dyDescent="0.3">
      <c r="A390" s="5">
        <v>12</v>
      </c>
      <c r="B390" s="5" t="s">
        <v>89</v>
      </c>
      <c r="C390" s="5" t="s">
        <v>77</v>
      </c>
      <c r="D390" s="5">
        <v>2021</v>
      </c>
      <c r="E390" s="5">
        <v>3</v>
      </c>
      <c r="F390" s="5" t="s">
        <v>24</v>
      </c>
      <c r="G390" s="5">
        <v>17099623</v>
      </c>
      <c r="H390" s="5">
        <v>14604402.73</v>
      </c>
      <c r="I390" s="5">
        <v>240</v>
      </c>
      <c r="J390" s="5">
        <v>2495220.27</v>
      </c>
      <c r="K390" s="5">
        <v>0.1459</v>
      </c>
      <c r="L390" s="5">
        <v>14373000</v>
      </c>
      <c r="M390" s="5">
        <v>1.1897</v>
      </c>
    </row>
    <row r="391" spans="1:13" x14ac:dyDescent="0.3">
      <c r="A391" s="5">
        <v>12</v>
      </c>
      <c r="B391" s="5" t="s">
        <v>89</v>
      </c>
      <c r="C391" s="5" t="s">
        <v>77</v>
      </c>
      <c r="D391" s="5">
        <v>2021</v>
      </c>
      <c r="E391" s="5">
        <v>4</v>
      </c>
      <c r="F391" s="5" t="s">
        <v>25</v>
      </c>
      <c r="G391" s="5">
        <v>15959887</v>
      </c>
      <c r="H391" s="5">
        <v>14490269.779999999</v>
      </c>
      <c r="I391" s="5">
        <v>234</v>
      </c>
      <c r="J391" s="5">
        <v>1469617.22</v>
      </c>
      <c r="K391" s="5">
        <v>9.2100000000000001E-2</v>
      </c>
      <c r="L391" s="5">
        <v>13792000</v>
      </c>
      <c r="M391" s="5">
        <v>1.1572</v>
      </c>
    </row>
    <row r="392" spans="1:13" x14ac:dyDescent="0.3">
      <c r="A392" s="5">
        <v>12</v>
      </c>
      <c r="B392" s="5" t="s">
        <v>89</v>
      </c>
      <c r="C392" s="5" t="s">
        <v>77</v>
      </c>
      <c r="D392" s="5">
        <v>2021</v>
      </c>
      <c r="E392" s="5">
        <v>5</v>
      </c>
      <c r="F392" s="5" t="s">
        <v>26</v>
      </c>
      <c r="G392" s="5">
        <v>21082599</v>
      </c>
      <c r="H392" s="5">
        <v>18056235.609999999</v>
      </c>
      <c r="I392" s="5">
        <v>296</v>
      </c>
      <c r="J392" s="5">
        <v>3026363.39</v>
      </c>
      <c r="K392" s="5">
        <v>0.14349999999999999</v>
      </c>
      <c r="L392" s="5">
        <v>18571000</v>
      </c>
      <c r="M392" s="5">
        <v>1.1352</v>
      </c>
    </row>
    <row r="393" spans="1:13" x14ac:dyDescent="0.3">
      <c r="A393" s="5">
        <v>12</v>
      </c>
      <c r="B393" s="5" t="s">
        <v>89</v>
      </c>
      <c r="C393" s="5" t="s">
        <v>77</v>
      </c>
      <c r="D393" s="5">
        <v>2021</v>
      </c>
      <c r="E393" s="5">
        <v>6</v>
      </c>
      <c r="F393" s="5" t="s">
        <v>27</v>
      </c>
      <c r="G393" s="5">
        <v>16855322</v>
      </c>
      <c r="H393" s="5">
        <v>14809731.4</v>
      </c>
      <c r="I393" s="5">
        <v>228</v>
      </c>
      <c r="J393" s="5">
        <v>2045590.6</v>
      </c>
      <c r="K393" s="5">
        <v>0.12139999999999999</v>
      </c>
      <c r="L393" s="5">
        <v>14723000</v>
      </c>
      <c r="M393" s="5">
        <v>1.1448</v>
      </c>
    </row>
    <row r="394" spans="1:13" x14ac:dyDescent="0.3">
      <c r="A394" s="5">
        <v>12</v>
      </c>
      <c r="B394" s="5" t="s">
        <v>89</v>
      </c>
      <c r="C394" s="5" t="s">
        <v>77</v>
      </c>
      <c r="D394" s="5">
        <v>2021</v>
      </c>
      <c r="E394" s="5">
        <v>7</v>
      </c>
      <c r="F394" s="5" t="s">
        <v>28</v>
      </c>
      <c r="G394" s="5">
        <v>17608832</v>
      </c>
      <c r="H394" s="5">
        <v>15329172.109999999</v>
      </c>
      <c r="I394" s="5">
        <v>250</v>
      </c>
      <c r="J394" s="5">
        <v>2279659.89</v>
      </c>
      <c r="K394" s="5">
        <v>0.1295</v>
      </c>
      <c r="L394" s="5">
        <v>15202000</v>
      </c>
      <c r="M394" s="5">
        <v>1.1583000000000001</v>
      </c>
    </row>
    <row r="395" spans="1:13" x14ac:dyDescent="0.3">
      <c r="A395" s="5">
        <v>12</v>
      </c>
      <c r="B395" s="5" t="s">
        <v>89</v>
      </c>
      <c r="C395" s="5" t="s">
        <v>77</v>
      </c>
      <c r="D395" s="5">
        <v>2021</v>
      </c>
      <c r="E395" s="5">
        <v>8</v>
      </c>
      <c r="F395" s="5" t="s">
        <v>29</v>
      </c>
      <c r="G395" s="5">
        <v>17498387</v>
      </c>
      <c r="H395" s="5">
        <v>14663487.43</v>
      </c>
      <c r="I395" s="5">
        <v>252</v>
      </c>
      <c r="J395" s="5">
        <v>2834899.57</v>
      </c>
      <c r="K395" s="5">
        <v>0.16200000000000001</v>
      </c>
      <c r="L395" s="5">
        <v>14440000</v>
      </c>
      <c r="M395" s="5">
        <v>1.2118</v>
      </c>
    </row>
    <row r="396" spans="1:13" x14ac:dyDescent="0.3">
      <c r="A396" s="5">
        <v>12</v>
      </c>
      <c r="B396" s="5" t="s">
        <v>89</v>
      </c>
      <c r="C396" s="5" t="s">
        <v>77</v>
      </c>
      <c r="D396" s="5">
        <v>2021</v>
      </c>
      <c r="E396" s="5">
        <v>9</v>
      </c>
      <c r="F396" s="5" t="s">
        <v>30</v>
      </c>
      <c r="G396" s="5">
        <v>19625872</v>
      </c>
      <c r="H396" s="5">
        <v>17445197.690000001</v>
      </c>
      <c r="I396" s="5">
        <v>281</v>
      </c>
      <c r="J396" s="5">
        <v>2180674.31</v>
      </c>
      <c r="K396" s="5">
        <v>0.1111</v>
      </c>
      <c r="L396" s="5">
        <v>16608000</v>
      </c>
      <c r="M396" s="5">
        <v>1.1817</v>
      </c>
    </row>
    <row r="397" spans="1:13" x14ac:dyDescent="0.3">
      <c r="A397" s="5">
        <v>12</v>
      </c>
      <c r="B397" s="5" t="s">
        <v>89</v>
      </c>
      <c r="C397" s="5" t="s">
        <v>77</v>
      </c>
      <c r="D397" s="5">
        <v>2021</v>
      </c>
      <c r="E397" s="5">
        <v>10</v>
      </c>
      <c r="F397" s="5" t="s">
        <v>31</v>
      </c>
      <c r="G397" s="5">
        <v>25134605</v>
      </c>
      <c r="H397" s="5">
        <v>21287805.120000001</v>
      </c>
      <c r="I397" s="5">
        <v>379</v>
      </c>
      <c r="J397" s="5">
        <v>3846799.88</v>
      </c>
      <c r="K397" s="5">
        <v>0.153</v>
      </c>
      <c r="L397" s="5">
        <v>20933000</v>
      </c>
      <c r="M397" s="5">
        <v>1.2007000000000001</v>
      </c>
    </row>
    <row r="398" spans="1:13" x14ac:dyDescent="0.3">
      <c r="A398" s="5">
        <v>12</v>
      </c>
      <c r="B398" s="5" t="s">
        <v>89</v>
      </c>
      <c r="C398" s="5" t="s">
        <v>77</v>
      </c>
      <c r="D398" s="5">
        <v>2021</v>
      </c>
      <c r="E398" s="5">
        <v>11</v>
      </c>
      <c r="F398" s="5" t="s">
        <v>32</v>
      </c>
      <c r="G398" s="5">
        <v>27682521</v>
      </c>
      <c r="H398" s="5">
        <v>22905412.34</v>
      </c>
      <c r="I398" s="5">
        <v>373</v>
      </c>
      <c r="J398" s="5">
        <v>4777108.66</v>
      </c>
      <c r="K398" s="5">
        <v>0.1726</v>
      </c>
      <c r="L398" s="5">
        <v>23164000</v>
      </c>
      <c r="M398" s="5">
        <v>1.1951000000000001</v>
      </c>
    </row>
    <row r="399" spans="1:13" x14ac:dyDescent="0.3">
      <c r="A399" s="5">
        <v>12</v>
      </c>
      <c r="B399" s="5" t="s">
        <v>89</v>
      </c>
      <c r="C399" s="5" t="s">
        <v>77</v>
      </c>
      <c r="D399" s="5">
        <v>2021</v>
      </c>
      <c r="E399" s="5">
        <v>12</v>
      </c>
      <c r="F399" s="5" t="s">
        <v>33</v>
      </c>
      <c r="G399" s="5">
        <v>28606390</v>
      </c>
      <c r="H399" s="5">
        <v>23854604.809999999</v>
      </c>
      <c r="I399" s="5">
        <v>385</v>
      </c>
      <c r="J399" s="5">
        <v>4751785.1900000004</v>
      </c>
      <c r="K399" s="5">
        <v>0.1661</v>
      </c>
      <c r="L399" s="5">
        <v>25187000</v>
      </c>
      <c r="M399" s="5">
        <v>1.1357999999999999</v>
      </c>
    </row>
    <row r="400" spans="1:13" x14ac:dyDescent="0.3">
      <c r="A400" s="5">
        <v>12</v>
      </c>
      <c r="B400" s="5" t="s">
        <v>89</v>
      </c>
      <c r="C400" s="5" t="s">
        <v>77</v>
      </c>
      <c r="D400" s="5">
        <v>2022</v>
      </c>
      <c r="E400" s="5">
        <v>1</v>
      </c>
      <c r="F400" s="5" t="s">
        <v>34</v>
      </c>
      <c r="G400" s="5">
        <v>23874327</v>
      </c>
      <c r="H400" s="5">
        <v>19598468.41</v>
      </c>
      <c r="I400" s="5">
        <v>345</v>
      </c>
      <c r="J400" s="5">
        <v>4275858.59</v>
      </c>
      <c r="K400" s="5">
        <v>0.17910000000000001</v>
      </c>
      <c r="L400" s="5">
        <v>20088000</v>
      </c>
      <c r="M400" s="5">
        <v>1.1884999999999999</v>
      </c>
    </row>
    <row r="401" spans="1:13" x14ac:dyDescent="0.3">
      <c r="A401" s="5">
        <v>12</v>
      </c>
      <c r="B401" s="5" t="s">
        <v>89</v>
      </c>
      <c r="C401" s="5" t="s">
        <v>77</v>
      </c>
      <c r="D401" s="5">
        <v>2022</v>
      </c>
      <c r="E401" s="5">
        <v>2</v>
      </c>
      <c r="F401" s="5" t="s">
        <v>35</v>
      </c>
      <c r="G401" s="5">
        <v>20607329</v>
      </c>
      <c r="H401" s="5">
        <v>17081919.289999999</v>
      </c>
      <c r="I401" s="5">
        <v>292</v>
      </c>
      <c r="J401" s="5">
        <v>3525409.71</v>
      </c>
      <c r="K401" s="5">
        <v>0.1711</v>
      </c>
      <c r="L401" s="5">
        <v>17267000</v>
      </c>
      <c r="M401" s="5">
        <v>1.1935</v>
      </c>
    </row>
    <row r="402" spans="1:13" x14ac:dyDescent="0.3">
      <c r="A402" s="5">
        <v>12</v>
      </c>
      <c r="B402" s="5" t="s">
        <v>89</v>
      </c>
      <c r="C402" s="5" t="s">
        <v>77</v>
      </c>
      <c r="D402" s="5">
        <v>2022</v>
      </c>
      <c r="E402" s="5">
        <v>3</v>
      </c>
      <c r="F402" s="5" t="s">
        <v>36</v>
      </c>
      <c r="G402" s="5">
        <v>23985811</v>
      </c>
      <c r="H402" s="5">
        <v>20609983.75</v>
      </c>
      <c r="I402" s="5">
        <v>340</v>
      </c>
      <c r="J402" s="5">
        <v>3375827.25</v>
      </c>
      <c r="K402" s="5">
        <v>0.14069999999999999</v>
      </c>
      <c r="L402" s="5">
        <v>21119000</v>
      </c>
      <c r="M402" s="5">
        <v>1.1356999999999999</v>
      </c>
    </row>
    <row r="403" spans="1:13" x14ac:dyDescent="0.3">
      <c r="A403" s="5">
        <v>12</v>
      </c>
      <c r="B403" s="5" t="s">
        <v>89</v>
      </c>
      <c r="C403" s="5" t="s">
        <v>77</v>
      </c>
      <c r="D403" s="5">
        <v>2022</v>
      </c>
      <c r="E403" s="5">
        <v>4</v>
      </c>
      <c r="F403" s="5" t="s">
        <v>37</v>
      </c>
      <c r="G403" s="5">
        <v>23625031</v>
      </c>
      <c r="H403" s="5">
        <v>20191466.460000001</v>
      </c>
      <c r="I403" s="5">
        <v>345</v>
      </c>
      <c r="J403" s="5">
        <v>3433564.54</v>
      </c>
      <c r="K403" s="5">
        <v>0.14530000000000001</v>
      </c>
      <c r="L403" s="5">
        <v>19297000</v>
      </c>
      <c r="M403" s="5">
        <v>1.2242999999999999</v>
      </c>
    </row>
    <row r="404" spans="1:13" x14ac:dyDescent="0.3">
      <c r="A404" s="5">
        <v>12</v>
      </c>
      <c r="B404" s="5" t="s">
        <v>89</v>
      </c>
      <c r="C404" s="5" t="s">
        <v>77</v>
      </c>
      <c r="D404" s="5">
        <v>2022</v>
      </c>
      <c r="E404" s="5">
        <v>5</v>
      </c>
      <c r="F404" s="5" t="s">
        <v>38</v>
      </c>
      <c r="G404" s="5">
        <v>26527490</v>
      </c>
      <c r="H404" s="5">
        <v>23306544.02</v>
      </c>
      <c r="I404" s="5">
        <v>394</v>
      </c>
      <c r="J404" s="5">
        <v>3220945.98</v>
      </c>
      <c r="K404" s="5">
        <v>0.12139999999999999</v>
      </c>
      <c r="L404" s="5">
        <v>22202000</v>
      </c>
      <c r="M404" s="5">
        <v>1.1948000000000001</v>
      </c>
    </row>
    <row r="405" spans="1:13" x14ac:dyDescent="0.3">
      <c r="A405" s="5">
        <v>12</v>
      </c>
      <c r="B405" s="5" t="s">
        <v>89</v>
      </c>
      <c r="C405" s="5" t="s">
        <v>77</v>
      </c>
      <c r="D405" s="5">
        <v>2022</v>
      </c>
      <c r="E405" s="5">
        <v>6</v>
      </c>
      <c r="F405" s="5" t="s">
        <v>39</v>
      </c>
      <c r="G405" s="5">
        <v>22828266</v>
      </c>
      <c r="H405" s="5">
        <v>19478048.260000002</v>
      </c>
      <c r="I405" s="5">
        <v>352</v>
      </c>
      <c r="J405" s="5">
        <v>3350217.74</v>
      </c>
      <c r="K405" s="5">
        <v>0.14680000000000001</v>
      </c>
      <c r="L405" s="5">
        <v>19010000</v>
      </c>
      <c r="M405" s="5">
        <v>1.2009000000000001</v>
      </c>
    </row>
    <row r="406" spans="1:13" x14ac:dyDescent="0.3">
      <c r="A406" s="5">
        <v>12</v>
      </c>
      <c r="B406" s="5" t="s">
        <v>89</v>
      </c>
      <c r="C406" s="5" t="s">
        <v>77</v>
      </c>
      <c r="D406" s="5">
        <v>2022</v>
      </c>
      <c r="E406" s="5">
        <v>7</v>
      </c>
      <c r="F406" s="5" t="s">
        <v>40</v>
      </c>
      <c r="G406" s="5">
        <v>22340799</v>
      </c>
      <c r="H406" s="5">
        <v>19838768.25</v>
      </c>
      <c r="I406" s="5">
        <v>352</v>
      </c>
      <c r="J406" s="5">
        <v>2502030.75</v>
      </c>
      <c r="K406" s="5">
        <v>0.112</v>
      </c>
      <c r="L406" s="5">
        <v>18649000</v>
      </c>
      <c r="M406" s="5">
        <v>1.198</v>
      </c>
    </row>
    <row r="407" spans="1:13" x14ac:dyDescent="0.3">
      <c r="A407" s="5">
        <v>12</v>
      </c>
      <c r="B407" s="5" t="s">
        <v>89</v>
      </c>
      <c r="C407" s="5" t="s">
        <v>77</v>
      </c>
      <c r="D407" s="5">
        <v>2022</v>
      </c>
      <c r="E407" s="5">
        <v>8</v>
      </c>
      <c r="F407" s="5" t="s">
        <v>41</v>
      </c>
      <c r="G407" s="5">
        <v>22739832</v>
      </c>
      <c r="H407" s="5">
        <v>21861964.510000002</v>
      </c>
      <c r="I407" s="5">
        <v>364</v>
      </c>
      <c r="J407" s="5">
        <v>877867.49</v>
      </c>
      <c r="K407" s="5">
        <v>3.8600000000000002E-2</v>
      </c>
      <c r="L407" s="5">
        <v>19873000</v>
      </c>
      <c r="M407" s="5">
        <v>1.1443000000000001</v>
      </c>
    </row>
    <row r="408" spans="1:13" x14ac:dyDescent="0.3">
      <c r="A408" s="5">
        <v>12</v>
      </c>
      <c r="B408" s="5" t="s">
        <v>89</v>
      </c>
      <c r="C408" s="5" t="s">
        <v>77</v>
      </c>
      <c r="D408" s="5">
        <v>2022</v>
      </c>
      <c r="E408" s="5">
        <v>9</v>
      </c>
      <c r="F408" s="5" t="s">
        <v>42</v>
      </c>
      <c r="G408" s="5">
        <v>31437632</v>
      </c>
      <c r="H408" s="5">
        <v>27497527.41</v>
      </c>
      <c r="I408" s="5">
        <v>421</v>
      </c>
      <c r="J408" s="5">
        <v>3940104.59</v>
      </c>
      <c r="K408" s="5">
        <v>0.12529999999999999</v>
      </c>
      <c r="L408" s="5">
        <v>25995000</v>
      </c>
      <c r="M408" s="5">
        <v>1.2094</v>
      </c>
    </row>
    <row r="409" spans="1:13" x14ac:dyDescent="0.3">
      <c r="A409" s="5">
        <v>12</v>
      </c>
      <c r="B409" s="5" t="s">
        <v>89</v>
      </c>
      <c r="C409" s="5" t="s">
        <v>77</v>
      </c>
      <c r="D409" s="5">
        <v>2022</v>
      </c>
      <c r="E409" s="5">
        <v>10</v>
      </c>
      <c r="F409" s="5" t="s">
        <v>43</v>
      </c>
      <c r="G409" s="5">
        <v>32310070</v>
      </c>
      <c r="H409" s="5">
        <v>29509535.66</v>
      </c>
      <c r="I409" s="5">
        <v>503</v>
      </c>
      <c r="J409" s="5">
        <v>2800534.34</v>
      </c>
      <c r="K409" s="5">
        <v>8.6699999999999999E-2</v>
      </c>
      <c r="L409" s="5">
        <v>26856000</v>
      </c>
      <c r="M409" s="5">
        <v>1.2031000000000001</v>
      </c>
    </row>
    <row r="410" spans="1:13" x14ac:dyDescent="0.3">
      <c r="A410" s="5">
        <v>12</v>
      </c>
      <c r="B410" s="5" t="s">
        <v>89</v>
      </c>
      <c r="C410" s="5" t="s">
        <v>77</v>
      </c>
      <c r="D410" s="5">
        <v>2022</v>
      </c>
      <c r="E410" s="5">
        <v>11</v>
      </c>
      <c r="F410" s="5" t="s">
        <v>44</v>
      </c>
      <c r="G410" s="5">
        <v>31793729</v>
      </c>
      <c r="H410" s="5">
        <v>27471764.050000001</v>
      </c>
      <c r="I410" s="5">
        <v>502</v>
      </c>
      <c r="J410" s="5">
        <v>4321964.95</v>
      </c>
      <c r="K410" s="5">
        <v>0.13589999999999999</v>
      </c>
      <c r="L410" s="5">
        <v>27588000</v>
      </c>
      <c r="M410" s="5">
        <v>1.1524000000000001</v>
      </c>
    </row>
    <row r="411" spans="1:13" x14ac:dyDescent="0.3">
      <c r="A411" s="5">
        <v>12</v>
      </c>
      <c r="B411" s="5" t="s">
        <v>89</v>
      </c>
      <c r="C411" s="5" t="s">
        <v>77</v>
      </c>
      <c r="D411" s="5">
        <v>2022</v>
      </c>
      <c r="E411" s="5">
        <v>12</v>
      </c>
      <c r="F411" s="5" t="s">
        <v>45</v>
      </c>
      <c r="G411" s="5">
        <v>37152764</v>
      </c>
      <c r="H411" s="5">
        <v>30855272.649999999</v>
      </c>
      <c r="I411" s="5">
        <v>503</v>
      </c>
      <c r="J411" s="5">
        <v>6297491.3499999996</v>
      </c>
      <c r="K411" s="5">
        <v>0.16950000000000001</v>
      </c>
      <c r="L411" s="5">
        <v>32403000</v>
      </c>
      <c r="M411" s="5">
        <v>1.1466000000000001</v>
      </c>
    </row>
    <row r="412" spans="1:13" x14ac:dyDescent="0.3">
      <c r="A412" s="5">
        <v>12</v>
      </c>
      <c r="B412" s="5" t="s">
        <v>89</v>
      </c>
      <c r="C412" s="5" t="s">
        <v>77</v>
      </c>
      <c r="D412" s="5">
        <v>2023</v>
      </c>
      <c r="E412" s="5">
        <v>1</v>
      </c>
      <c r="F412" s="5" t="s">
        <v>46</v>
      </c>
      <c r="G412" s="5">
        <v>30559364</v>
      </c>
      <c r="H412" s="5">
        <v>26986282.719999999</v>
      </c>
      <c r="I412" s="5">
        <v>433</v>
      </c>
      <c r="J412" s="5">
        <v>3573081.28</v>
      </c>
      <c r="K412" s="5">
        <v>0.1169</v>
      </c>
      <c r="L412" s="5">
        <v>25334000</v>
      </c>
      <c r="M412" s="5">
        <v>1.2062999999999999</v>
      </c>
    </row>
    <row r="413" spans="1:13" x14ac:dyDescent="0.3">
      <c r="A413" s="5">
        <v>12</v>
      </c>
      <c r="B413" s="5" t="s">
        <v>89</v>
      </c>
      <c r="C413" s="5" t="s">
        <v>77</v>
      </c>
      <c r="D413" s="5">
        <v>2023</v>
      </c>
      <c r="E413" s="5">
        <v>2</v>
      </c>
      <c r="F413" s="5" t="s">
        <v>47</v>
      </c>
      <c r="G413" s="5">
        <v>27769988</v>
      </c>
      <c r="H413" s="5">
        <v>23498684.75</v>
      </c>
      <c r="I413" s="5">
        <v>397</v>
      </c>
      <c r="J413" s="5">
        <v>4271303.25</v>
      </c>
      <c r="K413" s="5">
        <v>0.15379999999999999</v>
      </c>
      <c r="L413" s="5">
        <v>23150000</v>
      </c>
      <c r="M413" s="5">
        <v>1.1996</v>
      </c>
    </row>
    <row r="414" spans="1:13" x14ac:dyDescent="0.3">
      <c r="A414" s="5">
        <v>12</v>
      </c>
      <c r="B414" s="5" t="s">
        <v>89</v>
      </c>
      <c r="C414" s="5" t="s">
        <v>77</v>
      </c>
      <c r="D414" s="5">
        <v>2023</v>
      </c>
      <c r="E414" s="5">
        <v>3</v>
      </c>
      <c r="F414" s="5" t="s">
        <v>48</v>
      </c>
      <c r="G414" s="5">
        <v>28908229</v>
      </c>
      <c r="H414" s="5">
        <v>25109156.109999999</v>
      </c>
      <c r="I414" s="5">
        <v>412</v>
      </c>
      <c r="J414" s="5">
        <v>3799072.89</v>
      </c>
      <c r="K414" s="5">
        <v>0.13139999999999999</v>
      </c>
      <c r="L414" s="5">
        <v>25134000</v>
      </c>
      <c r="M414" s="5">
        <v>1.1501999999999999</v>
      </c>
    </row>
    <row r="415" spans="1:13" x14ac:dyDescent="0.3">
      <c r="A415" s="5">
        <v>12</v>
      </c>
      <c r="B415" s="5" t="s">
        <v>89</v>
      </c>
      <c r="C415" s="5" t="s">
        <v>77</v>
      </c>
      <c r="D415" s="5">
        <v>2023</v>
      </c>
      <c r="E415" s="5">
        <v>4</v>
      </c>
      <c r="F415" s="5" t="s">
        <v>49</v>
      </c>
      <c r="G415" s="5">
        <v>27020842</v>
      </c>
      <c r="H415" s="5">
        <v>23920921.510000002</v>
      </c>
      <c r="I415" s="5">
        <v>467</v>
      </c>
      <c r="J415" s="5">
        <v>3099920.49</v>
      </c>
      <c r="K415" s="5">
        <v>0.1147</v>
      </c>
      <c r="L415" s="5">
        <v>22574000</v>
      </c>
      <c r="M415" s="5">
        <v>1.1970000000000001</v>
      </c>
    </row>
    <row r="416" spans="1:13" x14ac:dyDescent="0.3">
      <c r="A416" s="5">
        <v>12</v>
      </c>
      <c r="B416" s="5" t="s">
        <v>89</v>
      </c>
      <c r="C416" s="5" t="s">
        <v>77</v>
      </c>
      <c r="D416" s="5">
        <v>2023</v>
      </c>
      <c r="E416" s="5">
        <v>5</v>
      </c>
      <c r="F416" s="5" t="s">
        <v>50</v>
      </c>
      <c r="G416" s="5">
        <v>32459897</v>
      </c>
      <c r="H416" s="5">
        <v>28236727.140000001</v>
      </c>
      <c r="I416" s="5">
        <v>495</v>
      </c>
      <c r="J416" s="5">
        <v>4223169.8600000003</v>
      </c>
      <c r="K416" s="5">
        <v>0.13009999999999999</v>
      </c>
      <c r="L416" s="5">
        <v>27222000</v>
      </c>
      <c r="M416" s="5">
        <v>1.1923999999999999</v>
      </c>
    </row>
    <row r="417" spans="1:13" x14ac:dyDescent="0.3">
      <c r="A417" s="5">
        <v>12</v>
      </c>
      <c r="B417" s="5" t="s">
        <v>89</v>
      </c>
      <c r="C417" s="5" t="s">
        <v>77</v>
      </c>
      <c r="D417" s="5">
        <v>2023</v>
      </c>
      <c r="E417" s="5">
        <v>6</v>
      </c>
      <c r="F417" s="5" t="s">
        <v>51</v>
      </c>
      <c r="G417" s="5">
        <v>30106068</v>
      </c>
      <c r="H417" s="5">
        <v>25696964.969999999</v>
      </c>
      <c r="I417" s="5">
        <v>463</v>
      </c>
      <c r="J417" s="5">
        <v>4409103.03</v>
      </c>
      <c r="K417" s="5">
        <v>0.14649999999999999</v>
      </c>
      <c r="L417" s="5">
        <v>25565000</v>
      </c>
      <c r="M417" s="5">
        <v>1.1776</v>
      </c>
    </row>
    <row r="418" spans="1:13" x14ac:dyDescent="0.3">
      <c r="A418" s="5">
        <v>12</v>
      </c>
      <c r="B418" s="5" t="s">
        <v>89</v>
      </c>
      <c r="C418" s="5" t="s">
        <v>77</v>
      </c>
      <c r="D418" s="5">
        <v>2023</v>
      </c>
      <c r="E418" s="5">
        <v>7</v>
      </c>
      <c r="F418" s="5" t="s">
        <v>52</v>
      </c>
      <c r="G418" s="5">
        <v>30944555</v>
      </c>
      <c r="H418" s="5">
        <v>27076752.420000002</v>
      </c>
      <c r="I418" s="5">
        <v>452</v>
      </c>
      <c r="J418" s="5">
        <v>3867802.58</v>
      </c>
      <c r="K418" s="5">
        <v>0.125</v>
      </c>
      <c r="L418" s="5">
        <v>27422000</v>
      </c>
      <c r="M418" s="5">
        <v>1.1285000000000001</v>
      </c>
    </row>
    <row r="419" spans="1:13" x14ac:dyDescent="0.3">
      <c r="A419" s="5">
        <v>12</v>
      </c>
      <c r="B419" s="5" t="s">
        <v>89</v>
      </c>
      <c r="C419" s="5" t="s">
        <v>77</v>
      </c>
      <c r="D419" s="5">
        <v>2023</v>
      </c>
      <c r="E419" s="5">
        <v>8</v>
      </c>
      <c r="F419" s="5" t="s">
        <v>53</v>
      </c>
      <c r="G419" s="5">
        <v>33235878</v>
      </c>
      <c r="H419" s="5">
        <v>29272908.079999998</v>
      </c>
      <c r="I419" s="5">
        <v>461</v>
      </c>
      <c r="J419" s="5">
        <v>3962969.92</v>
      </c>
      <c r="K419" s="5">
        <v>0.1192</v>
      </c>
      <c r="L419" s="5">
        <v>28298000</v>
      </c>
      <c r="M419" s="5">
        <v>1.1745000000000001</v>
      </c>
    </row>
    <row r="420" spans="1:13" x14ac:dyDescent="0.3">
      <c r="A420" s="5">
        <v>12</v>
      </c>
      <c r="B420" s="5" t="s">
        <v>89</v>
      </c>
      <c r="C420" s="5" t="s">
        <v>77</v>
      </c>
      <c r="D420" s="5">
        <v>2023</v>
      </c>
      <c r="E420" s="5">
        <v>9</v>
      </c>
      <c r="F420" s="5" t="s">
        <v>54</v>
      </c>
      <c r="G420" s="5">
        <v>33205011</v>
      </c>
      <c r="H420" s="5">
        <v>29945098.670000002</v>
      </c>
      <c r="I420" s="5">
        <v>529</v>
      </c>
      <c r="J420" s="5">
        <v>3259912.33</v>
      </c>
      <c r="K420" s="5">
        <v>9.8199999999999996E-2</v>
      </c>
      <c r="L420" s="5">
        <v>28305000</v>
      </c>
      <c r="M420" s="5">
        <v>1.1731</v>
      </c>
    </row>
    <row r="421" spans="1:13" x14ac:dyDescent="0.3">
      <c r="A421" s="5">
        <v>12</v>
      </c>
      <c r="B421" s="5" t="s">
        <v>89</v>
      </c>
      <c r="C421" s="5" t="s">
        <v>77</v>
      </c>
      <c r="D421" s="5">
        <v>2023</v>
      </c>
      <c r="E421" s="5">
        <v>10</v>
      </c>
      <c r="F421" s="5" t="s">
        <v>55</v>
      </c>
      <c r="G421" s="5">
        <v>45099252</v>
      </c>
      <c r="H421" s="5">
        <v>39025651.880000003</v>
      </c>
      <c r="I421" s="5">
        <v>659</v>
      </c>
      <c r="J421" s="5">
        <v>6073600.1200000001</v>
      </c>
      <c r="K421" s="5">
        <v>0.13469999999999999</v>
      </c>
      <c r="L421" s="5">
        <v>38679000</v>
      </c>
      <c r="M421" s="5">
        <v>1.1659999999999999</v>
      </c>
    </row>
    <row r="422" spans="1:13" x14ac:dyDescent="0.3">
      <c r="A422" s="5">
        <v>12</v>
      </c>
      <c r="B422" s="5" t="s">
        <v>89</v>
      </c>
      <c r="C422" s="5" t="s">
        <v>77</v>
      </c>
      <c r="D422" s="5">
        <v>2023</v>
      </c>
      <c r="E422" s="5">
        <v>11</v>
      </c>
      <c r="F422" s="5" t="s">
        <v>56</v>
      </c>
      <c r="G422" s="5">
        <v>43724585</v>
      </c>
      <c r="H422" s="5">
        <v>38825167.469999999</v>
      </c>
      <c r="I422" s="5">
        <v>670</v>
      </c>
      <c r="J422" s="5">
        <v>4899417.53</v>
      </c>
      <c r="K422" s="5">
        <v>0.11210000000000001</v>
      </c>
      <c r="L422" s="5">
        <v>36421000</v>
      </c>
      <c r="M422" s="5">
        <v>1.2004999999999999</v>
      </c>
    </row>
    <row r="423" spans="1:13" x14ac:dyDescent="0.3">
      <c r="A423" s="5">
        <v>12</v>
      </c>
      <c r="B423" s="5" t="s">
        <v>89</v>
      </c>
      <c r="C423" s="5" t="s">
        <v>77</v>
      </c>
      <c r="D423" s="5">
        <v>2023</v>
      </c>
      <c r="E423" s="5">
        <v>12</v>
      </c>
      <c r="F423" s="5" t="s">
        <v>57</v>
      </c>
      <c r="G423" s="5">
        <v>41962038</v>
      </c>
      <c r="H423" s="5">
        <v>38046377.229999997</v>
      </c>
      <c r="I423" s="5">
        <v>669</v>
      </c>
      <c r="J423" s="5">
        <v>3915660.77</v>
      </c>
      <c r="K423" s="5">
        <v>9.3299999999999994E-2</v>
      </c>
      <c r="L423" s="5">
        <v>35059000</v>
      </c>
      <c r="M423" s="5">
        <v>1.1969000000000001</v>
      </c>
    </row>
    <row r="424" spans="1:13" x14ac:dyDescent="0.3">
      <c r="A424" s="5">
        <v>12</v>
      </c>
      <c r="B424" s="5" t="s">
        <v>89</v>
      </c>
      <c r="C424" s="5" t="s">
        <v>77</v>
      </c>
      <c r="D424" s="5">
        <v>2024</v>
      </c>
      <c r="E424" s="5">
        <v>1</v>
      </c>
      <c r="F424" s="5" t="s">
        <v>58</v>
      </c>
      <c r="G424" s="5">
        <v>29147763</v>
      </c>
      <c r="H424" s="5">
        <v>25800043.559999999</v>
      </c>
      <c r="I424" s="5">
        <v>437</v>
      </c>
      <c r="J424" s="5">
        <v>3347719.44</v>
      </c>
      <c r="K424" s="5">
        <v>0.1149</v>
      </c>
      <c r="L424" s="5">
        <v>25256000</v>
      </c>
      <c r="M424" s="5">
        <v>1.1540999999999999</v>
      </c>
    </row>
    <row r="425" spans="1:13" x14ac:dyDescent="0.3">
      <c r="A425" s="5">
        <v>12</v>
      </c>
      <c r="B425" s="5" t="s">
        <v>89</v>
      </c>
      <c r="C425" s="5" t="s">
        <v>77</v>
      </c>
      <c r="D425" s="5">
        <v>2024</v>
      </c>
      <c r="E425" s="5">
        <v>2</v>
      </c>
      <c r="F425" s="5" t="s">
        <v>59</v>
      </c>
      <c r="G425" s="5">
        <v>28847259</v>
      </c>
      <c r="H425" s="5">
        <v>24617913.719999999</v>
      </c>
      <c r="I425" s="5">
        <v>416</v>
      </c>
      <c r="J425" s="5">
        <v>4229345.2800000003</v>
      </c>
      <c r="K425" s="5">
        <v>0.14660000000000001</v>
      </c>
      <c r="L425" s="5">
        <v>25350000</v>
      </c>
      <c r="M425" s="5">
        <v>1.1379999999999999</v>
      </c>
    </row>
    <row r="426" spans="1:13" x14ac:dyDescent="0.3">
      <c r="A426" s="5">
        <v>12</v>
      </c>
      <c r="B426" s="5" t="s">
        <v>89</v>
      </c>
      <c r="C426" s="5" t="s">
        <v>77</v>
      </c>
      <c r="D426" s="5">
        <v>2024</v>
      </c>
      <c r="E426" s="5">
        <v>3</v>
      </c>
      <c r="F426" s="5" t="s">
        <v>60</v>
      </c>
      <c r="G426" s="5">
        <v>34358117</v>
      </c>
      <c r="H426" s="5">
        <v>29261610.460000001</v>
      </c>
      <c r="I426" s="5">
        <v>507</v>
      </c>
      <c r="J426" s="5">
        <v>5096506.54</v>
      </c>
      <c r="K426" s="5">
        <v>0.14829999999999999</v>
      </c>
      <c r="L426" s="5">
        <v>28350000</v>
      </c>
      <c r="M426" s="5">
        <v>1.2119</v>
      </c>
    </row>
    <row r="427" spans="1:13" x14ac:dyDescent="0.3">
      <c r="A427" s="5">
        <v>12</v>
      </c>
      <c r="B427" s="5" t="s">
        <v>89</v>
      </c>
      <c r="C427" s="5" t="s">
        <v>77</v>
      </c>
      <c r="D427" s="5">
        <v>2024</v>
      </c>
      <c r="E427" s="5">
        <v>4</v>
      </c>
      <c r="F427" s="5" t="s">
        <v>61</v>
      </c>
      <c r="G427" s="5">
        <v>30265206</v>
      </c>
      <c r="H427" s="5">
        <v>26459303.469999999</v>
      </c>
      <c r="I427" s="5">
        <v>469</v>
      </c>
      <c r="J427" s="5">
        <v>3805902.53</v>
      </c>
      <c r="K427" s="5">
        <v>0.1258</v>
      </c>
      <c r="L427" s="5">
        <v>24385000</v>
      </c>
      <c r="M427" s="5">
        <v>1.2411000000000001</v>
      </c>
    </row>
    <row r="428" spans="1:13" x14ac:dyDescent="0.3">
      <c r="A428" s="5">
        <v>12</v>
      </c>
      <c r="B428" s="5" t="s">
        <v>89</v>
      </c>
      <c r="C428" s="5" t="s">
        <v>77</v>
      </c>
      <c r="D428" s="5">
        <v>2024</v>
      </c>
      <c r="E428" s="5">
        <v>5</v>
      </c>
      <c r="F428" s="5" t="s">
        <v>62</v>
      </c>
      <c r="G428" s="5">
        <v>37514384</v>
      </c>
      <c r="H428" s="5">
        <v>33073444.350000001</v>
      </c>
      <c r="I428" s="5">
        <v>532</v>
      </c>
      <c r="J428" s="5">
        <v>4440939.6500000004</v>
      </c>
      <c r="K428" s="5">
        <v>0.11840000000000001</v>
      </c>
      <c r="L428" s="5">
        <v>33313000</v>
      </c>
      <c r="M428" s="5">
        <v>1.1261000000000001</v>
      </c>
    </row>
    <row r="429" spans="1:13" x14ac:dyDescent="0.3">
      <c r="A429" s="5">
        <v>12</v>
      </c>
      <c r="B429" s="5" t="s">
        <v>89</v>
      </c>
      <c r="C429" s="5" t="s">
        <v>77</v>
      </c>
      <c r="D429" s="5">
        <v>2024</v>
      </c>
      <c r="E429" s="5">
        <v>6</v>
      </c>
      <c r="F429" s="5" t="s">
        <v>63</v>
      </c>
      <c r="G429" s="5">
        <v>36354723</v>
      </c>
      <c r="H429" s="5">
        <v>30129878.289999999</v>
      </c>
      <c r="I429" s="5">
        <v>521</v>
      </c>
      <c r="J429" s="5">
        <v>6224844.71</v>
      </c>
      <c r="K429" s="5">
        <v>0.17119999999999999</v>
      </c>
      <c r="L429" s="5">
        <v>29508000</v>
      </c>
      <c r="M429" s="5">
        <v>1.232</v>
      </c>
    </row>
    <row r="430" spans="1:13" x14ac:dyDescent="0.3">
      <c r="A430" s="5">
        <v>12</v>
      </c>
      <c r="B430" s="5" t="s">
        <v>89</v>
      </c>
      <c r="C430" s="5" t="s">
        <v>77</v>
      </c>
      <c r="D430" s="5">
        <v>2024</v>
      </c>
      <c r="E430" s="5">
        <v>7</v>
      </c>
      <c r="F430" s="5" t="s">
        <v>64</v>
      </c>
      <c r="G430" s="5">
        <v>33170867</v>
      </c>
      <c r="H430" s="5">
        <v>28325464.920000002</v>
      </c>
      <c r="I430" s="5">
        <v>489</v>
      </c>
      <c r="J430" s="5">
        <v>4845402.08</v>
      </c>
      <c r="K430" s="5">
        <v>0.14610000000000001</v>
      </c>
      <c r="L430" s="5">
        <v>28391000</v>
      </c>
      <c r="M430" s="5">
        <v>1.1684000000000001</v>
      </c>
    </row>
    <row r="431" spans="1:13" x14ac:dyDescent="0.3">
      <c r="A431" s="5">
        <v>12</v>
      </c>
      <c r="B431" s="5" t="s">
        <v>89</v>
      </c>
      <c r="C431" s="5" t="s">
        <v>77</v>
      </c>
      <c r="D431" s="5">
        <v>2024</v>
      </c>
      <c r="E431" s="5">
        <v>8</v>
      </c>
      <c r="F431" s="5" t="s">
        <v>65</v>
      </c>
      <c r="G431" s="5">
        <v>30016585</v>
      </c>
      <c r="H431" s="5">
        <v>25384696.780000001</v>
      </c>
      <c r="I431" s="5">
        <v>502</v>
      </c>
      <c r="J431" s="5">
        <v>4631888.22</v>
      </c>
      <c r="K431" s="5">
        <v>0.15429999999999999</v>
      </c>
      <c r="L431" s="5">
        <v>26636000</v>
      </c>
      <c r="M431" s="5">
        <v>1.1269</v>
      </c>
    </row>
    <row r="432" spans="1:13" x14ac:dyDescent="0.3">
      <c r="A432" s="5">
        <v>12</v>
      </c>
      <c r="B432" s="5" t="s">
        <v>89</v>
      </c>
      <c r="C432" s="5" t="s">
        <v>77</v>
      </c>
      <c r="D432" s="5">
        <v>2024</v>
      </c>
      <c r="E432" s="5">
        <v>9</v>
      </c>
      <c r="F432" s="5" t="s">
        <v>66</v>
      </c>
      <c r="G432" s="5">
        <v>43429295</v>
      </c>
      <c r="H432" s="5">
        <v>35856360.939999998</v>
      </c>
      <c r="I432" s="5">
        <v>565</v>
      </c>
      <c r="J432" s="5">
        <v>7572934.0599999996</v>
      </c>
      <c r="K432" s="5">
        <v>0.1744</v>
      </c>
      <c r="L432" s="5">
        <v>36824000</v>
      </c>
      <c r="M432" s="5">
        <v>1.1794</v>
      </c>
    </row>
    <row r="433" spans="1:13" x14ac:dyDescent="0.3">
      <c r="A433" s="5">
        <v>12</v>
      </c>
      <c r="B433" s="5" t="s">
        <v>89</v>
      </c>
      <c r="C433" s="5" t="s">
        <v>77</v>
      </c>
      <c r="D433" s="5">
        <v>2024</v>
      </c>
      <c r="E433" s="5">
        <v>10</v>
      </c>
      <c r="F433" s="5" t="s">
        <v>67</v>
      </c>
      <c r="G433" s="5">
        <v>56702515</v>
      </c>
      <c r="H433" s="5">
        <v>45757239.060000002</v>
      </c>
      <c r="I433" s="5">
        <v>763</v>
      </c>
      <c r="J433" s="5">
        <v>10945275.939999999</v>
      </c>
      <c r="K433" s="5">
        <v>0.193</v>
      </c>
      <c r="L433" s="5">
        <v>49700000</v>
      </c>
      <c r="M433" s="5">
        <v>1.1409</v>
      </c>
    </row>
    <row r="434" spans="1:13" x14ac:dyDescent="0.3">
      <c r="A434" s="5">
        <v>12</v>
      </c>
      <c r="B434" s="5" t="s">
        <v>89</v>
      </c>
      <c r="C434" s="5" t="s">
        <v>77</v>
      </c>
      <c r="D434" s="5">
        <v>2024</v>
      </c>
      <c r="E434" s="5">
        <v>11</v>
      </c>
      <c r="F434" s="5" t="s">
        <v>68</v>
      </c>
      <c r="G434" s="5">
        <v>50928562</v>
      </c>
      <c r="H434" s="5">
        <v>42503517.5</v>
      </c>
      <c r="I434" s="5">
        <v>717</v>
      </c>
      <c r="J434" s="5">
        <v>8425044.5</v>
      </c>
      <c r="K434" s="5">
        <v>0.16539999999999999</v>
      </c>
      <c r="L434" s="5">
        <v>42600000</v>
      </c>
      <c r="M434" s="5">
        <v>1.1955</v>
      </c>
    </row>
    <row r="435" spans="1:13" x14ac:dyDescent="0.3">
      <c r="A435" s="5">
        <v>12</v>
      </c>
      <c r="B435" s="5" t="s">
        <v>89</v>
      </c>
      <c r="C435" s="5" t="s">
        <v>77</v>
      </c>
      <c r="D435" s="5">
        <v>2024</v>
      </c>
      <c r="E435" s="5">
        <v>12</v>
      </c>
      <c r="F435" s="5" t="s">
        <v>69</v>
      </c>
      <c r="G435" s="5">
        <v>48590045</v>
      </c>
      <c r="H435" s="5">
        <v>38813088.340000004</v>
      </c>
      <c r="I435" s="5">
        <v>699</v>
      </c>
      <c r="J435" s="5">
        <v>9776956.6600000001</v>
      </c>
      <c r="K435" s="5">
        <v>0.20119999999999999</v>
      </c>
      <c r="L435" s="5">
        <v>41129000</v>
      </c>
      <c r="M435" s="5">
        <v>1.1814</v>
      </c>
    </row>
    <row r="436" spans="1:13" x14ac:dyDescent="0.3">
      <c r="A436" s="5">
        <v>6</v>
      </c>
      <c r="B436" s="5" t="s">
        <v>90</v>
      </c>
      <c r="C436" s="5" t="s">
        <v>81</v>
      </c>
      <c r="D436" s="5">
        <v>2021</v>
      </c>
      <c r="E436" s="5">
        <v>1</v>
      </c>
      <c r="F436" s="5" t="s">
        <v>22</v>
      </c>
      <c r="G436" s="5">
        <v>20760922</v>
      </c>
      <c r="H436" s="5">
        <v>18591261.93</v>
      </c>
      <c r="I436" s="5">
        <v>299</v>
      </c>
      <c r="J436" s="5">
        <v>2169660.0699999998</v>
      </c>
      <c r="K436" s="5">
        <v>0.1045</v>
      </c>
      <c r="L436" s="5">
        <v>20987000</v>
      </c>
      <c r="M436" s="5">
        <v>0.98919999999999997</v>
      </c>
    </row>
    <row r="437" spans="1:13" x14ac:dyDescent="0.3">
      <c r="A437" s="5">
        <v>6</v>
      </c>
      <c r="B437" s="5" t="s">
        <v>90</v>
      </c>
      <c r="C437" s="5" t="s">
        <v>81</v>
      </c>
      <c r="D437" s="5">
        <v>2021</v>
      </c>
      <c r="E437" s="5">
        <v>2</v>
      </c>
      <c r="F437" s="5" t="s">
        <v>23</v>
      </c>
      <c r="G437" s="5">
        <v>19831431</v>
      </c>
      <c r="H437" s="5">
        <v>17472069.780000001</v>
      </c>
      <c r="I437" s="5">
        <v>304</v>
      </c>
      <c r="J437" s="5">
        <v>2359361.2200000002</v>
      </c>
      <c r="K437" s="5">
        <v>0.11899999999999999</v>
      </c>
      <c r="L437" s="5">
        <v>20660000</v>
      </c>
      <c r="M437" s="5">
        <v>0.95989999999999998</v>
      </c>
    </row>
    <row r="438" spans="1:13" x14ac:dyDescent="0.3">
      <c r="A438" s="5">
        <v>6</v>
      </c>
      <c r="B438" s="5" t="s">
        <v>90</v>
      </c>
      <c r="C438" s="5" t="s">
        <v>81</v>
      </c>
      <c r="D438" s="5">
        <v>2021</v>
      </c>
      <c r="E438" s="5">
        <v>3</v>
      </c>
      <c r="F438" s="5" t="s">
        <v>24</v>
      </c>
      <c r="G438" s="5">
        <v>20612679</v>
      </c>
      <c r="H438" s="5">
        <v>17416468.539999999</v>
      </c>
      <c r="I438" s="5">
        <v>315</v>
      </c>
      <c r="J438" s="5">
        <v>3196210.46</v>
      </c>
      <c r="K438" s="5">
        <v>0.15509999999999999</v>
      </c>
      <c r="L438" s="5">
        <v>21640000</v>
      </c>
      <c r="M438" s="5">
        <v>0.95250000000000001</v>
      </c>
    </row>
    <row r="439" spans="1:13" x14ac:dyDescent="0.3">
      <c r="A439" s="5">
        <v>6</v>
      </c>
      <c r="B439" s="5" t="s">
        <v>90</v>
      </c>
      <c r="C439" s="5" t="s">
        <v>81</v>
      </c>
      <c r="D439" s="5">
        <v>2021</v>
      </c>
      <c r="E439" s="5">
        <v>4</v>
      </c>
      <c r="F439" s="5" t="s">
        <v>25</v>
      </c>
      <c r="G439" s="5">
        <v>22225645</v>
      </c>
      <c r="H439" s="5">
        <v>19503639.739999998</v>
      </c>
      <c r="I439" s="5">
        <v>342</v>
      </c>
      <c r="J439" s="5">
        <v>2722005.26</v>
      </c>
      <c r="K439" s="5">
        <v>0.1225</v>
      </c>
      <c r="L439" s="5">
        <v>22838000</v>
      </c>
      <c r="M439" s="5">
        <v>0.97319999999999995</v>
      </c>
    </row>
    <row r="440" spans="1:13" x14ac:dyDescent="0.3">
      <c r="A440" s="5">
        <v>6</v>
      </c>
      <c r="B440" s="5" t="s">
        <v>90</v>
      </c>
      <c r="C440" s="5" t="s">
        <v>81</v>
      </c>
      <c r="D440" s="5">
        <v>2021</v>
      </c>
      <c r="E440" s="5">
        <v>5</v>
      </c>
      <c r="F440" s="5" t="s">
        <v>26</v>
      </c>
      <c r="G440" s="5">
        <v>22621263</v>
      </c>
      <c r="H440" s="5">
        <v>19544678.260000002</v>
      </c>
      <c r="I440" s="5">
        <v>345</v>
      </c>
      <c r="J440" s="5">
        <v>3076584.74</v>
      </c>
      <c r="K440" s="5">
        <v>0.13600000000000001</v>
      </c>
      <c r="L440" s="5">
        <v>22022000</v>
      </c>
      <c r="M440" s="5">
        <v>1.0271999999999999</v>
      </c>
    </row>
    <row r="441" spans="1:13" x14ac:dyDescent="0.3">
      <c r="A441" s="5">
        <v>6</v>
      </c>
      <c r="B441" s="5" t="s">
        <v>90</v>
      </c>
      <c r="C441" s="5" t="s">
        <v>81</v>
      </c>
      <c r="D441" s="5">
        <v>2021</v>
      </c>
      <c r="E441" s="5">
        <v>6</v>
      </c>
      <c r="F441" s="5" t="s">
        <v>27</v>
      </c>
      <c r="G441" s="5">
        <v>26491860</v>
      </c>
      <c r="H441" s="5">
        <v>23357197.59</v>
      </c>
      <c r="I441" s="5">
        <v>373</v>
      </c>
      <c r="J441" s="5">
        <v>3134662.41</v>
      </c>
      <c r="K441" s="5">
        <v>0.1183</v>
      </c>
      <c r="L441" s="5">
        <v>27525000</v>
      </c>
      <c r="M441" s="5">
        <v>0.96250000000000002</v>
      </c>
    </row>
    <row r="442" spans="1:13" x14ac:dyDescent="0.3">
      <c r="A442" s="5">
        <v>6</v>
      </c>
      <c r="B442" s="5" t="s">
        <v>90</v>
      </c>
      <c r="C442" s="5" t="s">
        <v>81</v>
      </c>
      <c r="D442" s="5">
        <v>2021</v>
      </c>
      <c r="E442" s="5">
        <v>7</v>
      </c>
      <c r="F442" s="5" t="s">
        <v>28</v>
      </c>
      <c r="G442" s="5">
        <v>19555775</v>
      </c>
      <c r="H442" s="5">
        <v>16998781.370000001</v>
      </c>
      <c r="I442" s="5">
        <v>311</v>
      </c>
      <c r="J442" s="5">
        <v>2556993.63</v>
      </c>
      <c r="K442" s="5">
        <v>0.1308</v>
      </c>
      <c r="L442" s="5">
        <v>18944000</v>
      </c>
      <c r="M442" s="5">
        <v>1.0323</v>
      </c>
    </row>
    <row r="443" spans="1:13" x14ac:dyDescent="0.3">
      <c r="A443" s="5">
        <v>6</v>
      </c>
      <c r="B443" s="5" t="s">
        <v>90</v>
      </c>
      <c r="C443" s="5" t="s">
        <v>81</v>
      </c>
      <c r="D443" s="5">
        <v>2021</v>
      </c>
      <c r="E443" s="5">
        <v>8</v>
      </c>
      <c r="F443" s="5" t="s">
        <v>29</v>
      </c>
      <c r="G443" s="5">
        <v>23356380</v>
      </c>
      <c r="H443" s="5">
        <v>19675600.010000002</v>
      </c>
      <c r="I443" s="5">
        <v>343</v>
      </c>
      <c r="J443" s="5">
        <v>3680779.99</v>
      </c>
      <c r="K443" s="5">
        <v>0.15759999999999999</v>
      </c>
      <c r="L443" s="5">
        <v>23546000</v>
      </c>
      <c r="M443" s="5">
        <v>0.9919</v>
      </c>
    </row>
    <row r="444" spans="1:13" x14ac:dyDescent="0.3">
      <c r="A444" s="5">
        <v>6</v>
      </c>
      <c r="B444" s="5" t="s">
        <v>90</v>
      </c>
      <c r="C444" s="5" t="s">
        <v>81</v>
      </c>
      <c r="D444" s="5">
        <v>2021</v>
      </c>
      <c r="E444" s="5">
        <v>9</v>
      </c>
      <c r="F444" s="5" t="s">
        <v>30</v>
      </c>
      <c r="G444" s="5">
        <v>21110795</v>
      </c>
      <c r="H444" s="5">
        <v>18447999.98</v>
      </c>
      <c r="I444" s="5">
        <v>346</v>
      </c>
      <c r="J444" s="5">
        <v>2662795.02</v>
      </c>
      <c r="K444" s="5">
        <v>0.12609999999999999</v>
      </c>
      <c r="L444" s="5">
        <v>20336000</v>
      </c>
      <c r="M444" s="5">
        <v>1.0381</v>
      </c>
    </row>
    <row r="445" spans="1:13" x14ac:dyDescent="0.3">
      <c r="A445" s="5">
        <v>6</v>
      </c>
      <c r="B445" s="5" t="s">
        <v>90</v>
      </c>
      <c r="C445" s="5" t="s">
        <v>81</v>
      </c>
      <c r="D445" s="5">
        <v>2021</v>
      </c>
      <c r="E445" s="5">
        <v>10</v>
      </c>
      <c r="F445" s="5" t="s">
        <v>31</v>
      </c>
      <c r="G445" s="5">
        <v>28711470</v>
      </c>
      <c r="H445" s="5">
        <v>23912167.309999999</v>
      </c>
      <c r="I445" s="5">
        <v>477</v>
      </c>
      <c r="J445" s="5">
        <v>4799302.6900000004</v>
      </c>
      <c r="K445" s="5">
        <v>0.16719999999999999</v>
      </c>
      <c r="L445" s="5">
        <v>29088000</v>
      </c>
      <c r="M445" s="5">
        <v>0.98709999999999998</v>
      </c>
    </row>
    <row r="446" spans="1:13" x14ac:dyDescent="0.3">
      <c r="A446" s="5">
        <v>6</v>
      </c>
      <c r="B446" s="5" t="s">
        <v>90</v>
      </c>
      <c r="C446" s="5" t="s">
        <v>81</v>
      </c>
      <c r="D446" s="5">
        <v>2021</v>
      </c>
      <c r="E446" s="5">
        <v>11</v>
      </c>
      <c r="F446" s="5" t="s">
        <v>32</v>
      </c>
      <c r="G446" s="5">
        <v>31770447</v>
      </c>
      <c r="H446" s="5">
        <v>26083556.07</v>
      </c>
      <c r="I446" s="5">
        <v>474</v>
      </c>
      <c r="J446" s="5">
        <v>5686890.9299999997</v>
      </c>
      <c r="K446" s="5">
        <v>0.17899999999999999</v>
      </c>
      <c r="L446" s="5">
        <v>33262000</v>
      </c>
      <c r="M446" s="5">
        <v>0.95520000000000005</v>
      </c>
    </row>
    <row r="447" spans="1:13" x14ac:dyDescent="0.3">
      <c r="A447" s="5">
        <v>6</v>
      </c>
      <c r="B447" s="5" t="s">
        <v>90</v>
      </c>
      <c r="C447" s="5" t="s">
        <v>81</v>
      </c>
      <c r="D447" s="5">
        <v>2021</v>
      </c>
      <c r="E447" s="5">
        <v>12</v>
      </c>
      <c r="F447" s="5" t="s">
        <v>33</v>
      </c>
      <c r="G447" s="5">
        <v>34733972</v>
      </c>
      <c r="H447" s="5">
        <v>28766780.23</v>
      </c>
      <c r="I447" s="5">
        <v>466</v>
      </c>
      <c r="J447" s="5">
        <v>5967191.7699999996</v>
      </c>
      <c r="K447" s="5">
        <v>0.17180000000000001</v>
      </c>
      <c r="L447" s="5">
        <v>36295000</v>
      </c>
      <c r="M447" s="5">
        <v>0.95699999999999996</v>
      </c>
    </row>
    <row r="448" spans="1:13" x14ac:dyDescent="0.3">
      <c r="A448" s="5">
        <v>6</v>
      </c>
      <c r="B448" s="5" t="s">
        <v>90</v>
      </c>
      <c r="C448" s="5" t="s">
        <v>81</v>
      </c>
      <c r="D448" s="5">
        <v>2022</v>
      </c>
      <c r="E448" s="5">
        <v>1</v>
      </c>
      <c r="F448" s="5" t="s">
        <v>34</v>
      </c>
      <c r="G448" s="5">
        <v>30718535</v>
      </c>
      <c r="H448" s="5">
        <v>25383476.789999999</v>
      </c>
      <c r="I448" s="5">
        <v>439</v>
      </c>
      <c r="J448" s="5">
        <v>5335058.21</v>
      </c>
      <c r="K448" s="5">
        <v>0.17369999999999999</v>
      </c>
      <c r="L448" s="5">
        <v>31804000</v>
      </c>
      <c r="M448" s="5">
        <v>0.96589999999999998</v>
      </c>
    </row>
    <row r="449" spans="1:13" x14ac:dyDescent="0.3">
      <c r="A449" s="5">
        <v>6</v>
      </c>
      <c r="B449" s="5" t="s">
        <v>90</v>
      </c>
      <c r="C449" s="5" t="s">
        <v>81</v>
      </c>
      <c r="D449" s="5">
        <v>2022</v>
      </c>
      <c r="E449" s="5">
        <v>2</v>
      </c>
      <c r="F449" s="5" t="s">
        <v>35</v>
      </c>
      <c r="G449" s="5">
        <v>23524441</v>
      </c>
      <c r="H449" s="5">
        <v>19401196.800000001</v>
      </c>
      <c r="I449" s="5">
        <v>350</v>
      </c>
      <c r="J449" s="5">
        <v>4123244.2</v>
      </c>
      <c r="K449" s="5">
        <v>0.17530000000000001</v>
      </c>
      <c r="L449" s="5">
        <v>25202000</v>
      </c>
      <c r="M449" s="5">
        <v>0.93340000000000001</v>
      </c>
    </row>
    <row r="450" spans="1:13" x14ac:dyDescent="0.3">
      <c r="A450" s="5">
        <v>6</v>
      </c>
      <c r="B450" s="5" t="s">
        <v>90</v>
      </c>
      <c r="C450" s="5" t="s">
        <v>81</v>
      </c>
      <c r="D450" s="5">
        <v>2022</v>
      </c>
      <c r="E450" s="5">
        <v>3</v>
      </c>
      <c r="F450" s="5" t="s">
        <v>36</v>
      </c>
      <c r="G450" s="5">
        <v>33818274</v>
      </c>
      <c r="H450" s="5">
        <v>29286195.670000002</v>
      </c>
      <c r="I450" s="5">
        <v>466</v>
      </c>
      <c r="J450" s="5">
        <v>4532078.33</v>
      </c>
      <c r="K450" s="5">
        <v>0.13400000000000001</v>
      </c>
      <c r="L450" s="5">
        <v>33634000</v>
      </c>
      <c r="M450" s="5">
        <v>1.0055000000000001</v>
      </c>
    </row>
    <row r="451" spans="1:13" x14ac:dyDescent="0.3">
      <c r="A451" s="5">
        <v>6</v>
      </c>
      <c r="B451" s="5" t="s">
        <v>90</v>
      </c>
      <c r="C451" s="5" t="s">
        <v>81</v>
      </c>
      <c r="D451" s="5">
        <v>2022</v>
      </c>
      <c r="E451" s="5">
        <v>4</v>
      </c>
      <c r="F451" s="5" t="s">
        <v>37</v>
      </c>
      <c r="G451" s="5">
        <v>28366988</v>
      </c>
      <c r="H451" s="5">
        <v>24629644.210000001</v>
      </c>
      <c r="I451" s="5">
        <v>480</v>
      </c>
      <c r="J451" s="5">
        <v>3737343.79</v>
      </c>
      <c r="K451" s="5">
        <v>0.13170000000000001</v>
      </c>
      <c r="L451" s="5">
        <v>29099000</v>
      </c>
      <c r="M451" s="5">
        <v>0.9748</v>
      </c>
    </row>
    <row r="452" spans="1:13" x14ac:dyDescent="0.3">
      <c r="A452" s="5">
        <v>6</v>
      </c>
      <c r="B452" s="5" t="s">
        <v>90</v>
      </c>
      <c r="C452" s="5" t="s">
        <v>81</v>
      </c>
      <c r="D452" s="5">
        <v>2022</v>
      </c>
      <c r="E452" s="5">
        <v>5</v>
      </c>
      <c r="F452" s="5" t="s">
        <v>38</v>
      </c>
      <c r="G452" s="5">
        <v>37670004</v>
      </c>
      <c r="H452" s="5">
        <v>32923169.32</v>
      </c>
      <c r="I452" s="5">
        <v>537</v>
      </c>
      <c r="J452" s="5">
        <v>4746834.68</v>
      </c>
      <c r="K452" s="5">
        <v>0.126</v>
      </c>
      <c r="L452" s="5">
        <v>36431000</v>
      </c>
      <c r="M452" s="5">
        <v>1.034</v>
      </c>
    </row>
    <row r="453" spans="1:13" x14ac:dyDescent="0.3">
      <c r="A453" s="5">
        <v>6</v>
      </c>
      <c r="B453" s="5" t="s">
        <v>90</v>
      </c>
      <c r="C453" s="5" t="s">
        <v>81</v>
      </c>
      <c r="D453" s="5">
        <v>2022</v>
      </c>
      <c r="E453" s="5">
        <v>6</v>
      </c>
      <c r="F453" s="5" t="s">
        <v>39</v>
      </c>
      <c r="G453" s="5">
        <v>31644975</v>
      </c>
      <c r="H453" s="5">
        <v>27345775.93</v>
      </c>
      <c r="I453" s="5">
        <v>480</v>
      </c>
      <c r="J453" s="5">
        <v>4299199.07</v>
      </c>
      <c r="K453" s="5">
        <v>0.13589999999999999</v>
      </c>
      <c r="L453" s="5">
        <v>33395000</v>
      </c>
      <c r="M453" s="5">
        <v>0.9476</v>
      </c>
    </row>
    <row r="454" spans="1:13" x14ac:dyDescent="0.3">
      <c r="A454" s="5">
        <v>6</v>
      </c>
      <c r="B454" s="5" t="s">
        <v>90</v>
      </c>
      <c r="C454" s="5" t="s">
        <v>81</v>
      </c>
      <c r="D454" s="5">
        <v>2022</v>
      </c>
      <c r="E454" s="5">
        <v>7</v>
      </c>
      <c r="F454" s="5" t="s">
        <v>40</v>
      </c>
      <c r="G454" s="5">
        <v>31772894</v>
      </c>
      <c r="H454" s="5">
        <v>28208494.02</v>
      </c>
      <c r="I454" s="5">
        <v>470</v>
      </c>
      <c r="J454" s="5">
        <v>3564399.98</v>
      </c>
      <c r="K454" s="5">
        <v>0.11219999999999999</v>
      </c>
      <c r="L454" s="5">
        <v>31087000</v>
      </c>
      <c r="M454" s="5">
        <v>1.0221</v>
      </c>
    </row>
    <row r="455" spans="1:13" x14ac:dyDescent="0.3">
      <c r="A455" s="5">
        <v>6</v>
      </c>
      <c r="B455" s="5" t="s">
        <v>90</v>
      </c>
      <c r="C455" s="5" t="s">
        <v>81</v>
      </c>
      <c r="D455" s="5">
        <v>2022</v>
      </c>
      <c r="E455" s="5">
        <v>8</v>
      </c>
      <c r="F455" s="5" t="s">
        <v>41</v>
      </c>
      <c r="G455" s="5">
        <v>28374565</v>
      </c>
      <c r="H455" s="5">
        <v>26315402.469999999</v>
      </c>
      <c r="I455" s="5">
        <v>474</v>
      </c>
      <c r="J455" s="5">
        <v>2059162.53</v>
      </c>
      <c r="K455" s="5">
        <v>7.2599999999999998E-2</v>
      </c>
      <c r="L455" s="5">
        <v>29964000</v>
      </c>
      <c r="M455" s="5">
        <v>0.94699999999999995</v>
      </c>
    </row>
    <row r="456" spans="1:13" x14ac:dyDescent="0.3">
      <c r="A456" s="5">
        <v>6</v>
      </c>
      <c r="B456" s="5" t="s">
        <v>90</v>
      </c>
      <c r="C456" s="5" t="s">
        <v>81</v>
      </c>
      <c r="D456" s="5">
        <v>2022</v>
      </c>
      <c r="E456" s="5">
        <v>9</v>
      </c>
      <c r="F456" s="5" t="s">
        <v>42</v>
      </c>
      <c r="G456" s="5">
        <v>36389006</v>
      </c>
      <c r="H456" s="5">
        <v>31300341.34</v>
      </c>
      <c r="I456" s="5">
        <v>569</v>
      </c>
      <c r="J456" s="5">
        <v>5088664.66</v>
      </c>
      <c r="K456" s="5">
        <v>0.13980000000000001</v>
      </c>
      <c r="L456" s="5">
        <v>37890000</v>
      </c>
      <c r="M456" s="5">
        <v>0.96040000000000003</v>
      </c>
    </row>
    <row r="457" spans="1:13" x14ac:dyDescent="0.3">
      <c r="A457" s="5">
        <v>6</v>
      </c>
      <c r="B457" s="5" t="s">
        <v>90</v>
      </c>
      <c r="C457" s="5" t="s">
        <v>81</v>
      </c>
      <c r="D457" s="5">
        <v>2022</v>
      </c>
      <c r="E457" s="5">
        <v>10</v>
      </c>
      <c r="F457" s="5" t="s">
        <v>43</v>
      </c>
      <c r="G457" s="5">
        <v>40835704</v>
      </c>
      <c r="H457" s="5">
        <v>36848035.469999999</v>
      </c>
      <c r="I457" s="5">
        <v>658</v>
      </c>
      <c r="J457" s="5">
        <v>3987668.53</v>
      </c>
      <c r="K457" s="5">
        <v>9.7699999999999995E-2</v>
      </c>
      <c r="L457" s="5">
        <v>41864000</v>
      </c>
      <c r="M457" s="5">
        <v>0.97540000000000004</v>
      </c>
    </row>
    <row r="458" spans="1:13" x14ac:dyDescent="0.3">
      <c r="A458" s="5">
        <v>6</v>
      </c>
      <c r="B458" s="5" t="s">
        <v>90</v>
      </c>
      <c r="C458" s="5" t="s">
        <v>81</v>
      </c>
      <c r="D458" s="5">
        <v>2022</v>
      </c>
      <c r="E458" s="5">
        <v>11</v>
      </c>
      <c r="F458" s="5" t="s">
        <v>44</v>
      </c>
      <c r="G458" s="5">
        <v>48193244</v>
      </c>
      <c r="H458" s="5">
        <v>41058349.75</v>
      </c>
      <c r="I458" s="5">
        <v>711</v>
      </c>
      <c r="J458" s="5">
        <v>7134894.25</v>
      </c>
      <c r="K458" s="5">
        <v>0.14799999999999999</v>
      </c>
      <c r="L458" s="5">
        <v>48187000</v>
      </c>
      <c r="M458" s="5">
        <v>1.0001</v>
      </c>
    </row>
    <row r="459" spans="1:13" x14ac:dyDescent="0.3">
      <c r="A459" s="5">
        <v>6</v>
      </c>
      <c r="B459" s="5" t="s">
        <v>90</v>
      </c>
      <c r="C459" s="5" t="s">
        <v>81</v>
      </c>
      <c r="D459" s="5">
        <v>2022</v>
      </c>
      <c r="E459" s="5">
        <v>12</v>
      </c>
      <c r="F459" s="5" t="s">
        <v>45</v>
      </c>
      <c r="G459" s="5">
        <v>48809853</v>
      </c>
      <c r="H459" s="5">
        <v>41025159.549999997</v>
      </c>
      <c r="I459" s="5">
        <v>698</v>
      </c>
      <c r="J459" s="5">
        <v>7784693.4500000002</v>
      </c>
      <c r="K459" s="5">
        <v>0.1595</v>
      </c>
      <c r="L459" s="5">
        <v>48806000</v>
      </c>
      <c r="M459" s="5">
        <v>1.0001</v>
      </c>
    </row>
    <row r="460" spans="1:13" x14ac:dyDescent="0.3">
      <c r="A460" s="5">
        <v>6</v>
      </c>
      <c r="B460" s="5" t="s">
        <v>90</v>
      </c>
      <c r="C460" s="5" t="s">
        <v>81</v>
      </c>
      <c r="D460" s="5">
        <v>2023</v>
      </c>
      <c r="E460" s="5">
        <v>1</v>
      </c>
      <c r="F460" s="5" t="s">
        <v>46</v>
      </c>
      <c r="G460" s="5">
        <v>33691808</v>
      </c>
      <c r="H460" s="5">
        <v>29409935.100000001</v>
      </c>
      <c r="I460" s="5">
        <v>518</v>
      </c>
      <c r="J460" s="5">
        <v>4281872.9000000004</v>
      </c>
      <c r="K460" s="5">
        <v>0.12709999999999999</v>
      </c>
      <c r="L460" s="5">
        <v>32210000</v>
      </c>
      <c r="M460" s="5">
        <v>1.046</v>
      </c>
    </row>
    <row r="461" spans="1:13" x14ac:dyDescent="0.3">
      <c r="A461" s="5">
        <v>6</v>
      </c>
      <c r="B461" s="5" t="s">
        <v>90</v>
      </c>
      <c r="C461" s="5" t="s">
        <v>81</v>
      </c>
      <c r="D461" s="5">
        <v>2023</v>
      </c>
      <c r="E461" s="5">
        <v>2</v>
      </c>
      <c r="F461" s="5" t="s">
        <v>47</v>
      </c>
      <c r="G461" s="5">
        <v>33614335</v>
      </c>
      <c r="H461" s="5">
        <v>29139086.649999999</v>
      </c>
      <c r="I461" s="5">
        <v>487</v>
      </c>
      <c r="J461" s="5">
        <v>4475248.3499999996</v>
      </c>
      <c r="K461" s="5">
        <v>0.1331</v>
      </c>
      <c r="L461" s="5">
        <v>33824000</v>
      </c>
      <c r="M461" s="5">
        <v>0.99380000000000002</v>
      </c>
    </row>
    <row r="462" spans="1:13" x14ac:dyDescent="0.3">
      <c r="A462" s="5">
        <v>6</v>
      </c>
      <c r="B462" s="5" t="s">
        <v>90</v>
      </c>
      <c r="C462" s="5" t="s">
        <v>81</v>
      </c>
      <c r="D462" s="5">
        <v>2023</v>
      </c>
      <c r="E462" s="5">
        <v>3</v>
      </c>
      <c r="F462" s="5" t="s">
        <v>48</v>
      </c>
      <c r="G462" s="5">
        <v>42228913</v>
      </c>
      <c r="H462" s="5">
        <v>36684600.149999999</v>
      </c>
      <c r="I462" s="5">
        <v>631</v>
      </c>
      <c r="J462" s="5">
        <v>5544312.8499999996</v>
      </c>
      <c r="K462" s="5">
        <v>0.1313</v>
      </c>
      <c r="L462" s="5">
        <v>43813000</v>
      </c>
      <c r="M462" s="5">
        <v>0.96379999999999999</v>
      </c>
    </row>
    <row r="463" spans="1:13" x14ac:dyDescent="0.3">
      <c r="A463" s="5">
        <v>6</v>
      </c>
      <c r="B463" s="5" t="s">
        <v>90</v>
      </c>
      <c r="C463" s="5" t="s">
        <v>81</v>
      </c>
      <c r="D463" s="5">
        <v>2023</v>
      </c>
      <c r="E463" s="5">
        <v>4</v>
      </c>
      <c r="F463" s="5" t="s">
        <v>49</v>
      </c>
      <c r="G463" s="5">
        <v>43457311</v>
      </c>
      <c r="H463" s="5">
        <v>38025217.979999997</v>
      </c>
      <c r="I463" s="5">
        <v>630</v>
      </c>
      <c r="J463" s="5">
        <v>5432093.0199999996</v>
      </c>
      <c r="K463" s="5">
        <v>0.125</v>
      </c>
      <c r="L463" s="5">
        <v>44677000</v>
      </c>
      <c r="M463" s="5">
        <v>0.97270000000000001</v>
      </c>
    </row>
    <row r="464" spans="1:13" x14ac:dyDescent="0.3">
      <c r="A464" s="5">
        <v>6</v>
      </c>
      <c r="B464" s="5" t="s">
        <v>90</v>
      </c>
      <c r="C464" s="5" t="s">
        <v>81</v>
      </c>
      <c r="D464" s="5">
        <v>2023</v>
      </c>
      <c r="E464" s="5">
        <v>5</v>
      </c>
      <c r="F464" s="5" t="s">
        <v>50</v>
      </c>
      <c r="G464" s="5">
        <v>43199824</v>
      </c>
      <c r="H464" s="5">
        <v>37511745.920000002</v>
      </c>
      <c r="I464" s="5">
        <v>653</v>
      </c>
      <c r="J464" s="5">
        <v>5688078.0800000001</v>
      </c>
      <c r="K464" s="5">
        <v>0.13170000000000001</v>
      </c>
      <c r="L464" s="5">
        <v>43579000</v>
      </c>
      <c r="M464" s="5">
        <v>0.99129999999999996</v>
      </c>
    </row>
    <row r="465" spans="1:13" x14ac:dyDescent="0.3">
      <c r="A465" s="5">
        <v>6</v>
      </c>
      <c r="B465" s="5" t="s">
        <v>90</v>
      </c>
      <c r="C465" s="5" t="s">
        <v>81</v>
      </c>
      <c r="D465" s="5">
        <v>2023</v>
      </c>
      <c r="E465" s="5">
        <v>6</v>
      </c>
      <c r="F465" s="5" t="s">
        <v>51</v>
      </c>
      <c r="G465" s="5">
        <v>42651610</v>
      </c>
      <c r="H465" s="5">
        <v>36605447.310000002</v>
      </c>
      <c r="I465" s="5">
        <v>626</v>
      </c>
      <c r="J465" s="5">
        <v>6046162.6900000004</v>
      </c>
      <c r="K465" s="5">
        <v>0.14180000000000001</v>
      </c>
      <c r="L465" s="5">
        <v>44150000</v>
      </c>
      <c r="M465" s="5">
        <v>0.96609999999999996</v>
      </c>
    </row>
    <row r="466" spans="1:13" x14ac:dyDescent="0.3">
      <c r="A466" s="5">
        <v>6</v>
      </c>
      <c r="B466" s="5" t="s">
        <v>90</v>
      </c>
      <c r="C466" s="5" t="s">
        <v>81</v>
      </c>
      <c r="D466" s="5">
        <v>2023</v>
      </c>
      <c r="E466" s="5">
        <v>7</v>
      </c>
      <c r="F466" s="5" t="s">
        <v>52</v>
      </c>
      <c r="G466" s="5">
        <v>37961017</v>
      </c>
      <c r="H466" s="5">
        <v>33257979.59</v>
      </c>
      <c r="I466" s="5">
        <v>584</v>
      </c>
      <c r="J466" s="5">
        <v>4703037.41</v>
      </c>
      <c r="K466" s="5">
        <v>0.1239</v>
      </c>
      <c r="L466" s="5">
        <v>37453000</v>
      </c>
      <c r="M466" s="5">
        <v>1.0136000000000001</v>
      </c>
    </row>
    <row r="467" spans="1:13" x14ac:dyDescent="0.3">
      <c r="A467" s="5">
        <v>6</v>
      </c>
      <c r="B467" s="5" t="s">
        <v>90</v>
      </c>
      <c r="C467" s="5" t="s">
        <v>81</v>
      </c>
      <c r="D467" s="5">
        <v>2023</v>
      </c>
      <c r="E467" s="5">
        <v>8</v>
      </c>
      <c r="F467" s="5" t="s">
        <v>53</v>
      </c>
      <c r="G467" s="5">
        <v>42827399</v>
      </c>
      <c r="H467" s="5">
        <v>38107466.020000003</v>
      </c>
      <c r="I467" s="5">
        <v>623</v>
      </c>
      <c r="J467" s="5">
        <v>4719932.9800000004</v>
      </c>
      <c r="K467" s="5">
        <v>0.11020000000000001</v>
      </c>
      <c r="L467" s="5">
        <v>41719000</v>
      </c>
      <c r="M467" s="5">
        <v>1.0266</v>
      </c>
    </row>
    <row r="468" spans="1:13" x14ac:dyDescent="0.3">
      <c r="A468" s="5">
        <v>6</v>
      </c>
      <c r="B468" s="5" t="s">
        <v>90</v>
      </c>
      <c r="C468" s="5" t="s">
        <v>81</v>
      </c>
      <c r="D468" s="5">
        <v>2023</v>
      </c>
      <c r="E468" s="5">
        <v>9</v>
      </c>
      <c r="F468" s="5" t="s">
        <v>54</v>
      </c>
      <c r="G468" s="5">
        <v>40272639</v>
      </c>
      <c r="H468" s="5">
        <v>36092522.469999999</v>
      </c>
      <c r="I468" s="5">
        <v>646</v>
      </c>
      <c r="J468" s="5">
        <v>4180116.53</v>
      </c>
      <c r="K468" s="5">
        <v>0.1038</v>
      </c>
      <c r="L468" s="5">
        <v>40307000</v>
      </c>
      <c r="M468" s="5">
        <v>0.99909999999999999</v>
      </c>
    </row>
    <row r="469" spans="1:13" x14ac:dyDescent="0.3">
      <c r="A469" s="5">
        <v>6</v>
      </c>
      <c r="B469" s="5" t="s">
        <v>90</v>
      </c>
      <c r="C469" s="5" t="s">
        <v>81</v>
      </c>
      <c r="D469" s="5">
        <v>2023</v>
      </c>
      <c r="E469" s="5">
        <v>10</v>
      </c>
      <c r="F469" s="5" t="s">
        <v>55</v>
      </c>
      <c r="G469" s="5">
        <v>57250852</v>
      </c>
      <c r="H469" s="5">
        <v>49783273.32</v>
      </c>
      <c r="I469" s="5">
        <v>825</v>
      </c>
      <c r="J469" s="5">
        <v>7467578.6799999997</v>
      </c>
      <c r="K469" s="5">
        <v>0.13039999999999999</v>
      </c>
      <c r="L469" s="5">
        <v>59289000</v>
      </c>
      <c r="M469" s="5">
        <v>0.96560000000000001</v>
      </c>
    </row>
    <row r="470" spans="1:13" x14ac:dyDescent="0.3">
      <c r="A470" s="5">
        <v>6</v>
      </c>
      <c r="B470" s="5" t="s">
        <v>90</v>
      </c>
      <c r="C470" s="5" t="s">
        <v>81</v>
      </c>
      <c r="D470" s="5">
        <v>2023</v>
      </c>
      <c r="E470" s="5">
        <v>11</v>
      </c>
      <c r="F470" s="5" t="s">
        <v>56</v>
      </c>
      <c r="G470" s="5">
        <v>55806121</v>
      </c>
      <c r="H470" s="5">
        <v>49535285.75</v>
      </c>
      <c r="I470" s="5">
        <v>860</v>
      </c>
      <c r="J470" s="5">
        <v>6270835.25</v>
      </c>
      <c r="K470" s="5">
        <v>0.1124</v>
      </c>
      <c r="L470" s="5">
        <v>55293000</v>
      </c>
      <c r="M470" s="5">
        <v>1.0093000000000001</v>
      </c>
    </row>
    <row r="471" spans="1:13" x14ac:dyDescent="0.3">
      <c r="A471" s="5">
        <v>6</v>
      </c>
      <c r="B471" s="5" t="s">
        <v>90</v>
      </c>
      <c r="C471" s="5" t="s">
        <v>81</v>
      </c>
      <c r="D471" s="5">
        <v>2023</v>
      </c>
      <c r="E471" s="5">
        <v>12</v>
      </c>
      <c r="F471" s="5" t="s">
        <v>57</v>
      </c>
      <c r="G471" s="5">
        <v>58727212</v>
      </c>
      <c r="H471" s="5">
        <v>52822120.219999999</v>
      </c>
      <c r="I471" s="5">
        <v>868</v>
      </c>
      <c r="J471" s="5">
        <v>5905091.7800000003</v>
      </c>
      <c r="K471" s="5">
        <v>0.10059999999999999</v>
      </c>
      <c r="L471" s="5">
        <v>58237000</v>
      </c>
      <c r="M471" s="5">
        <v>1.0084</v>
      </c>
    </row>
    <row r="472" spans="1:13" x14ac:dyDescent="0.3">
      <c r="A472" s="5">
        <v>6</v>
      </c>
      <c r="B472" s="5" t="s">
        <v>90</v>
      </c>
      <c r="C472" s="5" t="s">
        <v>81</v>
      </c>
      <c r="D472" s="5">
        <v>2024</v>
      </c>
      <c r="E472" s="5">
        <v>1</v>
      </c>
      <c r="F472" s="5" t="s">
        <v>58</v>
      </c>
      <c r="G472" s="5">
        <v>40311407</v>
      </c>
      <c r="H472" s="5">
        <v>35682417.740000002</v>
      </c>
      <c r="I472" s="5">
        <v>597</v>
      </c>
      <c r="J472" s="5">
        <v>4628989.26</v>
      </c>
      <c r="K472" s="5">
        <v>0.1148</v>
      </c>
      <c r="L472" s="5">
        <v>38598000</v>
      </c>
      <c r="M472" s="5">
        <v>1.0444</v>
      </c>
    </row>
    <row r="473" spans="1:13" x14ac:dyDescent="0.3">
      <c r="A473" s="5">
        <v>6</v>
      </c>
      <c r="B473" s="5" t="s">
        <v>90</v>
      </c>
      <c r="C473" s="5" t="s">
        <v>81</v>
      </c>
      <c r="D473" s="5">
        <v>2024</v>
      </c>
      <c r="E473" s="5">
        <v>2</v>
      </c>
      <c r="F473" s="5" t="s">
        <v>59</v>
      </c>
      <c r="G473" s="5">
        <v>40931577</v>
      </c>
      <c r="H473" s="5">
        <v>35283584.68</v>
      </c>
      <c r="I473" s="5">
        <v>564</v>
      </c>
      <c r="J473" s="5">
        <v>5647992.3200000003</v>
      </c>
      <c r="K473" s="5">
        <v>0.13800000000000001</v>
      </c>
      <c r="L473" s="5">
        <v>41737000</v>
      </c>
      <c r="M473" s="5">
        <v>0.98070000000000002</v>
      </c>
    </row>
    <row r="474" spans="1:13" x14ac:dyDescent="0.3">
      <c r="A474" s="5">
        <v>6</v>
      </c>
      <c r="B474" s="5" t="s">
        <v>90</v>
      </c>
      <c r="C474" s="5" t="s">
        <v>81</v>
      </c>
      <c r="D474" s="5">
        <v>2024</v>
      </c>
      <c r="E474" s="5">
        <v>3</v>
      </c>
      <c r="F474" s="5" t="s">
        <v>60</v>
      </c>
      <c r="G474" s="5">
        <v>39775151</v>
      </c>
      <c r="H474" s="5">
        <v>34663881.740000002</v>
      </c>
      <c r="I474" s="5">
        <v>603</v>
      </c>
      <c r="J474" s="5">
        <v>5111269.26</v>
      </c>
      <c r="K474" s="5">
        <v>0.1285</v>
      </c>
      <c r="L474" s="5">
        <v>41331000</v>
      </c>
      <c r="M474" s="5">
        <v>0.96240000000000003</v>
      </c>
    </row>
    <row r="475" spans="1:13" x14ac:dyDescent="0.3">
      <c r="A475" s="5">
        <v>6</v>
      </c>
      <c r="B475" s="5" t="s">
        <v>90</v>
      </c>
      <c r="C475" s="5" t="s">
        <v>81</v>
      </c>
      <c r="D475" s="5">
        <v>2024</v>
      </c>
      <c r="E475" s="5">
        <v>4</v>
      </c>
      <c r="F475" s="5" t="s">
        <v>61</v>
      </c>
      <c r="G475" s="5">
        <v>46216830</v>
      </c>
      <c r="H475" s="5">
        <v>39645094.530000001</v>
      </c>
      <c r="I475" s="5">
        <v>654</v>
      </c>
      <c r="J475" s="5">
        <v>6571735.4699999997</v>
      </c>
      <c r="K475" s="5">
        <v>0.14219999999999999</v>
      </c>
      <c r="L475" s="5">
        <v>47989000</v>
      </c>
      <c r="M475" s="5">
        <v>0.96309999999999996</v>
      </c>
    </row>
    <row r="476" spans="1:13" x14ac:dyDescent="0.3">
      <c r="A476" s="5">
        <v>6</v>
      </c>
      <c r="B476" s="5" t="s">
        <v>90</v>
      </c>
      <c r="C476" s="5" t="s">
        <v>81</v>
      </c>
      <c r="D476" s="5">
        <v>2024</v>
      </c>
      <c r="E476" s="5">
        <v>5</v>
      </c>
      <c r="F476" s="5" t="s">
        <v>62</v>
      </c>
      <c r="G476" s="5">
        <v>52479335</v>
      </c>
      <c r="H476" s="5">
        <v>46838076.189999998</v>
      </c>
      <c r="I476" s="5">
        <v>713</v>
      </c>
      <c r="J476" s="5">
        <v>5641258.8099999996</v>
      </c>
      <c r="K476" s="5">
        <v>0.1075</v>
      </c>
      <c r="L476" s="5">
        <v>54218000</v>
      </c>
      <c r="M476" s="5">
        <v>0.96789999999999998</v>
      </c>
    </row>
    <row r="477" spans="1:13" x14ac:dyDescent="0.3">
      <c r="A477" s="5">
        <v>6</v>
      </c>
      <c r="B477" s="5" t="s">
        <v>90</v>
      </c>
      <c r="C477" s="5" t="s">
        <v>81</v>
      </c>
      <c r="D477" s="5">
        <v>2024</v>
      </c>
      <c r="E477" s="5">
        <v>6</v>
      </c>
      <c r="F477" s="5" t="s">
        <v>63</v>
      </c>
      <c r="G477" s="5">
        <v>46301594</v>
      </c>
      <c r="H477" s="5">
        <v>38697258.469999999</v>
      </c>
      <c r="I477" s="5">
        <v>659</v>
      </c>
      <c r="J477" s="5">
        <v>7604335.5300000003</v>
      </c>
      <c r="K477" s="5">
        <v>0.16420000000000001</v>
      </c>
      <c r="L477" s="5">
        <v>48932000</v>
      </c>
      <c r="M477" s="5">
        <v>0.94620000000000004</v>
      </c>
    </row>
    <row r="478" spans="1:13" x14ac:dyDescent="0.3">
      <c r="A478" s="5">
        <v>6</v>
      </c>
      <c r="B478" s="5" t="s">
        <v>90</v>
      </c>
      <c r="C478" s="5" t="s">
        <v>81</v>
      </c>
      <c r="D478" s="5">
        <v>2024</v>
      </c>
      <c r="E478" s="5">
        <v>7</v>
      </c>
      <c r="F478" s="5" t="s">
        <v>64</v>
      </c>
      <c r="G478" s="5">
        <v>45744385</v>
      </c>
      <c r="H478" s="5">
        <v>39117600.829999998</v>
      </c>
      <c r="I478" s="5">
        <v>659</v>
      </c>
      <c r="J478" s="5">
        <v>6626784.1699999999</v>
      </c>
      <c r="K478" s="5">
        <v>0.1449</v>
      </c>
      <c r="L478" s="5">
        <v>43424000</v>
      </c>
      <c r="M478" s="5">
        <v>1.0533999999999999</v>
      </c>
    </row>
    <row r="479" spans="1:13" x14ac:dyDescent="0.3">
      <c r="A479" s="5">
        <v>6</v>
      </c>
      <c r="B479" s="5" t="s">
        <v>90</v>
      </c>
      <c r="C479" s="5" t="s">
        <v>81</v>
      </c>
      <c r="D479" s="5">
        <v>2024</v>
      </c>
      <c r="E479" s="5">
        <v>8</v>
      </c>
      <c r="F479" s="5" t="s">
        <v>65</v>
      </c>
      <c r="G479" s="5">
        <v>45994260</v>
      </c>
      <c r="H479" s="5">
        <v>39335500.649999999</v>
      </c>
      <c r="I479" s="5">
        <v>688</v>
      </c>
      <c r="J479" s="5">
        <v>6658759.3499999996</v>
      </c>
      <c r="K479" s="5">
        <v>0.14480000000000001</v>
      </c>
      <c r="L479" s="5">
        <v>45368000</v>
      </c>
      <c r="M479" s="5">
        <v>1.0138</v>
      </c>
    </row>
    <row r="480" spans="1:13" x14ac:dyDescent="0.3">
      <c r="A480" s="5">
        <v>6</v>
      </c>
      <c r="B480" s="5" t="s">
        <v>90</v>
      </c>
      <c r="C480" s="5" t="s">
        <v>81</v>
      </c>
      <c r="D480" s="5">
        <v>2024</v>
      </c>
      <c r="E480" s="5">
        <v>9</v>
      </c>
      <c r="F480" s="5" t="s">
        <v>66</v>
      </c>
      <c r="G480" s="5">
        <v>52084581</v>
      </c>
      <c r="H480" s="5">
        <v>42488015.880000003</v>
      </c>
      <c r="I480" s="5">
        <v>739</v>
      </c>
      <c r="J480" s="5">
        <v>9596565.1199999992</v>
      </c>
      <c r="K480" s="5">
        <v>0.1842</v>
      </c>
      <c r="L480" s="5">
        <v>52907000</v>
      </c>
      <c r="M480" s="5">
        <v>0.98450000000000004</v>
      </c>
    </row>
    <row r="481" spans="1:13" x14ac:dyDescent="0.3">
      <c r="A481" s="5">
        <v>6</v>
      </c>
      <c r="B481" s="5" t="s">
        <v>90</v>
      </c>
      <c r="C481" s="5" t="s">
        <v>81</v>
      </c>
      <c r="D481" s="5">
        <v>2024</v>
      </c>
      <c r="E481" s="5">
        <v>10</v>
      </c>
      <c r="F481" s="5" t="s">
        <v>67</v>
      </c>
      <c r="G481" s="5">
        <v>67674926</v>
      </c>
      <c r="H481" s="5">
        <v>54449943.5</v>
      </c>
      <c r="I481" s="5">
        <v>945</v>
      </c>
      <c r="J481" s="5">
        <v>13224982.5</v>
      </c>
      <c r="K481" s="5">
        <v>0.19539999999999999</v>
      </c>
      <c r="L481" s="5">
        <v>65396000</v>
      </c>
      <c r="M481" s="5">
        <v>1.0347999999999999</v>
      </c>
    </row>
    <row r="482" spans="1:13" x14ac:dyDescent="0.3">
      <c r="A482" s="5">
        <v>6</v>
      </c>
      <c r="B482" s="5" t="s">
        <v>90</v>
      </c>
      <c r="C482" s="5" t="s">
        <v>81</v>
      </c>
      <c r="D482" s="5">
        <v>2024</v>
      </c>
      <c r="E482" s="5">
        <v>11</v>
      </c>
      <c r="F482" s="5" t="s">
        <v>68</v>
      </c>
      <c r="G482" s="5">
        <v>65844051</v>
      </c>
      <c r="H482" s="5">
        <v>55372478.990000002</v>
      </c>
      <c r="I482" s="5">
        <v>968</v>
      </c>
      <c r="J482" s="5">
        <v>10471572.01</v>
      </c>
      <c r="K482" s="5">
        <v>0.159</v>
      </c>
      <c r="L482" s="5">
        <v>66166000</v>
      </c>
      <c r="M482" s="5">
        <v>0.99509999999999998</v>
      </c>
    </row>
    <row r="483" spans="1:13" x14ac:dyDescent="0.3">
      <c r="A483" s="5">
        <v>6</v>
      </c>
      <c r="B483" s="5" t="s">
        <v>90</v>
      </c>
      <c r="C483" s="5" t="s">
        <v>81</v>
      </c>
      <c r="D483" s="5">
        <v>2024</v>
      </c>
      <c r="E483" s="5">
        <v>12</v>
      </c>
      <c r="F483" s="5" t="s">
        <v>69</v>
      </c>
      <c r="G483" s="5">
        <v>70979887</v>
      </c>
      <c r="H483" s="5">
        <v>56780955.869999997</v>
      </c>
      <c r="I483" s="5">
        <v>938</v>
      </c>
      <c r="J483" s="5">
        <v>14198931.130000001</v>
      </c>
      <c r="K483" s="5">
        <v>0.2</v>
      </c>
      <c r="L483" s="5">
        <v>71059000</v>
      </c>
      <c r="M483" s="5">
        <v>0.99890000000000001</v>
      </c>
    </row>
    <row r="484" spans="1:13" x14ac:dyDescent="0.3">
      <c r="A484" s="5">
        <v>7</v>
      </c>
      <c r="B484" s="5" t="s">
        <v>91</v>
      </c>
      <c r="C484" s="5" t="s">
        <v>81</v>
      </c>
      <c r="D484" s="5">
        <v>2021</v>
      </c>
      <c r="E484" s="5">
        <v>1</v>
      </c>
      <c r="F484" s="5" t="s">
        <v>22</v>
      </c>
      <c r="G484" s="5">
        <v>8212978</v>
      </c>
      <c r="H484" s="5">
        <v>7426355.0099999998</v>
      </c>
      <c r="I484" s="5">
        <v>134</v>
      </c>
      <c r="J484" s="5">
        <v>786622.99</v>
      </c>
      <c r="K484" s="5">
        <v>9.5799999999999996E-2</v>
      </c>
      <c r="L484" s="5">
        <v>8771000</v>
      </c>
      <c r="M484" s="5">
        <v>0.93640000000000001</v>
      </c>
    </row>
    <row r="485" spans="1:13" x14ac:dyDescent="0.3">
      <c r="A485" s="5">
        <v>7</v>
      </c>
      <c r="B485" s="5" t="s">
        <v>91</v>
      </c>
      <c r="C485" s="5" t="s">
        <v>81</v>
      </c>
      <c r="D485" s="5">
        <v>2021</v>
      </c>
      <c r="E485" s="5">
        <v>2</v>
      </c>
      <c r="F485" s="5" t="s">
        <v>23</v>
      </c>
      <c r="G485" s="5">
        <v>8660290</v>
      </c>
      <c r="H485" s="5">
        <v>7455948.1100000003</v>
      </c>
      <c r="I485" s="5">
        <v>123</v>
      </c>
      <c r="J485" s="5">
        <v>1204341.8899999999</v>
      </c>
      <c r="K485" s="5">
        <v>0.1391</v>
      </c>
      <c r="L485" s="5">
        <v>9723000</v>
      </c>
      <c r="M485" s="5">
        <v>0.89070000000000005</v>
      </c>
    </row>
    <row r="486" spans="1:13" x14ac:dyDescent="0.3">
      <c r="A486" s="5">
        <v>7</v>
      </c>
      <c r="B486" s="5" t="s">
        <v>91</v>
      </c>
      <c r="C486" s="5" t="s">
        <v>81</v>
      </c>
      <c r="D486" s="5">
        <v>2021</v>
      </c>
      <c r="E486" s="5">
        <v>3</v>
      </c>
      <c r="F486" s="5" t="s">
        <v>24</v>
      </c>
      <c r="G486" s="5">
        <v>6931830</v>
      </c>
      <c r="H486" s="5">
        <v>5742786</v>
      </c>
      <c r="I486" s="5">
        <v>130</v>
      </c>
      <c r="J486" s="5">
        <v>1189044</v>
      </c>
      <c r="K486" s="5">
        <v>0.17150000000000001</v>
      </c>
      <c r="L486" s="5">
        <v>7273000</v>
      </c>
      <c r="M486" s="5">
        <v>0.95309999999999995</v>
      </c>
    </row>
    <row r="487" spans="1:13" x14ac:dyDescent="0.3">
      <c r="A487" s="5">
        <v>7</v>
      </c>
      <c r="B487" s="5" t="s">
        <v>91</v>
      </c>
      <c r="C487" s="5" t="s">
        <v>81</v>
      </c>
      <c r="D487" s="5">
        <v>2021</v>
      </c>
      <c r="E487" s="5">
        <v>4</v>
      </c>
      <c r="F487" s="5" t="s">
        <v>25</v>
      </c>
      <c r="G487" s="5">
        <v>11628638</v>
      </c>
      <c r="H487" s="5">
        <v>10415596.699999999</v>
      </c>
      <c r="I487" s="5">
        <v>148</v>
      </c>
      <c r="J487" s="5">
        <v>1213041.3</v>
      </c>
      <c r="K487" s="5">
        <v>0.1043</v>
      </c>
      <c r="L487" s="5">
        <v>12587000</v>
      </c>
      <c r="M487" s="5">
        <v>0.92390000000000005</v>
      </c>
    </row>
    <row r="488" spans="1:13" x14ac:dyDescent="0.3">
      <c r="A488" s="5">
        <v>7</v>
      </c>
      <c r="B488" s="5" t="s">
        <v>91</v>
      </c>
      <c r="C488" s="5" t="s">
        <v>81</v>
      </c>
      <c r="D488" s="5">
        <v>2021</v>
      </c>
      <c r="E488" s="5">
        <v>5</v>
      </c>
      <c r="F488" s="5" t="s">
        <v>26</v>
      </c>
      <c r="G488" s="5">
        <v>13088414</v>
      </c>
      <c r="H488" s="5">
        <v>11662314.810000001</v>
      </c>
      <c r="I488" s="5">
        <v>180</v>
      </c>
      <c r="J488" s="5">
        <v>1426099.19</v>
      </c>
      <c r="K488" s="5">
        <v>0.109</v>
      </c>
      <c r="L488" s="5">
        <v>13089000</v>
      </c>
      <c r="M488" s="5">
        <v>1</v>
      </c>
    </row>
    <row r="489" spans="1:13" x14ac:dyDescent="0.3">
      <c r="A489" s="5">
        <v>7</v>
      </c>
      <c r="B489" s="5" t="s">
        <v>91</v>
      </c>
      <c r="C489" s="5" t="s">
        <v>81</v>
      </c>
      <c r="D489" s="5">
        <v>2021</v>
      </c>
      <c r="E489" s="5">
        <v>6</v>
      </c>
      <c r="F489" s="5" t="s">
        <v>27</v>
      </c>
      <c r="G489" s="5">
        <v>10502814</v>
      </c>
      <c r="H489" s="5">
        <v>8846882.4299999997</v>
      </c>
      <c r="I489" s="5">
        <v>169</v>
      </c>
      <c r="J489" s="5">
        <v>1655931.57</v>
      </c>
      <c r="K489" s="5">
        <v>0.15770000000000001</v>
      </c>
      <c r="L489" s="5">
        <v>11359000</v>
      </c>
      <c r="M489" s="5">
        <v>0.92459999999999998</v>
      </c>
    </row>
    <row r="490" spans="1:13" x14ac:dyDescent="0.3">
      <c r="A490" s="5">
        <v>7</v>
      </c>
      <c r="B490" s="5" t="s">
        <v>91</v>
      </c>
      <c r="C490" s="5" t="s">
        <v>81</v>
      </c>
      <c r="D490" s="5">
        <v>2021</v>
      </c>
      <c r="E490" s="5">
        <v>7</v>
      </c>
      <c r="F490" s="5" t="s">
        <v>28</v>
      </c>
      <c r="G490" s="5">
        <v>9145525</v>
      </c>
      <c r="H490" s="5">
        <v>7822761.5899999999</v>
      </c>
      <c r="I490" s="5">
        <v>154</v>
      </c>
      <c r="J490" s="5">
        <v>1322763.4099999999</v>
      </c>
      <c r="K490" s="5">
        <v>0.14460000000000001</v>
      </c>
      <c r="L490" s="5">
        <v>9448000</v>
      </c>
      <c r="M490" s="5">
        <v>0.96799999999999997</v>
      </c>
    </row>
    <row r="491" spans="1:13" x14ac:dyDescent="0.3">
      <c r="A491" s="5">
        <v>7</v>
      </c>
      <c r="B491" s="5" t="s">
        <v>91</v>
      </c>
      <c r="C491" s="5" t="s">
        <v>81</v>
      </c>
      <c r="D491" s="5">
        <v>2021</v>
      </c>
      <c r="E491" s="5">
        <v>8</v>
      </c>
      <c r="F491" s="5" t="s">
        <v>29</v>
      </c>
      <c r="G491" s="5">
        <v>9431846</v>
      </c>
      <c r="H491" s="5">
        <v>7825361.3700000001</v>
      </c>
      <c r="I491" s="5">
        <v>147</v>
      </c>
      <c r="J491" s="5">
        <v>1606484.63</v>
      </c>
      <c r="K491" s="5">
        <v>0.17030000000000001</v>
      </c>
      <c r="L491" s="5">
        <v>9732000</v>
      </c>
      <c r="M491" s="5">
        <v>0.96919999999999995</v>
      </c>
    </row>
    <row r="492" spans="1:13" x14ac:dyDescent="0.3">
      <c r="A492" s="5">
        <v>7</v>
      </c>
      <c r="B492" s="5" t="s">
        <v>91</v>
      </c>
      <c r="C492" s="5" t="s">
        <v>81</v>
      </c>
      <c r="D492" s="5">
        <v>2021</v>
      </c>
      <c r="E492" s="5">
        <v>9</v>
      </c>
      <c r="F492" s="5" t="s">
        <v>30</v>
      </c>
      <c r="G492" s="5">
        <v>8106283</v>
      </c>
      <c r="H492" s="5">
        <v>7121491.5999999996</v>
      </c>
      <c r="I492" s="5">
        <v>131</v>
      </c>
      <c r="J492" s="5">
        <v>984791.4</v>
      </c>
      <c r="K492" s="5">
        <v>0.1215</v>
      </c>
      <c r="L492" s="5">
        <v>8290000</v>
      </c>
      <c r="M492" s="5">
        <v>0.9778</v>
      </c>
    </row>
    <row r="493" spans="1:13" x14ac:dyDescent="0.3">
      <c r="A493" s="5">
        <v>7</v>
      </c>
      <c r="B493" s="5" t="s">
        <v>91</v>
      </c>
      <c r="C493" s="5" t="s">
        <v>81</v>
      </c>
      <c r="D493" s="5">
        <v>2021</v>
      </c>
      <c r="E493" s="5">
        <v>10</v>
      </c>
      <c r="F493" s="5" t="s">
        <v>31</v>
      </c>
      <c r="G493" s="5">
        <v>18097123</v>
      </c>
      <c r="H493" s="5">
        <v>15297083.109999999</v>
      </c>
      <c r="I493" s="5">
        <v>232</v>
      </c>
      <c r="J493" s="5">
        <v>2800039.89</v>
      </c>
      <c r="K493" s="5">
        <v>0.1547</v>
      </c>
      <c r="L493" s="5">
        <v>18167000</v>
      </c>
      <c r="M493" s="5">
        <v>0.99619999999999997</v>
      </c>
    </row>
    <row r="494" spans="1:13" x14ac:dyDescent="0.3">
      <c r="A494" s="5">
        <v>7</v>
      </c>
      <c r="B494" s="5" t="s">
        <v>91</v>
      </c>
      <c r="C494" s="5" t="s">
        <v>81</v>
      </c>
      <c r="D494" s="5">
        <v>2021</v>
      </c>
      <c r="E494" s="5">
        <v>11</v>
      </c>
      <c r="F494" s="5" t="s">
        <v>32</v>
      </c>
      <c r="G494" s="5">
        <v>16476766</v>
      </c>
      <c r="H494" s="5">
        <v>13851795.949999999</v>
      </c>
      <c r="I494" s="5">
        <v>227</v>
      </c>
      <c r="J494" s="5">
        <v>2624970.0499999998</v>
      </c>
      <c r="K494" s="5">
        <v>0.1593</v>
      </c>
      <c r="L494" s="5">
        <v>16501000</v>
      </c>
      <c r="M494" s="5">
        <v>0.99850000000000005</v>
      </c>
    </row>
    <row r="495" spans="1:13" x14ac:dyDescent="0.3">
      <c r="A495" s="5">
        <v>7</v>
      </c>
      <c r="B495" s="5" t="s">
        <v>91</v>
      </c>
      <c r="C495" s="5" t="s">
        <v>81</v>
      </c>
      <c r="D495" s="5">
        <v>2021</v>
      </c>
      <c r="E495" s="5">
        <v>12</v>
      </c>
      <c r="F495" s="5" t="s">
        <v>33</v>
      </c>
      <c r="G495" s="5">
        <v>15994875</v>
      </c>
      <c r="H495" s="5">
        <v>13558764.08</v>
      </c>
      <c r="I495" s="5">
        <v>242</v>
      </c>
      <c r="J495" s="5">
        <v>2436110.92</v>
      </c>
      <c r="K495" s="5">
        <v>0.15229999999999999</v>
      </c>
      <c r="L495" s="5">
        <v>15384000</v>
      </c>
      <c r="M495" s="5">
        <v>1.0397000000000001</v>
      </c>
    </row>
    <row r="496" spans="1:13" x14ac:dyDescent="0.3">
      <c r="A496" s="5">
        <v>7</v>
      </c>
      <c r="B496" s="5" t="s">
        <v>91</v>
      </c>
      <c r="C496" s="5" t="s">
        <v>81</v>
      </c>
      <c r="D496" s="5">
        <v>2022</v>
      </c>
      <c r="E496" s="5">
        <v>1</v>
      </c>
      <c r="F496" s="5" t="s">
        <v>34</v>
      </c>
      <c r="G496" s="5">
        <v>11549417</v>
      </c>
      <c r="H496" s="5">
        <v>9585249.8200000003</v>
      </c>
      <c r="I496" s="5">
        <v>158</v>
      </c>
      <c r="J496" s="5">
        <v>1964167.18</v>
      </c>
      <c r="K496" s="5">
        <v>0.1701</v>
      </c>
      <c r="L496" s="5">
        <v>12438000</v>
      </c>
      <c r="M496" s="5">
        <v>0.92859999999999998</v>
      </c>
    </row>
    <row r="497" spans="1:13" x14ac:dyDescent="0.3">
      <c r="A497" s="5">
        <v>7</v>
      </c>
      <c r="B497" s="5" t="s">
        <v>91</v>
      </c>
      <c r="C497" s="5" t="s">
        <v>81</v>
      </c>
      <c r="D497" s="5">
        <v>2022</v>
      </c>
      <c r="E497" s="5">
        <v>2</v>
      </c>
      <c r="F497" s="5" t="s">
        <v>35</v>
      </c>
      <c r="G497" s="5">
        <v>12707421</v>
      </c>
      <c r="H497" s="5">
        <v>10944640.09</v>
      </c>
      <c r="I497" s="5">
        <v>172</v>
      </c>
      <c r="J497" s="5">
        <v>1762780.91</v>
      </c>
      <c r="K497" s="5">
        <v>0.13869999999999999</v>
      </c>
      <c r="L497" s="5">
        <v>12692000</v>
      </c>
      <c r="M497" s="5">
        <v>1.0012000000000001</v>
      </c>
    </row>
    <row r="498" spans="1:13" x14ac:dyDescent="0.3">
      <c r="A498" s="5">
        <v>7</v>
      </c>
      <c r="B498" s="5" t="s">
        <v>91</v>
      </c>
      <c r="C498" s="5" t="s">
        <v>81</v>
      </c>
      <c r="D498" s="5">
        <v>2022</v>
      </c>
      <c r="E498" s="5">
        <v>3</v>
      </c>
      <c r="F498" s="5" t="s">
        <v>36</v>
      </c>
      <c r="G498" s="5">
        <v>12613751</v>
      </c>
      <c r="H498" s="5">
        <v>10529180.18</v>
      </c>
      <c r="I498" s="5">
        <v>199</v>
      </c>
      <c r="J498" s="5">
        <v>2084570.82</v>
      </c>
      <c r="K498" s="5">
        <v>0.1653</v>
      </c>
      <c r="L498" s="5">
        <v>13036000</v>
      </c>
      <c r="M498" s="5">
        <v>0.96760000000000002</v>
      </c>
    </row>
    <row r="499" spans="1:13" x14ac:dyDescent="0.3">
      <c r="A499" s="5">
        <v>7</v>
      </c>
      <c r="B499" s="5" t="s">
        <v>91</v>
      </c>
      <c r="C499" s="5" t="s">
        <v>81</v>
      </c>
      <c r="D499" s="5">
        <v>2022</v>
      </c>
      <c r="E499" s="5">
        <v>4</v>
      </c>
      <c r="F499" s="5" t="s">
        <v>37</v>
      </c>
      <c r="G499" s="5">
        <v>14117350</v>
      </c>
      <c r="H499" s="5">
        <v>12064799.039999999</v>
      </c>
      <c r="I499" s="5">
        <v>235</v>
      </c>
      <c r="J499" s="5">
        <v>2052550.96</v>
      </c>
      <c r="K499" s="5">
        <v>0.1454</v>
      </c>
      <c r="L499" s="5">
        <v>14489000</v>
      </c>
      <c r="M499" s="5">
        <v>0.97430000000000005</v>
      </c>
    </row>
    <row r="500" spans="1:13" x14ac:dyDescent="0.3">
      <c r="A500" s="5">
        <v>7</v>
      </c>
      <c r="B500" s="5" t="s">
        <v>91</v>
      </c>
      <c r="C500" s="5" t="s">
        <v>81</v>
      </c>
      <c r="D500" s="5">
        <v>2022</v>
      </c>
      <c r="E500" s="5">
        <v>5</v>
      </c>
      <c r="F500" s="5" t="s">
        <v>38</v>
      </c>
      <c r="G500" s="5">
        <v>19727127</v>
      </c>
      <c r="H500" s="5">
        <v>17236328.859999999</v>
      </c>
      <c r="I500" s="5">
        <v>261</v>
      </c>
      <c r="J500" s="5">
        <v>2490798.14</v>
      </c>
      <c r="K500" s="5">
        <v>0.1263</v>
      </c>
      <c r="L500" s="5">
        <v>20530000</v>
      </c>
      <c r="M500" s="5">
        <v>0.96089999999999998</v>
      </c>
    </row>
    <row r="501" spans="1:13" x14ac:dyDescent="0.3">
      <c r="A501" s="5">
        <v>7</v>
      </c>
      <c r="B501" s="5" t="s">
        <v>91</v>
      </c>
      <c r="C501" s="5" t="s">
        <v>81</v>
      </c>
      <c r="D501" s="5">
        <v>2022</v>
      </c>
      <c r="E501" s="5">
        <v>6</v>
      </c>
      <c r="F501" s="5" t="s">
        <v>39</v>
      </c>
      <c r="G501" s="5">
        <v>14624119</v>
      </c>
      <c r="H501" s="5">
        <v>12666791.640000001</v>
      </c>
      <c r="I501" s="5">
        <v>228</v>
      </c>
      <c r="J501" s="5">
        <v>1957327.36</v>
      </c>
      <c r="K501" s="5">
        <v>0.1338</v>
      </c>
      <c r="L501" s="5">
        <v>15212000</v>
      </c>
      <c r="M501" s="5">
        <v>0.96140000000000003</v>
      </c>
    </row>
    <row r="502" spans="1:13" x14ac:dyDescent="0.3">
      <c r="A502" s="5">
        <v>7</v>
      </c>
      <c r="B502" s="5" t="s">
        <v>91</v>
      </c>
      <c r="C502" s="5" t="s">
        <v>81</v>
      </c>
      <c r="D502" s="5">
        <v>2022</v>
      </c>
      <c r="E502" s="5">
        <v>7</v>
      </c>
      <c r="F502" s="5" t="s">
        <v>40</v>
      </c>
      <c r="G502" s="5">
        <v>15490132</v>
      </c>
      <c r="H502" s="5">
        <v>13974748.470000001</v>
      </c>
      <c r="I502" s="5">
        <v>218</v>
      </c>
      <c r="J502" s="5">
        <v>1515383.53</v>
      </c>
      <c r="K502" s="5">
        <v>9.7799999999999998E-2</v>
      </c>
      <c r="L502" s="5">
        <v>16485000</v>
      </c>
      <c r="M502" s="5">
        <v>0.93969999999999998</v>
      </c>
    </row>
    <row r="503" spans="1:13" x14ac:dyDescent="0.3">
      <c r="A503" s="5">
        <v>7</v>
      </c>
      <c r="B503" s="5" t="s">
        <v>91</v>
      </c>
      <c r="C503" s="5" t="s">
        <v>81</v>
      </c>
      <c r="D503" s="5">
        <v>2022</v>
      </c>
      <c r="E503" s="5">
        <v>8</v>
      </c>
      <c r="F503" s="5" t="s">
        <v>41</v>
      </c>
      <c r="G503" s="5">
        <v>14288914</v>
      </c>
      <c r="H503" s="5">
        <v>13796451.890000001</v>
      </c>
      <c r="I503" s="5">
        <v>236</v>
      </c>
      <c r="J503" s="5">
        <v>492462.11</v>
      </c>
      <c r="K503" s="5">
        <v>3.4500000000000003E-2</v>
      </c>
      <c r="L503" s="5">
        <v>14750000</v>
      </c>
      <c r="M503" s="5">
        <v>0.96870000000000001</v>
      </c>
    </row>
    <row r="504" spans="1:13" x14ac:dyDescent="0.3">
      <c r="A504" s="5">
        <v>7</v>
      </c>
      <c r="B504" s="5" t="s">
        <v>91</v>
      </c>
      <c r="C504" s="5" t="s">
        <v>81</v>
      </c>
      <c r="D504" s="5">
        <v>2022</v>
      </c>
      <c r="E504" s="5">
        <v>9</v>
      </c>
      <c r="F504" s="5" t="s">
        <v>42</v>
      </c>
      <c r="G504" s="5">
        <v>18216250</v>
      </c>
      <c r="H504" s="5">
        <v>15634469.220000001</v>
      </c>
      <c r="I504" s="5">
        <v>264</v>
      </c>
      <c r="J504" s="5">
        <v>2581780.7799999998</v>
      </c>
      <c r="K504" s="5">
        <v>0.14169999999999999</v>
      </c>
      <c r="L504" s="5">
        <v>18581000</v>
      </c>
      <c r="M504" s="5">
        <v>0.98040000000000005</v>
      </c>
    </row>
    <row r="505" spans="1:13" x14ac:dyDescent="0.3">
      <c r="A505" s="5">
        <v>7</v>
      </c>
      <c r="B505" s="5" t="s">
        <v>91</v>
      </c>
      <c r="C505" s="5" t="s">
        <v>81</v>
      </c>
      <c r="D505" s="5">
        <v>2022</v>
      </c>
      <c r="E505" s="5">
        <v>10</v>
      </c>
      <c r="F505" s="5" t="s">
        <v>43</v>
      </c>
      <c r="G505" s="5">
        <v>19241804</v>
      </c>
      <c r="H505" s="5">
        <v>17382598.969999999</v>
      </c>
      <c r="I505" s="5">
        <v>300</v>
      </c>
      <c r="J505" s="5">
        <v>1859205.03</v>
      </c>
      <c r="K505" s="5">
        <v>9.6600000000000005E-2</v>
      </c>
      <c r="L505" s="5">
        <v>19427000</v>
      </c>
      <c r="M505" s="5">
        <v>0.99050000000000005</v>
      </c>
    </row>
    <row r="506" spans="1:13" x14ac:dyDescent="0.3">
      <c r="A506" s="5">
        <v>7</v>
      </c>
      <c r="B506" s="5" t="s">
        <v>91</v>
      </c>
      <c r="C506" s="5" t="s">
        <v>81</v>
      </c>
      <c r="D506" s="5">
        <v>2022</v>
      </c>
      <c r="E506" s="5">
        <v>11</v>
      </c>
      <c r="F506" s="5" t="s">
        <v>44</v>
      </c>
      <c r="G506" s="5">
        <v>18578415</v>
      </c>
      <c r="H506" s="5">
        <v>15754871.84</v>
      </c>
      <c r="I506" s="5">
        <v>310</v>
      </c>
      <c r="J506" s="5">
        <v>2823543.16</v>
      </c>
      <c r="K506" s="5">
        <v>0.152</v>
      </c>
      <c r="L506" s="5">
        <v>19409000</v>
      </c>
      <c r="M506" s="5">
        <v>0.95720000000000005</v>
      </c>
    </row>
    <row r="507" spans="1:13" x14ac:dyDescent="0.3">
      <c r="A507" s="5">
        <v>7</v>
      </c>
      <c r="B507" s="5" t="s">
        <v>91</v>
      </c>
      <c r="C507" s="5" t="s">
        <v>81</v>
      </c>
      <c r="D507" s="5">
        <v>2022</v>
      </c>
      <c r="E507" s="5">
        <v>12</v>
      </c>
      <c r="F507" s="5" t="s">
        <v>45</v>
      </c>
      <c r="G507" s="5">
        <v>20832990</v>
      </c>
      <c r="H507" s="5">
        <v>17095847.949999999</v>
      </c>
      <c r="I507" s="5">
        <v>331</v>
      </c>
      <c r="J507" s="5">
        <v>3737142.05</v>
      </c>
      <c r="K507" s="5">
        <v>0.1794</v>
      </c>
      <c r="L507" s="5">
        <v>22190000</v>
      </c>
      <c r="M507" s="5">
        <v>0.93879999999999997</v>
      </c>
    </row>
    <row r="508" spans="1:13" x14ac:dyDescent="0.3">
      <c r="A508" s="5">
        <v>7</v>
      </c>
      <c r="B508" s="5" t="s">
        <v>91</v>
      </c>
      <c r="C508" s="5" t="s">
        <v>81</v>
      </c>
      <c r="D508" s="5">
        <v>2023</v>
      </c>
      <c r="E508" s="5">
        <v>1</v>
      </c>
      <c r="F508" s="5" t="s">
        <v>46</v>
      </c>
      <c r="G508" s="5">
        <v>17505234</v>
      </c>
      <c r="H508" s="5">
        <v>15639438.49</v>
      </c>
      <c r="I508" s="5">
        <v>266</v>
      </c>
      <c r="J508" s="5">
        <v>1865795.51</v>
      </c>
      <c r="K508" s="5">
        <v>0.1066</v>
      </c>
      <c r="L508" s="5">
        <v>17443000</v>
      </c>
      <c r="M508" s="5">
        <v>1.0036</v>
      </c>
    </row>
    <row r="509" spans="1:13" x14ac:dyDescent="0.3">
      <c r="A509" s="5">
        <v>7</v>
      </c>
      <c r="B509" s="5" t="s">
        <v>91</v>
      </c>
      <c r="C509" s="5" t="s">
        <v>81</v>
      </c>
      <c r="D509" s="5">
        <v>2023</v>
      </c>
      <c r="E509" s="5">
        <v>2</v>
      </c>
      <c r="F509" s="5" t="s">
        <v>47</v>
      </c>
      <c r="G509" s="5">
        <v>15343099</v>
      </c>
      <c r="H509" s="5">
        <v>12961273.66</v>
      </c>
      <c r="I509" s="5">
        <v>188</v>
      </c>
      <c r="J509" s="5">
        <v>2381825.34</v>
      </c>
      <c r="K509" s="5">
        <v>0.1552</v>
      </c>
      <c r="L509" s="5">
        <v>16628000</v>
      </c>
      <c r="M509" s="5">
        <v>0.92269999999999996</v>
      </c>
    </row>
    <row r="510" spans="1:13" x14ac:dyDescent="0.3">
      <c r="A510" s="5">
        <v>7</v>
      </c>
      <c r="B510" s="5" t="s">
        <v>91</v>
      </c>
      <c r="C510" s="5" t="s">
        <v>81</v>
      </c>
      <c r="D510" s="5">
        <v>2023</v>
      </c>
      <c r="E510" s="5">
        <v>3</v>
      </c>
      <c r="F510" s="5" t="s">
        <v>48</v>
      </c>
      <c r="G510" s="5">
        <v>22385307</v>
      </c>
      <c r="H510" s="5">
        <v>19734645.530000001</v>
      </c>
      <c r="I510" s="5">
        <v>291</v>
      </c>
      <c r="J510" s="5">
        <v>2650661.4700000002</v>
      </c>
      <c r="K510" s="5">
        <v>0.11840000000000001</v>
      </c>
      <c r="L510" s="5">
        <v>24268000</v>
      </c>
      <c r="M510" s="5">
        <v>0.9224</v>
      </c>
    </row>
    <row r="511" spans="1:13" x14ac:dyDescent="0.3">
      <c r="A511" s="5">
        <v>7</v>
      </c>
      <c r="B511" s="5" t="s">
        <v>91</v>
      </c>
      <c r="C511" s="5" t="s">
        <v>81</v>
      </c>
      <c r="D511" s="5">
        <v>2023</v>
      </c>
      <c r="E511" s="5">
        <v>4</v>
      </c>
      <c r="F511" s="5" t="s">
        <v>49</v>
      </c>
      <c r="G511" s="5">
        <v>19714867</v>
      </c>
      <c r="H511" s="5">
        <v>16875979.809999999</v>
      </c>
      <c r="I511" s="5">
        <v>276</v>
      </c>
      <c r="J511" s="5">
        <v>2838887.19</v>
      </c>
      <c r="K511" s="5">
        <v>0.14399999999999999</v>
      </c>
      <c r="L511" s="5">
        <v>20039000</v>
      </c>
      <c r="M511" s="5">
        <v>0.98380000000000001</v>
      </c>
    </row>
    <row r="512" spans="1:13" x14ac:dyDescent="0.3">
      <c r="A512" s="5">
        <v>7</v>
      </c>
      <c r="B512" s="5" t="s">
        <v>91</v>
      </c>
      <c r="C512" s="5" t="s">
        <v>81</v>
      </c>
      <c r="D512" s="5">
        <v>2023</v>
      </c>
      <c r="E512" s="5">
        <v>5</v>
      </c>
      <c r="F512" s="5" t="s">
        <v>50</v>
      </c>
      <c r="G512" s="5">
        <v>20731676</v>
      </c>
      <c r="H512" s="5">
        <v>18012849.75</v>
      </c>
      <c r="I512" s="5">
        <v>300</v>
      </c>
      <c r="J512" s="5">
        <v>2718826.25</v>
      </c>
      <c r="K512" s="5">
        <v>0.13109999999999999</v>
      </c>
      <c r="L512" s="5">
        <v>20319000</v>
      </c>
      <c r="M512" s="5">
        <v>1.0203</v>
      </c>
    </row>
    <row r="513" spans="1:13" x14ac:dyDescent="0.3">
      <c r="A513" s="5">
        <v>7</v>
      </c>
      <c r="B513" s="5" t="s">
        <v>91</v>
      </c>
      <c r="C513" s="5" t="s">
        <v>81</v>
      </c>
      <c r="D513" s="5">
        <v>2023</v>
      </c>
      <c r="E513" s="5">
        <v>6</v>
      </c>
      <c r="F513" s="5" t="s">
        <v>51</v>
      </c>
      <c r="G513" s="5">
        <v>21386380</v>
      </c>
      <c r="H513" s="5">
        <v>18515421.989999998</v>
      </c>
      <c r="I513" s="5">
        <v>304</v>
      </c>
      <c r="J513" s="5">
        <v>2870958.01</v>
      </c>
      <c r="K513" s="5">
        <v>0.13420000000000001</v>
      </c>
      <c r="L513" s="5">
        <v>20197000</v>
      </c>
      <c r="M513" s="5">
        <v>1.0589</v>
      </c>
    </row>
    <row r="514" spans="1:13" x14ac:dyDescent="0.3">
      <c r="A514" s="5">
        <v>7</v>
      </c>
      <c r="B514" s="5" t="s">
        <v>91</v>
      </c>
      <c r="C514" s="5" t="s">
        <v>81</v>
      </c>
      <c r="D514" s="5">
        <v>2023</v>
      </c>
      <c r="E514" s="5">
        <v>7</v>
      </c>
      <c r="F514" s="5" t="s">
        <v>52</v>
      </c>
      <c r="G514" s="5">
        <v>17362644</v>
      </c>
      <c r="H514" s="5">
        <v>15877118.390000001</v>
      </c>
      <c r="I514" s="5">
        <v>272</v>
      </c>
      <c r="J514" s="5">
        <v>1485525.61</v>
      </c>
      <c r="K514" s="5">
        <v>8.5599999999999996E-2</v>
      </c>
      <c r="L514" s="5">
        <v>17307000</v>
      </c>
      <c r="M514" s="5">
        <v>1.0032000000000001</v>
      </c>
    </row>
    <row r="515" spans="1:13" x14ac:dyDescent="0.3">
      <c r="A515" s="5">
        <v>7</v>
      </c>
      <c r="B515" s="5" t="s">
        <v>91</v>
      </c>
      <c r="C515" s="5" t="s">
        <v>81</v>
      </c>
      <c r="D515" s="5">
        <v>2023</v>
      </c>
      <c r="E515" s="5">
        <v>8</v>
      </c>
      <c r="F515" s="5" t="s">
        <v>53</v>
      </c>
      <c r="G515" s="5">
        <v>16952779</v>
      </c>
      <c r="H515" s="5">
        <v>14823600.07</v>
      </c>
      <c r="I515" s="5">
        <v>264</v>
      </c>
      <c r="J515" s="5">
        <v>2129178.9300000002</v>
      </c>
      <c r="K515" s="5">
        <v>0.12559999999999999</v>
      </c>
      <c r="L515" s="5">
        <v>18529000</v>
      </c>
      <c r="M515" s="5">
        <v>0.91490000000000005</v>
      </c>
    </row>
    <row r="516" spans="1:13" x14ac:dyDescent="0.3">
      <c r="A516" s="5">
        <v>7</v>
      </c>
      <c r="B516" s="5" t="s">
        <v>91</v>
      </c>
      <c r="C516" s="5" t="s">
        <v>81</v>
      </c>
      <c r="D516" s="5">
        <v>2023</v>
      </c>
      <c r="E516" s="5">
        <v>9</v>
      </c>
      <c r="F516" s="5" t="s">
        <v>54</v>
      </c>
      <c r="G516" s="5">
        <v>20180298</v>
      </c>
      <c r="H516" s="5">
        <v>18209024.600000001</v>
      </c>
      <c r="I516" s="5">
        <v>322</v>
      </c>
      <c r="J516" s="5">
        <v>1971273.4</v>
      </c>
      <c r="K516" s="5">
        <v>9.7699999999999995E-2</v>
      </c>
      <c r="L516" s="5">
        <v>20678000</v>
      </c>
      <c r="M516" s="5">
        <v>0.97589999999999999</v>
      </c>
    </row>
    <row r="517" spans="1:13" x14ac:dyDescent="0.3">
      <c r="A517" s="5">
        <v>7</v>
      </c>
      <c r="B517" s="5" t="s">
        <v>91</v>
      </c>
      <c r="C517" s="5" t="s">
        <v>81</v>
      </c>
      <c r="D517" s="5">
        <v>2023</v>
      </c>
      <c r="E517" s="5">
        <v>10</v>
      </c>
      <c r="F517" s="5" t="s">
        <v>55</v>
      </c>
      <c r="G517" s="5">
        <v>27322292</v>
      </c>
      <c r="H517" s="5">
        <v>23173279.66</v>
      </c>
      <c r="I517" s="5">
        <v>389</v>
      </c>
      <c r="J517" s="5">
        <v>4149012.34</v>
      </c>
      <c r="K517" s="5">
        <v>0.15190000000000001</v>
      </c>
      <c r="L517" s="5">
        <v>28373000</v>
      </c>
      <c r="M517" s="5">
        <v>0.96299999999999997</v>
      </c>
    </row>
    <row r="518" spans="1:13" x14ac:dyDescent="0.3">
      <c r="A518" s="5">
        <v>7</v>
      </c>
      <c r="B518" s="5" t="s">
        <v>91</v>
      </c>
      <c r="C518" s="5" t="s">
        <v>81</v>
      </c>
      <c r="D518" s="5">
        <v>2023</v>
      </c>
      <c r="E518" s="5">
        <v>11</v>
      </c>
      <c r="F518" s="5" t="s">
        <v>56</v>
      </c>
      <c r="G518" s="5">
        <v>28245528</v>
      </c>
      <c r="H518" s="5">
        <v>24912290.960000001</v>
      </c>
      <c r="I518" s="5">
        <v>436</v>
      </c>
      <c r="J518" s="5">
        <v>3333237.04</v>
      </c>
      <c r="K518" s="5">
        <v>0.11799999999999999</v>
      </c>
      <c r="L518" s="5">
        <v>29232000</v>
      </c>
      <c r="M518" s="5">
        <v>0.96630000000000005</v>
      </c>
    </row>
    <row r="519" spans="1:13" x14ac:dyDescent="0.3">
      <c r="A519" s="5">
        <v>7</v>
      </c>
      <c r="B519" s="5" t="s">
        <v>91</v>
      </c>
      <c r="C519" s="5" t="s">
        <v>81</v>
      </c>
      <c r="D519" s="5">
        <v>2023</v>
      </c>
      <c r="E519" s="5">
        <v>12</v>
      </c>
      <c r="F519" s="5" t="s">
        <v>57</v>
      </c>
      <c r="G519" s="5">
        <v>27937307</v>
      </c>
      <c r="H519" s="5">
        <v>25161411.890000001</v>
      </c>
      <c r="I519" s="5">
        <v>422</v>
      </c>
      <c r="J519" s="5">
        <v>2775895.11</v>
      </c>
      <c r="K519" s="5">
        <v>9.9400000000000002E-2</v>
      </c>
      <c r="L519" s="5">
        <v>28807000</v>
      </c>
      <c r="M519" s="5">
        <v>0.9698</v>
      </c>
    </row>
    <row r="520" spans="1:13" x14ac:dyDescent="0.3">
      <c r="A520" s="5">
        <v>7</v>
      </c>
      <c r="B520" s="5" t="s">
        <v>91</v>
      </c>
      <c r="C520" s="5" t="s">
        <v>81</v>
      </c>
      <c r="D520" s="5">
        <v>2024</v>
      </c>
      <c r="E520" s="5">
        <v>1</v>
      </c>
      <c r="F520" s="5" t="s">
        <v>58</v>
      </c>
      <c r="G520" s="5">
        <v>17517294</v>
      </c>
      <c r="H520" s="5">
        <v>15365706.42</v>
      </c>
      <c r="I520" s="5">
        <v>259</v>
      </c>
      <c r="J520" s="5">
        <v>2151587.58</v>
      </c>
      <c r="K520" s="5">
        <v>0.12280000000000001</v>
      </c>
      <c r="L520" s="5">
        <v>17617000</v>
      </c>
      <c r="M520" s="5">
        <v>0.99429999999999996</v>
      </c>
    </row>
    <row r="521" spans="1:13" x14ac:dyDescent="0.3">
      <c r="A521" s="5">
        <v>7</v>
      </c>
      <c r="B521" s="5" t="s">
        <v>91</v>
      </c>
      <c r="C521" s="5" t="s">
        <v>81</v>
      </c>
      <c r="D521" s="5">
        <v>2024</v>
      </c>
      <c r="E521" s="5">
        <v>2</v>
      </c>
      <c r="F521" s="5" t="s">
        <v>59</v>
      </c>
      <c r="G521" s="5">
        <v>17345246</v>
      </c>
      <c r="H521" s="5">
        <v>14752055.75</v>
      </c>
      <c r="I521" s="5">
        <v>266</v>
      </c>
      <c r="J521" s="5">
        <v>2593190.25</v>
      </c>
      <c r="K521" s="5">
        <v>0.14949999999999999</v>
      </c>
      <c r="L521" s="5">
        <v>18161000</v>
      </c>
      <c r="M521" s="5">
        <v>0.95509999999999995</v>
      </c>
    </row>
    <row r="522" spans="1:13" x14ac:dyDescent="0.3">
      <c r="A522" s="5">
        <v>7</v>
      </c>
      <c r="B522" s="5" t="s">
        <v>91</v>
      </c>
      <c r="C522" s="5" t="s">
        <v>81</v>
      </c>
      <c r="D522" s="5">
        <v>2024</v>
      </c>
      <c r="E522" s="5">
        <v>3</v>
      </c>
      <c r="F522" s="5" t="s">
        <v>60</v>
      </c>
      <c r="G522" s="5">
        <v>19151877</v>
      </c>
      <c r="H522" s="5">
        <v>16543979.07</v>
      </c>
      <c r="I522" s="5">
        <v>271</v>
      </c>
      <c r="J522" s="5">
        <v>2607897.9300000002</v>
      </c>
      <c r="K522" s="5">
        <v>0.13619999999999999</v>
      </c>
      <c r="L522" s="5">
        <v>19311000</v>
      </c>
      <c r="M522" s="5">
        <v>0.99180000000000001</v>
      </c>
    </row>
    <row r="523" spans="1:13" x14ac:dyDescent="0.3">
      <c r="A523" s="5">
        <v>7</v>
      </c>
      <c r="B523" s="5" t="s">
        <v>91</v>
      </c>
      <c r="C523" s="5" t="s">
        <v>81</v>
      </c>
      <c r="D523" s="5">
        <v>2024</v>
      </c>
      <c r="E523" s="5">
        <v>4</v>
      </c>
      <c r="F523" s="5" t="s">
        <v>61</v>
      </c>
      <c r="G523" s="5">
        <v>17126525</v>
      </c>
      <c r="H523" s="5">
        <v>14693089.890000001</v>
      </c>
      <c r="I523" s="5">
        <v>288</v>
      </c>
      <c r="J523" s="5">
        <v>2433435.11</v>
      </c>
      <c r="K523" s="5">
        <v>0.1421</v>
      </c>
      <c r="L523" s="5">
        <v>17976000</v>
      </c>
      <c r="M523" s="5">
        <v>0.95269999999999999</v>
      </c>
    </row>
    <row r="524" spans="1:13" x14ac:dyDescent="0.3">
      <c r="A524" s="5">
        <v>7</v>
      </c>
      <c r="B524" s="5" t="s">
        <v>91</v>
      </c>
      <c r="C524" s="5" t="s">
        <v>81</v>
      </c>
      <c r="D524" s="5">
        <v>2024</v>
      </c>
      <c r="E524" s="5">
        <v>5</v>
      </c>
      <c r="F524" s="5" t="s">
        <v>62</v>
      </c>
      <c r="G524" s="5">
        <v>20824744</v>
      </c>
      <c r="H524" s="5">
        <v>18213883.93</v>
      </c>
      <c r="I524" s="5">
        <v>342</v>
      </c>
      <c r="J524" s="5">
        <v>2610860.0699999998</v>
      </c>
      <c r="K524" s="5">
        <v>0.12540000000000001</v>
      </c>
      <c r="L524" s="5">
        <v>21226000</v>
      </c>
      <c r="M524" s="5">
        <v>0.98109999999999997</v>
      </c>
    </row>
    <row r="525" spans="1:13" x14ac:dyDescent="0.3">
      <c r="A525" s="5">
        <v>7</v>
      </c>
      <c r="B525" s="5" t="s">
        <v>91</v>
      </c>
      <c r="C525" s="5" t="s">
        <v>81</v>
      </c>
      <c r="D525" s="5">
        <v>2024</v>
      </c>
      <c r="E525" s="5">
        <v>6</v>
      </c>
      <c r="F525" s="5" t="s">
        <v>63</v>
      </c>
      <c r="G525" s="5">
        <v>24384604</v>
      </c>
      <c r="H525" s="5">
        <v>20390292.739999998</v>
      </c>
      <c r="I525" s="5">
        <v>333</v>
      </c>
      <c r="J525" s="5">
        <v>3994311.26</v>
      </c>
      <c r="K525" s="5">
        <v>0.1638</v>
      </c>
      <c r="L525" s="5">
        <v>26076000</v>
      </c>
      <c r="M525" s="5">
        <v>0.93510000000000004</v>
      </c>
    </row>
    <row r="526" spans="1:13" x14ac:dyDescent="0.3">
      <c r="A526" s="5">
        <v>7</v>
      </c>
      <c r="B526" s="5" t="s">
        <v>91</v>
      </c>
      <c r="C526" s="5" t="s">
        <v>81</v>
      </c>
      <c r="D526" s="5">
        <v>2024</v>
      </c>
      <c r="E526" s="5">
        <v>7</v>
      </c>
      <c r="F526" s="5" t="s">
        <v>64</v>
      </c>
      <c r="G526" s="5">
        <v>20498426</v>
      </c>
      <c r="H526" s="5">
        <v>17402964.550000001</v>
      </c>
      <c r="I526" s="5">
        <v>299</v>
      </c>
      <c r="J526" s="5">
        <v>3095461.45</v>
      </c>
      <c r="K526" s="5">
        <v>0.151</v>
      </c>
      <c r="L526" s="5">
        <v>21404000</v>
      </c>
      <c r="M526" s="5">
        <v>0.9577</v>
      </c>
    </row>
    <row r="527" spans="1:13" x14ac:dyDescent="0.3">
      <c r="A527" s="5">
        <v>7</v>
      </c>
      <c r="B527" s="5" t="s">
        <v>91</v>
      </c>
      <c r="C527" s="5" t="s">
        <v>81</v>
      </c>
      <c r="D527" s="5">
        <v>2024</v>
      </c>
      <c r="E527" s="5">
        <v>8</v>
      </c>
      <c r="F527" s="5" t="s">
        <v>65</v>
      </c>
      <c r="G527" s="5">
        <v>17979917</v>
      </c>
      <c r="H527" s="5">
        <v>15449748.949999999</v>
      </c>
      <c r="I527" s="5">
        <v>299</v>
      </c>
      <c r="J527" s="5">
        <v>2530168.0499999998</v>
      </c>
      <c r="K527" s="5">
        <v>0.14069999999999999</v>
      </c>
      <c r="L527" s="5">
        <v>17936000</v>
      </c>
      <c r="M527" s="5">
        <v>1.0024</v>
      </c>
    </row>
    <row r="528" spans="1:13" x14ac:dyDescent="0.3">
      <c r="A528" s="5">
        <v>7</v>
      </c>
      <c r="B528" s="5" t="s">
        <v>91</v>
      </c>
      <c r="C528" s="5" t="s">
        <v>81</v>
      </c>
      <c r="D528" s="5">
        <v>2024</v>
      </c>
      <c r="E528" s="5">
        <v>9</v>
      </c>
      <c r="F528" s="5" t="s">
        <v>66</v>
      </c>
      <c r="G528" s="5">
        <v>24341531</v>
      </c>
      <c r="H528" s="5">
        <v>20096192.329999998</v>
      </c>
      <c r="I528" s="5">
        <v>330</v>
      </c>
      <c r="J528" s="5">
        <v>4245338.67</v>
      </c>
      <c r="K528" s="5">
        <v>0.1744</v>
      </c>
      <c r="L528" s="5">
        <v>24725000</v>
      </c>
      <c r="M528" s="5">
        <v>0.98450000000000004</v>
      </c>
    </row>
    <row r="529" spans="1:13" x14ac:dyDescent="0.3">
      <c r="A529" s="5">
        <v>7</v>
      </c>
      <c r="B529" s="5" t="s">
        <v>91</v>
      </c>
      <c r="C529" s="5" t="s">
        <v>81</v>
      </c>
      <c r="D529" s="5">
        <v>2024</v>
      </c>
      <c r="E529" s="5">
        <v>10</v>
      </c>
      <c r="F529" s="5" t="s">
        <v>67</v>
      </c>
      <c r="G529" s="5">
        <v>31108077</v>
      </c>
      <c r="H529" s="5">
        <v>24993480.899999999</v>
      </c>
      <c r="I529" s="5">
        <v>407</v>
      </c>
      <c r="J529" s="5">
        <v>6114596.0999999996</v>
      </c>
      <c r="K529" s="5">
        <v>0.1966</v>
      </c>
      <c r="L529" s="5">
        <v>31649000</v>
      </c>
      <c r="M529" s="5">
        <v>0.9829</v>
      </c>
    </row>
    <row r="530" spans="1:13" x14ac:dyDescent="0.3">
      <c r="A530" s="5">
        <v>7</v>
      </c>
      <c r="B530" s="5" t="s">
        <v>91</v>
      </c>
      <c r="C530" s="5" t="s">
        <v>81</v>
      </c>
      <c r="D530" s="5">
        <v>2024</v>
      </c>
      <c r="E530" s="5">
        <v>11</v>
      </c>
      <c r="F530" s="5" t="s">
        <v>68</v>
      </c>
      <c r="G530" s="5">
        <v>32163780</v>
      </c>
      <c r="H530" s="5">
        <v>27215702.09</v>
      </c>
      <c r="I530" s="5">
        <v>477</v>
      </c>
      <c r="J530" s="5">
        <v>4948077.91</v>
      </c>
      <c r="K530" s="5">
        <v>0.15379999999999999</v>
      </c>
      <c r="L530" s="5">
        <v>33978000</v>
      </c>
      <c r="M530" s="5">
        <v>0.9466</v>
      </c>
    </row>
    <row r="531" spans="1:13" x14ac:dyDescent="0.3">
      <c r="A531" s="5">
        <v>7</v>
      </c>
      <c r="B531" s="5" t="s">
        <v>91</v>
      </c>
      <c r="C531" s="5" t="s">
        <v>81</v>
      </c>
      <c r="D531" s="5">
        <v>2024</v>
      </c>
      <c r="E531" s="5">
        <v>12</v>
      </c>
      <c r="F531" s="5" t="s">
        <v>69</v>
      </c>
      <c r="G531" s="5">
        <v>33229539</v>
      </c>
      <c r="H531" s="5">
        <v>26639443.140000001</v>
      </c>
      <c r="I531" s="5">
        <v>447</v>
      </c>
      <c r="J531" s="5">
        <v>6590095.8600000003</v>
      </c>
      <c r="K531" s="5">
        <v>0.1983</v>
      </c>
      <c r="L531" s="5">
        <v>34460000</v>
      </c>
      <c r="M531" s="5">
        <v>0.96430000000000005</v>
      </c>
    </row>
    <row r="532" spans="1:13" x14ac:dyDescent="0.3">
      <c r="A532" s="5">
        <v>9</v>
      </c>
      <c r="B532" s="5" t="s">
        <v>92</v>
      </c>
      <c r="C532" s="5" t="s">
        <v>87</v>
      </c>
      <c r="D532" s="5">
        <v>2021</v>
      </c>
      <c r="E532" s="5">
        <v>1</v>
      </c>
      <c r="F532" s="5" t="s">
        <v>22</v>
      </c>
      <c r="G532" s="5">
        <v>24252998</v>
      </c>
      <c r="H532" s="5">
        <v>22162140.199999999</v>
      </c>
      <c r="I532" s="5">
        <v>426</v>
      </c>
      <c r="J532" s="5">
        <v>2090857.8</v>
      </c>
      <c r="K532" s="5">
        <v>8.6199999999999999E-2</v>
      </c>
      <c r="L532" s="5">
        <v>21261000</v>
      </c>
      <c r="M532" s="5">
        <v>1.1407</v>
      </c>
    </row>
    <row r="533" spans="1:13" x14ac:dyDescent="0.3">
      <c r="A533" s="5">
        <v>9</v>
      </c>
      <c r="B533" s="5" t="s">
        <v>92</v>
      </c>
      <c r="C533" s="5" t="s">
        <v>87</v>
      </c>
      <c r="D533" s="5">
        <v>2021</v>
      </c>
      <c r="E533" s="5">
        <v>2</v>
      </c>
      <c r="F533" s="5" t="s">
        <v>23</v>
      </c>
      <c r="G533" s="5">
        <v>26353826</v>
      </c>
      <c r="H533" s="5">
        <v>22902769.460000001</v>
      </c>
      <c r="I533" s="5">
        <v>400</v>
      </c>
      <c r="J533" s="5">
        <v>3451056.54</v>
      </c>
      <c r="K533" s="5">
        <v>0.13100000000000001</v>
      </c>
      <c r="L533" s="5">
        <v>22546000</v>
      </c>
      <c r="M533" s="5">
        <v>1.1689000000000001</v>
      </c>
    </row>
    <row r="534" spans="1:13" x14ac:dyDescent="0.3">
      <c r="A534" s="5">
        <v>9</v>
      </c>
      <c r="B534" s="5" t="s">
        <v>92</v>
      </c>
      <c r="C534" s="5" t="s">
        <v>87</v>
      </c>
      <c r="D534" s="5">
        <v>2021</v>
      </c>
      <c r="E534" s="5">
        <v>3</v>
      </c>
      <c r="F534" s="5" t="s">
        <v>24</v>
      </c>
      <c r="G534" s="5">
        <v>32881166</v>
      </c>
      <c r="H534" s="5">
        <v>27943999.420000002</v>
      </c>
      <c r="I534" s="5">
        <v>442</v>
      </c>
      <c r="J534" s="5">
        <v>4937166.58</v>
      </c>
      <c r="K534" s="5">
        <v>0.1502</v>
      </c>
      <c r="L534" s="5">
        <v>26742000</v>
      </c>
      <c r="M534" s="5">
        <v>1.2296</v>
      </c>
    </row>
    <row r="535" spans="1:13" x14ac:dyDescent="0.3">
      <c r="A535" s="5">
        <v>9</v>
      </c>
      <c r="B535" s="5" t="s">
        <v>92</v>
      </c>
      <c r="C535" s="5" t="s">
        <v>87</v>
      </c>
      <c r="D535" s="5">
        <v>2021</v>
      </c>
      <c r="E535" s="5">
        <v>4</v>
      </c>
      <c r="F535" s="5" t="s">
        <v>25</v>
      </c>
      <c r="G535" s="5">
        <v>33706461</v>
      </c>
      <c r="H535" s="5">
        <v>29860428.73</v>
      </c>
      <c r="I535" s="5">
        <v>477</v>
      </c>
      <c r="J535" s="5">
        <v>3846032.27</v>
      </c>
      <c r="K535" s="5">
        <v>0.11409999999999999</v>
      </c>
      <c r="L535" s="5">
        <v>28455000</v>
      </c>
      <c r="M535" s="5">
        <v>1.1846000000000001</v>
      </c>
    </row>
    <row r="536" spans="1:13" x14ac:dyDescent="0.3">
      <c r="A536" s="5">
        <v>9</v>
      </c>
      <c r="B536" s="5" t="s">
        <v>92</v>
      </c>
      <c r="C536" s="5" t="s">
        <v>87</v>
      </c>
      <c r="D536" s="5">
        <v>2021</v>
      </c>
      <c r="E536" s="5">
        <v>5</v>
      </c>
      <c r="F536" s="5" t="s">
        <v>26</v>
      </c>
      <c r="G536" s="5">
        <v>36397996</v>
      </c>
      <c r="H536" s="5">
        <v>31933225</v>
      </c>
      <c r="I536" s="5">
        <v>519</v>
      </c>
      <c r="J536" s="5">
        <v>4464771</v>
      </c>
      <c r="K536" s="5">
        <v>0.1227</v>
      </c>
      <c r="L536" s="5">
        <v>31610000</v>
      </c>
      <c r="M536" s="5">
        <v>1.1515</v>
      </c>
    </row>
    <row r="537" spans="1:13" x14ac:dyDescent="0.3">
      <c r="A537" s="5">
        <v>9</v>
      </c>
      <c r="B537" s="5" t="s">
        <v>92</v>
      </c>
      <c r="C537" s="5" t="s">
        <v>87</v>
      </c>
      <c r="D537" s="5">
        <v>2021</v>
      </c>
      <c r="E537" s="5">
        <v>6</v>
      </c>
      <c r="F537" s="5" t="s">
        <v>27</v>
      </c>
      <c r="G537" s="5">
        <v>30015865</v>
      </c>
      <c r="H537" s="5">
        <v>25984759.030000001</v>
      </c>
      <c r="I537" s="5">
        <v>488</v>
      </c>
      <c r="J537" s="5">
        <v>4031105.97</v>
      </c>
      <c r="K537" s="5">
        <v>0.1343</v>
      </c>
      <c r="L537" s="5">
        <v>26693000</v>
      </c>
      <c r="M537" s="5">
        <v>1.1245000000000001</v>
      </c>
    </row>
    <row r="538" spans="1:13" x14ac:dyDescent="0.3">
      <c r="A538" s="5">
        <v>9</v>
      </c>
      <c r="B538" s="5" t="s">
        <v>92</v>
      </c>
      <c r="C538" s="5" t="s">
        <v>87</v>
      </c>
      <c r="D538" s="5">
        <v>2021</v>
      </c>
      <c r="E538" s="5">
        <v>7</v>
      </c>
      <c r="F538" s="5" t="s">
        <v>28</v>
      </c>
      <c r="G538" s="5">
        <v>31233662</v>
      </c>
      <c r="H538" s="5">
        <v>27345209.100000001</v>
      </c>
      <c r="I538" s="5">
        <v>470</v>
      </c>
      <c r="J538" s="5">
        <v>3888452.9</v>
      </c>
      <c r="K538" s="5">
        <v>0.1245</v>
      </c>
      <c r="L538" s="5">
        <v>26613000</v>
      </c>
      <c r="M538" s="5">
        <v>1.1736</v>
      </c>
    </row>
    <row r="539" spans="1:13" x14ac:dyDescent="0.3">
      <c r="A539" s="5">
        <v>9</v>
      </c>
      <c r="B539" s="5" t="s">
        <v>92</v>
      </c>
      <c r="C539" s="5" t="s">
        <v>87</v>
      </c>
      <c r="D539" s="5">
        <v>2021</v>
      </c>
      <c r="E539" s="5">
        <v>8</v>
      </c>
      <c r="F539" s="5" t="s">
        <v>29</v>
      </c>
      <c r="G539" s="5">
        <v>37026776</v>
      </c>
      <c r="H539" s="5">
        <v>31644091.530000001</v>
      </c>
      <c r="I539" s="5">
        <v>506</v>
      </c>
      <c r="J539" s="5">
        <v>5382684.4699999997</v>
      </c>
      <c r="K539" s="5">
        <v>0.1454</v>
      </c>
      <c r="L539" s="5">
        <v>30152000</v>
      </c>
      <c r="M539" s="5">
        <v>1.228</v>
      </c>
    </row>
    <row r="540" spans="1:13" x14ac:dyDescent="0.3">
      <c r="A540" s="5">
        <v>9</v>
      </c>
      <c r="B540" s="5" t="s">
        <v>92</v>
      </c>
      <c r="C540" s="5" t="s">
        <v>87</v>
      </c>
      <c r="D540" s="5">
        <v>2021</v>
      </c>
      <c r="E540" s="5">
        <v>9</v>
      </c>
      <c r="F540" s="5" t="s">
        <v>30</v>
      </c>
      <c r="G540" s="5">
        <v>38046471</v>
      </c>
      <c r="H540" s="5">
        <v>33267467.52</v>
      </c>
      <c r="I540" s="5">
        <v>551</v>
      </c>
      <c r="J540" s="5">
        <v>4779003.4800000004</v>
      </c>
      <c r="K540" s="5">
        <v>0.12559999999999999</v>
      </c>
      <c r="L540" s="5">
        <v>31345000</v>
      </c>
      <c r="M540" s="5">
        <v>1.2138</v>
      </c>
    </row>
    <row r="541" spans="1:13" x14ac:dyDescent="0.3">
      <c r="A541" s="5">
        <v>9</v>
      </c>
      <c r="B541" s="5" t="s">
        <v>92</v>
      </c>
      <c r="C541" s="5" t="s">
        <v>87</v>
      </c>
      <c r="D541" s="5">
        <v>2021</v>
      </c>
      <c r="E541" s="5">
        <v>10</v>
      </c>
      <c r="F541" s="5" t="s">
        <v>31</v>
      </c>
      <c r="G541" s="5">
        <v>56061396</v>
      </c>
      <c r="H541" s="5">
        <v>47575674.530000001</v>
      </c>
      <c r="I541" s="5">
        <v>770</v>
      </c>
      <c r="J541" s="5">
        <v>8485721.4700000007</v>
      </c>
      <c r="K541" s="5">
        <v>0.15140000000000001</v>
      </c>
      <c r="L541" s="5">
        <v>45290000</v>
      </c>
      <c r="M541" s="5">
        <v>1.2378</v>
      </c>
    </row>
    <row r="542" spans="1:13" x14ac:dyDescent="0.3">
      <c r="A542" s="5">
        <v>9</v>
      </c>
      <c r="B542" s="5" t="s">
        <v>92</v>
      </c>
      <c r="C542" s="5" t="s">
        <v>87</v>
      </c>
      <c r="D542" s="5">
        <v>2021</v>
      </c>
      <c r="E542" s="5">
        <v>11</v>
      </c>
      <c r="F542" s="5" t="s">
        <v>32</v>
      </c>
      <c r="G542" s="5">
        <v>50938045</v>
      </c>
      <c r="H542" s="5">
        <v>42232932.100000001</v>
      </c>
      <c r="I542" s="5">
        <v>764</v>
      </c>
      <c r="J542" s="5">
        <v>8705112.9000000004</v>
      </c>
      <c r="K542" s="5">
        <v>0.1709</v>
      </c>
      <c r="L542" s="5">
        <v>42044000</v>
      </c>
      <c r="M542" s="5">
        <v>1.2115</v>
      </c>
    </row>
    <row r="543" spans="1:13" x14ac:dyDescent="0.3">
      <c r="A543" s="5">
        <v>9</v>
      </c>
      <c r="B543" s="5" t="s">
        <v>92</v>
      </c>
      <c r="C543" s="5" t="s">
        <v>87</v>
      </c>
      <c r="D543" s="5">
        <v>2021</v>
      </c>
      <c r="E543" s="5">
        <v>12</v>
      </c>
      <c r="F543" s="5" t="s">
        <v>33</v>
      </c>
      <c r="G543" s="5">
        <v>44805055</v>
      </c>
      <c r="H543" s="5">
        <v>37828645.590000004</v>
      </c>
      <c r="I543" s="5">
        <v>702</v>
      </c>
      <c r="J543" s="5">
        <v>6976409.4100000001</v>
      </c>
      <c r="K543" s="5">
        <v>0.15570000000000001</v>
      </c>
      <c r="L543" s="5">
        <v>37387000</v>
      </c>
      <c r="M543" s="5">
        <v>1.1983999999999999</v>
      </c>
    </row>
    <row r="544" spans="1:13" x14ac:dyDescent="0.3">
      <c r="A544" s="5">
        <v>9</v>
      </c>
      <c r="B544" s="5" t="s">
        <v>92</v>
      </c>
      <c r="C544" s="5" t="s">
        <v>87</v>
      </c>
      <c r="D544" s="5">
        <v>2022</v>
      </c>
      <c r="E544" s="5">
        <v>1</v>
      </c>
      <c r="F544" s="5" t="s">
        <v>34</v>
      </c>
      <c r="G544" s="5">
        <v>40632167</v>
      </c>
      <c r="H544" s="5">
        <v>34156640.270000003</v>
      </c>
      <c r="I544" s="5">
        <v>612</v>
      </c>
      <c r="J544" s="5">
        <v>6475526.7300000004</v>
      </c>
      <c r="K544" s="5">
        <v>0.15939999999999999</v>
      </c>
      <c r="L544" s="5">
        <v>33426000</v>
      </c>
      <c r="M544" s="5">
        <v>1.2156</v>
      </c>
    </row>
    <row r="545" spans="1:13" x14ac:dyDescent="0.3">
      <c r="A545" s="5">
        <v>9</v>
      </c>
      <c r="B545" s="5" t="s">
        <v>92</v>
      </c>
      <c r="C545" s="5" t="s">
        <v>87</v>
      </c>
      <c r="D545" s="5">
        <v>2022</v>
      </c>
      <c r="E545" s="5">
        <v>2</v>
      </c>
      <c r="F545" s="5" t="s">
        <v>35</v>
      </c>
      <c r="G545" s="5">
        <v>37173710</v>
      </c>
      <c r="H545" s="5">
        <v>31239868.059999999</v>
      </c>
      <c r="I545" s="5">
        <v>539</v>
      </c>
      <c r="J545" s="5">
        <v>5933841.9400000004</v>
      </c>
      <c r="K545" s="5">
        <v>0.15959999999999999</v>
      </c>
      <c r="L545" s="5">
        <v>31771000</v>
      </c>
      <c r="M545" s="5">
        <v>1.1700999999999999</v>
      </c>
    </row>
    <row r="546" spans="1:13" x14ac:dyDescent="0.3">
      <c r="A546" s="5">
        <v>9</v>
      </c>
      <c r="B546" s="5" t="s">
        <v>92</v>
      </c>
      <c r="C546" s="5" t="s">
        <v>87</v>
      </c>
      <c r="D546" s="5">
        <v>2022</v>
      </c>
      <c r="E546" s="5">
        <v>3</v>
      </c>
      <c r="F546" s="5" t="s">
        <v>36</v>
      </c>
      <c r="G546" s="5">
        <v>43994983</v>
      </c>
      <c r="H546" s="5">
        <v>37192330.549999997</v>
      </c>
      <c r="I546" s="5">
        <v>668</v>
      </c>
      <c r="J546" s="5">
        <v>6802652.4500000002</v>
      </c>
      <c r="K546" s="5">
        <v>0.15459999999999999</v>
      </c>
      <c r="L546" s="5">
        <v>35761000</v>
      </c>
      <c r="M546" s="5">
        <v>1.2302999999999999</v>
      </c>
    </row>
    <row r="547" spans="1:13" x14ac:dyDescent="0.3">
      <c r="A547" s="5">
        <v>9</v>
      </c>
      <c r="B547" s="5" t="s">
        <v>92</v>
      </c>
      <c r="C547" s="5" t="s">
        <v>87</v>
      </c>
      <c r="D547" s="5">
        <v>2022</v>
      </c>
      <c r="E547" s="5">
        <v>4</v>
      </c>
      <c r="F547" s="5" t="s">
        <v>37</v>
      </c>
      <c r="G547" s="5">
        <v>48750521</v>
      </c>
      <c r="H547" s="5">
        <v>42499016.829999998</v>
      </c>
      <c r="I547" s="5">
        <v>670</v>
      </c>
      <c r="J547" s="5">
        <v>6251504.1699999999</v>
      </c>
      <c r="K547" s="5">
        <v>0.12820000000000001</v>
      </c>
      <c r="L547" s="5">
        <v>40257000</v>
      </c>
      <c r="M547" s="5">
        <v>1.2110000000000001</v>
      </c>
    </row>
    <row r="548" spans="1:13" x14ac:dyDescent="0.3">
      <c r="A548" s="5">
        <v>9</v>
      </c>
      <c r="B548" s="5" t="s">
        <v>92</v>
      </c>
      <c r="C548" s="5" t="s">
        <v>87</v>
      </c>
      <c r="D548" s="5">
        <v>2022</v>
      </c>
      <c r="E548" s="5">
        <v>5</v>
      </c>
      <c r="F548" s="5" t="s">
        <v>38</v>
      </c>
      <c r="G548" s="5">
        <v>46671178</v>
      </c>
      <c r="H548" s="5">
        <v>40797674.810000002</v>
      </c>
      <c r="I548" s="5">
        <v>704</v>
      </c>
      <c r="J548" s="5">
        <v>5873503.1900000004</v>
      </c>
      <c r="K548" s="5">
        <v>0.1258</v>
      </c>
      <c r="L548" s="5">
        <v>38040000</v>
      </c>
      <c r="M548" s="5">
        <v>1.2269000000000001</v>
      </c>
    </row>
    <row r="549" spans="1:13" x14ac:dyDescent="0.3">
      <c r="A549" s="5">
        <v>9</v>
      </c>
      <c r="B549" s="5" t="s">
        <v>92</v>
      </c>
      <c r="C549" s="5" t="s">
        <v>87</v>
      </c>
      <c r="D549" s="5">
        <v>2022</v>
      </c>
      <c r="E549" s="5">
        <v>6</v>
      </c>
      <c r="F549" s="5" t="s">
        <v>39</v>
      </c>
      <c r="G549" s="5">
        <v>47101652</v>
      </c>
      <c r="H549" s="5">
        <v>40106016.619999997</v>
      </c>
      <c r="I549" s="5">
        <v>733</v>
      </c>
      <c r="J549" s="5">
        <v>6995635.3799999999</v>
      </c>
      <c r="K549" s="5">
        <v>0.14849999999999999</v>
      </c>
      <c r="L549" s="5">
        <v>39110000</v>
      </c>
      <c r="M549" s="5">
        <v>1.2042999999999999</v>
      </c>
    </row>
    <row r="550" spans="1:13" x14ac:dyDescent="0.3">
      <c r="A550" s="5">
        <v>9</v>
      </c>
      <c r="B550" s="5" t="s">
        <v>92</v>
      </c>
      <c r="C550" s="5" t="s">
        <v>87</v>
      </c>
      <c r="D550" s="5">
        <v>2022</v>
      </c>
      <c r="E550" s="5">
        <v>7</v>
      </c>
      <c r="F550" s="5" t="s">
        <v>40</v>
      </c>
      <c r="G550" s="5">
        <v>47437547</v>
      </c>
      <c r="H550" s="5">
        <v>41717357.450000003</v>
      </c>
      <c r="I550" s="5">
        <v>710</v>
      </c>
      <c r="J550" s="5">
        <v>5720189.5499999998</v>
      </c>
      <c r="K550" s="5">
        <v>0.1206</v>
      </c>
      <c r="L550" s="5">
        <v>38109000</v>
      </c>
      <c r="M550" s="5">
        <v>1.2447999999999999</v>
      </c>
    </row>
    <row r="551" spans="1:13" x14ac:dyDescent="0.3">
      <c r="A551" s="5">
        <v>9</v>
      </c>
      <c r="B551" s="5" t="s">
        <v>92</v>
      </c>
      <c r="C551" s="5" t="s">
        <v>87</v>
      </c>
      <c r="D551" s="5">
        <v>2022</v>
      </c>
      <c r="E551" s="5">
        <v>8</v>
      </c>
      <c r="F551" s="5" t="s">
        <v>41</v>
      </c>
      <c r="G551" s="5">
        <v>44150697</v>
      </c>
      <c r="H551" s="5">
        <v>41301307.200000003</v>
      </c>
      <c r="I551" s="5">
        <v>678</v>
      </c>
      <c r="J551" s="5">
        <v>2849389.8</v>
      </c>
      <c r="K551" s="5">
        <v>6.4500000000000002E-2</v>
      </c>
      <c r="L551" s="5">
        <v>36203000</v>
      </c>
      <c r="M551" s="5">
        <v>1.2195</v>
      </c>
    </row>
    <row r="552" spans="1:13" x14ac:dyDescent="0.3">
      <c r="A552" s="5">
        <v>9</v>
      </c>
      <c r="B552" s="5" t="s">
        <v>92</v>
      </c>
      <c r="C552" s="5" t="s">
        <v>87</v>
      </c>
      <c r="D552" s="5">
        <v>2022</v>
      </c>
      <c r="E552" s="5">
        <v>9</v>
      </c>
      <c r="F552" s="5" t="s">
        <v>42</v>
      </c>
      <c r="G552" s="5">
        <v>53599555</v>
      </c>
      <c r="H552" s="5">
        <v>47261360.259999998</v>
      </c>
      <c r="I552" s="5">
        <v>786</v>
      </c>
      <c r="J552" s="5">
        <v>6338194.7400000002</v>
      </c>
      <c r="K552" s="5">
        <v>0.1183</v>
      </c>
      <c r="L552" s="5">
        <v>44328000</v>
      </c>
      <c r="M552" s="5">
        <v>1.2092000000000001</v>
      </c>
    </row>
    <row r="553" spans="1:13" x14ac:dyDescent="0.3">
      <c r="A553" s="5">
        <v>9</v>
      </c>
      <c r="B553" s="5" t="s">
        <v>92</v>
      </c>
      <c r="C553" s="5" t="s">
        <v>87</v>
      </c>
      <c r="D553" s="5">
        <v>2022</v>
      </c>
      <c r="E553" s="5">
        <v>10</v>
      </c>
      <c r="F553" s="5" t="s">
        <v>43</v>
      </c>
      <c r="G553" s="5">
        <v>65646917</v>
      </c>
      <c r="H553" s="5">
        <v>58394935.159999996</v>
      </c>
      <c r="I553" s="5">
        <v>938</v>
      </c>
      <c r="J553" s="5">
        <v>7251981.8399999999</v>
      </c>
      <c r="K553" s="5">
        <v>0.1105</v>
      </c>
      <c r="L553" s="5">
        <v>57505000</v>
      </c>
      <c r="M553" s="5">
        <v>1.1415999999999999</v>
      </c>
    </row>
    <row r="554" spans="1:13" x14ac:dyDescent="0.3">
      <c r="A554" s="5">
        <v>9</v>
      </c>
      <c r="B554" s="5" t="s">
        <v>92</v>
      </c>
      <c r="C554" s="5" t="s">
        <v>87</v>
      </c>
      <c r="D554" s="5">
        <v>2022</v>
      </c>
      <c r="E554" s="5">
        <v>11</v>
      </c>
      <c r="F554" s="5" t="s">
        <v>44</v>
      </c>
      <c r="G554" s="5">
        <v>71057511</v>
      </c>
      <c r="H554" s="5">
        <v>60676697.130000003</v>
      </c>
      <c r="I554" s="5">
        <v>1031</v>
      </c>
      <c r="J554" s="5">
        <v>10380813.869999999</v>
      </c>
      <c r="K554" s="5">
        <v>0.14610000000000001</v>
      </c>
      <c r="L554" s="5">
        <v>60972000</v>
      </c>
      <c r="M554" s="5">
        <v>1.1654</v>
      </c>
    </row>
    <row r="555" spans="1:13" x14ac:dyDescent="0.3">
      <c r="A555" s="5">
        <v>9</v>
      </c>
      <c r="B555" s="5" t="s">
        <v>92</v>
      </c>
      <c r="C555" s="5" t="s">
        <v>87</v>
      </c>
      <c r="D555" s="5">
        <v>2022</v>
      </c>
      <c r="E555" s="5">
        <v>12</v>
      </c>
      <c r="F555" s="5" t="s">
        <v>45</v>
      </c>
      <c r="G555" s="5">
        <v>76916088</v>
      </c>
      <c r="H555" s="5">
        <v>63763055.189999998</v>
      </c>
      <c r="I555" s="5">
        <v>1064</v>
      </c>
      <c r="J555" s="5">
        <v>13153032.810000001</v>
      </c>
      <c r="K555" s="5">
        <v>0.17100000000000001</v>
      </c>
      <c r="L555" s="5">
        <v>62201000</v>
      </c>
      <c r="M555" s="5">
        <v>1.2365999999999999</v>
      </c>
    </row>
    <row r="556" spans="1:13" x14ac:dyDescent="0.3">
      <c r="A556" s="5">
        <v>9</v>
      </c>
      <c r="B556" s="5" t="s">
        <v>92</v>
      </c>
      <c r="C556" s="5" t="s">
        <v>87</v>
      </c>
      <c r="D556" s="5">
        <v>2023</v>
      </c>
      <c r="E556" s="5">
        <v>1</v>
      </c>
      <c r="F556" s="5" t="s">
        <v>46</v>
      </c>
      <c r="G556" s="5">
        <v>50960658</v>
      </c>
      <c r="H556" s="5">
        <v>44963205.469999999</v>
      </c>
      <c r="I556" s="5">
        <v>755</v>
      </c>
      <c r="J556" s="5">
        <v>5997452.5300000003</v>
      </c>
      <c r="K556" s="5">
        <v>0.1177</v>
      </c>
      <c r="L556" s="5">
        <v>42645000</v>
      </c>
      <c r="M556" s="5">
        <v>1.1950000000000001</v>
      </c>
    </row>
    <row r="557" spans="1:13" x14ac:dyDescent="0.3">
      <c r="A557" s="5">
        <v>9</v>
      </c>
      <c r="B557" s="5" t="s">
        <v>92</v>
      </c>
      <c r="C557" s="5" t="s">
        <v>87</v>
      </c>
      <c r="D557" s="5">
        <v>2023</v>
      </c>
      <c r="E557" s="5">
        <v>2</v>
      </c>
      <c r="F557" s="5" t="s">
        <v>47</v>
      </c>
      <c r="G557" s="5">
        <v>42677660</v>
      </c>
      <c r="H557" s="5">
        <v>36036122.390000001</v>
      </c>
      <c r="I557" s="5">
        <v>673</v>
      </c>
      <c r="J557" s="5">
        <v>6641537.6100000003</v>
      </c>
      <c r="K557" s="5">
        <v>0.15559999999999999</v>
      </c>
      <c r="L557" s="5">
        <v>36378000</v>
      </c>
      <c r="M557" s="5">
        <v>1.1732</v>
      </c>
    </row>
    <row r="558" spans="1:13" x14ac:dyDescent="0.3">
      <c r="A558" s="5">
        <v>9</v>
      </c>
      <c r="B558" s="5" t="s">
        <v>92</v>
      </c>
      <c r="C558" s="5" t="s">
        <v>87</v>
      </c>
      <c r="D558" s="5">
        <v>2023</v>
      </c>
      <c r="E558" s="5">
        <v>3</v>
      </c>
      <c r="F558" s="5" t="s">
        <v>48</v>
      </c>
      <c r="G558" s="5">
        <v>54975499</v>
      </c>
      <c r="H558" s="5">
        <v>47740863.479999997</v>
      </c>
      <c r="I558" s="5">
        <v>819</v>
      </c>
      <c r="J558" s="5">
        <v>7234635.5199999996</v>
      </c>
      <c r="K558" s="5">
        <v>0.13159999999999999</v>
      </c>
      <c r="L558" s="5">
        <v>47331000</v>
      </c>
      <c r="M558" s="5">
        <v>1.1615</v>
      </c>
    </row>
    <row r="559" spans="1:13" x14ac:dyDescent="0.3">
      <c r="A559" s="5">
        <v>9</v>
      </c>
      <c r="B559" s="5" t="s">
        <v>92</v>
      </c>
      <c r="C559" s="5" t="s">
        <v>87</v>
      </c>
      <c r="D559" s="5">
        <v>2023</v>
      </c>
      <c r="E559" s="5">
        <v>4</v>
      </c>
      <c r="F559" s="5" t="s">
        <v>49</v>
      </c>
      <c r="G559" s="5">
        <v>59477735</v>
      </c>
      <c r="H559" s="5">
        <v>51468417</v>
      </c>
      <c r="I559" s="5">
        <v>927</v>
      </c>
      <c r="J559" s="5">
        <v>8009318</v>
      </c>
      <c r="K559" s="5">
        <v>0.13469999999999999</v>
      </c>
      <c r="L559" s="5">
        <v>51110000</v>
      </c>
      <c r="M559" s="5">
        <v>1.1637</v>
      </c>
    </row>
    <row r="560" spans="1:13" x14ac:dyDescent="0.3">
      <c r="A560" s="5">
        <v>9</v>
      </c>
      <c r="B560" s="5" t="s">
        <v>92</v>
      </c>
      <c r="C560" s="5" t="s">
        <v>87</v>
      </c>
      <c r="D560" s="5">
        <v>2023</v>
      </c>
      <c r="E560" s="5">
        <v>5</v>
      </c>
      <c r="F560" s="5" t="s">
        <v>50</v>
      </c>
      <c r="G560" s="5">
        <v>64601144</v>
      </c>
      <c r="H560" s="5">
        <v>55898176.659999996</v>
      </c>
      <c r="I560" s="5">
        <v>943</v>
      </c>
      <c r="J560" s="5">
        <v>8702967.3399999999</v>
      </c>
      <c r="K560" s="5">
        <v>0.13469999999999999</v>
      </c>
      <c r="L560" s="5">
        <v>51685000</v>
      </c>
      <c r="M560" s="5">
        <v>1.2499</v>
      </c>
    </row>
    <row r="561" spans="1:13" x14ac:dyDescent="0.3">
      <c r="A561" s="5">
        <v>9</v>
      </c>
      <c r="B561" s="5" t="s">
        <v>92</v>
      </c>
      <c r="C561" s="5" t="s">
        <v>87</v>
      </c>
      <c r="D561" s="5">
        <v>2023</v>
      </c>
      <c r="E561" s="5">
        <v>6</v>
      </c>
      <c r="F561" s="5" t="s">
        <v>51</v>
      </c>
      <c r="G561" s="5">
        <v>55749186</v>
      </c>
      <c r="H561" s="5">
        <v>46957397.530000001</v>
      </c>
      <c r="I561" s="5">
        <v>868</v>
      </c>
      <c r="J561" s="5">
        <v>8791788.4700000007</v>
      </c>
      <c r="K561" s="5">
        <v>0.15770000000000001</v>
      </c>
      <c r="L561" s="5">
        <v>48077000</v>
      </c>
      <c r="M561" s="5">
        <v>1.1596</v>
      </c>
    </row>
    <row r="562" spans="1:13" x14ac:dyDescent="0.3">
      <c r="A562" s="5">
        <v>9</v>
      </c>
      <c r="B562" s="5" t="s">
        <v>92</v>
      </c>
      <c r="C562" s="5" t="s">
        <v>87</v>
      </c>
      <c r="D562" s="5">
        <v>2023</v>
      </c>
      <c r="E562" s="5">
        <v>7</v>
      </c>
      <c r="F562" s="5" t="s">
        <v>52</v>
      </c>
      <c r="G562" s="5">
        <v>50806526</v>
      </c>
      <c r="H562" s="5">
        <v>44511477.380000003</v>
      </c>
      <c r="I562" s="5">
        <v>820</v>
      </c>
      <c r="J562" s="5">
        <v>6295048.6200000001</v>
      </c>
      <c r="K562" s="5">
        <v>0.1239</v>
      </c>
      <c r="L562" s="5">
        <v>42306000</v>
      </c>
      <c r="M562" s="5">
        <v>1.2009000000000001</v>
      </c>
    </row>
    <row r="563" spans="1:13" x14ac:dyDescent="0.3">
      <c r="A563" s="5">
        <v>9</v>
      </c>
      <c r="B563" s="5" t="s">
        <v>92</v>
      </c>
      <c r="C563" s="5" t="s">
        <v>87</v>
      </c>
      <c r="D563" s="5">
        <v>2023</v>
      </c>
      <c r="E563" s="5">
        <v>8</v>
      </c>
      <c r="F563" s="5" t="s">
        <v>53</v>
      </c>
      <c r="G563" s="5">
        <v>57444167</v>
      </c>
      <c r="H563" s="5">
        <v>50560095.259999998</v>
      </c>
      <c r="I563" s="5">
        <v>853</v>
      </c>
      <c r="J563" s="5">
        <v>6884071.7400000002</v>
      </c>
      <c r="K563" s="5">
        <v>0.1198</v>
      </c>
      <c r="L563" s="5">
        <v>47678000</v>
      </c>
      <c r="M563" s="5">
        <v>1.2048000000000001</v>
      </c>
    </row>
    <row r="564" spans="1:13" x14ac:dyDescent="0.3">
      <c r="A564" s="5">
        <v>9</v>
      </c>
      <c r="B564" s="5" t="s">
        <v>92</v>
      </c>
      <c r="C564" s="5" t="s">
        <v>87</v>
      </c>
      <c r="D564" s="5">
        <v>2023</v>
      </c>
      <c r="E564" s="5">
        <v>9</v>
      </c>
      <c r="F564" s="5" t="s">
        <v>54</v>
      </c>
      <c r="G564" s="5">
        <v>65971190</v>
      </c>
      <c r="H564" s="5">
        <v>59320337.079999998</v>
      </c>
      <c r="I564" s="5">
        <v>955</v>
      </c>
      <c r="J564" s="5">
        <v>6650852.9199999999</v>
      </c>
      <c r="K564" s="5">
        <v>0.1008</v>
      </c>
      <c r="L564" s="5">
        <v>54777000</v>
      </c>
      <c r="M564" s="5">
        <v>1.2043999999999999</v>
      </c>
    </row>
    <row r="565" spans="1:13" x14ac:dyDescent="0.3">
      <c r="A565" s="5">
        <v>9</v>
      </c>
      <c r="B565" s="5" t="s">
        <v>92</v>
      </c>
      <c r="C565" s="5" t="s">
        <v>87</v>
      </c>
      <c r="D565" s="5">
        <v>2023</v>
      </c>
      <c r="E565" s="5">
        <v>10</v>
      </c>
      <c r="F565" s="5" t="s">
        <v>55</v>
      </c>
      <c r="G565" s="5">
        <v>89797823</v>
      </c>
      <c r="H565" s="5">
        <v>78340935.209999993</v>
      </c>
      <c r="I565" s="5">
        <v>1284</v>
      </c>
      <c r="J565" s="5">
        <v>11456887.789999999</v>
      </c>
      <c r="K565" s="5">
        <v>0.12759999999999999</v>
      </c>
      <c r="L565" s="5">
        <v>74254000</v>
      </c>
      <c r="M565" s="5">
        <v>1.2093</v>
      </c>
    </row>
    <row r="566" spans="1:13" x14ac:dyDescent="0.3">
      <c r="A566" s="5">
        <v>9</v>
      </c>
      <c r="B566" s="5" t="s">
        <v>92</v>
      </c>
      <c r="C566" s="5" t="s">
        <v>87</v>
      </c>
      <c r="D566" s="5">
        <v>2023</v>
      </c>
      <c r="E566" s="5">
        <v>11</v>
      </c>
      <c r="F566" s="5" t="s">
        <v>56</v>
      </c>
      <c r="G566" s="5">
        <v>78689696</v>
      </c>
      <c r="H566" s="5">
        <v>70399923.640000001</v>
      </c>
      <c r="I566" s="5">
        <v>1231</v>
      </c>
      <c r="J566" s="5">
        <v>8289772.3600000003</v>
      </c>
      <c r="K566" s="5">
        <v>0.1053</v>
      </c>
      <c r="L566" s="5">
        <v>63888000</v>
      </c>
      <c r="M566" s="5">
        <v>1.2317</v>
      </c>
    </row>
    <row r="567" spans="1:13" x14ac:dyDescent="0.3">
      <c r="A567" s="5">
        <v>9</v>
      </c>
      <c r="B567" s="5" t="s">
        <v>92</v>
      </c>
      <c r="C567" s="5" t="s">
        <v>87</v>
      </c>
      <c r="D567" s="5">
        <v>2023</v>
      </c>
      <c r="E567" s="5">
        <v>12</v>
      </c>
      <c r="F567" s="5" t="s">
        <v>57</v>
      </c>
      <c r="G567" s="5">
        <v>82719569</v>
      </c>
      <c r="H567" s="5">
        <v>74575190.450000003</v>
      </c>
      <c r="I567" s="5">
        <v>1353</v>
      </c>
      <c r="J567" s="5">
        <v>8144378.5499999998</v>
      </c>
      <c r="K567" s="5">
        <v>9.8500000000000004E-2</v>
      </c>
      <c r="L567" s="5">
        <v>72576000</v>
      </c>
      <c r="M567" s="5">
        <v>1.1397999999999999</v>
      </c>
    </row>
    <row r="568" spans="1:13" x14ac:dyDescent="0.3">
      <c r="A568" s="5">
        <v>9</v>
      </c>
      <c r="B568" s="5" t="s">
        <v>92</v>
      </c>
      <c r="C568" s="5" t="s">
        <v>87</v>
      </c>
      <c r="D568" s="5">
        <v>2024</v>
      </c>
      <c r="E568" s="5">
        <v>1</v>
      </c>
      <c r="F568" s="5" t="s">
        <v>58</v>
      </c>
      <c r="G568" s="5">
        <v>54556979</v>
      </c>
      <c r="H568" s="5">
        <v>48463246.890000001</v>
      </c>
      <c r="I568" s="5">
        <v>864</v>
      </c>
      <c r="J568" s="5">
        <v>6093732.1100000003</v>
      </c>
      <c r="K568" s="5">
        <v>0.11169999999999999</v>
      </c>
      <c r="L568" s="5">
        <v>44894000</v>
      </c>
      <c r="M568" s="5">
        <v>1.2152000000000001</v>
      </c>
    </row>
    <row r="569" spans="1:13" x14ac:dyDescent="0.3">
      <c r="A569" s="5">
        <v>9</v>
      </c>
      <c r="B569" s="5" t="s">
        <v>92</v>
      </c>
      <c r="C569" s="5" t="s">
        <v>87</v>
      </c>
      <c r="D569" s="5">
        <v>2024</v>
      </c>
      <c r="E569" s="5">
        <v>2</v>
      </c>
      <c r="F569" s="5" t="s">
        <v>59</v>
      </c>
      <c r="G569" s="5">
        <v>55536398</v>
      </c>
      <c r="H569" s="5">
        <v>47164463.789999999</v>
      </c>
      <c r="I569" s="5">
        <v>809</v>
      </c>
      <c r="J569" s="5">
        <v>8371934.21</v>
      </c>
      <c r="K569" s="5">
        <v>0.1507</v>
      </c>
      <c r="L569" s="5">
        <v>48523000</v>
      </c>
      <c r="M569" s="5">
        <v>1.1445000000000001</v>
      </c>
    </row>
    <row r="570" spans="1:13" x14ac:dyDescent="0.3">
      <c r="A570" s="5">
        <v>9</v>
      </c>
      <c r="B570" s="5" t="s">
        <v>92</v>
      </c>
      <c r="C570" s="5" t="s">
        <v>87</v>
      </c>
      <c r="D570" s="5">
        <v>2024</v>
      </c>
      <c r="E570" s="5">
        <v>3</v>
      </c>
      <c r="F570" s="5" t="s">
        <v>60</v>
      </c>
      <c r="G570" s="5">
        <v>61882165</v>
      </c>
      <c r="H570" s="5">
        <v>53548326.729999997</v>
      </c>
      <c r="I570" s="5">
        <v>924</v>
      </c>
      <c r="J570" s="5">
        <v>8333838.2699999996</v>
      </c>
      <c r="K570" s="5">
        <v>0.13469999999999999</v>
      </c>
      <c r="L570" s="5">
        <v>52547000</v>
      </c>
      <c r="M570" s="5">
        <v>1.1777</v>
      </c>
    </row>
    <row r="571" spans="1:13" x14ac:dyDescent="0.3">
      <c r="A571" s="5">
        <v>9</v>
      </c>
      <c r="B571" s="5" t="s">
        <v>92</v>
      </c>
      <c r="C571" s="5" t="s">
        <v>87</v>
      </c>
      <c r="D571" s="5">
        <v>2024</v>
      </c>
      <c r="E571" s="5">
        <v>4</v>
      </c>
      <c r="F571" s="5" t="s">
        <v>61</v>
      </c>
      <c r="G571" s="5">
        <v>66199299</v>
      </c>
      <c r="H571" s="5">
        <v>57272910.149999999</v>
      </c>
      <c r="I571" s="5">
        <v>997</v>
      </c>
      <c r="J571" s="5">
        <v>8926388.8499999996</v>
      </c>
      <c r="K571" s="5">
        <v>0.1348</v>
      </c>
      <c r="L571" s="5">
        <v>56248000</v>
      </c>
      <c r="M571" s="5">
        <v>1.1769000000000001</v>
      </c>
    </row>
    <row r="572" spans="1:13" x14ac:dyDescent="0.3">
      <c r="A572" s="5">
        <v>9</v>
      </c>
      <c r="B572" s="5" t="s">
        <v>92</v>
      </c>
      <c r="C572" s="5" t="s">
        <v>87</v>
      </c>
      <c r="D572" s="5">
        <v>2024</v>
      </c>
      <c r="E572" s="5">
        <v>5</v>
      </c>
      <c r="F572" s="5" t="s">
        <v>62</v>
      </c>
      <c r="G572" s="5">
        <v>66192563</v>
      </c>
      <c r="H572" s="5">
        <v>58164717.890000001</v>
      </c>
      <c r="I572" s="5">
        <v>991</v>
      </c>
      <c r="J572" s="5">
        <v>8027845.1100000003</v>
      </c>
      <c r="K572" s="5">
        <v>0.12130000000000001</v>
      </c>
      <c r="L572" s="5">
        <v>55153000</v>
      </c>
      <c r="M572" s="5">
        <v>1.2001999999999999</v>
      </c>
    </row>
    <row r="573" spans="1:13" x14ac:dyDescent="0.3">
      <c r="A573" s="5">
        <v>9</v>
      </c>
      <c r="B573" s="5" t="s">
        <v>92</v>
      </c>
      <c r="C573" s="5" t="s">
        <v>87</v>
      </c>
      <c r="D573" s="5">
        <v>2024</v>
      </c>
      <c r="E573" s="5">
        <v>6</v>
      </c>
      <c r="F573" s="5" t="s">
        <v>63</v>
      </c>
      <c r="G573" s="5">
        <v>65782041</v>
      </c>
      <c r="H573" s="5">
        <v>54925825.229999997</v>
      </c>
      <c r="I573" s="5">
        <v>990</v>
      </c>
      <c r="J573" s="5">
        <v>10856215.77</v>
      </c>
      <c r="K573" s="5">
        <v>0.16500000000000001</v>
      </c>
      <c r="L573" s="5">
        <v>55432000</v>
      </c>
      <c r="M573" s="5">
        <v>1.1867000000000001</v>
      </c>
    </row>
    <row r="574" spans="1:13" x14ac:dyDescent="0.3">
      <c r="A574" s="5">
        <v>9</v>
      </c>
      <c r="B574" s="5" t="s">
        <v>92</v>
      </c>
      <c r="C574" s="5" t="s">
        <v>87</v>
      </c>
      <c r="D574" s="5">
        <v>2024</v>
      </c>
      <c r="E574" s="5">
        <v>7</v>
      </c>
      <c r="F574" s="5" t="s">
        <v>64</v>
      </c>
      <c r="G574" s="5">
        <v>70739004</v>
      </c>
      <c r="H574" s="5">
        <v>60677443.560000002</v>
      </c>
      <c r="I574" s="5">
        <v>953</v>
      </c>
      <c r="J574" s="5">
        <v>10061560.439999999</v>
      </c>
      <c r="K574" s="5">
        <v>0.14219999999999999</v>
      </c>
      <c r="L574" s="5">
        <v>58255000</v>
      </c>
      <c r="M574" s="5">
        <v>1.2142999999999999</v>
      </c>
    </row>
    <row r="575" spans="1:13" x14ac:dyDescent="0.3">
      <c r="A575" s="5">
        <v>9</v>
      </c>
      <c r="B575" s="5" t="s">
        <v>92</v>
      </c>
      <c r="C575" s="5" t="s">
        <v>87</v>
      </c>
      <c r="D575" s="5">
        <v>2024</v>
      </c>
      <c r="E575" s="5">
        <v>8</v>
      </c>
      <c r="F575" s="5" t="s">
        <v>65</v>
      </c>
      <c r="G575" s="5">
        <v>68930175</v>
      </c>
      <c r="H575" s="5">
        <v>59085058.590000004</v>
      </c>
      <c r="I575" s="5">
        <v>1014</v>
      </c>
      <c r="J575" s="5">
        <v>9845116.4100000001</v>
      </c>
      <c r="K575" s="5">
        <v>0.14280000000000001</v>
      </c>
      <c r="L575" s="5">
        <v>59799000</v>
      </c>
      <c r="M575" s="5">
        <v>1.1527000000000001</v>
      </c>
    </row>
    <row r="576" spans="1:13" x14ac:dyDescent="0.3">
      <c r="A576" s="5">
        <v>9</v>
      </c>
      <c r="B576" s="5" t="s">
        <v>92</v>
      </c>
      <c r="C576" s="5" t="s">
        <v>87</v>
      </c>
      <c r="D576" s="5">
        <v>2024</v>
      </c>
      <c r="E576" s="5">
        <v>9</v>
      </c>
      <c r="F576" s="5" t="s">
        <v>66</v>
      </c>
      <c r="G576" s="5">
        <v>81159914</v>
      </c>
      <c r="H576" s="5">
        <v>66645774.450000003</v>
      </c>
      <c r="I576" s="5">
        <v>1096</v>
      </c>
      <c r="J576" s="5">
        <v>14514139.550000001</v>
      </c>
      <c r="K576" s="5">
        <v>0.17879999999999999</v>
      </c>
      <c r="L576" s="5">
        <v>70474000</v>
      </c>
      <c r="M576" s="5">
        <v>1.1516</v>
      </c>
    </row>
    <row r="577" spans="1:13" x14ac:dyDescent="0.3">
      <c r="A577" s="5">
        <v>9</v>
      </c>
      <c r="B577" s="5" t="s">
        <v>92</v>
      </c>
      <c r="C577" s="5" t="s">
        <v>87</v>
      </c>
      <c r="D577" s="5">
        <v>2024</v>
      </c>
      <c r="E577" s="5">
        <v>10</v>
      </c>
      <c r="F577" s="5" t="s">
        <v>67</v>
      </c>
      <c r="G577" s="5">
        <v>104229595</v>
      </c>
      <c r="H577" s="5">
        <v>84113142.049999997</v>
      </c>
      <c r="I577" s="5">
        <v>1363</v>
      </c>
      <c r="J577" s="5">
        <v>20116452.949999999</v>
      </c>
      <c r="K577" s="5">
        <v>0.193</v>
      </c>
      <c r="L577" s="5">
        <v>85343000</v>
      </c>
      <c r="M577" s="5">
        <v>1.2213000000000001</v>
      </c>
    </row>
    <row r="578" spans="1:13" x14ac:dyDescent="0.3">
      <c r="A578" s="5">
        <v>9</v>
      </c>
      <c r="B578" s="5" t="s">
        <v>92</v>
      </c>
      <c r="C578" s="5" t="s">
        <v>87</v>
      </c>
      <c r="D578" s="5">
        <v>2024</v>
      </c>
      <c r="E578" s="5">
        <v>11</v>
      </c>
      <c r="F578" s="5" t="s">
        <v>68</v>
      </c>
      <c r="G578" s="5">
        <v>101701220</v>
      </c>
      <c r="H578" s="5">
        <v>84815252.230000004</v>
      </c>
      <c r="I578" s="5">
        <v>1456</v>
      </c>
      <c r="J578" s="5">
        <v>16885967.77</v>
      </c>
      <c r="K578" s="5">
        <v>0.16600000000000001</v>
      </c>
      <c r="L578" s="5">
        <v>86382000</v>
      </c>
      <c r="M578" s="5">
        <v>1.1773</v>
      </c>
    </row>
    <row r="579" spans="1:13" x14ac:dyDescent="0.3">
      <c r="A579" s="5">
        <v>9</v>
      </c>
      <c r="B579" s="5" t="s">
        <v>92</v>
      </c>
      <c r="C579" s="5" t="s">
        <v>87</v>
      </c>
      <c r="D579" s="5">
        <v>2024</v>
      </c>
      <c r="E579" s="5">
        <v>12</v>
      </c>
      <c r="F579" s="5" t="s">
        <v>69</v>
      </c>
      <c r="G579" s="5">
        <v>102763407</v>
      </c>
      <c r="H579" s="5">
        <v>82395550.319999993</v>
      </c>
      <c r="I579" s="5">
        <v>1401</v>
      </c>
      <c r="J579" s="5">
        <v>20367856.68</v>
      </c>
      <c r="K579" s="5">
        <v>0.19819999999999999</v>
      </c>
      <c r="L579" s="5">
        <v>90056000</v>
      </c>
      <c r="M579" s="5">
        <v>1.1411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P5762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11" customWidth="1"/>
    <col min="4" max="4" width="16" customWidth="1"/>
    <col min="5" max="8" width="10" customWidth="1"/>
    <col min="9" max="9" width="13" customWidth="1"/>
    <col min="10" max="10" width="10" customWidth="1"/>
    <col min="11" max="12" width="15" customWidth="1"/>
    <col min="13" max="14" width="12" customWidth="1"/>
    <col min="15" max="15" width="14" customWidth="1"/>
    <col min="16" max="16" width="15" customWidth="1"/>
  </cols>
  <sheetData>
    <row r="1" spans="1:16" x14ac:dyDescent="0.3">
      <c r="A1" s="8" t="s">
        <v>93</v>
      </c>
    </row>
    <row r="3" spans="1:16" x14ac:dyDescent="0.3">
      <c r="A3" s="9" t="s">
        <v>94</v>
      </c>
      <c r="B3" s="9" t="s">
        <v>95</v>
      </c>
      <c r="C3" s="9" t="s">
        <v>71</v>
      </c>
      <c r="D3" s="9" t="s">
        <v>72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96</v>
      </c>
      <c r="L3" s="9" t="s">
        <v>97</v>
      </c>
      <c r="M3" s="9" t="s">
        <v>20</v>
      </c>
      <c r="N3" s="9" t="s">
        <v>21</v>
      </c>
      <c r="O3" s="9" t="s">
        <v>98</v>
      </c>
      <c r="P3" s="9" t="s">
        <v>99</v>
      </c>
    </row>
    <row r="4" spans="1:16" x14ac:dyDescent="0.3">
      <c r="A4" s="5">
        <v>82</v>
      </c>
      <c r="B4" s="5" t="s">
        <v>100</v>
      </c>
      <c r="C4" s="5">
        <v>4</v>
      </c>
      <c r="D4" s="5" t="s">
        <v>78</v>
      </c>
      <c r="E4" s="5">
        <v>2021</v>
      </c>
      <c r="F4" s="5">
        <v>1</v>
      </c>
      <c r="G4" s="5" t="s">
        <v>22</v>
      </c>
      <c r="H4" s="5">
        <v>4451189</v>
      </c>
      <c r="I4" s="5">
        <v>4074748.08</v>
      </c>
      <c r="J4" s="5">
        <v>79</v>
      </c>
      <c r="K4" s="5">
        <v>826353</v>
      </c>
      <c r="L4" s="5">
        <v>5268320</v>
      </c>
      <c r="M4" s="5">
        <v>376440.92</v>
      </c>
      <c r="N4" s="5">
        <v>8.4599999999999995E-2</v>
      </c>
      <c r="O4" s="5">
        <v>4</v>
      </c>
      <c r="P4" s="5">
        <v>86498</v>
      </c>
    </row>
    <row r="5" spans="1:16" x14ac:dyDescent="0.3">
      <c r="A5" s="5">
        <v>82</v>
      </c>
      <c r="B5" s="5" t="s">
        <v>100</v>
      </c>
      <c r="C5" s="5">
        <v>4</v>
      </c>
      <c r="D5" s="5" t="s">
        <v>78</v>
      </c>
      <c r="E5" s="5">
        <v>2021</v>
      </c>
      <c r="F5" s="5">
        <v>2</v>
      </c>
      <c r="G5" s="5" t="s">
        <v>23</v>
      </c>
      <c r="H5" s="5">
        <v>4971793</v>
      </c>
      <c r="I5" s="5">
        <v>4327551.4400000004</v>
      </c>
      <c r="J5" s="5">
        <v>88</v>
      </c>
      <c r="K5" s="5">
        <v>610040</v>
      </c>
      <c r="L5" s="5">
        <v>5560190</v>
      </c>
      <c r="M5" s="5">
        <v>644241.56000000006</v>
      </c>
      <c r="N5" s="5">
        <v>0.12959999999999999</v>
      </c>
      <c r="O5" s="5">
        <v>5</v>
      </c>
      <c r="P5" s="5">
        <v>173374</v>
      </c>
    </row>
    <row r="6" spans="1:16" x14ac:dyDescent="0.3">
      <c r="A6" s="5">
        <v>82</v>
      </c>
      <c r="B6" s="5" t="s">
        <v>100</v>
      </c>
      <c r="C6" s="5">
        <v>4</v>
      </c>
      <c r="D6" s="5" t="s">
        <v>78</v>
      </c>
      <c r="E6" s="5">
        <v>2021</v>
      </c>
      <c r="F6" s="5">
        <v>3</v>
      </c>
      <c r="G6" s="5" t="s">
        <v>24</v>
      </c>
      <c r="H6" s="5">
        <v>5640965</v>
      </c>
      <c r="I6" s="5">
        <v>4593880.5199999996</v>
      </c>
      <c r="J6" s="5">
        <v>68</v>
      </c>
      <c r="K6" s="5">
        <v>303127</v>
      </c>
      <c r="L6" s="5">
        <v>5919100</v>
      </c>
      <c r="M6" s="5">
        <v>1047084.48</v>
      </c>
      <c r="N6" s="5">
        <v>0.18559999999999999</v>
      </c>
      <c r="O6" s="5">
        <v>2</v>
      </c>
      <c r="P6" s="5">
        <v>7560</v>
      </c>
    </row>
    <row r="7" spans="1:16" x14ac:dyDescent="0.3">
      <c r="A7" s="5">
        <v>82</v>
      </c>
      <c r="B7" s="5" t="s">
        <v>100</v>
      </c>
      <c r="C7" s="5">
        <v>4</v>
      </c>
      <c r="D7" s="5" t="s">
        <v>78</v>
      </c>
      <c r="E7" s="5">
        <v>2021</v>
      </c>
      <c r="F7" s="5">
        <v>4</v>
      </c>
      <c r="G7" s="5" t="s">
        <v>25</v>
      </c>
      <c r="H7" s="5">
        <v>5911953</v>
      </c>
      <c r="I7" s="5">
        <v>5071903.97</v>
      </c>
      <c r="J7" s="5">
        <v>94</v>
      </c>
      <c r="K7" s="5">
        <v>608849</v>
      </c>
      <c r="L7" s="5">
        <v>6503760</v>
      </c>
      <c r="M7" s="5">
        <v>840049.03</v>
      </c>
      <c r="N7" s="5">
        <v>0.1421</v>
      </c>
      <c r="O7" s="5">
        <v>7</v>
      </c>
      <c r="P7" s="5">
        <v>174962</v>
      </c>
    </row>
    <row r="8" spans="1:16" x14ac:dyDescent="0.3">
      <c r="A8" s="5">
        <v>82</v>
      </c>
      <c r="B8" s="5" t="s">
        <v>100</v>
      </c>
      <c r="C8" s="5">
        <v>4</v>
      </c>
      <c r="D8" s="5" t="s">
        <v>78</v>
      </c>
      <c r="E8" s="5">
        <v>2021</v>
      </c>
      <c r="F8" s="5">
        <v>5</v>
      </c>
      <c r="G8" s="5" t="s">
        <v>26</v>
      </c>
      <c r="H8" s="5">
        <v>5659236</v>
      </c>
      <c r="I8" s="5">
        <v>5081764.59</v>
      </c>
      <c r="J8" s="5">
        <v>90</v>
      </c>
      <c r="K8" s="5">
        <v>846908</v>
      </c>
      <c r="L8" s="5">
        <v>6478060</v>
      </c>
      <c r="M8" s="5">
        <v>577471.41</v>
      </c>
      <c r="N8" s="5">
        <v>0.10199999999999999</v>
      </c>
      <c r="O8" s="5">
        <v>11</v>
      </c>
      <c r="P8" s="5">
        <v>292299</v>
      </c>
    </row>
    <row r="9" spans="1:16" x14ac:dyDescent="0.3">
      <c r="A9" s="5">
        <v>82</v>
      </c>
      <c r="B9" s="5" t="s">
        <v>100</v>
      </c>
      <c r="C9" s="5">
        <v>4</v>
      </c>
      <c r="D9" s="5" t="s">
        <v>78</v>
      </c>
      <c r="E9" s="5">
        <v>2021</v>
      </c>
      <c r="F9" s="5">
        <v>6</v>
      </c>
      <c r="G9" s="5" t="s">
        <v>27</v>
      </c>
      <c r="H9" s="5">
        <v>6963757</v>
      </c>
      <c r="I9" s="5">
        <v>6069429.1500000004</v>
      </c>
      <c r="J9" s="5">
        <v>111</v>
      </c>
      <c r="K9" s="5">
        <v>754315</v>
      </c>
      <c r="L9" s="5">
        <v>7699210</v>
      </c>
      <c r="M9" s="5">
        <v>894327.85</v>
      </c>
      <c r="N9" s="5">
        <v>0.12839999999999999</v>
      </c>
      <c r="O9" s="5">
        <v>2</v>
      </c>
      <c r="P9" s="5">
        <v>57497</v>
      </c>
    </row>
    <row r="10" spans="1:16" x14ac:dyDescent="0.3">
      <c r="A10" s="5">
        <v>82</v>
      </c>
      <c r="B10" s="5" t="s">
        <v>100</v>
      </c>
      <c r="C10" s="5">
        <v>4</v>
      </c>
      <c r="D10" s="5" t="s">
        <v>78</v>
      </c>
      <c r="E10" s="5">
        <v>2021</v>
      </c>
      <c r="F10" s="5">
        <v>7</v>
      </c>
      <c r="G10" s="5" t="s">
        <v>28</v>
      </c>
      <c r="H10" s="5">
        <v>6995955</v>
      </c>
      <c r="I10" s="5">
        <v>6004837.6600000001</v>
      </c>
      <c r="J10" s="5">
        <v>96</v>
      </c>
      <c r="K10" s="5">
        <v>773574</v>
      </c>
      <c r="L10" s="5">
        <v>7748250</v>
      </c>
      <c r="M10" s="5">
        <v>991117.34</v>
      </c>
      <c r="N10" s="5">
        <v>0.14169999999999999</v>
      </c>
      <c r="O10" s="5">
        <v>8</v>
      </c>
      <c r="P10" s="5">
        <v>485994</v>
      </c>
    </row>
    <row r="11" spans="1:16" x14ac:dyDescent="0.3">
      <c r="A11" s="5">
        <v>82</v>
      </c>
      <c r="B11" s="5" t="s">
        <v>100</v>
      </c>
      <c r="C11" s="5">
        <v>4</v>
      </c>
      <c r="D11" s="5" t="s">
        <v>78</v>
      </c>
      <c r="E11" s="5">
        <v>2021</v>
      </c>
      <c r="F11" s="5">
        <v>8</v>
      </c>
      <c r="G11" s="5" t="s">
        <v>29</v>
      </c>
      <c r="H11" s="5">
        <v>6693632</v>
      </c>
      <c r="I11" s="5">
        <v>5829583.7699999996</v>
      </c>
      <c r="J11" s="5">
        <v>97</v>
      </c>
      <c r="K11" s="5">
        <v>759863</v>
      </c>
      <c r="L11" s="5">
        <v>7431370</v>
      </c>
      <c r="M11" s="5">
        <v>864048.23</v>
      </c>
      <c r="N11" s="5">
        <v>0.12909999999999999</v>
      </c>
      <c r="O11" s="5">
        <v>8</v>
      </c>
      <c r="P11" s="5">
        <v>222499</v>
      </c>
    </row>
    <row r="12" spans="1:16" x14ac:dyDescent="0.3">
      <c r="A12" s="5">
        <v>82</v>
      </c>
      <c r="B12" s="5" t="s">
        <v>100</v>
      </c>
      <c r="C12" s="5">
        <v>4</v>
      </c>
      <c r="D12" s="5" t="s">
        <v>78</v>
      </c>
      <c r="E12" s="5">
        <v>2021</v>
      </c>
      <c r="F12" s="5">
        <v>9</v>
      </c>
      <c r="G12" s="5" t="s">
        <v>30</v>
      </c>
      <c r="H12" s="5">
        <v>6657458</v>
      </c>
      <c r="I12" s="5">
        <v>5866035.6100000003</v>
      </c>
      <c r="J12" s="5">
        <v>99</v>
      </c>
      <c r="K12" s="5">
        <v>917483</v>
      </c>
      <c r="L12" s="5">
        <v>7561620</v>
      </c>
      <c r="M12" s="5">
        <v>791422.39</v>
      </c>
      <c r="N12" s="5">
        <v>0.11890000000000001</v>
      </c>
      <c r="O12" s="5">
        <v>15</v>
      </c>
      <c r="P12" s="5">
        <v>153855</v>
      </c>
    </row>
    <row r="13" spans="1:16" x14ac:dyDescent="0.3">
      <c r="A13" s="5">
        <v>82</v>
      </c>
      <c r="B13" s="5" t="s">
        <v>100</v>
      </c>
      <c r="C13" s="5">
        <v>4</v>
      </c>
      <c r="D13" s="5" t="s">
        <v>78</v>
      </c>
      <c r="E13" s="5">
        <v>2021</v>
      </c>
      <c r="F13" s="5">
        <v>10</v>
      </c>
      <c r="G13" s="5" t="s">
        <v>31</v>
      </c>
      <c r="H13" s="5">
        <v>9008786</v>
      </c>
      <c r="I13" s="5">
        <v>7619380.0099999998</v>
      </c>
      <c r="J13" s="5">
        <v>121</v>
      </c>
      <c r="K13" s="5">
        <v>641819</v>
      </c>
      <c r="L13" s="5">
        <v>9618710</v>
      </c>
      <c r="M13" s="5">
        <v>1389405.99</v>
      </c>
      <c r="N13" s="5">
        <v>0.1542</v>
      </c>
      <c r="O13" s="5">
        <v>9</v>
      </c>
      <c r="P13" s="5">
        <v>314728</v>
      </c>
    </row>
    <row r="14" spans="1:16" x14ac:dyDescent="0.3">
      <c r="A14" s="5">
        <v>82</v>
      </c>
      <c r="B14" s="5" t="s">
        <v>100</v>
      </c>
      <c r="C14" s="5">
        <v>4</v>
      </c>
      <c r="D14" s="5" t="s">
        <v>78</v>
      </c>
      <c r="E14" s="5">
        <v>2021</v>
      </c>
      <c r="F14" s="5">
        <v>11</v>
      </c>
      <c r="G14" s="5" t="s">
        <v>32</v>
      </c>
      <c r="H14" s="5">
        <v>9076033</v>
      </c>
      <c r="I14" s="5">
        <v>7614981.2300000004</v>
      </c>
      <c r="J14" s="5">
        <v>138</v>
      </c>
      <c r="K14" s="5">
        <v>731062</v>
      </c>
      <c r="L14" s="5">
        <v>9785670</v>
      </c>
      <c r="M14" s="5">
        <v>1461051.77</v>
      </c>
      <c r="N14" s="5">
        <v>0.161</v>
      </c>
      <c r="O14" s="5">
        <v>8</v>
      </c>
      <c r="P14" s="5">
        <v>321018</v>
      </c>
    </row>
    <row r="15" spans="1:16" x14ac:dyDescent="0.3">
      <c r="A15" s="5">
        <v>82</v>
      </c>
      <c r="B15" s="5" t="s">
        <v>100</v>
      </c>
      <c r="C15" s="5">
        <v>4</v>
      </c>
      <c r="D15" s="5" t="s">
        <v>78</v>
      </c>
      <c r="E15" s="5">
        <v>2021</v>
      </c>
      <c r="F15" s="5">
        <v>12</v>
      </c>
      <c r="G15" s="5" t="s">
        <v>33</v>
      </c>
      <c r="H15" s="5">
        <v>10251721</v>
      </c>
      <c r="I15" s="5">
        <v>8574233.9600000009</v>
      </c>
      <c r="J15" s="5">
        <v>142</v>
      </c>
      <c r="K15" s="5">
        <v>803057</v>
      </c>
      <c r="L15" s="5">
        <v>11019830</v>
      </c>
      <c r="M15" s="5">
        <v>1677487.04</v>
      </c>
      <c r="N15" s="5">
        <v>0.1636</v>
      </c>
      <c r="O15" s="5">
        <v>10</v>
      </c>
      <c r="P15" s="5">
        <v>239266</v>
      </c>
    </row>
    <row r="16" spans="1:16" x14ac:dyDescent="0.3">
      <c r="A16" s="5">
        <v>82</v>
      </c>
      <c r="B16" s="5" t="s">
        <v>100</v>
      </c>
      <c r="C16" s="5">
        <v>4</v>
      </c>
      <c r="D16" s="5" t="s">
        <v>78</v>
      </c>
      <c r="E16" s="5">
        <v>2022</v>
      </c>
      <c r="F16" s="5">
        <v>1</v>
      </c>
      <c r="G16" s="5" t="s">
        <v>34</v>
      </c>
      <c r="H16" s="5">
        <v>6965194</v>
      </c>
      <c r="I16" s="5">
        <v>5746234.9800000004</v>
      </c>
      <c r="J16" s="5">
        <v>125</v>
      </c>
      <c r="K16" s="5">
        <v>515801</v>
      </c>
      <c r="L16" s="5">
        <v>7451030</v>
      </c>
      <c r="M16" s="5">
        <v>1218959.02</v>
      </c>
      <c r="N16" s="5">
        <v>0.17499999999999999</v>
      </c>
      <c r="O16" s="5">
        <v>8</v>
      </c>
      <c r="P16" s="5">
        <v>287856</v>
      </c>
    </row>
    <row r="17" spans="1:16" x14ac:dyDescent="0.3">
      <c r="A17" s="5">
        <v>82</v>
      </c>
      <c r="B17" s="5" t="s">
        <v>100</v>
      </c>
      <c r="C17" s="5">
        <v>4</v>
      </c>
      <c r="D17" s="5" t="s">
        <v>78</v>
      </c>
      <c r="E17" s="5">
        <v>2022</v>
      </c>
      <c r="F17" s="5">
        <v>2</v>
      </c>
      <c r="G17" s="5" t="s">
        <v>35</v>
      </c>
      <c r="H17" s="5">
        <v>6289183</v>
      </c>
      <c r="I17" s="5">
        <v>5366990.5999999996</v>
      </c>
      <c r="J17" s="5">
        <v>106</v>
      </c>
      <c r="K17" s="5">
        <v>689593</v>
      </c>
      <c r="L17" s="5">
        <v>6965420</v>
      </c>
      <c r="M17" s="5">
        <v>922192.4</v>
      </c>
      <c r="N17" s="5">
        <v>0.14660000000000001</v>
      </c>
      <c r="O17" s="5">
        <v>15</v>
      </c>
      <c r="P17" s="5">
        <v>404628</v>
      </c>
    </row>
    <row r="18" spans="1:16" x14ac:dyDescent="0.3">
      <c r="A18" s="5">
        <v>82</v>
      </c>
      <c r="B18" s="5" t="s">
        <v>100</v>
      </c>
      <c r="C18" s="5">
        <v>4</v>
      </c>
      <c r="D18" s="5" t="s">
        <v>78</v>
      </c>
      <c r="E18" s="5">
        <v>2022</v>
      </c>
      <c r="F18" s="5">
        <v>3</v>
      </c>
      <c r="G18" s="5" t="s">
        <v>36</v>
      </c>
      <c r="H18" s="5">
        <v>6987477</v>
      </c>
      <c r="I18" s="5">
        <v>5811005.3200000003</v>
      </c>
      <c r="J18" s="5">
        <v>119</v>
      </c>
      <c r="K18" s="5">
        <v>672790</v>
      </c>
      <c r="L18" s="5">
        <v>7637650</v>
      </c>
      <c r="M18" s="5">
        <v>1176471.68</v>
      </c>
      <c r="N18" s="5">
        <v>0.16839999999999999</v>
      </c>
      <c r="O18" s="5">
        <v>10</v>
      </c>
      <c r="P18" s="5">
        <v>308086</v>
      </c>
    </row>
    <row r="19" spans="1:16" x14ac:dyDescent="0.3">
      <c r="A19" s="5">
        <v>82</v>
      </c>
      <c r="B19" s="5" t="s">
        <v>100</v>
      </c>
      <c r="C19" s="5">
        <v>4</v>
      </c>
      <c r="D19" s="5" t="s">
        <v>78</v>
      </c>
      <c r="E19" s="5">
        <v>2022</v>
      </c>
      <c r="F19" s="5">
        <v>4</v>
      </c>
      <c r="G19" s="5" t="s">
        <v>37</v>
      </c>
      <c r="H19" s="5">
        <v>8651852</v>
      </c>
      <c r="I19" s="5">
        <v>7457397.1200000001</v>
      </c>
      <c r="J19" s="5">
        <v>142</v>
      </c>
      <c r="K19" s="5">
        <v>1007000</v>
      </c>
      <c r="L19" s="5">
        <v>9640440</v>
      </c>
      <c r="M19" s="5">
        <v>1194454.8799999999</v>
      </c>
      <c r="N19" s="5">
        <v>0.1381</v>
      </c>
      <c r="O19" s="5">
        <v>7</v>
      </c>
      <c r="P19" s="5">
        <v>292567</v>
      </c>
    </row>
    <row r="20" spans="1:16" x14ac:dyDescent="0.3">
      <c r="A20" s="5">
        <v>82</v>
      </c>
      <c r="B20" s="5" t="s">
        <v>100</v>
      </c>
      <c r="C20" s="5">
        <v>4</v>
      </c>
      <c r="D20" s="5" t="s">
        <v>78</v>
      </c>
      <c r="E20" s="5">
        <v>2022</v>
      </c>
      <c r="F20" s="5">
        <v>5</v>
      </c>
      <c r="G20" s="5" t="s">
        <v>38</v>
      </c>
      <c r="H20" s="5">
        <v>9656264</v>
      </c>
      <c r="I20" s="5">
        <v>8573407.3800000008</v>
      </c>
      <c r="J20" s="5">
        <v>141</v>
      </c>
      <c r="K20" s="5">
        <v>1427317</v>
      </c>
      <c r="L20" s="5">
        <v>11048500</v>
      </c>
      <c r="M20" s="5">
        <v>1082856.6200000001</v>
      </c>
      <c r="N20" s="5">
        <v>0.11210000000000001</v>
      </c>
      <c r="O20" s="5">
        <v>14</v>
      </c>
      <c r="P20" s="5">
        <v>533940</v>
      </c>
    </row>
    <row r="21" spans="1:16" x14ac:dyDescent="0.3">
      <c r="A21" s="5">
        <v>82</v>
      </c>
      <c r="B21" s="5" t="s">
        <v>100</v>
      </c>
      <c r="C21" s="5">
        <v>4</v>
      </c>
      <c r="D21" s="5" t="s">
        <v>78</v>
      </c>
      <c r="E21" s="5">
        <v>2022</v>
      </c>
      <c r="F21" s="5">
        <v>6</v>
      </c>
      <c r="G21" s="5" t="s">
        <v>39</v>
      </c>
      <c r="H21" s="5">
        <v>11148069</v>
      </c>
      <c r="I21" s="5">
        <v>9555905.1799999997</v>
      </c>
      <c r="J21" s="5">
        <v>152</v>
      </c>
      <c r="K21" s="5">
        <v>1277394</v>
      </c>
      <c r="L21" s="5">
        <v>12378930</v>
      </c>
      <c r="M21" s="5">
        <v>1592163.82</v>
      </c>
      <c r="N21" s="5">
        <v>0.14280000000000001</v>
      </c>
      <c r="O21" s="5">
        <v>13</v>
      </c>
      <c r="P21" s="5">
        <v>721506</v>
      </c>
    </row>
    <row r="22" spans="1:16" x14ac:dyDescent="0.3">
      <c r="A22" s="5">
        <v>82</v>
      </c>
      <c r="B22" s="5" t="s">
        <v>100</v>
      </c>
      <c r="C22" s="5">
        <v>4</v>
      </c>
      <c r="D22" s="5" t="s">
        <v>78</v>
      </c>
      <c r="E22" s="5">
        <v>2022</v>
      </c>
      <c r="F22" s="5">
        <v>7</v>
      </c>
      <c r="G22" s="5" t="s">
        <v>40</v>
      </c>
      <c r="H22" s="5">
        <v>8187153</v>
      </c>
      <c r="I22" s="5">
        <v>7075297.8200000003</v>
      </c>
      <c r="J22" s="5">
        <v>146</v>
      </c>
      <c r="K22" s="5">
        <v>1054062</v>
      </c>
      <c r="L22" s="5">
        <v>9211770</v>
      </c>
      <c r="M22" s="5">
        <v>1111855.18</v>
      </c>
      <c r="N22" s="5">
        <v>0.1358</v>
      </c>
      <c r="O22" s="5">
        <v>9</v>
      </c>
      <c r="P22" s="5">
        <v>439148</v>
      </c>
    </row>
    <row r="23" spans="1:16" x14ac:dyDescent="0.3">
      <c r="A23" s="5">
        <v>82</v>
      </c>
      <c r="B23" s="5" t="s">
        <v>100</v>
      </c>
      <c r="C23" s="5">
        <v>4</v>
      </c>
      <c r="D23" s="5" t="s">
        <v>78</v>
      </c>
      <c r="E23" s="5">
        <v>2022</v>
      </c>
      <c r="F23" s="5">
        <v>8</v>
      </c>
      <c r="G23" s="5" t="s">
        <v>41</v>
      </c>
      <c r="H23" s="5">
        <v>8706913</v>
      </c>
      <c r="I23" s="5">
        <v>7896662.6399999997</v>
      </c>
      <c r="J23" s="5">
        <v>154</v>
      </c>
      <c r="K23" s="5">
        <v>1474590</v>
      </c>
      <c r="L23" s="5">
        <v>10148660</v>
      </c>
      <c r="M23" s="5">
        <v>810250.36</v>
      </c>
      <c r="N23" s="5">
        <v>9.3100000000000002E-2</v>
      </c>
      <c r="O23" s="5">
        <v>18</v>
      </c>
      <c r="P23" s="5">
        <v>551881</v>
      </c>
    </row>
    <row r="24" spans="1:16" x14ac:dyDescent="0.3">
      <c r="A24" s="5">
        <v>82</v>
      </c>
      <c r="B24" s="5" t="s">
        <v>100</v>
      </c>
      <c r="C24" s="5">
        <v>4</v>
      </c>
      <c r="D24" s="5" t="s">
        <v>78</v>
      </c>
      <c r="E24" s="5">
        <v>2022</v>
      </c>
      <c r="F24" s="5">
        <v>9</v>
      </c>
      <c r="G24" s="5" t="s">
        <v>42</v>
      </c>
      <c r="H24" s="5">
        <v>8453846</v>
      </c>
      <c r="I24" s="5">
        <v>7619385.54</v>
      </c>
      <c r="J24" s="5">
        <v>139</v>
      </c>
      <c r="K24" s="5">
        <v>1351520</v>
      </c>
      <c r="L24" s="5">
        <v>9787960</v>
      </c>
      <c r="M24" s="5">
        <v>834460.46</v>
      </c>
      <c r="N24" s="5">
        <v>9.8699999999999996E-2</v>
      </c>
      <c r="O24" s="5">
        <v>11</v>
      </c>
      <c r="P24" s="5">
        <v>298397</v>
      </c>
    </row>
    <row r="25" spans="1:16" x14ac:dyDescent="0.3">
      <c r="A25" s="5">
        <v>82</v>
      </c>
      <c r="B25" s="5" t="s">
        <v>100</v>
      </c>
      <c r="C25" s="5">
        <v>4</v>
      </c>
      <c r="D25" s="5" t="s">
        <v>78</v>
      </c>
      <c r="E25" s="5">
        <v>2022</v>
      </c>
      <c r="F25" s="5">
        <v>10</v>
      </c>
      <c r="G25" s="5" t="s">
        <v>43</v>
      </c>
      <c r="H25" s="5">
        <v>12549133</v>
      </c>
      <c r="I25" s="5">
        <v>11190775.199999999</v>
      </c>
      <c r="J25" s="5">
        <v>194</v>
      </c>
      <c r="K25" s="5">
        <v>1900297</v>
      </c>
      <c r="L25" s="5">
        <v>14391860</v>
      </c>
      <c r="M25" s="5">
        <v>1358357.8</v>
      </c>
      <c r="N25" s="5">
        <v>0.1082</v>
      </c>
      <c r="O25" s="5">
        <v>17</v>
      </c>
      <c r="P25" s="5">
        <v>643500</v>
      </c>
    </row>
    <row r="26" spans="1:16" x14ac:dyDescent="0.3">
      <c r="A26" s="5">
        <v>82</v>
      </c>
      <c r="B26" s="5" t="s">
        <v>100</v>
      </c>
      <c r="C26" s="5">
        <v>4</v>
      </c>
      <c r="D26" s="5" t="s">
        <v>78</v>
      </c>
      <c r="E26" s="5">
        <v>2022</v>
      </c>
      <c r="F26" s="5">
        <v>11</v>
      </c>
      <c r="G26" s="5" t="s">
        <v>44</v>
      </c>
      <c r="H26" s="5">
        <v>12269174</v>
      </c>
      <c r="I26" s="5">
        <v>10344645.76</v>
      </c>
      <c r="J26" s="5">
        <v>188</v>
      </c>
      <c r="K26" s="5">
        <v>1121970</v>
      </c>
      <c r="L26" s="5">
        <v>13349720</v>
      </c>
      <c r="M26" s="5">
        <v>1924528.24</v>
      </c>
      <c r="N26" s="5">
        <v>0.15690000000000001</v>
      </c>
      <c r="O26" s="5">
        <v>10</v>
      </c>
      <c r="P26" s="5">
        <v>487233</v>
      </c>
    </row>
    <row r="27" spans="1:16" x14ac:dyDescent="0.3">
      <c r="A27" s="5">
        <v>82</v>
      </c>
      <c r="B27" s="5" t="s">
        <v>100</v>
      </c>
      <c r="C27" s="5">
        <v>4</v>
      </c>
      <c r="D27" s="5" t="s">
        <v>78</v>
      </c>
      <c r="E27" s="5">
        <v>2022</v>
      </c>
      <c r="F27" s="5">
        <v>12</v>
      </c>
      <c r="G27" s="5" t="s">
        <v>45</v>
      </c>
      <c r="H27" s="5">
        <v>15332945</v>
      </c>
      <c r="I27" s="5">
        <v>12794576.689999999</v>
      </c>
      <c r="J27" s="5">
        <v>209</v>
      </c>
      <c r="K27" s="5">
        <v>1199844</v>
      </c>
      <c r="L27" s="5">
        <v>16470200</v>
      </c>
      <c r="M27" s="5">
        <v>2538368.31</v>
      </c>
      <c r="N27" s="5">
        <v>0.16550000000000001</v>
      </c>
      <c r="O27" s="5">
        <v>12</v>
      </c>
      <c r="P27" s="5">
        <v>212694</v>
      </c>
    </row>
    <row r="28" spans="1:16" x14ac:dyDescent="0.3">
      <c r="A28" s="5">
        <v>82</v>
      </c>
      <c r="B28" s="5" t="s">
        <v>100</v>
      </c>
      <c r="C28" s="5">
        <v>4</v>
      </c>
      <c r="D28" s="5" t="s">
        <v>78</v>
      </c>
      <c r="E28" s="5">
        <v>2023</v>
      </c>
      <c r="F28" s="5">
        <v>1</v>
      </c>
      <c r="G28" s="5" t="s">
        <v>46</v>
      </c>
      <c r="H28" s="5">
        <v>9031497</v>
      </c>
      <c r="I28" s="5">
        <v>7746006.0300000003</v>
      </c>
      <c r="J28" s="5">
        <v>129</v>
      </c>
      <c r="K28" s="5">
        <v>1020497</v>
      </c>
      <c r="L28" s="5">
        <v>10030910</v>
      </c>
      <c r="M28" s="5">
        <v>1285490.97</v>
      </c>
      <c r="N28" s="5">
        <v>0.14230000000000001</v>
      </c>
      <c r="O28" s="5">
        <v>10</v>
      </c>
      <c r="P28" s="5">
        <v>194591</v>
      </c>
    </row>
    <row r="29" spans="1:16" x14ac:dyDescent="0.3">
      <c r="A29" s="5">
        <v>82</v>
      </c>
      <c r="B29" s="5" t="s">
        <v>100</v>
      </c>
      <c r="C29" s="5">
        <v>4</v>
      </c>
      <c r="D29" s="5" t="s">
        <v>78</v>
      </c>
      <c r="E29" s="5">
        <v>2023</v>
      </c>
      <c r="F29" s="5">
        <v>2</v>
      </c>
      <c r="G29" s="5" t="s">
        <v>47</v>
      </c>
      <c r="H29" s="5">
        <v>9019950</v>
      </c>
      <c r="I29" s="5">
        <v>7890691.1299999999</v>
      </c>
      <c r="J29" s="5">
        <v>144</v>
      </c>
      <c r="K29" s="5">
        <v>1126012</v>
      </c>
      <c r="L29" s="5">
        <v>10122540</v>
      </c>
      <c r="M29" s="5">
        <v>1129258.8700000001</v>
      </c>
      <c r="N29" s="5">
        <v>0.12520000000000001</v>
      </c>
      <c r="O29" s="5">
        <v>11</v>
      </c>
      <c r="P29" s="5">
        <v>298680</v>
      </c>
    </row>
    <row r="30" spans="1:16" x14ac:dyDescent="0.3">
      <c r="A30" s="5">
        <v>82</v>
      </c>
      <c r="B30" s="5" t="s">
        <v>100</v>
      </c>
      <c r="C30" s="5">
        <v>4</v>
      </c>
      <c r="D30" s="5" t="s">
        <v>78</v>
      </c>
      <c r="E30" s="5">
        <v>2023</v>
      </c>
      <c r="F30" s="5">
        <v>3</v>
      </c>
      <c r="G30" s="5" t="s">
        <v>48</v>
      </c>
      <c r="H30" s="5">
        <v>12355334</v>
      </c>
      <c r="I30" s="5">
        <v>10782389.529999999</v>
      </c>
      <c r="J30" s="5">
        <v>161</v>
      </c>
      <c r="K30" s="5">
        <v>1386339</v>
      </c>
      <c r="L30" s="5">
        <v>13687520</v>
      </c>
      <c r="M30" s="5">
        <v>1572944.47</v>
      </c>
      <c r="N30" s="5">
        <v>0.1273</v>
      </c>
      <c r="O30" s="5">
        <v>10</v>
      </c>
      <c r="P30" s="5">
        <v>535346</v>
      </c>
    </row>
    <row r="31" spans="1:16" x14ac:dyDescent="0.3">
      <c r="A31" s="5">
        <v>82</v>
      </c>
      <c r="B31" s="5" t="s">
        <v>100</v>
      </c>
      <c r="C31" s="5">
        <v>4</v>
      </c>
      <c r="D31" s="5" t="s">
        <v>78</v>
      </c>
      <c r="E31" s="5">
        <v>2023</v>
      </c>
      <c r="F31" s="5">
        <v>4</v>
      </c>
      <c r="G31" s="5" t="s">
        <v>49</v>
      </c>
      <c r="H31" s="5">
        <v>12412123</v>
      </c>
      <c r="I31" s="5">
        <v>10762904.199999999</v>
      </c>
      <c r="J31" s="5">
        <v>198</v>
      </c>
      <c r="K31" s="5">
        <v>1646856</v>
      </c>
      <c r="L31" s="5">
        <v>14015750</v>
      </c>
      <c r="M31" s="5">
        <v>1649218.8</v>
      </c>
      <c r="N31" s="5">
        <v>0.13289999999999999</v>
      </c>
      <c r="O31" s="5">
        <v>24</v>
      </c>
      <c r="P31" s="5">
        <v>525158</v>
      </c>
    </row>
    <row r="32" spans="1:16" x14ac:dyDescent="0.3">
      <c r="A32" s="5">
        <v>82</v>
      </c>
      <c r="B32" s="5" t="s">
        <v>100</v>
      </c>
      <c r="C32" s="5">
        <v>4</v>
      </c>
      <c r="D32" s="5" t="s">
        <v>78</v>
      </c>
      <c r="E32" s="5">
        <v>2023</v>
      </c>
      <c r="F32" s="5">
        <v>5</v>
      </c>
      <c r="G32" s="5" t="s">
        <v>50</v>
      </c>
      <c r="H32" s="5">
        <v>12005433</v>
      </c>
      <c r="I32" s="5">
        <v>10518969.02</v>
      </c>
      <c r="J32" s="5">
        <v>181</v>
      </c>
      <c r="K32" s="5">
        <v>1506553</v>
      </c>
      <c r="L32" s="5">
        <v>13479290</v>
      </c>
      <c r="M32" s="5">
        <v>1486463.98</v>
      </c>
      <c r="N32" s="5">
        <v>0.12379999999999999</v>
      </c>
      <c r="O32" s="5">
        <v>13</v>
      </c>
      <c r="P32" s="5">
        <v>406852</v>
      </c>
    </row>
    <row r="33" spans="1:16" x14ac:dyDescent="0.3">
      <c r="A33" s="5">
        <v>82</v>
      </c>
      <c r="B33" s="5" t="s">
        <v>100</v>
      </c>
      <c r="C33" s="5">
        <v>4</v>
      </c>
      <c r="D33" s="5" t="s">
        <v>78</v>
      </c>
      <c r="E33" s="5">
        <v>2023</v>
      </c>
      <c r="F33" s="5">
        <v>6</v>
      </c>
      <c r="G33" s="5" t="s">
        <v>51</v>
      </c>
      <c r="H33" s="5">
        <v>11922630</v>
      </c>
      <c r="I33" s="5">
        <v>10050450.220000001</v>
      </c>
      <c r="J33" s="5">
        <v>162</v>
      </c>
      <c r="K33" s="5">
        <v>1060793</v>
      </c>
      <c r="L33" s="5">
        <v>12953460</v>
      </c>
      <c r="M33" s="5">
        <v>1872179.78</v>
      </c>
      <c r="N33" s="5">
        <v>0.157</v>
      </c>
      <c r="O33" s="5">
        <v>14</v>
      </c>
      <c r="P33" s="5">
        <v>530512</v>
      </c>
    </row>
    <row r="34" spans="1:16" x14ac:dyDescent="0.3">
      <c r="A34" s="5">
        <v>82</v>
      </c>
      <c r="B34" s="5" t="s">
        <v>100</v>
      </c>
      <c r="C34" s="5">
        <v>4</v>
      </c>
      <c r="D34" s="5" t="s">
        <v>78</v>
      </c>
      <c r="E34" s="5">
        <v>2023</v>
      </c>
      <c r="F34" s="5">
        <v>7</v>
      </c>
      <c r="G34" s="5" t="s">
        <v>52</v>
      </c>
      <c r="H34" s="5">
        <v>11669723</v>
      </c>
      <c r="I34" s="5">
        <v>10471742.99</v>
      </c>
      <c r="J34" s="5">
        <v>160</v>
      </c>
      <c r="K34" s="5">
        <v>1862750</v>
      </c>
      <c r="L34" s="5">
        <v>13488530</v>
      </c>
      <c r="M34" s="5">
        <v>1197980.01</v>
      </c>
      <c r="N34" s="5">
        <v>0.1027</v>
      </c>
      <c r="O34" s="5">
        <v>17</v>
      </c>
      <c r="P34" s="5">
        <v>614624</v>
      </c>
    </row>
    <row r="35" spans="1:16" x14ac:dyDescent="0.3">
      <c r="A35" s="5">
        <v>82</v>
      </c>
      <c r="B35" s="5" t="s">
        <v>100</v>
      </c>
      <c r="C35" s="5">
        <v>4</v>
      </c>
      <c r="D35" s="5" t="s">
        <v>78</v>
      </c>
      <c r="E35" s="5">
        <v>2023</v>
      </c>
      <c r="F35" s="5">
        <v>8</v>
      </c>
      <c r="G35" s="5" t="s">
        <v>53</v>
      </c>
      <c r="H35" s="5">
        <v>12470538</v>
      </c>
      <c r="I35" s="5">
        <v>11165596.67</v>
      </c>
      <c r="J35" s="5">
        <v>190</v>
      </c>
      <c r="K35" s="5">
        <v>1989078</v>
      </c>
      <c r="L35" s="5">
        <v>14424680</v>
      </c>
      <c r="M35" s="5">
        <v>1304941.33</v>
      </c>
      <c r="N35" s="5">
        <v>0.1046</v>
      </c>
      <c r="O35" s="5">
        <v>16</v>
      </c>
      <c r="P35" s="5">
        <v>444605</v>
      </c>
    </row>
    <row r="36" spans="1:16" x14ac:dyDescent="0.3">
      <c r="A36" s="5">
        <v>82</v>
      </c>
      <c r="B36" s="5" t="s">
        <v>100</v>
      </c>
      <c r="C36" s="5">
        <v>4</v>
      </c>
      <c r="D36" s="5" t="s">
        <v>78</v>
      </c>
      <c r="E36" s="5">
        <v>2023</v>
      </c>
      <c r="F36" s="5">
        <v>9</v>
      </c>
      <c r="G36" s="5" t="s">
        <v>54</v>
      </c>
      <c r="H36" s="5">
        <v>13015920</v>
      </c>
      <c r="I36" s="5">
        <v>12123492.76</v>
      </c>
      <c r="J36" s="5">
        <v>204</v>
      </c>
      <c r="K36" s="5">
        <v>2499746</v>
      </c>
      <c r="L36" s="5">
        <v>15483320</v>
      </c>
      <c r="M36" s="5">
        <v>892427.24</v>
      </c>
      <c r="N36" s="5">
        <v>6.8599999999999994E-2</v>
      </c>
      <c r="O36" s="5">
        <v>10</v>
      </c>
      <c r="P36" s="5">
        <v>139445</v>
      </c>
    </row>
    <row r="37" spans="1:16" x14ac:dyDescent="0.3">
      <c r="A37" s="5">
        <v>82</v>
      </c>
      <c r="B37" s="5" t="s">
        <v>100</v>
      </c>
      <c r="C37" s="5">
        <v>4</v>
      </c>
      <c r="D37" s="5" t="s">
        <v>78</v>
      </c>
      <c r="E37" s="5">
        <v>2023</v>
      </c>
      <c r="F37" s="5">
        <v>10</v>
      </c>
      <c r="G37" s="5" t="s">
        <v>55</v>
      </c>
      <c r="H37" s="5">
        <v>17057173</v>
      </c>
      <c r="I37" s="5">
        <v>14842070.130000001</v>
      </c>
      <c r="J37" s="5">
        <v>257</v>
      </c>
      <c r="K37" s="5">
        <v>1946932</v>
      </c>
      <c r="L37" s="5">
        <v>18947010</v>
      </c>
      <c r="M37" s="5">
        <v>2215102.87</v>
      </c>
      <c r="N37" s="5">
        <v>0.12989999999999999</v>
      </c>
      <c r="O37" s="5">
        <v>17</v>
      </c>
      <c r="P37" s="5">
        <v>828405</v>
      </c>
    </row>
    <row r="38" spans="1:16" x14ac:dyDescent="0.3">
      <c r="A38" s="5">
        <v>82</v>
      </c>
      <c r="B38" s="5" t="s">
        <v>100</v>
      </c>
      <c r="C38" s="5">
        <v>4</v>
      </c>
      <c r="D38" s="5" t="s">
        <v>78</v>
      </c>
      <c r="E38" s="5">
        <v>2023</v>
      </c>
      <c r="F38" s="5">
        <v>11</v>
      </c>
      <c r="G38" s="5" t="s">
        <v>56</v>
      </c>
      <c r="H38" s="5">
        <v>15864218</v>
      </c>
      <c r="I38" s="5">
        <v>13799835.18</v>
      </c>
      <c r="J38" s="5">
        <v>250</v>
      </c>
      <c r="K38" s="5">
        <v>2289036</v>
      </c>
      <c r="L38" s="5">
        <v>18088130</v>
      </c>
      <c r="M38" s="5">
        <v>2064382.82</v>
      </c>
      <c r="N38" s="5">
        <v>0.13009999999999999</v>
      </c>
      <c r="O38" s="5">
        <v>14</v>
      </c>
      <c r="P38" s="5">
        <v>94162</v>
      </c>
    </row>
    <row r="39" spans="1:16" x14ac:dyDescent="0.3">
      <c r="A39" s="5">
        <v>82</v>
      </c>
      <c r="B39" s="5" t="s">
        <v>100</v>
      </c>
      <c r="C39" s="5">
        <v>4</v>
      </c>
      <c r="D39" s="5" t="s">
        <v>78</v>
      </c>
      <c r="E39" s="5">
        <v>2023</v>
      </c>
      <c r="F39" s="5">
        <v>12</v>
      </c>
      <c r="G39" s="5" t="s">
        <v>57</v>
      </c>
      <c r="H39" s="5">
        <v>17458277</v>
      </c>
      <c r="I39" s="5">
        <v>15771756.23</v>
      </c>
      <c r="J39" s="5">
        <v>279</v>
      </c>
      <c r="K39" s="5">
        <v>2907352</v>
      </c>
      <c r="L39" s="5">
        <v>20313150</v>
      </c>
      <c r="M39" s="5">
        <v>1686520.77</v>
      </c>
      <c r="N39" s="5">
        <v>9.6600000000000005E-2</v>
      </c>
      <c r="O39" s="5">
        <v>14</v>
      </c>
      <c r="P39" s="5">
        <v>242406</v>
      </c>
    </row>
    <row r="40" spans="1:16" x14ac:dyDescent="0.3">
      <c r="A40" s="5">
        <v>82</v>
      </c>
      <c r="B40" s="5" t="s">
        <v>100</v>
      </c>
      <c r="C40" s="5">
        <v>4</v>
      </c>
      <c r="D40" s="5" t="s">
        <v>78</v>
      </c>
      <c r="E40" s="5">
        <v>2024</v>
      </c>
      <c r="F40" s="5">
        <v>1</v>
      </c>
      <c r="G40" s="5" t="s">
        <v>58</v>
      </c>
      <c r="H40" s="5">
        <v>11661714</v>
      </c>
      <c r="I40" s="5">
        <v>10130198.84</v>
      </c>
      <c r="J40" s="5">
        <v>168</v>
      </c>
      <c r="K40" s="5">
        <v>1539248</v>
      </c>
      <c r="L40" s="5">
        <v>13149950</v>
      </c>
      <c r="M40" s="5">
        <v>1531515.16</v>
      </c>
      <c r="N40" s="5">
        <v>0.1313</v>
      </c>
      <c r="O40" s="5">
        <v>12</v>
      </c>
      <c r="P40" s="5">
        <v>70214</v>
      </c>
    </row>
    <row r="41" spans="1:16" x14ac:dyDescent="0.3">
      <c r="A41" s="5">
        <v>82</v>
      </c>
      <c r="B41" s="5" t="s">
        <v>100</v>
      </c>
      <c r="C41" s="5">
        <v>4</v>
      </c>
      <c r="D41" s="5" t="s">
        <v>78</v>
      </c>
      <c r="E41" s="5">
        <v>2024</v>
      </c>
      <c r="F41" s="5">
        <v>2</v>
      </c>
      <c r="G41" s="5" t="s">
        <v>59</v>
      </c>
      <c r="H41" s="5">
        <v>7243576</v>
      </c>
      <c r="I41" s="5">
        <v>6256554.9699999997</v>
      </c>
      <c r="J41" s="5">
        <v>140</v>
      </c>
      <c r="K41" s="5">
        <v>842882</v>
      </c>
      <c r="L41" s="5">
        <v>8055320</v>
      </c>
      <c r="M41" s="5">
        <v>987021.03</v>
      </c>
      <c r="N41" s="5">
        <v>0.1363</v>
      </c>
      <c r="O41" s="5">
        <v>8</v>
      </c>
      <c r="P41" s="5">
        <v>236684</v>
      </c>
    </row>
    <row r="42" spans="1:16" x14ac:dyDescent="0.3">
      <c r="A42" s="5">
        <v>82</v>
      </c>
      <c r="B42" s="5" t="s">
        <v>100</v>
      </c>
      <c r="C42" s="5">
        <v>4</v>
      </c>
      <c r="D42" s="5" t="s">
        <v>78</v>
      </c>
      <c r="E42" s="5">
        <v>2024</v>
      </c>
      <c r="F42" s="5">
        <v>3</v>
      </c>
      <c r="G42" s="5" t="s">
        <v>60</v>
      </c>
      <c r="H42" s="5">
        <v>12241243</v>
      </c>
      <c r="I42" s="5">
        <v>10392137.939999999</v>
      </c>
      <c r="J42" s="5">
        <v>183</v>
      </c>
      <c r="K42" s="5">
        <v>1141676</v>
      </c>
      <c r="L42" s="5">
        <v>13330610</v>
      </c>
      <c r="M42" s="5">
        <v>1849105.06</v>
      </c>
      <c r="N42" s="5">
        <v>0.15110000000000001</v>
      </c>
      <c r="O42" s="5">
        <v>10</v>
      </c>
      <c r="P42" s="5">
        <v>128946</v>
      </c>
    </row>
    <row r="43" spans="1:16" x14ac:dyDescent="0.3">
      <c r="A43" s="5">
        <v>82</v>
      </c>
      <c r="B43" s="5" t="s">
        <v>100</v>
      </c>
      <c r="C43" s="5">
        <v>4</v>
      </c>
      <c r="D43" s="5" t="s">
        <v>78</v>
      </c>
      <c r="E43" s="5">
        <v>2024</v>
      </c>
      <c r="F43" s="5">
        <v>4</v>
      </c>
      <c r="G43" s="5" t="s">
        <v>61</v>
      </c>
      <c r="H43" s="5">
        <v>13163754</v>
      </c>
      <c r="I43" s="5">
        <v>11584200.810000001</v>
      </c>
      <c r="J43" s="5">
        <v>193</v>
      </c>
      <c r="K43" s="5">
        <v>1633064</v>
      </c>
      <c r="L43" s="5">
        <v>14748480</v>
      </c>
      <c r="M43" s="5">
        <v>1579553.19</v>
      </c>
      <c r="N43" s="5">
        <v>0.12</v>
      </c>
      <c r="O43" s="5">
        <v>20</v>
      </c>
      <c r="P43" s="5">
        <v>248478</v>
      </c>
    </row>
    <row r="44" spans="1:16" x14ac:dyDescent="0.3">
      <c r="A44" s="5">
        <v>82</v>
      </c>
      <c r="B44" s="5" t="s">
        <v>100</v>
      </c>
      <c r="C44" s="5">
        <v>4</v>
      </c>
      <c r="D44" s="5" t="s">
        <v>78</v>
      </c>
      <c r="E44" s="5">
        <v>2024</v>
      </c>
      <c r="F44" s="5">
        <v>5</v>
      </c>
      <c r="G44" s="5" t="s">
        <v>62</v>
      </c>
      <c r="H44" s="5">
        <v>10491181</v>
      </c>
      <c r="I44" s="5">
        <v>9120433.1300000008</v>
      </c>
      <c r="J44" s="5">
        <v>202</v>
      </c>
      <c r="K44" s="5">
        <v>1511104</v>
      </c>
      <c r="L44" s="5">
        <v>11955070</v>
      </c>
      <c r="M44" s="5">
        <v>1370747.87</v>
      </c>
      <c r="N44" s="5">
        <v>0.13070000000000001</v>
      </c>
      <c r="O44" s="5">
        <v>19</v>
      </c>
      <c r="P44" s="5">
        <v>368731</v>
      </c>
    </row>
    <row r="45" spans="1:16" x14ac:dyDescent="0.3">
      <c r="A45" s="5">
        <v>82</v>
      </c>
      <c r="B45" s="5" t="s">
        <v>100</v>
      </c>
      <c r="C45" s="5">
        <v>4</v>
      </c>
      <c r="D45" s="5" t="s">
        <v>78</v>
      </c>
      <c r="E45" s="5">
        <v>2024</v>
      </c>
      <c r="F45" s="5">
        <v>6</v>
      </c>
      <c r="G45" s="5" t="s">
        <v>63</v>
      </c>
      <c r="H45" s="5">
        <v>13582712</v>
      </c>
      <c r="I45" s="5">
        <v>11514594.41</v>
      </c>
      <c r="J45" s="5">
        <v>219</v>
      </c>
      <c r="K45" s="5">
        <v>1174850</v>
      </c>
      <c r="L45" s="5">
        <v>14704210</v>
      </c>
      <c r="M45" s="5">
        <v>2068117.59</v>
      </c>
      <c r="N45" s="5">
        <v>0.15229999999999999</v>
      </c>
      <c r="O45" s="5">
        <v>16</v>
      </c>
      <c r="P45" s="5">
        <v>775790</v>
      </c>
    </row>
    <row r="46" spans="1:16" x14ac:dyDescent="0.3">
      <c r="A46" s="5">
        <v>82</v>
      </c>
      <c r="B46" s="5" t="s">
        <v>100</v>
      </c>
      <c r="C46" s="5">
        <v>4</v>
      </c>
      <c r="D46" s="5" t="s">
        <v>78</v>
      </c>
      <c r="E46" s="5">
        <v>2024</v>
      </c>
      <c r="F46" s="5">
        <v>7</v>
      </c>
      <c r="G46" s="5" t="s">
        <v>64</v>
      </c>
      <c r="H46" s="5">
        <v>13965786</v>
      </c>
      <c r="I46" s="5">
        <v>11760177.49</v>
      </c>
      <c r="J46" s="5">
        <v>180</v>
      </c>
      <c r="K46" s="5">
        <v>1172181</v>
      </c>
      <c r="L46" s="5">
        <v>15074630</v>
      </c>
      <c r="M46" s="5">
        <v>2205608.5099999998</v>
      </c>
      <c r="N46" s="5">
        <v>0.15790000000000001</v>
      </c>
      <c r="O46" s="5">
        <v>17</v>
      </c>
      <c r="P46" s="5">
        <v>804950</v>
      </c>
    </row>
    <row r="47" spans="1:16" x14ac:dyDescent="0.3">
      <c r="A47" s="5">
        <v>82</v>
      </c>
      <c r="B47" s="5" t="s">
        <v>100</v>
      </c>
      <c r="C47" s="5">
        <v>4</v>
      </c>
      <c r="D47" s="5" t="s">
        <v>78</v>
      </c>
      <c r="E47" s="5">
        <v>2024</v>
      </c>
      <c r="F47" s="5">
        <v>8</v>
      </c>
      <c r="G47" s="5" t="s">
        <v>65</v>
      </c>
      <c r="H47" s="5">
        <v>11958033</v>
      </c>
      <c r="I47" s="5">
        <v>10025043.49</v>
      </c>
      <c r="J47" s="5">
        <v>198</v>
      </c>
      <c r="K47" s="5">
        <v>1062071</v>
      </c>
      <c r="L47" s="5">
        <v>12973360</v>
      </c>
      <c r="M47" s="5">
        <v>1932989.51</v>
      </c>
      <c r="N47" s="5">
        <v>0.16159999999999999</v>
      </c>
      <c r="O47" s="5">
        <v>10</v>
      </c>
      <c r="P47" s="5">
        <v>232838</v>
      </c>
    </row>
    <row r="48" spans="1:16" x14ac:dyDescent="0.3">
      <c r="A48" s="5">
        <v>82</v>
      </c>
      <c r="B48" s="5" t="s">
        <v>100</v>
      </c>
      <c r="C48" s="5">
        <v>4</v>
      </c>
      <c r="D48" s="5" t="s">
        <v>78</v>
      </c>
      <c r="E48" s="5">
        <v>2024</v>
      </c>
      <c r="F48" s="5">
        <v>9</v>
      </c>
      <c r="G48" s="5" t="s">
        <v>66</v>
      </c>
      <c r="H48" s="5">
        <v>14740586</v>
      </c>
      <c r="I48" s="5">
        <v>12207989.08</v>
      </c>
      <c r="J48" s="5">
        <v>213</v>
      </c>
      <c r="K48" s="5">
        <v>954349</v>
      </c>
      <c r="L48" s="5">
        <v>15640520</v>
      </c>
      <c r="M48" s="5">
        <v>2532596.92</v>
      </c>
      <c r="N48" s="5">
        <v>0.17180000000000001</v>
      </c>
      <c r="O48" s="5">
        <v>17</v>
      </c>
      <c r="P48" s="5">
        <v>653973</v>
      </c>
    </row>
    <row r="49" spans="1:16" x14ac:dyDescent="0.3">
      <c r="A49" s="5">
        <v>82</v>
      </c>
      <c r="B49" s="5" t="s">
        <v>100</v>
      </c>
      <c r="C49" s="5">
        <v>4</v>
      </c>
      <c r="D49" s="5" t="s">
        <v>78</v>
      </c>
      <c r="E49" s="5">
        <v>2024</v>
      </c>
      <c r="F49" s="5">
        <v>10</v>
      </c>
      <c r="G49" s="5" t="s">
        <v>67</v>
      </c>
      <c r="H49" s="5">
        <v>20457595</v>
      </c>
      <c r="I49" s="5">
        <v>16389924.439999999</v>
      </c>
      <c r="J49" s="5">
        <v>279</v>
      </c>
      <c r="K49" s="5">
        <v>639676</v>
      </c>
      <c r="L49" s="5">
        <v>21019830</v>
      </c>
      <c r="M49" s="5">
        <v>4067670.56</v>
      </c>
      <c r="N49" s="5">
        <v>0.1988</v>
      </c>
      <c r="O49" s="5">
        <v>25</v>
      </c>
      <c r="P49" s="5">
        <v>838450</v>
      </c>
    </row>
    <row r="50" spans="1:16" x14ac:dyDescent="0.3">
      <c r="A50" s="5">
        <v>82</v>
      </c>
      <c r="B50" s="5" t="s">
        <v>100</v>
      </c>
      <c r="C50" s="5">
        <v>4</v>
      </c>
      <c r="D50" s="5" t="s">
        <v>78</v>
      </c>
      <c r="E50" s="5">
        <v>2024</v>
      </c>
      <c r="F50" s="5">
        <v>11</v>
      </c>
      <c r="G50" s="5" t="s">
        <v>68</v>
      </c>
      <c r="H50" s="5">
        <v>21306345</v>
      </c>
      <c r="I50" s="5">
        <v>17677035.649999999</v>
      </c>
      <c r="J50" s="5">
        <v>293</v>
      </c>
      <c r="K50" s="5">
        <v>1430773</v>
      </c>
      <c r="L50" s="5">
        <v>22672830</v>
      </c>
      <c r="M50" s="5">
        <v>3629309.35</v>
      </c>
      <c r="N50" s="5">
        <v>0.17030000000000001</v>
      </c>
      <c r="O50" s="5">
        <v>21</v>
      </c>
      <c r="P50" s="5">
        <v>932856</v>
      </c>
    </row>
    <row r="51" spans="1:16" x14ac:dyDescent="0.3">
      <c r="A51" s="5">
        <v>82</v>
      </c>
      <c r="B51" s="5" t="s">
        <v>100</v>
      </c>
      <c r="C51" s="5">
        <v>4</v>
      </c>
      <c r="D51" s="5" t="s">
        <v>78</v>
      </c>
      <c r="E51" s="5">
        <v>2024</v>
      </c>
      <c r="F51" s="5">
        <v>12</v>
      </c>
      <c r="G51" s="5" t="s">
        <v>69</v>
      </c>
      <c r="H51" s="5">
        <v>19426422</v>
      </c>
      <c r="I51" s="5">
        <v>15457979.73</v>
      </c>
      <c r="J51" s="5">
        <v>270</v>
      </c>
      <c r="K51" s="5">
        <v>644790</v>
      </c>
      <c r="L51" s="5">
        <v>20012130</v>
      </c>
      <c r="M51" s="5">
        <v>3968442.27</v>
      </c>
      <c r="N51" s="5">
        <v>0.20430000000000001</v>
      </c>
      <c r="O51" s="5">
        <v>19</v>
      </c>
      <c r="P51" s="5">
        <v>549699</v>
      </c>
    </row>
    <row r="52" spans="1:16" x14ac:dyDescent="0.3">
      <c r="A52" s="5">
        <v>42</v>
      </c>
      <c r="B52" s="5" t="s">
        <v>101</v>
      </c>
      <c r="C52" s="5">
        <v>4</v>
      </c>
      <c r="D52" s="5" t="s">
        <v>78</v>
      </c>
      <c r="E52" s="5">
        <v>2021</v>
      </c>
      <c r="F52" s="5">
        <v>1</v>
      </c>
      <c r="G52" s="5" t="s">
        <v>22</v>
      </c>
      <c r="H52" s="5">
        <v>1046616</v>
      </c>
      <c r="I52" s="5">
        <v>952390.69</v>
      </c>
      <c r="J52" s="5">
        <v>24</v>
      </c>
      <c r="K52" s="5">
        <v>178855</v>
      </c>
      <c r="L52" s="5">
        <v>1220530</v>
      </c>
      <c r="M52" s="5">
        <v>94225.31</v>
      </c>
      <c r="N52" s="5">
        <v>0.09</v>
      </c>
      <c r="O52" s="5">
        <v>2</v>
      </c>
      <c r="P52" s="5">
        <v>21178</v>
      </c>
    </row>
    <row r="53" spans="1:16" x14ac:dyDescent="0.3">
      <c r="A53" s="5">
        <v>42</v>
      </c>
      <c r="B53" s="5" t="s">
        <v>101</v>
      </c>
      <c r="C53" s="5">
        <v>4</v>
      </c>
      <c r="D53" s="5" t="s">
        <v>78</v>
      </c>
      <c r="E53" s="5">
        <v>2021</v>
      </c>
      <c r="F53" s="5">
        <v>2</v>
      </c>
      <c r="G53" s="5" t="s">
        <v>23</v>
      </c>
      <c r="H53" s="5">
        <v>1161110</v>
      </c>
      <c r="I53" s="5">
        <v>1057725.58</v>
      </c>
      <c r="J53" s="5">
        <v>16</v>
      </c>
      <c r="K53" s="5">
        <v>186519</v>
      </c>
      <c r="L53" s="5">
        <v>1346660</v>
      </c>
      <c r="M53" s="5">
        <v>103384.42</v>
      </c>
      <c r="N53" s="5">
        <v>8.8999999999999996E-2</v>
      </c>
      <c r="O53" s="5">
        <v>2</v>
      </c>
      <c r="P53" s="5">
        <v>17004</v>
      </c>
    </row>
    <row r="54" spans="1:16" x14ac:dyDescent="0.3">
      <c r="A54" s="5">
        <v>42</v>
      </c>
      <c r="B54" s="5" t="s">
        <v>101</v>
      </c>
      <c r="C54" s="5">
        <v>4</v>
      </c>
      <c r="D54" s="5" t="s">
        <v>78</v>
      </c>
      <c r="E54" s="5">
        <v>2021</v>
      </c>
      <c r="F54" s="5">
        <v>3</v>
      </c>
      <c r="G54" s="5" t="s">
        <v>24</v>
      </c>
      <c r="H54" s="5">
        <v>1486751</v>
      </c>
      <c r="I54" s="5">
        <v>1225368.94</v>
      </c>
      <c r="J54" s="5">
        <v>18</v>
      </c>
      <c r="K54" s="5">
        <v>79648</v>
      </c>
      <c r="L54" s="5">
        <v>1560230</v>
      </c>
      <c r="M54" s="5">
        <v>261382.06</v>
      </c>
      <c r="N54" s="5">
        <v>0.17580000000000001</v>
      </c>
      <c r="O54" s="5">
        <v>2</v>
      </c>
      <c r="P54" s="5">
        <v>17946</v>
      </c>
    </row>
    <row r="55" spans="1:16" x14ac:dyDescent="0.3">
      <c r="A55" s="5">
        <v>42</v>
      </c>
      <c r="B55" s="5" t="s">
        <v>101</v>
      </c>
      <c r="C55" s="5">
        <v>4</v>
      </c>
      <c r="D55" s="5" t="s">
        <v>78</v>
      </c>
      <c r="E55" s="5">
        <v>2021</v>
      </c>
      <c r="F55" s="5">
        <v>4</v>
      </c>
      <c r="G55" s="5" t="s">
        <v>25</v>
      </c>
      <c r="H55" s="5">
        <v>1354734</v>
      </c>
      <c r="I55" s="5">
        <v>1180308.54</v>
      </c>
      <c r="J55" s="5">
        <v>12</v>
      </c>
      <c r="K55" s="5">
        <v>145629</v>
      </c>
      <c r="L55" s="5">
        <v>1497860</v>
      </c>
      <c r="M55" s="5">
        <v>174425.46</v>
      </c>
      <c r="N55" s="5">
        <v>0.1288</v>
      </c>
      <c r="O55" s="5">
        <v>1</v>
      </c>
      <c r="P55" s="5">
        <v>58049</v>
      </c>
    </row>
    <row r="56" spans="1:16" x14ac:dyDescent="0.3">
      <c r="A56" s="5">
        <v>42</v>
      </c>
      <c r="B56" s="5" t="s">
        <v>101</v>
      </c>
      <c r="C56" s="5">
        <v>4</v>
      </c>
      <c r="D56" s="5" t="s">
        <v>78</v>
      </c>
      <c r="E56" s="5">
        <v>2021</v>
      </c>
      <c r="F56" s="5">
        <v>5</v>
      </c>
      <c r="G56" s="5" t="s">
        <v>26</v>
      </c>
      <c r="H56" s="5">
        <v>2526193</v>
      </c>
      <c r="I56" s="5">
        <v>2258117.35</v>
      </c>
      <c r="J56" s="5">
        <v>28</v>
      </c>
      <c r="K56" s="5">
        <v>377988</v>
      </c>
      <c r="L56" s="5">
        <v>2901050</v>
      </c>
      <c r="M56" s="5">
        <v>268075.65000000002</v>
      </c>
      <c r="N56" s="5">
        <v>0.1061</v>
      </c>
      <c r="O56" s="5">
        <v>2</v>
      </c>
      <c r="P56" s="5">
        <v>119003</v>
      </c>
    </row>
    <row r="57" spans="1:16" x14ac:dyDescent="0.3">
      <c r="A57" s="5">
        <v>42</v>
      </c>
      <c r="B57" s="5" t="s">
        <v>101</v>
      </c>
      <c r="C57" s="5">
        <v>4</v>
      </c>
      <c r="D57" s="5" t="s">
        <v>78</v>
      </c>
      <c r="E57" s="5">
        <v>2021</v>
      </c>
      <c r="F57" s="5">
        <v>6</v>
      </c>
      <c r="G57" s="5" t="s">
        <v>27</v>
      </c>
      <c r="H57" s="5">
        <v>1337581</v>
      </c>
      <c r="I57" s="5">
        <v>1154983.07</v>
      </c>
      <c r="J57" s="5">
        <v>23</v>
      </c>
      <c r="K57" s="5">
        <v>160514</v>
      </c>
      <c r="L57" s="5">
        <v>1494780</v>
      </c>
      <c r="M57" s="5">
        <v>182597.93</v>
      </c>
      <c r="N57" s="5">
        <v>0.13650000000000001</v>
      </c>
      <c r="O57" s="5">
        <v>1</v>
      </c>
      <c r="P57" s="5">
        <v>17630</v>
      </c>
    </row>
    <row r="58" spans="1:16" x14ac:dyDescent="0.3">
      <c r="A58" s="5">
        <v>42</v>
      </c>
      <c r="B58" s="5" t="s">
        <v>101</v>
      </c>
      <c r="C58" s="5">
        <v>4</v>
      </c>
      <c r="D58" s="5" t="s">
        <v>78</v>
      </c>
      <c r="E58" s="5">
        <v>2021</v>
      </c>
      <c r="F58" s="5">
        <v>7</v>
      </c>
      <c r="G58" s="5" t="s">
        <v>28</v>
      </c>
      <c r="H58" s="5">
        <v>1347000</v>
      </c>
      <c r="I58" s="5">
        <v>1110089.77</v>
      </c>
      <c r="J58" s="5">
        <v>16</v>
      </c>
      <c r="K58" s="5">
        <v>86529</v>
      </c>
      <c r="L58" s="5">
        <v>1423290</v>
      </c>
      <c r="M58" s="5">
        <v>236910.23</v>
      </c>
      <c r="N58" s="5">
        <v>0.1759</v>
      </c>
      <c r="O58" s="5">
        <v>1</v>
      </c>
      <c r="P58" s="5">
        <v>2349</v>
      </c>
    </row>
    <row r="59" spans="1:16" x14ac:dyDescent="0.3">
      <c r="A59" s="5">
        <v>42</v>
      </c>
      <c r="B59" s="5" t="s">
        <v>101</v>
      </c>
      <c r="C59" s="5">
        <v>4</v>
      </c>
      <c r="D59" s="5" t="s">
        <v>78</v>
      </c>
      <c r="E59" s="5">
        <v>2021</v>
      </c>
      <c r="F59" s="5">
        <v>8</v>
      </c>
      <c r="G59" s="5" t="s">
        <v>29</v>
      </c>
      <c r="H59" s="5">
        <v>1795275</v>
      </c>
      <c r="I59" s="5">
        <v>1448675.63</v>
      </c>
      <c r="J59" s="5">
        <v>23</v>
      </c>
      <c r="K59" s="5">
        <v>86976</v>
      </c>
      <c r="L59" s="5">
        <v>1876160</v>
      </c>
      <c r="M59" s="5">
        <v>346599.37</v>
      </c>
      <c r="N59" s="5">
        <v>0.19309999999999999</v>
      </c>
      <c r="O59" s="5">
        <v>3</v>
      </c>
      <c r="P59" s="5">
        <v>230676</v>
      </c>
    </row>
    <row r="60" spans="1:16" x14ac:dyDescent="0.3">
      <c r="A60" s="5">
        <v>42</v>
      </c>
      <c r="B60" s="5" t="s">
        <v>101</v>
      </c>
      <c r="C60" s="5">
        <v>4</v>
      </c>
      <c r="D60" s="5" t="s">
        <v>78</v>
      </c>
      <c r="E60" s="5">
        <v>2021</v>
      </c>
      <c r="F60" s="5">
        <v>9</v>
      </c>
      <c r="G60" s="5" t="s">
        <v>30</v>
      </c>
      <c r="H60" s="5">
        <v>1968414</v>
      </c>
      <c r="I60" s="5">
        <v>1693210.82</v>
      </c>
      <c r="J60" s="5">
        <v>23</v>
      </c>
      <c r="K60" s="5">
        <v>207826</v>
      </c>
      <c r="L60" s="5">
        <v>2172540</v>
      </c>
      <c r="M60" s="5">
        <v>275203.18</v>
      </c>
      <c r="N60" s="5">
        <v>0.13980000000000001</v>
      </c>
      <c r="O60" s="5">
        <v>3</v>
      </c>
      <c r="P60" s="5">
        <v>154945</v>
      </c>
    </row>
    <row r="61" spans="1:16" x14ac:dyDescent="0.3">
      <c r="A61" s="5">
        <v>42</v>
      </c>
      <c r="B61" s="5" t="s">
        <v>101</v>
      </c>
      <c r="C61" s="5">
        <v>4</v>
      </c>
      <c r="D61" s="5" t="s">
        <v>78</v>
      </c>
      <c r="E61" s="5">
        <v>2021</v>
      </c>
      <c r="F61" s="5">
        <v>10</v>
      </c>
      <c r="G61" s="5" t="s">
        <v>31</v>
      </c>
      <c r="H61" s="5">
        <v>3339865</v>
      </c>
      <c r="I61" s="5">
        <v>2730011.36</v>
      </c>
      <c r="J61" s="5">
        <v>42</v>
      </c>
      <c r="K61" s="5">
        <v>221603</v>
      </c>
      <c r="L61" s="5">
        <v>3549300</v>
      </c>
      <c r="M61" s="5">
        <v>609853.64</v>
      </c>
      <c r="N61" s="5">
        <v>0.18260000000000001</v>
      </c>
      <c r="O61" s="5">
        <v>5</v>
      </c>
      <c r="P61" s="5">
        <v>622970</v>
      </c>
    </row>
    <row r="62" spans="1:16" x14ac:dyDescent="0.3">
      <c r="A62" s="5">
        <v>42</v>
      </c>
      <c r="B62" s="5" t="s">
        <v>101</v>
      </c>
      <c r="C62" s="5">
        <v>4</v>
      </c>
      <c r="D62" s="5" t="s">
        <v>78</v>
      </c>
      <c r="E62" s="5">
        <v>2021</v>
      </c>
      <c r="F62" s="5">
        <v>11</v>
      </c>
      <c r="G62" s="5" t="s">
        <v>32</v>
      </c>
      <c r="H62" s="5">
        <v>1920298</v>
      </c>
      <c r="I62" s="5">
        <v>1550805.67</v>
      </c>
      <c r="J62" s="5">
        <v>35</v>
      </c>
      <c r="K62" s="5">
        <v>123527</v>
      </c>
      <c r="L62" s="5">
        <v>2037160</v>
      </c>
      <c r="M62" s="5">
        <v>369492.33</v>
      </c>
      <c r="N62" s="5">
        <v>0.19239999999999999</v>
      </c>
      <c r="O62" s="5">
        <v>3</v>
      </c>
      <c r="P62" s="5">
        <v>38488</v>
      </c>
    </row>
    <row r="63" spans="1:16" x14ac:dyDescent="0.3">
      <c r="A63" s="5">
        <v>42</v>
      </c>
      <c r="B63" s="5" t="s">
        <v>101</v>
      </c>
      <c r="C63" s="5">
        <v>4</v>
      </c>
      <c r="D63" s="5" t="s">
        <v>78</v>
      </c>
      <c r="E63" s="5">
        <v>2021</v>
      </c>
      <c r="F63" s="5">
        <v>12</v>
      </c>
      <c r="G63" s="5" t="s">
        <v>33</v>
      </c>
      <c r="H63" s="5">
        <v>1441619</v>
      </c>
      <c r="I63" s="5">
        <v>1182907.55</v>
      </c>
      <c r="J63" s="5">
        <v>21</v>
      </c>
      <c r="K63" s="5">
        <v>128237</v>
      </c>
      <c r="L63" s="5">
        <v>1564530</v>
      </c>
      <c r="M63" s="5">
        <v>258711.45</v>
      </c>
      <c r="N63" s="5">
        <v>0.17949999999999999</v>
      </c>
      <c r="O63" s="5">
        <v>1</v>
      </c>
      <c r="P63" s="5">
        <v>5413</v>
      </c>
    </row>
    <row r="64" spans="1:16" x14ac:dyDescent="0.3">
      <c r="A64" s="5">
        <v>42</v>
      </c>
      <c r="B64" s="5" t="s">
        <v>101</v>
      </c>
      <c r="C64" s="5">
        <v>4</v>
      </c>
      <c r="D64" s="5" t="s">
        <v>78</v>
      </c>
      <c r="E64" s="5">
        <v>2022</v>
      </c>
      <c r="F64" s="5">
        <v>1</v>
      </c>
      <c r="G64" s="5" t="s">
        <v>34</v>
      </c>
      <c r="H64" s="5">
        <v>1761885</v>
      </c>
      <c r="I64" s="5">
        <v>1377526.05</v>
      </c>
      <c r="J64" s="5">
        <v>21</v>
      </c>
      <c r="K64" s="5">
        <v>74203</v>
      </c>
      <c r="L64" s="5">
        <v>1828260</v>
      </c>
      <c r="M64" s="5">
        <v>384358.95</v>
      </c>
      <c r="N64" s="5">
        <v>0.21820000000000001</v>
      </c>
      <c r="O64" s="5">
        <v>2</v>
      </c>
      <c r="P64" s="5">
        <v>9633</v>
      </c>
    </row>
    <row r="65" spans="1:16" x14ac:dyDescent="0.3">
      <c r="A65" s="5">
        <v>42</v>
      </c>
      <c r="B65" s="5" t="s">
        <v>101</v>
      </c>
      <c r="C65" s="5">
        <v>4</v>
      </c>
      <c r="D65" s="5" t="s">
        <v>78</v>
      </c>
      <c r="E65" s="5">
        <v>2022</v>
      </c>
      <c r="F65" s="5">
        <v>2</v>
      </c>
      <c r="G65" s="5" t="s">
        <v>35</v>
      </c>
      <c r="H65" s="5">
        <v>1323519</v>
      </c>
      <c r="I65" s="5">
        <v>1111090.27</v>
      </c>
      <c r="J65" s="5">
        <v>21</v>
      </c>
      <c r="K65" s="5">
        <v>98729</v>
      </c>
      <c r="L65" s="5">
        <v>1420770</v>
      </c>
      <c r="M65" s="5">
        <v>212428.73</v>
      </c>
      <c r="N65" s="5">
        <v>0.1605</v>
      </c>
      <c r="O65" s="5">
        <v>2</v>
      </c>
      <c r="P65" s="5">
        <v>28730</v>
      </c>
    </row>
    <row r="66" spans="1:16" x14ac:dyDescent="0.3">
      <c r="A66" s="5">
        <v>42</v>
      </c>
      <c r="B66" s="5" t="s">
        <v>101</v>
      </c>
      <c r="C66" s="5">
        <v>4</v>
      </c>
      <c r="D66" s="5" t="s">
        <v>78</v>
      </c>
      <c r="E66" s="5">
        <v>2022</v>
      </c>
      <c r="F66" s="5">
        <v>3</v>
      </c>
      <c r="G66" s="5" t="s">
        <v>36</v>
      </c>
      <c r="H66" s="5">
        <v>2340751</v>
      </c>
      <c r="I66" s="5">
        <v>1914582.49</v>
      </c>
      <c r="J66" s="5">
        <v>38</v>
      </c>
      <c r="K66" s="5">
        <v>189282</v>
      </c>
      <c r="L66" s="5">
        <v>2514610</v>
      </c>
      <c r="M66" s="5">
        <v>426168.51</v>
      </c>
      <c r="N66" s="5">
        <v>0.18210000000000001</v>
      </c>
      <c r="O66" s="5">
        <v>7</v>
      </c>
      <c r="P66" s="5">
        <v>96118</v>
      </c>
    </row>
    <row r="67" spans="1:16" x14ac:dyDescent="0.3">
      <c r="A67" s="5">
        <v>42</v>
      </c>
      <c r="B67" s="5" t="s">
        <v>101</v>
      </c>
      <c r="C67" s="5">
        <v>4</v>
      </c>
      <c r="D67" s="5" t="s">
        <v>78</v>
      </c>
      <c r="E67" s="5">
        <v>2022</v>
      </c>
      <c r="F67" s="5">
        <v>4</v>
      </c>
      <c r="G67" s="5" t="s">
        <v>37</v>
      </c>
      <c r="H67" s="5">
        <v>2832354</v>
      </c>
      <c r="I67" s="5">
        <v>2478381.54</v>
      </c>
      <c r="J67" s="5">
        <v>42</v>
      </c>
      <c r="K67" s="5">
        <v>295918</v>
      </c>
      <c r="L67" s="5">
        <v>3112310</v>
      </c>
      <c r="M67" s="5">
        <v>353972.46</v>
      </c>
      <c r="N67" s="5">
        <v>0.125</v>
      </c>
      <c r="O67" s="5">
        <v>1</v>
      </c>
      <c r="P67" s="5">
        <v>14604</v>
      </c>
    </row>
    <row r="68" spans="1:16" x14ac:dyDescent="0.3">
      <c r="A68" s="5">
        <v>42</v>
      </c>
      <c r="B68" s="5" t="s">
        <v>101</v>
      </c>
      <c r="C68" s="5">
        <v>4</v>
      </c>
      <c r="D68" s="5" t="s">
        <v>78</v>
      </c>
      <c r="E68" s="5">
        <v>2022</v>
      </c>
      <c r="F68" s="5">
        <v>5</v>
      </c>
      <c r="G68" s="5" t="s">
        <v>38</v>
      </c>
      <c r="H68" s="5">
        <v>1726193</v>
      </c>
      <c r="I68" s="5">
        <v>1437896.51</v>
      </c>
      <c r="J68" s="5">
        <v>32</v>
      </c>
      <c r="K68" s="5">
        <v>157448</v>
      </c>
      <c r="L68" s="5">
        <v>1876220</v>
      </c>
      <c r="M68" s="5">
        <v>288296.49</v>
      </c>
      <c r="N68" s="5">
        <v>0.16700000000000001</v>
      </c>
      <c r="O68" s="5">
        <v>1</v>
      </c>
      <c r="P68" s="5">
        <v>4881</v>
      </c>
    </row>
    <row r="69" spans="1:16" x14ac:dyDescent="0.3">
      <c r="A69" s="5">
        <v>42</v>
      </c>
      <c r="B69" s="5" t="s">
        <v>101</v>
      </c>
      <c r="C69" s="5">
        <v>4</v>
      </c>
      <c r="D69" s="5" t="s">
        <v>78</v>
      </c>
      <c r="E69" s="5">
        <v>2022</v>
      </c>
      <c r="F69" s="5">
        <v>6</v>
      </c>
      <c r="G69" s="5" t="s">
        <v>39</v>
      </c>
      <c r="H69" s="5">
        <v>1763031</v>
      </c>
      <c r="I69" s="5">
        <v>1467289.09</v>
      </c>
      <c r="J69" s="5">
        <v>32</v>
      </c>
      <c r="K69" s="5">
        <v>167331</v>
      </c>
      <c r="L69" s="5">
        <v>1922850</v>
      </c>
      <c r="M69" s="5">
        <v>295741.90999999997</v>
      </c>
      <c r="N69" s="5">
        <v>0.16769999999999999</v>
      </c>
      <c r="O69" s="5">
        <v>6</v>
      </c>
      <c r="P69" s="5">
        <v>219974</v>
      </c>
    </row>
    <row r="70" spans="1:16" x14ac:dyDescent="0.3">
      <c r="A70" s="5">
        <v>42</v>
      </c>
      <c r="B70" s="5" t="s">
        <v>101</v>
      </c>
      <c r="C70" s="5">
        <v>4</v>
      </c>
      <c r="D70" s="5" t="s">
        <v>78</v>
      </c>
      <c r="E70" s="5">
        <v>2022</v>
      </c>
      <c r="F70" s="5">
        <v>7</v>
      </c>
      <c r="G70" s="5" t="s">
        <v>40</v>
      </c>
      <c r="H70" s="5">
        <v>1328827</v>
      </c>
      <c r="I70" s="5">
        <v>1170909.95</v>
      </c>
      <c r="J70" s="5">
        <v>23</v>
      </c>
      <c r="K70" s="5">
        <v>162569</v>
      </c>
      <c r="L70" s="5">
        <v>1487950</v>
      </c>
      <c r="M70" s="5">
        <v>157917.04999999999</v>
      </c>
      <c r="N70" s="5">
        <v>0.1188</v>
      </c>
      <c r="O70" s="5">
        <v>1</v>
      </c>
      <c r="P70" s="5">
        <v>15373</v>
      </c>
    </row>
    <row r="71" spans="1:16" x14ac:dyDescent="0.3">
      <c r="A71" s="5">
        <v>42</v>
      </c>
      <c r="B71" s="5" t="s">
        <v>101</v>
      </c>
      <c r="C71" s="5">
        <v>4</v>
      </c>
      <c r="D71" s="5" t="s">
        <v>78</v>
      </c>
      <c r="E71" s="5">
        <v>2022</v>
      </c>
      <c r="F71" s="5">
        <v>8</v>
      </c>
      <c r="G71" s="5" t="s">
        <v>41</v>
      </c>
      <c r="H71" s="5">
        <v>1906912</v>
      </c>
      <c r="I71" s="5">
        <v>1752386.73</v>
      </c>
      <c r="J71" s="5">
        <v>29</v>
      </c>
      <c r="K71" s="5">
        <v>365578</v>
      </c>
      <c r="L71" s="5">
        <v>2266590</v>
      </c>
      <c r="M71" s="5">
        <v>154525.26999999999</v>
      </c>
      <c r="N71" s="5">
        <v>8.1000000000000003E-2</v>
      </c>
      <c r="O71" s="5">
        <v>2</v>
      </c>
      <c r="P71" s="5">
        <v>19315</v>
      </c>
    </row>
    <row r="72" spans="1:16" x14ac:dyDescent="0.3">
      <c r="A72" s="5">
        <v>42</v>
      </c>
      <c r="B72" s="5" t="s">
        <v>101</v>
      </c>
      <c r="C72" s="5">
        <v>4</v>
      </c>
      <c r="D72" s="5" t="s">
        <v>78</v>
      </c>
      <c r="E72" s="5">
        <v>2022</v>
      </c>
      <c r="F72" s="5">
        <v>9</v>
      </c>
      <c r="G72" s="5" t="s">
        <v>42</v>
      </c>
      <c r="H72" s="5">
        <v>1636578</v>
      </c>
      <c r="I72" s="5">
        <v>1348960.12</v>
      </c>
      <c r="J72" s="5">
        <v>31</v>
      </c>
      <c r="K72" s="5">
        <v>157580</v>
      </c>
      <c r="L72" s="5">
        <v>1785030</v>
      </c>
      <c r="M72" s="5">
        <v>287617.88</v>
      </c>
      <c r="N72" s="5">
        <v>0.1757</v>
      </c>
      <c r="O72" s="5">
        <v>0</v>
      </c>
      <c r="P72" s="5">
        <v>0</v>
      </c>
    </row>
    <row r="73" spans="1:16" x14ac:dyDescent="0.3">
      <c r="A73" s="5">
        <v>42</v>
      </c>
      <c r="B73" s="5" t="s">
        <v>101</v>
      </c>
      <c r="C73" s="5">
        <v>4</v>
      </c>
      <c r="D73" s="5" t="s">
        <v>78</v>
      </c>
      <c r="E73" s="5">
        <v>2022</v>
      </c>
      <c r="F73" s="5">
        <v>10</v>
      </c>
      <c r="G73" s="5" t="s">
        <v>43</v>
      </c>
      <c r="H73" s="5">
        <v>3308176</v>
      </c>
      <c r="I73" s="5">
        <v>2933372.97</v>
      </c>
      <c r="J73" s="5">
        <v>56</v>
      </c>
      <c r="K73" s="5">
        <v>547734</v>
      </c>
      <c r="L73" s="5">
        <v>3842240</v>
      </c>
      <c r="M73" s="5">
        <v>374803.03</v>
      </c>
      <c r="N73" s="5">
        <v>0.1133</v>
      </c>
      <c r="O73" s="5">
        <v>1</v>
      </c>
      <c r="P73" s="5">
        <v>25038</v>
      </c>
    </row>
    <row r="74" spans="1:16" x14ac:dyDescent="0.3">
      <c r="A74" s="5">
        <v>42</v>
      </c>
      <c r="B74" s="5" t="s">
        <v>101</v>
      </c>
      <c r="C74" s="5">
        <v>4</v>
      </c>
      <c r="D74" s="5" t="s">
        <v>78</v>
      </c>
      <c r="E74" s="5">
        <v>2022</v>
      </c>
      <c r="F74" s="5">
        <v>11</v>
      </c>
      <c r="G74" s="5" t="s">
        <v>44</v>
      </c>
      <c r="H74" s="5">
        <v>3604950</v>
      </c>
      <c r="I74" s="5">
        <v>3168912.89</v>
      </c>
      <c r="J74" s="5">
        <v>54</v>
      </c>
      <c r="K74" s="5">
        <v>446590</v>
      </c>
      <c r="L74" s="5">
        <v>4038930</v>
      </c>
      <c r="M74" s="5">
        <v>436037.11</v>
      </c>
      <c r="N74" s="5">
        <v>0.121</v>
      </c>
      <c r="O74" s="5">
        <v>2</v>
      </c>
      <c r="P74" s="5">
        <v>214171</v>
      </c>
    </row>
    <row r="75" spans="1:16" x14ac:dyDescent="0.3">
      <c r="A75" s="5">
        <v>42</v>
      </c>
      <c r="B75" s="5" t="s">
        <v>101</v>
      </c>
      <c r="C75" s="5">
        <v>4</v>
      </c>
      <c r="D75" s="5" t="s">
        <v>78</v>
      </c>
      <c r="E75" s="5">
        <v>2022</v>
      </c>
      <c r="F75" s="5">
        <v>12</v>
      </c>
      <c r="G75" s="5" t="s">
        <v>45</v>
      </c>
      <c r="H75" s="5">
        <v>2152941</v>
      </c>
      <c r="I75" s="5">
        <v>1725047.02</v>
      </c>
      <c r="J75" s="5">
        <v>32</v>
      </c>
      <c r="K75" s="5">
        <v>119581</v>
      </c>
      <c r="L75" s="5">
        <v>2263560</v>
      </c>
      <c r="M75" s="5">
        <v>427893.98</v>
      </c>
      <c r="N75" s="5">
        <v>0.19869999999999999</v>
      </c>
      <c r="O75" s="5">
        <v>4</v>
      </c>
      <c r="P75" s="5">
        <v>14235</v>
      </c>
    </row>
    <row r="76" spans="1:16" x14ac:dyDescent="0.3">
      <c r="A76" s="5">
        <v>42</v>
      </c>
      <c r="B76" s="5" t="s">
        <v>101</v>
      </c>
      <c r="C76" s="5">
        <v>4</v>
      </c>
      <c r="D76" s="5" t="s">
        <v>78</v>
      </c>
      <c r="E76" s="5">
        <v>2023</v>
      </c>
      <c r="F76" s="5">
        <v>1</v>
      </c>
      <c r="G76" s="5" t="s">
        <v>46</v>
      </c>
      <c r="H76" s="5">
        <v>2422937</v>
      </c>
      <c r="I76" s="5">
        <v>2067465.41</v>
      </c>
      <c r="J76" s="5">
        <v>36</v>
      </c>
      <c r="K76" s="5">
        <v>213999</v>
      </c>
      <c r="L76" s="5">
        <v>2629250</v>
      </c>
      <c r="M76" s="5">
        <v>355471.59</v>
      </c>
      <c r="N76" s="5">
        <v>0.1467</v>
      </c>
      <c r="O76" s="5">
        <v>2</v>
      </c>
      <c r="P76" s="5">
        <v>202037</v>
      </c>
    </row>
    <row r="77" spans="1:16" x14ac:dyDescent="0.3">
      <c r="A77" s="5">
        <v>42</v>
      </c>
      <c r="B77" s="5" t="s">
        <v>101</v>
      </c>
      <c r="C77" s="5">
        <v>4</v>
      </c>
      <c r="D77" s="5" t="s">
        <v>78</v>
      </c>
      <c r="E77" s="5">
        <v>2023</v>
      </c>
      <c r="F77" s="5">
        <v>2</v>
      </c>
      <c r="G77" s="5" t="s">
        <v>47</v>
      </c>
      <c r="H77" s="5">
        <v>2298683</v>
      </c>
      <c r="I77" s="5">
        <v>1983537</v>
      </c>
      <c r="J77" s="5">
        <v>35</v>
      </c>
      <c r="K77" s="5">
        <v>260593</v>
      </c>
      <c r="L77" s="5">
        <v>2554480</v>
      </c>
      <c r="M77" s="5">
        <v>315146</v>
      </c>
      <c r="N77" s="5">
        <v>0.1371</v>
      </c>
      <c r="O77" s="5">
        <v>2</v>
      </c>
      <c r="P77" s="5">
        <v>117825</v>
      </c>
    </row>
    <row r="78" spans="1:16" x14ac:dyDescent="0.3">
      <c r="A78" s="5">
        <v>42</v>
      </c>
      <c r="B78" s="5" t="s">
        <v>101</v>
      </c>
      <c r="C78" s="5">
        <v>4</v>
      </c>
      <c r="D78" s="5" t="s">
        <v>78</v>
      </c>
      <c r="E78" s="5">
        <v>2023</v>
      </c>
      <c r="F78" s="5">
        <v>3</v>
      </c>
      <c r="G78" s="5" t="s">
        <v>48</v>
      </c>
      <c r="H78" s="5">
        <v>2771533</v>
      </c>
      <c r="I78" s="5">
        <v>2537236.69</v>
      </c>
      <c r="J78" s="5">
        <v>45</v>
      </c>
      <c r="K78" s="5">
        <v>429364</v>
      </c>
      <c r="L78" s="5">
        <v>3189830</v>
      </c>
      <c r="M78" s="5">
        <v>234296.31</v>
      </c>
      <c r="N78" s="5">
        <v>8.4500000000000006E-2</v>
      </c>
      <c r="O78" s="5">
        <v>1</v>
      </c>
      <c r="P78" s="5">
        <v>64938</v>
      </c>
    </row>
    <row r="79" spans="1:16" x14ac:dyDescent="0.3">
      <c r="A79" s="5">
        <v>42</v>
      </c>
      <c r="B79" s="5" t="s">
        <v>101</v>
      </c>
      <c r="C79" s="5">
        <v>4</v>
      </c>
      <c r="D79" s="5" t="s">
        <v>78</v>
      </c>
      <c r="E79" s="5">
        <v>2023</v>
      </c>
      <c r="F79" s="5">
        <v>4</v>
      </c>
      <c r="G79" s="5" t="s">
        <v>49</v>
      </c>
      <c r="H79" s="5">
        <v>2727362</v>
      </c>
      <c r="I79" s="5">
        <v>2547318.29</v>
      </c>
      <c r="J79" s="5">
        <v>33</v>
      </c>
      <c r="K79" s="5">
        <v>413451</v>
      </c>
      <c r="L79" s="5">
        <v>3131400</v>
      </c>
      <c r="M79" s="5">
        <v>180043.71</v>
      </c>
      <c r="N79" s="5">
        <v>6.6000000000000003E-2</v>
      </c>
      <c r="O79" s="5">
        <v>3</v>
      </c>
      <c r="P79" s="5">
        <v>23977</v>
      </c>
    </row>
    <row r="80" spans="1:16" x14ac:dyDescent="0.3">
      <c r="A80" s="5">
        <v>42</v>
      </c>
      <c r="B80" s="5" t="s">
        <v>101</v>
      </c>
      <c r="C80" s="5">
        <v>4</v>
      </c>
      <c r="D80" s="5" t="s">
        <v>78</v>
      </c>
      <c r="E80" s="5">
        <v>2023</v>
      </c>
      <c r="F80" s="5">
        <v>5</v>
      </c>
      <c r="G80" s="5" t="s">
        <v>50</v>
      </c>
      <c r="H80" s="5">
        <v>3755281</v>
      </c>
      <c r="I80" s="5">
        <v>3260354.94</v>
      </c>
      <c r="J80" s="5">
        <v>41</v>
      </c>
      <c r="K80" s="5">
        <v>407345</v>
      </c>
      <c r="L80" s="5">
        <v>4155020</v>
      </c>
      <c r="M80" s="5">
        <v>494926.06</v>
      </c>
      <c r="N80" s="5">
        <v>0.1318</v>
      </c>
      <c r="O80" s="5">
        <v>4</v>
      </c>
      <c r="P80" s="5">
        <v>81518</v>
      </c>
    </row>
    <row r="81" spans="1:16" x14ac:dyDescent="0.3">
      <c r="A81" s="5">
        <v>42</v>
      </c>
      <c r="B81" s="5" t="s">
        <v>101</v>
      </c>
      <c r="C81" s="5">
        <v>4</v>
      </c>
      <c r="D81" s="5" t="s">
        <v>78</v>
      </c>
      <c r="E81" s="5">
        <v>2023</v>
      </c>
      <c r="F81" s="5">
        <v>6</v>
      </c>
      <c r="G81" s="5" t="s">
        <v>51</v>
      </c>
      <c r="H81" s="5">
        <v>3433909</v>
      </c>
      <c r="I81" s="5">
        <v>2935206.93</v>
      </c>
      <c r="J81" s="5">
        <v>41</v>
      </c>
      <c r="K81" s="5">
        <v>443102</v>
      </c>
      <c r="L81" s="5">
        <v>3859320</v>
      </c>
      <c r="M81" s="5">
        <v>498702.07</v>
      </c>
      <c r="N81" s="5">
        <v>0.1452</v>
      </c>
      <c r="O81" s="5">
        <v>4</v>
      </c>
      <c r="P81" s="5">
        <v>146262</v>
      </c>
    </row>
    <row r="82" spans="1:16" x14ac:dyDescent="0.3">
      <c r="A82" s="5">
        <v>42</v>
      </c>
      <c r="B82" s="5" t="s">
        <v>101</v>
      </c>
      <c r="C82" s="5">
        <v>4</v>
      </c>
      <c r="D82" s="5" t="s">
        <v>78</v>
      </c>
      <c r="E82" s="5">
        <v>2023</v>
      </c>
      <c r="F82" s="5">
        <v>7</v>
      </c>
      <c r="G82" s="5" t="s">
        <v>52</v>
      </c>
      <c r="H82" s="5">
        <v>1942114</v>
      </c>
      <c r="I82" s="5">
        <v>1825123.36</v>
      </c>
      <c r="J82" s="5">
        <v>33</v>
      </c>
      <c r="K82" s="5">
        <v>385825</v>
      </c>
      <c r="L82" s="5">
        <v>2326490</v>
      </c>
      <c r="M82" s="5">
        <v>116990.64</v>
      </c>
      <c r="N82" s="5">
        <v>6.0199999999999997E-2</v>
      </c>
      <c r="O82" s="5">
        <v>1</v>
      </c>
      <c r="P82" s="5">
        <v>28177</v>
      </c>
    </row>
    <row r="83" spans="1:16" x14ac:dyDescent="0.3">
      <c r="A83" s="5">
        <v>42</v>
      </c>
      <c r="B83" s="5" t="s">
        <v>101</v>
      </c>
      <c r="C83" s="5">
        <v>4</v>
      </c>
      <c r="D83" s="5" t="s">
        <v>78</v>
      </c>
      <c r="E83" s="5">
        <v>2023</v>
      </c>
      <c r="F83" s="5">
        <v>8</v>
      </c>
      <c r="G83" s="5" t="s">
        <v>53</v>
      </c>
      <c r="H83" s="5">
        <v>1312294</v>
      </c>
      <c r="I83" s="5">
        <v>1082029.56</v>
      </c>
      <c r="J83" s="5">
        <v>26</v>
      </c>
      <c r="K83" s="5">
        <v>187562</v>
      </c>
      <c r="L83" s="5">
        <v>1494880</v>
      </c>
      <c r="M83" s="5">
        <v>230264.44</v>
      </c>
      <c r="N83" s="5">
        <v>0.17549999999999999</v>
      </c>
      <c r="O83" s="5">
        <v>2</v>
      </c>
      <c r="P83" s="5">
        <v>7882</v>
      </c>
    </row>
    <row r="84" spans="1:16" x14ac:dyDescent="0.3">
      <c r="A84" s="5">
        <v>42</v>
      </c>
      <c r="B84" s="5" t="s">
        <v>101</v>
      </c>
      <c r="C84" s="5">
        <v>4</v>
      </c>
      <c r="D84" s="5" t="s">
        <v>78</v>
      </c>
      <c r="E84" s="5">
        <v>2023</v>
      </c>
      <c r="F84" s="5">
        <v>9</v>
      </c>
      <c r="G84" s="5" t="s">
        <v>54</v>
      </c>
      <c r="H84" s="5">
        <v>3305278</v>
      </c>
      <c r="I84" s="5">
        <v>2935314.63</v>
      </c>
      <c r="J84" s="5">
        <v>37</v>
      </c>
      <c r="K84" s="5">
        <v>435055</v>
      </c>
      <c r="L84" s="5">
        <v>3724480</v>
      </c>
      <c r="M84" s="5">
        <v>369963.37</v>
      </c>
      <c r="N84" s="5">
        <v>0.1119</v>
      </c>
      <c r="O84" s="5">
        <v>3</v>
      </c>
      <c r="P84" s="5">
        <v>109975</v>
      </c>
    </row>
    <row r="85" spans="1:16" x14ac:dyDescent="0.3">
      <c r="A85" s="5">
        <v>42</v>
      </c>
      <c r="B85" s="5" t="s">
        <v>101</v>
      </c>
      <c r="C85" s="5">
        <v>4</v>
      </c>
      <c r="D85" s="5" t="s">
        <v>78</v>
      </c>
      <c r="E85" s="5">
        <v>2023</v>
      </c>
      <c r="F85" s="5">
        <v>10</v>
      </c>
      <c r="G85" s="5" t="s">
        <v>55</v>
      </c>
      <c r="H85" s="5">
        <v>3832790</v>
      </c>
      <c r="I85" s="5">
        <v>3280516.28</v>
      </c>
      <c r="J85" s="5">
        <v>48</v>
      </c>
      <c r="K85" s="5">
        <v>433510</v>
      </c>
      <c r="L85" s="5">
        <v>4248860</v>
      </c>
      <c r="M85" s="5">
        <v>552273.72</v>
      </c>
      <c r="N85" s="5">
        <v>0.14410000000000001</v>
      </c>
      <c r="O85" s="5">
        <v>6</v>
      </c>
      <c r="P85" s="5">
        <v>247888</v>
      </c>
    </row>
    <row r="86" spans="1:16" x14ac:dyDescent="0.3">
      <c r="A86" s="5">
        <v>42</v>
      </c>
      <c r="B86" s="5" t="s">
        <v>101</v>
      </c>
      <c r="C86" s="5">
        <v>4</v>
      </c>
      <c r="D86" s="5" t="s">
        <v>78</v>
      </c>
      <c r="E86" s="5">
        <v>2023</v>
      </c>
      <c r="F86" s="5">
        <v>11</v>
      </c>
      <c r="G86" s="5" t="s">
        <v>56</v>
      </c>
      <c r="H86" s="5">
        <v>2229934</v>
      </c>
      <c r="I86" s="5">
        <v>1997676.47</v>
      </c>
      <c r="J86" s="5">
        <v>35</v>
      </c>
      <c r="K86" s="5">
        <v>306348</v>
      </c>
      <c r="L86" s="5">
        <v>2522500</v>
      </c>
      <c r="M86" s="5">
        <v>232257.53</v>
      </c>
      <c r="N86" s="5">
        <v>0.1042</v>
      </c>
      <c r="O86" s="5">
        <v>3</v>
      </c>
      <c r="P86" s="5">
        <v>38160</v>
      </c>
    </row>
    <row r="87" spans="1:16" x14ac:dyDescent="0.3">
      <c r="A87" s="5">
        <v>42</v>
      </c>
      <c r="B87" s="5" t="s">
        <v>101</v>
      </c>
      <c r="C87" s="5">
        <v>4</v>
      </c>
      <c r="D87" s="5" t="s">
        <v>78</v>
      </c>
      <c r="E87" s="5">
        <v>2023</v>
      </c>
      <c r="F87" s="5">
        <v>12</v>
      </c>
      <c r="G87" s="5" t="s">
        <v>57</v>
      </c>
      <c r="H87" s="5">
        <v>4454366</v>
      </c>
      <c r="I87" s="5">
        <v>3992515.93</v>
      </c>
      <c r="J87" s="5">
        <v>58</v>
      </c>
      <c r="K87" s="5">
        <v>655458</v>
      </c>
      <c r="L87" s="5">
        <v>5093690</v>
      </c>
      <c r="M87" s="5">
        <v>461850.07</v>
      </c>
      <c r="N87" s="5">
        <v>0.1037</v>
      </c>
      <c r="O87" s="5">
        <v>5</v>
      </c>
      <c r="P87" s="5">
        <v>72629</v>
      </c>
    </row>
    <row r="88" spans="1:16" x14ac:dyDescent="0.3">
      <c r="A88" s="5">
        <v>42</v>
      </c>
      <c r="B88" s="5" t="s">
        <v>101</v>
      </c>
      <c r="C88" s="5">
        <v>4</v>
      </c>
      <c r="D88" s="5" t="s">
        <v>78</v>
      </c>
      <c r="E88" s="5">
        <v>2024</v>
      </c>
      <c r="F88" s="5">
        <v>1</v>
      </c>
      <c r="G88" s="5" t="s">
        <v>58</v>
      </c>
      <c r="H88" s="5">
        <v>2120069</v>
      </c>
      <c r="I88" s="5">
        <v>1900686.07</v>
      </c>
      <c r="J88" s="5">
        <v>40</v>
      </c>
      <c r="K88" s="5">
        <v>370965</v>
      </c>
      <c r="L88" s="5">
        <v>2479510</v>
      </c>
      <c r="M88" s="5">
        <v>219382.93</v>
      </c>
      <c r="N88" s="5">
        <v>0.10349999999999999</v>
      </c>
      <c r="O88" s="5">
        <v>3</v>
      </c>
      <c r="P88" s="5">
        <v>60957</v>
      </c>
    </row>
    <row r="89" spans="1:16" x14ac:dyDescent="0.3">
      <c r="A89" s="5">
        <v>42</v>
      </c>
      <c r="B89" s="5" t="s">
        <v>101</v>
      </c>
      <c r="C89" s="5">
        <v>4</v>
      </c>
      <c r="D89" s="5" t="s">
        <v>78</v>
      </c>
      <c r="E89" s="5">
        <v>2024</v>
      </c>
      <c r="F89" s="5">
        <v>2</v>
      </c>
      <c r="G89" s="5" t="s">
        <v>59</v>
      </c>
      <c r="H89" s="5">
        <v>1992242</v>
      </c>
      <c r="I89" s="5">
        <v>1668406.64</v>
      </c>
      <c r="J89" s="5">
        <v>36</v>
      </c>
      <c r="K89" s="5">
        <v>165595</v>
      </c>
      <c r="L89" s="5">
        <v>2145240</v>
      </c>
      <c r="M89" s="5">
        <v>323835.36</v>
      </c>
      <c r="N89" s="5">
        <v>0.16250000000000001</v>
      </c>
      <c r="O89" s="5">
        <v>4</v>
      </c>
      <c r="P89" s="5">
        <v>43952</v>
      </c>
    </row>
    <row r="90" spans="1:16" x14ac:dyDescent="0.3">
      <c r="A90" s="5">
        <v>42</v>
      </c>
      <c r="B90" s="5" t="s">
        <v>101</v>
      </c>
      <c r="C90" s="5">
        <v>4</v>
      </c>
      <c r="D90" s="5" t="s">
        <v>78</v>
      </c>
      <c r="E90" s="5">
        <v>2024</v>
      </c>
      <c r="F90" s="5">
        <v>3</v>
      </c>
      <c r="G90" s="5" t="s">
        <v>60</v>
      </c>
      <c r="H90" s="5">
        <v>3483731</v>
      </c>
      <c r="I90" s="5">
        <v>3078894.94</v>
      </c>
      <c r="J90" s="5">
        <v>49</v>
      </c>
      <c r="K90" s="5">
        <v>446433</v>
      </c>
      <c r="L90" s="5">
        <v>3918640</v>
      </c>
      <c r="M90" s="5">
        <v>404836.06</v>
      </c>
      <c r="N90" s="5">
        <v>0.1162</v>
      </c>
      <c r="O90" s="5">
        <v>8</v>
      </c>
      <c r="P90" s="5">
        <v>195263</v>
      </c>
    </row>
    <row r="91" spans="1:16" x14ac:dyDescent="0.3">
      <c r="A91" s="5">
        <v>42</v>
      </c>
      <c r="B91" s="5" t="s">
        <v>101</v>
      </c>
      <c r="C91" s="5">
        <v>4</v>
      </c>
      <c r="D91" s="5" t="s">
        <v>78</v>
      </c>
      <c r="E91" s="5">
        <v>2024</v>
      </c>
      <c r="F91" s="5">
        <v>4</v>
      </c>
      <c r="G91" s="5" t="s">
        <v>61</v>
      </c>
      <c r="H91" s="5">
        <v>3382055</v>
      </c>
      <c r="I91" s="5">
        <v>2977346.75</v>
      </c>
      <c r="J91" s="5">
        <v>41</v>
      </c>
      <c r="K91" s="5">
        <v>383269</v>
      </c>
      <c r="L91" s="5">
        <v>3757840</v>
      </c>
      <c r="M91" s="5">
        <v>404708.25</v>
      </c>
      <c r="N91" s="5">
        <v>0.1197</v>
      </c>
      <c r="O91" s="5">
        <v>4</v>
      </c>
      <c r="P91" s="5">
        <v>50176</v>
      </c>
    </row>
    <row r="92" spans="1:16" x14ac:dyDescent="0.3">
      <c r="A92" s="5">
        <v>42</v>
      </c>
      <c r="B92" s="5" t="s">
        <v>101</v>
      </c>
      <c r="C92" s="5">
        <v>4</v>
      </c>
      <c r="D92" s="5" t="s">
        <v>78</v>
      </c>
      <c r="E92" s="5">
        <v>2024</v>
      </c>
      <c r="F92" s="5">
        <v>5</v>
      </c>
      <c r="G92" s="5" t="s">
        <v>62</v>
      </c>
      <c r="H92" s="5">
        <v>2649365</v>
      </c>
      <c r="I92" s="5">
        <v>2497447.96</v>
      </c>
      <c r="J92" s="5">
        <v>39</v>
      </c>
      <c r="K92" s="5">
        <v>530276</v>
      </c>
      <c r="L92" s="5">
        <v>3171870</v>
      </c>
      <c r="M92" s="5">
        <v>151917.04</v>
      </c>
      <c r="N92" s="5">
        <v>5.7299999999999997E-2</v>
      </c>
      <c r="O92" s="5">
        <v>0</v>
      </c>
      <c r="P92" s="5">
        <v>0</v>
      </c>
    </row>
    <row r="93" spans="1:16" x14ac:dyDescent="0.3">
      <c r="A93" s="5">
        <v>42</v>
      </c>
      <c r="B93" s="5" t="s">
        <v>101</v>
      </c>
      <c r="C93" s="5">
        <v>4</v>
      </c>
      <c r="D93" s="5" t="s">
        <v>78</v>
      </c>
      <c r="E93" s="5">
        <v>2024</v>
      </c>
      <c r="F93" s="5">
        <v>6</v>
      </c>
      <c r="G93" s="5" t="s">
        <v>63</v>
      </c>
      <c r="H93" s="5">
        <v>3624155</v>
      </c>
      <c r="I93" s="5">
        <v>3047298.19</v>
      </c>
      <c r="J93" s="5">
        <v>48</v>
      </c>
      <c r="K93" s="5">
        <v>235995</v>
      </c>
      <c r="L93" s="5">
        <v>3851610</v>
      </c>
      <c r="M93" s="5">
        <v>576856.81000000006</v>
      </c>
      <c r="N93" s="5">
        <v>0.15920000000000001</v>
      </c>
      <c r="O93" s="5">
        <v>9</v>
      </c>
      <c r="P93" s="5">
        <v>302273</v>
      </c>
    </row>
    <row r="94" spans="1:16" x14ac:dyDescent="0.3">
      <c r="A94" s="5">
        <v>42</v>
      </c>
      <c r="B94" s="5" t="s">
        <v>101</v>
      </c>
      <c r="C94" s="5">
        <v>4</v>
      </c>
      <c r="D94" s="5" t="s">
        <v>78</v>
      </c>
      <c r="E94" s="5">
        <v>2024</v>
      </c>
      <c r="F94" s="5">
        <v>7</v>
      </c>
      <c r="G94" s="5" t="s">
        <v>64</v>
      </c>
      <c r="H94" s="5">
        <v>3224519</v>
      </c>
      <c r="I94" s="5">
        <v>2741321.17</v>
      </c>
      <c r="J94" s="5">
        <v>42</v>
      </c>
      <c r="K94" s="5">
        <v>367115</v>
      </c>
      <c r="L94" s="5">
        <v>3578080</v>
      </c>
      <c r="M94" s="5">
        <v>483197.83</v>
      </c>
      <c r="N94" s="5">
        <v>0.14990000000000001</v>
      </c>
      <c r="O94" s="5">
        <v>5</v>
      </c>
      <c r="P94" s="5">
        <v>185644</v>
      </c>
    </row>
    <row r="95" spans="1:16" x14ac:dyDescent="0.3">
      <c r="A95" s="5">
        <v>42</v>
      </c>
      <c r="B95" s="5" t="s">
        <v>101</v>
      </c>
      <c r="C95" s="5">
        <v>4</v>
      </c>
      <c r="D95" s="5" t="s">
        <v>78</v>
      </c>
      <c r="E95" s="5">
        <v>2024</v>
      </c>
      <c r="F95" s="5">
        <v>8</v>
      </c>
      <c r="G95" s="5" t="s">
        <v>65</v>
      </c>
      <c r="H95" s="5">
        <v>2464901</v>
      </c>
      <c r="I95" s="5">
        <v>2121161.67</v>
      </c>
      <c r="J95" s="5">
        <v>42</v>
      </c>
      <c r="K95" s="5">
        <v>257759</v>
      </c>
      <c r="L95" s="5">
        <v>2713100</v>
      </c>
      <c r="M95" s="5">
        <v>343739.33</v>
      </c>
      <c r="N95" s="5">
        <v>0.13950000000000001</v>
      </c>
      <c r="O95" s="5">
        <v>2</v>
      </c>
      <c r="P95" s="5">
        <v>195589</v>
      </c>
    </row>
    <row r="96" spans="1:16" x14ac:dyDescent="0.3">
      <c r="A96" s="5">
        <v>42</v>
      </c>
      <c r="B96" s="5" t="s">
        <v>101</v>
      </c>
      <c r="C96" s="5">
        <v>4</v>
      </c>
      <c r="D96" s="5" t="s">
        <v>78</v>
      </c>
      <c r="E96" s="5">
        <v>2024</v>
      </c>
      <c r="F96" s="5">
        <v>9</v>
      </c>
      <c r="G96" s="5" t="s">
        <v>66</v>
      </c>
      <c r="H96" s="5">
        <v>4011674</v>
      </c>
      <c r="I96" s="5">
        <v>3254707.38</v>
      </c>
      <c r="J96" s="5">
        <v>53</v>
      </c>
      <c r="K96" s="5">
        <v>179361</v>
      </c>
      <c r="L96" s="5">
        <v>4172820</v>
      </c>
      <c r="M96" s="5">
        <v>756966.62</v>
      </c>
      <c r="N96" s="5">
        <v>0.18870000000000001</v>
      </c>
      <c r="O96" s="5">
        <v>3</v>
      </c>
      <c r="P96" s="5">
        <v>74907</v>
      </c>
    </row>
    <row r="97" spans="1:16" x14ac:dyDescent="0.3">
      <c r="A97" s="5">
        <v>42</v>
      </c>
      <c r="B97" s="5" t="s">
        <v>101</v>
      </c>
      <c r="C97" s="5">
        <v>4</v>
      </c>
      <c r="D97" s="5" t="s">
        <v>78</v>
      </c>
      <c r="E97" s="5">
        <v>2024</v>
      </c>
      <c r="F97" s="5">
        <v>10</v>
      </c>
      <c r="G97" s="5" t="s">
        <v>67</v>
      </c>
      <c r="H97" s="5">
        <v>4823205</v>
      </c>
      <c r="I97" s="5">
        <v>3863393.48</v>
      </c>
      <c r="J97" s="5">
        <v>72</v>
      </c>
      <c r="K97" s="5">
        <v>163727</v>
      </c>
      <c r="L97" s="5">
        <v>4977140</v>
      </c>
      <c r="M97" s="5">
        <v>959811.52</v>
      </c>
      <c r="N97" s="5">
        <v>0.19900000000000001</v>
      </c>
      <c r="O97" s="5">
        <v>5</v>
      </c>
      <c r="P97" s="5">
        <v>93738</v>
      </c>
    </row>
    <row r="98" spans="1:16" x14ac:dyDescent="0.3">
      <c r="A98" s="5">
        <v>42</v>
      </c>
      <c r="B98" s="5" t="s">
        <v>101</v>
      </c>
      <c r="C98" s="5">
        <v>4</v>
      </c>
      <c r="D98" s="5" t="s">
        <v>78</v>
      </c>
      <c r="E98" s="5">
        <v>2024</v>
      </c>
      <c r="F98" s="5">
        <v>11</v>
      </c>
      <c r="G98" s="5" t="s">
        <v>68</v>
      </c>
      <c r="H98" s="5">
        <v>4604169</v>
      </c>
      <c r="I98" s="5">
        <v>3718022</v>
      </c>
      <c r="J98" s="5">
        <v>69</v>
      </c>
      <c r="K98" s="5">
        <v>287103</v>
      </c>
      <c r="L98" s="5">
        <v>4871810</v>
      </c>
      <c r="M98" s="5">
        <v>886147</v>
      </c>
      <c r="N98" s="5">
        <v>0.1925</v>
      </c>
      <c r="O98" s="5">
        <v>4</v>
      </c>
      <c r="P98" s="5">
        <v>21413</v>
      </c>
    </row>
    <row r="99" spans="1:16" x14ac:dyDescent="0.3">
      <c r="A99" s="5">
        <v>42</v>
      </c>
      <c r="B99" s="5" t="s">
        <v>101</v>
      </c>
      <c r="C99" s="5">
        <v>4</v>
      </c>
      <c r="D99" s="5" t="s">
        <v>78</v>
      </c>
      <c r="E99" s="5">
        <v>2024</v>
      </c>
      <c r="F99" s="5">
        <v>12</v>
      </c>
      <c r="G99" s="5" t="s">
        <v>69</v>
      </c>
      <c r="H99" s="5">
        <v>4546021</v>
      </c>
      <c r="I99" s="5">
        <v>3607296.96</v>
      </c>
      <c r="J99" s="5">
        <v>52</v>
      </c>
      <c r="K99" s="5">
        <v>175172</v>
      </c>
      <c r="L99" s="5">
        <v>4714980</v>
      </c>
      <c r="M99" s="5">
        <v>938724.04</v>
      </c>
      <c r="N99" s="5">
        <v>0.20649999999999999</v>
      </c>
      <c r="O99" s="5">
        <v>7</v>
      </c>
      <c r="P99" s="5">
        <v>79175</v>
      </c>
    </row>
    <row r="100" spans="1:16" x14ac:dyDescent="0.3">
      <c r="A100" s="5">
        <v>33</v>
      </c>
      <c r="B100" s="5" t="s">
        <v>102</v>
      </c>
      <c r="C100" s="5">
        <v>2</v>
      </c>
      <c r="D100" s="5" t="s">
        <v>88</v>
      </c>
      <c r="E100" s="5">
        <v>2021</v>
      </c>
      <c r="F100" s="5">
        <v>1</v>
      </c>
      <c r="G100" s="5" t="s">
        <v>22</v>
      </c>
      <c r="H100" s="5">
        <v>161772</v>
      </c>
      <c r="I100" s="5">
        <v>129205.03</v>
      </c>
      <c r="J100" s="5">
        <v>4</v>
      </c>
      <c r="K100" s="5">
        <v>10525</v>
      </c>
      <c r="L100" s="5">
        <v>171750</v>
      </c>
      <c r="M100" s="5">
        <v>32566.97</v>
      </c>
      <c r="N100" s="5">
        <v>0.20130000000000001</v>
      </c>
      <c r="O100" s="5">
        <v>0</v>
      </c>
      <c r="P100" s="5">
        <v>0</v>
      </c>
    </row>
    <row r="101" spans="1:16" x14ac:dyDescent="0.3">
      <c r="A101" s="5">
        <v>105</v>
      </c>
      <c r="B101" s="5" t="s">
        <v>102</v>
      </c>
      <c r="C101" s="5">
        <v>2</v>
      </c>
      <c r="D101" s="5" t="s">
        <v>88</v>
      </c>
      <c r="E101" s="5">
        <v>2021</v>
      </c>
      <c r="F101" s="5">
        <v>1</v>
      </c>
      <c r="G101" s="5" t="s">
        <v>22</v>
      </c>
      <c r="H101" s="5">
        <v>1964484</v>
      </c>
      <c r="I101" s="5">
        <v>1703541.68</v>
      </c>
      <c r="J101" s="5">
        <v>32</v>
      </c>
      <c r="K101" s="5">
        <v>256839</v>
      </c>
      <c r="L101" s="5">
        <v>2215100</v>
      </c>
      <c r="M101" s="5">
        <v>260942.32</v>
      </c>
      <c r="N101" s="5">
        <v>0.1328</v>
      </c>
      <c r="O101" s="5">
        <v>3</v>
      </c>
      <c r="P101" s="5">
        <v>213632</v>
      </c>
    </row>
    <row r="102" spans="1:16" x14ac:dyDescent="0.3">
      <c r="A102" s="5">
        <v>33</v>
      </c>
      <c r="B102" s="5" t="s">
        <v>102</v>
      </c>
      <c r="C102" s="5">
        <v>2</v>
      </c>
      <c r="D102" s="5" t="s">
        <v>88</v>
      </c>
      <c r="E102" s="5">
        <v>2021</v>
      </c>
      <c r="F102" s="5">
        <v>2</v>
      </c>
      <c r="G102" s="5" t="s">
        <v>23</v>
      </c>
      <c r="H102" s="5">
        <v>628283</v>
      </c>
      <c r="I102" s="5">
        <v>546284.52</v>
      </c>
      <c r="J102" s="5">
        <v>6</v>
      </c>
      <c r="K102" s="5">
        <v>69346</v>
      </c>
      <c r="L102" s="5">
        <v>694310</v>
      </c>
      <c r="M102" s="5">
        <v>81998.48</v>
      </c>
      <c r="N102" s="5">
        <v>0.1305</v>
      </c>
      <c r="O102" s="5">
        <v>2</v>
      </c>
      <c r="P102" s="5">
        <v>24353</v>
      </c>
    </row>
    <row r="103" spans="1:16" x14ac:dyDescent="0.3">
      <c r="A103" s="5">
        <v>105</v>
      </c>
      <c r="B103" s="5" t="s">
        <v>102</v>
      </c>
      <c r="C103" s="5">
        <v>2</v>
      </c>
      <c r="D103" s="5" t="s">
        <v>88</v>
      </c>
      <c r="E103" s="5">
        <v>2021</v>
      </c>
      <c r="F103" s="5">
        <v>2</v>
      </c>
      <c r="G103" s="5" t="s">
        <v>23</v>
      </c>
      <c r="H103" s="5">
        <v>774137</v>
      </c>
      <c r="I103" s="5">
        <v>648299.97</v>
      </c>
      <c r="J103" s="5">
        <v>21</v>
      </c>
      <c r="K103" s="5">
        <v>89294</v>
      </c>
      <c r="L103" s="5">
        <v>861000</v>
      </c>
      <c r="M103" s="5">
        <v>125837.03</v>
      </c>
      <c r="N103" s="5">
        <v>0.16259999999999999</v>
      </c>
      <c r="O103" s="5">
        <v>0</v>
      </c>
      <c r="P103" s="5">
        <v>0</v>
      </c>
    </row>
    <row r="104" spans="1:16" x14ac:dyDescent="0.3">
      <c r="A104" s="5">
        <v>33</v>
      </c>
      <c r="B104" s="5" t="s">
        <v>102</v>
      </c>
      <c r="C104" s="5">
        <v>2</v>
      </c>
      <c r="D104" s="5" t="s">
        <v>88</v>
      </c>
      <c r="E104" s="5">
        <v>2021</v>
      </c>
      <c r="F104" s="5">
        <v>3</v>
      </c>
      <c r="G104" s="5" t="s">
        <v>24</v>
      </c>
      <c r="H104" s="5">
        <v>765103</v>
      </c>
      <c r="I104" s="5">
        <v>665238.24</v>
      </c>
      <c r="J104" s="5">
        <v>11</v>
      </c>
      <c r="K104" s="5">
        <v>91903</v>
      </c>
      <c r="L104" s="5">
        <v>852620</v>
      </c>
      <c r="M104" s="5">
        <v>99864.76</v>
      </c>
      <c r="N104" s="5">
        <v>0.1305</v>
      </c>
      <c r="O104" s="5">
        <v>1</v>
      </c>
      <c r="P104" s="5">
        <v>9454</v>
      </c>
    </row>
    <row r="105" spans="1:16" x14ac:dyDescent="0.3">
      <c r="A105" s="5">
        <v>105</v>
      </c>
      <c r="B105" s="5" t="s">
        <v>102</v>
      </c>
      <c r="C105" s="5">
        <v>2</v>
      </c>
      <c r="D105" s="5" t="s">
        <v>88</v>
      </c>
      <c r="E105" s="5">
        <v>2021</v>
      </c>
      <c r="F105" s="5">
        <v>3</v>
      </c>
      <c r="G105" s="5" t="s">
        <v>24</v>
      </c>
      <c r="H105" s="5">
        <v>1248940</v>
      </c>
      <c r="I105" s="5">
        <v>977036.18</v>
      </c>
      <c r="J105" s="5">
        <v>17</v>
      </c>
      <c r="K105" s="5">
        <v>34153</v>
      </c>
      <c r="L105" s="5">
        <v>1277820</v>
      </c>
      <c r="M105" s="5">
        <v>271903.82</v>
      </c>
      <c r="N105" s="5">
        <v>0.2177</v>
      </c>
      <c r="O105" s="5">
        <v>3</v>
      </c>
      <c r="P105" s="5">
        <v>104505</v>
      </c>
    </row>
    <row r="106" spans="1:16" x14ac:dyDescent="0.3">
      <c r="A106" s="5">
        <v>33</v>
      </c>
      <c r="B106" s="5" t="s">
        <v>102</v>
      </c>
      <c r="C106" s="5">
        <v>2</v>
      </c>
      <c r="D106" s="5" t="s">
        <v>88</v>
      </c>
      <c r="E106" s="5">
        <v>2021</v>
      </c>
      <c r="F106" s="5">
        <v>4</v>
      </c>
      <c r="G106" s="5" t="s">
        <v>25</v>
      </c>
      <c r="H106" s="5">
        <v>565422</v>
      </c>
      <c r="I106" s="5">
        <v>498564.7</v>
      </c>
      <c r="J106" s="5">
        <v>12</v>
      </c>
      <c r="K106" s="5">
        <v>88417</v>
      </c>
      <c r="L106" s="5">
        <v>651870</v>
      </c>
      <c r="M106" s="5">
        <v>66857.3</v>
      </c>
      <c r="N106" s="5">
        <v>0.1182</v>
      </c>
      <c r="O106" s="5">
        <v>0</v>
      </c>
      <c r="P106" s="5">
        <v>0</v>
      </c>
    </row>
    <row r="107" spans="1:16" x14ac:dyDescent="0.3">
      <c r="A107" s="5">
        <v>105</v>
      </c>
      <c r="B107" s="5" t="s">
        <v>102</v>
      </c>
      <c r="C107" s="5">
        <v>2</v>
      </c>
      <c r="D107" s="5" t="s">
        <v>88</v>
      </c>
      <c r="E107" s="5">
        <v>2021</v>
      </c>
      <c r="F107" s="5">
        <v>4</v>
      </c>
      <c r="G107" s="5" t="s">
        <v>25</v>
      </c>
      <c r="H107" s="5">
        <v>1126189</v>
      </c>
      <c r="I107" s="5">
        <v>970542.79</v>
      </c>
      <c r="J107" s="5">
        <v>17</v>
      </c>
      <c r="K107" s="5">
        <v>127129</v>
      </c>
      <c r="L107" s="5">
        <v>1247470</v>
      </c>
      <c r="M107" s="5">
        <v>155646.21</v>
      </c>
      <c r="N107" s="5">
        <v>0.13819999999999999</v>
      </c>
      <c r="O107" s="5">
        <v>3</v>
      </c>
      <c r="P107" s="5">
        <v>48508</v>
      </c>
    </row>
    <row r="108" spans="1:16" x14ac:dyDescent="0.3">
      <c r="A108" s="5">
        <v>33</v>
      </c>
      <c r="B108" s="5" t="s">
        <v>102</v>
      </c>
      <c r="C108" s="5">
        <v>2</v>
      </c>
      <c r="D108" s="5" t="s">
        <v>88</v>
      </c>
      <c r="E108" s="5">
        <v>2021</v>
      </c>
      <c r="F108" s="5">
        <v>5</v>
      </c>
      <c r="G108" s="5" t="s">
        <v>26</v>
      </c>
      <c r="H108" s="5">
        <v>587686</v>
      </c>
      <c r="I108" s="5">
        <v>478745.03</v>
      </c>
      <c r="J108" s="5">
        <v>8</v>
      </c>
      <c r="K108" s="5">
        <v>37429</v>
      </c>
      <c r="L108" s="5">
        <v>623070</v>
      </c>
      <c r="M108" s="5">
        <v>108940.97</v>
      </c>
      <c r="N108" s="5">
        <v>0.18540000000000001</v>
      </c>
      <c r="O108" s="5">
        <v>1</v>
      </c>
      <c r="P108" s="5">
        <v>39189</v>
      </c>
    </row>
    <row r="109" spans="1:16" x14ac:dyDescent="0.3">
      <c r="A109" s="5">
        <v>105</v>
      </c>
      <c r="B109" s="5" t="s">
        <v>102</v>
      </c>
      <c r="C109" s="5">
        <v>2</v>
      </c>
      <c r="D109" s="5" t="s">
        <v>88</v>
      </c>
      <c r="E109" s="5">
        <v>2021</v>
      </c>
      <c r="F109" s="5">
        <v>5</v>
      </c>
      <c r="G109" s="5" t="s">
        <v>26</v>
      </c>
      <c r="H109" s="5">
        <v>1514627</v>
      </c>
      <c r="I109" s="5">
        <v>1219228.6200000001</v>
      </c>
      <c r="J109" s="5">
        <v>22</v>
      </c>
      <c r="K109" s="5">
        <v>59416</v>
      </c>
      <c r="L109" s="5">
        <v>1564480</v>
      </c>
      <c r="M109" s="5">
        <v>295398.38</v>
      </c>
      <c r="N109" s="5">
        <v>0.19500000000000001</v>
      </c>
      <c r="O109" s="5">
        <v>8</v>
      </c>
      <c r="P109" s="5">
        <v>89214</v>
      </c>
    </row>
    <row r="110" spans="1:16" x14ac:dyDescent="0.3">
      <c r="A110" s="5">
        <v>33</v>
      </c>
      <c r="B110" s="5" t="s">
        <v>102</v>
      </c>
      <c r="C110" s="5">
        <v>2</v>
      </c>
      <c r="D110" s="5" t="s">
        <v>88</v>
      </c>
      <c r="E110" s="5">
        <v>2021</v>
      </c>
      <c r="F110" s="5">
        <v>6</v>
      </c>
      <c r="G110" s="5" t="s">
        <v>27</v>
      </c>
      <c r="H110" s="5">
        <v>694769</v>
      </c>
      <c r="I110" s="5">
        <v>543550.55000000005</v>
      </c>
      <c r="J110" s="5">
        <v>8</v>
      </c>
      <c r="K110" s="5">
        <v>35061</v>
      </c>
      <c r="L110" s="5">
        <v>726870</v>
      </c>
      <c r="M110" s="5">
        <v>151218.45000000001</v>
      </c>
      <c r="N110" s="5">
        <v>0.2177</v>
      </c>
      <c r="O110" s="5">
        <v>0</v>
      </c>
      <c r="P110" s="5">
        <v>0</v>
      </c>
    </row>
    <row r="111" spans="1:16" x14ac:dyDescent="0.3">
      <c r="A111" s="5">
        <v>105</v>
      </c>
      <c r="B111" s="5" t="s">
        <v>102</v>
      </c>
      <c r="C111" s="5">
        <v>2</v>
      </c>
      <c r="D111" s="5" t="s">
        <v>88</v>
      </c>
      <c r="E111" s="5">
        <v>2021</v>
      </c>
      <c r="F111" s="5">
        <v>6</v>
      </c>
      <c r="G111" s="5" t="s">
        <v>27</v>
      </c>
      <c r="H111" s="5">
        <v>1202819</v>
      </c>
      <c r="I111" s="5">
        <v>1064254.68</v>
      </c>
      <c r="J111" s="5">
        <v>22</v>
      </c>
      <c r="K111" s="5">
        <v>197577</v>
      </c>
      <c r="L111" s="5">
        <v>1399010</v>
      </c>
      <c r="M111" s="5">
        <v>138564.32</v>
      </c>
      <c r="N111" s="5">
        <v>0.1152</v>
      </c>
      <c r="O111" s="5">
        <v>3</v>
      </c>
      <c r="P111" s="5">
        <v>80050</v>
      </c>
    </row>
    <row r="112" spans="1:16" x14ac:dyDescent="0.3">
      <c r="A112" s="5">
        <v>33</v>
      </c>
      <c r="B112" s="5" t="s">
        <v>102</v>
      </c>
      <c r="C112" s="5">
        <v>2</v>
      </c>
      <c r="D112" s="5" t="s">
        <v>88</v>
      </c>
      <c r="E112" s="5">
        <v>2021</v>
      </c>
      <c r="F112" s="5">
        <v>7</v>
      </c>
      <c r="G112" s="5" t="s">
        <v>28</v>
      </c>
      <c r="H112" s="5">
        <v>115046</v>
      </c>
      <c r="I112" s="5">
        <v>114427.25</v>
      </c>
      <c r="J112" s="5">
        <v>5</v>
      </c>
      <c r="K112" s="5">
        <v>49854</v>
      </c>
      <c r="L112" s="5">
        <v>164870</v>
      </c>
      <c r="M112" s="5">
        <v>618.75</v>
      </c>
      <c r="N112" s="5">
        <v>5.4000000000000003E-3</v>
      </c>
      <c r="O112" s="5">
        <v>1</v>
      </c>
      <c r="P112" s="5">
        <v>4402</v>
      </c>
    </row>
    <row r="113" spans="1:16" x14ac:dyDescent="0.3">
      <c r="A113" s="5">
        <v>105</v>
      </c>
      <c r="B113" s="5" t="s">
        <v>102</v>
      </c>
      <c r="C113" s="5">
        <v>2</v>
      </c>
      <c r="D113" s="5" t="s">
        <v>88</v>
      </c>
      <c r="E113" s="5">
        <v>2021</v>
      </c>
      <c r="F113" s="5">
        <v>7</v>
      </c>
      <c r="G113" s="5" t="s">
        <v>28</v>
      </c>
      <c r="H113" s="5">
        <v>1397568</v>
      </c>
      <c r="I113" s="5">
        <v>1255274.8799999999</v>
      </c>
      <c r="J113" s="5">
        <v>16</v>
      </c>
      <c r="K113" s="5">
        <v>216063</v>
      </c>
      <c r="L113" s="5">
        <v>1607640</v>
      </c>
      <c r="M113" s="5">
        <v>142293.12</v>
      </c>
      <c r="N113" s="5">
        <v>0.1018</v>
      </c>
      <c r="O113" s="5">
        <v>1</v>
      </c>
      <c r="P113" s="5">
        <v>34926</v>
      </c>
    </row>
    <row r="114" spans="1:16" x14ac:dyDescent="0.3">
      <c r="A114" s="5">
        <v>33</v>
      </c>
      <c r="B114" s="5" t="s">
        <v>102</v>
      </c>
      <c r="C114" s="5">
        <v>2</v>
      </c>
      <c r="D114" s="5" t="s">
        <v>88</v>
      </c>
      <c r="E114" s="5">
        <v>2021</v>
      </c>
      <c r="F114" s="5">
        <v>8</v>
      </c>
      <c r="G114" s="5" t="s">
        <v>29</v>
      </c>
      <c r="H114" s="5">
        <v>696498</v>
      </c>
      <c r="I114" s="5">
        <v>578713.86</v>
      </c>
      <c r="J114" s="5">
        <v>11</v>
      </c>
      <c r="K114" s="5">
        <v>30429</v>
      </c>
      <c r="L114" s="5">
        <v>725030</v>
      </c>
      <c r="M114" s="5">
        <v>117784.14</v>
      </c>
      <c r="N114" s="5">
        <v>0.1691</v>
      </c>
      <c r="O114" s="5">
        <v>2</v>
      </c>
      <c r="P114" s="5">
        <v>63250</v>
      </c>
    </row>
    <row r="115" spans="1:16" x14ac:dyDescent="0.3">
      <c r="A115" s="5">
        <v>105</v>
      </c>
      <c r="B115" s="5" t="s">
        <v>102</v>
      </c>
      <c r="C115" s="5">
        <v>2</v>
      </c>
      <c r="D115" s="5" t="s">
        <v>88</v>
      </c>
      <c r="E115" s="5">
        <v>2021</v>
      </c>
      <c r="F115" s="5">
        <v>8</v>
      </c>
      <c r="G115" s="5" t="s">
        <v>29</v>
      </c>
      <c r="H115" s="5">
        <v>1258783</v>
      </c>
      <c r="I115" s="5">
        <v>1004354.8</v>
      </c>
      <c r="J115" s="5">
        <v>21</v>
      </c>
      <c r="K115" s="5">
        <v>63621</v>
      </c>
      <c r="L115" s="5">
        <v>1315710</v>
      </c>
      <c r="M115" s="5">
        <v>254428.2</v>
      </c>
      <c r="N115" s="5">
        <v>0.2021</v>
      </c>
      <c r="O115" s="5">
        <v>2</v>
      </c>
      <c r="P115" s="5">
        <v>143968</v>
      </c>
    </row>
    <row r="116" spans="1:16" x14ac:dyDescent="0.3">
      <c r="A116" s="5">
        <v>33</v>
      </c>
      <c r="B116" s="5" t="s">
        <v>102</v>
      </c>
      <c r="C116" s="5">
        <v>2</v>
      </c>
      <c r="D116" s="5" t="s">
        <v>88</v>
      </c>
      <c r="E116" s="5">
        <v>2021</v>
      </c>
      <c r="F116" s="5">
        <v>9</v>
      </c>
      <c r="G116" s="5" t="s">
        <v>30</v>
      </c>
      <c r="H116" s="5">
        <v>750393</v>
      </c>
      <c r="I116" s="5">
        <v>604249.32999999996</v>
      </c>
      <c r="J116" s="5">
        <v>9</v>
      </c>
      <c r="K116" s="5">
        <v>28311</v>
      </c>
      <c r="L116" s="5">
        <v>775690</v>
      </c>
      <c r="M116" s="5">
        <v>146143.67000000001</v>
      </c>
      <c r="N116" s="5">
        <v>0.1948</v>
      </c>
      <c r="O116" s="5">
        <v>0</v>
      </c>
      <c r="P116" s="5">
        <v>0</v>
      </c>
    </row>
    <row r="117" spans="1:16" x14ac:dyDescent="0.3">
      <c r="A117" s="5">
        <v>105</v>
      </c>
      <c r="B117" s="5" t="s">
        <v>102</v>
      </c>
      <c r="C117" s="5">
        <v>2</v>
      </c>
      <c r="D117" s="5" t="s">
        <v>88</v>
      </c>
      <c r="E117" s="5">
        <v>2021</v>
      </c>
      <c r="F117" s="5">
        <v>9</v>
      </c>
      <c r="G117" s="5" t="s">
        <v>30</v>
      </c>
      <c r="H117" s="5">
        <v>2006145</v>
      </c>
      <c r="I117" s="5">
        <v>1777751.96</v>
      </c>
      <c r="J117" s="5">
        <v>28</v>
      </c>
      <c r="K117" s="5">
        <v>288733</v>
      </c>
      <c r="L117" s="5">
        <v>2289410</v>
      </c>
      <c r="M117" s="5">
        <v>228393.04</v>
      </c>
      <c r="N117" s="5">
        <v>0.1138</v>
      </c>
      <c r="O117" s="5">
        <v>1</v>
      </c>
      <c r="P117" s="5">
        <v>37294</v>
      </c>
    </row>
    <row r="118" spans="1:16" x14ac:dyDescent="0.3">
      <c r="A118" s="5">
        <v>33</v>
      </c>
      <c r="B118" s="5" t="s">
        <v>102</v>
      </c>
      <c r="C118" s="5">
        <v>2</v>
      </c>
      <c r="D118" s="5" t="s">
        <v>88</v>
      </c>
      <c r="E118" s="5">
        <v>2021</v>
      </c>
      <c r="F118" s="5">
        <v>10</v>
      </c>
      <c r="G118" s="5" t="s">
        <v>31</v>
      </c>
      <c r="H118" s="5">
        <v>345814</v>
      </c>
      <c r="I118" s="5">
        <v>268759.82</v>
      </c>
      <c r="J118" s="5">
        <v>8</v>
      </c>
      <c r="K118" s="5">
        <v>17386</v>
      </c>
      <c r="L118" s="5">
        <v>360230</v>
      </c>
      <c r="M118" s="5">
        <v>77054.179999999993</v>
      </c>
      <c r="N118" s="5">
        <v>0.2228</v>
      </c>
      <c r="O118" s="5">
        <v>0</v>
      </c>
      <c r="P118" s="5">
        <v>0</v>
      </c>
    </row>
    <row r="119" spans="1:16" x14ac:dyDescent="0.3">
      <c r="A119" s="5">
        <v>105</v>
      </c>
      <c r="B119" s="5" t="s">
        <v>102</v>
      </c>
      <c r="C119" s="5">
        <v>2</v>
      </c>
      <c r="D119" s="5" t="s">
        <v>88</v>
      </c>
      <c r="E119" s="5">
        <v>2021</v>
      </c>
      <c r="F119" s="5">
        <v>10</v>
      </c>
      <c r="G119" s="5" t="s">
        <v>31</v>
      </c>
      <c r="H119" s="5">
        <v>2045631</v>
      </c>
      <c r="I119" s="5">
        <v>1710175.11</v>
      </c>
      <c r="J119" s="5">
        <v>23</v>
      </c>
      <c r="K119" s="5">
        <v>189878</v>
      </c>
      <c r="L119" s="5">
        <v>2229220</v>
      </c>
      <c r="M119" s="5">
        <v>335455.89</v>
      </c>
      <c r="N119" s="5">
        <v>0.16400000000000001</v>
      </c>
      <c r="O119" s="5">
        <v>1</v>
      </c>
      <c r="P119" s="5">
        <v>8489</v>
      </c>
    </row>
    <row r="120" spans="1:16" x14ac:dyDescent="0.3">
      <c r="A120" s="5">
        <v>33</v>
      </c>
      <c r="B120" s="5" t="s">
        <v>102</v>
      </c>
      <c r="C120" s="5">
        <v>2</v>
      </c>
      <c r="D120" s="5" t="s">
        <v>88</v>
      </c>
      <c r="E120" s="5">
        <v>2021</v>
      </c>
      <c r="F120" s="5">
        <v>11</v>
      </c>
      <c r="G120" s="5" t="s">
        <v>32</v>
      </c>
      <c r="H120" s="5">
        <v>556200</v>
      </c>
      <c r="I120" s="5">
        <v>453212.77</v>
      </c>
      <c r="J120" s="5">
        <v>13</v>
      </c>
      <c r="K120" s="5">
        <v>54584</v>
      </c>
      <c r="L120" s="5">
        <v>609050</v>
      </c>
      <c r="M120" s="5">
        <v>102987.23</v>
      </c>
      <c r="N120" s="5">
        <v>0.1852</v>
      </c>
      <c r="O120" s="5">
        <v>0</v>
      </c>
      <c r="P120" s="5">
        <v>0</v>
      </c>
    </row>
    <row r="121" spans="1:16" x14ac:dyDescent="0.3">
      <c r="A121" s="5">
        <v>105</v>
      </c>
      <c r="B121" s="5" t="s">
        <v>102</v>
      </c>
      <c r="C121" s="5">
        <v>2</v>
      </c>
      <c r="D121" s="5" t="s">
        <v>88</v>
      </c>
      <c r="E121" s="5">
        <v>2021</v>
      </c>
      <c r="F121" s="5">
        <v>11</v>
      </c>
      <c r="G121" s="5" t="s">
        <v>32</v>
      </c>
      <c r="H121" s="5">
        <v>1484717</v>
      </c>
      <c r="I121" s="5">
        <v>1176564.24</v>
      </c>
      <c r="J121" s="5">
        <v>25</v>
      </c>
      <c r="K121" s="5">
        <v>65452</v>
      </c>
      <c r="L121" s="5">
        <v>1539440</v>
      </c>
      <c r="M121" s="5">
        <v>308152.76</v>
      </c>
      <c r="N121" s="5">
        <v>0.20749999999999999</v>
      </c>
      <c r="O121" s="5">
        <v>1</v>
      </c>
      <c r="P121" s="5">
        <v>11510</v>
      </c>
    </row>
    <row r="122" spans="1:16" x14ac:dyDescent="0.3">
      <c r="A122" s="5">
        <v>33</v>
      </c>
      <c r="B122" s="5" t="s">
        <v>102</v>
      </c>
      <c r="C122" s="5">
        <v>2</v>
      </c>
      <c r="D122" s="5" t="s">
        <v>88</v>
      </c>
      <c r="E122" s="5">
        <v>2021</v>
      </c>
      <c r="F122" s="5">
        <v>12</v>
      </c>
      <c r="G122" s="5" t="s">
        <v>33</v>
      </c>
      <c r="H122" s="5">
        <v>1205005</v>
      </c>
      <c r="I122" s="5">
        <v>1068090.3899999999</v>
      </c>
      <c r="J122" s="5">
        <v>16</v>
      </c>
      <c r="K122" s="5">
        <v>169024</v>
      </c>
      <c r="L122" s="5">
        <v>1371440</v>
      </c>
      <c r="M122" s="5">
        <v>136914.60999999999</v>
      </c>
      <c r="N122" s="5">
        <v>0.11360000000000001</v>
      </c>
      <c r="O122" s="5">
        <v>1</v>
      </c>
      <c r="P122" s="5">
        <v>55865</v>
      </c>
    </row>
    <row r="123" spans="1:16" x14ac:dyDescent="0.3">
      <c r="A123" s="5">
        <v>105</v>
      </c>
      <c r="B123" s="5" t="s">
        <v>102</v>
      </c>
      <c r="C123" s="5">
        <v>2</v>
      </c>
      <c r="D123" s="5" t="s">
        <v>88</v>
      </c>
      <c r="E123" s="5">
        <v>2021</v>
      </c>
      <c r="F123" s="5">
        <v>12</v>
      </c>
      <c r="G123" s="5" t="s">
        <v>33</v>
      </c>
      <c r="H123" s="5">
        <v>2969066</v>
      </c>
      <c r="I123" s="5">
        <v>2476771.14</v>
      </c>
      <c r="J123" s="5">
        <v>38</v>
      </c>
      <c r="K123" s="5">
        <v>220795</v>
      </c>
      <c r="L123" s="5">
        <v>3179310</v>
      </c>
      <c r="M123" s="5">
        <v>492294.86</v>
      </c>
      <c r="N123" s="5">
        <v>0.1658</v>
      </c>
      <c r="O123" s="5">
        <v>3</v>
      </c>
      <c r="P123" s="5">
        <v>105659</v>
      </c>
    </row>
    <row r="124" spans="1:16" x14ac:dyDescent="0.3">
      <c r="A124" s="5">
        <v>33</v>
      </c>
      <c r="B124" s="5" t="s">
        <v>102</v>
      </c>
      <c r="C124" s="5">
        <v>2</v>
      </c>
      <c r="D124" s="5" t="s">
        <v>88</v>
      </c>
      <c r="E124" s="5">
        <v>2022</v>
      </c>
      <c r="F124" s="5">
        <v>1</v>
      </c>
      <c r="G124" s="5" t="s">
        <v>34</v>
      </c>
      <c r="H124" s="5">
        <v>891739</v>
      </c>
      <c r="I124" s="5">
        <v>751038.72</v>
      </c>
      <c r="J124" s="5">
        <v>14</v>
      </c>
      <c r="K124" s="5">
        <v>65554</v>
      </c>
      <c r="L124" s="5">
        <v>952790</v>
      </c>
      <c r="M124" s="5">
        <v>140700.28</v>
      </c>
      <c r="N124" s="5">
        <v>0.1578</v>
      </c>
      <c r="O124" s="5">
        <v>0</v>
      </c>
      <c r="P124" s="5">
        <v>0</v>
      </c>
    </row>
    <row r="125" spans="1:16" x14ac:dyDescent="0.3">
      <c r="A125" s="5">
        <v>105</v>
      </c>
      <c r="B125" s="5" t="s">
        <v>102</v>
      </c>
      <c r="C125" s="5">
        <v>2</v>
      </c>
      <c r="D125" s="5" t="s">
        <v>88</v>
      </c>
      <c r="E125" s="5">
        <v>2022</v>
      </c>
      <c r="F125" s="5">
        <v>1</v>
      </c>
      <c r="G125" s="5" t="s">
        <v>34</v>
      </c>
      <c r="H125" s="5">
        <v>1517328</v>
      </c>
      <c r="I125" s="5">
        <v>1264456.3899999999</v>
      </c>
      <c r="J125" s="5">
        <v>27</v>
      </c>
      <c r="K125" s="5">
        <v>151988</v>
      </c>
      <c r="L125" s="5">
        <v>1666270</v>
      </c>
      <c r="M125" s="5">
        <v>252871.61</v>
      </c>
      <c r="N125" s="5">
        <v>0.16669999999999999</v>
      </c>
      <c r="O125" s="5">
        <v>2</v>
      </c>
      <c r="P125" s="5">
        <v>7729</v>
      </c>
    </row>
    <row r="126" spans="1:16" x14ac:dyDescent="0.3">
      <c r="A126" s="5">
        <v>33</v>
      </c>
      <c r="B126" s="5" t="s">
        <v>102</v>
      </c>
      <c r="C126" s="5">
        <v>2</v>
      </c>
      <c r="D126" s="5" t="s">
        <v>88</v>
      </c>
      <c r="E126" s="5">
        <v>2022</v>
      </c>
      <c r="F126" s="5">
        <v>2</v>
      </c>
      <c r="G126" s="5" t="s">
        <v>35</v>
      </c>
      <c r="H126" s="5">
        <v>695315</v>
      </c>
      <c r="I126" s="5">
        <v>562115.98</v>
      </c>
      <c r="J126" s="5">
        <v>14</v>
      </c>
      <c r="K126" s="5">
        <v>44769</v>
      </c>
      <c r="L126" s="5">
        <v>740030</v>
      </c>
      <c r="M126" s="5">
        <v>133199.01999999999</v>
      </c>
      <c r="N126" s="5">
        <v>0.19159999999999999</v>
      </c>
      <c r="O126" s="5">
        <v>1</v>
      </c>
      <c r="P126" s="5">
        <v>1614</v>
      </c>
    </row>
    <row r="127" spans="1:16" x14ac:dyDescent="0.3">
      <c r="A127" s="5">
        <v>105</v>
      </c>
      <c r="B127" s="5" t="s">
        <v>102</v>
      </c>
      <c r="C127" s="5">
        <v>2</v>
      </c>
      <c r="D127" s="5" t="s">
        <v>88</v>
      </c>
      <c r="E127" s="5">
        <v>2022</v>
      </c>
      <c r="F127" s="5">
        <v>2</v>
      </c>
      <c r="G127" s="5" t="s">
        <v>35</v>
      </c>
      <c r="H127" s="5">
        <v>2439864</v>
      </c>
      <c r="I127" s="5">
        <v>1982151.41</v>
      </c>
      <c r="J127" s="5">
        <v>30</v>
      </c>
      <c r="K127" s="5">
        <v>166989</v>
      </c>
      <c r="L127" s="5">
        <v>2589280</v>
      </c>
      <c r="M127" s="5">
        <v>457712.59</v>
      </c>
      <c r="N127" s="5">
        <v>0.18759999999999999</v>
      </c>
      <c r="O127" s="5">
        <v>4</v>
      </c>
      <c r="P127" s="5">
        <v>414547</v>
      </c>
    </row>
    <row r="128" spans="1:16" x14ac:dyDescent="0.3">
      <c r="A128" s="5">
        <v>33</v>
      </c>
      <c r="B128" s="5" t="s">
        <v>102</v>
      </c>
      <c r="C128" s="5">
        <v>2</v>
      </c>
      <c r="D128" s="5" t="s">
        <v>88</v>
      </c>
      <c r="E128" s="5">
        <v>2022</v>
      </c>
      <c r="F128" s="5">
        <v>3</v>
      </c>
      <c r="G128" s="5" t="s">
        <v>36</v>
      </c>
      <c r="H128" s="5">
        <v>1052231</v>
      </c>
      <c r="I128" s="5">
        <v>851533.98</v>
      </c>
      <c r="J128" s="5">
        <v>18</v>
      </c>
      <c r="K128" s="5">
        <v>74703</v>
      </c>
      <c r="L128" s="5">
        <v>1123050</v>
      </c>
      <c r="M128" s="5">
        <v>200697.02</v>
      </c>
      <c r="N128" s="5">
        <v>0.19070000000000001</v>
      </c>
      <c r="O128" s="5">
        <v>1</v>
      </c>
      <c r="P128" s="5">
        <v>11145</v>
      </c>
    </row>
    <row r="129" spans="1:16" x14ac:dyDescent="0.3">
      <c r="A129" s="5">
        <v>105</v>
      </c>
      <c r="B129" s="5" t="s">
        <v>102</v>
      </c>
      <c r="C129" s="5">
        <v>2</v>
      </c>
      <c r="D129" s="5" t="s">
        <v>88</v>
      </c>
      <c r="E129" s="5">
        <v>2022</v>
      </c>
      <c r="F129" s="5">
        <v>3</v>
      </c>
      <c r="G129" s="5" t="s">
        <v>36</v>
      </c>
      <c r="H129" s="5">
        <v>2543188</v>
      </c>
      <c r="I129" s="5">
        <v>2180371.87</v>
      </c>
      <c r="J129" s="5">
        <v>31</v>
      </c>
      <c r="K129" s="5">
        <v>240388</v>
      </c>
      <c r="L129" s="5">
        <v>2765550</v>
      </c>
      <c r="M129" s="5">
        <v>362816.13</v>
      </c>
      <c r="N129" s="5">
        <v>0.14269999999999999</v>
      </c>
      <c r="O129" s="5">
        <v>3</v>
      </c>
      <c r="P129" s="5">
        <v>140926</v>
      </c>
    </row>
    <row r="130" spans="1:16" x14ac:dyDescent="0.3">
      <c r="A130" s="5">
        <v>33</v>
      </c>
      <c r="B130" s="5" t="s">
        <v>102</v>
      </c>
      <c r="C130" s="5">
        <v>2</v>
      </c>
      <c r="D130" s="5" t="s">
        <v>88</v>
      </c>
      <c r="E130" s="5">
        <v>2022</v>
      </c>
      <c r="F130" s="5">
        <v>4</v>
      </c>
      <c r="G130" s="5" t="s">
        <v>37</v>
      </c>
      <c r="H130" s="5">
        <v>553945</v>
      </c>
      <c r="I130" s="5">
        <v>428933.82</v>
      </c>
      <c r="J130" s="5">
        <v>15</v>
      </c>
      <c r="K130" s="5">
        <v>51160</v>
      </c>
      <c r="L130" s="5">
        <v>601670</v>
      </c>
      <c r="M130" s="5">
        <v>125011.18</v>
      </c>
      <c r="N130" s="5">
        <v>0.22570000000000001</v>
      </c>
      <c r="O130" s="5">
        <v>1</v>
      </c>
      <c r="P130" s="5">
        <v>29026</v>
      </c>
    </row>
    <row r="131" spans="1:16" x14ac:dyDescent="0.3">
      <c r="A131" s="5">
        <v>105</v>
      </c>
      <c r="B131" s="5" t="s">
        <v>102</v>
      </c>
      <c r="C131" s="5">
        <v>2</v>
      </c>
      <c r="D131" s="5" t="s">
        <v>88</v>
      </c>
      <c r="E131" s="5">
        <v>2022</v>
      </c>
      <c r="F131" s="5">
        <v>4</v>
      </c>
      <c r="G131" s="5" t="s">
        <v>37</v>
      </c>
      <c r="H131" s="5">
        <v>2507094</v>
      </c>
      <c r="I131" s="5">
        <v>2327389.88</v>
      </c>
      <c r="J131" s="5">
        <v>37</v>
      </c>
      <c r="K131" s="5">
        <v>425784</v>
      </c>
      <c r="L131" s="5">
        <v>2927370</v>
      </c>
      <c r="M131" s="5">
        <v>179704.12</v>
      </c>
      <c r="N131" s="5">
        <v>7.17E-2</v>
      </c>
      <c r="O131" s="5">
        <v>3</v>
      </c>
      <c r="P131" s="5">
        <v>7754</v>
      </c>
    </row>
    <row r="132" spans="1:16" x14ac:dyDescent="0.3">
      <c r="A132" s="5">
        <v>33</v>
      </c>
      <c r="B132" s="5" t="s">
        <v>102</v>
      </c>
      <c r="C132" s="5">
        <v>2</v>
      </c>
      <c r="D132" s="5" t="s">
        <v>88</v>
      </c>
      <c r="E132" s="5">
        <v>2022</v>
      </c>
      <c r="F132" s="5">
        <v>5</v>
      </c>
      <c r="G132" s="5" t="s">
        <v>38</v>
      </c>
      <c r="H132" s="5">
        <v>1162048</v>
      </c>
      <c r="I132" s="5">
        <v>1006760.82</v>
      </c>
      <c r="J132" s="5">
        <v>16</v>
      </c>
      <c r="K132" s="5">
        <v>98498</v>
      </c>
      <c r="L132" s="5">
        <v>1259900</v>
      </c>
      <c r="M132" s="5">
        <v>155287.18</v>
      </c>
      <c r="N132" s="5">
        <v>0.1336</v>
      </c>
      <c r="O132" s="5">
        <v>1</v>
      </c>
      <c r="P132" s="5">
        <v>56448</v>
      </c>
    </row>
    <row r="133" spans="1:16" x14ac:dyDescent="0.3">
      <c r="A133" s="5">
        <v>105</v>
      </c>
      <c r="B133" s="5" t="s">
        <v>102</v>
      </c>
      <c r="C133" s="5">
        <v>2</v>
      </c>
      <c r="D133" s="5" t="s">
        <v>88</v>
      </c>
      <c r="E133" s="5">
        <v>2022</v>
      </c>
      <c r="F133" s="5">
        <v>5</v>
      </c>
      <c r="G133" s="5" t="s">
        <v>38</v>
      </c>
      <c r="H133" s="5">
        <v>2561590</v>
      </c>
      <c r="I133" s="5">
        <v>2168777.5</v>
      </c>
      <c r="J133" s="5">
        <v>38</v>
      </c>
      <c r="K133" s="5">
        <v>186473</v>
      </c>
      <c r="L133" s="5">
        <v>2742230</v>
      </c>
      <c r="M133" s="5">
        <v>392812.5</v>
      </c>
      <c r="N133" s="5">
        <v>0.15329999999999999</v>
      </c>
      <c r="O133" s="5">
        <v>3</v>
      </c>
      <c r="P133" s="5">
        <v>184409</v>
      </c>
    </row>
    <row r="134" spans="1:16" x14ac:dyDescent="0.3">
      <c r="A134" s="5">
        <v>33</v>
      </c>
      <c r="B134" s="5" t="s">
        <v>102</v>
      </c>
      <c r="C134" s="5">
        <v>2</v>
      </c>
      <c r="D134" s="5" t="s">
        <v>88</v>
      </c>
      <c r="E134" s="5">
        <v>2022</v>
      </c>
      <c r="F134" s="5">
        <v>6</v>
      </c>
      <c r="G134" s="5" t="s">
        <v>39</v>
      </c>
      <c r="H134" s="5">
        <v>307708</v>
      </c>
      <c r="I134" s="5">
        <v>237207.58</v>
      </c>
      <c r="J134" s="5">
        <v>9</v>
      </c>
      <c r="K134" s="5">
        <v>18912</v>
      </c>
      <c r="L134" s="5">
        <v>326030</v>
      </c>
      <c r="M134" s="5">
        <v>70500.42</v>
      </c>
      <c r="N134" s="5">
        <v>0.2291</v>
      </c>
      <c r="O134" s="5">
        <v>0</v>
      </c>
      <c r="P134" s="5">
        <v>0</v>
      </c>
    </row>
    <row r="135" spans="1:16" x14ac:dyDescent="0.3">
      <c r="A135" s="5">
        <v>105</v>
      </c>
      <c r="B135" s="5" t="s">
        <v>102</v>
      </c>
      <c r="C135" s="5">
        <v>2</v>
      </c>
      <c r="D135" s="5" t="s">
        <v>88</v>
      </c>
      <c r="E135" s="5">
        <v>2022</v>
      </c>
      <c r="F135" s="5">
        <v>6</v>
      </c>
      <c r="G135" s="5" t="s">
        <v>39</v>
      </c>
      <c r="H135" s="5">
        <v>1803721</v>
      </c>
      <c r="I135" s="5">
        <v>1489192.35</v>
      </c>
      <c r="J135" s="5">
        <v>31</v>
      </c>
      <c r="K135" s="5">
        <v>177634</v>
      </c>
      <c r="L135" s="5">
        <v>1978400</v>
      </c>
      <c r="M135" s="5">
        <v>314528.65000000002</v>
      </c>
      <c r="N135" s="5">
        <v>0.1744</v>
      </c>
      <c r="O135" s="5">
        <v>4</v>
      </c>
      <c r="P135" s="5">
        <v>116896</v>
      </c>
    </row>
    <row r="136" spans="1:16" x14ac:dyDescent="0.3">
      <c r="A136" s="5">
        <v>33</v>
      </c>
      <c r="B136" s="5" t="s">
        <v>102</v>
      </c>
      <c r="C136" s="5">
        <v>2</v>
      </c>
      <c r="D136" s="5" t="s">
        <v>88</v>
      </c>
      <c r="E136" s="5">
        <v>2022</v>
      </c>
      <c r="F136" s="5">
        <v>7</v>
      </c>
      <c r="G136" s="5" t="s">
        <v>40</v>
      </c>
      <c r="H136" s="5">
        <v>902460</v>
      </c>
      <c r="I136" s="5">
        <v>724614.34</v>
      </c>
      <c r="J136" s="5">
        <v>17</v>
      </c>
      <c r="K136" s="5">
        <v>30956</v>
      </c>
      <c r="L136" s="5">
        <v>927530</v>
      </c>
      <c r="M136" s="5">
        <v>177845.66</v>
      </c>
      <c r="N136" s="5">
        <v>0.1971</v>
      </c>
      <c r="O136" s="5">
        <v>0</v>
      </c>
      <c r="P136" s="5">
        <v>0</v>
      </c>
    </row>
    <row r="137" spans="1:16" x14ac:dyDescent="0.3">
      <c r="A137" s="5">
        <v>105</v>
      </c>
      <c r="B137" s="5" t="s">
        <v>102</v>
      </c>
      <c r="C137" s="5">
        <v>2</v>
      </c>
      <c r="D137" s="5" t="s">
        <v>88</v>
      </c>
      <c r="E137" s="5">
        <v>2022</v>
      </c>
      <c r="F137" s="5">
        <v>7</v>
      </c>
      <c r="G137" s="5" t="s">
        <v>40</v>
      </c>
      <c r="H137" s="5">
        <v>1217424</v>
      </c>
      <c r="I137" s="5">
        <v>1116872.98</v>
      </c>
      <c r="J137" s="5">
        <v>23</v>
      </c>
      <c r="K137" s="5">
        <v>228565</v>
      </c>
      <c r="L137" s="5">
        <v>1441710</v>
      </c>
      <c r="M137" s="5">
        <v>100551.02</v>
      </c>
      <c r="N137" s="5">
        <v>8.2600000000000007E-2</v>
      </c>
      <c r="O137" s="5">
        <v>2</v>
      </c>
      <c r="P137" s="5">
        <v>18846</v>
      </c>
    </row>
    <row r="138" spans="1:16" x14ac:dyDescent="0.3">
      <c r="A138" s="5">
        <v>33</v>
      </c>
      <c r="B138" s="5" t="s">
        <v>102</v>
      </c>
      <c r="C138" s="5">
        <v>2</v>
      </c>
      <c r="D138" s="5" t="s">
        <v>88</v>
      </c>
      <c r="E138" s="5">
        <v>2022</v>
      </c>
      <c r="F138" s="5">
        <v>8</v>
      </c>
      <c r="G138" s="5" t="s">
        <v>41</v>
      </c>
      <c r="H138" s="5">
        <v>621407</v>
      </c>
      <c r="I138" s="5">
        <v>636096.05000000005</v>
      </c>
      <c r="J138" s="5">
        <v>12</v>
      </c>
      <c r="K138" s="5">
        <v>187598</v>
      </c>
      <c r="L138" s="5">
        <v>807410</v>
      </c>
      <c r="M138" s="5">
        <v>-14689.05</v>
      </c>
      <c r="N138" s="5">
        <v>-2.3599999999999999E-2</v>
      </c>
      <c r="O138" s="5">
        <v>1</v>
      </c>
      <c r="P138" s="5">
        <v>6145</v>
      </c>
    </row>
    <row r="139" spans="1:16" x14ac:dyDescent="0.3">
      <c r="A139" s="5">
        <v>105</v>
      </c>
      <c r="B139" s="5" t="s">
        <v>102</v>
      </c>
      <c r="C139" s="5">
        <v>2</v>
      </c>
      <c r="D139" s="5" t="s">
        <v>88</v>
      </c>
      <c r="E139" s="5">
        <v>2022</v>
      </c>
      <c r="F139" s="5">
        <v>8</v>
      </c>
      <c r="G139" s="5" t="s">
        <v>41</v>
      </c>
      <c r="H139" s="5">
        <v>987781</v>
      </c>
      <c r="I139" s="5">
        <v>1011544.49</v>
      </c>
      <c r="J139" s="5">
        <v>25</v>
      </c>
      <c r="K139" s="5">
        <v>353664</v>
      </c>
      <c r="L139" s="5">
        <v>1337270</v>
      </c>
      <c r="M139" s="5">
        <v>-23763.49</v>
      </c>
      <c r="N139" s="5">
        <v>-2.41E-2</v>
      </c>
      <c r="O139" s="5">
        <v>3</v>
      </c>
      <c r="P139" s="5">
        <v>20275</v>
      </c>
    </row>
    <row r="140" spans="1:16" x14ac:dyDescent="0.3">
      <c r="A140" s="5">
        <v>33</v>
      </c>
      <c r="B140" s="5" t="s">
        <v>102</v>
      </c>
      <c r="C140" s="5">
        <v>2</v>
      </c>
      <c r="D140" s="5" t="s">
        <v>88</v>
      </c>
      <c r="E140" s="5">
        <v>2022</v>
      </c>
      <c r="F140" s="5">
        <v>9</v>
      </c>
      <c r="G140" s="5" t="s">
        <v>42</v>
      </c>
      <c r="H140" s="5">
        <v>1690417</v>
      </c>
      <c r="I140" s="5">
        <v>1460615.47</v>
      </c>
      <c r="J140" s="5">
        <v>18</v>
      </c>
      <c r="K140" s="5">
        <v>231735</v>
      </c>
      <c r="L140" s="5">
        <v>1912250</v>
      </c>
      <c r="M140" s="5">
        <v>229801.53</v>
      </c>
      <c r="N140" s="5">
        <v>0.13589999999999999</v>
      </c>
      <c r="O140" s="5">
        <v>1</v>
      </c>
      <c r="P140" s="5">
        <v>87299</v>
      </c>
    </row>
    <row r="141" spans="1:16" x14ac:dyDescent="0.3">
      <c r="A141" s="5">
        <v>105</v>
      </c>
      <c r="B141" s="5" t="s">
        <v>102</v>
      </c>
      <c r="C141" s="5">
        <v>2</v>
      </c>
      <c r="D141" s="5" t="s">
        <v>88</v>
      </c>
      <c r="E141" s="5">
        <v>2022</v>
      </c>
      <c r="F141" s="5">
        <v>9</v>
      </c>
      <c r="G141" s="5" t="s">
        <v>42</v>
      </c>
      <c r="H141" s="5">
        <v>3151329</v>
      </c>
      <c r="I141" s="5">
        <v>2738031.53</v>
      </c>
      <c r="J141" s="5">
        <v>37</v>
      </c>
      <c r="K141" s="5">
        <v>334963</v>
      </c>
      <c r="L141" s="5">
        <v>3475240</v>
      </c>
      <c r="M141" s="5">
        <v>413297.47</v>
      </c>
      <c r="N141" s="5">
        <v>0.13120000000000001</v>
      </c>
      <c r="O141" s="5">
        <v>4</v>
      </c>
      <c r="P141" s="5">
        <v>186513</v>
      </c>
    </row>
    <row r="142" spans="1:16" x14ac:dyDescent="0.3">
      <c r="A142" s="5">
        <v>33</v>
      </c>
      <c r="B142" s="5" t="s">
        <v>102</v>
      </c>
      <c r="C142" s="5">
        <v>2</v>
      </c>
      <c r="D142" s="5" t="s">
        <v>88</v>
      </c>
      <c r="E142" s="5">
        <v>2022</v>
      </c>
      <c r="F142" s="5">
        <v>10</v>
      </c>
      <c r="G142" s="5" t="s">
        <v>43</v>
      </c>
      <c r="H142" s="5">
        <v>872860</v>
      </c>
      <c r="I142" s="5">
        <v>767780.44</v>
      </c>
      <c r="J142" s="5">
        <v>23</v>
      </c>
      <c r="K142" s="5">
        <v>177535</v>
      </c>
      <c r="L142" s="5">
        <v>1049140</v>
      </c>
      <c r="M142" s="5">
        <v>105079.56</v>
      </c>
      <c r="N142" s="5">
        <v>0.12039999999999999</v>
      </c>
      <c r="O142" s="5">
        <v>1</v>
      </c>
      <c r="P142" s="5">
        <v>66398</v>
      </c>
    </row>
    <row r="143" spans="1:16" x14ac:dyDescent="0.3">
      <c r="A143" s="5">
        <v>105</v>
      </c>
      <c r="B143" s="5" t="s">
        <v>102</v>
      </c>
      <c r="C143" s="5">
        <v>2</v>
      </c>
      <c r="D143" s="5" t="s">
        <v>88</v>
      </c>
      <c r="E143" s="5">
        <v>2022</v>
      </c>
      <c r="F143" s="5">
        <v>10</v>
      </c>
      <c r="G143" s="5" t="s">
        <v>43</v>
      </c>
      <c r="H143" s="5">
        <v>3220604</v>
      </c>
      <c r="I143" s="5">
        <v>2733830.99</v>
      </c>
      <c r="J143" s="5">
        <v>43</v>
      </c>
      <c r="K143" s="5">
        <v>296294</v>
      </c>
      <c r="L143" s="5">
        <v>3504740</v>
      </c>
      <c r="M143" s="5">
        <v>486773.01</v>
      </c>
      <c r="N143" s="5">
        <v>0.15110000000000001</v>
      </c>
      <c r="O143" s="5">
        <v>6</v>
      </c>
      <c r="P143" s="5">
        <v>15604</v>
      </c>
    </row>
    <row r="144" spans="1:16" x14ac:dyDescent="0.3">
      <c r="A144" s="5">
        <v>33</v>
      </c>
      <c r="B144" s="5" t="s">
        <v>102</v>
      </c>
      <c r="C144" s="5">
        <v>2</v>
      </c>
      <c r="D144" s="5" t="s">
        <v>88</v>
      </c>
      <c r="E144" s="5">
        <v>2022</v>
      </c>
      <c r="F144" s="5">
        <v>11</v>
      </c>
      <c r="G144" s="5" t="s">
        <v>44</v>
      </c>
      <c r="H144" s="5">
        <v>1082286</v>
      </c>
      <c r="I144" s="5">
        <v>844200.02</v>
      </c>
      <c r="J144" s="5">
        <v>21</v>
      </c>
      <c r="K144" s="5">
        <v>61412</v>
      </c>
      <c r="L144" s="5">
        <v>1137270</v>
      </c>
      <c r="M144" s="5">
        <v>238085.98</v>
      </c>
      <c r="N144" s="5">
        <v>0.22</v>
      </c>
      <c r="O144" s="5">
        <v>1</v>
      </c>
      <c r="P144" s="5">
        <v>22402</v>
      </c>
    </row>
    <row r="145" spans="1:16" x14ac:dyDescent="0.3">
      <c r="A145" s="5">
        <v>105</v>
      </c>
      <c r="B145" s="5" t="s">
        <v>102</v>
      </c>
      <c r="C145" s="5">
        <v>2</v>
      </c>
      <c r="D145" s="5" t="s">
        <v>88</v>
      </c>
      <c r="E145" s="5">
        <v>2022</v>
      </c>
      <c r="F145" s="5">
        <v>11</v>
      </c>
      <c r="G145" s="5" t="s">
        <v>44</v>
      </c>
      <c r="H145" s="5">
        <v>2404280</v>
      </c>
      <c r="I145" s="5">
        <v>2009128.89</v>
      </c>
      <c r="J145" s="5">
        <v>38</v>
      </c>
      <c r="K145" s="5">
        <v>216991</v>
      </c>
      <c r="L145" s="5">
        <v>2609870</v>
      </c>
      <c r="M145" s="5">
        <v>395151.11</v>
      </c>
      <c r="N145" s="5">
        <v>0.16439999999999999</v>
      </c>
      <c r="O145" s="5">
        <v>2</v>
      </c>
      <c r="P145" s="5">
        <v>107417</v>
      </c>
    </row>
    <row r="146" spans="1:16" x14ac:dyDescent="0.3">
      <c r="A146" s="5">
        <v>33</v>
      </c>
      <c r="B146" s="5" t="s">
        <v>102</v>
      </c>
      <c r="C146" s="5">
        <v>2</v>
      </c>
      <c r="D146" s="5" t="s">
        <v>88</v>
      </c>
      <c r="E146" s="5">
        <v>2022</v>
      </c>
      <c r="F146" s="5">
        <v>12</v>
      </c>
      <c r="G146" s="5" t="s">
        <v>45</v>
      </c>
      <c r="H146" s="5">
        <v>1134675</v>
      </c>
      <c r="I146" s="5">
        <v>940822.03</v>
      </c>
      <c r="J146" s="5">
        <v>19</v>
      </c>
      <c r="K146" s="5">
        <v>76435</v>
      </c>
      <c r="L146" s="5">
        <v>1206420</v>
      </c>
      <c r="M146" s="5">
        <v>193852.97</v>
      </c>
      <c r="N146" s="5">
        <v>0.17080000000000001</v>
      </c>
      <c r="O146" s="5">
        <v>2</v>
      </c>
      <c r="P146" s="5">
        <v>14507</v>
      </c>
    </row>
    <row r="147" spans="1:16" x14ac:dyDescent="0.3">
      <c r="A147" s="5">
        <v>105</v>
      </c>
      <c r="B147" s="5" t="s">
        <v>102</v>
      </c>
      <c r="C147" s="5">
        <v>2</v>
      </c>
      <c r="D147" s="5" t="s">
        <v>88</v>
      </c>
      <c r="E147" s="5">
        <v>2022</v>
      </c>
      <c r="F147" s="5">
        <v>12</v>
      </c>
      <c r="G147" s="5" t="s">
        <v>45</v>
      </c>
      <c r="H147" s="5">
        <v>2766740</v>
      </c>
      <c r="I147" s="5">
        <v>2270825.9900000002</v>
      </c>
      <c r="J147" s="5">
        <v>35</v>
      </c>
      <c r="K147" s="5">
        <v>211679</v>
      </c>
      <c r="L147" s="5">
        <v>2973100</v>
      </c>
      <c r="M147" s="5">
        <v>495914.01</v>
      </c>
      <c r="N147" s="5">
        <v>0.1792</v>
      </c>
      <c r="O147" s="5">
        <v>3</v>
      </c>
      <c r="P147" s="5">
        <v>133776</v>
      </c>
    </row>
    <row r="148" spans="1:16" x14ac:dyDescent="0.3">
      <c r="A148" s="5">
        <v>33</v>
      </c>
      <c r="B148" s="5" t="s">
        <v>102</v>
      </c>
      <c r="C148" s="5">
        <v>2</v>
      </c>
      <c r="D148" s="5" t="s">
        <v>88</v>
      </c>
      <c r="E148" s="5">
        <v>2023</v>
      </c>
      <c r="F148" s="5">
        <v>1</v>
      </c>
      <c r="G148" s="5" t="s">
        <v>46</v>
      </c>
      <c r="H148" s="5">
        <v>1298894</v>
      </c>
      <c r="I148" s="5">
        <v>1203172.68</v>
      </c>
      <c r="J148" s="5">
        <v>20</v>
      </c>
      <c r="K148" s="5">
        <v>285438</v>
      </c>
      <c r="L148" s="5">
        <v>1580510</v>
      </c>
      <c r="M148" s="5">
        <v>95721.32</v>
      </c>
      <c r="N148" s="5">
        <v>7.3700000000000002E-2</v>
      </c>
      <c r="O148" s="5">
        <v>1</v>
      </c>
      <c r="P148" s="5">
        <v>2131</v>
      </c>
    </row>
    <row r="149" spans="1:16" x14ac:dyDescent="0.3">
      <c r="A149" s="5">
        <v>105</v>
      </c>
      <c r="B149" s="5" t="s">
        <v>102</v>
      </c>
      <c r="C149" s="5">
        <v>2</v>
      </c>
      <c r="D149" s="5" t="s">
        <v>88</v>
      </c>
      <c r="E149" s="5">
        <v>2023</v>
      </c>
      <c r="F149" s="5">
        <v>1</v>
      </c>
      <c r="G149" s="5" t="s">
        <v>46</v>
      </c>
      <c r="H149" s="5">
        <v>2329427</v>
      </c>
      <c r="I149" s="5">
        <v>2181941.81</v>
      </c>
      <c r="J149" s="5">
        <v>33</v>
      </c>
      <c r="K149" s="5">
        <v>420738</v>
      </c>
      <c r="L149" s="5">
        <v>2747770</v>
      </c>
      <c r="M149" s="5">
        <v>147485.19</v>
      </c>
      <c r="N149" s="5">
        <v>6.3299999999999995E-2</v>
      </c>
      <c r="O149" s="5">
        <v>4</v>
      </c>
      <c r="P149" s="5">
        <v>124409</v>
      </c>
    </row>
    <row r="150" spans="1:16" x14ac:dyDescent="0.3">
      <c r="A150" s="5">
        <v>33</v>
      </c>
      <c r="B150" s="5" t="s">
        <v>102</v>
      </c>
      <c r="C150" s="5">
        <v>2</v>
      </c>
      <c r="D150" s="5" t="s">
        <v>88</v>
      </c>
      <c r="E150" s="5">
        <v>2023</v>
      </c>
      <c r="F150" s="5">
        <v>2</v>
      </c>
      <c r="G150" s="5" t="s">
        <v>47</v>
      </c>
      <c r="H150" s="5">
        <v>920715</v>
      </c>
      <c r="I150" s="5">
        <v>781667.97</v>
      </c>
      <c r="J150" s="5">
        <v>21</v>
      </c>
      <c r="K150" s="5">
        <v>121825</v>
      </c>
      <c r="L150" s="5">
        <v>1040900</v>
      </c>
      <c r="M150" s="5">
        <v>139047.03</v>
      </c>
      <c r="N150" s="5">
        <v>0.151</v>
      </c>
      <c r="O150" s="5">
        <v>1</v>
      </c>
      <c r="P150" s="5">
        <v>11442</v>
      </c>
    </row>
    <row r="151" spans="1:16" x14ac:dyDescent="0.3">
      <c r="A151" s="5">
        <v>105</v>
      </c>
      <c r="B151" s="5" t="s">
        <v>102</v>
      </c>
      <c r="C151" s="5">
        <v>2</v>
      </c>
      <c r="D151" s="5" t="s">
        <v>88</v>
      </c>
      <c r="E151" s="5">
        <v>2023</v>
      </c>
      <c r="F151" s="5">
        <v>2</v>
      </c>
      <c r="G151" s="5" t="s">
        <v>47</v>
      </c>
      <c r="H151" s="5">
        <v>1255745</v>
      </c>
      <c r="I151" s="5">
        <v>1030388.77</v>
      </c>
      <c r="J151" s="5">
        <v>23</v>
      </c>
      <c r="K151" s="5">
        <v>117804</v>
      </c>
      <c r="L151" s="5">
        <v>1369240</v>
      </c>
      <c r="M151" s="5">
        <v>225356.23</v>
      </c>
      <c r="N151" s="5">
        <v>0.17949999999999999</v>
      </c>
      <c r="O151" s="5">
        <v>2</v>
      </c>
      <c r="P151" s="5">
        <v>3796</v>
      </c>
    </row>
    <row r="152" spans="1:16" x14ac:dyDescent="0.3">
      <c r="A152" s="5">
        <v>33</v>
      </c>
      <c r="B152" s="5" t="s">
        <v>102</v>
      </c>
      <c r="C152" s="5">
        <v>2</v>
      </c>
      <c r="D152" s="5" t="s">
        <v>88</v>
      </c>
      <c r="E152" s="5">
        <v>2023</v>
      </c>
      <c r="F152" s="5">
        <v>3</v>
      </c>
      <c r="G152" s="5" t="s">
        <v>48</v>
      </c>
      <c r="H152" s="5">
        <v>453659</v>
      </c>
      <c r="I152" s="5">
        <v>383102</v>
      </c>
      <c r="J152" s="5">
        <v>16</v>
      </c>
      <c r="K152" s="5">
        <v>62927</v>
      </c>
      <c r="L152" s="5">
        <v>515400</v>
      </c>
      <c r="M152" s="5">
        <v>70557</v>
      </c>
      <c r="N152" s="5">
        <v>0.1555</v>
      </c>
      <c r="O152" s="5">
        <v>0</v>
      </c>
      <c r="P152" s="5">
        <v>0</v>
      </c>
    </row>
    <row r="153" spans="1:16" x14ac:dyDescent="0.3">
      <c r="A153" s="5">
        <v>105</v>
      </c>
      <c r="B153" s="5" t="s">
        <v>102</v>
      </c>
      <c r="C153" s="5">
        <v>2</v>
      </c>
      <c r="D153" s="5" t="s">
        <v>88</v>
      </c>
      <c r="E153" s="5">
        <v>2023</v>
      </c>
      <c r="F153" s="5">
        <v>3</v>
      </c>
      <c r="G153" s="5" t="s">
        <v>48</v>
      </c>
      <c r="H153" s="5">
        <v>1989853</v>
      </c>
      <c r="I153" s="5">
        <v>1789834.88</v>
      </c>
      <c r="J153" s="5">
        <v>33</v>
      </c>
      <c r="K153" s="5">
        <v>276554</v>
      </c>
      <c r="L153" s="5">
        <v>2263040</v>
      </c>
      <c r="M153" s="5">
        <v>200018.12</v>
      </c>
      <c r="N153" s="5">
        <v>0.10050000000000001</v>
      </c>
      <c r="O153" s="5">
        <v>1</v>
      </c>
      <c r="P153" s="5">
        <v>4273</v>
      </c>
    </row>
    <row r="154" spans="1:16" x14ac:dyDescent="0.3">
      <c r="A154" s="5">
        <v>33</v>
      </c>
      <c r="B154" s="5" t="s">
        <v>102</v>
      </c>
      <c r="C154" s="5">
        <v>2</v>
      </c>
      <c r="D154" s="5" t="s">
        <v>88</v>
      </c>
      <c r="E154" s="5">
        <v>2023</v>
      </c>
      <c r="F154" s="5">
        <v>4</v>
      </c>
      <c r="G154" s="5" t="s">
        <v>49</v>
      </c>
      <c r="H154" s="5">
        <v>1765129</v>
      </c>
      <c r="I154" s="5">
        <v>1640427.62</v>
      </c>
      <c r="J154" s="5">
        <v>23</v>
      </c>
      <c r="K154" s="5">
        <v>319786</v>
      </c>
      <c r="L154" s="5">
        <v>2079510</v>
      </c>
      <c r="M154" s="5">
        <v>124701.38</v>
      </c>
      <c r="N154" s="5">
        <v>7.0599999999999996E-2</v>
      </c>
      <c r="O154" s="5">
        <v>2</v>
      </c>
      <c r="P154" s="5">
        <v>141441</v>
      </c>
    </row>
    <row r="155" spans="1:16" x14ac:dyDescent="0.3">
      <c r="A155" s="5">
        <v>105</v>
      </c>
      <c r="B155" s="5" t="s">
        <v>102</v>
      </c>
      <c r="C155" s="5">
        <v>2</v>
      </c>
      <c r="D155" s="5" t="s">
        <v>88</v>
      </c>
      <c r="E155" s="5">
        <v>2023</v>
      </c>
      <c r="F155" s="5">
        <v>4</v>
      </c>
      <c r="G155" s="5" t="s">
        <v>49</v>
      </c>
      <c r="H155" s="5">
        <v>2020699</v>
      </c>
      <c r="I155" s="5">
        <v>1709149.78</v>
      </c>
      <c r="J155" s="5">
        <v>28</v>
      </c>
      <c r="K155" s="5">
        <v>183955</v>
      </c>
      <c r="L155" s="5">
        <v>2197390</v>
      </c>
      <c r="M155" s="5">
        <v>311549.21999999997</v>
      </c>
      <c r="N155" s="5">
        <v>0.1542</v>
      </c>
      <c r="O155" s="5">
        <v>1</v>
      </c>
      <c r="P155" s="5">
        <v>17963</v>
      </c>
    </row>
    <row r="156" spans="1:16" x14ac:dyDescent="0.3">
      <c r="A156" s="5">
        <v>33</v>
      </c>
      <c r="B156" s="5" t="s">
        <v>102</v>
      </c>
      <c r="C156" s="5">
        <v>2</v>
      </c>
      <c r="D156" s="5" t="s">
        <v>88</v>
      </c>
      <c r="E156" s="5">
        <v>2023</v>
      </c>
      <c r="F156" s="5">
        <v>5</v>
      </c>
      <c r="G156" s="5" t="s">
        <v>50</v>
      </c>
      <c r="H156" s="5">
        <v>1100476</v>
      </c>
      <c r="I156" s="5">
        <v>929319.95</v>
      </c>
      <c r="J156" s="5">
        <v>14</v>
      </c>
      <c r="K156" s="5">
        <v>84725</v>
      </c>
      <c r="L156" s="5">
        <v>1182960</v>
      </c>
      <c r="M156" s="5">
        <v>171156.05</v>
      </c>
      <c r="N156" s="5">
        <v>0.1555</v>
      </c>
      <c r="O156" s="5">
        <v>0</v>
      </c>
      <c r="P156" s="5">
        <v>0</v>
      </c>
    </row>
    <row r="157" spans="1:16" x14ac:dyDescent="0.3">
      <c r="A157" s="5">
        <v>105</v>
      </c>
      <c r="B157" s="5" t="s">
        <v>102</v>
      </c>
      <c r="C157" s="5">
        <v>2</v>
      </c>
      <c r="D157" s="5" t="s">
        <v>88</v>
      </c>
      <c r="E157" s="5">
        <v>2023</v>
      </c>
      <c r="F157" s="5">
        <v>5</v>
      </c>
      <c r="G157" s="5" t="s">
        <v>50</v>
      </c>
      <c r="H157" s="5">
        <v>2327575</v>
      </c>
      <c r="I157" s="5">
        <v>1978082.13</v>
      </c>
      <c r="J157" s="5">
        <v>35</v>
      </c>
      <c r="K157" s="5">
        <v>223092</v>
      </c>
      <c r="L157" s="5">
        <v>2540950</v>
      </c>
      <c r="M157" s="5">
        <v>349492.87</v>
      </c>
      <c r="N157" s="5">
        <v>0.1502</v>
      </c>
      <c r="O157" s="5">
        <v>2</v>
      </c>
      <c r="P157" s="5">
        <v>8907</v>
      </c>
    </row>
    <row r="158" spans="1:16" x14ac:dyDescent="0.3">
      <c r="A158" s="5">
        <v>33</v>
      </c>
      <c r="B158" s="5" t="s">
        <v>102</v>
      </c>
      <c r="C158" s="5">
        <v>2</v>
      </c>
      <c r="D158" s="5" t="s">
        <v>88</v>
      </c>
      <c r="E158" s="5">
        <v>2023</v>
      </c>
      <c r="F158" s="5">
        <v>6</v>
      </c>
      <c r="G158" s="5" t="s">
        <v>51</v>
      </c>
      <c r="H158" s="5">
        <v>2270540</v>
      </c>
      <c r="I158" s="5">
        <v>2029225.69</v>
      </c>
      <c r="J158" s="5">
        <v>28</v>
      </c>
      <c r="K158" s="5">
        <v>339132</v>
      </c>
      <c r="L158" s="5">
        <v>2603160</v>
      </c>
      <c r="M158" s="5">
        <v>241314.31</v>
      </c>
      <c r="N158" s="5">
        <v>0.10630000000000001</v>
      </c>
      <c r="O158" s="5">
        <v>4</v>
      </c>
      <c r="P158" s="5">
        <v>190248</v>
      </c>
    </row>
    <row r="159" spans="1:16" x14ac:dyDescent="0.3">
      <c r="A159" s="5">
        <v>105</v>
      </c>
      <c r="B159" s="5" t="s">
        <v>102</v>
      </c>
      <c r="C159" s="5">
        <v>2</v>
      </c>
      <c r="D159" s="5" t="s">
        <v>88</v>
      </c>
      <c r="E159" s="5">
        <v>2023</v>
      </c>
      <c r="F159" s="5">
        <v>6</v>
      </c>
      <c r="G159" s="5" t="s">
        <v>51</v>
      </c>
      <c r="H159" s="5">
        <v>3584518</v>
      </c>
      <c r="I159" s="5">
        <v>3131342.32</v>
      </c>
      <c r="J159" s="5">
        <v>49</v>
      </c>
      <c r="K159" s="5">
        <v>380598</v>
      </c>
      <c r="L159" s="5">
        <v>3948610</v>
      </c>
      <c r="M159" s="5">
        <v>453175.68</v>
      </c>
      <c r="N159" s="5">
        <v>0.12640000000000001</v>
      </c>
      <c r="O159" s="5">
        <v>2</v>
      </c>
      <c r="P159" s="5">
        <v>58010</v>
      </c>
    </row>
    <row r="160" spans="1:16" x14ac:dyDescent="0.3">
      <c r="A160" s="5">
        <v>33</v>
      </c>
      <c r="B160" s="5" t="s">
        <v>102</v>
      </c>
      <c r="C160" s="5">
        <v>2</v>
      </c>
      <c r="D160" s="5" t="s">
        <v>88</v>
      </c>
      <c r="E160" s="5">
        <v>2023</v>
      </c>
      <c r="F160" s="5">
        <v>7</v>
      </c>
      <c r="G160" s="5" t="s">
        <v>52</v>
      </c>
      <c r="H160" s="5">
        <v>1014229</v>
      </c>
      <c r="I160" s="5">
        <v>908259.11</v>
      </c>
      <c r="J160" s="5">
        <v>20</v>
      </c>
      <c r="K160" s="5">
        <v>183689</v>
      </c>
      <c r="L160" s="5">
        <v>1193830</v>
      </c>
      <c r="M160" s="5">
        <v>105969.89</v>
      </c>
      <c r="N160" s="5">
        <v>0.1045</v>
      </c>
      <c r="O160" s="5">
        <v>2</v>
      </c>
      <c r="P160" s="5">
        <v>6562</v>
      </c>
    </row>
    <row r="161" spans="1:16" x14ac:dyDescent="0.3">
      <c r="A161" s="5">
        <v>105</v>
      </c>
      <c r="B161" s="5" t="s">
        <v>102</v>
      </c>
      <c r="C161" s="5">
        <v>2</v>
      </c>
      <c r="D161" s="5" t="s">
        <v>88</v>
      </c>
      <c r="E161" s="5">
        <v>2023</v>
      </c>
      <c r="F161" s="5">
        <v>7</v>
      </c>
      <c r="G161" s="5" t="s">
        <v>52</v>
      </c>
      <c r="H161" s="5">
        <v>3137289</v>
      </c>
      <c r="I161" s="5">
        <v>2743623.97</v>
      </c>
      <c r="J161" s="5">
        <v>55</v>
      </c>
      <c r="K161" s="5">
        <v>454542</v>
      </c>
      <c r="L161" s="5">
        <v>3581840</v>
      </c>
      <c r="M161" s="5">
        <v>393665.03</v>
      </c>
      <c r="N161" s="5">
        <v>0.1255</v>
      </c>
      <c r="O161" s="5">
        <v>7</v>
      </c>
      <c r="P161" s="5">
        <v>170395</v>
      </c>
    </row>
    <row r="162" spans="1:16" x14ac:dyDescent="0.3">
      <c r="A162" s="5">
        <v>33</v>
      </c>
      <c r="B162" s="5" t="s">
        <v>102</v>
      </c>
      <c r="C162" s="5">
        <v>2</v>
      </c>
      <c r="D162" s="5" t="s">
        <v>88</v>
      </c>
      <c r="E162" s="5">
        <v>2023</v>
      </c>
      <c r="F162" s="5">
        <v>8</v>
      </c>
      <c r="G162" s="5" t="s">
        <v>53</v>
      </c>
      <c r="H162" s="5">
        <v>1278802</v>
      </c>
      <c r="I162" s="5">
        <v>1183809.95</v>
      </c>
      <c r="J162" s="5">
        <v>22</v>
      </c>
      <c r="K162" s="5">
        <v>254191</v>
      </c>
      <c r="L162" s="5">
        <v>1531690</v>
      </c>
      <c r="M162" s="5">
        <v>94992.05</v>
      </c>
      <c r="N162" s="5">
        <v>7.4300000000000005E-2</v>
      </c>
      <c r="O162" s="5">
        <v>2</v>
      </c>
      <c r="P162" s="5">
        <v>23254</v>
      </c>
    </row>
    <row r="163" spans="1:16" x14ac:dyDescent="0.3">
      <c r="A163" s="5">
        <v>105</v>
      </c>
      <c r="B163" s="5" t="s">
        <v>102</v>
      </c>
      <c r="C163" s="5">
        <v>2</v>
      </c>
      <c r="D163" s="5" t="s">
        <v>88</v>
      </c>
      <c r="E163" s="5">
        <v>2023</v>
      </c>
      <c r="F163" s="5">
        <v>8</v>
      </c>
      <c r="G163" s="5" t="s">
        <v>53</v>
      </c>
      <c r="H163" s="5">
        <v>2326701</v>
      </c>
      <c r="I163" s="5">
        <v>2112784.54</v>
      </c>
      <c r="J163" s="5">
        <v>36</v>
      </c>
      <c r="K163" s="5">
        <v>425122</v>
      </c>
      <c r="L163" s="5">
        <v>2743610</v>
      </c>
      <c r="M163" s="5">
        <v>213916.46</v>
      </c>
      <c r="N163" s="5">
        <v>9.1899999999999996E-2</v>
      </c>
      <c r="O163" s="5">
        <v>0</v>
      </c>
      <c r="P163" s="5">
        <v>0</v>
      </c>
    </row>
    <row r="164" spans="1:16" x14ac:dyDescent="0.3">
      <c r="A164" s="5">
        <v>33</v>
      </c>
      <c r="B164" s="5" t="s">
        <v>102</v>
      </c>
      <c r="C164" s="5">
        <v>2</v>
      </c>
      <c r="D164" s="5" t="s">
        <v>88</v>
      </c>
      <c r="E164" s="5">
        <v>2023</v>
      </c>
      <c r="F164" s="5">
        <v>9</v>
      </c>
      <c r="G164" s="5" t="s">
        <v>54</v>
      </c>
      <c r="H164" s="5">
        <v>1721703</v>
      </c>
      <c r="I164" s="5">
        <v>1616772.9</v>
      </c>
      <c r="J164" s="5">
        <v>24</v>
      </c>
      <c r="K164" s="5">
        <v>350640</v>
      </c>
      <c r="L164" s="5">
        <v>2069160</v>
      </c>
      <c r="M164" s="5">
        <v>104930.1</v>
      </c>
      <c r="N164" s="5">
        <v>6.0900000000000003E-2</v>
      </c>
      <c r="O164" s="5">
        <v>4</v>
      </c>
      <c r="P164" s="5">
        <v>85493</v>
      </c>
    </row>
    <row r="165" spans="1:16" x14ac:dyDescent="0.3">
      <c r="A165" s="5">
        <v>105</v>
      </c>
      <c r="B165" s="5" t="s">
        <v>102</v>
      </c>
      <c r="C165" s="5">
        <v>2</v>
      </c>
      <c r="D165" s="5" t="s">
        <v>88</v>
      </c>
      <c r="E165" s="5">
        <v>2023</v>
      </c>
      <c r="F165" s="5">
        <v>9</v>
      </c>
      <c r="G165" s="5" t="s">
        <v>54</v>
      </c>
      <c r="H165" s="5">
        <v>3006057</v>
      </c>
      <c r="I165" s="5">
        <v>2698484.35</v>
      </c>
      <c r="J165" s="5">
        <v>36</v>
      </c>
      <c r="K165" s="5">
        <v>374744</v>
      </c>
      <c r="L165" s="5">
        <v>3376180</v>
      </c>
      <c r="M165" s="5">
        <v>307572.65000000002</v>
      </c>
      <c r="N165" s="5">
        <v>0.1023</v>
      </c>
      <c r="O165" s="5">
        <v>3</v>
      </c>
      <c r="P165" s="5">
        <v>112331</v>
      </c>
    </row>
    <row r="166" spans="1:16" x14ac:dyDescent="0.3">
      <c r="A166" s="5">
        <v>33</v>
      </c>
      <c r="B166" s="5" t="s">
        <v>102</v>
      </c>
      <c r="C166" s="5">
        <v>2</v>
      </c>
      <c r="D166" s="5" t="s">
        <v>88</v>
      </c>
      <c r="E166" s="5">
        <v>2023</v>
      </c>
      <c r="F166" s="5">
        <v>10</v>
      </c>
      <c r="G166" s="5" t="s">
        <v>55</v>
      </c>
      <c r="H166" s="5">
        <v>1555161</v>
      </c>
      <c r="I166" s="5">
        <v>1402825.82</v>
      </c>
      <c r="J166" s="5">
        <v>12</v>
      </c>
      <c r="K166" s="5">
        <v>235319</v>
      </c>
      <c r="L166" s="5">
        <v>1783480</v>
      </c>
      <c r="M166" s="5">
        <v>152335.18</v>
      </c>
      <c r="N166" s="5">
        <v>9.8000000000000004E-2</v>
      </c>
      <c r="O166" s="5">
        <v>0</v>
      </c>
      <c r="P166" s="5">
        <v>0</v>
      </c>
    </row>
    <row r="167" spans="1:16" x14ac:dyDescent="0.3">
      <c r="A167" s="5">
        <v>105</v>
      </c>
      <c r="B167" s="5" t="s">
        <v>102</v>
      </c>
      <c r="C167" s="5">
        <v>2</v>
      </c>
      <c r="D167" s="5" t="s">
        <v>88</v>
      </c>
      <c r="E167" s="5">
        <v>2023</v>
      </c>
      <c r="F167" s="5">
        <v>10</v>
      </c>
      <c r="G167" s="5" t="s">
        <v>55</v>
      </c>
      <c r="H167" s="5">
        <v>2884993</v>
      </c>
      <c r="I167" s="5">
        <v>2483405.4500000002</v>
      </c>
      <c r="J167" s="5">
        <v>55</v>
      </c>
      <c r="K167" s="5">
        <v>317856</v>
      </c>
      <c r="L167" s="5">
        <v>3192380</v>
      </c>
      <c r="M167" s="5">
        <v>401587.55</v>
      </c>
      <c r="N167" s="5">
        <v>0.13919999999999999</v>
      </c>
      <c r="O167" s="5">
        <v>1</v>
      </c>
      <c r="P167" s="5">
        <v>25603</v>
      </c>
    </row>
    <row r="168" spans="1:16" x14ac:dyDescent="0.3">
      <c r="A168" s="5">
        <v>33</v>
      </c>
      <c r="B168" s="5" t="s">
        <v>102</v>
      </c>
      <c r="C168" s="5">
        <v>2</v>
      </c>
      <c r="D168" s="5" t="s">
        <v>88</v>
      </c>
      <c r="E168" s="5">
        <v>2023</v>
      </c>
      <c r="F168" s="5">
        <v>11</v>
      </c>
      <c r="G168" s="5" t="s">
        <v>56</v>
      </c>
      <c r="H168" s="5">
        <v>1362570</v>
      </c>
      <c r="I168" s="5">
        <v>1143734.83</v>
      </c>
      <c r="J168" s="5">
        <v>28</v>
      </c>
      <c r="K168" s="5">
        <v>126084</v>
      </c>
      <c r="L168" s="5">
        <v>1485060</v>
      </c>
      <c r="M168" s="5">
        <v>218835.17</v>
      </c>
      <c r="N168" s="5">
        <v>0.16059999999999999</v>
      </c>
      <c r="O168" s="5">
        <v>2</v>
      </c>
      <c r="P168" s="5">
        <v>64782</v>
      </c>
    </row>
    <row r="169" spans="1:16" x14ac:dyDescent="0.3">
      <c r="A169" s="5">
        <v>105</v>
      </c>
      <c r="B169" s="5" t="s">
        <v>102</v>
      </c>
      <c r="C169" s="5">
        <v>2</v>
      </c>
      <c r="D169" s="5" t="s">
        <v>88</v>
      </c>
      <c r="E169" s="5">
        <v>2023</v>
      </c>
      <c r="F169" s="5">
        <v>11</v>
      </c>
      <c r="G169" s="5" t="s">
        <v>56</v>
      </c>
      <c r="H169" s="5">
        <v>4360458</v>
      </c>
      <c r="I169" s="5">
        <v>3840373.38</v>
      </c>
      <c r="J169" s="5">
        <v>64</v>
      </c>
      <c r="K169" s="5">
        <v>672878</v>
      </c>
      <c r="L169" s="5">
        <v>5022550</v>
      </c>
      <c r="M169" s="5">
        <v>520084.62</v>
      </c>
      <c r="N169" s="5">
        <v>0.1193</v>
      </c>
      <c r="O169" s="5">
        <v>6</v>
      </c>
      <c r="P169" s="5">
        <v>66192</v>
      </c>
    </row>
    <row r="170" spans="1:16" x14ac:dyDescent="0.3">
      <c r="A170" s="5">
        <v>33</v>
      </c>
      <c r="B170" s="5" t="s">
        <v>102</v>
      </c>
      <c r="C170" s="5">
        <v>2</v>
      </c>
      <c r="D170" s="5" t="s">
        <v>88</v>
      </c>
      <c r="E170" s="5">
        <v>2023</v>
      </c>
      <c r="F170" s="5">
        <v>12</v>
      </c>
      <c r="G170" s="5" t="s">
        <v>57</v>
      </c>
      <c r="H170" s="5">
        <v>1018347</v>
      </c>
      <c r="I170" s="5">
        <v>938515.97</v>
      </c>
      <c r="J170" s="5">
        <v>17</v>
      </c>
      <c r="K170" s="5">
        <v>221282</v>
      </c>
      <c r="L170" s="5">
        <v>1237530</v>
      </c>
      <c r="M170" s="5">
        <v>79831.03</v>
      </c>
      <c r="N170" s="5">
        <v>7.8399999999999997E-2</v>
      </c>
      <c r="O170" s="5">
        <v>1</v>
      </c>
      <c r="P170" s="5">
        <v>17160</v>
      </c>
    </row>
    <row r="171" spans="1:16" x14ac:dyDescent="0.3">
      <c r="A171" s="5">
        <v>105</v>
      </c>
      <c r="B171" s="5" t="s">
        <v>102</v>
      </c>
      <c r="C171" s="5">
        <v>2</v>
      </c>
      <c r="D171" s="5" t="s">
        <v>88</v>
      </c>
      <c r="E171" s="5">
        <v>2023</v>
      </c>
      <c r="F171" s="5">
        <v>12</v>
      </c>
      <c r="G171" s="5" t="s">
        <v>57</v>
      </c>
      <c r="H171" s="5">
        <v>3214097</v>
      </c>
      <c r="I171" s="5">
        <v>2963510.65</v>
      </c>
      <c r="J171" s="5">
        <v>58</v>
      </c>
      <c r="K171" s="5">
        <v>578544</v>
      </c>
      <c r="L171" s="5">
        <v>3786510</v>
      </c>
      <c r="M171" s="5">
        <v>250586.35</v>
      </c>
      <c r="N171" s="5">
        <v>7.8E-2</v>
      </c>
      <c r="O171" s="5">
        <v>6</v>
      </c>
      <c r="P171" s="5">
        <v>88766</v>
      </c>
    </row>
    <row r="172" spans="1:16" x14ac:dyDescent="0.3">
      <c r="A172" s="5">
        <v>33</v>
      </c>
      <c r="B172" s="5" t="s">
        <v>102</v>
      </c>
      <c r="C172" s="5">
        <v>2</v>
      </c>
      <c r="D172" s="5" t="s">
        <v>88</v>
      </c>
      <c r="E172" s="5">
        <v>2024</v>
      </c>
      <c r="F172" s="5">
        <v>1</v>
      </c>
      <c r="G172" s="5" t="s">
        <v>58</v>
      </c>
      <c r="H172" s="5">
        <v>453065</v>
      </c>
      <c r="I172" s="5">
        <v>399127.42</v>
      </c>
      <c r="J172" s="5">
        <v>13</v>
      </c>
      <c r="K172" s="5">
        <v>74268</v>
      </c>
      <c r="L172" s="5">
        <v>526190</v>
      </c>
      <c r="M172" s="5">
        <v>53937.58</v>
      </c>
      <c r="N172" s="5">
        <v>0.1191</v>
      </c>
      <c r="O172" s="5">
        <v>2</v>
      </c>
      <c r="P172" s="5">
        <v>68734</v>
      </c>
    </row>
    <row r="173" spans="1:16" x14ac:dyDescent="0.3">
      <c r="A173" s="5">
        <v>105</v>
      </c>
      <c r="B173" s="5" t="s">
        <v>102</v>
      </c>
      <c r="C173" s="5">
        <v>2</v>
      </c>
      <c r="D173" s="5" t="s">
        <v>88</v>
      </c>
      <c r="E173" s="5">
        <v>2024</v>
      </c>
      <c r="F173" s="5">
        <v>1</v>
      </c>
      <c r="G173" s="5" t="s">
        <v>58</v>
      </c>
      <c r="H173" s="5">
        <v>1950872</v>
      </c>
      <c r="I173" s="5">
        <v>1732223.4</v>
      </c>
      <c r="J173" s="5">
        <v>34</v>
      </c>
      <c r="K173" s="5">
        <v>346710</v>
      </c>
      <c r="L173" s="5">
        <v>2293320</v>
      </c>
      <c r="M173" s="5">
        <v>218648.6</v>
      </c>
      <c r="N173" s="5">
        <v>0.11210000000000001</v>
      </c>
      <c r="O173" s="5">
        <v>1</v>
      </c>
      <c r="P173" s="5">
        <v>1366</v>
      </c>
    </row>
    <row r="174" spans="1:16" x14ac:dyDescent="0.3">
      <c r="A174" s="5">
        <v>33</v>
      </c>
      <c r="B174" s="5" t="s">
        <v>102</v>
      </c>
      <c r="C174" s="5">
        <v>2</v>
      </c>
      <c r="D174" s="5" t="s">
        <v>88</v>
      </c>
      <c r="E174" s="5">
        <v>2024</v>
      </c>
      <c r="F174" s="5">
        <v>2</v>
      </c>
      <c r="G174" s="5" t="s">
        <v>59</v>
      </c>
      <c r="H174" s="5">
        <v>1072546</v>
      </c>
      <c r="I174" s="5">
        <v>961222.71</v>
      </c>
      <c r="J174" s="5">
        <v>15</v>
      </c>
      <c r="K174" s="5">
        <v>179117</v>
      </c>
      <c r="L174" s="5">
        <v>1251050</v>
      </c>
      <c r="M174" s="5">
        <v>111323.29</v>
      </c>
      <c r="N174" s="5">
        <v>0.1038</v>
      </c>
      <c r="O174" s="5">
        <v>1</v>
      </c>
      <c r="P174" s="5">
        <v>1635</v>
      </c>
    </row>
    <row r="175" spans="1:16" x14ac:dyDescent="0.3">
      <c r="A175" s="5">
        <v>105</v>
      </c>
      <c r="B175" s="5" t="s">
        <v>102</v>
      </c>
      <c r="C175" s="5">
        <v>2</v>
      </c>
      <c r="D175" s="5" t="s">
        <v>88</v>
      </c>
      <c r="E175" s="5">
        <v>2024</v>
      </c>
      <c r="F175" s="5">
        <v>2</v>
      </c>
      <c r="G175" s="5" t="s">
        <v>59</v>
      </c>
      <c r="H175" s="5">
        <v>1784352</v>
      </c>
      <c r="I175" s="5">
        <v>1566665.28</v>
      </c>
      <c r="J175" s="5">
        <v>26</v>
      </c>
      <c r="K175" s="5">
        <v>291298</v>
      </c>
      <c r="L175" s="5">
        <v>2073620</v>
      </c>
      <c r="M175" s="5">
        <v>217686.72</v>
      </c>
      <c r="N175" s="5">
        <v>0.122</v>
      </c>
      <c r="O175" s="5">
        <v>3</v>
      </c>
      <c r="P175" s="5">
        <v>202280</v>
      </c>
    </row>
    <row r="176" spans="1:16" x14ac:dyDescent="0.3">
      <c r="A176" s="5">
        <v>33</v>
      </c>
      <c r="B176" s="5" t="s">
        <v>102</v>
      </c>
      <c r="C176" s="5">
        <v>2</v>
      </c>
      <c r="D176" s="5" t="s">
        <v>88</v>
      </c>
      <c r="E176" s="5">
        <v>2024</v>
      </c>
      <c r="F176" s="5">
        <v>3</v>
      </c>
      <c r="G176" s="5" t="s">
        <v>60</v>
      </c>
      <c r="H176" s="5">
        <v>857951</v>
      </c>
      <c r="I176" s="5">
        <v>722181.64</v>
      </c>
      <c r="J176" s="5">
        <v>19</v>
      </c>
      <c r="K176" s="5">
        <v>85823</v>
      </c>
      <c r="L176" s="5">
        <v>942870</v>
      </c>
      <c r="M176" s="5">
        <v>135769.35999999999</v>
      </c>
      <c r="N176" s="5">
        <v>0.15820000000000001</v>
      </c>
      <c r="O176" s="5">
        <v>2</v>
      </c>
      <c r="P176" s="5">
        <v>59030</v>
      </c>
    </row>
    <row r="177" spans="1:16" x14ac:dyDescent="0.3">
      <c r="A177" s="5">
        <v>105</v>
      </c>
      <c r="B177" s="5" t="s">
        <v>102</v>
      </c>
      <c r="C177" s="5">
        <v>2</v>
      </c>
      <c r="D177" s="5" t="s">
        <v>88</v>
      </c>
      <c r="E177" s="5">
        <v>2024</v>
      </c>
      <c r="F177" s="5">
        <v>3</v>
      </c>
      <c r="G177" s="5" t="s">
        <v>60</v>
      </c>
      <c r="H177" s="5">
        <v>1944955</v>
      </c>
      <c r="I177" s="5">
        <v>1595674.69</v>
      </c>
      <c r="J177" s="5">
        <v>35</v>
      </c>
      <c r="K177" s="5">
        <v>178385</v>
      </c>
      <c r="L177" s="5">
        <v>2118030</v>
      </c>
      <c r="M177" s="5">
        <v>349280.31</v>
      </c>
      <c r="N177" s="5">
        <v>0.17960000000000001</v>
      </c>
      <c r="O177" s="5">
        <v>2</v>
      </c>
      <c r="P177" s="5">
        <v>219938</v>
      </c>
    </row>
    <row r="178" spans="1:16" x14ac:dyDescent="0.3">
      <c r="A178" s="5">
        <v>33</v>
      </c>
      <c r="B178" s="5" t="s">
        <v>102</v>
      </c>
      <c r="C178" s="5">
        <v>2</v>
      </c>
      <c r="D178" s="5" t="s">
        <v>88</v>
      </c>
      <c r="E178" s="5">
        <v>2024</v>
      </c>
      <c r="F178" s="5">
        <v>4</v>
      </c>
      <c r="G178" s="5" t="s">
        <v>61</v>
      </c>
      <c r="H178" s="5">
        <v>904146</v>
      </c>
      <c r="I178" s="5">
        <v>776649.34</v>
      </c>
      <c r="J178" s="5">
        <v>14</v>
      </c>
      <c r="K178" s="5">
        <v>92748</v>
      </c>
      <c r="L178" s="5">
        <v>994510</v>
      </c>
      <c r="M178" s="5">
        <v>127496.66</v>
      </c>
      <c r="N178" s="5">
        <v>0.14099999999999999</v>
      </c>
      <c r="O178" s="5">
        <v>4</v>
      </c>
      <c r="P178" s="5">
        <v>91959</v>
      </c>
    </row>
    <row r="179" spans="1:16" x14ac:dyDescent="0.3">
      <c r="A179" s="5">
        <v>105</v>
      </c>
      <c r="B179" s="5" t="s">
        <v>102</v>
      </c>
      <c r="C179" s="5">
        <v>2</v>
      </c>
      <c r="D179" s="5" t="s">
        <v>88</v>
      </c>
      <c r="E179" s="5">
        <v>2024</v>
      </c>
      <c r="F179" s="5">
        <v>4</v>
      </c>
      <c r="G179" s="5" t="s">
        <v>61</v>
      </c>
      <c r="H179" s="5">
        <v>2551426</v>
      </c>
      <c r="I179" s="5">
        <v>2160473.58</v>
      </c>
      <c r="J179" s="5">
        <v>42</v>
      </c>
      <c r="K179" s="5">
        <v>209264</v>
      </c>
      <c r="L179" s="5">
        <v>2747050</v>
      </c>
      <c r="M179" s="5">
        <v>390952.42</v>
      </c>
      <c r="N179" s="5">
        <v>0.1532</v>
      </c>
      <c r="O179" s="5">
        <v>3</v>
      </c>
      <c r="P179" s="5">
        <v>19643</v>
      </c>
    </row>
    <row r="180" spans="1:16" x14ac:dyDescent="0.3">
      <c r="A180" s="5">
        <v>33</v>
      </c>
      <c r="B180" s="5" t="s">
        <v>102</v>
      </c>
      <c r="C180" s="5">
        <v>2</v>
      </c>
      <c r="D180" s="5" t="s">
        <v>88</v>
      </c>
      <c r="E180" s="5">
        <v>2024</v>
      </c>
      <c r="F180" s="5">
        <v>5</v>
      </c>
      <c r="G180" s="5" t="s">
        <v>62</v>
      </c>
      <c r="H180" s="5">
        <v>2293270</v>
      </c>
      <c r="I180" s="5">
        <v>2136652.86</v>
      </c>
      <c r="J180" s="5">
        <v>26</v>
      </c>
      <c r="K180" s="5">
        <v>379484</v>
      </c>
      <c r="L180" s="5">
        <v>2670530</v>
      </c>
      <c r="M180" s="5">
        <v>156617.14000000001</v>
      </c>
      <c r="N180" s="5">
        <v>6.83E-2</v>
      </c>
      <c r="O180" s="5">
        <v>3</v>
      </c>
      <c r="P180" s="5">
        <v>97482</v>
      </c>
    </row>
    <row r="181" spans="1:16" x14ac:dyDescent="0.3">
      <c r="A181" s="5">
        <v>105</v>
      </c>
      <c r="B181" s="5" t="s">
        <v>102</v>
      </c>
      <c r="C181" s="5">
        <v>2</v>
      </c>
      <c r="D181" s="5" t="s">
        <v>88</v>
      </c>
      <c r="E181" s="5">
        <v>2024</v>
      </c>
      <c r="F181" s="5">
        <v>5</v>
      </c>
      <c r="G181" s="5" t="s">
        <v>62</v>
      </c>
      <c r="H181" s="5">
        <v>3106673</v>
      </c>
      <c r="I181" s="5">
        <v>2757812.44</v>
      </c>
      <c r="J181" s="5">
        <v>39</v>
      </c>
      <c r="K181" s="5">
        <v>410893</v>
      </c>
      <c r="L181" s="5">
        <v>3503170</v>
      </c>
      <c r="M181" s="5">
        <v>348860.56</v>
      </c>
      <c r="N181" s="5">
        <v>0.1123</v>
      </c>
      <c r="O181" s="5">
        <v>5</v>
      </c>
      <c r="P181" s="5">
        <v>49672</v>
      </c>
    </row>
    <row r="182" spans="1:16" x14ac:dyDescent="0.3">
      <c r="A182" s="5">
        <v>33</v>
      </c>
      <c r="B182" s="5" t="s">
        <v>102</v>
      </c>
      <c r="C182" s="5">
        <v>2</v>
      </c>
      <c r="D182" s="5" t="s">
        <v>88</v>
      </c>
      <c r="E182" s="5">
        <v>2024</v>
      </c>
      <c r="F182" s="5">
        <v>6</v>
      </c>
      <c r="G182" s="5" t="s">
        <v>63</v>
      </c>
      <c r="H182" s="5">
        <v>1377780</v>
      </c>
      <c r="I182" s="5">
        <v>1127743.24</v>
      </c>
      <c r="J182" s="5">
        <v>19</v>
      </c>
      <c r="K182" s="5">
        <v>83096</v>
      </c>
      <c r="L182" s="5">
        <v>1458860</v>
      </c>
      <c r="M182" s="5">
        <v>250036.76</v>
      </c>
      <c r="N182" s="5">
        <v>0.18149999999999999</v>
      </c>
      <c r="O182" s="5">
        <v>1</v>
      </c>
      <c r="P182" s="5">
        <v>49529</v>
      </c>
    </row>
    <row r="183" spans="1:16" x14ac:dyDescent="0.3">
      <c r="A183" s="5">
        <v>105</v>
      </c>
      <c r="B183" s="5" t="s">
        <v>102</v>
      </c>
      <c r="C183" s="5">
        <v>2</v>
      </c>
      <c r="D183" s="5" t="s">
        <v>88</v>
      </c>
      <c r="E183" s="5">
        <v>2024</v>
      </c>
      <c r="F183" s="5">
        <v>6</v>
      </c>
      <c r="G183" s="5" t="s">
        <v>63</v>
      </c>
      <c r="H183" s="5">
        <v>3621741</v>
      </c>
      <c r="I183" s="5">
        <v>3041207.88</v>
      </c>
      <c r="J183" s="5">
        <v>49</v>
      </c>
      <c r="K183" s="5">
        <v>210918</v>
      </c>
      <c r="L183" s="5">
        <v>3807720</v>
      </c>
      <c r="M183" s="5">
        <v>580533.12</v>
      </c>
      <c r="N183" s="5">
        <v>0.1603</v>
      </c>
      <c r="O183" s="5">
        <v>6</v>
      </c>
      <c r="P183" s="5">
        <v>225282</v>
      </c>
    </row>
    <row r="184" spans="1:16" x14ac:dyDescent="0.3">
      <c r="A184" s="5">
        <v>33</v>
      </c>
      <c r="B184" s="5" t="s">
        <v>102</v>
      </c>
      <c r="C184" s="5">
        <v>2</v>
      </c>
      <c r="D184" s="5" t="s">
        <v>88</v>
      </c>
      <c r="E184" s="5">
        <v>2024</v>
      </c>
      <c r="F184" s="5">
        <v>7</v>
      </c>
      <c r="G184" s="5" t="s">
        <v>64</v>
      </c>
      <c r="H184" s="5">
        <v>1606908</v>
      </c>
      <c r="I184" s="5">
        <v>1356182.66</v>
      </c>
      <c r="J184" s="5">
        <v>21</v>
      </c>
      <c r="K184" s="5">
        <v>113418</v>
      </c>
      <c r="L184" s="5">
        <v>1716740</v>
      </c>
      <c r="M184" s="5">
        <v>250725.34</v>
      </c>
      <c r="N184" s="5">
        <v>0.156</v>
      </c>
      <c r="O184" s="5">
        <v>2</v>
      </c>
      <c r="P184" s="5">
        <v>130165</v>
      </c>
    </row>
    <row r="185" spans="1:16" x14ac:dyDescent="0.3">
      <c r="A185" s="5">
        <v>105</v>
      </c>
      <c r="B185" s="5" t="s">
        <v>102</v>
      </c>
      <c r="C185" s="5">
        <v>2</v>
      </c>
      <c r="D185" s="5" t="s">
        <v>88</v>
      </c>
      <c r="E185" s="5">
        <v>2024</v>
      </c>
      <c r="F185" s="5">
        <v>7</v>
      </c>
      <c r="G185" s="5" t="s">
        <v>64</v>
      </c>
      <c r="H185" s="5">
        <v>3068333</v>
      </c>
      <c r="I185" s="5">
        <v>2499190.02</v>
      </c>
      <c r="J185" s="5">
        <v>42</v>
      </c>
      <c r="K185" s="5">
        <v>175243</v>
      </c>
      <c r="L185" s="5">
        <v>3230590</v>
      </c>
      <c r="M185" s="5">
        <v>569142.98</v>
      </c>
      <c r="N185" s="5">
        <v>0.1855</v>
      </c>
      <c r="O185" s="5">
        <v>4</v>
      </c>
      <c r="P185" s="5">
        <v>49077</v>
      </c>
    </row>
    <row r="186" spans="1:16" x14ac:dyDescent="0.3">
      <c r="A186" s="5">
        <v>33</v>
      </c>
      <c r="B186" s="5" t="s">
        <v>102</v>
      </c>
      <c r="C186" s="5">
        <v>2</v>
      </c>
      <c r="D186" s="5" t="s">
        <v>88</v>
      </c>
      <c r="E186" s="5">
        <v>2024</v>
      </c>
      <c r="F186" s="5">
        <v>8</v>
      </c>
      <c r="G186" s="5" t="s">
        <v>65</v>
      </c>
      <c r="H186" s="5">
        <v>593675</v>
      </c>
      <c r="I186" s="5">
        <v>469160.72</v>
      </c>
      <c r="J186" s="5">
        <v>13</v>
      </c>
      <c r="K186" s="5">
        <v>54484</v>
      </c>
      <c r="L186" s="5">
        <v>646510</v>
      </c>
      <c r="M186" s="5">
        <v>124514.28</v>
      </c>
      <c r="N186" s="5">
        <v>0.2097</v>
      </c>
      <c r="O186" s="5">
        <v>2</v>
      </c>
      <c r="P186" s="5">
        <v>135826</v>
      </c>
    </row>
    <row r="187" spans="1:16" x14ac:dyDescent="0.3">
      <c r="A187" s="5">
        <v>105</v>
      </c>
      <c r="B187" s="5" t="s">
        <v>102</v>
      </c>
      <c r="C187" s="5">
        <v>2</v>
      </c>
      <c r="D187" s="5" t="s">
        <v>88</v>
      </c>
      <c r="E187" s="5">
        <v>2024</v>
      </c>
      <c r="F187" s="5">
        <v>8</v>
      </c>
      <c r="G187" s="5" t="s">
        <v>65</v>
      </c>
      <c r="H187" s="5">
        <v>3275278</v>
      </c>
      <c r="I187" s="5">
        <v>2744180.11</v>
      </c>
      <c r="J187" s="5">
        <v>43</v>
      </c>
      <c r="K187" s="5">
        <v>193490</v>
      </c>
      <c r="L187" s="5">
        <v>3442340</v>
      </c>
      <c r="M187" s="5">
        <v>531097.89</v>
      </c>
      <c r="N187" s="5">
        <v>0.16220000000000001</v>
      </c>
      <c r="O187" s="5">
        <v>1</v>
      </c>
      <c r="P187" s="5">
        <v>61019</v>
      </c>
    </row>
    <row r="188" spans="1:16" x14ac:dyDescent="0.3">
      <c r="A188" s="5">
        <v>33</v>
      </c>
      <c r="B188" s="5" t="s">
        <v>102</v>
      </c>
      <c r="C188" s="5">
        <v>2</v>
      </c>
      <c r="D188" s="5" t="s">
        <v>88</v>
      </c>
      <c r="E188" s="5">
        <v>2024</v>
      </c>
      <c r="F188" s="5">
        <v>9</v>
      </c>
      <c r="G188" s="5" t="s">
        <v>66</v>
      </c>
      <c r="H188" s="5">
        <v>633935</v>
      </c>
      <c r="I188" s="5">
        <v>512082.13</v>
      </c>
      <c r="J188" s="5">
        <v>13</v>
      </c>
      <c r="K188" s="5">
        <v>29861</v>
      </c>
      <c r="L188" s="5">
        <v>661340</v>
      </c>
      <c r="M188" s="5">
        <v>121852.87</v>
      </c>
      <c r="N188" s="5">
        <v>0.19220000000000001</v>
      </c>
      <c r="O188" s="5">
        <v>3</v>
      </c>
      <c r="P188" s="5">
        <v>91206</v>
      </c>
    </row>
    <row r="189" spans="1:16" x14ac:dyDescent="0.3">
      <c r="A189" s="5">
        <v>105</v>
      </c>
      <c r="B189" s="5" t="s">
        <v>102</v>
      </c>
      <c r="C189" s="5">
        <v>2</v>
      </c>
      <c r="D189" s="5" t="s">
        <v>88</v>
      </c>
      <c r="E189" s="5">
        <v>2024</v>
      </c>
      <c r="F189" s="5">
        <v>9</v>
      </c>
      <c r="G189" s="5" t="s">
        <v>66</v>
      </c>
      <c r="H189" s="5">
        <v>3355787</v>
      </c>
      <c r="I189" s="5">
        <v>2771455.46</v>
      </c>
      <c r="J189" s="5">
        <v>51</v>
      </c>
      <c r="K189" s="5">
        <v>169307</v>
      </c>
      <c r="L189" s="5">
        <v>3514000</v>
      </c>
      <c r="M189" s="5">
        <v>584331.54</v>
      </c>
      <c r="N189" s="5">
        <v>0.1741</v>
      </c>
      <c r="O189" s="5">
        <v>2</v>
      </c>
      <c r="P189" s="5">
        <v>21313</v>
      </c>
    </row>
    <row r="190" spans="1:16" x14ac:dyDescent="0.3">
      <c r="A190" s="5">
        <v>33</v>
      </c>
      <c r="B190" s="5" t="s">
        <v>102</v>
      </c>
      <c r="C190" s="5">
        <v>2</v>
      </c>
      <c r="D190" s="5" t="s">
        <v>88</v>
      </c>
      <c r="E190" s="5">
        <v>2024</v>
      </c>
      <c r="F190" s="5">
        <v>10</v>
      </c>
      <c r="G190" s="5" t="s">
        <v>67</v>
      </c>
      <c r="H190" s="5">
        <v>1818771</v>
      </c>
      <c r="I190" s="5">
        <v>1478508.14</v>
      </c>
      <c r="J190" s="5">
        <v>26</v>
      </c>
      <c r="K190" s="5">
        <v>74919</v>
      </c>
      <c r="L190" s="5">
        <v>1888090</v>
      </c>
      <c r="M190" s="5">
        <v>340262.86</v>
      </c>
      <c r="N190" s="5">
        <v>0.18709999999999999</v>
      </c>
      <c r="O190" s="5">
        <v>3</v>
      </c>
      <c r="P190" s="5">
        <v>103938</v>
      </c>
    </row>
    <row r="191" spans="1:16" x14ac:dyDescent="0.3">
      <c r="A191" s="5">
        <v>105</v>
      </c>
      <c r="B191" s="5" t="s">
        <v>102</v>
      </c>
      <c r="C191" s="5">
        <v>2</v>
      </c>
      <c r="D191" s="5" t="s">
        <v>88</v>
      </c>
      <c r="E191" s="5">
        <v>2024</v>
      </c>
      <c r="F191" s="5">
        <v>10</v>
      </c>
      <c r="G191" s="5" t="s">
        <v>67</v>
      </c>
      <c r="H191" s="5">
        <v>3399760</v>
      </c>
      <c r="I191" s="5">
        <v>2653611.08</v>
      </c>
      <c r="J191" s="5">
        <v>58</v>
      </c>
      <c r="K191" s="5">
        <v>86471</v>
      </c>
      <c r="L191" s="5">
        <v>3468510</v>
      </c>
      <c r="M191" s="5">
        <v>746148.92</v>
      </c>
      <c r="N191" s="5">
        <v>0.2195</v>
      </c>
      <c r="O191" s="5">
        <v>1</v>
      </c>
      <c r="P191" s="5">
        <v>106934</v>
      </c>
    </row>
    <row r="192" spans="1:16" x14ac:dyDescent="0.3">
      <c r="A192" s="5">
        <v>33</v>
      </c>
      <c r="B192" s="5" t="s">
        <v>102</v>
      </c>
      <c r="C192" s="5">
        <v>2</v>
      </c>
      <c r="D192" s="5" t="s">
        <v>88</v>
      </c>
      <c r="E192" s="5">
        <v>2024</v>
      </c>
      <c r="F192" s="5">
        <v>11</v>
      </c>
      <c r="G192" s="5" t="s">
        <v>68</v>
      </c>
      <c r="H192" s="5">
        <v>1530825</v>
      </c>
      <c r="I192" s="5">
        <v>1281958.1000000001</v>
      </c>
      <c r="J192" s="5">
        <v>33</v>
      </c>
      <c r="K192" s="5">
        <v>166978</v>
      </c>
      <c r="L192" s="5">
        <v>1695010</v>
      </c>
      <c r="M192" s="5">
        <v>248866.9</v>
      </c>
      <c r="N192" s="5">
        <v>0.16259999999999999</v>
      </c>
      <c r="O192" s="5">
        <v>3</v>
      </c>
      <c r="P192" s="5">
        <v>100545</v>
      </c>
    </row>
    <row r="193" spans="1:16" x14ac:dyDescent="0.3">
      <c r="A193" s="5">
        <v>105</v>
      </c>
      <c r="B193" s="5" t="s">
        <v>102</v>
      </c>
      <c r="C193" s="5">
        <v>2</v>
      </c>
      <c r="D193" s="5" t="s">
        <v>88</v>
      </c>
      <c r="E193" s="5">
        <v>2024</v>
      </c>
      <c r="F193" s="5">
        <v>11</v>
      </c>
      <c r="G193" s="5" t="s">
        <v>68</v>
      </c>
      <c r="H193" s="5">
        <v>3044128</v>
      </c>
      <c r="I193" s="5">
        <v>2502769.2400000002</v>
      </c>
      <c r="J193" s="5">
        <v>55</v>
      </c>
      <c r="K193" s="5">
        <v>201078</v>
      </c>
      <c r="L193" s="5">
        <v>3225620</v>
      </c>
      <c r="M193" s="5">
        <v>541358.76</v>
      </c>
      <c r="N193" s="5">
        <v>0.17780000000000001</v>
      </c>
      <c r="O193" s="5">
        <v>5</v>
      </c>
      <c r="P193" s="5">
        <v>42896</v>
      </c>
    </row>
    <row r="194" spans="1:16" x14ac:dyDescent="0.3">
      <c r="A194" s="5">
        <v>33</v>
      </c>
      <c r="B194" s="5" t="s">
        <v>102</v>
      </c>
      <c r="C194" s="5">
        <v>2</v>
      </c>
      <c r="D194" s="5" t="s">
        <v>88</v>
      </c>
      <c r="E194" s="5">
        <v>2024</v>
      </c>
      <c r="F194" s="5">
        <v>12</v>
      </c>
      <c r="G194" s="5" t="s">
        <v>69</v>
      </c>
      <c r="H194" s="5">
        <v>2589570</v>
      </c>
      <c r="I194" s="5">
        <v>1994496.81</v>
      </c>
      <c r="J194" s="5">
        <v>37</v>
      </c>
      <c r="K194" s="5">
        <v>61489</v>
      </c>
      <c r="L194" s="5">
        <v>2632450</v>
      </c>
      <c r="M194" s="5">
        <v>595073.18999999994</v>
      </c>
      <c r="N194" s="5">
        <v>0.2298</v>
      </c>
      <c r="O194" s="5">
        <v>2</v>
      </c>
      <c r="P194" s="5">
        <v>15882</v>
      </c>
    </row>
    <row r="195" spans="1:16" x14ac:dyDescent="0.3">
      <c r="A195" s="5">
        <v>105</v>
      </c>
      <c r="B195" s="5" t="s">
        <v>102</v>
      </c>
      <c r="C195" s="5">
        <v>2</v>
      </c>
      <c r="D195" s="5" t="s">
        <v>88</v>
      </c>
      <c r="E195" s="5">
        <v>2024</v>
      </c>
      <c r="F195" s="5">
        <v>12</v>
      </c>
      <c r="G195" s="5" t="s">
        <v>69</v>
      </c>
      <c r="H195" s="5">
        <v>2837638</v>
      </c>
      <c r="I195" s="5">
        <v>2234266.44</v>
      </c>
      <c r="J195" s="5">
        <v>48</v>
      </c>
      <c r="K195" s="5">
        <v>80855</v>
      </c>
      <c r="L195" s="5">
        <v>2904590</v>
      </c>
      <c r="M195" s="5">
        <v>603371.56000000006</v>
      </c>
      <c r="N195" s="5">
        <v>0.21260000000000001</v>
      </c>
      <c r="O195" s="5">
        <v>3</v>
      </c>
      <c r="P195" s="5">
        <v>29270</v>
      </c>
    </row>
    <row r="196" spans="1:16" x14ac:dyDescent="0.3">
      <c r="A196" s="5">
        <v>3</v>
      </c>
      <c r="B196" s="5" t="s">
        <v>103</v>
      </c>
      <c r="C196" s="5">
        <v>2</v>
      </c>
      <c r="D196" s="5" t="s">
        <v>88</v>
      </c>
      <c r="E196" s="5">
        <v>2021</v>
      </c>
      <c r="F196" s="5">
        <v>1</v>
      </c>
      <c r="G196" s="5" t="s">
        <v>22</v>
      </c>
      <c r="H196" s="5">
        <v>2325744</v>
      </c>
      <c r="I196" s="5">
        <v>2003768.04</v>
      </c>
      <c r="J196" s="5">
        <v>36</v>
      </c>
      <c r="K196" s="5">
        <v>243115</v>
      </c>
      <c r="L196" s="5">
        <v>2557160</v>
      </c>
      <c r="M196" s="5">
        <v>321975.96000000002</v>
      </c>
      <c r="N196" s="5">
        <v>0.1384</v>
      </c>
      <c r="O196" s="5">
        <v>2</v>
      </c>
      <c r="P196" s="5">
        <v>6576</v>
      </c>
    </row>
    <row r="197" spans="1:16" x14ac:dyDescent="0.3">
      <c r="A197" s="5">
        <v>3</v>
      </c>
      <c r="B197" s="5" t="s">
        <v>103</v>
      </c>
      <c r="C197" s="5">
        <v>2</v>
      </c>
      <c r="D197" s="5" t="s">
        <v>88</v>
      </c>
      <c r="E197" s="5">
        <v>2021</v>
      </c>
      <c r="F197" s="5">
        <v>2</v>
      </c>
      <c r="G197" s="5" t="s">
        <v>23</v>
      </c>
      <c r="H197" s="5">
        <v>1127244</v>
      </c>
      <c r="I197" s="5">
        <v>989260.28</v>
      </c>
      <c r="J197" s="5">
        <v>21</v>
      </c>
      <c r="K197" s="5">
        <v>130693</v>
      </c>
      <c r="L197" s="5">
        <v>1249500</v>
      </c>
      <c r="M197" s="5">
        <v>137983.72</v>
      </c>
      <c r="N197" s="5">
        <v>0.12239999999999999</v>
      </c>
      <c r="O197" s="5">
        <v>1</v>
      </c>
      <c r="P197" s="5">
        <v>8885</v>
      </c>
    </row>
    <row r="198" spans="1:16" x14ac:dyDescent="0.3">
      <c r="A198" s="5">
        <v>3</v>
      </c>
      <c r="B198" s="5" t="s">
        <v>103</v>
      </c>
      <c r="C198" s="5">
        <v>2</v>
      </c>
      <c r="D198" s="5" t="s">
        <v>88</v>
      </c>
      <c r="E198" s="5">
        <v>2021</v>
      </c>
      <c r="F198" s="5">
        <v>3</v>
      </c>
      <c r="G198" s="5" t="s">
        <v>24</v>
      </c>
      <c r="H198" s="5">
        <v>1741880</v>
      </c>
      <c r="I198" s="5">
        <v>1485708.8</v>
      </c>
      <c r="J198" s="5">
        <v>28</v>
      </c>
      <c r="K198" s="5">
        <v>156759</v>
      </c>
      <c r="L198" s="5">
        <v>1897410</v>
      </c>
      <c r="M198" s="5">
        <v>256171.2</v>
      </c>
      <c r="N198" s="5">
        <v>0.14710000000000001</v>
      </c>
      <c r="O198" s="5">
        <v>5</v>
      </c>
      <c r="P198" s="5">
        <v>31776</v>
      </c>
    </row>
    <row r="199" spans="1:16" x14ac:dyDescent="0.3">
      <c r="A199" s="5">
        <v>3</v>
      </c>
      <c r="B199" s="5" t="s">
        <v>103</v>
      </c>
      <c r="C199" s="5">
        <v>2</v>
      </c>
      <c r="D199" s="5" t="s">
        <v>88</v>
      </c>
      <c r="E199" s="5">
        <v>2021</v>
      </c>
      <c r="F199" s="5">
        <v>4</v>
      </c>
      <c r="G199" s="5" t="s">
        <v>25</v>
      </c>
      <c r="H199" s="5">
        <v>2882337</v>
      </c>
      <c r="I199" s="5">
        <v>2673155.7000000002</v>
      </c>
      <c r="J199" s="5">
        <v>36</v>
      </c>
      <c r="K199" s="5">
        <v>496790</v>
      </c>
      <c r="L199" s="5">
        <v>3373410</v>
      </c>
      <c r="M199" s="5">
        <v>209181.3</v>
      </c>
      <c r="N199" s="5">
        <v>7.2599999999999998E-2</v>
      </c>
      <c r="O199" s="5">
        <v>0</v>
      </c>
      <c r="P199" s="5">
        <v>0</v>
      </c>
    </row>
    <row r="200" spans="1:16" x14ac:dyDescent="0.3">
      <c r="A200" s="5">
        <v>3</v>
      </c>
      <c r="B200" s="5" t="s">
        <v>103</v>
      </c>
      <c r="C200" s="5">
        <v>2</v>
      </c>
      <c r="D200" s="5" t="s">
        <v>88</v>
      </c>
      <c r="E200" s="5">
        <v>2021</v>
      </c>
      <c r="F200" s="5">
        <v>5</v>
      </c>
      <c r="G200" s="5" t="s">
        <v>26</v>
      </c>
      <c r="H200" s="5">
        <v>2885312</v>
      </c>
      <c r="I200" s="5">
        <v>2482943.44</v>
      </c>
      <c r="J200" s="5">
        <v>45</v>
      </c>
      <c r="K200" s="5">
        <v>352668</v>
      </c>
      <c r="L200" s="5">
        <v>3233540</v>
      </c>
      <c r="M200" s="5">
        <v>402368.56</v>
      </c>
      <c r="N200" s="5">
        <v>0.13950000000000001</v>
      </c>
      <c r="O200" s="5">
        <v>3</v>
      </c>
      <c r="P200" s="5">
        <v>40958</v>
      </c>
    </row>
    <row r="201" spans="1:16" x14ac:dyDescent="0.3">
      <c r="A201" s="5">
        <v>3</v>
      </c>
      <c r="B201" s="5" t="s">
        <v>103</v>
      </c>
      <c r="C201" s="5">
        <v>2</v>
      </c>
      <c r="D201" s="5" t="s">
        <v>88</v>
      </c>
      <c r="E201" s="5">
        <v>2021</v>
      </c>
      <c r="F201" s="5">
        <v>6</v>
      </c>
      <c r="G201" s="5" t="s">
        <v>27</v>
      </c>
      <c r="H201" s="5">
        <v>2375106</v>
      </c>
      <c r="I201" s="5">
        <v>2226190.13</v>
      </c>
      <c r="J201" s="5">
        <v>37</v>
      </c>
      <c r="K201" s="5">
        <v>487066</v>
      </c>
      <c r="L201" s="5">
        <v>2857670</v>
      </c>
      <c r="M201" s="5">
        <v>148915.87</v>
      </c>
      <c r="N201" s="5">
        <v>6.2700000000000006E-2</v>
      </c>
      <c r="O201" s="5">
        <v>3</v>
      </c>
      <c r="P201" s="5">
        <v>11304</v>
      </c>
    </row>
    <row r="202" spans="1:16" x14ac:dyDescent="0.3">
      <c r="A202" s="5">
        <v>3</v>
      </c>
      <c r="B202" s="5" t="s">
        <v>103</v>
      </c>
      <c r="C202" s="5">
        <v>2</v>
      </c>
      <c r="D202" s="5" t="s">
        <v>88</v>
      </c>
      <c r="E202" s="5">
        <v>2021</v>
      </c>
      <c r="F202" s="5">
        <v>7</v>
      </c>
      <c r="G202" s="5" t="s">
        <v>28</v>
      </c>
      <c r="H202" s="5">
        <v>1830206</v>
      </c>
      <c r="I202" s="5">
        <v>1514852.92</v>
      </c>
      <c r="J202" s="5">
        <v>33</v>
      </c>
      <c r="K202" s="5">
        <v>154753</v>
      </c>
      <c r="L202" s="5">
        <v>1977510</v>
      </c>
      <c r="M202" s="5">
        <v>315353.08</v>
      </c>
      <c r="N202" s="5">
        <v>0.17230000000000001</v>
      </c>
      <c r="O202" s="5">
        <v>2</v>
      </c>
      <c r="P202" s="5">
        <v>122697</v>
      </c>
    </row>
    <row r="203" spans="1:16" x14ac:dyDescent="0.3">
      <c r="A203" s="5">
        <v>3</v>
      </c>
      <c r="B203" s="5" t="s">
        <v>103</v>
      </c>
      <c r="C203" s="5">
        <v>2</v>
      </c>
      <c r="D203" s="5" t="s">
        <v>88</v>
      </c>
      <c r="E203" s="5">
        <v>2021</v>
      </c>
      <c r="F203" s="5">
        <v>8</v>
      </c>
      <c r="G203" s="5" t="s">
        <v>29</v>
      </c>
      <c r="H203" s="5">
        <v>3513731</v>
      </c>
      <c r="I203" s="5">
        <v>2998192.31</v>
      </c>
      <c r="J203" s="5">
        <v>39</v>
      </c>
      <c r="K203" s="5">
        <v>335452</v>
      </c>
      <c r="L203" s="5">
        <v>3843000</v>
      </c>
      <c r="M203" s="5">
        <v>515538.69</v>
      </c>
      <c r="N203" s="5">
        <v>0.1467</v>
      </c>
      <c r="O203" s="5">
        <v>10</v>
      </c>
      <c r="P203" s="5">
        <v>351184</v>
      </c>
    </row>
    <row r="204" spans="1:16" x14ac:dyDescent="0.3">
      <c r="A204" s="5">
        <v>3</v>
      </c>
      <c r="B204" s="5" t="s">
        <v>103</v>
      </c>
      <c r="C204" s="5">
        <v>2</v>
      </c>
      <c r="D204" s="5" t="s">
        <v>88</v>
      </c>
      <c r="E204" s="5">
        <v>2021</v>
      </c>
      <c r="F204" s="5">
        <v>9</v>
      </c>
      <c r="G204" s="5" t="s">
        <v>30</v>
      </c>
      <c r="H204" s="5">
        <v>1559406</v>
      </c>
      <c r="I204" s="5">
        <v>1319031.67</v>
      </c>
      <c r="J204" s="5">
        <v>30</v>
      </c>
      <c r="K204" s="5">
        <v>187335</v>
      </c>
      <c r="L204" s="5">
        <v>1745240</v>
      </c>
      <c r="M204" s="5">
        <v>240374.33</v>
      </c>
      <c r="N204" s="5">
        <v>0.15409999999999999</v>
      </c>
      <c r="O204" s="5">
        <v>3</v>
      </c>
      <c r="P204" s="5">
        <v>16389</v>
      </c>
    </row>
    <row r="205" spans="1:16" x14ac:dyDescent="0.3">
      <c r="A205" s="5">
        <v>3</v>
      </c>
      <c r="B205" s="5" t="s">
        <v>103</v>
      </c>
      <c r="C205" s="5">
        <v>2</v>
      </c>
      <c r="D205" s="5" t="s">
        <v>88</v>
      </c>
      <c r="E205" s="5">
        <v>2021</v>
      </c>
      <c r="F205" s="5">
        <v>10</v>
      </c>
      <c r="G205" s="5" t="s">
        <v>31</v>
      </c>
      <c r="H205" s="5">
        <v>3346814</v>
      </c>
      <c r="I205" s="5">
        <v>2974014.06</v>
      </c>
      <c r="J205" s="5">
        <v>51</v>
      </c>
      <c r="K205" s="5">
        <v>432503</v>
      </c>
      <c r="L205" s="5">
        <v>3771580</v>
      </c>
      <c r="M205" s="5">
        <v>372799.94</v>
      </c>
      <c r="N205" s="5">
        <v>0.1114</v>
      </c>
      <c r="O205" s="5">
        <v>3</v>
      </c>
      <c r="P205" s="5">
        <v>43969</v>
      </c>
    </row>
    <row r="206" spans="1:16" x14ac:dyDescent="0.3">
      <c r="A206" s="5">
        <v>3</v>
      </c>
      <c r="B206" s="5" t="s">
        <v>103</v>
      </c>
      <c r="C206" s="5">
        <v>2</v>
      </c>
      <c r="D206" s="5" t="s">
        <v>88</v>
      </c>
      <c r="E206" s="5">
        <v>2021</v>
      </c>
      <c r="F206" s="5">
        <v>11</v>
      </c>
      <c r="G206" s="5" t="s">
        <v>32</v>
      </c>
      <c r="H206" s="5">
        <v>2913014</v>
      </c>
      <c r="I206" s="5">
        <v>2434050.7799999998</v>
      </c>
      <c r="J206" s="5">
        <v>45</v>
      </c>
      <c r="K206" s="5">
        <v>263631</v>
      </c>
      <c r="L206" s="5">
        <v>3171580</v>
      </c>
      <c r="M206" s="5">
        <v>478963.22</v>
      </c>
      <c r="N206" s="5">
        <v>0.16439999999999999</v>
      </c>
      <c r="O206" s="5">
        <v>2</v>
      </c>
      <c r="P206" s="5">
        <v>10252</v>
      </c>
    </row>
    <row r="207" spans="1:16" x14ac:dyDescent="0.3">
      <c r="A207" s="5">
        <v>3</v>
      </c>
      <c r="B207" s="5" t="s">
        <v>103</v>
      </c>
      <c r="C207" s="5">
        <v>2</v>
      </c>
      <c r="D207" s="5" t="s">
        <v>88</v>
      </c>
      <c r="E207" s="5">
        <v>2021</v>
      </c>
      <c r="F207" s="5">
        <v>12</v>
      </c>
      <c r="G207" s="5" t="s">
        <v>33</v>
      </c>
      <c r="H207" s="5">
        <v>2798483</v>
      </c>
      <c r="I207" s="5">
        <v>2339146.83</v>
      </c>
      <c r="J207" s="5">
        <v>47</v>
      </c>
      <c r="K207" s="5">
        <v>194138</v>
      </c>
      <c r="L207" s="5">
        <v>2986050</v>
      </c>
      <c r="M207" s="5">
        <v>459336.17</v>
      </c>
      <c r="N207" s="5">
        <v>0.1641</v>
      </c>
      <c r="O207" s="5">
        <v>3</v>
      </c>
      <c r="P207" s="5">
        <v>74305</v>
      </c>
    </row>
    <row r="208" spans="1:16" x14ac:dyDescent="0.3">
      <c r="A208" s="5">
        <v>3</v>
      </c>
      <c r="B208" s="5" t="s">
        <v>103</v>
      </c>
      <c r="C208" s="5">
        <v>2</v>
      </c>
      <c r="D208" s="5" t="s">
        <v>88</v>
      </c>
      <c r="E208" s="5">
        <v>2022</v>
      </c>
      <c r="F208" s="5">
        <v>1</v>
      </c>
      <c r="G208" s="5" t="s">
        <v>34</v>
      </c>
      <c r="H208" s="5">
        <v>3683856</v>
      </c>
      <c r="I208" s="5">
        <v>3004920.57</v>
      </c>
      <c r="J208" s="5">
        <v>50</v>
      </c>
      <c r="K208" s="5">
        <v>198462</v>
      </c>
      <c r="L208" s="5">
        <v>3859720</v>
      </c>
      <c r="M208" s="5">
        <v>678935.43</v>
      </c>
      <c r="N208" s="5">
        <v>0.18429999999999999</v>
      </c>
      <c r="O208" s="5">
        <v>2</v>
      </c>
      <c r="P208" s="5">
        <v>9772</v>
      </c>
    </row>
    <row r="209" spans="1:16" x14ac:dyDescent="0.3">
      <c r="A209" s="5">
        <v>3</v>
      </c>
      <c r="B209" s="5" t="s">
        <v>103</v>
      </c>
      <c r="C209" s="5">
        <v>2</v>
      </c>
      <c r="D209" s="5" t="s">
        <v>88</v>
      </c>
      <c r="E209" s="5">
        <v>2022</v>
      </c>
      <c r="F209" s="5">
        <v>2</v>
      </c>
      <c r="G209" s="5" t="s">
        <v>35</v>
      </c>
      <c r="H209" s="5">
        <v>1811600</v>
      </c>
      <c r="I209" s="5">
        <v>1466382.5</v>
      </c>
      <c r="J209" s="5">
        <v>30</v>
      </c>
      <c r="K209" s="5">
        <v>112939</v>
      </c>
      <c r="L209" s="5">
        <v>1920090</v>
      </c>
      <c r="M209" s="5">
        <v>345217.5</v>
      </c>
      <c r="N209" s="5">
        <v>0.19059999999999999</v>
      </c>
      <c r="O209" s="5">
        <v>1</v>
      </c>
      <c r="P209" s="5">
        <v>1640</v>
      </c>
    </row>
    <row r="210" spans="1:16" x14ac:dyDescent="0.3">
      <c r="A210" s="5">
        <v>3</v>
      </c>
      <c r="B210" s="5" t="s">
        <v>103</v>
      </c>
      <c r="C210" s="5">
        <v>2</v>
      </c>
      <c r="D210" s="5" t="s">
        <v>88</v>
      </c>
      <c r="E210" s="5">
        <v>2022</v>
      </c>
      <c r="F210" s="5">
        <v>3</v>
      </c>
      <c r="G210" s="5" t="s">
        <v>36</v>
      </c>
      <c r="H210" s="5">
        <v>3917435</v>
      </c>
      <c r="I210" s="5">
        <v>3343144.37</v>
      </c>
      <c r="J210" s="5">
        <v>58</v>
      </c>
      <c r="K210" s="5">
        <v>421805</v>
      </c>
      <c r="L210" s="5">
        <v>4331830</v>
      </c>
      <c r="M210" s="5">
        <v>574290.63</v>
      </c>
      <c r="N210" s="5">
        <v>0.14660000000000001</v>
      </c>
      <c r="O210" s="5">
        <v>7</v>
      </c>
      <c r="P210" s="5">
        <v>231695</v>
      </c>
    </row>
    <row r="211" spans="1:16" x14ac:dyDescent="0.3">
      <c r="A211" s="5">
        <v>3</v>
      </c>
      <c r="B211" s="5" t="s">
        <v>103</v>
      </c>
      <c r="C211" s="5">
        <v>2</v>
      </c>
      <c r="D211" s="5" t="s">
        <v>88</v>
      </c>
      <c r="E211" s="5">
        <v>2022</v>
      </c>
      <c r="F211" s="5">
        <v>4</v>
      </c>
      <c r="G211" s="5" t="s">
        <v>37</v>
      </c>
      <c r="H211" s="5">
        <v>4124167</v>
      </c>
      <c r="I211" s="5">
        <v>3522751.97</v>
      </c>
      <c r="J211" s="5">
        <v>51</v>
      </c>
      <c r="K211" s="5">
        <v>416526</v>
      </c>
      <c r="L211" s="5">
        <v>4533470</v>
      </c>
      <c r="M211" s="5">
        <v>601415.03</v>
      </c>
      <c r="N211" s="5">
        <v>0.14580000000000001</v>
      </c>
      <c r="O211" s="5">
        <v>4</v>
      </c>
      <c r="P211" s="5">
        <v>364914</v>
      </c>
    </row>
    <row r="212" spans="1:16" x14ac:dyDescent="0.3">
      <c r="A212" s="5">
        <v>3</v>
      </c>
      <c r="B212" s="5" t="s">
        <v>103</v>
      </c>
      <c r="C212" s="5">
        <v>2</v>
      </c>
      <c r="D212" s="5" t="s">
        <v>88</v>
      </c>
      <c r="E212" s="5">
        <v>2022</v>
      </c>
      <c r="F212" s="5">
        <v>5</v>
      </c>
      <c r="G212" s="5" t="s">
        <v>38</v>
      </c>
      <c r="H212" s="5">
        <v>4622808</v>
      </c>
      <c r="I212" s="5">
        <v>4172565.67</v>
      </c>
      <c r="J212" s="5">
        <v>67</v>
      </c>
      <c r="K212" s="5">
        <v>584945</v>
      </c>
      <c r="L212" s="5">
        <v>5182330</v>
      </c>
      <c r="M212" s="5">
        <v>450242.33</v>
      </c>
      <c r="N212" s="5">
        <v>9.74E-2</v>
      </c>
      <c r="O212" s="5">
        <v>4</v>
      </c>
      <c r="P212" s="5">
        <v>77416</v>
      </c>
    </row>
    <row r="213" spans="1:16" x14ac:dyDescent="0.3">
      <c r="A213" s="5">
        <v>3</v>
      </c>
      <c r="B213" s="5" t="s">
        <v>103</v>
      </c>
      <c r="C213" s="5">
        <v>2</v>
      </c>
      <c r="D213" s="5" t="s">
        <v>88</v>
      </c>
      <c r="E213" s="5">
        <v>2022</v>
      </c>
      <c r="F213" s="5">
        <v>6</v>
      </c>
      <c r="G213" s="5" t="s">
        <v>39</v>
      </c>
      <c r="H213" s="5">
        <v>2988999</v>
      </c>
      <c r="I213" s="5">
        <v>2583180.79</v>
      </c>
      <c r="J213" s="5">
        <v>40</v>
      </c>
      <c r="K213" s="5">
        <v>392315</v>
      </c>
      <c r="L213" s="5">
        <v>3365460</v>
      </c>
      <c r="M213" s="5">
        <v>405818.21</v>
      </c>
      <c r="N213" s="5">
        <v>0.1358</v>
      </c>
      <c r="O213" s="5">
        <v>6</v>
      </c>
      <c r="P213" s="5">
        <v>275090</v>
      </c>
    </row>
    <row r="214" spans="1:16" x14ac:dyDescent="0.3">
      <c r="A214" s="5">
        <v>3</v>
      </c>
      <c r="B214" s="5" t="s">
        <v>103</v>
      </c>
      <c r="C214" s="5">
        <v>2</v>
      </c>
      <c r="D214" s="5" t="s">
        <v>88</v>
      </c>
      <c r="E214" s="5">
        <v>2022</v>
      </c>
      <c r="F214" s="5">
        <v>7</v>
      </c>
      <c r="G214" s="5" t="s">
        <v>40</v>
      </c>
      <c r="H214" s="5">
        <v>3487615</v>
      </c>
      <c r="I214" s="5">
        <v>3227507.61</v>
      </c>
      <c r="J214" s="5">
        <v>46</v>
      </c>
      <c r="K214" s="5">
        <v>561602</v>
      </c>
      <c r="L214" s="5">
        <v>4045030</v>
      </c>
      <c r="M214" s="5">
        <v>260107.39</v>
      </c>
      <c r="N214" s="5">
        <v>7.46E-2</v>
      </c>
      <c r="O214" s="5">
        <v>3</v>
      </c>
      <c r="P214" s="5">
        <v>72646</v>
      </c>
    </row>
    <row r="215" spans="1:16" x14ac:dyDescent="0.3">
      <c r="A215" s="5">
        <v>3</v>
      </c>
      <c r="B215" s="5" t="s">
        <v>103</v>
      </c>
      <c r="C215" s="5">
        <v>2</v>
      </c>
      <c r="D215" s="5" t="s">
        <v>88</v>
      </c>
      <c r="E215" s="5">
        <v>2022</v>
      </c>
      <c r="F215" s="5">
        <v>8</v>
      </c>
      <c r="G215" s="5" t="s">
        <v>41</v>
      </c>
      <c r="H215" s="5">
        <v>3665328</v>
      </c>
      <c r="I215" s="5">
        <v>3591361.52</v>
      </c>
      <c r="J215" s="5">
        <v>54</v>
      </c>
      <c r="K215" s="5">
        <v>931881</v>
      </c>
      <c r="L215" s="5">
        <v>4578270</v>
      </c>
      <c r="M215" s="5">
        <v>73966.48</v>
      </c>
      <c r="N215" s="5">
        <v>2.0199999999999999E-2</v>
      </c>
      <c r="O215" s="5">
        <v>5</v>
      </c>
      <c r="P215" s="5">
        <v>225853</v>
      </c>
    </row>
    <row r="216" spans="1:16" x14ac:dyDescent="0.3">
      <c r="A216" s="5">
        <v>3</v>
      </c>
      <c r="B216" s="5" t="s">
        <v>103</v>
      </c>
      <c r="C216" s="5">
        <v>2</v>
      </c>
      <c r="D216" s="5" t="s">
        <v>88</v>
      </c>
      <c r="E216" s="5">
        <v>2022</v>
      </c>
      <c r="F216" s="5">
        <v>9</v>
      </c>
      <c r="G216" s="5" t="s">
        <v>42</v>
      </c>
      <c r="H216" s="5">
        <v>3365148</v>
      </c>
      <c r="I216" s="5">
        <v>2957640.21</v>
      </c>
      <c r="J216" s="5">
        <v>50</v>
      </c>
      <c r="K216" s="5">
        <v>441443</v>
      </c>
      <c r="L216" s="5">
        <v>3797500</v>
      </c>
      <c r="M216" s="5">
        <v>407507.79</v>
      </c>
      <c r="N216" s="5">
        <v>0.1211</v>
      </c>
      <c r="O216" s="5">
        <v>6</v>
      </c>
      <c r="P216" s="5">
        <v>85831</v>
      </c>
    </row>
    <row r="217" spans="1:16" x14ac:dyDescent="0.3">
      <c r="A217" s="5">
        <v>3</v>
      </c>
      <c r="B217" s="5" t="s">
        <v>103</v>
      </c>
      <c r="C217" s="5">
        <v>2</v>
      </c>
      <c r="D217" s="5" t="s">
        <v>88</v>
      </c>
      <c r="E217" s="5">
        <v>2022</v>
      </c>
      <c r="F217" s="5">
        <v>10</v>
      </c>
      <c r="G217" s="5" t="s">
        <v>43</v>
      </c>
      <c r="H217" s="5">
        <v>4960465</v>
      </c>
      <c r="I217" s="5">
        <v>4367400.8899999997</v>
      </c>
      <c r="J217" s="5">
        <v>76</v>
      </c>
      <c r="K217" s="5">
        <v>754606</v>
      </c>
      <c r="L217" s="5">
        <v>5696050</v>
      </c>
      <c r="M217" s="5">
        <v>593064.11</v>
      </c>
      <c r="N217" s="5">
        <v>0.1196</v>
      </c>
      <c r="O217" s="5">
        <v>6</v>
      </c>
      <c r="P217" s="5">
        <v>128154</v>
      </c>
    </row>
    <row r="218" spans="1:16" x14ac:dyDescent="0.3">
      <c r="A218" s="5">
        <v>3</v>
      </c>
      <c r="B218" s="5" t="s">
        <v>103</v>
      </c>
      <c r="C218" s="5">
        <v>2</v>
      </c>
      <c r="D218" s="5" t="s">
        <v>88</v>
      </c>
      <c r="E218" s="5">
        <v>2022</v>
      </c>
      <c r="F218" s="5">
        <v>11</v>
      </c>
      <c r="G218" s="5" t="s">
        <v>44</v>
      </c>
      <c r="H218" s="5">
        <v>4674054</v>
      </c>
      <c r="I218" s="5">
        <v>3930709.05</v>
      </c>
      <c r="J218" s="5">
        <v>74</v>
      </c>
      <c r="K218" s="5">
        <v>366631</v>
      </c>
      <c r="L218" s="5">
        <v>5025160</v>
      </c>
      <c r="M218" s="5">
        <v>743344.95</v>
      </c>
      <c r="N218" s="5">
        <v>0.159</v>
      </c>
      <c r="O218" s="5">
        <v>3</v>
      </c>
      <c r="P218" s="5">
        <v>172372</v>
      </c>
    </row>
    <row r="219" spans="1:16" x14ac:dyDescent="0.3">
      <c r="A219" s="5">
        <v>3</v>
      </c>
      <c r="B219" s="5" t="s">
        <v>103</v>
      </c>
      <c r="C219" s="5">
        <v>2</v>
      </c>
      <c r="D219" s="5" t="s">
        <v>88</v>
      </c>
      <c r="E219" s="5">
        <v>2022</v>
      </c>
      <c r="F219" s="5">
        <v>12</v>
      </c>
      <c r="G219" s="5" t="s">
        <v>45</v>
      </c>
      <c r="H219" s="5">
        <v>4529733</v>
      </c>
      <c r="I219" s="5">
        <v>3802655.33</v>
      </c>
      <c r="J219" s="5">
        <v>55</v>
      </c>
      <c r="K219" s="5">
        <v>253224</v>
      </c>
      <c r="L219" s="5">
        <v>4766430</v>
      </c>
      <c r="M219" s="5">
        <v>727077.67</v>
      </c>
      <c r="N219" s="5">
        <v>0.1605</v>
      </c>
      <c r="O219" s="5">
        <v>3</v>
      </c>
      <c r="P219" s="5">
        <v>36519</v>
      </c>
    </row>
    <row r="220" spans="1:16" x14ac:dyDescent="0.3">
      <c r="A220" s="5">
        <v>3</v>
      </c>
      <c r="B220" s="5" t="s">
        <v>103</v>
      </c>
      <c r="C220" s="5">
        <v>2</v>
      </c>
      <c r="D220" s="5" t="s">
        <v>88</v>
      </c>
      <c r="E220" s="5">
        <v>2023</v>
      </c>
      <c r="F220" s="5">
        <v>1</v>
      </c>
      <c r="G220" s="5" t="s">
        <v>46</v>
      </c>
      <c r="H220" s="5">
        <v>5742298</v>
      </c>
      <c r="I220" s="5">
        <v>5040933.0199999996</v>
      </c>
      <c r="J220" s="5">
        <v>61</v>
      </c>
      <c r="K220" s="5">
        <v>573220</v>
      </c>
      <c r="L220" s="5">
        <v>6289840</v>
      </c>
      <c r="M220" s="5">
        <v>701364.98</v>
      </c>
      <c r="N220" s="5">
        <v>0.1221</v>
      </c>
      <c r="O220" s="5">
        <v>7</v>
      </c>
      <c r="P220" s="5">
        <v>176455</v>
      </c>
    </row>
    <row r="221" spans="1:16" x14ac:dyDescent="0.3">
      <c r="A221" s="5">
        <v>3</v>
      </c>
      <c r="B221" s="5" t="s">
        <v>103</v>
      </c>
      <c r="C221" s="5">
        <v>2</v>
      </c>
      <c r="D221" s="5" t="s">
        <v>88</v>
      </c>
      <c r="E221" s="5">
        <v>2023</v>
      </c>
      <c r="F221" s="5">
        <v>2</v>
      </c>
      <c r="G221" s="5" t="s">
        <v>47</v>
      </c>
      <c r="H221" s="5">
        <v>2698173</v>
      </c>
      <c r="I221" s="5">
        <v>2352432.5</v>
      </c>
      <c r="J221" s="5">
        <v>42</v>
      </c>
      <c r="K221" s="5">
        <v>309557</v>
      </c>
      <c r="L221" s="5">
        <v>3001650</v>
      </c>
      <c r="M221" s="5">
        <v>345740.5</v>
      </c>
      <c r="N221" s="5">
        <v>0.12809999999999999</v>
      </c>
      <c r="O221" s="5">
        <v>3</v>
      </c>
      <c r="P221" s="5">
        <v>14126</v>
      </c>
    </row>
    <row r="222" spans="1:16" x14ac:dyDescent="0.3">
      <c r="A222" s="5">
        <v>3</v>
      </c>
      <c r="B222" s="5" t="s">
        <v>103</v>
      </c>
      <c r="C222" s="5">
        <v>2</v>
      </c>
      <c r="D222" s="5" t="s">
        <v>88</v>
      </c>
      <c r="E222" s="5">
        <v>2023</v>
      </c>
      <c r="F222" s="5">
        <v>3</v>
      </c>
      <c r="G222" s="5" t="s">
        <v>48</v>
      </c>
      <c r="H222" s="5">
        <v>3005611</v>
      </c>
      <c r="I222" s="5">
        <v>2539640.11</v>
      </c>
      <c r="J222" s="5">
        <v>50</v>
      </c>
      <c r="K222" s="5">
        <v>289174</v>
      </c>
      <c r="L222" s="5">
        <v>3283360</v>
      </c>
      <c r="M222" s="5">
        <v>465970.89</v>
      </c>
      <c r="N222" s="5">
        <v>0.155</v>
      </c>
      <c r="O222" s="5">
        <v>3</v>
      </c>
      <c r="P222" s="5">
        <v>12724</v>
      </c>
    </row>
    <row r="223" spans="1:16" x14ac:dyDescent="0.3">
      <c r="A223" s="5">
        <v>3</v>
      </c>
      <c r="B223" s="5" t="s">
        <v>103</v>
      </c>
      <c r="C223" s="5">
        <v>2</v>
      </c>
      <c r="D223" s="5" t="s">
        <v>88</v>
      </c>
      <c r="E223" s="5">
        <v>2023</v>
      </c>
      <c r="F223" s="5">
        <v>4</v>
      </c>
      <c r="G223" s="5" t="s">
        <v>49</v>
      </c>
      <c r="H223" s="5">
        <v>3456455</v>
      </c>
      <c r="I223" s="5">
        <v>2928567.67</v>
      </c>
      <c r="J223" s="5">
        <v>54</v>
      </c>
      <c r="K223" s="5">
        <v>341858</v>
      </c>
      <c r="L223" s="5">
        <v>3778180</v>
      </c>
      <c r="M223" s="5">
        <v>527887.32999999996</v>
      </c>
      <c r="N223" s="5">
        <v>0.1527</v>
      </c>
      <c r="O223" s="5">
        <v>2</v>
      </c>
      <c r="P223" s="5">
        <v>71995</v>
      </c>
    </row>
    <row r="224" spans="1:16" x14ac:dyDescent="0.3">
      <c r="A224" s="5">
        <v>3</v>
      </c>
      <c r="B224" s="5" t="s">
        <v>103</v>
      </c>
      <c r="C224" s="5">
        <v>2</v>
      </c>
      <c r="D224" s="5" t="s">
        <v>88</v>
      </c>
      <c r="E224" s="5">
        <v>2023</v>
      </c>
      <c r="F224" s="5">
        <v>5</v>
      </c>
      <c r="G224" s="5" t="s">
        <v>50</v>
      </c>
      <c r="H224" s="5">
        <v>4755585</v>
      </c>
      <c r="I224" s="5">
        <v>4091014.31</v>
      </c>
      <c r="J224" s="5">
        <v>81</v>
      </c>
      <c r="K224" s="5">
        <v>545824</v>
      </c>
      <c r="L224" s="5">
        <v>5289910</v>
      </c>
      <c r="M224" s="5">
        <v>664570.68999999994</v>
      </c>
      <c r="N224" s="5">
        <v>0.13969999999999999</v>
      </c>
      <c r="O224" s="5">
        <v>4</v>
      </c>
      <c r="P224" s="5">
        <v>92155</v>
      </c>
    </row>
    <row r="225" spans="1:16" x14ac:dyDescent="0.3">
      <c r="A225" s="5">
        <v>3</v>
      </c>
      <c r="B225" s="5" t="s">
        <v>103</v>
      </c>
      <c r="C225" s="5">
        <v>2</v>
      </c>
      <c r="D225" s="5" t="s">
        <v>88</v>
      </c>
      <c r="E225" s="5">
        <v>2023</v>
      </c>
      <c r="F225" s="5">
        <v>6</v>
      </c>
      <c r="G225" s="5" t="s">
        <v>51</v>
      </c>
      <c r="H225" s="5">
        <v>5232276</v>
      </c>
      <c r="I225" s="5">
        <v>4477243.9000000004</v>
      </c>
      <c r="J225" s="5">
        <v>72</v>
      </c>
      <c r="K225" s="5">
        <v>565992</v>
      </c>
      <c r="L225" s="5">
        <v>5787670</v>
      </c>
      <c r="M225" s="5">
        <v>755032.1</v>
      </c>
      <c r="N225" s="5">
        <v>0.14430000000000001</v>
      </c>
      <c r="O225" s="5">
        <v>3</v>
      </c>
      <c r="P225" s="5">
        <v>24514</v>
      </c>
    </row>
    <row r="226" spans="1:16" x14ac:dyDescent="0.3">
      <c r="A226" s="5">
        <v>3</v>
      </c>
      <c r="B226" s="5" t="s">
        <v>103</v>
      </c>
      <c r="C226" s="5">
        <v>2</v>
      </c>
      <c r="D226" s="5" t="s">
        <v>88</v>
      </c>
      <c r="E226" s="5">
        <v>2023</v>
      </c>
      <c r="F226" s="5">
        <v>7</v>
      </c>
      <c r="G226" s="5" t="s">
        <v>52</v>
      </c>
      <c r="H226" s="5">
        <v>4161676</v>
      </c>
      <c r="I226" s="5">
        <v>3671362.49</v>
      </c>
      <c r="J226" s="5">
        <v>69</v>
      </c>
      <c r="K226" s="5">
        <v>595805</v>
      </c>
      <c r="L226" s="5">
        <v>4745830</v>
      </c>
      <c r="M226" s="5">
        <v>490313.51</v>
      </c>
      <c r="N226" s="5">
        <v>0.1178</v>
      </c>
      <c r="O226" s="5">
        <v>7</v>
      </c>
      <c r="P226" s="5">
        <v>285291</v>
      </c>
    </row>
    <row r="227" spans="1:16" x14ac:dyDescent="0.3">
      <c r="A227" s="5">
        <v>3</v>
      </c>
      <c r="B227" s="5" t="s">
        <v>103</v>
      </c>
      <c r="C227" s="5">
        <v>2</v>
      </c>
      <c r="D227" s="5" t="s">
        <v>88</v>
      </c>
      <c r="E227" s="5">
        <v>2023</v>
      </c>
      <c r="F227" s="5">
        <v>8</v>
      </c>
      <c r="G227" s="5" t="s">
        <v>53</v>
      </c>
      <c r="H227" s="5">
        <v>4319953</v>
      </c>
      <c r="I227" s="5">
        <v>3851117.84</v>
      </c>
      <c r="J227" s="5">
        <v>60</v>
      </c>
      <c r="K227" s="5">
        <v>603001</v>
      </c>
      <c r="L227" s="5">
        <v>4914230</v>
      </c>
      <c r="M227" s="5">
        <v>468835.16</v>
      </c>
      <c r="N227" s="5">
        <v>0.1085</v>
      </c>
      <c r="O227" s="5">
        <v>6</v>
      </c>
      <c r="P227" s="5">
        <v>114893</v>
      </c>
    </row>
    <row r="228" spans="1:16" x14ac:dyDescent="0.3">
      <c r="A228" s="5">
        <v>3</v>
      </c>
      <c r="B228" s="5" t="s">
        <v>103</v>
      </c>
      <c r="C228" s="5">
        <v>2</v>
      </c>
      <c r="D228" s="5" t="s">
        <v>88</v>
      </c>
      <c r="E228" s="5">
        <v>2023</v>
      </c>
      <c r="F228" s="5">
        <v>9</v>
      </c>
      <c r="G228" s="5" t="s">
        <v>54</v>
      </c>
      <c r="H228" s="5">
        <v>5284574</v>
      </c>
      <c r="I228" s="5">
        <v>4566647.45</v>
      </c>
      <c r="J228" s="5">
        <v>79</v>
      </c>
      <c r="K228" s="5">
        <v>605889</v>
      </c>
      <c r="L228" s="5">
        <v>5865890</v>
      </c>
      <c r="M228" s="5">
        <v>717926.55</v>
      </c>
      <c r="N228" s="5">
        <v>0.13589999999999999</v>
      </c>
      <c r="O228" s="5">
        <v>3</v>
      </c>
      <c r="P228" s="5">
        <v>286826</v>
      </c>
    </row>
    <row r="229" spans="1:16" x14ac:dyDescent="0.3">
      <c r="A229" s="5">
        <v>3</v>
      </c>
      <c r="B229" s="5" t="s">
        <v>103</v>
      </c>
      <c r="C229" s="5">
        <v>2</v>
      </c>
      <c r="D229" s="5" t="s">
        <v>88</v>
      </c>
      <c r="E229" s="5">
        <v>2023</v>
      </c>
      <c r="F229" s="5">
        <v>10</v>
      </c>
      <c r="G229" s="5" t="s">
        <v>55</v>
      </c>
      <c r="H229" s="5">
        <v>5486994</v>
      </c>
      <c r="I229" s="5">
        <v>4653855.41</v>
      </c>
      <c r="J229" s="5">
        <v>91</v>
      </c>
      <c r="K229" s="5">
        <v>566715</v>
      </c>
      <c r="L229" s="5">
        <v>6032420</v>
      </c>
      <c r="M229" s="5">
        <v>833138.59</v>
      </c>
      <c r="N229" s="5">
        <v>0.15179999999999999</v>
      </c>
      <c r="O229" s="5">
        <v>9</v>
      </c>
      <c r="P229" s="5">
        <v>194573</v>
      </c>
    </row>
    <row r="230" spans="1:16" x14ac:dyDescent="0.3">
      <c r="A230" s="5">
        <v>3</v>
      </c>
      <c r="B230" s="5" t="s">
        <v>103</v>
      </c>
      <c r="C230" s="5">
        <v>2</v>
      </c>
      <c r="D230" s="5" t="s">
        <v>88</v>
      </c>
      <c r="E230" s="5">
        <v>2023</v>
      </c>
      <c r="F230" s="5">
        <v>11</v>
      </c>
      <c r="G230" s="5" t="s">
        <v>56</v>
      </c>
      <c r="H230" s="5">
        <v>5748218</v>
      </c>
      <c r="I230" s="5">
        <v>5332621.9400000004</v>
      </c>
      <c r="J230" s="5">
        <v>79</v>
      </c>
      <c r="K230" s="5">
        <v>962298</v>
      </c>
      <c r="L230" s="5">
        <v>6697180</v>
      </c>
      <c r="M230" s="5">
        <v>415596.06</v>
      </c>
      <c r="N230" s="5">
        <v>7.2300000000000003E-2</v>
      </c>
      <c r="O230" s="5">
        <v>9</v>
      </c>
      <c r="P230" s="5">
        <v>264209</v>
      </c>
    </row>
    <row r="231" spans="1:16" x14ac:dyDescent="0.3">
      <c r="A231" s="5">
        <v>3</v>
      </c>
      <c r="B231" s="5" t="s">
        <v>103</v>
      </c>
      <c r="C231" s="5">
        <v>2</v>
      </c>
      <c r="D231" s="5" t="s">
        <v>88</v>
      </c>
      <c r="E231" s="5">
        <v>2023</v>
      </c>
      <c r="F231" s="5">
        <v>12</v>
      </c>
      <c r="G231" s="5" t="s">
        <v>57</v>
      </c>
      <c r="H231" s="5">
        <v>5715784</v>
      </c>
      <c r="I231" s="5">
        <v>5313348.3099999996</v>
      </c>
      <c r="J231" s="5">
        <v>89</v>
      </c>
      <c r="K231" s="5">
        <v>1173500</v>
      </c>
      <c r="L231" s="5">
        <v>6866350</v>
      </c>
      <c r="M231" s="5">
        <v>402435.69</v>
      </c>
      <c r="N231" s="5">
        <v>7.0400000000000004E-2</v>
      </c>
      <c r="O231" s="5">
        <v>10</v>
      </c>
      <c r="P231" s="5">
        <v>422938</v>
      </c>
    </row>
    <row r="232" spans="1:16" x14ac:dyDescent="0.3">
      <c r="A232" s="5">
        <v>3</v>
      </c>
      <c r="B232" s="5" t="s">
        <v>103</v>
      </c>
      <c r="C232" s="5">
        <v>2</v>
      </c>
      <c r="D232" s="5" t="s">
        <v>88</v>
      </c>
      <c r="E232" s="5">
        <v>2024</v>
      </c>
      <c r="F232" s="5">
        <v>1</v>
      </c>
      <c r="G232" s="5" t="s">
        <v>58</v>
      </c>
      <c r="H232" s="5">
        <v>3705986</v>
      </c>
      <c r="I232" s="5">
        <v>3391362.99</v>
      </c>
      <c r="J232" s="5">
        <v>63</v>
      </c>
      <c r="K232" s="5">
        <v>708457</v>
      </c>
      <c r="L232" s="5">
        <v>4404770</v>
      </c>
      <c r="M232" s="5">
        <v>314623.01</v>
      </c>
      <c r="N232" s="5">
        <v>8.4900000000000003E-2</v>
      </c>
      <c r="O232" s="5">
        <v>3</v>
      </c>
      <c r="P232" s="5">
        <v>128891</v>
      </c>
    </row>
    <row r="233" spans="1:16" x14ac:dyDescent="0.3">
      <c r="A233" s="5">
        <v>3</v>
      </c>
      <c r="B233" s="5" t="s">
        <v>103</v>
      </c>
      <c r="C233" s="5">
        <v>2</v>
      </c>
      <c r="D233" s="5" t="s">
        <v>88</v>
      </c>
      <c r="E233" s="5">
        <v>2024</v>
      </c>
      <c r="F233" s="5">
        <v>2</v>
      </c>
      <c r="G233" s="5" t="s">
        <v>59</v>
      </c>
      <c r="H233" s="5">
        <v>3646087</v>
      </c>
      <c r="I233" s="5">
        <v>3028731.73</v>
      </c>
      <c r="J233" s="5">
        <v>66</v>
      </c>
      <c r="K233" s="5">
        <v>257201</v>
      </c>
      <c r="L233" s="5">
        <v>3890190</v>
      </c>
      <c r="M233" s="5">
        <v>617355.27</v>
      </c>
      <c r="N233" s="5">
        <v>0.16930000000000001</v>
      </c>
      <c r="O233" s="5">
        <v>4</v>
      </c>
      <c r="P233" s="5">
        <v>30552</v>
      </c>
    </row>
    <row r="234" spans="1:16" x14ac:dyDescent="0.3">
      <c r="A234" s="5">
        <v>3</v>
      </c>
      <c r="B234" s="5" t="s">
        <v>103</v>
      </c>
      <c r="C234" s="5">
        <v>2</v>
      </c>
      <c r="D234" s="5" t="s">
        <v>88</v>
      </c>
      <c r="E234" s="5">
        <v>2024</v>
      </c>
      <c r="F234" s="5">
        <v>3</v>
      </c>
      <c r="G234" s="5" t="s">
        <v>60</v>
      </c>
      <c r="H234" s="5">
        <v>3583471</v>
      </c>
      <c r="I234" s="5">
        <v>3056516.24</v>
      </c>
      <c r="J234" s="5">
        <v>62</v>
      </c>
      <c r="K234" s="5">
        <v>395540</v>
      </c>
      <c r="L234" s="5">
        <v>3969650</v>
      </c>
      <c r="M234" s="5">
        <v>526954.76</v>
      </c>
      <c r="N234" s="5">
        <v>0.14710000000000001</v>
      </c>
      <c r="O234" s="5">
        <v>2</v>
      </c>
      <c r="P234" s="5">
        <v>54295</v>
      </c>
    </row>
    <row r="235" spans="1:16" x14ac:dyDescent="0.3">
      <c r="A235" s="5">
        <v>3</v>
      </c>
      <c r="B235" s="5" t="s">
        <v>103</v>
      </c>
      <c r="C235" s="5">
        <v>2</v>
      </c>
      <c r="D235" s="5" t="s">
        <v>88</v>
      </c>
      <c r="E235" s="5">
        <v>2024</v>
      </c>
      <c r="F235" s="5">
        <v>4</v>
      </c>
      <c r="G235" s="5" t="s">
        <v>61</v>
      </c>
      <c r="H235" s="5">
        <v>4573047</v>
      </c>
      <c r="I235" s="5">
        <v>3955229.47</v>
      </c>
      <c r="J235" s="5">
        <v>62</v>
      </c>
      <c r="K235" s="5">
        <v>414868</v>
      </c>
      <c r="L235" s="5">
        <v>4969060</v>
      </c>
      <c r="M235" s="5">
        <v>617817.53</v>
      </c>
      <c r="N235" s="5">
        <v>0.1351</v>
      </c>
      <c r="O235" s="5">
        <v>4</v>
      </c>
      <c r="P235" s="5">
        <v>87504</v>
      </c>
    </row>
    <row r="236" spans="1:16" x14ac:dyDescent="0.3">
      <c r="A236" s="5">
        <v>3</v>
      </c>
      <c r="B236" s="5" t="s">
        <v>103</v>
      </c>
      <c r="C236" s="5">
        <v>2</v>
      </c>
      <c r="D236" s="5" t="s">
        <v>88</v>
      </c>
      <c r="E236" s="5">
        <v>2024</v>
      </c>
      <c r="F236" s="5">
        <v>5</v>
      </c>
      <c r="G236" s="5" t="s">
        <v>62</v>
      </c>
      <c r="H236" s="5">
        <v>5469423</v>
      </c>
      <c r="I236" s="5">
        <v>4668408.3499999996</v>
      </c>
      <c r="J236" s="5">
        <v>78</v>
      </c>
      <c r="K236" s="5">
        <v>633983</v>
      </c>
      <c r="L236" s="5">
        <v>6091050</v>
      </c>
      <c r="M236" s="5">
        <v>801014.65</v>
      </c>
      <c r="N236" s="5">
        <v>0.14649999999999999</v>
      </c>
      <c r="O236" s="5">
        <v>18</v>
      </c>
      <c r="P236" s="5">
        <v>723296</v>
      </c>
    </row>
    <row r="237" spans="1:16" x14ac:dyDescent="0.3">
      <c r="A237" s="5">
        <v>3</v>
      </c>
      <c r="B237" s="5" t="s">
        <v>103</v>
      </c>
      <c r="C237" s="5">
        <v>2</v>
      </c>
      <c r="D237" s="5" t="s">
        <v>88</v>
      </c>
      <c r="E237" s="5">
        <v>2024</v>
      </c>
      <c r="F237" s="5">
        <v>6</v>
      </c>
      <c r="G237" s="5" t="s">
        <v>63</v>
      </c>
      <c r="H237" s="5">
        <v>5591019</v>
      </c>
      <c r="I237" s="5">
        <v>4686687.41</v>
      </c>
      <c r="J237" s="5">
        <v>70</v>
      </c>
      <c r="K237" s="5">
        <v>464227</v>
      </c>
      <c r="L237" s="5">
        <v>6039880</v>
      </c>
      <c r="M237" s="5">
        <v>904331.59</v>
      </c>
      <c r="N237" s="5">
        <v>0.16170000000000001</v>
      </c>
      <c r="O237" s="5">
        <v>4</v>
      </c>
      <c r="P237" s="5">
        <v>44242</v>
      </c>
    </row>
    <row r="238" spans="1:16" x14ac:dyDescent="0.3">
      <c r="A238" s="5">
        <v>3</v>
      </c>
      <c r="B238" s="5" t="s">
        <v>103</v>
      </c>
      <c r="C238" s="5">
        <v>2</v>
      </c>
      <c r="D238" s="5" t="s">
        <v>88</v>
      </c>
      <c r="E238" s="5">
        <v>2024</v>
      </c>
      <c r="F238" s="5">
        <v>7</v>
      </c>
      <c r="G238" s="5" t="s">
        <v>64</v>
      </c>
      <c r="H238" s="5">
        <v>3731716</v>
      </c>
      <c r="I238" s="5">
        <v>3053183.08</v>
      </c>
      <c r="J238" s="5">
        <v>63</v>
      </c>
      <c r="K238" s="5">
        <v>295674</v>
      </c>
      <c r="L238" s="5">
        <v>4016530</v>
      </c>
      <c r="M238" s="5">
        <v>678532.92</v>
      </c>
      <c r="N238" s="5">
        <v>0.18179999999999999</v>
      </c>
      <c r="O238" s="5">
        <v>8</v>
      </c>
      <c r="P238" s="5">
        <v>92131</v>
      </c>
    </row>
    <row r="239" spans="1:16" x14ac:dyDescent="0.3">
      <c r="A239" s="5">
        <v>3</v>
      </c>
      <c r="B239" s="5" t="s">
        <v>103</v>
      </c>
      <c r="C239" s="5">
        <v>2</v>
      </c>
      <c r="D239" s="5" t="s">
        <v>88</v>
      </c>
      <c r="E239" s="5">
        <v>2024</v>
      </c>
      <c r="F239" s="5">
        <v>8</v>
      </c>
      <c r="G239" s="5" t="s">
        <v>65</v>
      </c>
      <c r="H239" s="5">
        <v>5010945</v>
      </c>
      <c r="I239" s="5">
        <v>4320039.53</v>
      </c>
      <c r="J239" s="5">
        <v>64</v>
      </c>
      <c r="K239" s="5">
        <v>592794</v>
      </c>
      <c r="L239" s="5">
        <v>5596160</v>
      </c>
      <c r="M239" s="5">
        <v>690905.47</v>
      </c>
      <c r="N239" s="5">
        <v>0.13789999999999999</v>
      </c>
      <c r="O239" s="5">
        <v>3</v>
      </c>
      <c r="P239" s="5">
        <v>41041</v>
      </c>
    </row>
    <row r="240" spans="1:16" x14ac:dyDescent="0.3">
      <c r="A240" s="5">
        <v>3</v>
      </c>
      <c r="B240" s="5" t="s">
        <v>103</v>
      </c>
      <c r="C240" s="5">
        <v>2</v>
      </c>
      <c r="D240" s="5" t="s">
        <v>88</v>
      </c>
      <c r="E240" s="5">
        <v>2024</v>
      </c>
      <c r="F240" s="5">
        <v>9</v>
      </c>
      <c r="G240" s="5" t="s">
        <v>66</v>
      </c>
      <c r="H240" s="5">
        <v>4131721</v>
      </c>
      <c r="I240" s="5">
        <v>3372544.26</v>
      </c>
      <c r="J240" s="5">
        <v>59</v>
      </c>
      <c r="K240" s="5">
        <v>205373</v>
      </c>
      <c r="L240" s="5">
        <v>4328660</v>
      </c>
      <c r="M240" s="5">
        <v>759176.74</v>
      </c>
      <c r="N240" s="5">
        <v>0.1837</v>
      </c>
      <c r="O240" s="5">
        <v>7</v>
      </c>
      <c r="P240" s="5">
        <v>184310</v>
      </c>
    </row>
    <row r="241" spans="1:16" x14ac:dyDescent="0.3">
      <c r="A241" s="5">
        <v>3</v>
      </c>
      <c r="B241" s="5" t="s">
        <v>103</v>
      </c>
      <c r="C241" s="5">
        <v>2</v>
      </c>
      <c r="D241" s="5" t="s">
        <v>88</v>
      </c>
      <c r="E241" s="5">
        <v>2024</v>
      </c>
      <c r="F241" s="5">
        <v>10</v>
      </c>
      <c r="G241" s="5" t="s">
        <v>67</v>
      </c>
      <c r="H241" s="5">
        <v>7288934</v>
      </c>
      <c r="I241" s="5">
        <v>5834665.5599999996</v>
      </c>
      <c r="J241" s="5">
        <v>92</v>
      </c>
      <c r="K241" s="5">
        <v>270280</v>
      </c>
      <c r="L241" s="5">
        <v>7539430</v>
      </c>
      <c r="M241" s="5">
        <v>1454268.44</v>
      </c>
      <c r="N241" s="5">
        <v>0.19950000000000001</v>
      </c>
      <c r="O241" s="5">
        <v>4</v>
      </c>
      <c r="P241" s="5">
        <v>100017</v>
      </c>
    </row>
    <row r="242" spans="1:16" x14ac:dyDescent="0.3">
      <c r="A242" s="5">
        <v>3</v>
      </c>
      <c r="B242" s="5" t="s">
        <v>103</v>
      </c>
      <c r="C242" s="5">
        <v>2</v>
      </c>
      <c r="D242" s="5" t="s">
        <v>88</v>
      </c>
      <c r="E242" s="5">
        <v>2024</v>
      </c>
      <c r="F242" s="5">
        <v>11</v>
      </c>
      <c r="G242" s="5" t="s">
        <v>68</v>
      </c>
      <c r="H242" s="5">
        <v>6639329</v>
      </c>
      <c r="I242" s="5">
        <v>5536339.4299999997</v>
      </c>
      <c r="J242" s="5">
        <v>105</v>
      </c>
      <c r="K242" s="5">
        <v>565202</v>
      </c>
      <c r="L242" s="5">
        <v>7175690</v>
      </c>
      <c r="M242" s="5">
        <v>1102989.57</v>
      </c>
      <c r="N242" s="5">
        <v>0.1661</v>
      </c>
      <c r="O242" s="5">
        <v>10</v>
      </c>
      <c r="P242" s="5">
        <v>190776</v>
      </c>
    </row>
    <row r="243" spans="1:16" x14ac:dyDescent="0.3">
      <c r="A243" s="5">
        <v>3</v>
      </c>
      <c r="B243" s="5" t="s">
        <v>103</v>
      </c>
      <c r="C243" s="5">
        <v>2</v>
      </c>
      <c r="D243" s="5" t="s">
        <v>88</v>
      </c>
      <c r="E243" s="5">
        <v>2024</v>
      </c>
      <c r="F243" s="5">
        <v>12</v>
      </c>
      <c r="G243" s="5" t="s">
        <v>69</v>
      </c>
      <c r="H243" s="5">
        <v>8064884</v>
      </c>
      <c r="I243" s="5">
        <v>6445457.8099999996</v>
      </c>
      <c r="J243" s="5">
        <v>99</v>
      </c>
      <c r="K243" s="5">
        <v>263674</v>
      </c>
      <c r="L243" s="5">
        <v>8305460</v>
      </c>
      <c r="M243" s="5">
        <v>1619426.19</v>
      </c>
      <c r="N243" s="5">
        <v>0.20080000000000001</v>
      </c>
      <c r="O243" s="5">
        <v>5</v>
      </c>
      <c r="P243" s="5">
        <v>85797</v>
      </c>
    </row>
    <row r="244" spans="1:16" x14ac:dyDescent="0.3">
      <c r="A244" s="5">
        <v>60</v>
      </c>
      <c r="B244" s="5" t="s">
        <v>104</v>
      </c>
      <c r="C244" s="5">
        <v>2</v>
      </c>
      <c r="D244" s="5" t="s">
        <v>88</v>
      </c>
      <c r="E244" s="5">
        <v>2021</v>
      </c>
      <c r="F244" s="5">
        <v>1</v>
      </c>
      <c r="G244" s="5" t="s">
        <v>22</v>
      </c>
      <c r="H244" s="5">
        <v>1211212</v>
      </c>
      <c r="I244" s="5">
        <v>1152789.1499999999</v>
      </c>
      <c r="J244" s="5">
        <v>13</v>
      </c>
      <c r="K244" s="5">
        <v>253431</v>
      </c>
      <c r="L244" s="5">
        <v>1459620</v>
      </c>
      <c r="M244" s="5">
        <v>58422.85</v>
      </c>
      <c r="N244" s="5">
        <v>4.82E-2</v>
      </c>
      <c r="O244" s="5">
        <v>1</v>
      </c>
      <c r="P244" s="5">
        <v>1921</v>
      </c>
    </row>
    <row r="245" spans="1:16" x14ac:dyDescent="0.3">
      <c r="A245" s="5">
        <v>72</v>
      </c>
      <c r="B245" s="5" t="s">
        <v>104</v>
      </c>
      <c r="C245" s="5">
        <v>2</v>
      </c>
      <c r="D245" s="5" t="s">
        <v>88</v>
      </c>
      <c r="E245" s="5">
        <v>2021</v>
      </c>
      <c r="F245" s="5">
        <v>1</v>
      </c>
      <c r="G245" s="5" t="s">
        <v>22</v>
      </c>
      <c r="H245" s="5">
        <v>1183679</v>
      </c>
      <c r="I245" s="5">
        <v>1173574.3</v>
      </c>
      <c r="J245" s="5">
        <v>16</v>
      </c>
      <c r="K245" s="5">
        <v>342894</v>
      </c>
      <c r="L245" s="5">
        <v>1521350</v>
      </c>
      <c r="M245" s="5">
        <v>10104.700000000001</v>
      </c>
      <c r="N245" s="5">
        <v>8.5000000000000006E-3</v>
      </c>
      <c r="O245" s="5">
        <v>1</v>
      </c>
      <c r="P245" s="5">
        <v>3615</v>
      </c>
    </row>
    <row r="246" spans="1:16" x14ac:dyDescent="0.3">
      <c r="A246" s="5">
        <v>60</v>
      </c>
      <c r="B246" s="5" t="s">
        <v>104</v>
      </c>
      <c r="C246" s="5">
        <v>2</v>
      </c>
      <c r="D246" s="5" t="s">
        <v>88</v>
      </c>
      <c r="E246" s="5">
        <v>2021</v>
      </c>
      <c r="F246" s="5">
        <v>2</v>
      </c>
      <c r="G246" s="5" t="s">
        <v>23</v>
      </c>
      <c r="H246" s="5">
        <v>970380</v>
      </c>
      <c r="I246" s="5">
        <v>855422</v>
      </c>
      <c r="J246" s="5">
        <v>16</v>
      </c>
      <c r="K246" s="5">
        <v>126881</v>
      </c>
      <c r="L246" s="5">
        <v>1095990</v>
      </c>
      <c r="M246" s="5">
        <v>114958</v>
      </c>
      <c r="N246" s="5">
        <v>0.11849999999999999</v>
      </c>
      <c r="O246" s="5">
        <v>1</v>
      </c>
      <c r="P246" s="5">
        <v>197</v>
      </c>
    </row>
    <row r="247" spans="1:16" x14ac:dyDescent="0.3">
      <c r="A247" s="5">
        <v>72</v>
      </c>
      <c r="B247" s="5" t="s">
        <v>104</v>
      </c>
      <c r="C247" s="5">
        <v>2</v>
      </c>
      <c r="D247" s="5" t="s">
        <v>88</v>
      </c>
      <c r="E247" s="5">
        <v>2021</v>
      </c>
      <c r="F247" s="5">
        <v>2</v>
      </c>
      <c r="G247" s="5" t="s">
        <v>23</v>
      </c>
      <c r="H247" s="5">
        <v>924565</v>
      </c>
      <c r="I247" s="5">
        <v>803310.12</v>
      </c>
      <c r="J247" s="5">
        <v>14</v>
      </c>
      <c r="K247" s="5">
        <v>178352</v>
      </c>
      <c r="L247" s="5">
        <v>1101650</v>
      </c>
      <c r="M247" s="5">
        <v>121254.88</v>
      </c>
      <c r="N247" s="5">
        <v>0.13109999999999999</v>
      </c>
      <c r="O247" s="5">
        <v>4</v>
      </c>
      <c r="P247" s="5">
        <v>68105</v>
      </c>
    </row>
    <row r="248" spans="1:16" x14ac:dyDescent="0.3">
      <c r="A248" s="5">
        <v>60</v>
      </c>
      <c r="B248" s="5" t="s">
        <v>104</v>
      </c>
      <c r="C248" s="5">
        <v>2</v>
      </c>
      <c r="D248" s="5" t="s">
        <v>88</v>
      </c>
      <c r="E248" s="5">
        <v>2021</v>
      </c>
      <c r="F248" s="5">
        <v>3</v>
      </c>
      <c r="G248" s="5" t="s">
        <v>24</v>
      </c>
      <c r="H248" s="5">
        <v>754933</v>
      </c>
      <c r="I248" s="5">
        <v>611539.84</v>
      </c>
      <c r="J248" s="5">
        <v>11</v>
      </c>
      <c r="K248" s="5">
        <v>18975</v>
      </c>
      <c r="L248" s="5">
        <v>772480</v>
      </c>
      <c r="M248" s="5">
        <v>143393.16</v>
      </c>
      <c r="N248" s="5">
        <v>0.18990000000000001</v>
      </c>
      <c r="O248" s="5">
        <v>0</v>
      </c>
      <c r="P248" s="5">
        <v>0</v>
      </c>
    </row>
    <row r="249" spans="1:16" x14ac:dyDescent="0.3">
      <c r="A249" s="5">
        <v>72</v>
      </c>
      <c r="B249" s="5" t="s">
        <v>104</v>
      </c>
      <c r="C249" s="5">
        <v>2</v>
      </c>
      <c r="D249" s="5" t="s">
        <v>88</v>
      </c>
      <c r="E249" s="5">
        <v>2021</v>
      </c>
      <c r="F249" s="5">
        <v>3</v>
      </c>
      <c r="G249" s="5" t="s">
        <v>24</v>
      </c>
      <c r="H249" s="5">
        <v>1036962</v>
      </c>
      <c r="I249" s="5">
        <v>912579.43</v>
      </c>
      <c r="J249" s="5">
        <v>16</v>
      </c>
      <c r="K249" s="5">
        <v>107359</v>
      </c>
      <c r="L249" s="5">
        <v>1141230</v>
      </c>
      <c r="M249" s="5">
        <v>124382.57</v>
      </c>
      <c r="N249" s="5">
        <v>0.11990000000000001</v>
      </c>
      <c r="O249" s="5">
        <v>2</v>
      </c>
      <c r="P249" s="5">
        <v>158894</v>
      </c>
    </row>
    <row r="250" spans="1:16" x14ac:dyDescent="0.3">
      <c r="A250" s="5">
        <v>60</v>
      </c>
      <c r="B250" s="5" t="s">
        <v>104</v>
      </c>
      <c r="C250" s="5">
        <v>2</v>
      </c>
      <c r="D250" s="5" t="s">
        <v>88</v>
      </c>
      <c r="E250" s="5">
        <v>2021</v>
      </c>
      <c r="F250" s="5">
        <v>4</v>
      </c>
      <c r="G250" s="5" t="s">
        <v>25</v>
      </c>
      <c r="H250" s="5">
        <v>1179510</v>
      </c>
      <c r="I250" s="5">
        <v>1044235.17</v>
      </c>
      <c r="J250" s="5">
        <v>15</v>
      </c>
      <c r="K250" s="5">
        <v>123590</v>
      </c>
      <c r="L250" s="5">
        <v>1300530</v>
      </c>
      <c r="M250" s="5">
        <v>135274.82999999999</v>
      </c>
      <c r="N250" s="5">
        <v>0.1147</v>
      </c>
      <c r="O250" s="5">
        <v>1</v>
      </c>
      <c r="P250" s="5">
        <v>52646</v>
      </c>
    </row>
    <row r="251" spans="1:16" x14ac:dyDescent="0.3">
      <c r="A251" s="5">
        <v>72</v>
      </c>
      <c r="B251" s="5" t="s">
        <v>104</v>
      </c>
      <c r="C251" s="5">
        <v>2</v>
      </c>
      <c r="D251" s="5" t="s">
        <v>88</v>
      </c>
      <c r="E251" s="5">
        <v>2021</v>
      </c>
      <c r="F251" s="5">
        <v>4</v>
      </c>
      <c r="G251" s="5" t="s">
        <v>25</v>
      </c>
      <c r="H251" s="5">
        <v>1114491</v>
      </c>
      <c r="I251" s="5">
        <v>904674.79</v>
      </c>
      <c r="J251" s="5">
        <v>18</v>
      </c>
      <c r="K251" s="5">
        <v>97559</v>
      </c>
      <c r="L251" s="5">
        <v>1209260</v>
      </c>
      <c r="M251" s="5">
        <v>209816.21</v>
      </c>
      <c r="N251" s="5">
        <v>0.1883</v>
      </c>
      <c r="O251" s="5">
        <v>3</v>
      </c>
      <c r="P251" s="5">
        <v>84982</v>
      </c>
    </row>
    <row r="252" spans="1:16" x14ac:dyDescent="0.3">
      <c r="A252" s="5">
        <v>60</v>
      </c>
      <c r="B252" s="5" t="s">
        <v>104</v>
      </c>
      <c r="C252" s="5">
        <v>2</v>
      </c>
      <c r="D252" s="5" t="s">
        <v>88</v>
      </c>
      <c r="E252" s="5">
        <v>2021</v>
      </c>
      <c r="F252" s="5">
        <v>5</v>
      </c>
      <c r="G252" s="5" t="s">
        <v>26</v>
      </c>
      <c r="H252" s="5">
        <v>782454</v>
      </c>
      <c r="I252" s="5">
        <v>690672.5</v>
      </c>
      <c r="J252" s="5">
        <v>13</v>
      </c>
      <c r="K252" s="5">
        <v>93618</v>
      </c>
      <c r="L252" s="5">
        <v>875400</v>
      </c>
      <c r="M252" s="5">
        <v>91781.5</v>
      </c>
      <c r="N252" s="5">
        <v>0.1173</v>
      </c>
      <c r="O252" s="5">
        <v>1</v>
      </c>
      <c r="P252" s="5">
        <v>35677</v>
      </c>
    </row>
    <row r="253" spans="1:16" x14ac:dyDescent="0.3">
      <c r="A253" s="5">
        <v>72</v>
      </c>
      <c r="B253" s="5" t="s">
        <v>104</v>
      </c>
      <c r="C253" s="5">
        <v>2</v>
      </c>
      <c r="D253" s="5" t="s">
        <v>88</v>
      </c>
      <c r="E253" s="5">
        <v>2021</v>
      </c>
      <c r="F253" s="5">
        <v>5</v>
      </c>
      <c r="G253" s="5" t="s">
        <v>26</v>
      </c>
      <c r="H253" s="5">
        <v>933825</v>
      </c>
      <c r="I253" s="5">
        <v>802640.26</v>
      </c>
      <c r="J253" s="5">
        <v>16</v>
      </c>
      <c r="K253" s="5">
        <v>119443</v>
      </c>
      <c r="L253" s="5">
        <v>1051710</v>
      </c>
      <c r="M253" s="5">
        <v>131184.74</v>
      </c>
      <c r="N253" s="5">
        <v>0.14050000000000001</v>
      </c>
      <c r="O253" s="5">
        <v>2</v>
      </c>
      <c r="P253" s="5">
        <v>10926</v>
      </c>
    </row>
    <row r="254" spans="1:16" x14ac:dyDescent="0.3">
      <c r="A254" s="5">
        <v>60</v>
      </c>
      <c r="B254" s="5" t="s">
        <v>104</v>
      </c>
      <c r="C254" s="5">
        <v>2</v>
      </c>
      <c r="D254" s="5" t="s">
        <v>88</v>
      </c>
      <c r="E254" s="5">
        <v>2021</v>
      </c>
      <c r="F254" s="5">
        <v>6</v>
      </c>
      <c r="G254" s="5" t="s">
        <v>27</v>
      </c>
      <c r="H254" s="5">
        <v>540063</v>
      </c>
      <c r="I254" s="5">
        <v>508606.61</v>
      </c>
      <c r="J254" s="5">
        <v>13</v>
      </c>
      <c r="K254" s="5">
        <v>147317</v>
      </c>
      <c r="L254" s="5">
        <v>686920</v>
      </c>
      <c r="M254" s="5">
        <v>31456.39</v>
      </c>
      <c r="N254" s="5">
        <v>5.8200000000000002E-2</v>
      </c>
      <c r="O254" s="5">
        <v>1</v>
      </c>
      <c r="P254" s="5">
        <v>4301</v>
      </c>
    </row>
    <row r="255" spans="1:16" x14ac:dyDescent="0.3">
      <c r="A255" s="5">
        <v>72</v>
      </c>
      <c r="B255" s="5" t="s">
        <v>104</v>
      </c>
      <c r="C255" s="5">
        <v>2</v>
      </c>
      <c r="D255" s="5" t="s">
        <v>88</v>
      </c>
      <c r="E255" s="5">
        <v>2021</v>
      </c>
      <c r="F255" s="5">
        <v>6</v>
      </c>
      <c r="G255" s="5" t="s">
        <v>27</v>
      </c>
      <c r="H255" s="5">
        <v>1143763</v>
      </c>
      <c r="I255" s="5">
        <v>1005773.84</v>
      </c>
      <c r="J255" s="5">
        <v>15</v>
      </c>
      <c r="K255" s="5">
        <v>61293</v>
      </c>
      <c r="L255" s="5">
        <v>1198800</v>
      </c>
      <c r="M255" s="5">
        <v>137989.16</v>
      </c>
      <c r="N255" s="5">
        <v>0.1206</v>
      </c>
      <c r="O255" s="5">
        <v>0</v>
      </c>
      <c r="P255" s="5">
        <v>0</v>
      </c>
    </row>
    <row r="256" spans="1:16" x14ac:dyDescent="0.3">
      <c r="A256" s="5">
        <v>60</v>
      </c>
      <c r="B256" s="5" t="s">
        <v>104</v>
      </c>
      <c r="C256" s="5">
        <v>2</v>
      </c>
      <c r="D256" s="5" t="s">
        <v>88</v>
      </c>
      <c r="E256" s="5">
        <v>2021</v>
      </c>
      <c r="F256" s="5">
        <v>7</v>
      </c>
      <c r="G256" s="5" t="s">
        <v>28</v>
      </c>
      <c r="H256" s="5">
        <v>1290186</v>
      </c>
      <c r="I256" s="5">
        <v>1268639.3700000001</v>
      </c>
      <c r="J256" s="5">
        <v>20</v>
      </c>
      <c r="K256" s="5">
        <v>327706</v>
      </c>
      <c r="L256" s="5">
        <v>1614730</v>
      </c>
      <c r="M256" s="5">
        <v>21546.63</v>
      </c>
      <c r="N256" s="5">
        <v>1.67E-2</v>
      </c>
      <c r="O256" s="5">
        <v>2</v>
      </c>
      <c r="P256" s="5">
        <v>13761</v>
      </c>
    </row>
    <row r="257" spans="1:16" x14ac:dyDescent="0.3">
      <c r="A257" s="5">
        <v>72</v>
      </c>
      <c r="B257" s="5" t="s">
        <v>104</v>
      </c>
      <c r="C257" s="5">
        <v>2</v>
      </c>
      <c r="D257" s="5" t="s">
        <v>88</v>
      </c>
      <c r="E257" s="5">
        <v>2021</v>
      </c>
      <c r="F257" s="5">
        <v>7</v>
      </c>
      <c r="G257" s="5" t="s">
        <v>28</v>
      </c>
      <c r="H257" s="5">
        <v>355467</v>
      </c>
      <c r="I257" s="5">
        <v>303538.34999999998</v>
      </c>
      <c r="J257" s="5">
        <v>11</v>
      </c>
      <c r="K257" s="5">
        <v>71298</v>
      </c>
      <c r="L257" s="5">
        <v>426220</v>
      </c>
      <c r="M257" s="5">
        <v>51928.65</v>
      </c>
      <c r="N257" s="5">
        <v>0.14610000000000001</v>
      </c>
      <c r="O257" s="5">
        <v>1</v>
      </c>
      <c r="P257" s="5">
        <v>121531</v>
      </c>
    </row>
    <row r="258" spans="1:16" x14ac:dyDescent="0.3">
      <c r="A258" s="5">
        <v>60</v>
      </c>
      <c r="B258" s="5" t="s">
        <v>104</v>
      </c>
      <c r="C258" s="5">
        <v>2</v>
      </c>
      <c r="D258" s="5" t="s">
        <v>88</v>
      </c>
      <c r="E258" s="5">
        <v>2021</v>
      </c>
      <c r="F258" s="5">
        <v>8</v>
      </c>
      <c r="G258" s="5" t="s">
        <v>29</v>
      </c>
      <c r="H258" s="5">
        <v>1147116</v>
      </c>
      <c r="I258" s="5">
        <v>934344.05</v>
      </c>
      <c r="J258" s="5">
        <v>18</v>
      </c>
      <c r="K258" s="5">
        <v>61492</v>
      </c>
      <c r="L258" s="5">
        <v>1199290</v>
      </c>
      <c r="M258" s="5">
        <v>212771.95</v>
      </c>
      <c r="N258" s="5">
        <v>0.1855</v>
      </c>
      <c r="O258" s="5">
        <v>1</v>
      </c>
      <c r="P258" s="5">
        <v>40774</v>
      </c>
    </row>
    <row r="259" spans="1:16" x14ac:dyDescent="0.3">
      <c r="A259" s="5">
        <v>72</v>
      </c>
      <c r="B259" s="5" t="s">
        <v>104</v>
      </c>
      <c r="C259" s="5">
        <v>2</v>
      </c>
      <c r="D259" s="5" t="s">
        <v>88</v>
      </c>
      <c r="E259" s="5">
        <v>2021</v>
      </c>
      <c r="F259" s="5">
        <v>8</v>
      </c>
      <c r="G259" s="5" t="s">
        <v>29</v>
      </c>
      <c r="H259" s="5">
        <v>1681697</v>
      </c>
      <c r="I259" s="5">
        <v>1414286.58</v>
      </c>
      <c r="J259" s="5">
        <v>17</v>
      </c>
      <c r="K259" s="5">
        <v>142223</v>
      </c>
      <c r="L259" s="5">
        <v>1817190</v>
      </c>
      <c r="M259" s="5">
        <v>267410.42</v>
      </c>
      <c r="N259" s="5">
        <v>0.159</v>
      </c>
      <c r="O259" s="5">
        <v>2</v>
      </c>
      <c r="P259" s="5">
        <v>170158</v>
      </c>
    </row>
    <row r="260" spans="1:16" x14ac:dyDescent="0.3">
      <c r="A260" s="5">
        <v>60</v>
      </c>
      <c r="B260" s="5" t="s">
        <v>104</v>
      </c>
      <c r="C260" s="5">
        <v>2</v>
      </c>
      <c r="D260" s="5" t="s">
        <v>88</v>
      </c>
      <c r="E260" s="5">
        <v>2021</v>
      </c>
      <c r="F260" s="5">
        <v>9</v>
      </c>
      <c r="G260" s="5" t="s">
        <v>30</v>
      </c>
      <c r="H260" s="5">
        <v>1261692</v>
      </c>
      <c r="I260" s="5">
        <v>1058365.4399999999</v>
      </c>
      <c r="J260" s="5">
        <v>20</v>
      </c>
      <c r="K260" s="5">
        <v>109518</v>
      </c>
      <c r="L260" s="5">
        <v>1365590</v>
      </c>
      <c r="M260" s="5">
        <v>203326.56</v>
      </c>
      <c r="N260" s="5">
        <v>0.16120000000000001</v>
      </c>
      <c r="O260" s="5">
        <v>1</v>
      </c>
      <c r="P260" s="5">
        <v>38816</v>
      </c>
    </row>
    <row r="261" spans="1:16" x14ac:dyDescent="0.3">
      <c r="A261" s="5">
        <v>72</v>
      </c>
      <c r="B261" s="5" t="s">
        <v>104</v>
      </c>
      <c r="C261" s="5">
        <v>2</v>
      </c>
      <c r="D261" s="5" t="s">
        <v>88</v>
      </c>
      <c r="E261" s="5">
        <v>2021</v>
      </c>
      <c r="F261" s="5">
        <v>9</v>
      </c>
      <c r="G261" s="5" t="s">
        <v>30</v>
      </c>
      <c r="H261" s="5">
        <v>1073135</v>
      </c>
      <c r="I261" s="5">
        <v>915756</v>
      </c>
      <c r="J261" s="5">
        <v>14</v>
      </c>
      <c r="K261" s="5">
        <v>103194</v>
      </c>
      <c r="L261" s="5">
        <v>1171370</v>
      </c>
      <c r="M261" s="5">
        <v>157379</v>
      </c>
      <c r="N261" s="5">
        <v>0.1467</v>
      </c>
      <c r="O261" s="5">
        <v>2</v>
      </c>
      <c r="P261" s="5">
        <v>287634</v>
      </c>
    </row>
    <row r="262" spans="1:16" x14ac:dyDescent="0.3">
      <c r="A262" s="5">
        <v>60</v>
      </c>
      <c r="B262" s="5" t="s">
        <v>104</v>
      </c>
      <c r="C262" s="5">
        <v>2</v>
      </c>
      <c r="D262" s="5" t="s">
        <v>88</v>
      </c>
      <c r="E262" s="5">
        <v>2021</v>
      </c>
      <c r="F262" s="5">
        <v>10</v>
      </c>
      <c r="G262" s="5" t="s">
        <v>31</v>
      </c>
      <c r="H262" s="5">
        <v>896485</v>
      </c>
      <c r="I262" s="5">
        <v>718173.3</v>
      </c>
      <c r="J262" s="5">
        <v>19</v>
      </c>
      <c r="K262" s="5">
        <v>54019</v>
      </c>
      <c r="L262" s="5">
        <v>946900</v>
      </c>
      <c r="M262" s="5">
        <v>178311.7</v>
      </c>
      <c r="N262" s="5">
        <v>0.19889999999999999</v>
      </c>
      <c r="O262" s="5">
        <v>3</v>
      </c>
      <c r="P262" s="5">
        <v>9983</v>
      </c>
    </row>
    <row r="263" spans="1:16" x14ac:dyDescent="0.3">
      <c r="A263" s="5">
        <v>72</v>
      </c>
      <c r="B263" s="5" t="s">
        <v>104</v>
      </c>
      <c r="C263" s="5">
        <v>2</v>
      </c>
      <c r="D263" s="5" t="s">
        <v>88</v>
      </c>
      <c r="E263" s="5">
        <v>2021</v>
      </c>
      <c r="F263" s="5">
        <v>10</v>
      </c>
      <c r="G263" s="5" t="s">
        <v>31</v>
      </c>
      <c r="H263" s="5">
        <v>1973785</v>
      </c>
      <c r="I263" s="5">
        <v>1693177.97</v>
      </c>
      <c r="J263" s="5">
        <v>23</v>
      </c>
      <c r="K263" s="5">
        <v>225921</v>
      </c>
      <c r="L263" s="5">
        <v>2198510</v>
      </c>
      <c r="M263" s="5">
        <v>280607.03000000003</v>
      </c>
      <c r="N263" s="5">
        <v>0.14219999999999999</v>
      </c>
      <c r="O263" s="5">
        <v>3</v>
      </c>
      <c r="P263" s="5">
        <v>157735</v>
      </c>
    </row>
    <row r="264" spans="1:16" x14ac:dyDescent="0.3">
      <c r="A264" s="5">
        <v>60</v>
      </c>
      <c r="B264" s="5" t="s">
        <v>104</v>
      </c>
      <c r="C264" s="5">
        <v>2</v>
      </c>
      <c r="D264" s="5" t="s">
        <v>88</v>
      </c>
      <c r="E264" s="5">
        <v>2021</v>
      </c>
      <c r="F264" s="5">
        <v>11</v>
      </c>
      <c r="G264" s="5" t="s">
        <v>32</v>
      </c>
      <c r="H264" s="5">
        <v>2842147</v>
      </c>
      <c r="I264" s="5">
        <v>2391836.85</v>
      </c>
      <c r="J264" s="5">
        <v>35</v>
      </c>
      <c r="K264" s="5">
        <v>176274</v>
      </c>
      <c r="L264" s="5">
        <v>3007350</v>
      </c>
      <c r="M264" s="5">
        <v>450310.15</v>
      </c>
      <c r="N264" s="5">
        <v>0.15840000000000001</v>
      </c>
      <c r="O264" s="5">
        <v>4</v>
      </c>
      <c r="P264" s="5">
        <v>160682</v>
      </c>
    </row>
    <row r="265" spans="1:16" x14ac:dyDescent="0.3">
      <c r="A265" s="5">
        <v>72</v>
      </c>
      <c r="B265" s="5" t="s">
        <v>104</v>
      </c>
      <c r="C265" s="5">
        <v>2</v>
      </c>
      <c r="D265" s="5" t="s">
        <v>88</v>
      </c>
      <c r="E265" s="5">
        <v>2021</v>
      </c>
      <c r="F265" s="5">
        <v>11</v>
      </c>
      <c r="G265" s="5" t="s">
        <v>32</v>
      </c>
      <c r="H265" s="5">
        <v>2105366</v>
      </c>
      <c r="I265" s="5">
        <v>1773218.79</v>
      </c>
      <c r="J265" s="5">
        <v>24</v>
      </c>
      <c r="K265" s="5">
        <v>154400</v>
      </c>
      <c r="L265" s="5">
        <v>2246980</v>
      </c>
      <c r="M265" s="5">
        <v>332147.21000000002</v>
      </c>
      <c r="N265" s="5">
        <v>0.1578</v>
      </c>
      <c r="O265" s="5">
        <v>2</v>
      </c>
      <c r="P265" s="5">
        <v>21190</v>
      </c>
    </row>
    <row r="266" spans="1:16" x14ac:dyDescent="0.3">
      <c r="A266" s="5">
        <v>60</v>
      </c>
      <c r="B266" s="5" t="s">
        <v>104</v>
      </c>
      <c r="C266" s="5">
        <v>2</v>
      </c>
      <c r="D266" s="5" t="s">
        <v>88</v>
      </c>
      <c r="E266" s="5">
        <v>2021</v>
      </c>
      <c r="F266" s="5">
        <v>12</v>
      </c>
      <c r="G266" s="5" t="s">
        <v>33</v>
      </c>
      <c r="H266" s="5">
        <v>953955</v>
      </c>
      <c r="I266" s="5">
        <v>762634.36</v>
      </c>
      <c r="J266" s="5">
        <v>16</v>
      </c>
      <c r="K266" s="5">
        <v>58082</v>
      </c>
      <c r="L266" s="5">
        <v>1007760</v>
      </c>
      <c r="M266" s="5">
        <v>191320.64</v>
      </c>
      <c r="N266" s="5">
        <v>0.2006</v>
      </c>
      <c r="O266" s="5">
        <v>1</v>
      </c>
      <c r="P266" s="5">
        <v>9530</v>
      </c>
    </row>
    <row r="267" spans="1:16" x14ac:dyDescent="0.3">
      <c r="A267" s="5">
        <v>72</v>
      </c>
      <c r="B267" s="5" t="s">
        <v>104</v>
      </c>
      <c r="C267" s="5">
        <v>2</v>
      </c>
      <c r="D267" s="5" t="s">
        <v>88</v>
      </c>
      <c r="E267" s="5">
        <v>2021</v>
      </c>
      <c r="F267" s="5">
        <v>12</v>
      </c>
      <c r="G267" s="5" t="s">
        <v>33</v>
      </c>
      <c r="H267" s="5">
        <v>1556961</v>
      </c>
      <c r="I267" s="5">
        <v>1406499.95</v>
      </c>
      <c r="J267" s="5">
        <v>19</v>
      </c>
      <c r="K267" s="5">
        <v>194597</v>
      </c>
      <c r="L267" s="5">
        <v>1746630</v>
      </c>
      <c r="M267" s="5">
        <v>150461.04999999999</v>
      </c>
      <c r="N267" s="5">
        <v>9.6600000000000005E-2</v>
      </c>
      <c r="O267" s="5">
        <v>2</v>
      </c>
      <c r="P267" s="5">
        <v>91357</v>
      </c>
    </row>
    <row r="268" spans="1:16" x14ac:dyDescent="0.3">
      <c r="A268" s="5">
        <v>60</v>
      </c>
      <c r="B268" s="5" t="s">
        <v>104</v>
      </c>
      <c r="C268" s="5">
        <v>2</v>
      </c>
      <c r="D268" s="5" t="s">
        <v>88</v>
      </c>
      <c r="E268" s="5">
        <v>2022</v>
      </c>
      <c r="F268" s="5">
        <v>1</v>
      </c>
      <c r="G268" s="5" t="s">
        <v>34</v>
      </c>
      <c r="H268" s="5">
        <v>900638</v>
      </c>
      <c r="I268" s="5">
        <v>761836.52</v>
      </c>
      <c r="J268" s="5">
        <v>16</v>
      </c>
      <c r="K268" s="5">
        <v>60083</v>
      </c>
      <c r="L268" s="5">
        <v>956690</v>
      </c>
      <c r="M268" s="5">
        <v>138801.48000000001</v>
      </c>
      <c r="N268" s="5">
        <v>0.15409999999999999</v>
      </c>
      <c r="O268" s="5">
        <v>2</v>
      </c>
      <c r="P268" s="5">
        <v>5693</v>
      </c>
    </row>
    <row r="269" spans="1:16" x14ac:dyDescent="0.3">
      <c r="A269" s="5">
        <v>72</v>
      </c>
      <c r="B269" s="5" t="s">
        <v>104</v>
      </c>
      <c r="C269" s="5">
        <v>2</v>
      </c>
      <c r="D269" s="5" t="s">
        <v>88</v>
      </c>
      <c r="E269" s="5">
        <v>2022</v>
      </c>
      <c r="F269" s="5">
        <v>1</v>
      </c>
      <c r="G269" s="5" t="s">
        <v>34</v>
      </c>
      <c r="H269" s="5">
        <v>1260327</v>
      </c>
      <c r="I269" s="5">
        <v>1036469.74</v>
      </c>
      <c r="J269" s="5">
        <v>22</v>
      </c>
      <c r="K269" s="5">
        <v>53039</v>
      </c>
      <c r="L269" s="5">
        <v>1310700</v>
      </c>
      <c r="M269" s="5">
        <v>223857.26</v>
      </c>
      <c r="N269" s="5">
        <v>0.17760000000000001</v>
      </c>
      <c r="O269" s="5">
        <v>3</v>
      </c>
      <c r="P269" s="5">
        <v>83166</v>
      </c>
    </row>
    <row r="270" spans="1:16" x14ac:dyDescent="0.3">
      <c r="A270" s="5">
        <v>60</v>
      </c>
      <c r="B270" s="5" t="s">
        <v>104</v>
      </c>
      <c r="C270" s="5">
        <v>2</v>
      </c>
      <c r="D270" s="5" t="s">
        <v>88</v>
      </c>
      <c r="E270" s="5">
        <v>2022</v>
      </c>
      <c r="F270" s="5">
        <v>2</v>
      </c>
      <c r="G270" s="5" t="s">
        <v>35</v>
      </c>
      <c r="H270" s="5">
        <v>736649</v>
      </c>
      <c r="I270" s="5">
        <v>635249.30000000005</v>
      </c>
      <c r="J270" s="5">
        <v>11</v>
      </c>
      <c r="K270" s="5">
        <v>103426</v>
      </c>
      <c r="L270" s="5">
        <v>835190</v>
      </c>
      <c r="M270" s="5">
        <v>101399.7</v>
      </c>
      <c r="N270" s="5">
        <v>0.1376</v>
      </c>
      <c r="O270" s="5">
        <v>1</v>
      </c>
      <c r="P270" s="5">
        <v>3365</v>
      </c>
    </row>
    <row r="271" spans="1:16" x14ac:dyDescent="0.3">
      <c r="A271" s="5">
        <v>72</v>
      </c>
      <c r="B271" s="5" t="s">
        <v>104</v>
      </c>
      <c r="C271" s="5">
        <v>2</v>
      </c>
      <c r="D271" s="5" t="s">
        <v>88</v>
      </c>
      <c r="E271" s="5">
        <v>2022</v>
      </c>
      <c r="F271" s="5">
        <v>2</v>
      </c>
      <c r="G271" s="5" t="s">
        <v>35</v>
      </c>
      <c r="H271" s="5">
        <v>648807</v>
      </c>
      <c r="I271" s="5">
        <v>499633.63</v>
      </c>
      <c r="J271" s="5">
        <v>15</v>
      </c>
      <c r="K271" s="5">
        <v>36033</v>
      </c>
      <c r="L271" s="5">
        <v>679220</v>
      </c>
      <c r="M271" s="5">
        <v>149173.37</v>
      </c>
      <c r="N271" s="5">
        <v>0.22989999999999999</v>
      </c>
      <c r="O271" s="5">
        <v>1</v>
      </c>
      <c r="P271" s="5">
        <v>39658</v>
      </c>
    </row>
    <row r="272" spans="1:16" x14ac:dyDescent="0.3">
      <c r="A272" s="5">
        <v>60</v>
      </c>
      <c r="B272" s="5" t="s">
        <v>104</v>
      </c>
      <c r="C272" s="5">
        <v>2</v>
      </c>
      <c r="D272" s="5" t="s">
        <v>88</v>
      </c>
      <c r="E272" s="5">
        <v>2022</v>
      </c>
      <c r="F272" s="5">
        <v>3</v>
      </c>
      <c r="G272" s="5" t="s">
        <v>36</v>
      </c>
      <c r="H272" s="5">
        <v>944868</v>
      </c>
      <c r="I272" s="5">
        <v>762165.86</v>
      </c>
      <c r="J272" s="5">
        <v>18</v>
      </c>
      <c r="K272" s="5">
        <v>59231</v>
      </c>
      <c r="L272" s="5">
        <v>995260</v>
      </c>
      <c r="M272" s="5">
        <v>182702.14</v>
      </c>
      <c r="N272" s="5">
        <v>0.19339999999999999</v>
      </c>
      <c r="O272" s="5">
        <v>1</v>
      </c>
      <c r="P272" s="5">
        <v>15804</v>
      </c>
    </row>
    <row r="273" spans="1:16" x14ac:dyDescent="0.3">
      <c r="A273" s="5">
        <v>72</v>
      </c>
      <c r="B273" s="5" t="s">
        <v>104</v>
      </c>
      <c r="C273" s="5">
        <v>2</v>
      </c>
      <c r="D273" s="5" t="s">
        <v>88</v>
      </c>
      <c r="E273" s="5">
        <v>2022</v>
      </c>
      <c r="F273" s="5">
        <v>3</v>
      </c>
      <c r="G273" s="5" t="s">
        <v>36</v>
      </c>
      <c r="H273" s="5">
        <v>1959943</v>
      </c>
      <c r="I273" s="5">
        <v>1729725.85</v>
      </c>
      <c r="J273" s="5">
        <v>21</v>
      </c>
      <c r="K273" s="5">
        <v>267859</v>
      </c>
      <c r="L273" s="5">
        <v>2225360</v>
      </c>
      <c r="M273" s="5">
        <v>230217.15</v>
      </c>
      <c r="N273" s="5">
        <v>0.11749999999999999</v>
      </c>
      <c r="O273" s="5">
        <v>1</v>
      </c>
      <c r="P273" s="5">
        <v>1126</v>
      </c>
    </row>
    <row r="274" spans="1:16" x14ac:dyDescent="0.3">
      <c r="A274" s="5">
        <v>60</v>
      </c>
      <c r="B274" s="5" t="s">
        <v>104</v>
      </c>
      <c r="C274" s="5">
        <v>2</v>
      </c>
      <c r="D274" s="5" t="s">
        <v>88</v>
      </c>
      <c r="E274" s="5">
        <v>2022</v>
      </c>
      <c r="F274" s="5">
        <v>4</v>
      </c>
      <c r="G274" s="5" t="s">
        <v>37</v>
      </c>
      <c r="H274" s="5">
        <v>1193400</v>
      </c>
      <c r="I274" s="5">
        <v>977654.94</v>
      </c>
      <c r="J274" s="5">
        <v>22</v>
      </c>
      <c r="K274" s="5">
        <v>103835</v>
      </c>
      <c r="L274" s="5">
        <v>1292380</v>
      </c>
      <c r="M274" s="5">
        <v>215745.06</v>
      </c>
      <c r="N274" s="5">
        <v>0.18079999999999999</v>
      </c>
      <c r="O274" s="5">
        <v>2</v>
      </c>
      <c r="P274" s="5">
        <v>43605</v>
      </c>
    </row>
    <row r="275" spans="1:16" x14ac:dyDescent="0.3">
      <c r="A275" s="5">
        <v>72</v>
      </c>
      <c r="B275" s="5" t="s">
        <v>104</v>
      </c>
      <c r="C275" s="5">
        <v>2</v>
      </c>
      <c r="D275" s="5" t="s">
        <v>88</v>
      </c>
      <c r="E275" s="5">
        <v>2022</v>
      </c>
      <c r="F275" s="5">
        <v>4</v>
      </c>
      <c r="G275" s="5" t="s">
        <v>37</v>
      </c>
      <c r="H275" s="5">
        <v>651608</v>
      </c>
      <c r="I275" s="5">
        <v>513313.83</v>
      </c>
      <c r="J275" s="5">
        <v>16</v>
      </c>
      <c r="K275" s="5">
        <v>60539</v>
      </c>
      <c r="L275" s="5">
        <v>710700</v>
      </c>
      <c r="M275" s="5">
        <v>138294.17000000001</v>
      </c>
      <c r="N275" s="5">
        <v>0.2122</v>
      </c>
      <c r="O275" s="5">
        <v>4</v>
      </c>
      <c r="P275" s="5">
        <v>68462</v>
      </c>
    </row>
    <row r="276" spans="1:16" x14ac:dyDescent="0.3">
      <c r="A276" s="5">
        <v>60</v>
      </c>
      <c r="B276" s="5" t="s">
        <v>104</v>
      </c>
      <c r="C276" s="5">
        <v>2</v>
      </c>
      <c r="D276" s="5" t="s">
        <v>88</v>
      </c>
      <c r="E276" s="5">
        <v>2022</v>
      </c>
      <c r="F276" s="5">
        <v>5</v>
      </c>
      <c r="G276" s="5" t="s">
        <v>38</v>
      </c>
      <c r="H276" s="5">
        <v>502249</v>
      </c>
      <c r="I276" s="5">
        <v>442218.54</v>
      </c>
      <c r="J276" s="5">
        <v>17</v>
      </c>
      <c r="K276" s="5">
        <v>90690</v>
      </c>
      <c r="L276" s="5">
        <v>588580</v>
      </c>
      <c r="M276" s="5">
        <v>60030.46</v>
      </c>
      <c r="N276" s="5">
        <v>0.1195</v>
      </c>
      <c r="O276" s="5">
        <v>0</v>
      </c>
      <c r="P276" s="5">
        <v>0</v>
      </c>
    </row>
    <row r="277" spans="1:16" x14ac:dyDescent="0.3">
      <c r="A277" s="5">
        <v>72</v>
      </c>
      <c r="B277" s="5" t="s">
        <v>104</v>
      </c>
      <c r="C277" s="5">
        <v>2</v>
      </c>
      <c r="D277" s="5" t="s">
        <v>88</v>
      </c>
      <c r="E277" s="5">
        <v>2022</v>
      </c>
      <c r="F277" s="5">
        <v>5</v>
      </c>
      <c r="G277" s="5" t="s">
        <v>38</v>
      </c>
      <c r="H277" s="5">
        <v>1474551</v>
      </c>
      <c r="I277" s="5">
        <v>1314554.55</v>
      </c>
      <c r="J277" s="5">
        <v>18</v>
      </c>
      <c r="K277" s="5">
        <v>175566</v>
      </c>
      <c r="L277" s="5">
        <v>1649610</v>
      </c>
      <c r="M277" s="5">
        <v>159996.45000000001</v>
      </c>
      <c r="N277" s="5">
        <v>0.1085</v>
      </c>
      <c r="O277" s="5">
        <v>0</v>
      </c>
      <c r="P277" s="5">
        <v>0</v>
      </c>
    </row>
    <row r="278" spans="1:16" x14ac:dyDescent="0.3">
      <c r="A278" s="5">
        <v>60</v>
      </c>
      <c r="B278" s="5" t="s">
        <v>104</v>
      </c>
      <c r="C278" s="5">
        <v>2</v>
      </c>
      <c r="D278" s="5" t="s">
        <v>88</v>
      </c>
      <c r="E278" s="5">
        <v>2022</v>
      </c>
      <c r="F278" s="5">
        <v>6</v>
      </c>
      <c r="G278" s="5" t="s">
        <v>39</v>
      </c>
      <c r="H278" s="5">
        <v>902464</v>
      </c>
      <c r="I278" s="5">
        <v>818880.98</v>
      </c>
      <c r="J278" s="5">
        <v>16</v>
      </c>
      <c r="K278" s="5">
        <v>157181</v>
      </c>
      <c r="L278" s="5">
        <v>1054590</v>
      </c>
      <c r="M278" s="5">
        <v>83583.02</v>
      </c>
      <c r="N278" s="5">
        <v>9.2600000000000002E-2</v>
      </c>
      <c r="O278" s="5">
        <v>2</v>
      </c>
      <c r="P278" s="5">
        <v>105512</v>
      </c>
    </row>
    <row r="279" spans="1:16" x14ac:dyDescent="0.3">
      <c r="A279" s="5">
        <v>72</v>
      </c>
      <c r="B279" s="5" t="s">
        <v>104</v>
      </c>
      <c r="C279" s="5">
        <v>2</v>
      </c>
      <c r="D279" s="5" t="s">
        <v>88</v>
      </c>
      <c r="E279" s="5">
        <v>2022</v>
      </c>
      <c r="F279" s="5">
        <v>6</v>
      </c>
      <c r="G279" s="5" t="s">
        <v>39</v>
      </c>
      <c r="H279" s="5">
        <v>1306785</v>
      </c>
      <c r="I279" s="5">
        <v>1063404.49</v>
      </c>
      <c r="J279" s="5">
        <v>20</v>
      </c>
      <c r="K279" s="5">
        <v>117739</v>
      </c>
      <c r="L279" s="5">
        <v>1420720</v>
      </c>
      <c r="M279" s="5">
        <v>243380.51</v>
      </c>
      <c r="N279" s="5">
        <v>0.1862</v>
      </c>
      <c r="O279" s="5">
        <v>1</v>
      </c>
      <c r="P279" s="5">
        <v>1864</v>
      </c>
    </row>
    <row r="280" spans="1:16" x14ac:dyDescent="0.3">
      <c r="A280" s="5">
        <v>60</v>
      </c>
      <c r="B280" s="5" t="s">
        <v>104</v>
      </c>
      <c r="C280" s="5">
        <v>2</v>
      </c>
      <c r="D280" s="5" t="s">
        <v>88</v>
      </c>
      <c r="E280" s="5">
        <v>2022</v>
      </c>
      <c r="F280" s="5">
        <v>7</v>
      </c>
      <c r="G280" s="5" t="s">
        <v>40</v>
      </c>
      <c r="H280" s="5">
        <v>1003594</v>
      </c>
      <c r="I280" s="5">
        <v>863083.37</v>
      </c>
      <c r="J280" s="5">
        <v>21</v>
      </c>
      <c r="K280" s="5">
        <v>117342</v>
      </c>
      <c r="L280" s="5">
        <v>1118590</v>
      </c>
      <c r="M280" s="5">
        <v>140510.63</v>
      </c>
      <c r="N280" s="5">
        <v>0.14000000000000001</v>
      </c>
      <c r="O280" s="5">
        <v>2</v>
      </c>
      <c r="P280" s="5">
        <v>5739</v>
      </c>
    </row>
    <row r="281" spans="1:16" x14ac:dyDescent="0.3">
      <c r="A281" s="5">
        <v>72</v>
      </c>
      <c r="B281" s="5" t="s">
        <v>104</v>
      </c>
      <c r="C281" s="5">
        <v>2</v>
      </c>
      <c r="D281" s="5" t="s">
        <v>88</v>
      </c>
      <c r="E281" s="5">
        <v>2022</v>
      </c>
      <c r="F281" s="5">
        <v>7</v>
      </c>
      <c r="G281" s="5" t="s">
        <v>40</v>
      </c>
      <c r="H281" s="5">
        <v>1645426</v>
      </c>
      <c r="I281" s="5">
        <v>1418000.21</v>
      </c>
      <c r="J281" s="5">
        <v>22</v>
      </c>
      <c r="K281" s="5">
        <v>198434</v>
      </c>
      <c r="L281" s="5">
        <v>1837220</v>
      </c>
      <c r="M281" s="5">
        <v>227425.79</v>
      </c>
      <c r="N281" s="5">
        <v>0.13819999999999999</v>
      </c>
      <c r="O281" s="5">
        <v>6</v>
      </c>
      <c r="P281" s="5">
        <v>297161</v>
      </c>
    </row>
    <row r="282" spans="1:16" x14ac:dyDescent="0.3">
      <c r="A282" s="5">
        <v>60</v>
      </c>
      <c r="B282" s="5" t="s">
        <v>104</v>
      </c>
      <c r="C282" s="5">
        <v>2</v>
      </c>
      <c r="D282" s="5" t="s">
        <v>88</v>
      </c>
      <c r="E282" s="5">
        <v>2022</v>
      </c>
      <c r="F282" s="5">
        <v>8</v>
      </c>
      <c r="G282" s="5" t="s">
        <v>41</v>
      </c>
      <c r="H282" s="5">
        <v>882520</v>
      </c>
      <c r="I282" s="5">
        <v>801996.43</v>
      </c>
      <c r="J282" s="5">
        <v>19</v>
      </c>
      <c r="K282" s="5">
        <v>174232</v>
      </c>
      <c r="L282" s="5">
        <v>1050450</v>
      </c>
      <c r="M282" s="5">
        <v>80523.570000000007</v>
      </c>
      <c r="N282" s="5">
        <v>9.1200000000000003E-2</v>
      </c>
      <c r="O282" s="5">
        <v>3</v>
      </c>
      <c r="P282" s="5">
        <v>264107</v>
      </c>
    </row>
    <row r="283" spans="1:16" x14ac:dyDescent="0.3">
      <c r="A283" s="5">
        <v>72</v>
      </c>
      <c r="B283" s="5" t="s">
        <v>104</v>
      </c>
      <c r="C283" s="5">
        <v>2</v>
      </c>
      <c r="D283" s="5" t="s">
        <v>88</v>
      </c>
      <c r="E283" s="5">
        <v>2022</v>
      </c>
      <c r="F283" s="5">
        <v>8</v>
      </c>
      <c r="G283" s="5" t="s">
        <v>41</v>
      </c>
      <c r="H283" s="5">
        <v>1267679</v>
      </c>
      <c r="I283" s="5">
        <v>1167590.3500000001</v>
      </c>
      <c r="J283" s="5">
        <v>21</v>
      </c>
      <c r="K283" s="5">
        <v>194767</v>
      </c>
      <c r="L283" s="5">
        <v>1457120</v>
      </c>
      <c r="M283" s="5">
        <v>100088.65</v>
      </c>
      <c r="N283" s="5">
        <v>7.9000000000000001E-2</v>
      </c>
      <c r="O283" s="5">
        <v>0</v>
      </c>
      <c r="P283" s="5">
        <v>0</v>
      </c>
    </row>
    <row r="284" spans="1:16" x14ac:dyDescent="0.3">
      <c r="A284" s="5">
        <v>60</v>
      </c>
      <c r="B284" s="5" t="s">
        <v>104</v>
      </c>
      <c r="C284" s="5">
        <v>2</v>
      </c>
      <c r="D284" s="5" t="s">
        <v>88</v>
      </c>
      <c r="E284" s="5">
        <v>2022</v>
      </c>
      <c r="F284" s="5">
        <v>9</v>
      </c>
      <c r="G284" s="5" t="s">
        <v>42</v>
      </c>
      <c r="H284" s="5">
        <v>1552507</v>
      </c>
      <c r="I284" s="5">
        <v>1271451.6599999999</v>
      </c>
      <c r="J284" s="5">
        <v>29</v>
      </c>
      <c r="K284" s="5">
        <v>117962</v>
      </c>
      <c r="L284" s="5">
        <v>1664170</v>
      </c>
      <c r="M284" s="5">
        <v>281055.34000000003</v>
      </c>
      <c r="N284" s="5">
        <v>0.18099999999999999</v>
      </c>
      <c r="O284" s="5">
        <v>3</v>
      </c>
      <c r="P284" s="5">
        <v>6639</v>
      </c>
    </row>
    <row r="285" spans="1:16" x14ac:dyDescent="0.3">
      <c r="A285" s="5">
        <v>72</v>
      </c>
      <c r="B285" s="5" t="s">
        <v>104</v>
      </c>
      <c r="C285" s="5">
        <v>2</v>
      </c>
      <c r="D285" s="5" t="s">
        <v>88</v>
      </c>
      <c r="E285" s="5">
        <v>2022</v>
      </c>
      <c r="F285" s="5">
        <v>9</v>
      </c>
      <c r="G285" s="5" t="s">
        <v>42</v>
      </c>
      <c r="H285" s="5">
        <v>1634271</v>
      </c>
      <c r="I285" s="5">
        <v>1339497.96</v>
      </c>
      <c r="J285" s="5">
        <v>21</v>
      </c>
      <c r="K285" s="5">
        <v>176727</v>
      </c>
      <c r="L285" s="5">
        <v>1800600</v>
      </c>
      <c r="M285" s="5">
        <v>294773.03999999998</v>
      </c>
      <c r="N285" s="5">
        <v>0.1804</v>
      </c>
      <c r="O285" s="5">
        <v>2</v>
      </c>
      <c r="P285" s="5">
        <v>5555</v>
      </c>
    </row>
    <row r="286" spans="1:16" x14ac:dyDescent="0.3">
      <c r="A286" s="5">
        <v>60</v>
      </c>
      <c r="B286" s="5" t="s">
        <v>104</v>
      </c>
      <c r="C286" s="5">
        <v>2</v>
      </c>
      <c r="D286" s="5" t="s">
        <v>88</v>
      </c>
      <c r="E286" s="5">
        <v>2022</v>
      </c>
      <c r="F286" s="5">
        <v>10</v>
      </c>
      <c r="G286" s="5" t="s">
        <v>43</v>
      </c>
      <c r="H286" s="5">
        <v>2254555</v>
      </c>
      <c r="I286" s="5">
        <v>2118450.65</v>
      </c>
      <c r="J286" s="5">
        <v>29</v>
      </c>
      <c r="K286" s="5">
        <v>505843</v>
      </c>
      <c r="L286" s="5">
        <v>2757050</v>
      </c>
      <c r="M286" s="5">
        <v>136104.35</v>
      </c>
      <c r="N286" s="5">
        <v>6.0400000000000002E-2</v>
      </c>
      <c r="O286" s="5">
        <v>1</v>
      </c>
      <c r="P286" s="5">
        <v>30048</v>
      </c>
    </row>
    <row r="287" spans="1:16" x14ac:dyDescent="0.3">
      <c r="A287" s="5">
        <v>72</v>
      </c>
      <c r="B287" s="5" t="s">
        <v>104</v>
      </c>
      <c r="C287" s="5">
        <v>2</v>
      </c>
      <c r="D287" s="5" t="s">
        <v>88</v>
      </c>
      <c r="E287" s="5">
        <v>2022</v>
      </c>
      <c r="F287" s="5">
        <v>10</v>
      </c>
      <c r="G287" s="5" t="s">
        <v>43</v>
      </c>
      <c r="H287" s="5">
        <v>2977981</v>
      </c>
      <c r="I287" s="5">
        <v>2782572.85</v>
      </c>
      <c r="J287" s="5">
        <v>35</v>
      </c>
      <c r="K287" s="5">
        <v>670826</v>
      </c>
      <c r="L287" s="5">
        <v>3637570</v>
      </c>
      <c r="M287" s="5">
        <v>195408.15</v>
      </c>
      <c r="N287" s="5">
        <v>6.5600000000000006E-2</v>
      </c>
      <c r="O287" s="5">
        <v>4</v>
      </c>
      <c r="P287" s="5">
        <v>83329</v>
      </c>
    </row>
    <row r="288" spans="1:16" x14ac:dyDescent="0.3">
      <c r="A288" s="5">
        <v>60</v>
      </c>
      <c r="B288" s="5" t="s">
        <v>104</v>
      </c>
      <c r="C288" s="5">
        <v>2</v>
      </c>
      <c r="D288" s="5" t="s">
        <v>88</v>
      </c>
      <c r="E288" s="5">
        <v>2022</v>
      </c>
      <c r="F288" s="5">
        <v>11</v>
      </c>
      <c r="G288" s="5" t="s">
        <v>44</v>
      </c>
      <c r="H288" s="5">
        <v>1824455</v>
      </c>
      <c r="I288" s="5">
        <v>1450730.32</v>
      </c>
      <c r="J288" s="5">
        <v>31</v>
      </c>
      <c r="K288" s="5">
        <v>116902</v>
      </c>
      <c r="L288" s="5">
        <v>1932350</v>
      </c>
      <c r="M288" s="5">
        <v>373724.68</v>
      </c>
      <c r="N288" s="5">
        <v>0.20480000000000001</v>
      </c>
      <c r="O288" s="5">
        <v>0</v>
      </c>
      <c r="P288" s="5">
        <v>0</v>
      </c>
    </row>
    <row r="289" spans="1:16" x14ac:dyDescent="0.3">
      <c r="A289" s="5">
        <v>72</v>
      </c>
      <c r="B289" s="5" t="s">
        <v>104</v>
      </c>
      <c r="C289" s="5">
        <v>2</v>
      </c>
      <c r="D289" s="5" t="s">
        <v>88</v>
      </c>
      <c r="E289" s="5">
        <v>2022</v>
      </c>
      <c r="F289" s="5">
        <v>11</v>
      </c>
      <c r="G289" s="5" t="s">
        <v>44</v>
      </c>
      <c r="H289" s="5">
        <v>1671073</v>
      </c>
      <c r="I289" s="5">
        <v>1465694.46</v>
      </c>
      <c r="J289" s="5">
        <v>18</v>
      </c>
      <c r="K289" s="5">
        <v>171921</v>
      </c>
      <c r="L289" s="5">
        <v>1833900</v>
      </c>
      <c r="M289" s="5">
        <v>205378.54</v>
      </c>
      <c r="N289" s="5">
        <v>0.1229</v>
      </c>
      <c r="O289" s="5">
        <v>0</v>
      </c>
      <c r="P289" s="5">
        <v>0</v>
      </c>
    </row>
    <row r="290" spans="1:16" x14ac:dyDescent="0.3">
      <c r="A290" s="5">
        <v>60</v>
      </c>
      <c r="B290" s="5" t="s">
        <v>104</v>
      </c>
      <c r="C290" s="5">
        <v>2</v>
      </c>
      <c r="D290" s="5" t="s">
        <v>88</v>
      </c>
      <c r="E290" s="5">
        <v>2022</v>
      </c>
      <c r="F290" s="5">
        <v>12</v>
      </c>
      <c r="G290" s="5" t="s">
        <v>45</v>
      </c>
      <c r="H290" s="5">
        <v>2392991</v>
      </c>
      <c r="I290" s="5">
        <v>1947838.6</v>
      </c>
      <c r="J290" s="5">
        <v>38</v>
      </c>
      <c r="K290" s="5">
        <v>179126</v>
      </c>
      <c r="L290" s="5">
        <v>2567360</v>
      </c>
      <c r="M290" s="5">
        <v>445152.4</v>
      </c>
      <c r="N290" s="5">
        <v>0.186</v>
      </c>
      <c r="O290" s="5">
        <v>4</v>
      </c>
      <c r="P290" s="5">
        <v>109271</v>
      </c>
    </row>
    <row r="291" spans="1:16" x14ac:dyDescent="0.3">
      <c r="A291" s="5">
        <v>72</v>
      </c>
      <c r="B291" s="5" t="s">
        <v>104</v>
      </c>
      <c r="C291" s="5">
        <v>2</v>
      </c>
      <c r="D291" s="5" t="s">
        <v>88</v>
      </c>
      <c r="E291" s="5">
        <v>2022</v>
      </c>
      <c r="F291" s="5">
        <v>12</v>
      </c>
      <c r="G291" s="5" t="s">
        <v>45</v>
      </c>
      <c r="H291" s="5">
        <v>1810347</v>
      </c>
      <c r="I291" s="5">
        <v>1477796.07</v>
      </c>
      <c r="J291" s="5">
        <v>35</v>
      </c>
      <c r="K291" s="5">
        <v>142530</v>
      </c>
      <c r="L291" s="5">
        <v>1947860</v>
      </c>
      <c r="M291" s="5">
        <v>332550.93</v>
      </c>
      <c r="N291" s="5">
        <v>0.1837</v>
      </c>
      <c r="O291" s="5">
        <v>5</v>
      </c>
      <c r="P291" s="5">
        <v>109952</v>
      </c>
    </row>
    <row r="292" spans="1:16" x14ac:dyDescent="0.3">
      <c r="A292" s="5">
        <v>60</v>
      </c>
      <c r="B292" s="5" t="s">
        <v>104</v>
      </c>
      <c r="C292" s="5">
        <v>2</v>
      </c>
      <c r="D292" s="5" t="s">
        <v>88</v>
      </c>
      <c r="E292" s="5">
        <v>2023</v>
      </c>
      <c r="F292" s="5">
        <v>1</v>
      </c>
      <c r="G292" s="5" t="s">
        <v>46</v>
      </c>
      <c r="H292" s="5">
        <v>1528179</v>
      </c>
      <c r="I292" s="5">
        <v>1394045.62</v>
      </c>
      <c r="J292" s="5">
        <v>17</v>
      </c>
      <c r="K292" s="5">
        <v>194713</v>
      </c>
      <c r="L292" s="5">
        <v>1716550</v>
      </c>
      <c r="M292" s="5">
        <v>134133.38</v>
      </c>
      <c r="N292" s="5">
        <v>8.7800000000000003E-2</v>
      </c>
      <c r="O292" s="5">
        <v>3</v>
      </c>
      <c r="P292" s="5">
        <v>91066</v>
      </c>
    </row>
    <row r="293" spans="1:16" x14ac:dyDescent="0.3">
      <c r="A293" s="5">
        <v>72</v>
      </c>
      <c r="B293" s="5" t="s">
        <v>104</v>
      </c>
      <c r="C293" s="5">
        <v>2</v>
      </c>
      <c r="D293" s="5" t="s">
        <v>88</v>
      </c>
      <c r="E293" s="5">
        <v>2023</v>
      </c>
      <c r="F293" s="5">
        <v>1</v>
      </c>
      <c r="G293" s="5" t="s">
        <v>46</v>
      </c>
      <c r="H293" s="5">
        <v>1164167</v>
      </c>
      <c r="I293" s="5">
        <v>1036757.68</v>
      </c>
      <c r="J293" s="5">
        <v>30</v>
      </c>
      <c r="K293" s="5">
        <v>156936</v>
      </c>
      <c r="L293" s="5">
        <v>1318530</v>
      </c>
      <c r="M293" s="5">
        <v>127409.32</v>
      </c>
      <c r="N293" s="5">
        <v>0.1094</v>
      </c>
      <c r="O293" s="5">
        <v>1</v>
      </c>
      <c r="P293" s="5">
        <v>2872</v>
      </c>
    </row>
    <row r="294" spans="1:16" x14ac:dyDescent="0.3">
      <c r="A294" s="5">
        <v>60</v>
      </c>
      <c r="B294" s="5" t="s">
        <v>104</v>
      </c>
      <c r="C294" s="5">
        <v>2</v>
      </c>
      <c r="D294" s="5" t="s">
        <v>88</v>
      </c>
      <c r="E294" s="5">
        <v>2023</v>
      </c>
      <c r="F294" s="5">
        <v>2</v>
      </c>
      <c r="G294" s="5" t="s">
        <v>47</v>
      </c>
      <c r="H294" s="5">
        <v>2145824</v>
      </c>
      <c r="I294" s="5">
        <v>1770272.13</v>
      </c>
      <c r="J294" s="5">
        <v>26</v>
      </c>
      <c r="K294" s="5">
        <v>177385</v>
      </c>
      <c r="L294" s="5">
        <v>2313460</v>
      </c>
      <c r="M294" s="5">
        <v>375551.87</v>
      </c>
      <c r="N294" s="5">
        <v>0.17499999999999999</v>
      </c>
      <c r="O294" s="5">
        <v>3</v>
      </c>
      <c r="P294" s="5">
        <v>185647</v>
      </c>
    </row>
    <row r="295" spans="1:16" x14ac:dyDescent="0.3">
      <c r="A295" s="5">
        <v>72</v>
      </c>
      <c r="B295" s="5" t="s">
        <v>104</v>
      </c>
      <c r="C295" s="5">
        <v>2</v>
      </c>
      <c r="D295" s="5" t="s">
        <v>88</v>
      </c>
      <c r="E295" s="5">
        <v>2023</v>
      </c>
      <c r="F295" s="5">
        <v>2</v>
      </c>
      <c r="G295" s="5" t="s">
        <v>47</v>
      </c>
      <c r="H295" s="5">
        <v>857356</v>
      </c>
      <c r="I295" s="5">
        <v>765706.78</v>
      </c>
      <c r="J295" s="5">
        <v>16</v>
      </c>
      <c r="K295" s="5">
        <v>101013</v>
      </c>
      <c r="L295" s="5">
        <v>956300</v>
      </c>
      <c r="M295" s="5">
        <v>91649.22</v>
      </c>
      <c r="N295" s="5">
        <v>0.1069</v>
      </c>
      <c r="O295" s="5">
        <v>1</v>
      </c>
      <c r="P295" s="5">
        <v>289</v>
      </c>
    </row>
    <row r="296" spans="1:16" x14ac:dyDescent="0.3">
      <c r="A296" s="5">
        <v>60</v>
      </c>
      <c r="B296" s="5" t="s">
        <v>104</v>
      </c>
      <c r="C296" s="5">
        <v>2</v>
      </c>
      <c r="D296" s="5" t="s">
        <v>88</v>
      </c>
      <c r="E296" s="5">
        <v>2023</v>
      </c>
      <c r="F296" s="5">
        <v>3</v>
      </c>
      <c r="G296" s="5" t="s">
        <v>48</v>
      </c>
      <c r="H296" s="5">
        <v>1104988</v>
      </c>
      <c r="I296" s="5">
        <v>987845.16</v>
      </c>
      <c r="J296" s="5">
        <v>22</v>
      </c>
      <c r="K296" s="5">
        <v>173903</v>
      </c>
      <c r="L296" s="5">
        <v>1278600</v>
      </c>
      <c r="M296" s="5">
        <v>117142.84</v>
      </c>
      <c r="N296" s="5">
        <v>0.106</v>
      </c>
      <c r="O296" s="5">
        <v>3</v>
      </c>
      <c r="P296" s="5">
        <v>111777</v>
      </c>
    </row>
    <row r="297" spans="1:16" x14ac:dyDescent="0.3">
      <c r="A297" s="5">
        <v>72</v>
      </c>
      <c r="B297" s="5" t="s">
        <v>104</v>
      </c>
      <c r="C297" s="5">
        <v>2</v>
      </c>
      <c r="D297" s="5" t="s">
        <v>88</v>
      </c>
      <c r="E297" s="5">
        <v>2023</v>
      </c>
      <c r="F297" s="5">
        <v>3</v>
      </c>
      <c r="G297" s="5" t="s">
        <v>48</v>
      </c>
      <c r="H297" s="5">
        <v>1638805</v>
      </c>
      <c r="I297" s="5">
        <v>1477481.08</v>
      </c>
      <c r="J297" s="5">
        <v>28</v>
      </c>
      <c r="K297" s="5">
        <v>259485</v>
      </c>
      <c r="L297" s="5">
        <v>1894420</v>
      </c>
      <c r="M297" s="5">
        <v>161323.92000000001</v>
      </c>
      <c r="N297" s="5">
        <v>9.8400000000000001E-2</v>
      </c>
      <c r="O297" s="5">
        <v>4</v>
      </c>
      <c r="P297" s="5">
        <v>63418</v>
      </c>
    </row>
    <row r="298" spans="1:16" x14ac:dyDescent="0.3">
      <c r="A298" s="5">
        <v>60</v>
      </c>
      <c r="B298" s="5" t="s">
        <v>104</v>
      </c>
      <c r="C298" s="5">
        <v>2</v>
      </c>
      <c r="D298" s="5" t="s">
        <v>88</v>
      </c>
      <c r="E298" s="5">
        <v>2023</v>
      </c>
      <c r="F298" s="5">
        <v>4</v>
      </c>
      <c r="G298" s="5" t="s">
        <v>49</v>
      </c>
      <c r="H298" s="5">
        <v>1528457</v>
      </c>
      <c r="I298" s="5">
        <v>1381984.85</v>
      </c>
      <c r="J298" s="5">
        <v>22</v>
      </c>
      <c r="K298" s="5">
        <v>229726</v>
      </c>
      <c r="L298" s="5">
        <v>1753330</v>
      </c>
      <c r="M298" s="5">
        <v>146472.15</v>
      </c>
      <c r="N298" s="5">
        <v>9.5799999999999996E-2</v>
      </c>
      <c r="O298" s="5">
        <v>0</v>
      </c>
      <c r="P298" s="5">
        <v>0</v>
      </c>
    </row>
    <row r="299" spans="1:16" x14ac:dyDescent="0.3">
      <c r="A299" s="5">
        <v>72</v>
      </c>
      <c r="B299" s="5" t="s">
        <v>104</v>
      </c>
      <c r="C299" s="5">
        <v>2</v>
      </c>
      <c r="D299" s="5" t="s">
        <v>88</v>
      </c>
      <c r="E299" s="5">
        <v>2023</v>
      </c>
      <c r="F299" s="5">
        <v>4</v>
      </c>
      <c r="G299" s="5" t="s">
        <v>49</v>
      </c>
      <c r="H299" s="5">
        <v>1412284</v>
      </c>
      <c r="I299" s="5">
        <v>1213215.06</v>
      </c>
      <c r="J299" s="5">
        <v>26</v>
      </c>
      <c r="K299" s="5">
        <v>169905</v>
      </c>
      <c r="L299" s="5">
        <v>1578420</v>
      </c>
      <c r="M299" s="5">
        <v>199068.94</v>
      </c>
      <c r="N299" s="5">
        <v>0.14099999999999999</v>
      </c>
      <c r="O299" s="5">
        <v>5</v>
      </c>
      <c r="P299" s="5">
        <v>53300</v>
      </c>
    </row>
    <row r="300" spans="1:16" x14ac:dyDescent="0.3">
      <c r="A300" s="5">
        <v>60</v>
      </c>
      <c r="B300" s="5" t="s">
        <v>104</v>
      </c>
      <c r="C300" s="5">
        <v>2</v>
      </c>
      <c r="D300" s="5" t="s">
        <v>88</v>
      </c>
      <c r="E300" s="5">
        <v>2023</v>
      </c>
      <c r="F300" s="5">
        <v>5</v>
      </c>
      <c r="G300" s="5" t="s">
        <v>50</v>
      </c>
      <c r="H300" s="5">
        <v>2126616</v>
      </c>
      <c r="I300" s="5">
        <v>1834091.67</v>
      </c>
      <c r="J300" s="5">
        <v>18</v>
      </c>
      <c r="K300" s="5">
        <v>280018</v>
      </c>
      <c r="L300" s="5">
        <v>2394920</v>
      </c>
      <c r="M300" s="5">
        <v>292524.33</v>
      </c>
      <c r="N300" s="5">
        <v>0.1376</v>
      </c>
      <c r="O300" s="5">
        <v>5</v>
      </c>
      <c r="P300" s="5">
        <v>270865</v>
      </c>
    </row>
    <row r="301" spans="1:16" x14ac:dyDescent="0.3">
      <c r="A301" s="5">
        <v>72</v>
      </c>
      <c r="B301" s="5" t="s">
        <v>104</v>
      </c>
      <c r="C301" s="5">
        <v>2</v>
      </c>
      <c r="D301" s="5" t="s">
        <v>88</v>
      </c>
      <c r="E301" s="5">
        <v>2023</v>
      </c>
      <c r="F301" s="5">
        <v>5</v>
      </c>
      <c r="G301" s="5" t="s">
        <v>50</v>
      </c>
      <c r="H301" s="5">
        <v>2116104</v>
      </c>
      <c r="I301" s="5">
        <v>1779784.22</v>
      </c>
      <c r="J301" s="5">
        <v>32</v>
      </c>
      <c r="K301" s="5">
        <v>165060</v>
      </c>
      <c r="L301" s="5">
        <v>2278050</v>
      </c>
      <c r="M301" s="5">
        <v>336319.78</v>
      </c>
      <c r="N301" s="5">
        <v>0.15890000000000001</v>
      </c>
      <c r="O301" s="5">
        <v>4</v>
      </c>
      <c r="P301" s="5">
        <v>190818</v>
      </c>
    </row>
    <row r="302" spans="1:16" x14ac:dyDescent="0.3">
      <c r="A302" s="5">
        <v>60</v>
      </c>
      <c r="B302" s="5" t="s">
        <v>104</v>
      </c>
      <c r="C302" s="5">
        <v>2</v>
      </c>
      <c r="D302" s="5" t="s">
        <v>88</v>
      </c>
      <c r="E302" s="5">
        <v>2023</v>
      </c>
      <c r="F302" s="5">
        <v>6</v>
      </c>
      <c r="G302" s="5" t="s">
        <v>51</v>
      </c>
      <c r="H302" s="5">
        <v>2944502</v>
      </c>
      <c r="I302" s="5">
        <v>2505462.79</v>
      </c>
      <c r="J302" s="5">
        <v>34</v>
      </c>
      <c r="K302" s="5">
        <v>242480</v>
      </c>
      <c r="L302" s="5">
        <v>3169300</v>
      </c>
      <c r="M302" s="5">
        <v>439039.21</v>
      </c>
      <c r="N302" s="5">
        <v>0.14910000000000001</v>
      </c>
      <c r="O302" s="5">
        <v>1</v>
      </c>
      <c r="P302" s="5">
        <v>4953</v>
      </c>
    </row>
    <row r="303" spans="1:16" x14ac:dyDescent="0.3">
      <c r="A303" s="5">
        <v>72</v>
      </c>
      <c r="B303" s="5" t="s">
        <v>104</v>
      </c>
      <c r="C303" s="5">
        <v>2</v>
      </c>
      <c r="D303" s="5" t="s">
        <v>88</v>
      </c>
      <c r="E303" s="5">
        <v>2023</v>
      </c>
      <c r="F303" s="5">
        <v>6</v>
      </c>
      <c r="G303" s="5" t="s">
        <v>51</v>
      </c>
      <c r="H303" s="5">
        <v>1437212</v>
      </c>
      <c r="I303" s="5">
        <v>1225753.2</v>
      </c>
      <c r="J303" s="5">
        <v>27</v>
      </c>
      <c r="K303" s="5">
        <v>182317</v>
      </c>
      <c r="L303" s="5">
        <v>1617800</v>
      </c>
      <c r="M303" s="5">
        <v>211458.8</v>
      </c>
      <c r="N303" s="5">
        <v>0.14710000000000001</v>
      </c>
      <c r="O303" s="5">
        <v>2</v>
      </c>
      <c r="P303" s="5">
        <v>93787</v>
      </c>
    </row>
    <row r="304" spans="1:16" x14ac:dyDescent="0.3">
      <c r="A304" s="5">
        <v>60</v>
      </c>
      <c r="B304" s="5" t="s">
        <v>104</v>
      </c>
      <c r="C304" s="5">
        <v>2</v>
      </c>
      <c r="D304" s="5" t="s">
        <v>88</v>
      </c>
      <c r="E304" s="5">
        <v>2023</v>
      </c>
      <c r="F304" s="5">
        <v>7</v>
      </c>
      <c r="G304" s="5" t="s">
        <v>52</v>
      </c>
      <c r="H304" s="5">
        <v>1671248</v>
      </c>
      <c r="I304" s="5">
        <v>1465651.78</v>
      </c>
      <c r="J304" s="5">
        <v>31</v>
      </c>
      <c r="K304" s="5">
        <v>215796</v>
      </c>
      <c r="L304" s="5">
        <v>1882470</v>
      </c>
      <c r="M304" s="5">
        <v>205596.22</v>
      </c>
      <c r="N304" s="5">
        <v>0.123</v>
      </c>
      <c r="O304" s="5">
        <v>4</v>
      </c>
      <c r="P304" s="5">
        <v>163085</v>
      </c>
    </row>
    <row r="305" spans="1:16" x14ac:dyDescent="0.3">
      <c r="A305" s="5">
        <v>72</v>
      </c>
      <c r="B305" s="5" t="s">
        <v>104</v>
      </c>
      <c r="C305" s="5">
        <v>2</v>
      </c>
      <c r="D305" s="5" t="s">
        <v>88</v>
      </c>
      <c r="E305" s="5">
        <v>2023</v>
      </c>
      <c r="F305" s="5">
        <v>7</v>
      </c>
      <c r="G305" s="5" t="s">
        <v>52</v>
      </c>
      <c r="H305" s="5">
        <v>2084089</v>
      </c>
      <c r="I305" s="5">
        <v>1829483.68</v>
      </c>
      <c r="J305" s="5">
        <v>28</v>
      </c>
      <c r="K305" s="5">
        <v>236606</v>
      </c>
      <c r="L305" s="5">
        <v>2316960</v>
      </c>
      <c r="M305" s="5">
        <v>254605.32</v>
      </c>
      <c r="N305" s="5">
        <v>0.1222</v>
      </c>
      <c r="O305" s="5">
        <v>1</v>
      </c>
      <c r="P305" s="5">
        <v>71888</v>
      </c>
    </row>
    <row r="306" spans="1:16" x14ac:dyDescent="0.3">
      <c r="A306" s="5">
        <v>60</v>
      </c>
      <c r="B306" s="5" t="s">
        <v>104</v>
      </c>
      <c r="C306" s="5">
        <v>2</v>
      </c>
      <c r="D306" s="5" t="s">
        <v>88</v>
      </c>
      <c r="E306" s="5">
        <v>2023</v>
      </c>
      <c r="F306" s="5">
        <v>8</v>
      </c>
      <c r="G306" s="5" t="s">
        <v>53</v>
      </c>
      <c r="H306" s="5">
        <v>1640691</v>
      </c>
      <c r="I306" s="5">
        <v>1506160.22</v>
      </c>
      <c r="J306" s="5">
        <v>27</v>
      </c>
      <c r="K306" s="5">
        <v>240117</v>
      </c>
      <c r="L306" s="5">
        <v>1878480</v>
      </c>
      <c r="M306" s="5">
        <v>134530.78</v>
      </c>
      <c r="N306" s="5">
        <v>8.2000000000000003E-2</v>
      </c>
      <c r="O306" s="5">
        <v>3</v>
      </c>
      <c r="P306" s="5">
        <v>96826</v>
      </c>
    </row>
    <row r="307" spans="1:16" x14ac:dyDescent="0.3">
      <c r="A307" s="5">
        <v>72</v>
      </c>
      <c r="B307" s="5" t="s">
        <v>104</v>
      </c>
      <c r="C307" s="5">
        <v>2</v>
      </c>
      <c r="D307" s="5" t="s">
        <v>88</v>
      </c>
      <c r="E307" s="5">
        <v>2023</v>
      </c>
      <c r="F307" s="5">
        <v>8</v>
      </c>
      <c r="G307" s="5" t="s">
        <v>53</v>
      </c>
      <c r="H307" s="5">
        <v>2587712</v>
      </c>
      <c r="I307" s="5">
        <v>2322914.69</v>
      </c>
      <c r="J307" s="5">
        <v>32</v>
      </c>
      <c r="K307" s="5">
        <v>411319</v>
      </c>
      <c r="L307" s="5">
        <v>2995430</v>
      </c>
      <c r="M307" s="5">
        <v>264797.31</v>
      </c>
      <c r="N307" s="5">
        <v>0.1023</v>
      </c>
      <c r="O307" s="5">
        <v>2</v>
      </c>
      <c r="P307" s="5">
        <v>40902</v>
      </c>
    </row>
    <row r="308" spans="1:16" x14ac:dyDescent="0.3">
      <c r="A308" s="5">
        <v>60</v>
      </c>
      <c r="B308" s="5" t="s">
        <v>104</v>
      </c>
      <c r="C308" s="5">
        <v>2</v>
      </c>
      <c r="D308" s="5" t="s">
        <v>88</v>
      </c>
      <c r="E308" s="5">
        <v>2023</v>
      </c>
      <c r="F308" s="5">
        <v>9</v>
      </c>
      <c r="G308" s="5" t="s">
        <v>54</v>
      </c>
      <c r="H308" s="5">
        <v>1044962</v>
      </c>
      <c r="I308" s="5">
        <v>862861.02</v>
      </c>
      <c r="J308" s="5">
        <v>24</v>
      </c>
      <c r="K308" s="5">
        <v>102368</v>
      </c>
      <c r="L308" s="5">
        <v>1138070</v>
      </c>
      <c r="M308" s="5">
        <v>182100.98</v>
      </c>
      <c r="N308" s="5">
        <v>0.17430000000000001</v>
      </c>
      <c r="O308" s="5">
        <v>6</v>
      </c>
      <c r="P308" s="5">
        <v>85023</v>
      </c>
    </row>
    <row r="309" spans="1:16" x14ac:dyDescent="0.3">
      <c r="A309" s="5">
        <v>72</v>
      </c>
      <c r="B309" s="5" t="s">
        <v>104</v>
      </c>
      <c r="C309" s="5">
        <v>2</v>
      </c>
      <c r="D309" s="5" t="s">
        <v>88</v>
      </c>
      <c r="E309" s="5">
        <v>2023</v>
      </c>
      <c r="F309" s="5">
        <v>9</v>
      </c>
      <c r="G309" s="5" t="s">
        <v>54</v>
      </c>
      <c r="H309" s="5">
        <v>2061370</v>
      </c>
      <c r="I309" s="5">
        <v>1964059.06</v>
      </c>
      <c r="J309" s="5">
        <v>32</v>
      </c>
      <c r="K309" s="5">
        <v>408174</v>
      </c>
      <c r="L309" s="5">
        <v>2456170</v>
      </c>
      <c r="M309" s="5">
        <v>97310.94</v>
      </c>
      <c r="N309" s="5">
        <v>4.7199999999999999E-2</v>
      </c>
      <c r="O309" s="5">
        <v>4</v>
      </c>
      <c r="P309" s="5">
        <v>409982</v>
      </c>
    </row>
    <row r="310" spans="1:16" x14ac:dyDescent="0.3">
      <c r="A310" s="5">
        <v>60</v>
      </c>
      <c r="B310" s="5" t="s">
        <v>104</v>
      </c>
      <c r="C310" s="5">
        <v>2</v>
      </c>
      <c r="D310" s="5" t="s">
        <v>88</v>
      </c>
      <c r="E310" s="5">
        <v>2023</v>
      </c>
      <c r="F310" s="5">
        <v>10</v>
      </c>
      <c r="G310" s="5" t="s">
        <v>55</v>
      </c>
      <c r="H310" s="5">
        <v>1855641</v>
      </c>
      <c r="I310" s="5">
        <v>1541272.88</v>
      </c>
      <c r="J310" s="5">
        <v>36</v>
      </c>
      <c r="K310" s="5">
        <v>150513</v>
      </c>
      <c r="L310" s="5">
        <v>1997800</v>
      </c>
      <c r="M310" s="5">
        <v>314368.12</v>
      </c>
      <c r="N310" s="5">
        <v>0.1694</v>
      </c>
      <c r="O310" s="5">
        <v>2</v>
      </c>
      <c r="P310" s="5">
        <v>15864</v>
      </c>
    </row>
    <row r="311" spans="1:16" x14ac:dyDescent="0.3">
      <c r="A311" s="5">
        <v>72</v>
      </c>
      <c r="B311" s="5" t="s">
        <v>104</v>
      </c>
      <c r="C311" s="5">
        <v>2</v>
      </c>
      <c r="D311" s="5" t="s">
        <v>88</v>
      </c>
      <c r="E311" s="5">
        <v>2023</v>
      </c>
      <c r="F311" s="5">
        <v>10</v>
      </c>
      <c r="G311" s="5" t="s">
        <v>55</v>
      </c>
      <c r="H311" s="5">
        <v>2294183</v>
      </c>
      <c r="I311" s="5">
        <v>1902703.85</v>
      </c>
      <c r="J311" s="5">
        <v>44</v>
      </c>
      <c r="K311" s="5">
        <v>190328</v>
      </c>
      <c r="L311" s="5">
        <v>2477070</v>
      </c>
      <c r="M311" s="5">
        <v>391479.15</v>
      </c>
      <c r="N311" s="5">
        <v>0.1706</v>
      </c>
      <c r="O311" s="5">
        <v>4</v>
      </c>
      <c r="P311" s="5">
        <v>106570</v>
      </c>
    </row>
    <row r="312" spans="1:16" x14ac:dyDescent="0.3">
      <c r="A312" s="5">
        <v>60</v>
      </c>
      <c r="B312" s="5" t="s">
        <v>104</v>
      </c>
      <c r="C312" s="5">
        <v>2</v>
      </c>
      <c r="D312" s="5" t="s">
        <v>88</v>
      </c>
      <c r="E312" s="5">
        <v>2023</v>
      </c>
      <c r="F312" s="5">
        <v>11</v>
      </c>
      <c r="G312" s="5" t="s">
        <v>56</v>
      </c>
      <c r="H312" s="5">
        <v>3354951</v>
      </c>
      <c r="I312" s="5">
        <v>3242611.86</v>
      </c>
      <c r="J312" s="5">
        <v>47</v>
      </c>
      <c r="K312" s="5">
        <v>755442</v>
      </c>
      <c r="L312" s="5">
        <v>4102580</v>
      </c>
      <c r="M312" s="5">
        <v>112339.14</v>
      </c>
      <c r="N312" s="5">
        <v>3.3500000000000002E-2</v>
      </c>
      <c r="O312" s="5">
        <v>2</v>
      </c>
      <c r="P312" s="5">
        <v>12968</v>
      </c>
    </row>
    <row r="313" spans="1:16" x14ac:dyDescent="0.3">
      <c r="A313" s="5">
        <v>72</v>
      </c>
      <c r="B313" s="5" t="s">
        <v>104</v>
      </c>
      <c r="C313" s="5">
        <v>2</v>
      </c>
      <c r="D313" s="5" t="s">
        <v>88</v>
      </c>
      <c r="E313" s="5">
        <v>2023</v>
      </c>
      <c r="F313" s="5">
        <v>11</v>
      </c>
      <c r="G313" s="5" t="s">
        <v>56</v>
      </c>
      <c r="H313" s="5">
        <v>2586116</v>
      </c>
      <c r="I313" s="5">
        <v>2100042.88</v>
      </c>
      <c r="J313" s="5">
        <v>32</v>
      </c>
      <c r="K313" s="5">
        <v>166115</v>
      </c>
      <c r="L313" s="5">
        <v>2741420</v>
      </c>
      <c r="M313" s="5">
        <v>486073.12</v>
      </c>
      <c r="N313" s="5">
        <v>0.188</v>
      </c>
      <c r="O313" s="5">
        <v>2</v>
      </c>
      <c r="P313" s="5">
        <v>18259</v>
      </c>
    </row>
    <row r="314" spans="1:16" x14ac:dyDescent="0.3">
      <c r="A314" s="5">
        <v>60</v>
      </c>
      <c r="B314" s="5" t="s">
        <v>104</v>
      </c>
      <c r="C314" s="5">
        <v>2</v>
      </c>
      <c r="D314" s="5" t="s">
        <v>88</v>
      </c>
      <c r="E314" s="5">
        <v>2023</v>
      </c>
      <c r="F314" s="5">
        <v>12</v>
      </c>
      <c r="G314" s="5" t="s">
        <v>57</v>
      </c>
      <c r="H314" s="5">
        <v>3603930</v>
      </c>
      <c r="I314" s="5">
        <v>3336297.75</v>
      </c>
      <c r="J314" s="5">
        <v>49</v>
      </c>
      <c r="K314" s="5">
        <v>717120</v>
      </c>
      <c r="L314" s="5">
        <v>4313140</v>
      </c>
      <c r="M314" s="5">
        <v>267632.25</v>
      </c>
      <c r="N314" s="5">
        <v>7.4300000000000005E-2</v>
      </c>
      <c r="O314" s="5">
        <v>4</v>
      </c>
      <c r="P314" s="5">
        <v>57139</v>
      </c>
    </row>
    <row r="315" spans="1:16" x14ac:dyDescent="0.3">
      <c r="A315" s="5">
        <v>72</v>
      </c>
      <c r="B315" s="5" t="s">
        <v>104</v>
      </c>
      <c r="C315" s="5">
        <v>2</v>
      </c>
      <c r="D315" s="5" t="s">
        <v>88</v>
      </c>
      <c r="E315" s="5">
        <v>2023</v>
      </c>
      <c r="F315" s="5">
        <v>12</v>
      </c>
      <c r="G315" s="5" t="s">
        <v>57</v>
      </c>
      <c r="H315" s="5">
        <v>4178725</v>
      </c>
      <c r="I315" s="5">
        <v>3899276.47</v>
      </c>
      <c r="J315" s="5">
        <v>54</v>
      </c>
      <c r="K315" s="5">
        <v>819502</v>
      </c>
      <c r="L315" s="5">
        <v>4988470</v>
      </c>
      <c r="M315" s="5">
        <v>279448.53000000003</v>
      </c>
      <c r="N315" s="5">
        <v>6.6900000000000001E-2</v>
      </c>
      <c r="O315" s="5">
        <v>7</v>
      </c>
      <c r="P315" s="5">
        <v>119345</v>
      </c>
    </row>
    <row r="316" spans="1:16" x14ac:dyDescent="0.3">
      <c r="A316" s="5">
        <v>60</v>
      </c>
      <c r="B316" s="5" t="s">
        <v>104</v>
      </c>
      <c r="C316" s="5">
        <v>2</v>
      </c>
      <c r="D316" s="5" t="s">
        <v>88</v>
      </c>
      <c r="E316" s="5">
        <v>2024</v>
      </c>
      <c r="F316" s="5">
        <v>1</v>
      </c>
      <c r="G316" s="5" t="s">
        <v>58</v>
      </c>
      <c r="H316" s="5">
        <v>1860117</v>
      </c>
      <c r="I316" s="5">
        <v>1522803.7</v>
      </c>
      <c r="J316" s="5">
        <v>32</v>
      </c>
      <c r="K316" s="5">
        <v>141795</v>
      </c>
      <c r="L316" s="5">
        <v>1996750</v>
      </c>
      <c r="M316" s="5">
        <v>337313.3</v>
      </c>
      <c r="N316" s="5">
        <v>0.18129999999999999</v>
      </c>
      <c r="O316" s="5">
        <v>4</v>
      </c>
      <c r="P316" s="5">
        <v>116643</v>
      </c>
    </row>
    <row r="317" spans="1:16" x14ac:dyDescent="0.3">
      <c r="A317" s="5">
        <v>72</v>
      </c>
      <c r="B317" s="5" t="s">
        <v>104</v>
      </c>
      <c r="C317" s="5">
        <v>2</v>
      </c>
      <c r="D317" s="5" t="s">
        <v>88</v>
      </c>
      <c r="E317" s="5">
        <v>2024</v>
      </c>
      <c r="F317" s="5">
        <v>1</v>
      </c>
      <c r="G317" s="5" t="s">
        <v>58</v>
      </c>
      <c r="H317" s="5">
        <v>2724924</v>
      </c>
      <c r="I317" s="5">
        <v>2479026.16</v>
      </c>
      <c r="J317" s="5">
        <v>33</v>
      </c>
      <c r="K317" s="5">
        <v>439890</v>
      </c>
      <c r="L317" s="5">
        <v>3158560</v>
      </c>
      <c r="M317" s="5">
        <v>245897.84</v>
      </c>
      <c r="N317" s="5">
        <v>9.0200000000000002E-2</v>
      </c>
      <c r="O317" s="5">
        <v>1</v>
      </c>
      <c r="P317" s="5">
        <v>117864</v>
      </c>
    </row>
    <row r="318" spans="1:16" x14ac:dyDescent="0.3">
      <c r="A318" s="5">
        <v>60</v>
      </c>
      <c r="B318" s="5" t="s">
        <v>104</v>
      </c>
      <c r="C318" s="5">
        <v>2</v>
      </c>
      <c r="D318" s="5" t="s">
        <v>88</v>
      </c>
      <c r="E318" s="5">
        <v>2024</v>
      </c>
      <c r="F318" s="5">
        <v>2</v>
      </c>
      <c r="G318" s="5" t="s">
        <v>59</v>
      </c>
      <c r="H318" s="5">
        <v>1058770</v>
      </c>
      <c r="I318" s="5">
        <v>853558.43</v>
      </c>
      <c r="J318" s="5">
        <v>22</v>
      </c>
      <c r="K318" s="5">
        <v>113990</v>
      </c>
      <c r="L318" s="5">
        <v>1170630</v>
      </c>
      <c r="M318" s="5">
        <v>205211.57</v>
      </c>
      <c r="N318" s="5">
        <v>0.1938</v>
      </c>
      <c r="O318" s="5">
        <v>3</v>
      </c>
      <c r="P318" s="5">
        <v>43429</v>
      </c>
    </row>
    <row r="319" spans="1:16" x14ac:dyDescent="0.3">
      <c r="A319" s="5">
        <v>72</v>
      </c>
      <c r="B319" s="5" t="s">
        <v>104</v>
      </c>
      <c r="C319" s="5">
        <v>2</v>
      </c>
      <c r="D319" s="5" t="s">
        <v>88</v>
      </c>
      <c r="E319" s="5">
        <v>2024</v>
      </c>
      <c r="F319" s="5">
        <v>2</v>
      </c>
      <c r="G319" s="5" t="s">
        <v>59</v>
      </c>
      <c r="H319" s="5">
        <v>1351331</v>
      </c>
      <c r="I319" s="5">
        <v>1132653.31</v>
      </c>
      <c r="J319" s="5">
        <v>24</v>
      </c>
      <c r="K319" s="5">
        <v>152399</v>
      </c>
      <c r="L319" s="5">
        <v>1500320</v>
      </c>
      <c r="M319" s="5">
        <v>218677.69</v>
      </c>
      <c r="N319" s="5">
        <v>0.1618</v>
      </c>
      <c r="O319" s="5">
        <v>1</v>
      </c>
      <c r="P319" s="5">
        <v>2594</v>
      </c>
    </row>
    <row r="320" spans="1:16" x14ac:dyDescent="0.3">
      <c r="A320" s="5">
        <v>60</v>
      </c>
      <c r="B320" s="5" t="s">
        <v>104</v>
      </c>
      <c r="C320" s="5">
        <v>2</v>
      </c>
      <c r="D320" s="5" t="s">
        <v>88</v>
      </c>
      <c r="E320" s="5">
        <v>2024</v>
      </c>
      <c r="F320" s="5">
        <v>3</v>
      </c>
      <c r="G320" s="5" t="s">
        <v>60</v>
      </c>
      <c r="H320" s="5">
        <v>1395343</v>
      </c>
      <c r="I320" s="5">
        <v>1217753.01</v>
      </c>
      <c r="J320" s="5">
        <v>23</v>
      </c>
      <c r="K320" s="5">
        <v>159576</v>
      </c>
      <c r="L320" s="5">
        <v>1546110</v>
      </c>
      <c r="M320" s="5">
        <v>177589.99</v>
      </c>
      <c r="N320" s="5">
        <v>0.1273</v>
      </c>
      <c r="O320" s="5">
        <v>2</v>
      </c>
      <c r="P320" s="5">
        <v>91077</v>
      </c>
    </row>
    <row r="321" spans="1:16" x14ac:dyDescent="0.3">
      <c r="A321" s="5">
        <v>72</v>
      </c>
      <c r="B321" s="5" t="s">
        <v>104</v>
      </c>
      <c r="C321" s="5">
        <v>2</v>
      </c>
      <c r="D321" s="5" t="s">
        <v>88</v>
      </c>
      <c r="E321" s="5">
        <v>2024</v>
      </c>
      <c r="F321" s="5">
        <v>3</v>
      </c>
      <c r="G321" s="5" t="s">
        <v>60</v>
      </c>
      <c r="H321" s="5">
        <v>2443980</v>
      </c>
      <c r="I321" s="5">
        <v>2167336.94</v>
      </c>
      <c r="J321" s="5">
        <v>30</v>
      </c>
      <c r="K321" s="5">
        <v>246457</v>
      </c>
      <c r="L321" s="5">
        <v>2684530</v>
      </c>
      <c r="M321" s="5">
        <v>276643.06</v>
      </c>
      <c r="N321" s="5">
        <v>0.1132</v>
      </c>
      <c r="O321" s="5">
        <v>4</v>
      </c>
      <c r="P321" s="5">
        <v>189750</v>
      </c>
    </row>
    <row r="322" spans="1:16" x14ac:dyDescent="0.3">
      <c r="A322" s="5">
        <v>60</v>
      </c>
      <c r="B322" s="5" t="s">
        <v>104</v>
      </c>
      <c r="C322" s="5">
        <v>2</v>
      </c>
      <c r="D322" s="5" t="s">
        <v>88</v>
      </c>
      <c r="E322" s="5">
        <v>2024</v>
      </c>
      <c r="F322" s="5">
        <v>4</v>
      </c>
      <c r="G322" s="5" t="s">
        <v>61</v>
      </c>
      <c r="H322" s="5">
        <v>2919447</v>
      </c>
      <c r="I322" s="5">
        <v>2574723.0099999998</v>
      </c>
      <c r="J322" s="5">
        <v>32</v>
      </c>
      <c r="K322" s="5">
        <v>336444</v>
      </c>
      <c r="L322" s="5">
        <v>3250120</v>
      </c>
      <c r="M322" s="5">
        <v>344723.99</v>
      </c>
      <c r="N322" s="5">
        <v>0.1181</v>
      </c>
      <c r="O322" s="5">
        <v>1</v>
      </c>
      <c r="P322" s="5">
        <v>27733</v>
      </c>
    </row>
    <row r="323" spans="1:16" x14ac:dyDescent="0.3">
      <c r="A323" s="5">
        <v>72</v>
      </c>
      <c r="B323" s="5" t="s">
        <v>104</v>
      </c>
      <c r="C323" s="5">
        <v>2</v>
      </c>
      <c r="D323" s="5" t="s">
        <v>88</v>
      </c>
      <c r="E323" s="5">
        <v>2024</v>
      </c>
      <c r="F323" s="5">
        <v>4</v>
      </c>
      <c r="G323" s="5" t="s">
        <v>61</v>
      </c>
      <c r="H323" s="5">
        <v>1355576</v>
      </c>
      <c r="I323" s="5">
        <v>1209896.6200000001</v>
      </c>
      <c r="J323" s="5">
        <v>22</v>
      </c>
      <c r="K323" s="5">
        <v>228281</v>
      </c>
      <c r="L323" s="5">
        <v>1580120</v>
      </c>
      <c r="M323" s="5">
        <v>145679.38</v>
      </c>
      <c r="N323" s="5">
        <v>0.1075</v>
      </c>
      <c r="O323" s="5">
        <v>1</v>
      </c>
      <c r="P323" s="5">
        <v>5742</v>
      </c>
    </row>
    <row r="324" spans="1:16" x14ac:dyDescent="0.3">
      <c r="A324" s="5">
        <v>60</v>
      </c>
      <c r="B324" s="5" t="s">
        <v>104</v>
      </c>
      <c r="C324" s="5">
        <v>2</v>
      </c>
      <c r="D324" s="5" t="s">
        <v>88</v>
      </c>
      <c r="E324" s="5">
        <v>2024</v>
      </c>
      <c r="F324" s="5">
        <v>5</v>
      </c>
      <c r="G324" s="5" t="s">
        <v>62</v>
      </c>
      <c r="H324" s="5">
        <v>1513618</v>
      </c>
      <c r="I324" s="5">
        <v>1177235.95</v>
      </c>
      <c r="J324" s="5">
        <v>24</v>
      </c>
      <c r="K324" s="5">
        <v>68175</v>
      </c>
      <c r="L324" s="5">
        <v>1570890</v>
      </c>
      <c r="M324" s="5">
        <v>336382.05</v>
      </c>
      <c r="N324" s="5">
        <v>0.22220000000000001</v>
      </c>
      <c r="O324" s="5">
        <v>1</v>
      </c>
      <c r="P324" s="5">
        <v>57671</v>
      </c>
    </row>
    <row r="325" spans="1:16" x14ac:dyDescent="0.3">
      <c r="A325" s="5">
        <v>72</v>
      </c>
      <c r="B325" s="5" t="s">
        <v>104</v>
      </c>
      <c r="C325" s="5">
        <v>2</v>
      </c>
      <c r="D325" s="5" t="s">
        <v>88</v>
      </c>
      <c r="E325" s="5">
        <v>2024</v>
      </c>
      <c r="F325" s="5">
        <v>5</v>
      </c>
      <c r="G325" s="5" t="s">
        <v>62</v>
      </c>
      <c r="H325" s="5">
        <v>1554037</v>
      </c>
      <c r="I325" s="5">
        <v>1313662.8999999999</v>
      </c>
      <c r="J325" s="5">
        <v>34</v>
      </c>
      <c r="K325" s="5">
        <v>166897</v>
      </c>
      <c r="L325" s="5">
        <v>1714210</v>
      </c>
      <c r="M325" s="5">
        <v>240374.1</v>
      </c>
      <c r="N325" s="5">
        <v>0.1547</v>
      </c>
      <c r="O325" s="5">
        <v>3</v>
      </c>
      <c r="P325" s="5">
        <v>88317</v>
      </c>
    </row>
    <row r="326" spans="1:16" x14ac:dyDescent="0.3">
      <c r="A326" s="5">
        <v>60</v>
      </c>
      <c r="B326" s="5" t="s">
        <v>104</v>
      </c>
      <c r="C326" s="5">
        <v>2</v>
      </c>
      <c r="D326" s="5" t="s">
        <v>88</v>
      </c>
      <c r="E326" s="5">
        <v>2024</v>
      </c>
      <c r="F326" s="5">
        <v>6</v>
      </c>
      <c r="G326" s="5" t="s">
        <v>63</v>
      </c>
      <c r="H326" s="5">
        <v>3448221</v>
      </c>
      <c r="I326" s="5">
        <v>2801282.85</v>
      </c>
      <c r="J326" s="5">
        <v>40</v>
      </c>
      <c r="K326" s="5">
        <v>178001</v>
      </c>
      <c r="L326" s="5">
        <v>3616230</v>
      </c>
      <c r="M326" s="5">
        <v>646938.15</v>
      </c>
      <c r="N326" s="5">
        <v>0.18759999999999999</v>
      </c>
      <c r="O326" s="5">
        <v>5</v>
      </c>
      <c r="P326" s="5">
        <v>153859</v>
      </c>
    </row>
    <row r="327" spans="1:16" x14ac:dyDescent="0.3">
      <c r="A327" s="5">
        <v>72</v>
      </c>
      <c r="B327" s="5" t="s">
        <v>104</v>
      </c>
      <c r="C327" s="5">
        <v>2</v>
      </c>
      <c r="D327" s="5" t="s">
        <v>88</v>
      </c>
      <c r="E327" s="5">
        <v>2024</v>
      </c>
      <c r="F327" s="5">
        <v>6</v>
      </c>
      <c r="G327" s="5" t="s">
        <v>63</v>
      </c>
      <c r="H327" s="5">
        <v>2053170</v>
      </c>
      <c r="I327" s="5">
        <v>1747844.79</v>
      </c>
      <c r="J327" s="5">
        <v>30</v>
      </c>
      <c r="K327" s="5">
        <v>175249</v>
      </c>
      <c r="L327" s="5">
        <v>2223890</v>
      </c>
      <c r="M327" s="5">
        <v>305325.21000000002</v>
      </c>
      <c r="N327" s="5">
        <v>0.1487</v>
      </c>
      <c r="O327" s="5">
        <v>1</v>
      </c>
      <c r="P327" s="5">
        <v>33046</v>
      </c>
    </row>
    <row r="328" spans="1:16" x14ac:dyDescent="0.3">
      <c r="A328" s="5">
        <v>60</v>
      </c>
      <c r="B328" s="5" t="s">
        <v>104</v>
      </c>
      <c r="C328" s="5">
        <v>2</v>
      </c>
      <c r="D328" s="5" t="s">
        <v>88</v>
      </c>
      <c r="E328" s="5">
        <v>2024</v>
      </c>
      <c r="F328" s="5">
        <v>7</v>
      </c>
      <c r="G328" s="5" t="s">
        <v>64</v>
      </c>
      <c r="H328" s="5">
        <v>2188953</v>
      </c>
      <c r="I328" s="5">
        <v>1793944.88</v>
      </c>
      <c r="J328" s="5">
        <v>33</v>
      </c>
      <c r="K328" s="5">
        <v>151001</v>
      </c>
      <c r="L328" s="5">
        <v>2326420</v>
      </c>
      <c r="M328" s="5">
        <v>395008.12</v>
      </c>
      <c r="N328" s="5">
        <v>0.18049999999999999</v>
      </c>
      <c r="O328" s="5">
        <v>1</v>
      </c>
      <c r="P328" s="5">
        <v>77553</v>
      </c>
    </row>
    <row r="329" spans="1:16" x14ac:dyDescent="0.3">
      <c r="A329" s="5">
        <v>72</v>
      </c>
      <c r="B329" s="5" t="s">
        <v>104</v>
      </c>
      <c r="C329" s="5">
        <v>2</v>
      </c>
      <c r="D329" s="5" t="s">
        <v>88</v>
      </c>
      <c r="E329" s="5">
        <v>2024</v>
      </c>
      <c r="F329" s="5">
        <v>7</v>
      </c>
      <c r="G329" s="5" t="s">
        <v>64</v>
      </c>
      <c r="H329" s="5">
        <v>2914834</v>
      </c>
      <c r="I329" s="5">
        <v>2551385.3199999998</v>
      </c>
      <c r="J329" s="5">
        <v>35</v>
      </c>
      <c r="K329" s="5">
        <v>364028</v>
      </c>
      <c r="L329" s="5">
        <v>3273110</v>
      </c>
      <c r="M329" s="5">
        <v>363448.68</v>
      </c>
      <c r="N329" s="5">
        <v>0.12470000000000001</v>
      </c>
      <c r="O329" s="5">
        <v>2</v>
      </c>
      <c r="P329" s="5">
        <v>337852</v>
      </c>
    </row>
    <row r="330" spans="1:16" x14ac:dyDescent="0.3">
      <c r="A330" s="5">
        <v>60</v>
      </c>
      <c r="B330" s="5" t="s">
        <v>104</v>
      </c>
      <c r="C330" s="5">
        <v>2</v>
      </c>
      <c r="D330" s="5" t="s">
        <v>88</v>
      </c>
      <c r="E330" s="5">
        <v>2024</v>
      </c>
      <c r="F330" s="5">
        <v>8</v>
      </c>
      <c r="G330" s="5" t="s">
        <v>65</v>
      </c>
      <c r="H330" s="5">
        <v>1011568</v>
      </c>
      <c r="I330" s="5">
        <v>849577.05</v>
      </c>
      <c r="J330" s="5">
        <v>24</v>
      </c>
      <c r="K330" s="5">
        <v>105296</v>
      </c>
      <c r="L330" s="5">
        <v>1113610</v>
      </c>
      <c r="M330" s="5">
        <v>161990.95000000001</v>
      </c>
      <c r="N330" s="5">
        <v>0.16009999999999999</v>
      </c>
      <c r="O330" s="5">
        <v>1</v>
      </c>
      <c r="P330" s="5">
        <v>2332</v>
      </c>
    </row>
    <row r="331" spans="1:16" x14ac:dyDescent="0.3">
      <c r="A331" s="5">
        <v>72</v>
      </c>
      <c r="B331" s="5" t="s">
        <v>104</v>
      </c>
      <c r="C331" s="5">
        <v>2</v>
      </c>
      <c r="D331" s="5" t="s">
        <v>88</v>
      </c>
      <c r="E331" s="5">
        <v>2024</v>
      </c>
      <c r="F331" s="5">
        <v>8</v>
      </c>
      <c r="G331" s="5" t="s">
        <v>65</v>
      </c>
      <c r="H331" s="5">
        <v>2900630</v>
      </c>
      <c r="I331" s="5">
        <v>2433849.1</v>
      </c>
      <c r="J331" s="5">
        <v>42</v>
      </c>
      <c r="K331" s="5">
        <v>250809</v>
      </c>
      <c r="L331" s="5">
        <v>3138180</v>
      </c>
      <c r="M331" s="5">
        <v>466780.9</v>
      </c>
      <c r="N331" s="5">
        <v>0.16089999999999999</v>
      </c>
      <c r="O331" s="5">
        <v>2</v>
      </c>
      <c r="P331" s="5">
        <v>92428</v>
      </c>
    </row>
    <row r="332" spans="1:16" x14ac:dyDescent="0.3">
      <c r="A332" s="5">
        <v>60</v>
      </c>
      <c r="B332" s="5" t="s">
        <v>104</v>
      </c>
      <c r="C332" s="5">
        <v>2</v>
      </c>
      <c r="D332" s="5" t="s">
        <v>88</v>
      </c>
      <c r="E332" s="5">
        <v>2024</v>
      </c>
      <c r="F332" s="5">
        <v>9</v>
      </c>
      <c r="G332" s="5" t="s">
        <v>66</v>
      </c>
      <c r="H332" s="5">
        <v>1826780</v>
      </c>
      <c r="I332" s="5">
        <v>1560422.08</v>
      </c>
      <c r="J332" s="5">
        <v>31</v>
      </c>
      <c r="K332" s="5">
        <v>153621</v>
      </c>
      <c r="L332" s="5">
        <v>1978640</v>
      </c>
      <c r="M332" s="5">
        <v>266357.92</v>
      </c>
      <c r="N332" s="5">
        <v>0.14580000000000001</v>
      </c>
      <c r="O332" s="5">
        <v>4</v>
      </c>
      <c r="P332" s="5">
        <v>143338</v>
      </c>
    </row>
    <row r="333" spans="1:16" x14ac:dyDescent="0.3">
      <c r="A333" s="5">
        <v>72</v>
      </c>
      <c r="B333" s="5" t="s">
        <v>104</v>
      </c>
      <c r="C333" s="5">
        <v>2</v>
      </c>
      <c r="D333" s="5" t="s">
        <v>88</v>
      </c>
      <c r="E333" s="5">
        <v>2024</v>
      </c>
      <c r="F333" s="5">
        <v>9</v>
      </c>
      <c r="G333" s="5" t="s">
        <v>66</v>
      </c>
      <c r="H333" s="5">
        <v>2065833</v>
      </c>
      <c r="I333" s="5">
        <v>1633459.68</v>
      </c>
      <c r="J333" s="5">
        <v>31</v>
      </c>
      <c r="K333" s="5">
        <v>107192</v>
      </c>
      <c r="L333" s="5">
        <v>2169820</v>
      </c>
      <c r="M333" s="5">
        <v>432373.32</v>
      </c>
      <c r="N333" s="5">
        <v>0.20930000000000001</v>
      </c>
      <c r="O333" s="5">
        <v>2</v>
      </c>
      <c r="P333" s="5">
        <v>69134</v>
      </c>
    </row>
    <row r="334" spans="1:16" x14ac:dyDescent="0.3">
      <c r="A334" s="5">
        <v>60</v>
      </c>
      <c r="B334" s="5" t="s">
        <v>104</v>
      </c>
      <c r="C334" s="5">
        <v>2</v>
      </c>
      <c r="D334" s="5" t="s">
        <v>88</v>
      </c>
      <c r="E334" s="5">
        <v>2024</v>
      </c>
      <c r="F334" s="5">
        <v>10</v>
      </c>
      <c r="G334" s="5" t="s">
        <v>67</v>
      </c>
      <c r="H334" s="5">
        <v>2944153</v>
      </c>
      <c r="I334" s="5">
        <v>2386802.62</v>
      </c>
      <c r="J334" s="5">
        <v>42</v>
      </c>
      <c r="K334" s="5">
        <v>104535</v>
      </c>
      <c r="L334" s="5">
        <v>3046100</v>
      </c>
      <c r="M334" s="5">
        <v>557350.38</v>
      </c>
      <c r="N334" s="5">
        <v>0.1893</v>
      </c>
      <c r="O334" s="5">
        <v>1</v>
      </c>
      <c r="P334" s="5">
        <v>74507</v>
      </c>
    </row>
    <row r="335" spans="1:16" x14ac:dyDescent="0.3">
      <c r="A335" s="5">
        <v>72</v>
      </c>
      <c r="B335" s="5" t="s">
        <v>104</v>
      </c>
      <c r="C335" s="5">
        <v>2</v>
      </c>
      <c r="D335" s="5" t="s">
        <v>88</v>
      </c>
      <c r="E335" s="5">
        <v>2024</v>
      </c>
      <c r="F335" s="5">
        <v>10</v>
      </c>
      <c r="G335" s="5" t="s">
        <v>67</v>
      </c>
      <c r="H335" s="5">
        <v>2270908</v>
      </c>
      <c r="I335" s="5">
        <v>1793305.39</v>
      </c>
      <c r="J335" s="5">
        <v>27</v>
      </c>
      <c r="K335" s="5">
        <v>69635</v>
      </c>
      <c r="L335" s="5">
        <v>2332310</v>
      </c>
      <c r="M335" s="5">
        <v>477602.61</v>
      </c>
      <c r="N335" s="5">
        <v>0.21029999999999999</v>
      </c>
      <c r="O335" s="5">
        <v>2</v>
      </c>
      <c r="P335" s="5">
        <v>127501</v>
      </c>
    </row>
    <row r="336" spans="1:16" x14ac:dyDescent="0.3">
      <c r="A336" s="5">
        <v>60</v>
      </c>
      <c r="B336" s="5" t="s">
        <v>104</v>
      </c>
      <c r="C336" s="5">
        <v>2</v>
      </c>
      <c r="D336" s="5" t="s">
        <v>88</v>
      </c>
      <c r="E336" s="5">
        <v>2024</v>
      </c>
      <c r="F336" s="5">
        <v>11</v>
      </c>
      <c r="G336" s="5" t="s">
        <v>68</v>
      </c>
      <c r="H336" s="5">
        <v>3104500</v>
      </c>
      <c r="I336" s="5">
        <v>2554802.4300000002</v>
      </c>
      <c r="J336" s="5">
        <v>45</v>
      </c>
      <c r="K336" s="5">
        <v>246435</v>
      </c>
      <c r="L336" s="5">
        <v>3336350</v>
      </c>
      <c r="M336" s="5">
        <v>549697.56999999995</v>
      </c>
      <c r="N336" s="5">
        <v>0.17710000000000001</v>
      </c>
      <c r="O336" s="5">
        <v>5</v>
      </c>
      <c r="P336" s="5">
        <v>255420</v>
      </c>
    </row>
    <row r="337" spans="1:16" x14ac:dyDescent="0.3">
      <c r="A337" s="5">
        <v>72</v>
      </c>
      <c r="B337" s="5" t="s">
        <v>104</v>
      </c>
      <c r="C337" s="5">
        <v>2</v>
      </c>
      <c r="D337" s="5" t="s">
        <v>88</v>
      </c>
      <c r="E337" s="5">
        <v>2024</v>
      </c>
      <c r="F337" s="5">
        <v>11</v>
      </c>
      <c r="G337" s="5" t="s">
        <v>68</v>
      </c>
      <c r="H337" s="5">
        <v>3506409</v>
      </c>
      <c r="I337" s="5">
        <v>2852390.58</v>
      </c>
      <c r="J337" s="5">
        <v>51</v>
      </c>
      <c r="K337" s="5">
        <v>178193</v>
      </c>
      <c r="L337" s="5">
        <v>3668080</v>
      </c>
      <c r="M337" s="5">
        <v>654018.42000000004</v>
      </c>
      <c r="N337" s="5">
        <v>0.1865</v>
      </c>
      <c r="O337" s="5">
        <v>8</v>
      </c>
      <c r="P337" s="5">
        <v>74649</v>
      </c>
    </row>
    <row r="338" spans="1:16" x14ac:dyDescent="0.3">
      <c r="A338" s="5">
        <v>60</v>
      </c>
      <c r="B338" s="5" t="s">
        <v>104</v>
      </c>
      <c r="C338" s="5">
        <v>2</v>
      </c>
      <c r="D338" s="5" t="s">
        <v>88</v>
      </c>
      <c r="E338" s="5">
        <v>2024</v>
      </c>
      <c r="F338" s="5">
        <v>12</v>
      </c>
      <c r="G338" s="5" t="s">
        <v>69</v>
      </c>
      <c r="H338" s="5">
        <v>2748356</v>
      </c>
      <c r="I338" s="5">
        <v>2179289.04</v>
      </c>
      <c r="J338" s="5">
        <v>38</v>
      </c>
      <c r="K338" s="5">
        <v>83731</v>
      </c>
      <c r="L338" s="5">
        <v>2824420</v>
      </c>
      <c r="M338" s="5">
        <v>569066.96</v>
      </c>
      <c r="N338" s="5">
        <v>0.20710000000000001</v>
      </c>
      <c r="O338" s="5">
        <v>4</v>
      </c>
      <c r="P338" s="5">
        <v>69538</v>
      </c>
    </row>
    <row r="339" spans="1:16" x14ac:dyDescent="0.3">
      <c r="A339" s="5">
        <v>72</v>
      </c>
      <c r="B339" s="5" t="s">
        <v>104</v>
      </c>
      <c r="C339" s="5">
        <v>2</v>
      </c>
      <c r="D339" s="5" t="s">
        <v>88</v>
      </c>
      <c r="E339" s="5">
        <v>2024</v>
      </c>
      <c r="F339" s="5">
        <v>12</v>
      </c>
      <c r="G339" s="5" t="s">
        <v>69</v>
      </c>
      <c r="H339" s="5">
        <v>3096191</v>
      </c>
      <c r="I339" s="5">
        <v>2475710.23</v>
      </c>
      <c r="J339" s="5">
        <v>36</v>
      </c>
      <c r="K339" s="5">
        <v>91255</v>
      </c>
      <c r="L339" s="5">
        <v>3165890</v>
      </c>
      <c r="M339" s="5">
        <v>620480.77</v>
      </c>
      <c r="N339" s="5">
        <v>0.20039999999999999</v>
      </c>
      <c r="O339" s="5">
        <v>2</v>
      </c>
      <c r="P339" s="5">
        <v>54237</v>
      </c>
    </row>
    <row r="340" spans="1:16" x14ac:dyDescent="0.3">
      <c r="A340" s="5">
        <v>7</v>
      </c>
      <c r="B340" s="5" t="s">
        <v>105</v>
      </c>
      <c r="C340" s="5">
        <v>5</v>
      </c>
      <c r="D340" s="5" t="s">
        <v>80</v>
      </c>
      <c r="E340" s="5">
        <v>2021</v>
      </c>
      <c r="F340" s="5">
        <v>1</v>
      </c>
      <c r="G340" s="5" t="s">
        <v>22</v>
      </c>
      <c r="H340" s="5">
        <v>778628</v>
      </c>
      <c r="I340" s="5">
        <v>717422.44</v>
      </c>
      <c r="J340" s="5">
        <v>16</v>
      </c>
      <c r="K340" s="5">
        <v>184100</v>
      </c>
      <c r="L340" s="5">
        <v>962300</v>
      </c>
      <c r="M340" s="5">
        <v>61205.56</v>
      </c>
      <c r="N340" s="5">
        <v>7.8600000000000003E-2</v>
      </c>
      <c r="O340" s="5">
        <v>1</v>
      </c>
      <c r="P340" s="5">
        <v>4027</v>
      </c>
    </row>
    <row r="341" spans="1:16" x14ac:dyDescent="0.3">
      <c r="A341" s="5">
        <v>7</v>
      </c>
      <c r="B341" s="5" t="s">
        <v>105</v>
      </c>
      <c r="C341" s="5">
        <v>5</v>
      </c>
      <c r="D341" s="5" t="s">
        <v>80</v>
      </c>
      <c r="E341" s="5">
        <v>2021</v>
      </c>
      <c r="F341" s="5">
        <v>2</v>
      </c>
      <c r="G341" s="5" t="s">
        <v>23</v>
      </c>
      <c r="H341" s="5">
        <v>854052</v>
      </c>
      <c r="I341" s="5">
        <v>740660.18</v>
      </c>
      <c r="J341" s="5">
        <v>17</v>
      </c>
      <c r="K341" s="5">
        <v>113222</v>
      </c>
      <c r="L341" s="5">
        <v>966390</v>
      </c>
      <c r="M341" s="5">
        <v>113391.82</v>
      </c>
      <c r="N341" s="5">
        <v>0.1328</v>
      </c>
      <c r="O341" s="5">
        <v>2</v>
      </c>
      <c r="P341" s="5">
        <v>25393</v>
      </c>
    </row>
    <row r="342" spans="1:16" x14ac:dyDescent="0.3">
      <c r="A342" s="5">
        <v>7</v>
      </c>
      <c r="B342" s="5" t="s">
        <v>105</v>
      </c>
      <c r="C342" s="5">
        <v>5</v>
      </c>
      <c r="D342" s="5" t="s">
        <v>80</v>
      </c>
      <c r="E342" s="5">
        <v>2021</v>
      </c>
      <c r="F342" s="5">
        <v>3</v>
      </c>
      <c r="G342" s="5" t="s">
        <v>24</v>
      </c>
      <c r="H342" s="5">
        <v>1395978</v>
      </c>
      <c r="I342" s="5">
        <v>1228397.96</v>
      </c>
      <c r="J342" s="5">
        <v>19</v>
      </c>
      <c r="K342" s="5">
        <v>134628</v>
      </c>
      <c r="L342" s="5">
        <v>1527710</v>
      </c>
      <c r="M342" s="5">
        <v>167580.04</v>
      </c>
      <c r="N342" s="5">
        <v>0.12</v>
      </c>
      <c r="O342" s="5">
        <v>2</v>
      </c>
      <c r="P342" s="5">
        <v>62396</v>
      </c>
    </row>
    <row r="343" spans="1:16" x14ac:dyDescent="0.3">
      <c r="A343" s="5">
        <v>7</v>
      </c>
      <c r="B343" s="5" t="s">
        <v>105</v>
      </c>
      <c r="C343" s="5">
        <v>5</v>
      </c>
      <c r="D343" s="5" t="s">
        <v>80</v>
      </c>
      <c r="E343" s="5">
        <v>2021</v>
      </c>
      <c r="F343" s="5">
        <v>4</v>
      </c>
      <c r="G343" s="5" t="s">
        <v>25</v>
      </c>
      <c r="H343" s="5">
        <v>739314</v>
      </c>
      <c r="I343" s="5">
        <v>625352.43000000005</v>
      </c>
      <c r="J343" s="5">
        <v>19</v>
      </c>
      <c r="K343" s="5">
        <v>83734</v>
      </c>
      <c r="L343" s="5">
        <v>819220</v>
      </c>
      <c r="M343" s="5">
        <v>113961.57</v>
      </c>
      <c r="N343" s="5">
        <v>0.15409999999999999</v>
      </c>
      <c r="O343" s="5">
        <v>3</v>
      </c>
      <c r="P343" s="5">
        <v>58411</v>
      </c>
    </row>
    <row r="344" spans="1:16" x14ac:dyDescent="0.3">
      <c r="A344" s="5">
        <v>7</v>
      </c>
      <c r="B344" s="5" t="s">
        <v>105</v>
      </c>
      <c r="C344" s="5">
        <v>5</v>
      </c>
      <c r="D344" s="5" t="s">
        <v>80</v>
      </c>
      <c r="E344" s="5">
        <v>2021</v>
      </c>
      <c r="F344" s="5">
        <v>5</v>
      </c>
      <c r="G344" s="5" t="s">
        <v>26</v>
      </c>
      <c r="H344" s="5">
        <v>753893</v>
      </c>
      <c r="I344" s="5">
        <v>615235.52</v>
      </c>
      <c r="J344" s="5">
        <v>16</v>
      </c>
      <c r="K344" s="5">
        <v>51321</v>
      </c>
      <c r="L344" s="5">
        <v>800760</v>
      </c>
      <c r="M344" s="5">
        <v>138657.48000000001</v>
      </c>
      <c r="N344" s="5">
        <v>0.18390000000000001</v>
      </c>
      <c r="O344" s="5">
        <v>1</v>
      </c>
      <c r="P344" s="5">
        <v>2037</v>
      </c>
    </row>
    <row r="345" spans="1:16" x14ac:dyDescent="0.3">
      <c r="A345" s="5">
        <v>7</v>
      </c>
      <c r="B345" s="5" t="s">
        <v>105</v>
      </c>
      <c r="C345" s="5">
        <v>5</v>
      </c>
      <c r="D345" s="5" t="s">
        <v>80</v>
      </c>
      <c r="E345" s="5">
        <v>2021</v>
      </c>
      <c r="F345" s="5">
        <v>6</v>
      </c>
      <c r="G345" s="5" t="s">
        <v>27</v>
      </c>
      <c r="H345" s="5">
        <v>1795200</v>
      </c>
      <c r="I345" s="5">
        <v>1511652.87</v>
      </c>
      <c r="J345" s="5">
        <v>24</v>
      </c>
      <c r="K345" s="5">
        <v>198506</v>
      </c>
      <c r="L345" s="5">
        <v>1987100</v>
      </c>
      <c r="M345" s="5">
        <v>283547.13</v>
      </c>
      <c r="N345" s="5">
        <v>0.15790000000000001</v>
      </c>
      <c r="O345" s="5">
        <v>0</v>
      </c>
      <c r="P345" s="5">
        <v>0</v>
      </c>
    </row>
    <row r="346" spans="1:16" x14ac:dyDescent="0.3">
      <c r="A346" s="5">
        <v>7</v>
      </c>
      <c r="B346" s="5" t="s">
        <v>105</v>
      </c>
      <c r="C346" s="5">
        <v>5</v>
      </c>
      <c r="D346" s="5" t="s">
        <v>80</v>
      </c>
      <c r="E346" s="5">
        <v>2021</v>
      </c>
      <c r="F346" s="5">
        <v>7</v>
      </c>
      <c r="G346" s="5" t="s">
        <v>28</v>
      </c>
      <c r="H346" s="5">
        <v>1365239</v>
      </c>
      <c r="I346" s="5">
        <v>1221928</v>
      </c>
      <c r="J346" s="5">
        <v>22</v>
      </c>
      <c r="K346" s="5">
        <v>221247</v>
      </c>
      <c r="L346" s="5">
        <v>1575860</v>
      </c>
      <c r="M346" s="5">
        <v>143311</v>
      </c>
      <c r="N346" s="5">
        <v>0.105</v>
      </c>
      <c r="O346" s="5">
        <v>1</v>
      </c>
      <c r="P346" s="5">
        <v>54578</v>
      </c>
    </row>
    <row r="347" spans="1:16" x14ac:dyDescent="0.3">
      <c r="A347" s="5">
        <v>7</v>
      </c>
      <c r="B347" s="5" t="s">
        <v>105</v>
      </c>
      <c r="C347" s="5">
        <v>5</v>
      </c>
      <c r="D347" s="5" t="s">
        <v>80</v>
      </c>
      <c r="E347" s="5">
        <v>2021</v>
      </c>
      <c r="F347" s="5">
        <v>8</v>
      </c>
      <c r="G347" s="5" t="s">
        <v>29</v>
      </c>
      <c r="H347" s="5">
        <v>1793635</v>
      </c>
      <c r="I347" s="5">
        <v>1528818.51</v>
      </c>
      <c r="J347" s="5">
        <v>20</v>
      </c>
      <c r="K347" s="5">
        <v>161372</v>
      </c>
      <c r="L347" s="5">
        <v>1952340</v>
      </c>
      <c r="M347" s="5">
        <v>264816.49</v>
      </c>
      <c r="N347" s="5">
        <v>0.14760000000000001</v>
      </c>
      <c r="O347" s="5">
        <v>1</v>
      </c>
      <c r="P347" s="5">
        <v>444</v>
      </c>
    </row>
    <row r="348" spans="1:16" x14ac:dyDescent="0.3">
      <c r="A348" s="5">
        <v>7</v>
      </c>
      <c r="B348" s="5" t="s">
        <v>105</v>
      </c>
      <c r="C348" s="5">
        <v>5</v>
      </c>
      <c r="D348" s="5" t="s">
        <v>80</v>
      </c>
      <c r="E348" s="5">
        <v>2021</v>
      </c>
      <c r="F348" s="5">
        <v>9</v>
      </c>
      <c r="G348" s="5" t="s">
        <v>30</v>
      </c>
      <c r="H348" s="5">
        <v>1946992</v>
      </c>
      <c r="I348" s="5">
        <v>1713329.58</v>
      </c>
      <c r="J348" s="5">
        <v>28</v>
      </c>
      <c r="K348" s="5">
        <v>275356</v>
      </c>
      <c r="L348" s="5">
        <v>2220050</v>
      </c>
      <c r="M348" s="5">
        <v>233662.42</v>
      </c>
      <c r="N348" s="5">
        <v>0.12</v>
      </c>
      <c r="O348" s="5">
        <v>4</v>
      </c>
      <c r="P348" s="5">
        <v>181595</v>
      </c>
    </row>
    <row r="349" spans="1:16" x14ac:dyDescent="0.3">
      <c r="A349" s="5">
        <v>7</v>
      </c>
      <c r="B349" s="5" t="s">
        <v>105</v>
      </c>
      <c r="C349" s="5">
        <v>5</v>
      </c>
      <c r="D349" s="5" t="s">
        <v>80</v>
      </c>
      <c r="E349" s="5">
        <v>2021</v>
      </c>
      <c r="F349" s="5">
        <v>10</v>
      </c>
      <c r="G349" s="5" t="s">
        <v>31</v>
      </c>
      <c r="H349" s="5">
        <v>1125122</v>
      </c>
      <c r="I349" s="5">
        <v>957333.42</v>
      </c>
      <c r="J349" s="5">
        <v>21</v>
      </c>
      <c r="K349" s="5">
        <v>109581</v>
      </c>
      <c r="L349" s="5">
        <v>1230330</v>
      </c>
      <c r="M349" s="5">
        <v>167788.58</v>
      </c>
      <c r="N349" s="5">
        <v>0.14910000000000001</v>
      </c>
      <c r="O349" s="5">
        <v>0</v>
      </c>
      <c r="P349" s="5">
        <v>0</v>
      </c>
    </row>
    <row r="350" spans="1:16" x14ac:dyDescent="0.3">
      <c r="A350" s="5">
        <v>7</v>
      </c>
      <c r="B350" s="5" t="s">
        <v>105</v>
      </c>
      <c r="C350" s="5">
        <v>5</v>
      </c>
      <c r="D350" s="5" t="s">
        <v>80</v>
      </c>
      <c r="E350" s="5">
        <v>2021</v>
      </c>
      <c r="F350" s="5">
        <v>11</v>
      </c>
      <c r="G350" s="5" t="s">
        <v>32</v>
      </c>
      <c r="H350" s="5">
        <v>3041972</v>
      </c>
      <c r="I350" s="5">
        <v>2511673.52</v>
      </c>
      <c r="J350" s="5">
        <v>29</v>
      </c>
      <c r="K350" s="5">
        <v>153853</v>
      </c>
      <c r="L350" s="5">
        <v>3187220</v>
      </c>
      <c r="M350" s="5">
        <v>530298.48</v>
      </c>
      <c r="N350" s="5">
        <v>0.17430000000000001</v>
      </c>
      <c r="O350" s="5">
        <v>4</v>
      </c>
      <c r="P350" s="5">
        <v>40931</v>
      </c>
    </row>
    <row r="351" spans="1:16" x14ac:dyDescent="0.3">
      <c r="A351" s="5">
        <v>7</v>
      </c>
      <c r="B351" s="5" t="s">
        <v>105</v>
      </c>
      <c r="C351" s="5">
        <v>5</v>
      </c>
      <c r="D351" s="5" t="s">
        <v>80</v>
      </c>
      <c r="E351" s="5">
        <v>2021</v>
      </c>
      <c r="F351" s="5">
        <v>12</v>
      </c>
      <c r="G351" s="5" t="s">
        <v>33</v>
      </c>
      <c r="H351" s="5">
        <v>1124087</v>
      </c>
      <c r="I351" s="5">
        <v>930140.23</v>
      </c>
      <c r="J351" s="5">
        <v>15</v>
      </c>
      <c r="K351" s="5">
        <v>33391</v>
      </c>
      <c r="L351" s="5">
        <v>1149060</v>
      </c>
      <c r="M351" s="5">
        <v>193946.77</v>
      </c>
      <c r="N351" s="5">
        <v>0.17249999999999999</v>
      </c>
      <c r="O351" s="5">
        <v>0</v>
      </c>
      <c r="P351" s="5">
        <v>0</v>
      </c>
    </row>
    <row r="352" spans="1:16" x14ac:dyDescent="0.3">
      <c r="A352" s="5">
        <v>7</v>
      </c>
      <c r="B352" s="5" t="s">
        <v>105</v>
      </c>
      <c r="C352" s="5">
        <v>5</v>
      </c>
      <c r="D352" s="5" t="s">
        <v>80</v>
      </c>
      <c r="E352" s="5">
        <v>2022</v>
      </c>
      <c r="F352" s="5">
        <v>1</v>
      </c>
      <c r="G352" s="5" t="s">
        <v>34</v>
      </c>
      <c r="H352" s="5">
        <v>1673795</v>
      </c>
      <c r="I352" s="5">
        <v>1405403.4</v>
      </c>
      <c r="J352" s="5">
        <v>25</v>
      </c>
      <c r="K352" s="5">
        <v>118737</v>
      </c>
      <c r="L352" s="5">
        <v>1791350</v>
      </c>
      <c r="M352" s="5">
        <v>268391.59999999998</v>
      </c>
      <c r="N352" s="5">
        <v>0.1603</v>
      </c>
      <c r="O352" s="5">
        <v>2</v>
      </c>
      <c r="P352" s="5">
        <v>10335</v>
      </c>
    </row>
    <row r="353" spans="1:16" x14ac:dyDescent="0.3">
      <c r="A353" s="5">
        <v>7</v>
      </c>
      <c r="B353" s="5" t="s">
        <v>105</v>
      </c>
      <c r="C353" s="5">
        <v>5</v>
      </c>
      <c r="D353" s="5" t="s">
        <v>80</v>
      </c>
      <c r="E353" s="5">
        <v>2022</v>
      </c>
      <c r="F353" s="5">
        <v>2</v>
      </c>
      <c r="G353" s="5" t="s">
        <v>35</v>
      </c>
      <c r="H353" s="5">
        <v>2714781</v>
      </c>
      <c r="I353" s="5">
        <v>2309474.19</v>
      </c>
      <c r="J353" s="5">
        <v>28</v>
      </c>
      <c r="K353" s="5">
        <v>210835</v>
      </c>
      <c r="L353" s="5">
        <v>2919590</v>
      </c>
      <c r="M353" s="5">
        <v>405306.81</v>
      </c>
      <c r="N353" s="5">
        <v>0.14929999999999999</v>
      </c>
      <c r="O353" s="5">
        <v>1</v>
      </c>
      <c r="P353" s="5">
        <v>254669</v>
      </c>
    </row>
    <row r="354" spans="1:16" x14ac:dyDescent="0.3">
      <c r="A354" s="5">
        <v>7</v>
      </c>
      <c r="B354" s="5" t="s">
        <v>105</v>
      </c>
      <c r="C354" s="5">
        <v>5</v>
      </c>
      <c r="D354" s="5" t="s">
        <v>80</v>
      </c>
      <c r="E354" s="5">
        <v>2022</v>
      </c>
      <c r="F354" s="5">
        <v>3</v>
      </c>
      <c r="G354" s="5" t="s">
        <v>36</v>
      </c>
      <c r="H354" s="5">
        <v>1479594</v>
      </c>
      <c r="I354" s="5">
        <v>1252643.73</v>
      </c>
      <c r="J354" s="5">
        <v>29</v>
      </c>
      <c r="K354" s="5">
        <v>145340</v>
      </c>
      <c r="L354" s="5">
        <v>1620900</v>
      </c>
      <c r="M354" s="5">
        <v>226950.27</v>
      </c>
      <c r="N354" s="5">
        <v>0.15340000000000001</v>
      </c>
      <c r="O354" s="5">
        <v>3</v>
      </c>
      <c r="P354" s="5">
        <v>21394</v>
      </c>
    </row>
    <row r="355" spans="1:16" x14ac:dyDescent="0.3">
      <c r="A355" s="5">
        <v>7</v>
      </c>
      <c r="B355" s="5" t="s">
        <v>105</v>
      </c>
      <c r="C355" s="5">
        <v>5</v>
      </c>
      <c r="D355" s="5" t="s">
        <v>80</v>
      </c>
      <c r="E355" s="5">
        <v>2022</v>
      </c>
      <c r="F355" s="5">
        <v>4</v>
      </c>
      <c r="G355" s="5" t="s">
        <v>37</v>
      </c>
      <c r="H355" s="5">
        <v>2459495</v>
      </c>
      <c r="I355" s="5">
        <v>2079655.34</v>
      </c>
      <c r="J355" s="5">
        <v>36</v>
      </c>
      <c r="K355" s="5">
        <v>191420</v>
      </c>
      <c r="L355" s="5">
        <v>2640440</v>
      </c>
      <c r="M355" s="5">
        <v>379839.66</v>
      </c>
      <c r="N355" s="5">
        <v>0.15440000000000001</v>
      </c>
      <c r="O355" s="5">
        <v>2</v>
      </c>
      <c r="P355" s="5">
        <v>122628</v>
      </c>
    </row>
    <row r="356" spans="1:16" x14ac:dyDescent="0.3">
      <c r="A356" s="5">
        <v>7</v>
      </c>
      <c r="B356" s="5" t="s">
        <v>105</v>
      </c>
      <c r="C356" s="5">
        <v>5</v>
      </c>
      <c r="D356" s="5" t="s">
        <v>80</v>
      </c>
      <c r="E356" s="5">
        <v>2022</v>
      </c>
      <c r="F356" s="5">
        <v>5</v>
      </c>
      <c r="G356" s="5" t="s">
        <v>38</v>
      </c>
      <c r="H356" s="5">
        <v>2109249</v>
      </c>
      <c r="I356" s="5">
        <v>1764565.16</v>
      </c>
      <c r="J356" s="5">
        <v>34</v>
      </c>
      <c r="K356" s="5">
        <v>224320</v>
      </c>
      <c r="L356" s="5">
        <v>2328200</v>
      </c>
      <c r="M356" s="5">
        <v>344683.84</v>
      </c>
      <c r="N356" s="5">
        <v>0.16339999999999999</v>
      </c>
      <c r="O356" s="5">
        <v>3</v>
      </c>
      <c r="P356" s="5">
        <v>291197</v>
      </c>
    </row>
    <row r="357" spans="1:16" x14ac:dyDescent="0.3">
      <c r="A357" s="5">
        <v>7</v>
      </c>
      <c r="B357" s="5" t="s">
        <v>105</v>
      </c>
      <c r="C357" s="5">
        <v>5</v>
      </c>
      <c r="D357" s="5" t="s">
        <v>80</v>
      </c>
      <c r="E357" s="5">
        <v>2022</v>
      </c>
      <c r="F357" s="5">
        <v>6</v>
      </c>
      <c r="G357" s="5" t="s">
        <v>39</v>
      </c>
      <c r="H357" s="5">
        <v>2213003</v>
      </c>
      <c r="I357" s="5">
        <v>1884613.53</v>
      </c>
      <c r="J357" s="5">
        <v>35</v>
      </c>
      <c r="K357" s="5">
        <v>269294</v>
      </c>
      <c r="L357" s="5">
        <v>2479650</v>
      </c>
      <c r="M357" s="5">
        <v>328389.46999999997</v>
      </c>
      <c r="N357" s="5">
        <v>0.1484</v>
      </c>
      <c r="O357" s="5">
        <v>3</v>
      </c>
      <c r="P357" s="5">
        <v>25243</v>
      </c>
    </row>
    <row r="358" spans="1:16" x14ac:dyDescent="0.3">
      <c r="A358" s="5">
        <v>7</v>
      </c>
      <c r="B358" s="5" t="s">
        <v>105</v>
      </c>
      <c r="C358" s="5">
        <v>5</v>
      </c>
      <c r="D358" s="5" t="s">
        <v>80</v>
      </c>
      <c r="E358" s="5">
        <v>2022</v>
      </c>
      <c r="F358" s="5">
        <v>7</v>
      </c>
      <c r="G358" s="5" t="s">
        <v>40</v>
      </c>
      <c r="H358" s="5">
        <v>2065813</v>
      </c>
      <c r="I358" s="5">
        <v>1945845.36</v>
      </c>
      <c r="J358" s="5">
        <v>31</v>
      </c>
      <c r="K358" s="5">
        <v>420273</v>
      </c>
      <c r="L358" s="5">
        <v>2482420</v>
      </c>
      <c r="M358" s="5">
        <v>119967.64</v>
      </c>
      <c r="N358" s="5">
        <v>5.8099999999999999E-2</v>
      </c>
      <c r="O358" s="5">
        <v>4</v>
      </c>
      <c r="P358" s="5">
        <v>145512</v>
      </c>
    </row>
    <row r="359" spans="1:16" x14ac:dyDescent="0.3">
      <c r="A359" s="5">
        <v>7</v>
      </c>
      <c r="B359" s="5" t="s">
        <v>105</v>
      </c>
      <c r="C359" s="5">
        <v>5</v>
      </c>
      <c r="D359" s="5" t="s">
        <v>80</v>
      </c>
      <c r="E359" s="5">
        <v>2022</v>
      </c>
      <c r="F359" s="5">
        <v>8</v>
      </c>
      <c r="G359" s="5" t="s">
        <v>41</v>
      </c>
      <c r="H359" s="5">
        <v>2325196</v>
      </c>
      <c r="I359" s="5">
        <v>2108411.67</v>
      </c>
      <c r="J359" s="5">
        <v>26</v>
      </c>
      <c r="K359" s="5">
        <v>273463</v>
      </c>
      <c r="L359" s="5">
        <v>2592220</v>
      </c>
      <c r="M359" s="5">
        <v>216784.33</v>
      </c>
      <c r="N359" s="5">
        <v>9.3200000000000005E-2</v>
      </c>
      <c r="O359" s="5">
        <v>4</v>
      </c>
      <c r="P359" s="5">
        <v>196291</v>
      </c>
    </row>
    <row r="360" spans="1:16" x14ac:dyDescent="0.3">
      <c r="A360" s="5">
        <v>7</v>
      </c>
      <c r="B360" s="5" t="s">
        <v>105</v>
      </c>
      <c r="C360" s="5">
        <v>5</v>
      </c>
      <c r="D360" s="5" t="s">
        <v>80</v>
      </c>
      <c r="E360" s="5">
        <v>2022</v>
      </c>
      <c r="F360" s="5">
        <v>9</v>
      </c>
      <c r="G360" s="5" t="s">
        <v>42</v>
      </c>
      <c r="H360" s="5">
        <v>1815839</v>
      </c>
      <c r="I360" s="5">
        <v>1607443.49</v>
      </c>
      <c r="J360" s="5">
        <v>27</v>
      </c>
      <c r="K360" s="5">
        <v>250279</v>
      </c>
      <c r="L360" s="5">
        <v>2056070</v>
      </c>
      <c r="M360" s="5">
        <v>208395.51</v>
      </c>
      <c r="N360" s="5">
        <v>0.1148</v>
      </c>
      <c r="O360" s="5">
        <v>3</v>
      </c>
      <c r="P360" s="5">
        <v>278330</v>
      </c>
    </row>
    <row r="361" spans="1:16" x14ac:dyDescent="0.3">
      <c r="A361" s="5">
        <v>7</v>
      </c>
      <c r="B361" s="5" t="s">
        <v>105</v>
      </c>
      <c r="C361" s="5">
        <v>5</v>
      </c>
      <c r="D361" s="5" t="s">
        <v>80</v>
      </c>
      <c r="E361" s="5">
        <v>2022</v>
      </c>
      <c r="F361" s="5">
        <v>10</v>
      </c>
      <c r="G361" s="5" t="s">
        <v>43</v>
      </c>
      <c r="H361" s="5">
        <v>3271281</v>
      </c>
      <c r="I361" s="5">
        <v>2809519.58</v>
      </c>
      <c r="J361" s="5">
        <v>46</v>
      </c>
      <c r="K361" s="5">
        <v>396770</v>
      </c>
      <c r="L361" s="5">
        <v>3651400</v>
      </c>
      <c r="M361" s="5">
        <v>461761.42</v>
      </c>
      <c r="N361" s="5">
        <v>0.14119999999999999</v>
      </c>
      <c r="O361" s="5">
        <v>5</v>
      </c>
      <c r="P361" s="5">
        <v>287935</v>
      </c>
    </row>
    <row r="362" spans="1:16" x14ac:dyDescent="0.3">
      <c r="A362" s="5">
        <v>7</v>
      </c>
      <c r="B362" s="5" t="s">
        <v>105</v>
      </c>
      <c r="C362" s="5">
        <v>5</v>
      </c>
      <c r="D362" s="5" t="s">
        <v>80</v>
      </c>
      <c r="E362" s="5">
        <v>2022</v>
      </c>
      <c r="F362" s="5">
        <v>11</v>
      </c>
      <c r="G362" s="5" t="s">
        <v>44</v>
      </c>
      <c r="H362" s="5">
        <v>3708397</v>
      </c>
      <c r="I362" s="5">
        <v>3342618.72</v>
      </c>
      <c r="J362" s="5">
        <v>44</v>
      </c>
      <c r="K362" s="5">
        <v>624595</v>
      </c>
      <c r="L362" s="5">
        <v>4322330</v>
      </c>
      <c r="M362" s="5">
        <v>365778.28</v>
      </c>
      <c r="N362" s="5">
        <v>9.8599999999999993E-2</v>
      </c>
      <c r="O362" s="5">
        <v>3</v>
      </c>
      <c r="P362" s="5">
        <v>25979</v>
      </c>
    </row>
    <row r="363" spans="1:16" x14ac:dyDescent="0.3">
      <c r="A363" s="5">
        <v>7</v>
      </c>
      <c r="B363" s="5" t="s">
        <v>105</v>
      </c>
      <c r="C363" s="5">
        <v>5</v>
      </c>
      <c r="D363" s="5" t="s">
        <v>80</v>
      </c>
      <c r="E363" s="5">
        <v>2022</v>
      </c>
      <c r="F363" s="5">
        <v>12</v>
      </c>
      <c r="G363" s="5" t="s">
        <v>45</v>
      </c>
      <c r="H363" s="5">
        <v>1956764</v>
      </c>
      <c r="I363" s="5">
        <v>1590887.12</v>
      </c>
      <c r="J363" s="5">
        <v>38</v>
      </c>
      <c r="K363" s="5">
        <v>142150</v>
      </c>
      <c r="L363" s="5">
        <v>2094610</v>
      </c>
      <c r="M363" s="5">
        <v>365876.88</v>
      </c>
      <c r="N363" s="5">
        <v>0.187</v>
      </c>
      <c r="O363" s="5">
        <v>2</v>
      </c>
      <c r="P363" s="5">
        <v>17406</v>
      </c>
    </row>
    <row r="364" spans="1:16" x14ac:dyDescent="0.3">
      <c r="A364" s="5">
        <v>7</v>
      </c>
      <c r="B364" s="5" t="s">
        <v>105</v>
      </c>
      <c r="C364" s="5">
        <v>5</v>
      </c>
      <c r="D364" s="5" t="s">
        <v>80</v>
      </c>
      <c r="E364" s="5">
        <v>2023</v>
      </c>
      <c r="F364" s="5">
        <v>1</v>
      </c>
      <c r="G364" s="5" t="s">
        <v>46</v>
      </c>
      <c r="H364" s="5">
        <v>2583449</v>
      </c>
      <c r="I364" s="5">
        <v>2179517.56</v>
      </c>
      <c r="J364" s="5">
        <v>40</v>
      </c>
      <c r="K364" s="5">
        <v>266178</v>
      </c>
      <c r="L364" s="5">
        <v>2834820</v>
      </c>
      <c r="M364" s="5">
        <v>403931.44</v>
      </c>
      <c r="N364" s="5">
        <v>0.15640000000000001</v>
      </c>
      <c r="O364" s="5">
        <v>4</v>
      </c>
      <c r="P364" s="5">
        <v>126013</v>
      </c>
    </row>
    <row r="365" spans="1:16" x14ac:dyDescent="0.3">
      <c r="A365" s="5">
        <v>7</v>
      </c>
      <c r="B365" s="5" t="s">
        <v>105</v>
      </c>
      <c r="C365" s="5">
        <v>5</v>
      </c>
      <c r="D365" s="5" t="s">
        <v>80</v>
      </c>
      <c r="E365" s="5">
        <v>2023</v>
      </c>
      <c r="F365" s="5">
        <v>2</v>
      </c>
      <c r="G365" s="5" t="s">
        <v>47</v>
      </c>
      <c r="H365" s="5">
        <v>2719586</v>
      </c>
      <c r="I365" s="5">
        <v>2259157.14</v>
      </c>
      <c r="J365" s="5">
        <v>25</v>
      </c>
      <c r="K365" s="5">
        <v>172023</v>
      </c>
      <c r="L365" s="5">
        <v>2855010</v>
      </c>
      <c r="M365" s="5">
        <v>460428.86</v>
      </c>
      <c r="N365" s="5">
        <v>0.16930000000000001</v>
      </c>
      <c r="O365" s="5">
        <v>5</v>
      </c>
      <c r="P365" s="5">
        <v>185581</v>
      </c>
    </row>
    <row r="366" spans="1:16" x14ac:dyDescent="0.3">
      <c r="A366" s="5">
        <v>7</v>
      </c>
      <c r="B366" s="5" t="s">
        <v>105</v>
      </c>
      <c r="C366" s="5">
        <v>5</v>
      </c>
      <c r="D366" s="5" t="s">
        <v>80</v>
      </c>
      <c r="E366" s="5">
        <v>2023</v>
      </c>
      <c r="F366" s="5">
        <v>3</v>
      </c>
      <c r="G366" s="5" t="s">
        <v>48</v>
      </c>
      <c r="H366" s="5">
        <v>2387270</v>
      </c>
      <c r="I366" s="5">
        <v>2043771.8</v>
      </c>
      <c r="J366" s="5">
        <v>35</v>
      </c>
      <c r="K366" s="5">
        <v>328327</v>
      </c>
      <c r="L366" s="5">
        <v>2702800</v>
      </c>
      <c r="M366" s="5">
        <v>343498.2</v>
      </c>
      <c r="N366" s="5">
        <v>0.1439</v>
      </c>
      <c r="O366" s="5">
        <v>0</v>
      </c>
      <c r="P366" s="5">
        <v>0</v>
      </c>
    </row>
    <row r="367" spans="1:16" x14ac:dyDescent="0.3">
      <c r="A367" s="5">
        <v>7</v>
      </c>
      <c r="B367" s="5" t="s">
        <v>105</v>
      </c>
      <c r="C367" s="5">
        <v>5</v>
      </c>
      <c r="D367" s="5" t="s">
        <v>80</v>
      </c>
      <c r="E367" s="5">
        <v>2023</v>
      </c>
      <c r="F367" s="5">
        <v>4</v>
      </c>
      <c r="G367" s="5" t="s">
        <v>49</v>
      </c>
      <c r="H367" s="5">
        <v>2967166</v>
      </c>
      <c r="I367" s="5">
        <v>2554495.64</v>
      </c>
      <c r="J367" s="5">
        <v>49</v>
      </c>
      <c r="K367" s="5">
        <v>351424</v>
      </c>
      <c r="L367" s="5">
        <v>3307950</v>
      </c>
      <c r="M367" s="5">
        <v>412670.36</v>
      </c>
      <c r="N367" s="5">
        <v>0.1391</v>
      </c>
      <c r="O367" s="5">
        <v>4</v>
      </c>
      <c r="P367" s="5">
        <v>319812</v>
      </c>
    </row>
    <row r="368" spans="1:16" x14ac:dyDescent="0.3">
      <c r="A368" s="5">
        <v>7</v>
      </c>
      <c r="B368" s="5" t="s">
        <v>105</v>
      </c>
      <c r="C368" s="5">
        <v>5</v>
      </c>
      <c r="D368" s="5" t="s">
        <v>80</v>
      </c>
      <c r="E368" s="5">
        <v>2023</v>
      </c>
      <c r="F368" s="5">
        <v>5</v>
      </c>
      <c r="G368" s="5" t="s">
        <v>50</v>
      </c>
      <c r="H368" s="5">
        <v>2648162</v>
      </c>
      <c r="I368" s="5">
        <v>2236254.81</v>
      </c>
      <c r="J368" s="5">
        <v>42</v>
      </c>
      <c r="K368" s="5">
        <v>325540</v>
      </c>
      <c r="L368" s="5">
        <v>2957920</v>
      </c>
      <c r="M368" s="5">
        <v>411907.19</v>
      </c>
      <c r="N368" s="5">
        <v>0.1555</v>
      </c>
      <c r="O368" s="5">
        <v>1</v>
      </c>
      <c r="P368" s="5">
        <v>20979</v>
      </c>
    </row>
    <row r="369" spans="1:16" x14ac:dyDescent="0.3">
      <c r="A369" s="5">
        <v>7</v>
      </c>
      <c r="B369" s="5" t="s">
        <v>105</v>
      </c>
      <c r="C369" s="5">
        <v>5</v>
      </c>
      <c r="D369" s="5" t="s">
        <v>80</v>
      </c>
      <c r="E369" s="5">
        <v>2023</v>
      </c>
      <c r="F369" s="5">
        <v>6</v>
      </c>
      <c r="G369" s="5" t="s">
        <v>51</v>
      </c>
      <c r="H369" s="5">
        <v>3131486</v>
      </c>
      <c r="I369" s="5">
        <v>2612987.17</v>
      </c>
      <c r="J369" s="5">
        <v>41</v>
      </c>
      <c r="K369" s="5">
        <v>227581</v>
      </c>
      <c r="L369" s="5">
        <v>3343190</v>
      </c>
      <c r="M369" s="5">
        <v>518498.83</v>
      </c>
      <c r="N369" s="5">
        <v>0.1656</v>
      </c>
      <c r="O369" s="5">
        <v>3</v>
      </c>
      <c r="P369" s="5">
        <v>15020</v>
      </c>
    </row>
    <row r="370" spans="1:16" x14ac:dyDescent="0.3">
      <c r="A370" s="5">
        <v>7</v>
      </c>
      <c r="B370" s="5" t="s">
        <v>105</v>
      </c>
      <c r="C370" s="5">
        <v>5</v>
      </c>
      <c r="D370" s="5" t="s">
        <v>80</v>
      </c>
      <c r="E370" s="5">
        <v>2023</v>
      </c>
      <c r="F370" s="5">
        <v>7</v>
      </c>
      <c r="G370" s="5" t="s">
        <v>52</v>
      </c>
      <c r="H370" s="5">
        <v>2408130</v>
      </c>
      <c r="I370" s="5">
        <v>2026812.49</v>
      </c>
      <c r="J370" s="5">
        <v>43</v>
      </c>
      <c r="K370" s="5">
        <v>234166</v>
      </c>
      <c r="L370" s="5">
        <v>2633690</v>
      </c>
      <c r="M370" s="5">
        <v>381317.51</v>
      </c>
      <c r="N370" s="5">
        <v>0.1583</v>
      </c>
      <c r="O370" s="5">
        <v>5</v>
      </c>
      <c r="P370" s="5">
        <v>180912</v>
      </c>
    </row>
    <row r="371" spans="1:16" x14ac:dyDescent="0.3">
      <c r="A371" s="5">
        <v>7</v>
      </c>
      <c r="B371" s="5" t="s">
        <v>105</v>
      </c>
      <c r="C371" s="5">
        <v>5</v>
      </c>
      <c r="D371" s="5" t="s">
        <v>80</v>
      </c>
      <c r="E371" s="5">
        <v>2023</v>
      </c>
      <c r="F371" s="5">
        <v>8</v>
      </c>
      <c r="G371" s="5" t="s">
        <v>53</v>
      </c>
      <c r="H371" s="5">
        <v>2902588</v>
      </c>
      <c r="I371" s="5">
        <v>2524355.62</v>
      </c>
      <c r="J371" s="5">
        <v>38</v>
      </c>
      <c r="K371" s="5">
        <v>337598</v>
      </c>
      <c r="L371" s="5">
        <v>3231850</v>
      </c>
      <c r="M371" s="5">
        <v>378232.38</v>
      </c>
      <c r="N371" s="5">
        <v>0.1303</v>
      </c>
      <c r="O371" s="5">
        <v>2</v>
      </c>
      <c r="P371" s="5">
        <v>192669</v>
      </c>
    </row>
    <row r="372" spans="1:16" x14ac:dyDescent="0.3">
      <c r="A372" s="5">
        <v>7</v>
      </c>
      <c r="B372" s="5" t="s">
        <v>105</v>
      </c>
      <c r="C372" s="5">
        <v>5</v>
      </c>
      <c r="D372" s="5" t="s">
        <v>80</v>
      </c>
      <c r="E372" s="5">
        <v>2023</v>
      </c>
      <c r="F372" s="5">
        <v>9</v>
      </c>
      <c r="G372" s="5" t="s">
        <v>54</v>
      </c>
      <c r="H372" s="5">
        <v>2458575</v>
      </c>
      <c r="I372" s="5">
        <v>2111121.9500000002</v>
      </c>
      <c r="J372" s="5">
        <v>36</v>
      </c>
      <c r="K372" s="5">
        <v>264220</v>
      </c>
      <c r="L372" s="5">
        <v>2706450</v>
      </c>
      <c r="M372" s="5">
        <v>347453.05</v>
      </c>
      <c r="N372" s="5">
        <v>0.14130000000000001</v>
      </c>
      <c r="O372" s="5">
        <v>3</v>
      </c>
      <c r="P372" s="5">
        <v>11362</v>
      </c>
    </row>
    <row r="373" spans="1:16" x14ac:dyDescent="0.3">
      <c r="A373" s="5">
        <v>7</v>
      </c>
      <c r="B373" s="5" t="s">
        <v>105</v>
      </c>
      <c r="C373" s="5">
        <v>5</v>
      </c>
      <c r="D373" s="5" t="s">
        <v>80</v>
      </c>
      <c r="E373" s="5">
        <v>2023</v>
      </c>
      <c r="F373" s="5">
        <v>10</v>
      </c>
      <c r="G373" s="5" t="s">
        <v>55</v>
      </c>
      <c r="H373" s="5">
        <v>2825348</v>
      </c>
      <c r="I373" s="5">
        <v>2347084.79</v>
      </c>
      <c r="J373" s="5">
        <v>53</v>
      </c>
      <c r="K373" s="5">
        <v>301813</v>
      </c>
      <c r="L373" s="5">
        <v>3117820</v>
      </c>
      <c r="M373" s="5">
        <v>478263.21</v>
      </c>
      <c r="N373" s="5">
        <v>0.16930000000000001</v>
      </c>
      <c r="O373" s="5">
        <v>6</v>
      </c>
      <c r="P373" s="5">
        <v>156362</v>
      </c>
    </row>
    <row r="374" spans="1:16" x14ac:dyDescent="0.3">
      <c r="A374" s="5">
        <v>7</v>
      </c>
      <c r="B374" s="5" t="s">
        <v>105</v>
      </c>
      <c r="C374" s="5">
        <v>5</v>
      </c>
      <c r="D374" s="5" t="s">
        <v>80</v>
      </c>
      <c r="E374" s="5">
        <v>2023</v>
      </c>
      <c r="F374" s="5">
        <v>11</v>
      </c>
      <c r="G374" s="5" t="s">
        <v>56</v>
      </c>
      <c r="H374" s="5">
        <v>2293941</v>
      </c>
      <c r="I374" s="5">
        <v>1914478.34</v>
      </c>
      <c r="J374" s="5">
        <v>41</v>
      </c>
      <c r="K374" s="5">
        <v>208774</v>
      </c>
      <c r="L374" s="5">
        <v>2495290</v>
      </c>
      <c r="M374" s="5">
        <v>379462.66</v>
      </c>
      <c r="N374" s="5">
        <v>0.16539999999999999</v>
      </c>
      <c r="O374" s="5">
        <v>4</v>
      </c>
      <c r="P374" s="5">
        <v>137307</v>
      </c>
    </row>
    <row r="375" spans="1:16" x14ac:dyDescent="0.3">
      <c r="A375" s="5">
        <v>7</v>
      </c>
      <c r="B375" s="5" t="s">
        <v>105</v>
      </c>
      <c r="C375" s="5">
        <v>5</v>
      </c>
      <c r="D375" s="5" t="s">
        <v>80</v>
      </c>
      <c r="E375" s="5">
        <v>2023</v>
      </c>
      <c r="F375" s="5">
        <v>12</v>
      </c>
      <c r="G375" s="5" t="s">
        <v>57</v>
      </c>
      <c r="H375" s="5">
        <v>4141388</v>
      </c>
      <c r="I375" s="5">
        <v>3888768.82</v>
      </c>
      <c r="J375" s="5">
        <v>70</v>
      </c>
      <c r="K375" s="5">
        <v>970596</v>
      </c>
      <c r="L375" s="5">
        <v>5098660</v>
      </c>
      <c r="M375" s="5">
        <v>252619.18</v>
      </c>
      <c r="N375" s="5">
        <v>6.0999999999999999E-2</v>
      </c>
      <c r="O375" s="5">
        <v>9</v>
      </c>
      <c r="P375" s="5">
        <v>199133</v>
      </c>
    </row>
    <row r="376" spans="1:16" x14ac:dyDescent="0.3">
      <c r="A376" s="5">
        <v>7</v>
      </c>
      <c r="B376" s="5" t="s">
        <v>105</v>
      </c>
      <c r="C376" s="5">
        <v>5</v>
      </c>
      <c r="D376" s="5" t="s">
        <v>80</v>
      </c>
      <c r="E376" s="5">
        <v>2024</v>
      </c>
      <c r="F376" s="5">
        <v>1</v>
      </c>
      <c r="G376" s="5" t="s">
        <v>58</v>
      </c>
      <c r="H376" s="5">
        <v>3259835</v>
      </c>
      <c r="I376" s="5">
        <v>2955443.61</v>
      </c>
      <c r="J376" s="5">
        <v>34</v>
      </c>
      <c r="K376" s="5">
        <v>556137</v>
      </c>
      <c r="L376" s="5">
        <v>3812710</v>
      </c>
      <c r="M376" s="5">
        <v>304391.39</v>
      </c>
      <c r="N376" s="5">
        <v>9.3399999999999997E-2</v>
      </c>
      <c r="O376" s="5">
        <v>5</v>
      </c>
      <c r="P376" s="5">
        <v>101014</v>
      </c>
    </row>
    <row r="377" spans="1:16" x14ac:dyDescent="0.3">
      <c r="A377" s="5">
        <v>7</v>
      </c>
      <c r="B377" s="5" t="s">
        <v>105</v>
      </c>
      <c r="C377" s="5">
        <v>5</v>
      </c>
      <c r="D377" s="5" t="s">
        <v>80</v>
      </c>
      <c r="E377" s="5">
        <v>2024</v>
      </c>
      <c r="F377" s="5">
        <v>2</v>
      </c>
      <c r="G377" s="5" t="s">
        <v>59</v>
      </c>
      <c r="H377" s="5">
        <v>2007153</v>
      </c>
      <c r="I377" s="5">
        <v>1747343.5</v>
      </c>
      <c r="J377" s="5">
        <v>36</v>
      </c>
      <c r="K377" s="5">
        <v>248616</v>
      </c>
      <c r="L377" s="5">
        <v>2249110</v>
      </c>
      <c r="M377" s="5">
        <v>259809.5</v>
      </c>
      <c r="N377" s="5">
        <v>0.12939999999999999</v>
      </c>
      <c r="O377" s="5">
        <v>4</v>
      </c>
      <c r="P377" s="5">
        <v>66448</v>
      </c>
    </row>
    <row r="378" spans="1:16" x14ac:dyDescent="0.3">
      <c r="A378" s="5">
        <v>7</v>
      </c>
      <c r="B378" s="5" t="s">
        <v>105</v>
      </c>
      <c r="C378" s="5">
        <v>5</v>
      </c>
      <c r="D378" s="5" t="s">
        <v>80</v>
      </c>
      <c r="E378" s="5">
        <v>2024</v>
      </c>
      <c r="F378" s="5">
        <v>3</v>
      </c>
      <c r="G378" s="5" t="s">
        <v>60</v>
      </c>
      <c r="H378" s="5">
        <v>2835569</v>
      </c>
      <c r="I378" s="5">
        <v>2363166.7999999998</v>
      </c>
      <c r="J378" s="5">
        <v>37</v>
      </c>
      <c r="K378" s="5">
        <v>274028</v>
      </c>
      <c r="L378" s="5">
        <v>3098480</v>
      </c>
      <c r="M378" s="5">
        <v>472402.2</v>
      </c>
      <c r="N378" s="5">
        <v>0.1666</v>
      </c>
      <c r="O378" s="5">
        <v>6</v>
      </c>
      <c r="P378" s="5">
        <v>156039</v>
      </c>
    </row>
    <row r="379" spans="1:16" x14ac:dyDescent="0.3">
      <c r="A379" s="5">
        <v>7</v>
      </c>
      <c r="B379" s="5" t="s">
        <v>105</v>
      </c>
      <c r="C379" s="5">
        <v>5</v>
      </c>
      <c r="D379" s="5" t="s">
        <v>80</v>
      </c>
      <c r="E379" s="5">
        <v>2024</v>
      </c>
      <c r="F379" s="5">
        <v>4</v>
      </c>
      <c r="G379" s="5" t="s">
        <v>61</v>
      </c>
      <c r="H379" s="5">
        <v>2160552</v>
      </c>
      <c r="I379" s="5">
        <v>1813867.21</v>
      </c>
      <c r="J379" s="5">
        <v>37</v>
      </c>
      <c r="K379" s="5">
        <v>201317</v>
      </c>
      <c r="L379" s="5">
        <v>2353300</v>
      </c>
      <c r="M379" s="5">
        <v>346684.79</v>
      </c>
      <c r="N379" s="5">
        <v>0.1605</v>
      </c>
      <c r="O379" s="5">
        <v>4</v>
      </c>
      <c r="P379" s="5">
        <v>194525</v>
      </c>
    </row>
    <row r="380" spans="1:16" x14ac:dyDescent="0.3">
      <c r="A380" s="5">
        <v>7</v>
      </c>
      <c r="B380" s="5" t="s">
        <v>105</v>
      </c>
      <c r="C380" s="5">
        <v>5</v>
      </c>
      <c r="D380" s="5" t="s">
        <v>80</v>
      </c>
      <c r="E380" s="5">
        <v>2024</v>
      </c>
      <c r="F380" s="5">
        <v>5</v>
      </c>
      <c r="G380" s="5" t="s">
        <v>62</v>
      </c>
      <c r="H380" s="5">
        <v>2050607</v>
      </c>
      <c r="I380" s="5">
        <v>1749392.37</v>
      </c>
      <c r="J380" s="5">
        <v>41</v>
      </c>
      <c r="K380" s="5">
        <v>232447</v>
      </c>
      <c r="L380" s="5">
        <v>2277890</v>
      </c>
      <c r="M380" s="5">
        <v>301214.63</v>
      </c>
      <c r="N380" s="5">
        <v>0.1469</v>
      </c>
      <c r="O380" s="5">
        <v>2</v>
      </c>
      <c r="P380" s="5">
        <v>2500</v>
      </c>
    </row>
    <row r="381" spans="1:16" x14ac:dyDescent="0.3">
      <c r="A381" s="5">
        <v>7</v>
      </c>
      <c r="B381" s="5" t="s">
        <v>105</v>
      </c>
      <c r="C381" s="5">
        <v>5</v>
      </c>
      <c r="D381" s="5" t="s">
        <v>80</v>
      </c>
      <c r="E381" s="5">
        <v>2024</v>
      </c>
      <c r="F381" s="5">
        <v>6</v>
      </c>
      <c r="G381" s="5" t="s">
        <v>63</v>
      </c>
      <c r="H381" s="5">
        <v>2707166</v>
      </c>
      <c r="I381" s="5">
        <v>2205549.7000000002</v>
      </c>
      <c r="J381" s="5">
        <v>39</v>
      </c>
      <c r="K381" s="5">
        <v>106649</v>
      </c>
      <c r="L381" s="5">
        <v>2804760</v>
      </c>
      <c r="M381" s="5">
        <v>501616.3</v>
      </c>
      <c r="N381" s="5">
        <v>0.18529999999999999</v>
      </c>
      <c r="O381" s="5">
        <v>5</v>
      </c>
      <c r="P381" s="5">
        <v>45070</v>
      </c>
    </row>
    <row r="382" spans="1:16" x14ac:dyDescent="0.3">
      <c r="A382" s="5">
        <v>7</v>
      </c>
      <c r="B382" s="5" t="s">
        <v>105</v>
      </c>
      <c r="C382" s="5">
        <v>5</v>
      </c>
      <c r="D382" s="5" t="s">
        <v>80</v>
      </c>
      <c r="E382" s="5">
        <v>2024</v>
      </c>
      <c r="F382" s="5">
        <v>7</v>
      </c>
      <c r="G382" s="5" t="s">
        <v>64</v>
      </c>
      <c r="H382" s="5">
        <v>2437048</v>
      </c>
      <c r="I382" s="5">
        <v>2036370.38</v>
      </c>
      <c r="J382" s="5">
        <v>44</v>
      </c>
      <c r="K382" s="5">
        <v>210272</v>
      </c>
      <c r="L382" s="5">
        <v>2641910</v>
      </c>
      <c r="M382" s="5">
        <v>400677.62</v>
      </c>
      <c r="N382" s="5">
        <v>0.16439999999999999</v>
      </c>
      <c r="O382" s="5">
        <v>3</v>
      </c>
      <c r="P382" s="5">
        <v>51105</v>
      </c>
    </row>
    <row r="383" spans="1:16" x14ac:dyDescent="0.3">
      <c r="A383" s="5">
        <v>7</v>
      </c>
      <c r="B383" s="5" t="s">
        <v>105</v>
      </c>
      <c r="C383" s="5">
        <v>5</v>
      </c>
      <c r="D383" s="5" t="s">
        <v>80</v>
      </c>
      <c r="E383" s="5">
        <v>2024</v>
      </c>
      <c r="F383" s="5">
        <v>8</v>
      </c>
      <c r="G383" s="5" t="s">
        <v>65</v>
      </c>
      <c r="H383" s="5">
        <v>2277168</v>
      </c>
      <c r="I383" s="5">
        <v>1977485.85</v>
      </c>
      <c r="J383" s="5">
        <v>31</v>
      </c>
      <c r="K383" s="5">
        <v>251608</v>
      </c>
      <c r="L383" s="5">
        <v>2523930</v>
      </c>
      <c r="M383" s="5">
        <v>299682.15000000002</v>
      </c>
      <c r="N383" s="5">
        <v>0.13159999999999999</v>
      </c>
      <c r="O383" s="5">
        <v>3</v>
      </c>
      <c r="P383" s="5">
        <v>231752</v>
      </c>
    </row>
    <row r="384" spans="1:16" x14ac:dyDescent="0.3">
      <c r="A384" s="5">
        <v>7</v>
      </c>
      <c r="B384" s="5" t="s">
        <v>105</v>
      </c>
      <c r="C384" s="5">
        <v>5</v>
      </c>
      <c r="D384" s="5" t="s">
        <v>80</v>
      </c>
      <c r="E384" s="5">
        <v>2024</v>
      </c>
      <c r="F384" s="5">
        <v>9</v>
      </c>
      <c r="G384" s="5" t="s">
        <v>66</v>
      </c>
      <c r="H384" s="5">
        <v>2803970</v>
      </c>
      <c r="I384" s="5">
        <v>2249041.8199999998</v>
      </c>
      <c r="J384" s="5">
        <v>47</v>
      </c>
      <c r="K384" s="5">
        <v>151117</v>
      </c>
      <c r="L384" s="5">
        <v>2943990</v>
      </c>
      <c r="M384" s="5">
        <v>554928.18000000005</v>
      </c>
      <c r="N384" s="5">
        <v>0.19789999999999999</v>
      </c>
      <c r="O384" s="5">
        <v>3</v>
      </c>
      <c r="P384" s="5">
        <v>162128</v>
      </c>
    </row>
    <row r="385" spans="1:16" x14ac:dyDescent="0.3">
      <c r="A385" s="5">
        <v>7</v>
      </c>
      <c r="B385" s="5" t="s">
        <v>105</v>
      </c>
      <c r="C385" s="5">
        <v>5</v>
      </c>
      <c r="D385" s="5" t="s">
        <v>80</v>
      </c>
      <c r="E385" s="5">
        <v>2024</v>
      </c>
      <c r="F385" s="5">
        <v>10</v>
      </c>
      <c r="G385" s="5" t="s">
        <v>67</v>
      </c>
      <c r="H385" s="5">
        <v>5012036</v>
      </c>
      <c r="I385" s="5">
        <v>4055897.05</v>
      </c>
      <c r="J385" s="5">
        <v>70</v>
      </c>
      <c r="K385" s="5">
        <v>153452</v>
      </c>
      <c r="L385" s="5">
        <v>5146580</v>
      </c>
      <c r="M385" s="5">
        <v>956138.95</v>
      </c>
      <c r="N385" s="5">
        <v>0.1908</v>
      </c>
      <c r="O385" s="5">
        <v>4</v>
      </c>
      <c r="P385" s="5">
        <v>215137</v>
      </c>
    </row>
    <row r="386" spans="1:16" x14ac:dyDescent="0.3">
      <c r="A386" s="5">
        <v>7</v>
      </c>
      <c r="B386" s="5" t="s">
        <v>105</v>
      </c>
      <c r="C386" s="5">
        <v>5</v>
      </c>
      <c r="D386" s="5" t="s">
        <v>80</v>
      </c>
      <c r="E386" s="5">
        <v>2024</v>
      </c>
      <c r="F386" s="5">
        <v>11</v>
      </c>
      <c r="G386" s="5" t="s">
        <v>68</v>
      </c>
      <c r="H386" s="5">
        <v>3638376</v>
      </c>
      <c r="I386" s="5">
        <v>2988366.78</v>
      </c>
      <c r="J386" s="5">
        <v>47</v>
      </c>
      <c r="K386" s="5">
        <v>197958</v>
      </c>
      <c r="L386" s="5">
        <v>3825690</v>
      </c>
      <c r="M386" s="5">
        <v>650009.22</v>
      </c>
      <c r="N386" s="5">
        <v>0.1787</v>
      </c>
      <c r="O386" s="5">
        <v>3</v>
      </c>
      <c r="P386" s="5">
        <v>166854</v>
      </c>
    </row>
    <row r="387" spans="1:16" x14ac:dyDescent="0.3">
      <c r="A387" s="5">
        <v>7</v>
      </c>
      <c r="B387" s="5" t="s">
        <v>105</v>
      </c>
      <c r="C387" s="5">
        <v>5</v>
      </c>
      <c r="D387" s="5" t="s">
        <v>80</v>
      </c>
      <c r="E387" s="5">
        <v>2024</v>
      </c>
      <c r="F387" s="5">
        <v>12</v>
      </c>
      <c r="G387" s="5" t="s">
        <v>69</v>
      </c>
      <c r="H387" s="5">
        <v>3381662</v>
      </c>
      <c r="I387" s="5">
        <v>2639994.8799999999</v>
      </c>
      <c r="J387" s="5">
        <v>54</v>
      </c>
      <c r="K387" s="5">
        <v>101748</v>
      </c>
      <c r="L387" s="5">
        <v>3474430</v>
      </c>
      <c r="M387" s="5">
        <v>741667.12</v>
      </c>
      <c r="N387" s="5">
        <v>0.21929999999999999</v>
      </c>
      <c r="O387" s="5">
        <v>1</v>
      </c>
      <c r="P387" s="5">
        <v>42671</v>
      </c>
    </row>
    <row r="388" spans="1:16" x14ac:dyDescent="0.3">
      <c r="A388" s="5">
        <v>68</v>
      </c>
      <c r="B388" s="5" t="s">
        <v>106</v>
      </c>
      <c r="C388" s="5">
        <v>5</v>
      </c>
      <c r="D388" s="5" t="s">
        <v>80</v>
      </c>
      <c r="E388" s="5">
        <v>2021</v>
      </c>
      <c r="F388" s="5">
        <v>1</v>
      </c>
      <c r="G388" s="5" t="s">
        <v>22</v>
      </c>
      <c r="H388" s="5">
        <v>962442</v>
      </c>
      <c r="I388" s="5">
        <v>777531.99</v>
      </c>
      <c r="J388" s="5">
        <v>27</v>
      </c>
      <c r="K388" s="5">
        <v>84820</v>
      </c>
      <c r="L388" s="5">
        <v>1043490</v>
      </c>
      <c r="M388" s="5">
        <v>184910.01</v>
      </c>
      <c r="N388" s="5">
        <v>0.19209999999999999</v>
      </c>
      <c r="O388" s="5">
        <v>2</v>
      </c>
      <c r="P388" s="5">
        <v>42732</v>
      </c>
    </row>
    <row r="389" spans="1:16" x14ac:dyDescent="0.3">
      <c r="A389" s="5">
        <v>98</v>
      </c>
      <c r="B389" s="5" t="s">
        <v>106</v>
      </c>
      <c r="C389" s="5">
        <v>5</v>
      </c>
      <c r="D389" s="5" t="s">
        <v>80</v>
      </c>
      <c r="E389" s="5">
        <v>2021</v>
      </c>
      <c r="F389" s="5">
        <v>1</v>
      </c>
      <c r="G389" s="5" t="s">
        <v>22</v>
      </c>
      <c r="H389" s="5">
        <v>4406025</v>
      </c>
      <c r="I389" s="5">
        <v>3884981.45</v>
      </c>
      <c r="J389" s="5">
        <v>64</v>
      </c>
      <c r="K389" s="5">
        <v>506316</v>
      </c>
      <c r="L389" s="5">
        <v>4896220</v>
      </c>
      <c r="M389" s="5">
        <v>521043.55</v>
      </c>
      <c r="N389" s="5">
        <v>0.1183</v>
      </c>
      <c r="O389" s="5">
        <v>6</v>
      </c>
      <c r="P389" s="5">
        <v>249964</v>
      </c>
    </row>
    <row r="390" spans="1:16" x14ac:dyDescent="0.3">
      <c r="A390" s="5">
        <v>68</v>
      </c>
      <c r="B390" s="5" t="s">
        <v>106</v>
      </c>
      <c r="C390" s="5">
        <v>5</v>
      </c>
      <c r="D390" s="5" t="s">
        <v>80</v>
      </c>
      <c r="E390" s="5">
        <v>2021</v>
      </c>
      <c r="F390" s="5">
        <v>2</v>
      </c>
      <c r="G390" s="5" t="s">
        <v>23</v>
      </c>
      <c r="H390" s="5">
        <v>1663173</v>
      </c>
      <c r="I390" s="5">
        <v>1435294.98</v>
      </c>
      <c r="J390" s="5">
        <v>27</v>
      </c>
      <c r="K390" s="5">
        <v>284288</v>
      </c>
      <c r="L390" s="5">
        <v>1945220</v>
      </c>
      <c r="M390" s="5">
        <v>227878.02</v>
      </c>
      <c r="N390" s="5">
        <v>0.13700000000000001</v>
      </c>
      <c r="O390" s="5">
        <v>1</v>
      </c>
      <c r="P390" s="5">
        <v>16106</v>
      </c>
    </row>
    <row r="391" spans="1:16" x14ac:dyDescent="0.3">
      <c r="A391" s="5">
        <v>98</v>
      </c>
      <c r="B391" s="5" t="s">
        <v>106</v>
      </c>
      <c r="C391" s="5">
        <v>5</v>
      </c>
      <c r="D391" s="5" t="s">
        <v>80</v>
      </c>
      <c r="E391" s="5">
        <v>2021</v>
      </c>
      <c r="F391" s="5">
        <v>2</v>
      </c>
      <c r="G391" s="5" t="s">
        <v>23</v>
      </c>
      <c r="H391" s="5">
        <v>3531994</v>
      </c>
      <c r="I391" s="5">
        <v>3179839.87</v>
      </c>
      <c r="J391" s="5">
        <v>69</v>
      </c>
      <c r="K391" s="5">
        <v>570605</v>
      </c>
      <c r="L391" s="5">
        <v>4091740</v>
      </c>
      <c r="M391" s="5">
        <v>352154.13</v>
      </c>
      <c r="N391" s="5">
        <v>9.9699999999999997E-2</v>
      </c>
      <c r="O391" s="5">
        <v>5</v>
      </c>
      <c r="P391" s="5">
        <v>29874</v>
      </c>
    </row>
    <row r="392" spans="1:16" x14ac:dyDescent="0.3">
      <c r="A392" s="5">
        <v>68</v>
      </c>
      <c r="B392" s="5" t="s">
        <v>106</v>
      </c>
      <c r="C392" s="5">
        <v>5</v>
      </c>
      <c r="D392" s="5" t="s">
        <v>80</v>
      </c>
      <c r="E392" s="5">
        <v>2021</v>
      </c>
      <c r="F392" s="5">
        <v>3</v>
      </c>
      <c r="G392" s="5" t="s">
        <v>24</v>
      </c>
      <c r="H392" s="5">
        <v>3089314</v>
      </c>
      <c r="I392" s="5">
        <v>2642885.04</v>
      </c>
      <c r="J392" s="5">
        <v>36</v>
      </c>
      <c r="K392" s="5">
        <v>367510</v>
      </c>
      <c r="L392" s="5">
        <v>3445240</v>
      </c>
      <c r="M392" s="5">
        <v>446428.96</v>
      </c>
      <c r="N392" s="5">
        <v>0.14449999999999999</v>
      </c>
      <c r="O392" s="5">
        <v>8</v>
      </c>
      <c r="P392" s="5">
        <v>694383</v>
      </c>
    </row>
    <row r="393" spans="1:16" x14ac:dyDescent="0.3">
      <c r="A393" s="5">
        <v>98</v>
      </c>
      <c r="B393" s="5" t="s">
        <v>106</v>
      </c>
      <c r="C393" s="5">
        <v>5</v>
      </c>
      <c r="D393" s="5" t="s">
        <v>80</v>
      </c>
      <c r="E393" s="5">
        <v>2021</v>
      </c>
      <c r="F393" s="5">
        <v>3</v>
      </c>
      <c r="G393" s="5" t="s">
        <v>24</v>
      </c>
      <c r="H393" s="5">
        <v>4063063</v>
      </c>
      <c r="I393" s="5">
        <v>3507032</v>
      </c>
      <c r="J393" s="5">
        <v>58</v>
      </c>
      <c r="K393" s="5">
        <v>412675</v>
      </c>
      <c r="L393" s="5">
        <v>4464710</v>
      </c>
      <c r="M393" s="5">
        <v>556031</v>
      </c>
      <c r="N393" s="5">
        <v>0.13689999999999999</v>
      </c>
      <c r="O393" s="5">
        <v>4</v>
      </c>
      <c r="P393" s="5">
        <v>76232</v>
      </c>
    </row>
    <row r="394" spans="1:16" x14ac:dyDescent="0.3">
      <c r="A394" s="5">
        <v>68</v>
      </c>
      <c r="B394" s="5" t="s">
        <v>106</v>
      </c>
      <c r="C394" s="5">
        <v>5</v>
      </c>
      <c r="D394" s="5" t="s">
        <v>80</v>
      </c>
      <c r="E394" s="5">
        <v>2021</v>
      </c>
      <c r="F394" s="5">
        <v>4</v>
      </c>
      <c r="G394" s="5" t="s">
        <v>25</v>
      </c>
      <c r="H394" s="5">
        <v>2336358</v>
      </c>
      <c r="I394" s="5">
        <v>2003361.78</v>
      </c>
      <c r="J394" s="5">
        <v>39</v>
      </c>
      <c r="K394" s="5">
        <v>316542</v>
      </c>
      <c r="L394" s="5">
        <v>2642170</v>
      </c>
      <c r="M394" s="5">
        <v>332996.21999999997</v>
      </c>
      <c r="N394" s="5">
        <v>0.14249999999999999</v>
      </c>
      <c r="O394" s="5">
        <v>5</v>
      </c>
      <c r="P394" s="5">
        <v>59845</v>
      </c>
    </row>
    <row r="395" spans="1:16" x14ac:dyDescent="0.3">
      <c r="A395" s="5">
        <v>98</v>
      </c>
      <c r="B395" s="5" t="s">
        <v>106</v>
      </c>
      <c r="C395" s="5">
        <v>5</v>
      </c>
      <c r="D395" s="5" t="s">
        <v>80</v>
      </c>
      <c r="E395" s="5">
        <v>2021</v>
      </c>
      <c r="F395" s="5">
        <v>4</v>
      </c>
      <c r="G395" s="5" t="s">
        <v>25</v>
      </c>
      <c r="H395" s="5">
        <v>4879064</v>
      </c>
      <c r="I395" s="5">
        <v>4265515.21</v>
      </c>
      <c r="J395" s="5">
        <v>66</v>
      </c>
      <c r="K395" s="5">
        <v>653657</v>
      </c>
      <c r="L395" s="5">
        <v>5524020</v>
      </c>
      <c r="M395" s="5">
        <v>613548.79</v>
      </c>
      <c r="N395" s="5">
        <v>0.1258</v>
      </c>
      <c r="O395" s="5">
        <v>5</v>
      </c>
      <c r="P395" s="5">
        <v>193242</v>
      </c>
    </row>
    <row r="396" spans="1:16" x14ac:dyDescent="0.3">
      <c r="A396" s="5">
        <v>68</v>
      </c>
      <c r="B396" s="5" t="s">
        <v>106</v>
      </c>
      <c r="C396" s="5">
        <v>5</v>
      </c>
      <c r="D396" s="5" t="s">
        <v>80</v>
      </c>
      <c r="E396" s="5">
        <v>2021</v>
      </c>
      <c r="F396" s="5">
        <v>5</v>
      </c>
      <c r="G396" s="5" t="s">
        <v>26</v>
      </c>
      <c r="H396" s="5">
        <v>3647920</v>
      </c>
      <c r="I396" s="5">
        <v>3165269.26</v>
      </c>
      <c r="J396" s="5">
        <v>36</v>
      </c>
      <c r="K396" s="5">
        <v>332685</v>
      </c>
      <c r="L396" s="5">
        <v>3963330</v>
      </c>
      <c r="M396" s="5">
        <v>482650.74</v>
      </c>
      <c r="N396" s="5">
        <v>0.1323</v>
      </c>
      <c r="O396" s="5">
        <v>2</v>
      </c>
      <c r="P396" s="5">
        <v>35880</v>
      </c>
    </row>
    <row r="397" spans="1:16" x14ac:dyDescent="0.3">
      <c r="A397" s="5">
        <v>98</v>
      </c>
      <c r="B397" s="5" t="s">
        <v>106</v>
      </c>
      <c r="C397" s="5">
        <v>5</v>
      </c>
      <c r="D397" s="5" t="s">
        <v>80</v>
      </c>
      <c r="E397" s="5">
        <v>2021</v>
      </c>
      <c r="F397" s="5">
        <v>5</v>
      </c>
      <c r="G397" s="5" t="s">
        <v>26</v>
      </c>
      <c r="H397" s="5">
        <v>5129719</v>
      </c>
      <c r="I397" s="5">
        <v>4515630.87</v>
      </c>
      <c r="J397" s="5">
        <v>75</v>
      </c>
      <c r="K397" s="5">
        <v>644812</v>
      </c>
      <c r="L397" s="5">
        <v>5764170</v>
      </c>
      <c r="M397" s="5">
        <v>614088.13</v>
      </c>
      <c r="N397" s="5">
        <v>0.1197</v>
      </c>
      <c r="O397" s="5">
        <v>9</v>
      </c>
      <c r="P397" s="5">
        <v>140907</v>
      </c>
    </row>
    <row r="398" spans="1:16" x14ac:dyDescent="0.3">
      <c r="A398" s="5">
        <v>68</v>
      </c>
      <c r="B398" s="5" t="s">
        <v>106</v>
      </c>
      <c r="C398" s="5">
        <v>5</v>
      </c>
      <c r="D398" s="5" t="s">
        <v>80</v>
      </c>
      <c r="E398" s="5">
        <v>2021</v>
      </c>
      <c r="F398" s="5">
        <v>6</v>
      </c>
      <c r="G398" s="5" t="s">
        <v>27</v>
      </c>
      <c r="H398" s="5">
        <v>1923590</v>
      </c>
      <c r="I398" s="5">
        <v>1707973.26</v>
      </c>
      <c r="J398" s="5">
        <v>32</v>
      </c>
      <c r="K398" s="5">
        <v>241658</v>
      </c>
      <c r="L398" s="5">
        <v>2158900</v>
      </c>
      <c r="M398" s="5">
        <v>215616.74</v>
      </c>
      <c r="N398" s="5">
        <v>0.11210000000000001</v>
      </c>
      <c r="O398" s="5">
        <v>3</v>
      </c>
      <c r="P398" s="5">
        <v>44667</v>
      </c>
    </row>
    <row r="399" spans="1:16" x14ac:dyDescent="0.3">
      <c r="A399" s="5">
        <v>98</v>
      </c>
      <c r="B399" s="5" t="s">
        <v>106</v>
      </c>
      <c r="C399" s="5">
        <v>5</v>
      </c>
      <c r="D399" s="5" t="s">
        <v>80</v>
      </c>
      <c r="E399" s="5">
        <v>2021</v>
      </c>
      <c r="F399" s="5">
        <v>6</v>
      </c>
      <c r="G399" s="5" t="s">
        <v>27</v>
      </c>
      <c r="H399" s="5">
        <v>3897342</v>
      </c>
      <c r="I399" s="5">
        <v>3313055.98</v>
      </c>
      <c r="J399" s="5">
        <v>70</v>
      </c>
      <c r="K399" s="5">
        <v>432394</v>
      </c>
      <c r="L399" s="5">
        <v>4313990</v>
      </c>
      <c r="M399" s="5">
        <v>584286.02</v>
      </c>
      <c r="N399" s="5">
        <v>0.14990000000000001</v>
      </c>
      <c r="O399" s="5">
        <v>4</v>
      </c>
      <c r="P399" s="5">
        <v>47659</v>
      </c>
    </row>
    <row r="400" spans="1:16" x14ac:dyDescent="0.3">
      <c r="A400" s="5">
        <v>68</v>
      </c>
      <c r="B400" s="5" t="s">
        <v>106</v>
      </c>
      <c r="C400" s="5">
        <v>5</v>
      </c>
      <c r="D400" s="5" t="s">
        <v>80</v>
      </c>
      <c r="E400" s="5">
        <v>2021</v>
      </c>
      <c r="F400" s="5">
        <v>7</v>
      </c>
      <c r="G400" s="5" t="s">
        <v>28</v>
      </c>
      <c r="H400" s="5">
        <v>2675040</v>
      </c>
      <c r="I400" s="5">
        <v>2334048.91</v>
      </c>
      <c r="J400" s="5">
        <v>38</v>
      </c>
      <c r="K400" s="5">
        <v>310184</v>
      </c>
      <c r="L400" s="5">
        <v>2973210</v>
      </c>
      <c r="M400" s="5">
        <v>340991.09</v>
      </c>
      <c r="N400" s="5">
        <v>0.1275</v>
      </c>
      <c r="O400" s="5">
        <v>4</v>
      </c>
      <c r="P400" s="5">
        <v>112947</v>
      </c>
    </row>
    <row r="401" spans="1:16" x14ac:dyDescent="0.3">
      <c r="A401" s="5">
        <v>98</v>
      </c>
      <c r="B401" s="5" t="s">
        <v>106</v>
      </c>
      <c r="C401" s="5">
        <v>5</v>
      </c>
      <c r="D401" s="5" t="s">
        <v>80</v>
      </c>
      <c r="E401" s="5">
        <v>2021</v>
      </c>
      <c r="F401" s="5">
        <v>7</v>
      </c>
      <c r="G401" s="5" t="s">
        <v>28</v>
      </c>
      <c r="H401" s="5">
        <v>6133538</v>
      </c>
      <c r="I401" s="5">
        <v>5131426.5199999996</v>
      </c>
      <c r="J401" s="5">
        <v>88</v>
      </c>
      <c r="K401" s="5">
        <v>599579</v>
      </c>
      <c r="L401" s="5">
        <v>6708250</v>
      </c>
      <c r="M401" s="5">
        <v>1002111.48</v>
      </c>
      <c r="N401" s="5">
        <v>0.16339999999999999</v>
      </c>
      <c r="O401" s="5">
        <v>5</v>
      </c>
      <c r="P401" s="5">
        <v>244232</v>
      </c>
    </row>
    <row r="402" spans="1:16" x14ac:dyDescent="0.3">
      <c r="A402" s="5">
        <v>68</v>
      </c>
      <c r="B402" s="5" t="s">
        <v>106</v>
      </c>
      <c r="C402" s="5">
        <v>5</v>
      </c>
      <c r="D402" s="5" t="s">
        <v>80</v>
      </c>
      <c r="E402" s="5">
        <v>2021</v>
      </c>
      <c r="F402" s="5">
        <v>8</v>
      </c>
      <c r="G402" s="5" t="s">
        <v>29</v>
      </c>
      <c r="H402" s="5">
        <v>3805007</v>
      </c>
      <c r="I402" s="5">
        <v>3213004.77</v>
      </c>
      <c r="J402" s="5">
        <v>40</v>
      </c>
      <c r="K402" s="5">
        <v>252623</v>
      </c>
      <c r="L402" s="5">
        <v>4049280</v>
      </c>
      <c r="M402" s="5">
        <v>592002.23</v>
      </c>
      <c r="N402" s="5">
        <v>0.15559999999999999</v>
      </c>
      <c r="O402" s="5">
        <v>2</v>
      </c>
      <c r="P402" s="5">
        <v>100660</v>
      </c>
    </row>
    <row r="403" spans="1:16" x14ac:dyDescent="0.3">
      <c r="A403" s="5">
        <v>98</v>
      </c>
      <c r="B403" s="5" t="s">
        <v>106</v>
      </c>
      <c r="C403" s="5">
        <v>5</v>
      </c>
      <c r="D403" s="5" t="s">
        <v>80</v>
      </c>
      <c r="E403" s="5">
        <v>2021</v>
      </c>
      <c r="F403" s="5">
        <v>8</v>
      </c>
      <c r="G403" s="5" t="s">
        <v>29</v>
      </c>
      <c r="H403" s="5">
        <v>4939949</v>
      </c>
      <c r="I403" s="5">
        <v>4146475.63</v>
      </c>
      <c r="J403" s="5">
        <v>66</v>
      </c>
      <c r="K403" s="5">
        <v>485949</v>
      </c>
      <c r="L403" s="5">
        <v>5415640</v>
      </c>
      <c r="M403" s="5">
        <v>793473.37</v>
      </c>
      <c r="N403" s="5">
        <v>0.16059999999999999</v>
      </c>
      <c r="O403" s="5">
        <v>4</v>
      </c>
      <c r="P403" s="5">
        <v>125310</v>
      </c>
    </row>
    <row r="404" spans="1:16" x14ac:dyDescent="0.3">
      <c r="A404" s="5">
        <v>68</v>
      </c>
      <c r="B404" s="5" t="s">
        <v>106</v>
      </c>
      <c r="C404" s="5">
        <v>5</v>
      </c>
      <c r="D404" s="5" t="s">
        <v>80</v>
      </c>
      <c r="E404" s="5">
        <v>2021</v>
      </c>
      <c r="F404" s="5">
        <v>9</v>
      </c>
      <c r="G404" s="5" t="s">
        <v>30</v>
      </c>
      <c r="H404" s="5">
        <v>2072918</v>
      </c>
      <c r="I404" s="5">
        <v>1862486.29</v>
      </c>
      <c r="J404" s="5">
        <v>37</v>
      </c>
      <c r="K404" s="5">
        <v>365786</v>
      </c>
      <c r="L404" s="5">
        <v>2434280</v>
      </c>
      <c r="M404" s="5">
        <v>210431.71</v>
      </c>
      <c r="N404" s="5">
        <v>0.10150000000000001</v>
      </c>
      <c r="O404" s="5">
        <v>4</v>
      </c>
      <c r="P404" s="5">
        <v>108725</v>
      </c>
    </row>
    <row r="405" spans="1:16" x14ac:dyDescent="0.3">
      <c r="A405" s="5">
        <v>98</v>
      </c>
      <c r="B405" s="5" t="s">
        <v>106</v>
      </c>
      <c r="C405" s="5">
        <v>5</v>
      </c>
      <c r="D405" s="5" t="s">
        <v>80</v>
      </c>
      <c r="E405" s="5">
        <v>2021</v>
      </c>
      <c r="F405" s="5">
        <v>9</v>
      </c>
      <c r="G405" s="5" t="s">
        <v>30</v>
      </c>
      <c r="H405" s="5">
        <v>4615163</v>
      </c>
      <c r="I405" s="5">
        <v>3889212.63</v>
      </c>
      <c r="J405" s="5">
        <v>84</v>
      </c>
      <c r="K405" s="5">
        <v>500240</v>
      </c>
      <c r="L405" s="5">
        <v>5093590</v>
      </c>
      <c r="M405" s="5">
        <v>725950.37</v>
      </c>
      <c r="N405" s="5">
        <v>0.1573</v>
      </c>
      <c r="O405" s="5">
        <v>5</v>
      </c>
      <c r="P405" s="5">
        <v>48080</v>
      </c>
    </row>
    <row r="406" spans="1:16" x14ac:dyDescent="0.3">
      <c r="A406" s="5">
        <v>68</v>
      </c>
      <c r="B406" s="5" t="s">
        <v>106</v>
      </c>
      <c r="C406" s="5">
        <v>5</v>
      </c>
      <c r="D406" s="5" t="s">
        <v>80</v>
      </c>
      <c r="E406" s="5">
        <v>2021</v>
      </c>
      <c r="F406" s="5">
        <v>10</v>
      </c>
      <c r="G406" s="5" t="s">
        <v>31</v>
      </c>
      <c r="H406" s="5">
        <v>2759049</v>
      </c>
      <c r="I406" s="5">
        <v>2297995.66</v>
      </c>
      <c r="J406" s="5">
        <v>53</v>
      </c>
      <c r="K406" s="5">
        <v>206575</v>
      </c>
      <c r="L406" s="5">
        <v>2950580</v>
      </c>
      <c r="M406" s="5">
        <v>461053.34</v>
      </c>
      <c r="N406" s="5">
        <v>0.1671</v>
      </c>
      <c r="O406" s="5">
        <v>3</v>
      </c>
      <c r="P406" s="5">
        <v>139381</v>
      </c>
    </row>
    <row r="407" spans="1:16" x14ac:dyDescent="0.3">
      <c r="A407" s="5">
        <v>98</v>
      </c>
      <c r="B407" s="5" t="s">
        <v>106</v>
      </c>
      <c r="C407" s="5">
        <v>5</v>
      </c>
      <c r="D407" s="5" t="s">
        <v>80</v>
      </c>
      <c r="E407" s="5">
        <v>2021</v>
      </c>
      <c r="F407" s="5">
        <v>10</v>
      </c>
      <c r="G407" s="5" t="s">
        <v>31</v>
      </c>
      <c r="H407" s="5">
        <v>8713141</v>
      </c>
      <c r="I407" s="5">
        <v>7243158.3300000001</v>
      </c>
      <c r="J407" s="5">
        <v>120</v>
      </c>
      <c r="K407" s="5">
        <v>668921</v>
      </c>
      <c r="L407" s="5">
        <v>9347280</v>
      </c>
      <c r="M407" s="5">
        <v>1469982.67</v>
      </c>
      <c r="N407" s="5">
        <v>0.16869999999999999</v>
      </c>
      <c r="O407" s="5">
        <v>8</v>
      </c>
      <c r="P407" s="5">
        <v>316564</v>
      </c>
    </row>
    <row r="408" spans="1:16" x14ac:dyDescent="0.3">
      <c r="A408" s="5">
        <v>68</v>
      </c>
      <c r="B408" s="5" t="s">
        <v>106</v>
      </c>
      <c r="C408" s="5">
        <v>5</v>
      </c>
      <c r="D408" s="5" t="s">
        <v>80</v>
      </c>
      <c r="E408" s="5">
        <v>2021</v>
      </c>
      <c r="F408" s="5">
        <v>11</v>
      </c>
      <c r="G408" s="5" t="s">
        <v>32</v>
      </c>
      <c r="H408" s="5">
        <v>4212111</v>
      </c>
      <c r="I408" s="5">
        <v>3535842.1</v>
      </c>
      <c r="J408" s="5">
        <v>45</v>
      </c>
      <c r="K408" s="5">
        <v>265195</v>
      </c>
      <c r="L408" s="5">
        <v>4460940</v>
      </c>
      <c r="M408" s="5">
        <v>676268.9</v>
      </c>
      <c r="N408" s="5">
        <v>0.16059999999999999</v>
      </c>
      <c r="O408" s="5">
        <v>4</v>
      </c>
      <c r="P408" s="5">
        <v>219502</v>
      </c>
    </row>
    <row r="409" spans="1:16" x14ac:dyDescent="0.3">
      <c r="A409" s="5">
        <v>98</v>
      </c>
      <c r="B409" s="5" t="s">
        <v>106</v>
      </c>
      <c r="C409" s="5">
        <v>5</v>
      </c>
      <c r="D409" s="5" t="s">
        <v>80</v>
      </c>
      <c r="E409" s="5">
        <v>2021</v>
      </c>
      <c r="F409" s="5">
        <v>11</v>
      </c>
      <c r="G409" s="5" t="s">
        <v>32</v>
      </c>
      <c r="H409" s="5">
        <v>5140681</v>
      </c>
      <c r="I409" s="5">
        <v>4123132.94</v>
      </c>
      <c r="J409" s="5">
        <v>92</v>
      </c>
      <c r="K409" s="5">
        <v>254543</v>
      </c>
      <c r="L409" s="5">
        <v>5381980</v>
      </c>
      <c r="M409" s="5">
        <v>1017548.06</v>
      </c>
      <c r="N409" s="5">
        <v>0.19789999999999999</v>
      </c>
      <c r="O409" s="5">
        <v>3</v>
      </c>
      <c r="P409" s="5">
        <v>11931</v>
      </c>
    </row>
    <row r="410" spans="1:16" x14ac:dyDescent="0.3">
      <c r="A410" s="5">
        <v>68</v>
      </c>
      <c r="B410" s="5" t="s">
        <v>106</v>
      </c>
      <c r="C410" s="5">
        <v>5</v>
      </c>
      <c r="D410" s="5" t="s">
        <v>80</v>
      </c>
      <c r="E410" s="5">
        <v>2021</v>
      </c>
      <c r="F410" s="5">
        <v>12</v>
      </c>
      <c r="G410" s="5" t="s">
        <v>33</v>
      </c>
      <c r="H410" s="5">
        <v>4186687</v>
      </c>
      <c r="I410" s="5">
        <v>3545688.79</v>
      </c>
      <c r="J410" s="5">
        <v>55</v>
      </c>
      <c r="K410" s="5">
        <v>311740</v>
      </c>
      <c r="L410" s="5">
        <v>4490450</v>
      </c>
      <c r="M410" s="5">
        <v>640998.21</v>
      </c>
      <c r="N410" s="5">
        <v>0.15310000000000001</v>
      </c>
      <c r="O410" s="5">
        <v>5</v>
      </c>
      <c r="P410" s="5">
        <v>62883</v>
      </c>
    </row>
    <row r="411" spans="1:16" x14ac:dyDescent="0.3">
      <c r="A411" s="5">
        <v>98</v>
      </c>
      <c r="B411" s="5" t="s">
        <v>106</v>
      </c>
      <c r="C411" s="5">
        <v>5</v>
      </c>
      <c r="D411" s="5" t="s">
        <v>80</v>
      </c>
      <c r="E411" s="5">
        <v>2021</v>
      </c>
      <c r="F411" s="5">
        <v>12</v>
      </c>
      <c r="G411" s="5" t="s">
        <v>33</v>
      </c>
      <c r="H411" s="5">
        <v>8075573</v>
      </c>
      <c r="I411" s="5">
        <v>6852564.3499999996</v>
      </c>
      <c r="J411" s="5">
        <v>108</v>
      </c>
      <c r="K411" s="5">
        <v>657492</v>
      </c>
      <c r="L411" s="5">
        <v>8699160</v>
      </c>
      <c r="M411" s="5">
        <v>1223008.6499999999</v>
      </c>
      <c r="N411" s="5">
        <v>0.15140000000000001</v>
      </c>
      <c r="O411" s="5">
        <v>12</v>
      </c>
      <c r="P411" s="5">
        <v>512429</v>
      </c>
    </row>
    <row r="412" spans="1:16" x14ac:dyDescent="0.3">
      <c r="A412" s="5">
        <v>68</v>
      </c>
      <c r="B412" s="5" t="s">
        <v>106</v>
      </c>
      <c r="C412" s="5">
        <v>5</v>
      </c>
      <c r="D412" s="5" t="s">
        <v>80</v>
      </c>
      <c r="E412" s="5">
        <v>2022</v>
      </c>
      <c r="F412" s="5">
        <v>1</v>
      </c>
      <c r="G412" s="5" t="s">
        <v>34</v>
      </c>
      <c r="H412" s="5">
        <v>2019441</v>
      </c>
      <c r="I412" s="5">
        <v>1621880.96</v>
      </c>
      <c r="J412" s="5">
        <v>36</v>
      </c>
      <c r="K412" s="5">
        <v>81895</v>
      </c>
      <c r="L412" s="5">
        <v>2093720</v>
      </c>
      <c r="M412" s="5">
        <v>397560.04</v>
      </c>
      <c r="N412" s="5">
        <v>0.19689999999999999</v>
      </c>
      <c r="O412" s="5">
        <v>5</v>
      </c>
      <c r="P412" s="5">
        <v>113791</v>
      </c>
    </row>
    <row r="413" spans="1:16" x14ac:dyDescent="0.3">
      <c r="A413" s="5">
        <v>98</v>
      </c>
      <c r="B413" s="5" t="s">
        <v>106</v>
      </c>
      <c r="C413" s="5">
        <v>5</v>
      </c>
      <c r="D413" s="5" t="s">
        <v>80</v>
      </c>
      <c r="E413" s="5">
        <v>2022</v>
      </c>
      <c r="F413" s="5">
        <v>1</v>
      </c>
      <c r="G413" s="5" t="s">
        <v>34</v>
      </c>
      <c r="H413" s="5">
        <v>6944268</v>
      </c>
      <c r="I413" s="5">
        <v>5815107.7599999998</v>
      </c>
      <c r="J413" s="5">
        <v>93</v>
      </c>
      <c r="K413" s="5">
        <v>525521</v>
      </c>
      <c r="L413" s="5">
        <v>7450960</v>
      </c>
      <c r="M413" s="5">
        <v>1129160.24</v>
      </c>
      <c r="N413" s="5">
        <v>0.16259999999999999</v>
      </c>
      <c r="O413" s="5">
        <v>10</v>
      </c>
      <c r="P413" s="5">
        <v>237004</v>
      </c>
    </row>
    <row r="414" spans="1:16" x14ac:dyDescent="0.3">
      <c r="A414" s="5">
        <v>68</v>
      </c>
      <c r="B414" s="5" t="s">
        <v>106</v>
      </c>
      <c r="C414" s="5">
        <v>5</v>
      </c>
      <c r="D414" s="5" t="s">
        <v>80</v>
      </c>
      <c r="E414" s="5">
        <v>2022</v>
      </c>
      <c r="F414" s="5">
        <v>2</v>
      </c>
      <c r="G414" s="5" t="s">
        <v>35</v>
      </c>
      <c r="H414" s="5">
        <v>3229098</v>
      </c>
      <c r="I414" s="5">
        <v>2773511.25</v>
      </c>
      <c r="J414" s="5">
        <v>35</v>
      </c>
      <c r="K414" s="5">
        <v>341071</v>
      </c>
      <c r="L414" s="5">
        <v>3560720</v>
      </c>
      <c r="M414" s="5">
        <v>455586.75</v>
      </c>
      <c r="N414" s="5">
        <v>0.1411</v>
      </c>
      <c r="O414" s="5">
        <v>2</v>
      </c>
      <c r="P414" s="5">
        <v>15297</v>
      </c>
    </row>
    <row r="415" spans="1:16" x14ac:dyDescent="0.3">
      <c r="A415" s="5">
        <v>98</v>
      </c>
      <c r="B415" s="5" t="s">
        <v>106</v>
      </c>
      <c r="C415" s="5">
        <v>5</v>
      </c>
      <c r="D415" s="5" t="s">
        <v>80</v>
      </c>
      <c r="E415" s="5">
        <v>2022</v>
      </c>
      <c r="F415" s="5">
        <v>2</v>
      </c>
      <c r="G415" s="5" t="s">
        <v>35</v>
      </c>
      <c r="H415" s="5">
        <v>6591436</v>
      </c>
      <c r="I415" s="5">
        <v>5690437.2000000002</v>
      </c>
      <c r="J415" s="5">
        <v>94</v>
      </c>
      <c r="K415" s="5">
        <v>712837</v>
      </c>
      <c r="L415" s="5">
        <v>7284320</v>
      </c>
      <c r="M415" s="5">
        <v>900998.8</v>
      </c>
      <c r="N415" s="5">
        <v>0.13669999999999999</v>
      </c>
      <c r="O415" s="5">
        <v>7</v>
      </c>
      <c r="P415" s="5">
        <v>220577</v>
      </c>
    </row>
    <row r="416" spans="1:16" x14ac:dyDescent="0.3">
      <c r="A416" s="5">
        <v>68</v>
      </c>
      <c r="B416" s="5" t="s">
        <v>106</v>
      </c>
      <c r="C416" s="5">
        <v>5</v>
      </c>
      <c r="D416" s="5" t="s">
        <v>80</v>
      </c>
      <c r="E416" s="5">
        <v>2022</v>
      </c>
      <c r="F416" s="5">
        <v>3</v>
      </c>
      <c r="G416" s="5" t="s">
        <v>36</v>
      </c>
      <c r="H416" s="5">
        <v>2993029</v>
      </c>
      <c r="I416" s="5">
        <v>2690249.41</v>
      </c>
      <c r="J416" s="5">
        <v>47</v>
      </c>
      <c r="K416" s="5">
        <v>471930</v>
      </c>
      <c r="L416" s="5">
        <v>3455050</v>
      </c>
      <c r="M416" s="5">
        <v>302779.59000000003</v>
      </c>
      <c r="N416" s="5">
        <v>0.1012</v>
      </c>
      <c r="O416" s="5">
        <v>4</v>
      </c>
      <c r="P416" s="5">
        <v>107986</v>
      </c>
    </row>
    <row r="417" spans="1:16" x14ac:dyDescent="0.3">
      <c r="A417" s="5">
        <v>98</v>
      </c>
      <c r="B417" s="5" t="s">
        <v>106</v>
      </c>
      <c r="C417" s="5">
        <v>5</v>
      </c>
      <c r="D417" s="5" t="s">
        <v>80</v>
      </c>
      <c r="E417" s="5">
        <v>2022</v>
      </c>
      <c r="F417" s="5">
        <v>3</v>
      </c>
      <c r="G417" s="5" t="s">
        <v>36</v>
      </c>
      <c r="H417" s="5">
        <v>8321156</v>
      </c>
      <c r="I417" s="5">
        <v>7190829.7400000002</v>
      </c>
      <c r="J417" s="5">
        <v>109</v>
      </c>
      <c r="K417" s="5">
        <v>967497</v>
      </c>
      <c r="L417" s="5">
        <v>9267220</v>
      </c>
      <c r="M417" s="5">
        <v>1130326.26</v>
      </c>
      <c r="N417" s="5">
        <v>0.1358</v>
      </c>
      <c r="O417" s="5">
        <v>13</v>
      </c>
      <c r="P417" s="5">
        <v>362177</v>
      </c>
    </row>
    <row r="418" spans="1:16" x14ac:dyDescent="0.3">
      <c r="A418" s="5">
        <v>68</v>
      </c>
      <c r="B418" s="5" t="s">
        <v>106</v>
      </c>
      <c r="C418" s="5">
        <v>5</v>
      </c>
      <c r="D418" s="5" t="s">
        <v>80</v>
      </c>
      <c r="E418" s="5">
        <v>2022</v>
      </c>
      <c r="F418" s="5">
        <v>4</v>
      </c>
      <c r="G418" s="5" t="s">
        <v>37</v>
      </c>
      <c r="H418" s="5">
        <v>2493871</v>
      </c>
      <c r="I418" s="5">
        <v>2148711.65</v>
      </c>
      <c r="J418" s="5">
        <v>44</v>
      </c>
      <c r="K418" s="5">
        <v>324743</v>
      </c>
      <c r="L418" s="5">
        <v>2803870</v>
      </c>
      <c r="M418" s="5">
        <v>345159.35</v>
      </c>
      <c r="N418" s="5">
        <v>0.1384</v>
      </c>
      <c r="O418" s="5">
        <v>2</v>
      </c>
      <c r="P418" s="5">
        <v>4007</v>
      </c>
    </row>
    <row r="419" spans="1:16" x14ac:dyDescent="0.3">
      <c r="A419" s="5">
        <v>98</v>
      </c>
      <c r="B419" s="5" t="s">
        <v>106</v>
      </c>
      <c r="C419" s="5">
        <v>5</v>
      </c>
      <c r="D419" s="5" t="s">
        <v>80</v>
      </c>
      <c r="E419" s="5">
        <v>2022</v>
      </c>
      <c r="F419" s="5">
        <v>4</v>
      </c>
      <c r="G419" s="5" t="s">
        <v>37</v>
      </c>
      <c r="H419" s="5">
        <v>4479029</v>
      </c>
      <c r="I419" s="5">
        <v>3767761.94</v>
      </c>
      <c r="J419" s="5">
        <v>96</v>
      </c>
      <c r="K419" s="5">
        <v>536385</v>
      </c>
      <c r="L419" s="5">
        <v>4997530</v>
      </c>
      <c r="M419" s="5">
        <v>711267.06</v>
      </c>
      <c r="N419" s="5">
        <v>0.1588</v>
      </c>
      <c r="O419" s="5">
        <v>4</v>
      </c>
      <c r="P419" s="5">
        <v>82923</v>
      </c>
    </row>
    <row r="420" spans="1:16" x14ac:dyDescent="0.3">
      <c r="A420" s="5">
        <v>68</v>
      </c>
      <c r="B420" s="5" t="s">
        <v>106</v>
      </c>
      <c r="C420" s="5">
        <v>5</v>
      </c>
      <c r="D420" s="5" t="s">
        <v>80</v>
      </c>
      <c r="E420" s="5">
        <v>2022</v>
      </c>
      <c r="F420" s="5">
        <v>5</v>
      </c>
      <c r="G420" s="5" t="s">
        <v>38</v>
      </c>
      <c r="H420" s="5">
        <v>4322558</v>
      </c>
      <c r="I420" s="5">
        <v>3655315.24</v>
      </c>
      <c r="J420" s="5">
        <v>59</v>
      </c>
      <c r="K420" s="5">
        <v>424813</v>
      </c>
      <c r="L420" s="5">
        <v>4736190</v>
      </c>
      <c r="M420" s="5">
        <v>667242.76</v>
      </c>
      <c r="N420" s="5">
        <v>0.15440000000000001</v>
      </c>
      <c r="O420" s="5">
        <v>9</v>
      </c>
      <c r="P420" s="5">
        <v>224975</v>
      </c>
    </row>
    <row r="421" spans="1:16" x14ac:dyDescent="0.3">
      <c r="A421" s="5">
        <v>98</v>
      </c>
      <c r="B421" s="5" t="s">
        <v>106</v>
      </c>
      <c r="C421" s="5">
        <v>5</v>
      </c>
      <c r="D421" s="5" t="s">
        <v>80</v>
      </c>
      <c r="E421" s="5">
        <v>2022</v>
      </c>
      <c r="F421" s="5">
        <v>5</v>
      </c>
      <c r="G421" s="5" t="s">
        <v>38</v>
      </c>
      <c r="H421" s="5">
        <v>6673181</v>
      </c>
      <c r="I421" s="5">
        <v>5579096.2400000002</v>
      </c>
      <c r="J421" s="5">
        <v>95</v>
      </c>
      <c r="K421" s="5">
        <v>588262</v>
      </c>
      <c r="L421" s="5">
        <v>7227870</v>
      </c>
      <c r="M421" s="5">
        <v>1094084.76</v>
      </c>
      <c r="N421" s="5">
        <v>0.16400000000000001</v>
      </c>
      <c r="O421" s="5">
        <v>8</v>
      </c>
      <c r="P421" s="5">
        <v>125583</v>
      </c>
    </row>
    <row r="422" spans="1:16" x14ac:dyDescent="0.3">
      <c r="A422" s="5">
        <v>68</v>
      </c>
      <c r="B422" s="5" t="s">
        <v>106</v>
      </c>
      <c r="C422" s="5">
        <v>5</v>
      </c>
      <c r="D422" s="5" t="s">
        <v>80</v>
      </c>
      <c r="E422" s="5">
        <v>2022</v>
      </c>
      <c r="F422" s="5">
        <v>6</v>
      </c>
      <c r="G422" s="5" t="s">
        <v>39</v>
      </c>
      <c r="H422" s="5">
        <v>2588646</v>
      </c>
      <c r="I422" s="5">
        <v>2190550.0699999998</v>
      </c>
      <c r="J422" s="5">
        <v>51</v>
      </c>
      <c r="K422" s="5">
        <v>291665</v>
      </c>
      <c r="L422" s="5">
        <v>2875260</v>
      </c>
      <c r="M422" s="5">
        <v>398095.93</v>
      </c>
      <c r="N422" s="5">
        <v>0.15379999999999999</v>
      </c>
      <c r="O422" s="5">
        <v>3</v>
      </c>
      <c r="P422" s="5">
        <v>46808</v>
      </c>
    </row>
    <row r="423" spans="1:16" x14ac:dyDescent="0.3">
      <c r="A423" s="5">
        <v>98</v>
      </c>
      <c r="B423" s="5" t="s">
        <v>106</v>
      </c>
      <c r="C423" s="5">
        <v>5</v>
      </c>
      <c r="D423" s="5" t="s">
        <v>80</v>
      </c>
      <c r="E423" s="5">
        <v>2022</v>
      </c>
      <c r="F423" s="5">
        <v>6</v>
      </c>
      <c r="G423" s="5" t="s">
        <v>39</v>
      </c>
      <c r="H423" s="5">
        <v>6288908</v>
      </c>
      <c r="I423" s="5">
        <v>5430529.5899999999</v>
      </c>
      <c r="J423" s="5">
        <v>92</v>
      </c>
      <c r="K423" s="5">
        <v>755050</v>
      </c>
      <c r="L423" s="5">
        <v>7020630</v>
      </c>
      <c r="M423" s="5">
        <v>858378.41</v>
      </c>
      <c r="N423" s="5">
        <v>0.13650000000000001</v>
      </c>
      <c r="O423" s="5">
        <v>11</v>
      </c>
      <c r="P423" s="5">
        <v>435104</v>
      </c>
    </row>
    <row r="424" spans="1:16" x14ac:dyDescent="0.3">
      <c r="A424" s="5">
        <v>68</v>
      </c>
      <c r="B424" s="5" t="s">
        <v>106</v>
      </c>
      <c r="C424" s="5">
        <v>5</v>
      </c>
      <c r="D424" s="5" t="s">
        <v>80</v>
      </c>
      <c r="E424" s="5">
        <v>2022</v>
      </c>
      <c r="F424" s="5">
        <v>7</v>
      </c>
      <c r="G424" s="5" t="s">
        <v>40</v>
      </c>
      <c r="H424" s="5">
        <v>3276120</v>
      </c>
      <c r="I424" s="5">
        <v>2979506.12</v>
      </c>
      <c r="J424" s="5">
        <v>49</v>
      </c>
      <c r="K424" s="5">
        <v>564047</v>
      </c>
      <c r="L424" s="5">
        <v>3836760</v>
      </c>
      <c r="M424" s="5">
        <v>296613.88</v>
      </c>
      <c r="N424" s="5">
        <v>9.0499999999999997E-2</v>
      </c>
      <c r="O424" s="5">
        <v>7</v>
      </c>
      <c r="P424" s="5">
        <v>203915</v>
      </c>
    </row>
    <row r="425" spans="1:16" x14ac:dyDescent="0.3">
      <c r="A425" s="5">
        <v>98</v>
      </c>
      <c r="B425" s="5" t="s">
        <v>106</v>
      </c>
      <c r="C425" s="5">
        <v>5</v>
      </c>
      <c r="D425" s="5" t="s">
        <v>80</v>
      </c>
      <c r="E425" s="5">
        <v>2022</v>
      </c>
      <c r="F425" s="5">
        <v>7</v>
      </c>
      <c r="G425" s="5" t="s">
        <v>40</v>
      </c>
      <c r="H425" s="5">
        <v>6447791</v>
      </c>
      <c r="I425" s="5">
        <v>5834493.4199999999</v>
      </c>
      <c r="J425" s="5">
        <v>104</v>
      </c>
      <c r="K425" s="5">
        <v>1133149</v>
      </c>
      <c r="L425" s="5">
        <v>7571940</v>
      </c>
      <c r="M425" s="5">
        <v>613297.57999999996</v>
      </c>
      <c r="N425" s="5">
        <v>9.5100000000000004E-2</v>
      </c>
      <c r="O425" s="5">
        <v>7</v>
      </c>
      <c r="P425" s="5">
        <v>152390</v>
      </c>
    </row>
    <row r="426" spans="1:16" x14ac:dyDescent="0.3">
      <c r="A426" s="5">
        <v>68</v>
      </c>
      <c r="B426" s="5" t="s">
        <v>106</v>
      </c>
      <c r="C426" s="5">
        <v>5</v>
      </c>
      <c r="D426" s="5" t="s">
        <v>80</v>
      </c>
      <c r="E426" s="5">
        <v>2022</v>
      </c>
      <c r="F426" s="5">
        <v>8</v>
      </c>
      <c r="G426" s="5" t="s">
        <v>41</v>
      </c>
      <c r="H426" s="5">
        <v>2677379</v>
      </c>
      <c r="I426" s="5">
        <v>2441666.62</v>
      </c>
      <c r="J426" s="5">
        <v>53</v>
      </c>
      <c r="K426" s="5">
        <v>442947</v>
      </c>
      <c r="L426" s="5">
        <v>3112050</v>
      </c>
      <c r="M426" s="5">
        <v>235712.38</v>
      </c>
      <c r="N426" s="5">
        <v>8.7999999999999995E-2</v>
      </c>
      <c r="O426" s="5">
        <v>1</v>
      </c>
      <c r="P426" s="5">
        <v>8116</v>
      </c>
    </row>
    <row r="427" spans="1:16" x14ac:dyDescent="0.3">
      <c r="A427" s="5">
        <v>98</v>
      </c>
      <c r="B427" s="5" t="s">
        <v>106</v>
      </c>
      <c r="C427" s="5">
        <v>5</v>
      </c>
      <c r="D427" s="5" t="s">
        <v>80</v>
      </c>
      <c r="E427" s="5">
        <v>2022</v>
      </c>
      <c r="F427" s="5">
        <v>8</v>
      </c>
      <c r="G427" s="5" t="s">
        <v>41</v>
      </c>
      <c r="H427" s="5">
        <v>6589941</v>
      </c>
      <c r="I427" s="5">
        <v>6475681.79</v>
      </c>
      <c r="J427" s="5">
        <v>113</v>
      </c>
      <c r="K427" s="5">
        <v>1704953</v>
      </c>
      <c r="L427" s="5">
        <v>8274200</v>
      </c>
      <c r="M427" s="5">
        <v>114259.21</v>
      </c>
      <c r="N427" s="5">
        <v>1.7299999999999999E-2</v>
      </c>
      <c r="O427" s="5">
        <v>8</v>
      </c>
      <c r="P427" s="5">
        <v>295584</v>
      </c>
    </row>
    <row r="428" spans="1:16" x14ac:dyDescent="0.3">
      <c r="A428" s="5">
        <v>68</v>
      </c>
      <c r="B428" s="5" t="s">
        <v>106</v>
      </c>
      <c r="C428" s="5">
        <v>5</v>
      </c>
      <c r="D428" s="5" t="s">
        <v>80</v>
      </c>
      <c r="E428" s="5">
        <v>2022</v>
      </c>
      <c r="F428" s="5">
        <v>9</v>
      </c>
      <c r="G428" s="5" t="s">
        <v>42</v>
      </c>
      <c r="H428" s="5">
        <v>4476504</v>
      </c>
      <c r="I428" s="5">
        <v>3894240.89</v>
      </c>
      <c r="J428" s="5">
        <v>67</v>
      </c>
      <c r="K428" s="5">
        <v>572721</v>
      </c>
      <c r="L428" s="5">
        <v>5043650</v>
      </c>
      <c r="M428" s="5">
        <v>582263.11</v>
      </c>
      <c r="N428" s="5">
        <v>0.13009999999999999</v>
      </c>
      <c r="O428" s="5">
        <v>2</v>
      </c>
      <c r="P428" s="5">
        <v>72866</v>
      </c>
    </row>
    <row r="429" spans="1:16" x14ac:dyDescent="0.3">
      <c r="A429" s="5">
        <v>98</v>
      </c>
      <c r="B429" s="5" t="s">
        <v>106</v>
      </c>
      <c r="C429" s="5">
        <v>5</v>
      </c>
      <c r="D429" s="5" t="s">
        <v>80</v>
      </c>
      <c r="E429" s="5">
        <v>2022</v>
      </c>
      <c r="F429" s="5">
        <v>9</v>
      </c>
      <c r="G429" s="5" t="s">
        <v>42</v>
      </c>
      <c r="H429" s="5">
        <v>7028587</v>
      </c>
      <c r="I429" s="5">
        <v>6112204.6900000004</v>
      </c>
      <c r="J429" s="5">
        <v>112</v>
      </c>
      <c r="K429" s="5">
        <v>978392</v>
      </c>
      <c r="L429" s="5">
        <v>7985020</v>
      </c>
      <c r="M429" s="5">
        <v>916382.31</v>
      </c>
      <c r="N429" s="5">
        <v>0.13039999999999999</v>
      </c>
      <c r="O429" s="5">
        <v>9</v>
      </c>
      <c r="P429" s="5">
        <v>535304</v>
      </c>
    </row>
    <row r="430" spans="1:16" x14ac:dyDescent="0.3">
      <c r="A430" s="5">
        <v>68</v>
      </c>
      <c r="B430" s="5" t="s">
        <v>106</v>
      </c>
      <c r="C430" s="5">
        <v>5</v>
      </c>
      <c r="D430" s="5" t="s">
        <v>80</v>
      </c>
      <c r="E430" s="5">
        <v>2022</v>
      </c>
      <c r="F430" s="5">
        <v>10</v>
      </c>
      <c r="G430" s="5" t="s">
        <v>43</v>
      </c>
      <c r="H430" s="5">
        <v>5499806</v>
      </c>
      <c r="I430" s="5">
        <v>4981110.95</v>
      </c>
      <c r="J430" s="5">
        <v>72</v>
      </c>
      <c r="K430" s="5">
        <v>849617</v>
      </c>
      <c r="L430" s="5">
        <v>6341260</v>
      </c>
      <c r="M430" s="5">
        <v>518695.05</v>
      </c>
      <c r="N430" s="5">
        <v>9.4299999999999995E-2</v>
      </c>
      <c r="O430" s="5">
        <v>5</v>
      </c>
      <c r="P430" s="5">
        <v>140066</v>
      </c>
    </row>
    <row r="431" spans="1:16" x14ac:dyDescent="0.3">
      <c r="A431" s="5">
        <v>98</v>
      </c>
      <c r="B431" s="5" t="s">
        <v>106</v>
      </c>
      <c r="C431" s="5">
        <v>5</v>
      </c>
      <c r="D431" s="5" t="s">
        <v>80</v>
      </c>
      <c r="E431" s="5">
        <v>2022</v>
      </c>
      <c r="F431" s="5">
        <v>10</v>
      </c>
      <c r="G431" s="5" t="s">
        <v>43</v>
      </c>
      <c r="H431" s="5">
        <v>12347121</v>
      </c>
      <c r="I431" s="5">
        <v>11384089.939999999</v>
      </c>
      <c r="J431" s="5">
        <v>161</v>
      </c>
      <c r="K431" s="5">
        <v>2211216</v>
      </c>
      <c r="L431" s="5">
        <v>14525270</v>
      </c>
      <c r="M431" s="5">
        <v>963031.06</v>
      </c>
      <c r="N431" s="5">
        <v>7.8E-2</v>
      </c>
      <c r="O431" s="5">
        <v>11</v>
      </c>
      <c r="P431" s="5">
        <v>284182</v>
      </c>
    </row>
    <row r="432" spans="1:16" x14ac:dyDescent="0.3">
      <c r="A432" s="5">
        <v>68</v>
      </c>
      <c r="B432" s="5" t="s">
        <v>106</v>
      </c>
      <c r="C432" s="5">
        <v>5</v>
      </c>
      <c r="D432" s="5" t="s">
        <v>80</v>
      </c>
      <c r="E432" s="5">
        <v>2022</v>
      </c>
      <c r="F432" s="5">
        <v>11</v>
      </c>
      <c r="G432" s="5" t="s">
        <v>44</v>
      </c>
      <c r="H432" s="5">
        <v>5930501</v>
      </c>
      <c r="I432" s="5">
        <v>4902890.9000000004</v>
      </c>
      <c r="J432" s="5">
        <v>80</v>
      </c>
      <c r="K432" s="5">
        <v>406597</v>
      </c>
      <c r="L432" s="5">
        <v>6307300</v>
      </c>
      <c r="M432" s="5">
        <v>1027610.1</v>
      </c>
      <c r="N432" s="5">
        <v>0.17330000000000001</v>
      </c>
      <c r="O432" s="5">
        <v>10</v>
      </c>
      <c r="P432" s="5">
        <v>337782</v>
      </c>
    </row>
    <row r="433" spans="1:16" x14ac:dyDescent="0.3">
      <c r="A433" s="5">
        <v>98</v>
      </c>
      <c r="B433" s="5" t="s">
        <v>106</v>
      </c>
      <c r="C433" s="5">
        <v>5</v>
      </c>
      <c r="D433" s="5" t="s">
        <v>80</v>
      </c>
      <c r="E433" s="5">
        <v>2022</v>
      </c>
      <c r="F433" s="5">
        <v>11</v>
      </c>
      <c r="G433" s="5" t="s">
        <v>44</v>
      </c>
      <c r="H433" s="5">
        <v>10640001</v>
      </c>
      <c r="I433" s="5">
        <v>9116717.6899999995</v>
      </c>
      <c r="J433" s="5">
        <v>138</v>
      </c>
      <c r="K433" s="5">
        <v>967015</v>
      </c>
      <c r="L433" s="5">
        <v>11575650</v>
      </c>
      <c r="M433" s="5">
        <v>1523283.31</v>
      </c>
      <c r="N433" s="5">
        <v>0.14319999999999999</v>
      </c>
      <c r="O433" s="5">
        <v>10</v>
      </c>
      <c r="P433" s="5">
        <v>393822</v>
      </c>
    </row>
    <row r="434" spans="1:16" x14ac:dyDescent="0.3">
      <c r="A434" s="5">
        <v>68</v>
      </c>
      <c r="B434" s="5" t="s">
        <v>106</v>
      </c>
      <c r="C434" s="5">
        <v>5</v>
      </c>
      <c r="D434" s="5" t="s">
        <v>80</v>
      </c>
      <c r="E434" s="5">
        <v>2022</v>
      </c>
      <c r="F434" s="5">
        <v>12</v>
      </c>
      <c r="G434" s="5" t="s">
        <v>45</v>
      </c>
      <c r="H434" s="5">
        <v>5214519</v>
      </c>
      <c r="I434" s="5">
        <v>4241940.78</v>
      </c>
      <c r="J434" s="5">
        <v>86</v>
      </c>
      <c r="K434" s="5">
        <v>270816</v>
      </c>
      <c r="L434" s="5">
        <v>5467420</v>
      </c>
      <c r="M434" s="5">
        <v>972578.22</v>
      </c>
      <c r="N434" s="5">
        <v>0.1865</v>
      </c>
      <c r="O434" s="5">
        <v>5</v>
      </c>
      <c r="P434" s="5">
        <v>84223</v>
      </c>
    </row>
    <row r="435" spans="1:16" x14ac:dyDescent="0.3">
      <c r="A435" s="5">
        <v>98</v>
      </c>
      <c r="B435" s="5" t="s">
        <v>106</v>
      </c>
      <c r="C435" s="5">
        <v>5</v>
      </c>
      <c r="D435" s="5" t="s">
        <v>80</v>
      </c>
      <c r="E435" s="5">
        <v>2022</v>
      </c>
      <c r="F435" s="5">
        <v>12</v>
      </c>
      <c r="G435" s="5" t="s">
        <v>45</v>
      </c>
      <c r="H435" s="5">
        <v>11207368</v>
      </c>
      <c r="I435" s="5">
        <v>9259348.4900000002</v>
      </c>
      <c r="J435" s="5">
        <v>156</v>
      </c>
      <c r="K435" s="5">
        <v>727485</v>
      </c>
      <c r="L435" s="5">
        <v>11886050</v>
      </c>
      <c r="M435" s="5">
        <v>1948019.51</v>
      </c>
      <c r="N435" s="5">
        <v>0.17380000000000001</v>
      </c>
      <c r="O435" s="5">
        <v>11</v>
      </c>
      <c r="P435" s="5">
        <v>240098</v>
      </c>
    </row>
    <row r="436" spans="1:16" x14ac:dyDescent="0.3">
      <c r="A436" s="5">
        <v>68</v>
      </c>
      <c r="B436" s="5" t="s">
        <v>106</v>
      </c>
      <c r="C436" s="5">
        <v>5</v>
      </c>
      <c r="D436" s="5" t="s">
        <v>80</v>
      </c>
      <c r="E436" s="5">
        <v>2023</v>
      </c>
      <c r="F436" s="5">
        <v>1</v>
      </c>
      <c r="G436" s="5" t="s">
        <v>46</v>
      </c>
      <c r="H436" s="5">
        <v>3549952</v>
      </c>
      <c r="I436" s="5">
        <v>2991592.36</v>
      </c>
      <c r="J436" s="5">
        <v>56</v>
      </c>
      <c r="K436" s="5">
        <v>409772</v>
      </c>
      <c r="L436" s="5">
        <v>3945320</v>
      </c>
      <c r="M436" s="5">
        <v>558359.64</v>
      </c>
      <c r="N436" s="5">
        <v>0.1573</v>
      </c>
      <c r="O436" s="5">
        <v>4</v>
      </c>
      <c r="P436" s="5">
        <v>398982</v>
      </c>
    </row>
    <row r="437" spans="1:16" x14ac:dyDescent="0.3">
      <c r="A437" s="5">
        <v>98</v>
      </c>
      <c r="B437" s="5" t="s">
        <v>106</v>
      </c>
      <c r="C437" s="5">
        <v>5</v>
      </c>
      <c r="D437" s="5" t="s">
        <v>80</v>
      </c>
      <c r="E437" s="5">
        <v>2023</v>
      </c>
      <c r="F437" s="5">
        <v>1</v>
      </c>
      <c r="G437" s="5" t="s">
        <v>46</v>
      </c>
      <c r="H437" s="5">
        <v>7550950</v>
      </c>
      <c r="I437" s="5">
        <v>6428282.2400000002</v>
      </c>
      <c r="J437" s="5">
        <v>120</v>
      </c>
      <c r="K437" s="5">
        <v>801823</v>
      </c>
      <c r="L437" s="5">
        <v>8333040</v>
      </c>
      <c r="M437" s="5">
        <v>1122667.76</v>
      </c>
      <c r="N437" s="5">
        <v>0.1487</v>
      </c>
      <c r="O437" s="5">
        <v>8</v>
      </c>
      <c r="P437" s="5">
        <v>79581</v>
      </c>
    </row>
    <row r="438" spans="1:16" x14ac:dyDescent="0.3">
      <c r="A438" s="5">
        <v>68</v>
      </c>
      <c r="B438" s="5" t="s">
        <v>106</v>
      </c>
      <c r="C438" s="5">
        <v>5</v>
      </c>
      <c r="D438" s="5" t="s">
        <v>80</v>
      </c>
      <c r="E438" s="5">
        <v>2023</v>
      </c>
      <c r="F438" s="5">
        <v>2</v>
      </c>
      <c r="G438" s="5" t="s">
        <v>47</v>
      </c>
      <c r="H438" s="5">
        <v>4732506</v>
      </c>
      <c r="I438" s="5">
        <v>4106828.37</v>
      </c>
      <c r="J438" s="5">
        <v>48</v>
      </c>
      <c r="K438" s="5">
        <v>510341</v>
      </c>
      <c r="L438" s="5">
        <v>5230790</v>
      </c>
      <c r="M438" s="5">
        <v>625677.63</v>
      </c>
      <c r="N438" s="5">
        <v>0.13220000000000001</v>
      </c>
      <c r="O438" s="5">
        <v>4</v>
      </c>
      <c r="P438" s="5">
        <v>47510</v>
      </c>
    </row>
    <row r="439" spans="1:16" x14ac:dyDescent="0.3">
      <c r="A439" s="5">
        <v>98</v>
      </c>
      <c r="B439" s="5" t="s">
        <v>106</v>
      </c>
      <c r="C439" s="5">
        <v>5</v>
      </c>
      <c r="D439" s="5" t="s">
        <v>80</v>
      </c>
      <c r="E439" s="5">
        <v>2023</v>
      </c>
      <c r="F439" s="5">
        <v>2</v>
      </c>
      <c r="G439" s="5" t="s">
        <v>47</v>
      </c>
      <c r="H439" s="5">
        <v>6062231</v>
      </c>
      <c r="I439" s="5">
        <v>5306099.67</v>
      </c>
      <c r="J439" s="5">
        <v>95</v>
      </c>
      <c r="K439" s="5">
        <v>712729</v>
      </c>
      <c r="L439" s="5">
        <v>6759180</v>
      </c>
      <c r="M439" s="5">
        <v>756131.33</v>
      </c>
      <c r="N439" s="5">
        <v>0.12470000000000001</v>
      </c>
      <c r="O439" s="5">
        <v>8</v>
      </c>
      <c r="P439" s="5">
        <v>249193</v>
      </c>
    </row>
    <row r="440" spans="1:16" x14ac:dyDescent="0.3">
      <c r="A440" s="5">
        <v>68</v>
      </c>
      <c r="B440" s="5" t="s">
        <v>106</v>
      </c>
      <c r="C440" s="5">
        <v>5</v>
      </c>
      <c r="D440" s="5" t="s">
        <v>80</v>
      </c>
      <c r="E440" s="5">
        <v>2023</v>
      </c>
      <c r="F440" s="5">
        <v>3</v>
      </c>
      <c r="G440" s="5" t="s">
        <v>48</v>
      </c>
      <c r="H440" s="5">
        <v>5171192</v>
      </c>
      <c r="I440" s="5">
        <v>4558675.59</v>
      </c>
      <c r="J440" s="5">
        <v>54</v>
      </c>
      <c r="K440" s="5">
        <v>690633</v>
      </c>
      <c r="L440" s="5">
        <v>5850990</v>
      </c>
      <c r="M440" s="5">
        <v>612516.41</v>
      </c>
      <c r="N440" s="5">
        <v>0.11840000000000001</v>
      </c>
      <c r="O440" s="5">
        <v>7</v>
      </c>
      <c r="P440" s="5">
        <v>260698</v>
      </c>
    </row>
    <row r="441" spans="1:16" x14ac:dyDescent="0.3">
      <c r="A441" s="5">
        <v>98</v>
      </c>
      <c r="B441" s="5" t="s">
        <v>106</v>
      </c>
      <c r="C441" s="5">
        <v>5</v>
      </c>
      <c r="D441" s="5" t="s">
        <v>80</v>
      </c>
      <c r="E441" s="5">
        <v>2023</v>
      </c>
      <c r="F441" s="5">
        <v>3</v>
      </c>
      <c r="G441" s="5" t="s">
        <v>48</v>
      </c>
      <c r="H441" s="5">
        <v>7113456</v>
      </c>
      <c r="I441" s="5">
        <v>6123891.9100000001</v>
      </c>
      <c r="J441" s="5">
        <v>110</v>
      </c>
      <c r="K441" s="5">
        <v>878249</v>
      </c>
      <c r="L441" s="5">
        <v>7973380</v>
      </c>
      <c r="M441" s="5">
        <v>989564.09</v>
      </c>
      <c r="N441" s="5">
        <v>0.1391</v>
      </c>
      <c r="O441" s="5">
        <v>7</v>
      </c>
      <c r="P441" s="5">
        <v>220147</v>
      </c>
    </row>
    <row r="442" spans="1:16" x14ac:dyDescent="0.3">
      <c r="A442" s="5">
        <v>68</v>
      </c>
      <c r="B442" s="5" t="s">
        <v>106</v>
      </c>
      <c r="C442" s="5">
        <v>5</v>
      </c>
      <c r="D442" s="5" t="s">
        <v>80</v>
      </c>
      <c r="E442" s="5">
        <v>2023</v>
      </c>
      <c r="F442" s="5">
        <v>4</v>
      </c>
      <c r="G442" s="5" t="s">
        <v>49</v>
      </c>
      <c r="H442" s="5">
        <v>3194883</v>
      </c>
      <c r="I442" s="5">
        <v>2821978.65</v>
      </c>
      <c r="J442" s="5">
        <v>52</v>
      </c>
      <c r="K442" s="5">
        <v>424514</v>
      </c>
      <c r="L442" s="5">
        <v>3604640</v>
      </c>
      <c r="M442" s="5">
        <v>372904.35</v>
      </c>
      <c r="N442" s="5">
        <v>0.1167</v>
      </c>
      <c r="O442" s="5">
        <v>3</v>
      </c>
      <c r="P442" s="5">
        <v>77738</v>
      </c>
    </row>
    <row r="443" spans="1:16" x14ac:dyDescent="0.3">
      <c r="A443" s="5">
        <v>98</v>
      </c>
      <c r="B443" s="5" t="s">
        <v>106</v>
      </c>
      <c r="C443" s="5">
        <v>5</v>
      </c>
      <c r="D443" s="5" t="s">
        <v>80</v>
      </c>
      <c r="E443" s="5">
        <v>2023</v>
      </c>
      <c r="F443" s="5">
        <v>4</v>
      </c>
      <c r="G443" s="5" t="s">
        <v>49</v>
      </c>
      <c r="H443" s="5">
        <v>7576272</v>
      </c>
      <c r="I443" s="5">
        <v>6763081.7000000002</v>
      </c>
      <c r="J443" s="5">
        <v>132</v>
      </c>
      <c r="K443" s="5">
        <v>1079632</v>
      </c>
      <c r="L443" s="5">
        <v>8620360</v>
      </c>
      <c r="M443" s="5">
        <v>813190.3</v>
      </c>
      <c r="N443" s="5">
        <v>0.10730000000000001</v>
      </c>
      <c r="O443" s="5">
        <v>12</v>
      </c>
      <c r="P443" s="5">
        <v>244972</v>
      </c>
    </row>
    <row r="444" spans="1:16" x14ac:dyDescent="0.3">
      <c r="A444" s="5">
        <v>68</v>
      </c>
      <c r="B444" s="5" t="s">
        <v>106</v>
      </c>
      <c r="C444" s="5">
        <v>5</v>
      </c>
      <c r="D444" s="5" t="s">
        <v>80</v>
      </c>
      <c r="E444" s="5">
        <v>2023</v>
      </c>
      <c r="F444" s="5">
        <v>5</v>
      </c>
      <c r="G444" s="5" t="s">
        <v>50</v>
      </c>
      <c r="H444" s="5">
        <v>5285533</v>
      </c>
      <c r="I444" s="5">
        <v>4730078.38</v>
      </c>
      <c r="J444" s="5">
        <v>63</v>
      </c>
      <c r="K444" s="5">
        <v>764467</v>
      </c>
      <c r="L444" s="5">
        <v>6033740</v>
      </c>
      <c r="M444" s="5">
        <v>555454.62</v>
      </c>
      <c r="N444" s="5">
        <v>0.1051</v>
      </c>
      <c r="O444" s="5">
        <v>8</v>
      </c>
      <c r="P444" s="5">
        <v>72286</v>
      </c>
    </row>
    <row r="445" spans="1:16" x14ac:dyDescent="0.3">
      <c r="A445" s="5">
        <v>98</v>
      </c>
      <c r="B445" s="5" t="s">
        <v>106</v>
      </c>
      <c r="C445" s="5">
        <v>5</v>
      </c>
      <c r="D445" s="5" t="s">
        <v>80</v>
      </c>
      <c r="E445" s="5">
        <v>2023</v>
      </c>
      <c r="F445" s="5">
        <v>5</v>
      </c>
      <c r="G445" s="5" t="s">
        <v>50</v>
      </c>
      <c r="H445" s="5">
        <v>8758569</v>
      </c>
      <c r="I445" s="5">
        <v>7273913.75</v>
      </c>
      <c r="J445" s="5">
        <v>139</v>
      </c>
      <c r="K445" s="5">
        <v>780913</v>
      </c>
      <c r="L445" s="5">
        <v>9500300</v>
      </c>
      <c r="M445" s="5">
        <v>1484655.25</v>
      </c>
      <c r="N445" s="5">
        <v>0.16950000000000001</v>
      </c>
      <c r="O445" s="5">
        <v>13</v>
      </c>
      <c r="P445" s="5">
        <v>307186</v>
      </c>
    </row>
    <row r="446" spans="1:16" x14ac:dyDescent="0.3">
      <c r="A446" s="5">
        <v>68</v>
      </c>
      <c r="B446" s="5" t="s">
        <v>106</v>
      </c>
      <c r="C446" s="5">
        <v>5</v>
      </c>
      <c r="D446" s="5" t="s">
        <v>80</v>
      </c>
      <c r="E446" s="5">
        <v>2023</v>
      </c>
      <c r="F446" s="5">
        <v>6</v>
      </c>
      <c r="G446" s="5" t="s">
        <v>51</v>
      </c>
      <c r="H446" s="5">
        <v>5458252</v>
      </c>
      <c r="I446" s="5">
        <v>4696908.47</v>
      </c>
      <c r="J446" s="5">
        <v>77</v>
      </c>
      <c r="K446" s="5">
        <v>552741</v>
      </c>
      <c r="L446" s="5">
        <v>5986010</v>
      </c>
      <c r="M446" s="5">
        <v>761343.53</v>
      </c>
      <c r="N446" s="5">
        <v>0.13950000000000001</v>
      </c>
      <c r="O446" s="5">
        <v>8</v>
      </c>
      <c r="P446" s="5">
        <v>358861</v>
      </c>
    </row>
    <row r="447" spans="1:16" x14ac:dyDescent="0.3">
      <c r="A447" s="5">
        <v>98</v>
      </c>
      <c r="B447" s="5" t="s">
        <v>106</v>
      </c>
      <c r="C447" s="5">
        <v>5</v>
      </c>
      <c r="D447" s="5" t="s">
        <v>80</v>
      </c>
      <c r="E447" s="5">
        <v>2023</v>
      </c>
      <c r="F447" s="5">
        <v>6</v>
      </c>
      <c r="G447" s="5" t="s">
        <v>51</v>
      </c>
      <c r="H447" s="5">
        <v>9598302</v>
      </c>
      <c r="I447" s="5">
        <v>8182305.25</v>
      </c>
      <c r="J447" s="5">
        <v>142</v>
      </c>
      <c r="K447" s="5">
        <v>954657</v>
      </c>
      <c r="L447" s="5">
        <v>10519910</v>
      </c>
      <c r="M447" s="5">
        <v>1415996.75</v>
      </c>
      <c r="N447" s="5">
        <v>0.14749999999999999</v>
      </c>
      <c r="O447" s="5">
        <v>15</v>
      </c>
      <c r="P447" s="5">
        <v>675938</v>
      </c>
    </row>
    <row r="448" spans="1:16" x14ac:dyDescent="0.3">
      <c r="A448" s="5">
        <v>68</v>
      </c>
      <c r="B448" s="5" t="s">
        <v>106</v>
      </c>
      <c r="C448" s="5">
        <v>5</v>
      </c>
      <c r="D448" s="5" t="s">
        <v>80</v>
      </c>
      <c r="E448" s="5">
        <v>2023</v>
      </c>
      <c r="F448" s="5">
        <v>7</v>
      </c>
      <c r="G448" s="5" t="s">
        <v>52</v>
      </c>
      <c r="H448" s="5">
        <v>4647973</v>
      </c>
      <c r="I448" s="5">
        <v>4132048.79</v>
      </c>
      <c r="J448" s="5">
        <v>65</v>
      </c>
      <c r="K448" s="5">
        <v>688497</v>
      </c>
      <c r="L448" s="5">
        <v>5324620</v>
      </c>
      <c r="M448" s="5">
        <v>515924.21</v>
      </c>
      <c r="N448" s="5">
        <v>0.111</v>
      </c>
      <c r="O448" s="5">
        <v>6</v>
      </c>
      <c r="P448" s="5">
        <v>117204</v>
      </c>
    </row>
    <row r="449" spans="1:16" x14ac:dyDescent="0.3">
      <c r="A449" s="5">
        <v>98</v>
      </c>
      <c r="B449" s="5" t="s">
        <v>106</v>
      </c>
      <c r="C449" s="5">
        <v>5</v>
      </c>
      <c r="D449" s="5" t="s">
        <v>80</v>
      </c>
      <c r="E449" s="5">
        <v>2023</v>
      </c>
      <c r="F449" s="5">
        <v>7</v>
      </c>
      <c r="G449" s="5" t="s">
        <v>52</v>
      </c>
      <c r="H449" s="5">
        <v>8822427</v>
      </c>
      <c r="I449" s="5">
        <v>7930229.6799999997</v>
      </c>
      <c r="J449" s="5">
        <v>132</v>
      </c>
      <c r="K449" s="5">
        <v>1384748</v>
      </c>
      <c r="L449" s="5">
        <v>10176910</v>
      </c>
      <c r="M449" s="5">
        <v>892197.32</v>
      </c>
      <c r="N449" s="5">
        <v>0.1011</v>
      </c>
      <c r="O449" s="5">
        <v>13</v>
      </c>
      <c r="P449" s="5">
        <v>257897</v>
      </c>
    </row>
    <row r="450" spans="1:16" x14ac:dyDescent="0.3">
      <c r="A450" s="5">
        <v>68</v>
      </c>
      <c r="B450" s="5" t="s">
        <v>106</v>
      </c>
      <c r="C450" s="5">
        <v>5</v>
      </c>
      <c r="D450" s="5" t="s">
        <v>80</v>
      </c>
      <c r="E450" s="5">
        <v>2023</v>
      </c>
      <c r="F450" s="5">
        <v>8</v>
      </c>
      <c r="G450" s="5" t="s">
        <v>53</v>
      </c>
      <c r="H450" s="5">
        <v>5613533</v>
      </c>
      <c r="I450" s="5">
        <v>4904124.75</v>
      </c>
      <c r="J450" s="5">
        <v>74</v>
      </c>
      <c r="K450" s="5">
        <v>669391</v>
      </c>
      <c r="L450" s="5">
        <v>6266020</v>
      </c>
      <c r="M450" s="5">
        <v>709408.25</v>
      </c>
      <c r="N450" s="5">
        <v>0.12640000000000001</v>
      </c>
      <c r="O450" s="5">
        <v>5</v>
      </c>
      <c r="P450" s="5">
        <v>29314</v>
      </c>
    </row>
    <row r="451" spans="1:16" x14ac:dyDescent="0.3">
      <c r="A451" s="5">
        <v>98</v>
      </c>
      <c r="B451" s="5" t="s">
        <v>106</v>
      </c>
      <c r="C451" s="5">
        <v>5</v>
      </c>
      <c r="D451" s="5" t="s">
        <v>80</v>
      </c>
      <c r="E451" s="5">
        <v>2023</v>
      </c>
      <c r="F451" s="5">
        <v>8</v>
      </c>
      <c r="G451" s="5" t="s">
        <v>53</v>
      </c>
      <c r="H451" s="5">
        <v>10231318</v>
      </c>
      <c r="I451" s="5">
        <v>8817497.7899999991</v>
      </c>
      <c r="J451" s="5">
        <v>144</v>
      </c>
      <c r="K451" s="5">
        <v>1072776</v>
      </c>
      <c r="L451" s="5">
        <v>11264910</v>
      </c>
      <c r="M451" s="5">
        <v>1413820.21</v>
      </c>
      <c r="N451" s="5">
        <v>0.13819999999999999</v>
      </c>
      <c r="O451" s="5">
        <v>13</v>
      </c>
      <c r="P451" s="5">
        <v>440244</v>
      </c>
    </row>
    <row r="452" spans="1:16" x14ac:dyDescent="0.3">
      <c r="A452" s="5">
        <v>68</v>
      </c>
      <c r="B452" s="5" t="s">
        <v>106</v>
      </c>
      <c r="C452" s="5">
        <v>5</v>
      </c>
      <c r="D452" s="5" t="s">
        <v>80</v>
      </c>
      <c r="E452" s="5">
        <v>2023</v>
      </c>
      <c r="F452" s="5">
        <v>9</v>
      </c>
      <c r="G452" s="5" t="s">
        <v>54</v>
      </c>
      <c r="H452" s="5">
        <v>4872409</v>
      </c>
      <c r="I452" s="5">
        <v>4363412.66</v>
      </c>
      <c r="J452" s="5">
        <v>81</v>
      </c>
      <c r="K452" s="5">
        <v>794057</v>
      </c>
      <c r="L452" s="5">
        <v>5640910</v>
      </c>
      <c r="M452" s="5">
        <v>508996.34</v>
      </c>
      <c r="N452" s="5">
        <v>0.1045</v>
      </c>
      <c r="O452" s="5">
        <v>11</v>
      </c>
      <c r="P452" s="5">
        <v>203101</v>
      </c>
    </row>
    <row r="453" spans="1:16" x14ac:dyDescent="0.3">
      <c r="A453" s="5">
        <v>98</v>
      </c>
      <c r="B453" s="5" t="s">
        <v>106</v>
      </c>
      <c r="C453" s="5">
        <v>5</v>
      </c>
      <c r="D453" s="5" t="s">
        <v>80</v>
      </c>
      <c r="E453" s="5">
        <v>2023</v>
      </c>
      <c r="F453" s="5">
        <v>9</v>
      </c>
      <c r="G453" s="5" t="s">
        <v>54</v>
      </c>
      <c r="H453" s="5">
        <v>7807898</v>
      </c>
      <c r="I453" s="5">
        <v>6875086.2000000002</v>
      </c>
      <c r="J453" s="5">
        <v>138</v>
      </c>
      <c r="K453" s="5">
        <v>1209693</v>
      </c>
      <c r="L453" s="5">
        <v>8998570</v>
      </c>
      <c r="M453" s="5">
        <v>932811.8</v>
      </c>
      <c r="N453" s="5">
        <v>0.1195</v>
      </c>
      <c r="O453" s="5">
        <v>13</v>
      </c>
      <c r="P453" s="5">
        <v>307392</v>
      </c>
    </row>
    <row r="454" spans="1:16" x14ac:dyDescent="0.3">
      <c r="A454" s="5">
        <v>68</v>
      </c>
      <c r="B454" s="5" t="s">
        <v>106</v>
      </c>
      <c r="C454" s="5">
        <v>5</v>
      </c>
      <c r="D454" s="5" t="s">
        <v>80</v>
      </c>
      <c r="E454" s="5">
        <v>2023</v>
      </c>
      <c r="F454" s="5">
        <v>10</v>
      </c>
      <c r="G454" s="5" t="s">
        <v>55</v>
      </c>
      <c r="H454" s="5">
        <v>6312373</v>
      </c>
      <c r="I454" s="5">
        <v>5453437.5199999996</v>
      </c>
      <c r="J454" s="5">
        <v>98</v>
      </c>
      <c r="K454" s="5">
        <v>785148</v>
      </c>
      <c r="L454" s="5">
        <v>7086190</v>
      </c>
      <c r="M454" s="5">
        <v>858935.48</v>
      </c>
      <c r="N454" s="5">
        <v>0.1361</v>
      </c>
      <c r="O454" s="5">
        <v>13</v>
      </c>
      <c r="P454" s="5">
        <v>60189</v>
      </c>
    </row>
    <row r="455" spans="1:16" x14ac:dyDescent="0.3">
      <c r="A455" s="5">
        <v>98</v>
      </c>
      <c r="B455" s="5" t="s">
        <v>106</v>
      </c>
      <c r="C455" s="5">
        <v>5</v>
      </c>
      <c r="D455" s="5" t="s">
        <v>80</v>
      </c>
      <c r="E455" s="5">
        <v>2023</v>
      </c>
      <c r="F455" s="5">
        <v>10</v>
      </c>
      <c r="G455" s="5" t="s">
        <v>55</v>
      </c>
      <c r="H455" s="5">
        <v>14165981</v>
      </c>
      <c r="I455" s="5">
        <v>12036847.99</v>
      </c>
      <c r="J455" s="5">
        <v>165</v>
      </c>
      <c r="K455" s="5">
        <v>1463506</v>
      </c>
      <c r="L455" s="5">
        <v>15567570</v>
      </c>
      <c r="M455" s="5">
        <v>2129133.0099999998</v>
      </c>
      <c r="N455" s="5">
        <v>0.15029999999999999</v>
      </c>
      <c r="O455" s="5">
        <v>17</v>
      </c>
      <c r="P455" s="5">
        <v>682025</v>
      </c>
    </row>
    <row r="456" spans="1:16" x14ac:dyDescent="0.3">
      <c r="A456" s="5">
        <v>68</v>
      </c>
      <c r="B456" s="5" t="s">
        <v>106</v>
      </c>
      <c r="C456" s="5">
        <v>5</v>
      </c>
      <c r="D456" s="5" t="s">
        <v>80</v>
      </c>
      <c r="E456" s="5">
        <v>2023</v>
      </c>
      <c r="F456" s="5">
        <v>11</v>
      </c>
      <c r="G456" s="5" t="s">
        <v>56</v>
      </c>
      <c r="H456" s="5">
        <v>6661040</v>
      </c>
      <c r="I456" s="5">
        <v>5833614.1799999997</v>
      </c>
      <c r="J456" s="5">
        <v>94</v>
      </c>
      <c r="K456" s="5">
        <v>860616</v>
      </c>
      <c r="L456" s="5">
        <v>7495430</v>
      </c>
      <c r="M456" s="5">
        <v>827425.82</v>
      </c>
      <c r="N456" s="5">
        <v>0.1242</v>
      </c>
      <c r="O456" s="5">
        <v>9</v>
      </c>
      <c r="P456" s="5">
        <v>263805</v>
      </c>
    </row>
    <row r="457" spans="1:16" x14ac:dyDescent="0.3">
      <c r="A457" s="5">
        <v>98</v>
      </c>
      <c r="B457" s="5" t="s">
        <v>106</v>
      </c>
      <c r="C457" s="5">
        <v>5</v>
      </c>
      <c r="D457" s="5" t="s">
        <v>80</v>
      </c>
      <c r="E457" s="5">
        <v>2023</v>
      </c>
      <c r="F457" s="5">
        <v>11</v>
      </c>
      <c r="G457" s="5" t="s">
        <v>56</v>
      </c>
      <c r="H457" s="5">
        <v>11689949</v>
      </c>
      <c r="I457" s="5">
        <v>10641722.57</v>
      </c>
      <c r="J457" s="5">
        <v>169</v>
      </c>
      <c r="K457" s="5">
        <v>1938885</v>
      </c>
      <c r="L457" s="5">
        <v>13600160</v>
      </c>
      <c r="M457" s="5">
        <v>1048226.43</v>
      </c>
      <c r="N457" s="5">
        <v>8.9700000000000002E-2</v>
      </c>
      <c r="O457" s="5">
        <v>9</v>
      </c>
      <c r="P457" s="5">
        <v>170933</v>
      </c>
    </row>
    <row r="458" spans="1:16" x14ac:dyDescent="0.3">
      <c r="A458" s="5">
        <v>68</v>
      </c>
      <c r="B458" s="5" t="s">
        <v>106</v>
      </c>
      <c r="C458" s="5">
        <v>5</v>
      </c>
      <c r="D458" s="5" t="s">
        <v>80</v>
      </c>
      <c r="E458" s="5">
        <v>2023</v>
      </c>
      <c r="F458" s="5">
        <v>12</v>
      </c>
      <c r="G458" s="5" t="s">
        <v>57</v>
      </c>
      <c r="H458" s="5">
        <v>5793950</v>
      </c>
      <c r="I458" s="5">
        <v>5319626.28</v>
      </c>
      <c r="J458" s="5">
        <v>113</v>
      </c>
      <c r="K458" s="5">
        <v>1076176</v>
      </c>
      <c r="L458" s="5">
        <v>6853240</v>
      </c>
      <c r="M458" s="5">
        <v>474323.72</v>
      </c>
      <c r="N458" s="5">
        <v>8.1900000000000001E-2</v>
      </c>
      <c r="O458" s="5">
        <v>10</v>
      </c>
      <c r="P458" s="5">
        <v>455710</v>
      </c>
    </row>
    <row r="459" spans="1:16" x14ac:dyDescent="0.3">
      <c r="A459" s="5">
        <v>98</v>
      </c>
      <c r="B459" s="5" t="s">
        <v>106</v>
      </c>
      <c r="C459" s="5">
        <v>5</v>
      </c>
      <c r="D459" s="5" t="s">
        <v>80</v>
      </c>
      <c r="E459" s="5">
        <v>2023</v>
      </c>
      <c r="F459" s="5">
        <v>12</v>
      </c>
      <c r="G459" s="5" t="s">
        <v>57</v>
      </c>
      <c r="H459" s="5">
        <v>13551602</v>
      </c>
      <c r="I459" s="5">
        <v>12257197.68</v>
      </c>
      <c r="J459" s="5">
        <v>220</v>
      </c>
      <c r="K459" s="5">
        <v>2310489</v>
      </c>
      <c r="L459" s="5">
        <v>15809220</v>
      </c>
      <c r="M459" s="5">
        <v>1294404.32</v>
      </c>
      <c r="N459" s="5">
        <v>9.5500000000000002E-2</v>
      </c>
      <c r="O459" s="5">
        <v>25</v>
      </c>
      <c r="P459" s="5">
        <v>711664</v>
      </c>
    </row>
    <row r="460" spans="1:16" x14ac:dyDescent="0.3">
      <c r="A460" s="5">
        <v>68</v>
      </c>
      <c r="B460" s="5" t="s">
        <v>106</v>
      </c>
      <c r="C460" s="5">
        <v>5</v>
      </c>
      <c r="D460" s="5" t="s">
        <v>80</v>
      </c>
      <c r="E460" s="5">
        <v>2024</v>
      </c>
      <c r="F460" s="5">
        <v>1</v>
      </c>
      <c r="G460" s="5" t="s">
        <v>58</v>
      </c>
      <c r="H460" s="5">
        <v>4377669</v>
      </c>
      <c r="I460" s="5">
        <v>3813662.68</v>
      </c>
      <c r="J460" s="5">
        <v>71</v>
      </c>
      <c r="K460" s="5">
        <v>578776</v>
      </c>
      <c r="L460" s="5">
        <v>4941690</v>
      </c>
      <c r="M460" s="5">
        <v>564006.31999999995</v>
      </c>
      <c r="N460" s="5">
        <v>0.1288</v>
      </c>
      <c r="O460" s="5">
        <v>7</v>
      </c>
      <c r="P460" s="5">
        <v>149566</v>
      </c>
    </row>
    <row r="461" spans="1:16" x14ac:dyDescent="0.3">
      <c r="A461" s="5">
        <v>98</v>
      </c>
      <c r="B461" s="5" t="s">
        <v>106</v>
      </c>
      <c r="C461" s="5">
        <v>5</v>
      </c>
      <c r="D461" s="5" t="s">
        <v>80</v>
      </c>
      <c r="E461" s="5">
        <v>2024</v>
      </c>
      <c r="F461" s="5">
        <v>1</v>
      </c>
      <c r="G461" s="5" t="s">
        <v>58</v>
      </c>
      <c r="H461" s="5">
        <v>8774816</v>
      </c>
      <c r="I461" s="5">
        <v>7498110.5599999996</v>
      </c>
      <c r="J461" s="5">
        <v>119</v>
      </c>
      <c r="K461" s="5">
        <v>1018901</v>
      </c>
      <c r="L461" s="5">
        <v>9765880</v>
      </c>
      <c r="M461" s="5">
        <v>1276705.44</v>
      </c>
      <c r="N461" s="5">
        <v>0.14549999999999999</v>
      </c>
      <c r="O461" s="5">
        <v>8</v>
      </c>
      <c r="P461" s="5">
        <v>367906</v>
      </c>
    </row>
    <row r="462" spans="1:16" x14ac:dyDescent="0.3">
      <c r="A462" s="5">
        <v>68</v>
      </c>
      <c r="B462" s="5" t="s">
        <v>106</v>
      </c>
      <c r="C462" s="5">
        <v>5</v>
      </c>
      <c r="D462" s="5" t="s">
        <v>80</v>
      </c>
      <c r="E462" s="5">
        <v>2024</v>
      </c>
      <c r="F462" s="5">
        <v>2</v>
      </c>
      <c r="G462" s="5" t="s">
        <v>59</v>
      </c>
      <c r="H462" s="5">
        <v>3317513</v>
      </c>
      <c r="I462" s="5">
        <v>2826492.44</v>
      </c>
      <c r="J462" s="5">
        <v>47</v>
      </c>
      <c r="K462" s="5">
        <v>393657</v>
      </c>
      <c r="L462" s="5">
        <v>3697770</v>
      </c>
      <c r="M462" s="5">
        <v>491020.56</v>
      </c>
      <c r="N462" s="5">
        <v>0.14799999999999999</v>
      </c>
      <c r="O462" s="5">
        <v>4</v>
      </c>
      <c r="P462" s="5">
        <v>196781</v>
      </c>
    </row>
    <row r="463" spans="1:16" x14ac:dyDescent="0.3">
      <c r="A463" s="5">
        <v>98</v>
      </c>
      <c r="B463" s="5" t="s">
        <v>106</v>
      </c>
      <c r="C463" s="5">
        <v>5</v>
      </c>
      <c r="D463" s="5" t="s">
        <v>80</v>
      </c>
      <c r="E463" s="5">
        <v>2024</v>
      </c>
      <c r="F463" s="5">
        <v>2</v>
      </c>
      <c r="G463" s="5" t="s">
        <v>59</v>
      </c>
      <c r="H463" s="5">
        <v>8550373</v>
      </c>
      <c r="I463" s="5">
        <v>7236805.3300000001</v>
      </c>
      <c r="J463" s="5">
        <v>113</v>
      </c>
      <c r="K463" s="5">
        <v>891292</v>
      </c>
      <c r="L463" s="5">
        <v>9417290</v>
      </c>
      <c r="M463" s="5">
        <v>1313567.67</v>
      </c>
      <c r="N463" s="5">
        <v>0.15359999999999999</v>
      </c>
      <c r="O463" s="5">
        <v>12</v>
      </c>
      <c r="P463" s="5">
        <v>524503</v>
      </c>
    </row>
    <row r="464" spans="1:16" x14ac:dyDescent="0.3">
      <c r="A464" s="5">
        <v>68</v>
      </c>
      <c r="B464" s="5" t="s">
        <v>106</v>
      </c>
      <c r="C464" s="5">
        <v>5</v>
      </c>
      <c r="D464" s="5" t="s">
        <v>80</v>
      </c>
      <c r="E464" s="5">
        <v>2024</v>
      </c>
      <c r="F464" s="5">
        <v>3</v>
      </c>
      <c r="G464" s="5" t="s">
        <v>60</v>
      </c>
      <c r="H464" s="5">
        <v>4528887</v>
      </c>
      <c r="I464" s="5">
        <v>3910375.1</v>
      </c>
      <c r="J464" s="5">
        <v>63</v>
      </c>
      <c r="K464" s="5">
        <v>467285</v>
      </c>
      <c r="L464" s="5">
        <v>4987350</v>
      </c>
      <c r="M464" s="5">
        <v>618511.9</v>
      </c>
      <c r="N464" s="5">
        <v>0.1366</v>
      </c>
      <c r="O464" s="5">
        <v>2</v>
      </c>
      <c r="P464" s="5">
        <v>136932</v>
      </c>
    </row>
    <row r="465" spans="1:16" x14ac:dyDescent="0.3">
      <c r="A465" s="5">
        <v>98</v>
      </c>
      <c r="B465" s="5" t="s">
        <v>106</v>
      </c>
      <c r="C465" s="5">
        <v>5</v>
      </c>
      <c r="D465" s="5" t="s">
        <v>80</v>
      </c>
      <c r="E465" s="5">
        <v>2024</v>
      </c>
      <c r="F465" s="5">
        <v>3</v>
      </c>
      <c r="G465" s="5" t="s">
        <v>60</v>
      </c>
      <c r="H465" s="5">
        <v>8623078</v>
      </c>
      <c r="I465" s="5">
        <v>7636365.6600000001</v>
      </c>
      <c r="J465" s="5">
        <v>113</v>
      </c>
      <c r="K465" s="5">
        <v>1097137</v>
      </c>
      <c r="L465" s="5">
        <v>9706300</v>
      </c>
      <c r="M465" s="5">
        <v>986712.34</v>
      </c>
      <c r="N465" s="5">
        <v>0.1144</v>
      </c>
      <c r="O465" s="5">
        <v>10</v>
      </c>
      <c r="P465" s="5">
        <v>258264</v>
      </c>
    </row>
    <row r="466" spans="1:16" x14ac:dyDescent="0.3">
      <c r="A466" s="5">
        <v>68</v>
      </c>
      <c r="B466" s="5" t="s">
        <v>106</v>
      </c>
      <c r="C466" s="5">
        <v>5</v>
      </c>
      <c r="D466" s="5" t="s">
        <v>80</v>
      </c>
      <c r="E466" s="5">
        <v>2024</v>
      </c>
      <c r="F466" s="5">
        <v>4</v>
      </c>
      <c r="G466" s="5" t="s">
        <v>61</v>
      </c>
      <c r="H466" s="5">
        <v>4439202</v>
      </c>
      <c r="I466" s="5">
        <v>3962339.29</v>
      </c>
      <c r="J466" s="5">
        <v>64</v>
      </c>
      <c r="K466" s="5">
        <v>612325</v>
      </c>
      <c r="L466" s="5">
        <v>5042200</v>
      </c>
      <c r="M466" s="5">
        <v>476862.71</v>
      </c>
      <c r="N466" s="5">
        <v>0.1074</v>
      </c>
      <c r="O466" s="5">
        <v>7</v>
      </c>
      <c r="P466" s="5">
        <v>171185</v>
      </c>
    </row>
    <row r="467" spans="1:16" x14ac:dyDescent="0.3">
      <c r="A467" s="5">
        <v>98</v>
      </c>
      <c r="B467" s="5" t="s">
        <v>106</v>
      </c>
      <c r="C467" s="5">
        <v>5</v>
      </c>
      <c r="D467" s="5" t="s">
        <v>80</v>
      </c>
      <c r="E467" s="5">
        <v>2024</v>
      </c>
      <c r="F467" s="5">
        <v>4</v>
      </c>
      <c r="G467" s="5" t="s">
        <v>61</v>
      </c>
      <c r="H467" s="5">
        <v>11575058</v>
      </c>
      <c r="I467" s="5">
        <v>10139513.41</v>
      </c>
      <c r="J467" s="5">
        <v>154</v>
      </c>
      <c r="K467" s="5">
        <v>1445732</v>
      </c>
      <c r="L467" s="5">
        <v>12983410</v>
      </c>
      <c r="M467" s="5">
        <v>1435544.59</v>
      </c>
      <c r="N467" s="5">
        <v>0.124</v>
      </c>
      <c r="O467" s="5">
        <v>8</v>
      </c>
      <c r="P467" s="5">
        <v>200198</v>
      </c>
    </row>
    <row r="468" spans="1:16" x14ac:dyDescent="0.3">
      <c r="A468" s="5">
        <v>68</v>
      </c>
      <c r="B468" s="5" t="s">
        <v>106</v>
      </c>
      <c r="C468" s="5">
        <v>5</v>
      </c>
      <c r="D468" s="5" t="s">
        <v>80</v>
      </c>
      <c r="E468" s="5">
        <v>2024</v>
      </c>
      <c r="F468" s="5">
        <v>5</v>
      </c>
      <c r="G468" s="5" t="s">
        <v>62</v>
      </c>
      <c r="H468" s="5">
        <v>5685257</v>
      </c>
      <c r="I468" s="5">
        <v>4940374.43</v>
      </c>
      <c r="J468" s="5">
        <v>73</v>
      </c>
      <c r="K468" s="5">
        <v>661923</v>
      </c>
      <c r="L468" s="5">
        <v>6317920</v>
      </c>
      <c r="M468" s="5">
        <v>744882.57</v>
      </c>
      <c r="N468" s="5">
        <v>0.13100000000000001</v>
      </c>
      <c r="O468" s="5">
        <v>9</v>
      </c>
      <c r="P468" s="5">
        <v>208998</v>
      </c>
    </row>
    <row r="469" spans="1:16" x14ac:dyDescent="0.3">
      <c r="A469" s="5">
        <v>98</v>
      </c>
      <c r="B469" s="5" t="s">
        <v>106</v>
      </c>
      <c r="C469" s="5">
        <v>5</v>
      </c>
      <c r="D469" s="5" t="s">
        <v>80</v>
      </c>
      <c r="E469" s="5">
        <v>2024</v>
      </c>
      <c r="F469" s="5">
        <v>5</v>
      </c>
      <c r="G469" s="5" t="s">
        <v>62</v>
      </c>
      <c r="H469" s="5">
        <v>8441772</v>
      </c>
      <c r="I469" s="5">
        <v>7544992.4100000001</v>
      </c>
      <c r="J469" s="5">
        <v>143</v>
      </c>
      <c r="K469" s="5">
        <v>1355002</v>
      </c>
      <c r="L469" s="5">
        <v>9756330</v>
      </c>
      <c r="M469" s="5">
        <v>896779.59</v>
      </c>
      <c r="N469" s="5">
        <v>0.1062</v>
      </c>
      <c r="O469" s="5">
        <v>13</v>
      </c>
      <c r="P469" s="5">
        <v>239256</v>
      </c>
    </row>
    <row r="470" spans="1:16" x14ac:dyDescent="0.3">
      <c r="A470" s="5">
        <v>68</v>
      </c>
      <c r="B470" s="5" t="s">
        <v>106</v>
      </c>
      <c r="C470" s="5">
        <v>5</v>
      </c>
      <c r="D470" s="5" t="s">
        <v>80</v>
      </c>
      <c r="E470" s="5">
        <v>2024</v>
      </c>
      <c r="F470" s="5">
        <v>6</v>
      </c>
      <c r="G470" s="5" t="s">
        <v>63</v>
      </c>
      <c r="H470" s="5">
        <v>4715772</v>
      </c>
      <c r="I470" s="5">
        <v>3793880.97</v>
      </c>
      <c r="J470" s="5">
        <v>76</v>
      </c>
      <c r="K470" s="5">
        <v>328050</v>
      </c>
      <c r="L470" s="5">
        <v>5030710</v>
      </c>
      <c r="M470" s="5">
        <v>921891.03</v>
      </c>
      <c r="N470" s="5">
        <v>0.19550000000000001</v>
      </c>
      <c r="O470" s="5">
        <v>4</v>
      </c>
      <c r="P470" s="5">
        <v>245408</v>
      </c>
    </row>
    <row r="471" spans="1:16" x14ac:dyDescent="0.3">
      <c r="A471" s="5">
        <v>98</v>
      </c>
      <c r="B471" s="5" t="s">
        <v>106</v>
      </c>
      <c r="C471" s="5">
        <v>5</v>
      </c>
      <c r="D471" s="5" t="s">
        <v>80</v>
      </c>
      <c r="E471" s="5">
        <v>2024</v>
      </c>
      <c r="F471" s="5">
        <v>6</v>
      </c>
      <c r="G471" s="5" t="s">
        <v>63</v>
      </c>
      <c r="H471" s="5">
        <v>10830819</v>
      </c>
      <c r="I471" s="5">
        <v>8923648.3900000006</v>
      </c>
      <c r="J471" s="5">
        <v>152</v>
      </c>
      <c r="K471" s="5">
        <v>687616</v>
      </c>
      <c r="L471" s="5">
        <v>11481520</v>
      </c>
      <c r="M471" s="5">
        <v>1907170.61</v>
      </c>
      <c r="N471" s="5">
        <v>0.17610000000000001</v>
      </c>
      <c r="O471" s="5">
        <v>11</v>
      </c>
      <c r="P471" s="5">
        <v>705409</v>
      </c>
    </row>
    <row r="472" spans="1:16" x14ac:dyDescent="0.3">
      <c r="A472" s="5">
        <v>68</v>
      </c>
      <c r="B472" s="5" t="s">
        <v>106</v>
      </c>
      <c r="C472" s="5">
        <v>5</v>
      </c>
      <c r="D472" s="5" t="s">
        <v>80</v>
      </c>
      <c r="E472" s="5">
        <v>2024</v>
      </c>
      <c r="F472" s="5">
        <v>7</v>
      </c>
      <c r="G472" s="5" t="s">
        <v>64</v>
      </c>
      <c r="H472" s="5">
        <v>5332591</v>
      </c>
      <c r="I472" s="5">
        <v>4402839.6100000003</v>
      </c>
      <c r="J472" s="5">
        <v>68</v>
      </c>
      <c r="K472" s="5">
        <v>347308</v>
      </c>
      <c r="L472" s="5">
        <v>5663530</v>
      </c>
      <c r="M472" s="5">
        <v>929751.39</v>
      </c>
      <c r="N472" s="5">
        <v>0.1744</v>
      </c>
      <c r="O472" s="5">
        <v>6</v>
      </c>
      <c r="P472" s="5">
        <v>20944</v>
      </c>
    </row>
    <row r="473" spans="1:16" x14ac:dyDescent="0.3">
      <c r="A473" s="5">
        <v>98</v>
      </c>
      <c r="B473" s="5" t="s">
        <v>106</v>
      </c>
      <c r="C473" s="5">
        <v>5</v>
      </c>
      <c r="D473" s="5" t="s">
        <v>80</v>
      </c>
      <c r="E473" s="5">
        <v>2024</v>
      </c>
      <c r="F473" s="5">
        <v>7</v>
      </c>
      <c r="G473" s="5" t="s">
        <v>64</v>
      </c>
      <c r="H473" s="5">
        <v>10151893</v>
      </c>
      <c r="I473" s="5">
        <v>8512305.4900000002</v>
      </c>
      <c r="J473" s="5">
        <v>147</v>
      </c>
      <c r="K473" s="5">
        <v>971357</v>
      </c>
      <c r="L473" s="5">
        <v>11086530</v>
      </c>
      <c r="M473" s="5">
        <v>1639587.51</v>
      </c>
      <c r="N473" s="5">
        <v>0.1615</v>
      </c>
      <c r="O473" s="5">
        <v>12</v>
      </c>
      <c r="P473" s="5">
        <v>381027</v>
      </c>
    </row>
    <row r="474" spans="1:16" x14ac:dyDescent="0.3">
      <c r="A474" s="5">
        <v>68</v>
      </c>
      <c r="B474" s="5" t="s">
        <v>106</v>
      </c>
      <c r="C474" s="5">
        <v>5</v>
      </c>
      <c r="D474" s="5" t="s">
        <v>80</v>
      </c>
      <c r="E474" s="5">
        <v>2024</v>
      </c>
      <c r="F474" s="5">
        <v>8</v>
      </c>
      <c r="G474" s="5" t="s">
        <v>65</v>
      </c>
      <c r="H474" s="5">
        <v>5138469</v>
      </c>
      <c r="I474" s="5">
        <v>4490122.37</v>
      </c>
      <c r="J474" s="5">
        <v>71</v>
      </c>
      <c r="K474" s="5">
        <v>613682</v>
      </c>
      <c r="L474" s="5">
        <v>5737440</v>
      </c>
      <c r="M474" s="5">
        <v>648346.63</v>
      </c>
      <c r="N474" s="5">
        <v>0.12620000000000001</v>
      </c>
      <c r="O474" s="5">
        <v>3</v>
      </c>
      <c r="P474" s="5">
        <v>14307</v>
      </c>
    </row>
    <row r="475" spans="1:16" x14ac:dyDescent="0.3">
      <c r="A475" s="5">
        <v>98</v>
      </c>
      <c r="B475" s="5" t="s">
        <v>106</v>
      </c>
      <c r="C475" s="5">
        <v>5</v>
      </c>
      <c r="D475" s="5" t="s">
        <v>80</v>
      </c>
      <c r="E475" s="5">
        <v>2024</v>
      </c>
      <c r="F475" s="5">
        <v>8</v>
      </c>
      <c r="G475" s="5" t="s">
        <v>65</v>
      </c>
      <c r="H475" s="5">
        <v>9179534</v>
      </c>
      <c r="I475" s="5">
        <v>7906030.9100000001</v>
      </c>
      <c r="J475" s="5">
        <v>140</v>
      </c>
      <c r="K475" s="5">
        <v>941339</v>
      </c>
      <c r="L475" s="5">
        <v>10095150</v>
      </c>
      <c r="M475" s="5">
        <v>1273503.0900000001</v>
      </c>
      <c r="N475" s="5">
        <v>0.13869999999999999</v>
      </c>
      <c r="O475" s="5">
        <v>9</v>
      </c>
      <c r="P475" s="5">
        <v>357381</v>
      </c>
    </row>
    <row r="476" spans="1:16" x14ac:dyDescent="0.3">
      <c r="A476" s="5">
        <v>68</v>
      </c>
      <c r="B476" s="5" t="s">
        <v>106</v>
      </c>
      <c r="C476" s="5">
        <v>5</v>
      </c>
      <c r="D476" s="5" t="s">
        <v>80</v>
      </c>
      <c r="E476" s="5">
        <v>2024</v>
      </c>
      <c r="F476" s="5">
        <v>9</v>
      </c>
      <c r="G476" s="5" t="s">
        <v>66</v>
      </c>
      <c r="H476" s="5">
        <v>5100751</v>
      </c>
      <c r="I476" s="5">
        <v>4309983.45</v>
      </c>
      <c r="J476" s="5">
        <v>71</v>
      </c>
      <c r="K476" s="5">
        <v>475466</v>
      </c>
      <c r="L476" s="5">
        <v>5571120</v>
      </c>
      <c r="M476" s="5">
        <v>790767.55</v>
      </c>
      <c r="N476" s="5">
        <v>0.155</v>
      </c>
      <c r="O476" s="5">
        <v>6</v>
      </c>
      <c r="P476" s="5">
        <v>278422</v>
      </c>
    </row>
    <row r="477" spans="1:16" x14ac:dyDescent="0.3">
      <c r="A477" s="5">
        <v>98</v>
      </c>
      <c r="B477" s="5" t="s">
        <v>106</v>
      </c>
      <c r="C477" s="5">
        <v>5</v>
      </c>
      <c r="D477" s="5" t="s">
        <v>80</v>
      </c>
      <c r="E477" s="5">
        <v>2024</v>
      </c>
      <c r="F477" s="5">
        <v>9</v>
      </c>
      <c r="G477" s="5" t="s">
        <v>66</v>
      </c>
      <c r="H477" s="5">
        <v>11571645</v>
      </c>
      <c r="I477" s="5">
        <v>9464880.5600000005</v>
      </c>
      <c r="J477" s="5">
        <v>149</v>
      </c>
      <c r="K477" s="5">
        <v>665047</v>
      </c>
      <c r="L477" s="5">
        <v>12196240</v>
      </c>
      <c r="M477" s="5">
        <v>2106764.44</v>
      </c>
      <c r="N477" s="5">
        <v>0.18210000000000001</v>
      </c>
      <c r="O477" s="5">
        <v>17</v>
      </c>
      <c r="P477" s="5">
        <v>468711</v>
      </c>
    </row>
    <row r="478" spans="1:16" x14ac:dyDescent="0.3">
      <c r="A478" s="5">
        <v>68</v>
      </c>
      <c r="B478" s="5" t="s">
        <v>106</v>
      </c>
      <c r="C478" s="5">
        <v>5</v>
      </c>
      <c r="D478" s="5" t="s">
        <v>80</v>
      </c>
      <c r="E478" s="5">
        <v>2024</v>
      </c>
      <c r="F478" s="5">
        <v>10</v>
      </c>
      <c r="G478" s="5" t="s">
        <v>67</v>
      </c>
      <c r="H478" s="5">
        <v>4712110</v>
      </c>
      <c r="I478" s="5">
        <v>3769806.29</v>
      </c>
      <c r="J478" s="5">
        <v>90</v>
      </c>
      <c r="K478" s="5">
        <v>167984</v>
      </c>
      <c r="L478" s="5">
        <v>4864800</v>
      </c>
      <c r="M478" s="5">
        <v>942303.71</v>
      </c>
      <c r="N478" s="5">
        <v>0.2</v>
      </c>
      <c r="O478" s="5">
        <v>5</v>
      </c>
      <c r="P478" s="5">
        <v>76351</v>
      </c>
    </row>
    <row r="479" spans="1:16" x14ac:dyDescent="0.3">
      <c r="A479" s="5">
        <v>98</v>
      </c>
      <c r="B479" s="5" t="s">
        <v>106</v>
      </c>
      <c r="C479" s="5">
        <v>5</v>
      </c>
      <c r="D479" s="5" t="s">
        <v>80</v>
      </c>
      <c r="E479" s="5">
        <v>2024</v>
      </c>
      <c r="F479" s="5">
        <v>10</v>
      </c>
      <c r="G479" s="5" t="s">
        <v>67</v>
      </c>
      <c r="H479" s="5">
        <v>14029925</v>
      </c>
      <c r="I479" s="5">
        <v>11341070.33</v>
      </c>
      <c r="J479" s="5">
        <v>195</v>
      </c>
      <c r="K479" s="5">
        <v>489114</v>
      </c>
      <c r="L479" s="5">
        <v>14482240</v>
      </c>
      <c r="M479" s="5">
        <v>2688854.67</v>
      </c>
      <c r="N479" s="5">
        <v>0.19170000000000001</v>
      </c>
      <c r="O479" s="5">
        <v>14</v>
      </c>
      <c r="P479" s="5">
        <v>348125</v>
      </c>
    </row>
    <row r="480" spans="1:16" x14ac:dyDescent="0.3">
      <c r="A480" s="5">
        <v>68</v>
      </c>
      <c r="B480" s="5" t="s">
        <v>106</v>
      </c>
      <c r="C480" s="5">
        <v>5</v>
      </c>
      <c r="D480" s="5" t="s">
        <v>80</v>
      </c>
      <c r="E480" s="5">
        <v>2024</v>
      </c>
      <c r="F480" s="5">
        <v>11</v>
      </c>
      <c r="G480" s="5" t="s">
        <v>68</v>
      </c>
      <c r="H480" s="5">
        <v>8120079</v>
      </c>
      <c r="I480" s="5">
        <v>6699448.5499999998</v>
      </c>
      <c r="J480" s="5">
        <v>94</v>
      </c>
      <c r="K480" s="5">
        <v>476322</v>
      </c>
      <c r="L480" s="5">
        <v>8552410</v>
      </c>
      <c r="M480" s="5">
        <v>1420630.45</v>
      </c>
      <c r="N480" s="5">
        <v>0.17499999999999999</v>
      </c>
      <c r="O480" s="5">
        <v>8</v>
      </c>
      <c r="P480" s="5">
        <v>118551</v>
      </c>
    </row>
    <row r="481" spans="1:16" x14ac:dyDescent="0.3">
      <c r="A481" s="5">
        <v>98</v>
      </c>
      <c r="B481" s="5" t="s">
        <v>106</v>
      </c>
      <c r="C481" s="5">
        <v>5</v>
      </c>
      <c r="D481" s="5" t="s">
        <v>80</v>
      </c>
      <c r="E481" s="5">
        <v>2024</v>
      </c>
      <c r="F481" s="5">
        <v>11</v>
      </c>
      <c r="G481" s="5" t="s">
        <v>68</v>
      </c>
      <c r="H481" s="5">
        <v>15646198</v>
      </c>
      <c r="I481" s="5">
        <v>12945939.07</v>
      </c>
      <c r="J481" s="5">
        <v>206</v>
      </c>
      <c r="K481" s="5">
        <v>1113824</v>
      </c>
      <c r="L481" s="5">
        <v>16723090</v>
      </c>
      <c r="M481" s="5">
        <v>2700258.93</v>
      </c>
      <c r="N481" s="5">
        <v>0.1726</v>
      </c>
      <c r="O481" s="5">
        <v>22</v>
      </c>
      <c r="P481" s="5">
        <v>532597</v>
      </c>
    </row>
    <row r="482" spans="1:16" x14ac:dyDescent="0.3">
      <c r="A482" s="5">
        <v>68</v>
      </c>
      <c r="B482" s="5" t="s">
        <v>106</v>
      </c>
      <c r="C482" s="5">
        <v>5</v>
      </c>
      <c r="D482" s="5" t="s">
        <v>80</v>
      </c>
      <c r="E482" s="5">
        <v>2024</v>
      </c>
      <c r="F482" s="5">
        <v>12</v>
      </c>
      <c r="G482" s="5" t="s">
        <v>69</v>
      </c>
      <c r="H482" s="5">
        <v>8531554</v>
      </c>
      <c r="I482" s="5">
        <v>6845159.1200000001</v>
      </c>
      <c r="J482" s="5">
        <v>108</v>
      </c>
      <c r="K482" s="5">
        <v>294396</v>
      </c>
      <c r="L482" s="5">
        <v>8805960</v>
      </c>
      <c r="M482" s="5">
        <v>1686394.8799999999</v>
      </c>
      <c r="N482" s="5">
        <v>0.19769999999999999</v>
      </c>
      <c r="O482" s="5">
        <v>5</v>
      </c>
      <c r="P482" s="5">
        <v>142001</v>
      </c>
    </row>
    <row r="483" spans="1:16" x14ac:dyDescent="0.3">
      <c r="A483" s="5">
        <v>98</v>
      </c>
      <c r="B483" s="5" t="s">
        <v>106</v>
      </c>
      <c r="C483" s="5">
        <v>5</v>
      </c>
      <c r="D483" s="5" t="s">
        <v>80</v>
      </c>
      <c r="E483" s="5">
        <v>2024</v>
      </c>
      <c r="F483" s="5">
        <v>12</v>
      </c>
      <c r="G483" s="5" t="s">
        <v>69</v>
      </c>
      <c r="H483" s="5">
        <v>13230886</v>
      </c>
      <c r="I483" s="5">
        <v>10565140.52</v>
      </c>
      <c r="J483" s="5">
        <v>192</v>
      </c>
      <c r="K483" s="5">
        <v>413451</v>
      </c>
      <c r="L483" s="5">
        <v>13603870</v>
      </c>
      <c r="M483" s="5">
        <v>2665745.48</v>
      </c>
      <c r="N483" s="5">
        <v>0.20150000000000001</v>
      </c>
      <c r="O483" s="5">
        <v>14</v>
      </c>
      <c r="P483" s="5">
        <v>299154</v>
      </c>
    </row>
    <row r="484" spans="1:16" x14ac:dyDescent="0.3">
      <c r="A484" s="5">
        <v>90</v>
      </c>
      <c r="B484" s="5" t="s">
        <v>107</v>
      </c>
      <c r="C484" s="5">
        <v>11</v>
      </c>
      <c r="D484" s="5" t="s">
        <v>83</v>
      </c>
      <c r="E484" s="5">
        <v>2021</v>
      </c>
      <c r="F484" s="5">
        <v>1</v>
      </c>
      <c r="G484" s="5" t="s">
        <v>22</v>
      </c>
      <c r="H484" s="5">
        <v>1502570</v>
      </c>
      <c r="I484" s="5">
        <v>1463863</v>
      </c>
      <c r="J484" s="5">
        <v>23</v>
      </c>
      <c r="K484" s="5">
        <v>300233</v>
      </c>
      <c r="L484" s="5">
        <v>1798370</v>
      </c>
      <c r="M484" s="5">
        <v>38707</v>
      </c>
      <c r="N484" s="5">
        <v>2.58E-2</v>
      </c>
      <c r="O484" s="5">
        <v>0</v>
      </c>
      <c r="P484" s="5">
        <v>0</v>
      </c>
    </row>
    <row r="485" spans="1:16" x14ac:dyDescent="0.3">
      <c r="A485" s="5">
        <v>90</v>
      </c>
      <c r="B485" s="5" t="s">
        <v>107</v>
      </c>
      <c r="C485" s="5">
        <v>11</v>
      </c>
      <c r="D485" s="5" t="s">
        <v>83</v>
      </c>
      <c r="E485" s="5">
        <v>2021</v>
      </c>
      <c r="F485" s="5">
        <v>2</v>
      </c>
      <c r="G485" s="5" t="s">
        <v>23</v>
      </c>
      <c r="H485" s="5">
        <v>581588</v>
      </c>
      <c r="I485" s="5">
        <v>520279.6</v>
      </c>
      <c r="J485" s="5">
        <v>13</v>
      </c>
      <c r="K485" s="5">
        <v>66200</v>
      </c>
      <c r="L485" s="5">
        <v>646840</v>
      </c>
      <c r="M485" s="5">
        <v>61308.4</v>
      </c>
      <c r="N485" s="5">
        <v>0.10539999999999999</v>
      </c>
      <c r="O485" s="5">
        <v>0</v>
      </c>
      <c r="P485" s="5">
        <v>0</v>
      </c>
    </row>
    <row r="486" spans="1:16" x14ac:dyDescent="0.3">
      <c r="A486" s="5">
        <v>90</v>
      </c>
      <c r="B486" s="5" t="s">
        <v>107</v>
      </c>
      <c r="C486" s="5">
        <v>11</v>
      </c>
      <c r="D486" s="5" t="s">
        <v>83</v>
      </c>
      <c r="E486" s="5">
        <v>2021</v>
      </c>
      <c r="F486" s="5">
        <v>3</v>
      </c>
      <c r="G486" s="5" t="s">
        <v>24</v>
      </c>
      <c r="H486" s="5">
        <v>591696</v>
      </c>
      <c r="I486" s="5">
        <v>490838.05</v>
      </c>
      <c r="J486" s="5">
        <v>13</v>
      </c>
      <c r="K486" s="5">
        <v>46294</v>
      </c>
      <c r="L486" s="5">
        <v>637590</v>
      </c>
      <c r="M486" s="5">
        <v>100857.95</v>
      </c>
      <c r="N486" s="5">
        <v>0.17050000000000001</v>
      </c>
      <c r="O486" s="5">
        <v>0</v>
      </c>
      <c r="P486" s="5">
        <v>0</v>
      </c>
    </row>
    <row r="487" spans="1:16" x14ac:dyDescent="0.3">
      <c r="A487" s="5">
        <v>90</v>
      </c>
      <c r="B487" s="5" t="s">
        <v>107</v>
      </c>
      <c r="C487" s="5">
        <v>11</v>
      </c>
      <c r="D487" s="5" t="s">
        <v>83</v>
      </c>
      <c r="E487" s="5">
        <v>2021</v>
      </c>
      <c r="F487" s="5">
        <v>4</v>
      </c>
      <c r="G487" s="5" t="s">
        <v>25</v>
      </c>
      <c r="H487" s="5">
        <v>1271792</v>
      </c>
      <c r="I487" s="5">
        <v>1134577.4099999999</v>
      </c>
      <c r="J487" s="5">
        <v>20</v>
      </c>
      <c r="K487" s="5">
        <v>152699</v>
      </c>
      <c r="L487" s="5">
        <v>1422750</v>
      </c>
      <c r="M487" s="5">
        <v>137214.59</v>
      </c>
      <c r="N487" s="5">
        <v>0.1079</v>
      </c>
      <c r="O487" s="5">
        <v>3</v>
      </c>
      <c r="P487" s="5">
        <v>20579</v>
      </c>
    </row>
    <row r="488" spans="1:16" x14ac:dyDescent="0.3">
      <c r="A488" s="5">
        <v>90</v>
      </c>
      <c r="B488" s="5" t="s">
        <v>107</v>
      </c>
      <c r="C488" s="5">
        <v>11</v>
      </c>
      <c r="D488" s="5" t="s">
        <v>83</v>
      </c>
      <c r="E488" s="5">
        <v>2021</v>
      </c>
      <c r="F488" s="5">
        <v>5</v>
      </c>
      <c r="G488" s="5" t="s">
        <v>26</v>
      </c>
      <c r="H488" s="5">
        <v>1186191</v>
      </c>
      <c r="I488" s="5">
        <v>1115150.93</v>
      </c>
      <c r="J488" s="5">
        <v>19</v>
      </c>
      <c r="K488" s="5">
        <v>269797</v>
      </c>
      <c r="L488" s="5">
        <v>1455420</v>
      </c>
      <c r="M488" s="5">
        <v>71040.070000000007</v>
      </c>
      <c r="N488" s="5">
        <v>5.9900000000000002E-2</v>
      </c>
      <c r="O488" s="5">
        <v>3</v>
      </c>
      <c r="P488" s="5">
        <v>156943</v>
      </c>
    </row>
    <row r="489" spans="1:16" x14ac:dyDescent="0.3">
      <c r="A489" s="5">
        <v>90</v>
      </c>
      <c r="B489" s="5" t="s">
        <v>107</v>
      </c>
      <c r="C489" s="5">
        <v>11</v>
      </c>
      <c r="D489" s="5" t="s">
        <v>83</v>
      </c>
      <c r="E489" s="5">
        <v>2021</v>
      </c>
      <c r="F489" s="5">
        <v>6</v>
      </c>
      <c r="G489" s="5" t="s">
        <v>27</v>
      </c>
      <c r="H489" s="5">
        <v>1263120</v>
      </c>
      <c r="I489" s="5">
        <v>1087555.8500000001</v>
      </c>
      <c r="J489" s="5">
        <v>15</v>
      </c>
      <c r="K489" s="5">
        <v>101243</v>
      </c>
      <c r="L489" s="5">
        <v>1359870</v>
      </c>
      <c r="M489" s="5">
        <v>175564.15</v>
      </c>
      <c r="N489" s="5">
        <v>0.13900000000000001</v>
      </c>
      <c r="O489" s="5">
        <v>2</v>
      </c>
      <c r="P489" s="5">
        <v>41045</v>
      </c>
    </row>
    <row r="490" spans="1:16" x14ac:dyDescent="0.3">
      <c r="A490" s="5">
        <v>90</v>
      </c>
      <c r="B490" s="5" t="s">
        <v>107</v>
      </c>
      <c r="C490" s="5">
        <v>11</v>
      </c>
      <c r="D490" s="5" t="s">
        <v>83</v>
      </c>
      <c r="E490" s="5">
        <v>2021</v>
      </c>
      <c r="F490" s="5">
        <v>7</v>
      </c>
      <c r="G490" s="5" t="s">
        <v>28</v>
      </c>
      <c r="H490" s="5">
        <v>1073149</v>
      </c>
      <c r="I490" s="5">
        <v>887702.72</v>
      </c>
      <c r="J490" s="5">
        <v>20</v>
      </c>
      <c r="K490" s="5">
        <v>115887</v>
      </c>
      <c r="L490" s="5">
        <v>1184060</v>
      </c>
      <c r="M490" s="5">
        <v>185446.28</v>
      </c>
      <c r="N490" s="5">
        <v>0.17280000000000001</v>
      </c>
      <c r="O490" s="5">
        <v>2</v>
      </c>
      <c r="P490" s="5">
        <v>9823</v>
      </c>
    </row>
    <row r="491" spans="1:16" x14ac:dyDescent="0.3">
      <c r="A491" s="5">
        <v>90</v>
      </c>
      <c r="B491" s="5" t="s">
        <v>107</v>
      </c>
      <c r="C491" s="5">
        <v>11</v>
      </c>
      <c r="D491" s="5" t="s">
        <v>83</v>
      </c>
      <c r="E491" s="5">
        <v>2021</v>
      </c>
      <c r="F491" s="5">
        <v>8</v>
      </c>
      <c r="G491" s="5" t="s">
        <v>29</v>
      </c>
      <c r="H491" s="5">
        <v>1360126</v>
      </c>
      <c r="I491" s="5">
        <v>1117066.3899999999</v>
      </c>
      <c r="J491" s="5">
        <v>19</v>
      </c>
      <c r="K491" s="5">
        <v>120609</v>
      </c>
      <c r="L491" s="5">
        <v>1472610</v>
      </c>
      <c r="M491" s="5">
        <v>243059.61</v>
      </c>
      <c r="N491" s="5">
        <v>0.1787</v>
      </c>
      <c r="O491" s="5">
        <v>0</v>
      </c>
      <c r="P491" s="5">
        <v>0</v>
      </c>
    </row>
    <row r="492" spans="1:16" x14ac:dyDescent="0.3">
      <c r="A492" s="5">
        <v>90</v>
      </c>
      <c r="B492" s="5" t="s">
        <v>107</v>
      </c>
      <c r="C492" s="5">
        <v>11</v>
      </c>
      <c r="D492" s="5" t="s">
        <v>83</v>
      </c>
      <c r="E492" s="5">
        <v>2021</v>
      </c>
      <c r="F492" s="5">
        <v>9</v>
      </c>
      <c r="G492" s="5" t="s">
        <v>30</v>
      </c>
      <c r="H492" s="5">
        <v>718842</v>
      </c>
      <c r="I492" s="5">
        <v>593667.38</v>
      </c>
      <c r="J492" s="5">
        <v>10</v>
      </c>
      <c r="K492" s="5">
        <v>40354</v>
      </c>
      <c r="L492" s="5">
        <v>755790</v>
      </c>
      <c r="M492" s="5">
        <v>125174.62</v>
      </c>
      <c r="N492" s="5">
        <v>0.1741</v>
      </c>
      <c r="O492" s="5">
        <v>2</v>
      </c>
      <c r="P492" s="5">
        <v>49871</v>
      </c>
    </row>
    <row r="493" spans="1:16" x14ac:dyDescent="0.3">
      <c r="A493" s="5">
        <v>90</v>
      </c>
      <c r="B493" s="5" t="s">
        <v>107</v>
      </c>
      <c r="C493" s="5">
        <v>11</v>
      </c>
      <c r="D493" s="5" t="s">
        <v>83</v>
      </c>
      <c r="E493" s="5">
        <v>2021</v>
      </c>
      <c r="F493" s="5">
        <v>10</v>
      </c>
      <c r="G493" s="5" t="s">
        <v>31</v>
      </c>
      <c r="H493" s="5">
        <v>1402224</v>
      </c>
      <c r="I493" s="5">
        <v>1207514.3500000001</v>
      </c>
      <c r="J493" s="5">
        <v>22</v>
      </c>
      <c r="K493" s="5">
        <v>155589</v>
      </c>
      <c r="L493" s="5">
        <v>1556800</v>
      </c>
      <c r="M493" s="5">
        <v>194709.65</v>
      </c>
      <c r="N493" s="5">
        <v>0.1389</v>
      </c>
      <c r="O493" s="5">
        <v>1</v>
      </c>
      <c r="P493" s="5">
        <v>103199</v>
      </c>
    </row>
    <row r="494" spans="1:16" x14ac:dyDescent="0.3">
      <c r="A494" s="5">
        <v>90</v>
      </c>
      <c r="B494" s="5" t="s">
        <v>107</v>
      </c>
      <c r="C494" s="5">
        <v>11</v>
      </c>
      <c r="D494" s="5" t="s">
        <v>83</v>
      </c>
      <c r="E494" s="5">
        <v>2021</v>
      </c>
      <c r="F494" s="5">
        <v>11</v>
      </c>
      <c r="G494" s="5" t="s">
        <v>32</v>
      </c>
      <c r="H494" s="5">
        <v>2154295</v>
      </c>
      <c r="I494" s="5">
        <v>1852323.38</v>
      </c>
      <c r="J494" s="5">
        <v>17</v>
      </c>
      <c r="K494" s="5">
        <v>161535</v>
      </c>
      <c r="L494" s="5">
        <v>2312710</v>
      </c>
      <c r="M494" s="5">
        <v>301971.62</v>
      </c>
      <c r="N494" s="5">
        <v>0.14019999999999999</v>
      </c>
      <c r="O494" s="5">
        <v>1</v>
      </c>
      <c r="P494" s="5">
        <v>123050</v>
      </c>
    </row>
    <row r="495" spans="1:16" x14ac:dyDescent="0.3">
      <c r="A495" s="5">
        <v>90</v>
      </c>
      <c r="B495" s="5" t="s">
        <v>107</v>
      </c>
      <c r="C495" s="5">
        <v>11</v>
      </c>
      <c r="D495" s="5" t="s">
        <v>83</v>
      </c>
      <c r="E495" s="5">
        <v>2021</v>
      </c>
      <c r="F495" s="5">
        <v>12</v>
      </c>
      <c r="G495" s="5" t="s">
        <v>33</v>
      </c>
      <c r="H495" s="5">
        <v>1118214</v>
      </c>
      <c r="I495" s="5">
        <v>918548.65</v>
      </c>
      <c r="J495" s="5">
        <v>19</v>
      </c>
      <c r="K495" s="5">
        <v>40923</v>
      </c>
      <c r="L495" s="5">
        <v>1151670</v>
      </c>
      <c r="M495" s="5">
        <v>199665.35</v>
      </c>
      <c r="N495" s="5">
        <v>0.17860000000000001</v>
      </c>
      <c r="O495" s="5">
        <v>1</v>
      </c>
      <c r="P495" s="5">
        <v>5437</v>
      </c>
    </row>
    <row r="496" spans="1:16" x14ac:dyDescent="0.3">
      <c r="A496" s="5">
        <v>90</v>
      </c>
      <c r="B496" s="5" t="s">
        <v>107</v>
      </c>
      <c r="C496" s="5">
        <v>11</v>
      </c>
      <c r="D496" s="5" t="s">
        <v>83</v>
      </c>
      <c r="E496" s="5">
        <v>2022</v>
      </c>
      <c r="F496" s="5">
        <v>1</v>
      </c>
      <c r="G496" s="5" t="s">
        <v>34</v>
      </c>
      <c r="H496" s="5">
        <v>1504041</v>
      </c>
      <c r="I496" s="5">
        <v>1173161.24</v>
      </c>
      <c r="J496" s="5">
        <v>18</v>
      </c>
      <c r="K496" s="5">
        <v>64804</v>
      </c>
      <c r="L496" s="5">
        <v>1560180</v>
      </c>
      <c r="M496" s="5">
        <v>330879.76</v>
      </c>
      <c r="N496" s="5">
        <v>0.22</v>
      </c>
      <c r="O496" s="5">
        <v>4</v>
      </c>
      <c r="P496" s="5">
        <v>68674</v>
      </c>
    </row>
    <row r="497" spans="1:16" x14ac:dyDescent="0.3">
      <c r="A497" s="5">
        <v>90</v>
      </c>
      <c r="B497" s="5" t="s">
        <v>107</v>
      </c>
      <c r="C497" s="5">
        <v>11</v>
      </c>
      <c r="D497" s="5" t="s">
        <v>83</v>
      </c>
      <c r="E497" s="5">
        <v>2022</v>
      </c>
      <c r="F497" s="5">
        <v>2</v>
      </c>
      <c r="G497" s="5" t="s">
        <v>35</v>
      </c>
      <c r="H497" s="5">
        <v>1206230</v>
      </c>
      <c r="I497" s="5">
        <v>950728.16</v>
      </c>
      <c r="J497" s="5">
        <v>16</v>
      </c>
      <c r="K497" s="5">
        <v>17692</v>
      </c>
      <c r="L497" s="5">
        <v>1214230</v>
      </c>
      <c r="M497" s="5">
        <v>255501.84</v>
      </c>
      <c r="N497" s="5">
        <v>0.21179999999999999</v>
      </c>
      <c r="O497" s="5">
        <v>3</v>
      </c>
      <c r="P497" s="5">
        <v>111080</v>
      </c>
    </row>
    <row r="498" spans="1:16" x14ac:dyDescent="0.3">
      <c r="A498" s="5">
        <v>90</v>
      </c>
      <c r="B498" s="5" t="s">
        <v>107</v>
      </c>
      <c r="C498" s="5">
        <v>11</v>
      </c>
      <c r="D498" s="5" t="s">
        <v>83</v>
      </c>
      <c r="E498" s="5">
        <v>2022</v>
      </c>
      <c r="F498" s="5">
        <v>3</v>
      </c>
      <c r="G498" s="5" t="s">
        <v>36</v>
      </c>
      <c r="H498" s="5">
        <v>1072046</v>
      </c>
      <c r="I498" s="5">
        <v>923865.79</v>
      </c>
      <c r="J498" s="5">
        <v>21</v>
      </c>
      <c r="K498" s="5">
        <v>123731</v>
      </c>
      <c r="L498" s="5">
        <v>1194680</v>
      </c>
      <c r="M498" s="5">
        <v>148180.21</v>
      </c>
      <c r="N498" s="5">
        <v>0.13819999999999999</v>
      </c>
      <c r="O498" s="5">
        <v>6</v>
      </c>
      <c r="P498" s="5">
        <v>146457</v>
      </c>
    </row>
    <row r="499" spans="1:16" x14ac:dyDescent="0.3">
      <c r="A499" s="5">
        <v>90</v>
      </c>
      <c r="B499" s="5" t="s">
        <v>107</v>
      </c>
      <c r="C499" s="5">
        <v>11</v>
      </c>
      <c r="D499" s="5" t="s">
        <v>83</v>
      </c>
      <c r="E499" s="5">
        <v>2022</v>
      </c>
      <c r="F499" s="5">
        <v>4</v>
      </c>
      <c r="G499" s="5" t="s">
        <v>37</v>
      </c>
      <c r="H499" s="5">
        <v>1517058</v>
      </c>
      <c r="I499" s="5">
        <v>1336252.1399999999</v>
      </c>
      <c r="J499" s="5">
        <v>22</v>
      </c>
      <c r="K499" s="5">
        <v>203524</v>
      </c>
      <c r="L499" s="5">
        <v>1716660</v>
      </c>
      <c r="M499" s="5">
        <v>180805.86</v>
      </c>
      <c r="N499" s="5">
        <v>0.1192</v>
      </c>
      <c r="O499" s="5">
        <v>0</v>
      </c>
      <c r="P499" s="5">
        <v>0</v>
      </c>
    </row>
    <row r="500" spans="1:16" x14ac:dyDescent="0.3">
      <c r="A500" s="5">
        <v>90</v>
      </c>
      <c r="B500" s="5" t="s">
        <v>107</v>
      </c>
      <c r="C500" s="5">
        <v>11</v>
      </c>
      <c r="D500" s="5" t="s">
        <v>83</v>
      </c>
      <c r="E500" s="5">
        <v>2022</v>
      </c>
      <c r="F500" s="5">
        <v>5</v>
      </c>
      <c r="G500" s="5" t="s">
        <v>38</v>
      </c>
      <c r="H500" s="5">
        <v>1690914</v>
      </c>
      <c r="I500" s="5">
        <v>1485636.88</v>
      </c>
      <c r="J500" s="5">
        <v>28</v>
      </c>
      <c r="K500" s="5">
        <v>185083</v>
      </c>
      <c r="L500" s="5">
        <v>1869940</v>
      </c>
      <c r="M500" s="5">
        <v>205277.12</v>
      </c>
      <c r="N500" s="5">
        <v>0.12139999999999999</v>
      </c>
      <c r="O500" s="5">
        <v>2</v>
      </c>
      <c r="P500" s="5">
        <v>74159</v>
      </c>
    </row>
    <row r="501" spans="1:16" x14ac:dyDescent="0.3">
      <c r="A501" s="5">
        <v>90</v>
      </c>
      <c r="B501" s="5" t="s">
        <v>107</v>
      </c>
      <c r="C501" s="5">
        <v>11</v>
      </c>
      <c r="D501" s="5" t="s">
        <v>83</v>
      </c>
      <c r="E501" s="5">
        <v>2022</v>
      </c>
      <c r="F501" s="5">
        <v>6</v>
      </c>
      <c r="G501" s="5" t="s">
        <v>39</v>
      </c>
      <c r="H501" s="5">
        <v>955789</v>
      </c>
      <c r="I501" s="5">
        <v>811713.26</v>
      </c>
      <c r="J501" s="5">
        <v>29</v>
      </c>
      <c r="K501" s="5">
        <v>152678</v>
      </c>
      <c r="L501" s="5">
        <v>1106010</v>
      </c>
      <c r="M501" s="5">
        <v>144075.74</v>
      </c>
      <c r="N501" s="5">
        <v>0.1507</v>
      </c>
      <c r="O501" s="5">
        <v>5</v>
      </c>
      <c r="P501" s="5">
        <v>68399</v>
      </c>
    </row>
    <row r="502" spans="1:16" x14ac:dyDescent="0.3">
      <c r="A502" s="5">
        <v>90</v>
      </c>
      <c r="B502" s="5" t="s">
        <v>107</v>
      </c>
      <c r="C502" s="5">
        <v>11</v>
      </c>
      <c r="D502" s="5" t="s">
        <v>83</v>
      </c>
      <c r="E502" s="5">
        <v>2022</v>
      </c>
      <c r="F502" s="5">
        <v>7</v>
      </c>
      <c r="G502" s="5" t="s">
        <v>40</v>
      </c>
      <c r="H502" s="5">
        <v>1111309</v>
      </c>
      <c r="I502" s="5">
        <v>1005485.23</v>
      </c>
      <c r="J502" s="5">
        <v>23</v>
      </c>
      <c r="K502" s="5">
        <v>189991</v>
      </c>
      <c r="L502" s="5">
        <v>1298270</v>
      </c>
      <c r="M502" s="5">
        <v>105823.77</v>
      </c>
      <c r="N502" s="5">
        <v>9.5200000000000007E-2</v>
      </c>
      <c r="O502" s="5">
        <v>1</v>
      </c>
      <c r="P502" s="5">
        <v>77820</v>
      </c>
    </row>
    <row r="503" spans="1:16" x14ac:dyDescent="0.3">
      <c r="A503" s="5">
        <v>90</v>
      </c>
      <c r="B503" s="5" t="s">
        <v>107</v>
      </c>
      <c r="C503" s="5">
        <v>11</v>
      </c>
      <c r="D503" s="5" t="s">
        <v>83</v>
      </c>
      <c r="E503" s="5">
        <v>2022</v>
      </c>
      <c r="F503" s="5">
        <v>8</v>
      </c>
      <c r="G503" s="5" t="s">
        <v>41</v>
      </c>
      <c r="H503" s="5">
        <v>1534628</v>
      </c>
      <c r="I503" s="5">
        <v>1399883.81</v>
      </c>
      <c r="J503" s="5">
        <v>17</v>
      </c>
      <c r="K503" s="5">
        <v>290530</v>
      </c>
      <c r="L503" s="5">
        <v>1819970</v>
      </c>
      <c r="M503" s="5">
        <v>134744.19</v>
      </c>
      <c r="N503" s="5">
        <v>8.7800000000000003E-2</v>
      </c>
      <c r="O503" s="5">
        <v>1</v>
      </c>
      <c r="P503" s="5">
        <v>57521</v>
      </c>
    </row>
    <row r="504" spans="1:16" x14ac:dyDescent="0.3">
      <c r="A504" s="5">
        <v>90</v>
      </c>
      <c r="B504" s="5" t="s">
        <v>107</v>
      </c>
      <c r="C504" s="5">
        <v>11</v>
      </c>
      <c r="D504" s="5" t="s">
        <v>83</v>
      </c>
      <c r="E504" s="5">
        <v>2022</v>
      </c>
      <c r="F504" s="5">
        <v>9</v>
      </c>
      <c r="G504" s="5" t="s">
        <v>42</v>
      </c>
      <c r="H504" s="5">
        <v>1101501</v>
      </c>
      <c r="I504" s="5">
        <v>955701.18</v>
      </c>
      <c r="J504" s="5">
        <v>22</v>
      </c>
      <c r="K504" s="5">
        <v>149771</v>
      </c>
      <c r="L504" s="5">
        <v>1247870</v>
      </c>
      <c r="M504" s="5">
        <v>145799.82</v>
      </c>
      <c r="N504" s="5">
        <v>0.13239999999999999</v>
      </c>
      <c r="O504" s="5">
        <v>4</v>
      </c>
      <c r="P504" s="5">
        <v>124856</v>
      </c>
    </row>
    <row r="505" spans="1:16" x14ac:dyDescent="0.3">
      <c r="A505" s="5">
        <v>90</v>
      </c>
      <c r="B505" s="5" t="s">
        <v>107</v>
      </c>
      <c r="C505" s="5">
        <v>11</v>
      </c>
      <c r="D505" s="5" t="s">
        <v>83</v>
      </c>
      <c r="E505" s="5">
        <v>2022</v>
      </c>
      <c r="F505" s="5">
        <v>10</v>
      </c>
      <c r="G505" s="5" t="s">
        <v>43</v>
      </c>
      <c r="H505" s="5">
        <v>2281622</v>
      </c>
      <c r="I505" s="5">
        <v>2067724.35</v>
      </c>
      <c r="J505" s="5">
        <v>36</v>
      </c>
      <c r="K505" s="5">
        <v>382003</v>
      </c>
      <c r="L505" s="5">
        <v>2656290</v>
      </c>
      <c r="M505" s="5">
        <v>213897.65</v>
      </c>
      <c r="N505" s="5">
        <v>9.3700000000000006E-2</v>
      </c>
      <c r="O505" s="5">
        <v>4</v>
      </c>
      <c r="P505" s="5">
        <v>14420</v>
      </c>
    </row>
    <row r="506" spans="1:16" x14ac:dyDescent="0.3">
      <c r="A506" s="5">
        <v>90</v>
      </c>
      <c r="B506" s="5" t="s">
        <v>107</v>
      </c>
      <c r="C506" s="5">
        <v>11</v>
      </c>
      <c r="D506" s="5" t="s">
        <v>83</v>
      </c>
      <c r="E506" s="5">
        <v>2022</v>
      </c>
      <c r="F506" s="5">
        <v>11</v>
      </c>
      <c r="G506" s="5" t="s">
        <v>44</v>
      </c>
      <c r="H506" s="5">
        <v>1681310</v>
      </c>
      <c r="I506" s="5">
        <v>1525804.07</v>
      </c>
      <c r="J506" s="5">
        <v>30</v>
      </c>
      <c r="K506" s="5">
        <v>281260</v>
      </c>
      <c r="L506" s="5">
        <v>1955620</v>
      </c>
      <c r="M506" s="5">
        <v>155505.93</v>
      </c>
      <c r="N506" s="5">
        <v>9.2499999999999999E-2</v>
      </c>
      <c r="O506" s="5">
        <v>1</v>
      </c>
      <c r="P506" s="5">
        <v>2864</v>
      </c>
    </row>
    <row r="507" spans="1:16" x14ac:dyDescent="0.3">
      <c r="A507" s="5">
        <v>90</v>
      </c>
      <c r="B507" s="5" t="s">
        <v>107</v>
      </c>
      <c r="C507" s="5">
        <v>11</v>
      </c>
      <c r="D507" s="5" t="s">
        <v>83</v>
      </c>
      <c r="E507" s="5">
        <v>2022</v>
      </c>
      <c r="F507" s="5">
        <v>12</v>
      </c>
      <c r="G507" s="5" t="s">
        <v>45</v>
      </c>
      <c r="H507" s="5">
        <v>1630495</v>
      </c>
      <c r="I507" s="5">
        <v>1289787.21</v>
      </c>
      <c r="J507" s="5">
        <v>31</v>
      </c>
      <c r="K507" s="5">
        <v>56807</v>
      </c>
      <c r="L507" s="5">
        <v>1678050</v>
      </c>
      <c r="M507" s="5">
        <v>340707.79</v>
      </c>
      <c r="N507" s="5">
        <v>0.20899999999999999</v>
      </c>
      <c r="O507" s="5">
        <v>2</v>
      </c>
      <c r="P507" s="5">
        <v>56936</v>
      </c>
    </row>
    <row r="508" spans="1:16" x14ac:dyDescent="0.3">
      <c r="A508" s="5">
        <v>90</v>
      </c>
      <c r="B508" s="5" t="s">
        <v>107</v>
      </c>
      <c r="C508" s="5">
        <v>11</v>
      </c>
      <c r="D508" s="5" t="s">
        <v>83</v>
      </c>
      <c r="E508" s="5">
        <v>2023</v>
      </c>
      <c r="F508" s="5">
        <v>1</v>
      </c>
      <c r="G508" s="5" t="s">
        <v>46</v>
      </c>
      <c r="H508" s="5">
        <v>447254</v>
      </c>
      <c r="I508" s="5">
        <v>352770.29</v>
      </c>
      <c r="J508" s="5">
        <v>18</v>
      </c>
      <c r="K508" s="5">
        <v>37721</v>
      </c>
      <c r="L508" s="5">
        <v>484040</v>
      </c>
      <c r="M508" s="5">
        <v>94483.71</v>
      </c>
      <c r="N508" s="5">
        <v>0.21129999999999999</v>
      </c>
      <c r="O508" s="5">
        <v>0</v>
      </c>
      <c r="P508" s="5">
        <v>0</v>
      </c>
    </row>
    <row r="509" spans="1:16" x14ac:dyDescent="0.3">
      <c r="A509" s="5">
        <v>90</v>
      </c>
      <c r="B509" s="5" t="s">
        <v>107</v>
      </c>
      <c r="C509" s="5">
        <v>11</v>
      </c>
      <c r="D509" s="5" t="s">
        <v>83</v>
      </c>
      <c r="E509" s="5">
        <v>2023</v>
      </c>
      <c r="F509" s="5">
        <v>2</v>
      </c>
      <c r="G509" s="5" t="s">
        <v>47</v>
      </c>
      <c r="H509" s="5">
        <v>1491728</v>
      </c>
      <c r="I509" s="5">
        <v>1392575.58</v>
      </c>
      <c r="J509" s="5">
        <v>22</v>
      </c>
      <c r="K509" s="5">
        <v>326755</v>
      </c>
      <c r="L509" s="5">
        <v>1816590</v>
      </c>
      <c r="M509" s="5">
        <v>99152.42</v>
      </c>
      <c r="N509" s="5">
        <v>6.6500000000000004E-2</v>
      </c>
      <c r="O509" s="5">
        <v>5</v>
      </c>
      <c r="P509" s="5">
        <v>104596</v>
      </c>
    </row>
    <row r="510" spans="1:16" x14ac:dyDescent="0.3">
      <c r="A510" s="5">
        <v>90</v>
      </c>
      <c r="B510" s="5" t="s">
        <v>107</v>
      </c>
      <c r="C510" s="5">
        <v>11</v>
      </c>
      <c r="D510" s="5" t="s">
        <v>83</v>
      </c>
      <c r="E510" s="5">
        <v>2023</v>
      </c>
      <c r="F510" s="5">
        <v>3</v>
      </c>
      <c r="G510" s="5" t="s">
        <v>48</v>
      </c>
      <c r="H510" s="5">
        <v>1905622</v>
      </c>
      <c r="I510" s="5">
        <v>1761207.96</v>
      </c>
      <c r="J510" s="5">
        <v>24</v>
      </c>
      <c r="K510" s="5">
        <v>332361</v>
      </c>
      <c r="L510" s="5">
        <v>2236960</v>
      </c>
      <c r="M510" s="5">
        <v>144414.04</v>
      </c>
      <c r="N510" s="5">
        <v>7.5800000000000006E-2</v>
      </c>
      <c r="O510" s="5">
        <v>2</v>
      </c>
      <c r="P510" s="5">
        <v>90040</v>
      </c>
    </row>
    <row r="511" spans="1:16" x14ac:dyDescent="0.3">
      <c r="A511" s="5">
        <v>90</v>
      </c>
      <c r="B511" s="5" t="s">
        <v>107</v>
      </c>
      <c r="C511" s="5">
        <v>11</v>
      </c>
      <c r="D511" s="5" t="s">
        <v>83</v>
      </c>
      <c r="E511" s="5">
        <v>2023</v>
      </c>
      <c r="F511" s="5">
        <v>4</v>
      </c>
      <c r="G511" s="5" t="s">
        <v>49</v>
      </c>
      <c r="H511" s="5">
        <v>2049800</v>
      </c>
      <c r="I511" s="5">
        <v>1791390.65</v>
      </c>
      <c r="J511" s="5">
        <v>23</v>
      </c>
      <c r="K511" s="5">
        <v>244983</v>
      </c>
      <c r="L511" s="5">
        <v>2285700</v>
      </c>
      <c r="M511" s="5">
        <v>258409.35</v>
      </c>
      <c r="N511" s="5">
        <v>0.12609999999999999</v>
      </c>
      <c r="O511" s="5">
        <v>2</v>
      </c>
      <c r="P511" s="5">
        <v>3476</v>
      </c>
    </row>
    <row r="512" spans="1:16" x14ac:dyDescent="0.3">
      <c r="A512" s="5">
        <v>90</v>
      </c>
      <c r="B512" s="5" t="s">
        <v>107</v>
      </c>
      <c r="C512" s="5">
        <v>11</v>
      </c>
      <c r="D512" s="5" t="s">
        <v>83</v>
      </c>
      <c r="E512" s="5">
        <v>2023</v>
      </c>
      <c r="F512" s="5">
        <v>5</v>
      </c>
      <c r="G512" s="5" t="s">
        <v>50</v>
      </c>
      <c r="H512" s="5">
        <v>1211970</v>
      </c>
      <c r="I512" s="5">
        <v>1010673.11</v>
      </c>
      <c r="J512" s="5">
        <v>20</v>
      </c>
      <c r="K512" s="5">
        <v>108197</v>
      </c>
      <c r="L512" s="5">
        <v>1319070</v>
      </c>
      <c r="M512" s="5">
        <v>201296.89</v>
      </c>
      <c r="N512" s="5">
        <v>0.1661</v>
      </c>
      <c r="O512" s="5">
        <v>3</v>
      </c>
      <c r="P512" s="5">
        <v>57834</v>
      </c>
    </row>
    <row r="513" spans="1:16" x14ac:dyDescent="0.3">
      <c r="A513" s="5">
        <v>90</v>
      </c>
      <c r="B513" s="5" t="s">
        <v>107</v>
      </c>
      <c r="C513" s="5">
        <v>11</v>
      </c>
      <c r="D513" s="5" t="s">
        <v>83</v>
      </c>
      <c r="E513" s="5">
        <v>2023</v>
      </c>
      <c r="F513" s="5">
        <v>6</v>
      </c>
      <c r="G513" s="5" t="s">
        <v>51</v>
      </c>
      <c r="H513" s="5">
        <v>1446884</v>
      </c>
      <c r="I513" s="5">
        <v>1198905.22</v>
      </c>
      <c r="J513" s="5">
        <v>26</v>
      </c>
      <c r="K513" s="5">
        <v>96831</v>
      </c>
      <c r="L513" s="5">
        <v>1539970</v>
      </c>
      <c r="M513" s="5">
        <v>247978.78</v>
      </c>
      <c r="N513" s="5">
        <v>0.1714</v>
      </c>
      <c r="O513" s="5">
        <v>2</v>
      </c>
      <c r="P513" s="5">
        <v>80197</v>
      </c>
    </row>
    <row r="514" spans="1:16" x14ac:dyDescent="0.3">
      <c r="A514" s="5">
        <v>90</v>
      </c>
      <c r="B514" s="5" t="s">
        <v>107</v>
      </c>
      <c r="C514" s="5">
        <v>11</v>
      </c>
      <c r="D514" s="5" t="s">
        <v>83</v>
      </c>
      <c r="E514" s="5">
        <v>2023</v>
      </c>
      <c r="F514" s="5">
        <v>7</v>
      </c>
      <c r="G514" s="5" t="s">
        <v>52</v>
      </c>
      <c r="H514" s="5">
        <v>1763179</v>
      </c>
      <c r="I514" s="5">
        <v>1449836.54</v>
      </c>
      <c r="J514" s="5">
        <v>26</v>
      </c>
      <c r="K514" s="5">
        <v>152407</v>
      </c>
      <c r="L514" s="5">
        <v>1904310</v>
      </c>
      <c r="M514" s="5">
        <v>313342.46000000002</v>
      </c>
      <c r="N514" s="5">
        <v>0.1777</v>
      </c>
      <c r="O514" s="5">
        <v>2</v>
      </c>
      <c r="P514" s="5">
        <v>116448</v>
      </c>
    </row>
    <row r="515" spans="1:16" x14ac:dyDescent="0.3">
      <c r="A515" s="5">
        <v>90</v>
      </c>
      <c r="B515" s="5" t="s">
        <v>107</v>
      </c>
      <c r="C515" s="5">
        <v>11</v>
      </c>
      <c r="D515" s="5" t="s">
        <v>83</v>
      </c>
      <c r="E515" s="5">
        <v>2023</v>
      </c>
      <c r="F515" s="5">
        <v>8</v>
      </c>
      <c r="G515" s="5" t="s">
        <v>53</v>
      </c>
      <c r="H515" s="5">
        <v>1302250</v>
      </c>
      <c r="I515" s="5">
        <v>1098732.18</v>
      </c>
      <c r="J515" s="5">
        <v>17</v>
      </c>
      <c r="K515" s="5">
        <v>120526</v>
      </c>
      <c r="L515" s="5">
        <v>1420670</v>
      </c>
      <c r="M515" s="5">
        <v>203517.82</v>
      </c>
      <c r="N515" s="5">
        <v>0.15629999999999999</v>
      </c>
      <c r="O515" s="5">
        <v>2</v>
      </c>
      <c r="P515" s="5">
        <v>45071</v>
      </c>
    </row>
    <row r="516" spans="1:16" x14ac:dyDescent="0.3">
      <c r="A516" s="5">
        <v>90</v>
      </c>
      <c r="B516" s="5" t="s">
        <v>107</v>
      </c>
      <c r="C516" s="5">
        <v>11</v>
      </c>
      <c r="D516" s="5" t="s">
        <v>83</v>
      </c>
      <c r="E516" s="5">
        <v>2023</v>
      </c>
      <c r="F516" s="5">
        <v>9</v>
      </c>
      <c r="G516" s="5" t="s">
        <v>54</v>
      </c>
      <c r="H516" s="5">
        <v>1922210</v>
      </c>
      <c r="I516" s="5">
        <v>1636894.2</v>
      </c>
      <c r="J516" s="5">
        <v>25</v>
      </c>
      <c r="K516" s="5">
        <v>161966</v>
      </c>
      <c r="L516" s="5">
        <v>2074450</v>
      </c>
      <c r="M516" s="5">
        <v>285315.8</v>
      </c>
      <c r="N516" s="5">
        <v>0.1484</v>
      </c>
      <c r="O516" s="5">
        <v>2</v>
      </c>
      <c r="P516" s="5">
        <v>184942</v>
      </c>
    </row>
    <row r="517" spans="1:16" x14ac:dyDescent="0.3">
      <c r="A517" s="5">
        <v>90</v>
      </c>
      <c r="B517" s="5" t="s">
        <v>107</v>
      </c>
      <c r="C517" s="5">
        <v>11</v>
      </c>
      <c r="D517" s="5" t="s">
        <v>83</v>
      </c>
      <c r="E517" s="5">
        <v>2023</v>
      </c>
      <c r="F517" s="5">
        <v>10</v>
      </c>
      <c r="G517" s="5" t="s">
        <v>55</v>
      </c>
      <c r="H517" s="5">
        <v>2098188</v>
      </c>
      <c r="I517" s="5">
        <v>1649648.73</v>
      </c>
      <c r="J517" s="5">
        <v>40</v>
      </c>
      <c r="K517" s="5">
        <v>111265</v>
      </c>
      <c r="L517" s="5">
        <v>2195510</v>
      </c>
      <c r="M517" s="5">
        <v>448539.27</v>
      </c>
      <c r="N517" s="5">
        <v>0.21379999999999999</v>
      </c>
      <c r="O517" s="5">
        <v>2</v>
      </c>
      <c r="P517" s="5">
        <v>5521</v>
      </c>
    </row>
    <row r="518" spans="1:16" x14ac:dyDescent="0.3">
      <c r="A518" s="5">
        <v>90</v>
      </c>
      <c r="B518" s="5" t="s">
        <v>107</v>
      </c>
      <c r="C518" s="5">
        <v>11</v>
      </c>
      <c r="D518" s="5" t="s">
        <v>83</v>
      </c>
      <c r="E518" s="5">
        <v>2023</v>
      </c>
      <c r="F518" s="5">
        <v>11</v>
      </c>
      <c r="G518" s="5" t="s">
        <v>56</v>
      </c>
      <c r="H518" s="5">
        <v>2990778</v>
      </c>
      <c r="I518" s="5">
        <v>2718590.76</v>
      </c>
      <c r="J518" s="5">
        <v>38</v>
      </c>
      <c r="K518" s="5">
        <v>487622</v>
      </c>
      <c r="L518" s="5">
        <v>3460710</v>
      </c>
      <c r="M518" s="5">
        <v>272187.24</v>
      </c>
      <c r="N518" s="5">
        <v>9.0999999999999998E-2</v>
      </c>
      <c r="O518" s="5">
        <v>2</v>
      </c>
      <c r="P518" s="5">
        <v>202392</v>
      </c>
    </row>
    <row r="519" spans="1:16" x14ac:dyDescent="0.3">
      <c r="A519" s="5">
        <v>90</v>
      </c>
      <c r="B519" s="5" t="s">
        <v>107</v>
      </c>
      <c r="C519" s="5">
        <v>11</v>
      </c>
      <c r="D519" s="5" t="s">
        <v>83</v>
      </c>
      <c r="E519" s="5">
        <v>2023</v>
      </c>
      <c r="F519" s="5">
        <v>12</v>
      </c>
      <c r="G519" s="5" t="s">
        <v>57</v>
      </c>
      <c r="H519" s="5">
        <v>2943747</v>
      </c>
      <c r="I519" s="5">
        <v>2698595.6</v>
      </c>
      <c r="J519" s="5">
        <v>47</v>
      </c>
      <c r="K519" s="5">
        <v>592411</v>
      </c>
      <c r="L519" s="5">
        <v>3525820</v>
      </c>
      <c r="M519" s="5">
        <v>245151.4</v>
      </c>
      <c r="N519" s="5">
        <v>8.3299999999999999E-2</v>
      </c>
      <c r="O519" s="5">
        <v>4</v>
      </c>
      <c r="P519" s="5">
        <v>345908</v>
      </c>
    </row>
    <row r="520" spans="1:16" x14ac:dyDescent="0.3">
      <c r="A520" s="5">
        <v>90</v>
      </c>
      <c r="B520" s="5" t="s">
        <v>107</v>
      </c>
      <c r="C520" s="5">
        <v>11</v>
      </c>
      <c r="D520" s="5" t="s">
        <v>83</v>
      </c>
      <c r="E520" s="5">
        <v>2024</v>
      </c>
      <c r="F520" s="5">
        <v>1</v>
      </c>
      <c r="G520" s="5" t="s">
        <v>58</v>
      </c>
      <c r="H520" s="5">
        <v>1150029</v>
      </c>
      <c r="I520" s="5">
        <v>958172.85</v>
      </c>
      <c r="J520" s="5">
        <v>22</v>
      </c>
      <c r="K520" s="5">
        <v>119701</v>
      </c>
      <c r="L520" s="5">
        <v>1262060</v>
      </c>
      <c r="M520" s="5">
        <v>191856.15</v>
      </c>
      <c r="N520" s="5">
        <v>0.1668</v>
      </c>
      <c r="O520" s="5">
        <v>4</v>
      </c>
      <c r="P520" s="5">
        <v>158135</v>
      </c>
    </row>
    <row r="521" spans="1:16" x14ac:dyDescent="0.3">
      <c r="A521" s="5">
        <v>90</v>
      </c>
      <c r="B521" s="5" t="s">
        <v>107</v>
      </c>
      <c r="C521" s="5">
        <v>11</v>
      </c>
      <c r="D521" s="5" t="s">
        <v>83</v>
      </c>
      <c r="E521" s="5">
        <v>2024</v>
      </c>
      <c r="F521" s="5">
        <v>2</v>
      </c>
      <c r="G521" s="5" t="s">
        <v>59</v>
      </c>
      <c r="H521" s="5">
        <v>1119393</v>
      </c>
      <c r="I521" s="5">
        <v>908341.78</v>
      </c>
      <c r="J521" s="5">
        <v>20</v>
      </c>
      <c r="K521" s="5">
        <v>87016</v>
      </c>
      <c r="L521" s="5">
        <v>1203260</v>
      </c>
      <c r="M521" s="5">
        <v>211051.22</v>
      </c>
      <c r="N521" s="5">
        <v>0.1885</v>
      </c>
      <c r="O521" s="5">
        <v>1</v>
      </c>
      <c r="P521" s="5">
        <v>5744</v>
      </c>
    </row>
    <row r="522" spans="1:16" x14ac:dyDescent="0.3">
      <c r="A522" s="5">
        <v>90</v>
      </c>
      <c r="B522" s="5" t="s">
        <v>107</v>
      </c>
      <c r="C522" s="5">
        <v>11</v>
      </c>
      <c r="D522" s="5" t="s">
        <v>83</v>
      </c>
      <c r="E522" s="5">
        <v>2024</v>
      </c>
      <c r="F522" s="5">
        <v>3</v>
      </c>
      <c r="G522" s="5" t="s">
        <v>60</v>
      </c>
      <c r="H522" s="5">
        <v>1786300</v>
      </c>
      <c r="I522" s="5">
        <v>1567117.06</v>
      </c>
      <c r="J522" s="5">
        <v>28</v>
      </c>
      <c r="K522" s="5">
        <v>199778</v>
      </c>
      <c r="L522" s="5">
        <v>1982730</v>
      </c>
      <c r="M522" s="5">
        <v>219182.94</v>
      </c>
      <c r="N522" s="5">
        <v>0.1227</v>
      </c>
      <c r="O522" s="5">
        <v>2</v>
      </c>
      <c r="P522" s="5">
        <v>182682</v>
      </c>
    </row>
    <row r="523" spans="1:16" x14ac:dyDescent="0.3">
      <c r="A523" s="5">
        <v>90</v>
      </c>
      <c r="B523" s="5" t="s">
        <v>107</v>
      </c>
      <c r="C523" s="5">
        <v>11</v>
      </c>
      <c r="D523" s="5" t="s">
        <v>83</v>
      </c>
      <c r="E523" s="5">
        <v>2024</v>
      </c>
      <c r="F523" s="5">
        <v>4</v>
      </c>
      <c r="G523" s="5" t="s">
        <v>61</v>
      </c>
      <c r="H523" s="5">
        <v>1489772</v>
      </c>
      <c r="I523" s="5">
        <v>1339677.79</v>
      </c>
      <c r="J523" s="5">
        <v>26</v>
      </c>
      <c r="K523" s="5">
        <v>174421</v>
      </c>
      <c r="L523" s="5">
        <v>1662080</v>
      </c>
      <c r="M523" s="5">
        <v>150094.21</v>
      </c>
      <c r="N523" s="5">
        <v>0.1007</v>
      </c>
      <c r="O523" s="5">
        <v>4</v>
      </c>
      <c r="P523" s="5">
        <v>134722</v>
      </c>
    </row>
    <row r="524" spans="1:16" x14ac:dyDescent="0.3">
      <c r="A524" s="5">
        <v>90</v>
      </c>
      <c r="B524" s="5" t="s">
        <v>107</v>
      </c>
      <c r="C524" s="5">
        <v>11</v>
      </c>
      <c r="D524" s="5" t="s">
        <v>83</v>
      </c>
      <c r="E524" s="5">
        <v>2024</v>
      </c>
      <c r="F524" s="5">
        <v>5</v>
      </c>
      <c r="G524" s="5" t="s">
        <v>62</v>
      </c>
      <c r="H524" s="5">
        <v>1768417</v>
      </c>
      <c r="I524" s="5">
        <v>1495229.59</v>
      </c>
      <c r="J524" s="5">
        <v>28</v>
      </c>
      <c r="K524" s="5">
        <v>219170</v>
      </c>
      <c r="L524" s="5">
        <v>1974970</v>
      </c>
      <c r="M524" s="5">
        <v>273187.40999999997</v>
      </c>
      <c r="N524" s="5">
        <v>0.1545</v>
      </c>
      <c r="O524" s="5">
        <v>1</v>
      </c>
      <c r="P524" s="5">
        <v>42963</v>
      </c>
    </row>
    <row r="525" spans="1:16" x14ac:dyDescent="0.3">
      <c r="A525" s="5">
        <v>90</v>
      </c>
      <c r="B525" s="5" t="s">
        <v>107</v>
      </c>
      <c r="C525" s="5">
        <v>11</v>
      </c>
      <c r="D525" s="5" t="s">
        <v>83</v>
      </c>
      <c r="E525" s="5">
        <v>2024</v>
      </c>
      <c r="F525" s="5">
        <v>6</v>
      </c>
      <c r="G525" s="5" t="s">
        <v>63</v>
      </c>
      <c r="H525" s="5">
        <v>995303</v>
      </c>
      <c r="I525" s="5">
        <v>816190.59</v>
      </c>
      <c r="J525" s="5">
        <v>23</v>
      </c>
      <c r="K525" s="5">
        <v>61381</v>
      </c>
      <c r="L525" s="5">
        <v>1051740</v>
      </c>
      <c r="M525" s="5">
        <v>179112.41</v>
      </c>
      <c r="N525" s="5">
        <v>0.18</v>
      </c>
      <c r="O525" s="5">
        <v>3</v>
      </c>
      <c r="P525" s="5">
        <v>65476</v>
      </c>
    </row>
    <row r="526" spans="1:16" x14ac:dyDescent="0.3">
      <c r="A526" s="5">
        <v>90</v>
      </c>
      <c r="B526" s="5" t="s">
        <v>107</v>
      </c>
      <c r="C526" s="5">
        <v>11</v>
      </c>
      <c r="D526" s="5" t="s">
        <v>83</v>
      </c>
      <c r="E526" s="5">
        <v>2024</v>
      </c>
      <c r="F526" s="5">
        <v>7</v>
      </c>
      <c r="G526" s="5" t="s">
        <v>64</v>
      </c>
      <c r="H526" s="5">
        <v>1302961</v>
      </c>
      <c r="I526" s="5">
        <v>1129859.6100000001</v>
      </c>
      <c r="J526" s="5">
        <v>24</v>
      </c>
      <c r="K526" s="5">
        <v>146099</v>
      </c>
      <c r="L526" s="5">
        <v>1443510</v>
      </c>
      <c r="M526" s="5">
        <v>173101.39</v>
      </c>
      <c r="N526" s="5">
        <v>0.13289999999999999</v>
      </c>
      <c r="O526" s="5">
        <v>1</v>
      </c>
      <c r="P526" s="5">
        <v>111392</v>
      </c>
    </row>
    <row r="527" spans="1:16" x14ac:dyDescent="0.3">
      <c r="A527" s="5">
        <v>90</v>
      </c>
      <c r="B527" s="5" t="s">
        <v>107</v>
      </c>
      <c r="C527" s="5">
        <v>11</v>
      </c>
      <c r="D527" s="5" t="s">
        <v>83</v>
      </c>
      <c r="E527" s="5">
        <v>2024</v>
      </c>
      <c r="F527" s="5">
        <v>8</v>
      </c>
      <c r="G527" s="5" t="s">
        <v>65</v>
      </c>
      <c r="H527" s="5">
        <v>1331465</v>
      </c>
      <c r="I527" s="5">
        <v>1194162.6399999999</v>
      </c>
      <c r="J527" s="5">
        <v>32</v>
      </c>
      <c r="K527" s="5">
        <v>189543</v>
      </c>
      <c r="L527" s="5">
        <v>1519120</v>
      </c>
      <c r="M527" s="5">
        <v>137302.35999999999</v>
      </c>
      <c r="N527" s="5">
        <v>0.1031</v>
      </c>
      <c r="O527" s="5">
        <v>1</v>
      </c>
      <c r="P527" s="5">
        <v>66209</v>
      </c>
    </row>
    <row r="528" spans="1:16" x14ac:dyDescent="0.3">
      <c r="A528" s="5">
        <v>90</v>
      </c>
      <c r="B528" s="5" t="s">
        <v>107</v>
      </c>
      <c r="C528" s="5">
        <v>11</v>
      </c>
      <c r="D528" s="5" t="s">
        <v>83</v>
      </c>
      <c r="E528" s="5">
        <v>2024</v>
      </c>
      <c r="F528" s="5">
        <v>9</v>
      </c>
      <c r="G528" s="5" t="s">
        <v>66</v>
      </c>
      <c r="H528" s="5">
        <v>2328742</v>
      </c>
      <c r="I528" s="5">
        <v>1882958.22</v>
      </c>
      <c r="J528" s="5">
        <v>25</v>
      </c>
      <c r="K528" s="5">
        <v>55478</v>
      </c>
      <c r="L528" s="5">
        <v>2365820</v>
      </c>
      <c r="M528" s="5">
        <v>445783.78</v>
      </c>
      <c r="N528" s="5">
        <v>0.19139999999999999</v>
      </c>
      <c r="O528" s="5">
        <v>1</v>
      </c>
      <c r="P528" s="5">
        <v>13962</v>
      </c>
    </row>
    <row r="529" spans="1:16" x14ac:dyDescent="0.3">
      <c r="A529" s="5">
        <v>90</v>
      </c>
      <c r="B529" s="5" t="s">
        <v>107</v>
      </c>
      <c r="C529" s="5">
        <v>11</v>
      </c>
      <c r="D529" s="5" t="s">
        <v>83</v>
      </c>
      <c r="E529" s="5">
        <v>2024</v>
      </c>
      <c r="F529" s="5">
        <v>10</v>
      </c>
      <c r="G529" s="5" t="s">
        <v>67</v>
      </c>
      <c r="H529" s="5">
        <v>2762507</v>
      </c>
      <c r="I529" s="5">
        <v>2223774.42</v>
      </c>
      <c r="J529" s="5">
        <v>39</v>
      </c>
      <c r="K529" s="5">
        <v>112062</v>
      </c>
      <c r="L529" s="5">
        <v>2867580</v>
      </c>
      <c r="M529" s="5">
        <v>538732.57999999996</v>
      </c>
      <c r="N529" s="5">
        <v>0.19500000000000001</v>
      </c>
      <c r="O529" s="5">
        <v>3</v>
      </c>
      <c r="P529" s="5">
        <v>116070</v>
      </c>
    </row>
    <row r="530" spans="1:16" x14ac:dyDescent="0.3">
      <c r="A530" s="5">
        <v>90</v>
      </c>
      <c r="B530" s="5" t="s">
        <v>107</v>
      </c>
      <c r="C530" s="5">
        <v>11</v>
      </c>
      <c r="D530" s="5" t="s">
        <v>83</v>
      </c>
      <c r="E530" s="5">
        <v>2024</v>
      </c>
      <c r="F530" s="5">
        <v>11</v>
      </c>
      <c r="G530" s="5" t="s">
        <v>68</v>
      </c>
      <c r="H530" s="5">
        <v>2816165</v>
      </c>
      <c r="I530" s="5">
        <v>2305742.27</v>
      </c>
      <c r="J530" s="5">
        <v>43</v>
      </c>
      <c r="K530" s="5">
        <v>199453</v>
      </c>
      <c r="L530" s="5">
        <v>3003720</v>
      </c>
      <c r="M530" s="5">
        <v>510422.73</v>
      </c>
      <c r="N530" s="5">
        <v>0.1812</v>
      </c>
      <c r="O530" s="5">
        <v>3</v>
      </c>
      <c r="P530" s="5">
        <v>70104</v>
      </c>
    </row>
    <row r="531" spans="1:16" x14ac:dyDescent="0.3">
      <c r="A531" s="5">
        <v>90</v>
      </c>
      <c r="B531" s="5" t="s">
        <v>107</v>
      </c>
      <c r="C531" s="5">
        <v>11</v>
      </c>
      <c r="D531" s="5" t="s">
        <v>83</v>
      </c>
      <c r="E531" s="5">
        <v>2024</v>
      </c>
      <c r="F531" s="5">
        <v>12</v>
      </c>
      <c r="G531" s="5" t="s">
        <v>69</v>
      </c>
      <c r="H531" s="5">
        <v>5294358</v>
      </c>
      <c r="I531" s="5">
        <v>4302818.54</v>
      </c>
      <c r="J531" s="5">
        <v>54</v>
      </c>
      <c r="K531" s="5">
        <v>192411</v>
      </c>
      <c r="L531" s="5">
        <v>5467430</v>
      </c>
      <c r="M531" s="5">
        <v>991539.46</v>
      </c>
      <c r="N531" s="5">
        <v>0.18729999999999999</v>
      </c>
      <c r="O531" s="5">
        <v>2</v>
      </c>
      <c r="P531" s="5">
        <v>47780</v>
      </c>
    </row>
    <row r="532" spans="1:16" x14ac:dyDescent="0.3">
      <c r="A532" s="5">
        <v>20</v>
      </c>
      <c r="B532" s="5" t="s">
        <v>108</v>
      </c>
      <c r="C532" s="5">
        <v>10</v>
      </c>
      <c r="D532" s="5" t="s">
        <v>86</v>
      </c>
      <c r="E532" s="5">
        <v>2021</v>
      </c>
      <c r="F532" s="5">
        <v>1</v>
      </c>
      <c r="G532" s="5" t="s">
        <v>22</v>
      </c>
      <c r="H532" s="5">
        <v>1153932</v>
      </c>
      <c r="I532" s="5">
        <v>1080744.8600000001</v>
      </c>
      <c r="J532" s="5">
        <v>24</v>
      </c>
      <c r="K532" s="5">
        <v>217762</v>
      </c>
      <c r="L532" s="5">
        <v>1368830</v>
      </c>
      <c r="M532" s="5">
        <v>73187.14</v>
      </c>
      <c r="N532" s="5">
        <v>6.3399999999999998E-2</v>
      </c>
      <c r="O532" s="5">
        <v>3</v>
      </c>
      <c r="P532" s="5">
        <v>126600</v>
      </c>
    </row>
    <row r="533" spans="1:16" x14ac:dyDescent="0.3">
      <c r="A533" s="5">
        <v>20</v>
      </c>
      <c r="B533" s="5" t="s">
        <v>108</v>
      </c>
      <c r="C533" s="5">
        <v>10</v>
      </c>
      <c r="D533" s="5" t="s">
        <v>86</v>
      </c>
      <c r="E533" s="5">
        <v>2021</v>
      </c>
      <c r="F533" s="5">
        <v>2</v>
      </c>
      <c r="G533" s="5" t="s">
        <v>23</v>
      </c>
      <c r="H533" s="5">
        <v>2084883</v>
      </c>
      <c r="I533" s="5">
        <v>1764526.16</v>
      </c>
      <c r="J533" s="5">
        <v>26</v>
      </c>
      <c r="K533" s="5">
        <v>146664</v>
      </c>
      <c r="L533" s="5">
        <v>2221790</v>
      </c>
      <c r="M533" s="5">
        <v>320356.84000000003</v>
      </c>
      <c r="N533" s="5">
        <v>0.1537</v>
      </c>
      <c r="O533" s="5">
        <v>2</v>
      </c>
      <c r="P533" s="5">
        <v>206274</v>
      </c>
    </row>
    <row r="534" spans="1:16" x14ac:dyDescent="0.3">
      <c r="A534" s="5">
        <v>20</v>
      </c>
      <c r="B534" s="5" t="s">
        <v>108</v>
      </c>
      <c r="C534" s="5">
        <v>10</v>
      </c>
      <c r="D534" s="5" t="s">
        <v>86</v>
      </c>
      <c r="E534" s="5">
        <v>2021</v>
      </c>
      <c r="F534" s="5">
        <v>3</v>
      </c>
      <c r="G534" s="5" t="s">
        <v>24</v>
      </c>
      <c r="H534" s="5">
        <v>1777684</v>
      </c>
      <c r="I534" s="5">
        <v>1482995.62</v>
      </c>
      <c r="J534" s="5">
        <v>34</v>
      </c>
      <c r="K534" s="5">
        <v>149194</v>
      </c>
      <c r="L534" s="5">
        <v>1923080</v>
      </c>
      <c r="M534" s="5">
        <v>294688.38</v>
      </c>
      <c r="N534" s="5">
        <v>0.1658</v>
      </c>
      <c r="O534" s="5">
        <v>6</v>
      </c>
      <c r="P534" s="5">
        <v>272740</v>
      </c>
    </row>
    <row r="535" spans="1:16" x14ac:dyDescent="0.3">
      <c r="A535" s="5">
        <v>20</v>
      </c>
      <c r="B535" s="5" t="s">
        <v>108</v>
      </c>
      <c r="C535" s="5">
        <v>10</v>
      </c>
      <c r="D535" s="5" t="s">
        <v>86</v>
      </c>
      <c r="E535" s="5">
        <v>2021</v>
      </c>
      <c r="F535" s="5">
        <v>4</v>
      </c>
      <c r="G535" s="5" t="s">
        <v>25</v>
      </c>
      <c r="H535" s="5">
        <v>2051630</v>
      </c>
      <c r="I535" s="5">
        <v>1946888.45</v>
      </c>
      <c r="J535" s="5">
        <v>30</v>
      </c>
      <c r="K535" s="5">
        <v>436662</v>
      </c>
      <c r="L535" s="5">
        <v>2483320</v>
      </c>
      <c r="M535" s="5">
        <v>104741.55</v>
      </c>
      <c r="N535" s="5">
        <v>5.11E-2</v>
      </c>
      <c r="O535" s="5">
        <v>7</v>
      </c>
      <c r="P535" s="5">
        <v>341158</v>
      </c>
    </row>
    <row r="536" spans="1:16" x14ac:dyDescent="0.3">
      <c r="A536" s="5">
        <v>20</v>
      </c>
      <c r="B536" s="5" t="s">
        <v>108</v>
      </c>
      <c r="C536" s="5">
        <v>10</v>
      </c>
      <c r="D536" s="5" t="s">
        <v>86</v>
      </c>
      <c r="E536" s="5">
        <v>2021</v>
      </c>
      <c r="F536" s="5">
        <v>5</v>
      </c>
      <c r="G536" s="5" t="s">
        <v>26</v>
      </c>
      <c r="H536" s="5">
        <v>3126459</v>
      </c>
      <c r="I536" s="5">
        <v>2798696.02</v>
      </c>
      <c r="J536" s="5">
        <v>38</v>
      </c>
      <c r="K536" s="5">
        <v>314067</v>
      </c>
      <c r="L536" s="5">
        <v>3432780</v>
      </c>
      <c r="M536" s="5">
        <v>327762.98</v>
      </c>
      <c r="N536" s="5">
        <v>0.1048</v>
      </c>
      <c r="O536" s="5">
        <v>5</v>
      </c>
      <c r="P536" s="5">
        <v>112119</v>
      </c>
    </row>
    <row r="537" spans="1:16" x14ac:dyDescent="0.3">
      <c r="A537" s="5">
        <v>20</v>
      </c>
      <c r="B537" s="5" t="s">
        <v>108</v>
      </c>
      <c r="C537" s="5">
        <v>10</v>
      </c>
      <c r="D537" s="5" t="s">
        <v>86</v>
      </c>
      <c r="E537" s="5">
        <v>2021</v>
      </c>
      <c r="F537" s="5">
        <v>6</v>
      </c>
      <c r="G537" s="5" t="s">
        <v>27</v>
      </c>
      <c r="H537" s="5">
        <v>2436154</v>
      </c>
      <c r="I537" s="5">
        <v>2096658.27</v>
      </c>
      <c r="J537" s="5">
        <v>25</v>
      </c>
      <c r="K537" s="5">
        <v>286167</v>
      </c>
      <c r="L537" s="5">
        <v>2717480</v>
      </c>
      <c r="M537" s="5">
        <v>339495.73</v>
      </c>
      <c r="N537" s="5">
        <v>0.1394</v>
      </c>
      <c r="O537" s="5">
        <v>0</v>
      </c>
      <c r="P537" s="5">
        <v>0</v>
      </c>
    </row>
    <row r="538" spans="1:16" x14ac:dyDescent="0.3">
      <c r="A538" s="5">
        <v>20</v>
      </c>
      <c r="B538" s="5" t="s">
        <v>108</v>
      </c>
      <c r="C538" s="5">
        <v>10</v>
      </c>
      <c r="D538" s="5" t="s">
        <v>86</v>
      </c>
      <c r="E538" s="5">
        <v>2021</v>
      </c>
      <c r="F538" s="5">
        <v>7</v>
      </c>
      <c r="G538" s="5" t="s">
        <v>28</v>
      </c>
      <c r="H538" s="5">
        <v>1756957</v>
      </c>
      <c r="I538" s="5">
        <v>1560534.76</v>
      </c>
      <c r="J538" s="5">
        <v>27</v>
      </c>
      <c r="K538" s="5">
        <v>257619</v>
      </c>
      <c r="L538" s="5">
        <v>2010260</v>
      </c>
      <c r="M538" s="5">
        <v>196422.24</v>
      </c>
      <c r="N538" s="5">
        <v>0.1118</v>
      </c>
      <c r="O538" s="5">
        <v>4</v>
      </c>
      <c r="P538" s="5">
        <v>21015</v>
      </c>
    </row>
    <row r="539" spans="1:16" x14ac:dyDescent="0.3">
      <c r="A539" s="5">
        <v>20</v>
      </c>
      <c r="B539" s="5" t="s">
        <v>108</v>
      </c>
      <c r="C539" s="5">
        <v>10</v>
      </c>
      <c r="D539" s="5" t="s">
        <v>86</v>
      </c>
      <c r="E539" s="5">
        <v>2021</v>
      </c>
      <c r="F539" s="5">
        <v>8</v>
      </c>
      <c r="G539" s="5" t="s">
        <v>29</v>
      </c>
      <c r="H539" s="5">
        <v>3729888</v>
      </c>
      <c r="I539" s="5">
        <v>3153585.73</v>
      </c>
      <c r="J539" s="5">
        <v>34</v>
      </c>
      <c r="K539" s="5">
        <v>310390</v>
      </c>
      <c r="L539" s="5">
        <v>4033790</v>
      </c>
      <c r="M539" s="5">
        <v>576302.27</v>
      </c>
      <c r="N539" s="5">
        <v>0.1545</v>
      </c>
      <c r="O539" s="5">
        <v>2</v>
      </c>
      <c r="P539" s="5">
        <v>26204</v>
      </c>
    </row>
    <row r="540" spans="1:16" x14ac:dyDescent="0.3">
      <c r="A540" s="5">
        <v>20</v>
      </c>
      <c r="B540" s="5" t="s">
        <v>108</v>
      </c>
      <c r="C540" s="5">
        <v>10</v>
      </c>
      <c r="D540" s="5" t="s">
        <v>86</v>
      </c>
      <c r="E540" s="5">
        <v>2021</v>
      </c>
      <c r="F540" s="5">
        <v>9</v>
      </c>
      <c r="G540" s="5" t="s">
        <v>30</v>
      </c>
      <c r="H540" s="5">
        <v>2059549</v>
      </c>
      <c r="I540" s="5">
        <v>1818042.53</v>
      </c>
      <c r="J540" s="5">
        <v>36</v>
      </c>
      <c r="K540" s="5">
        <v>332529</v>
      </c>
      <c r="L540" s="5">
        <v>2389110</v>
      </c>
      <c r="M540" s="5">
        <v>241506.47</v>
      </c>
      <c r="N540" s="5">
        <v>0.1173</v>
      </c>
      <c r="O540" s="5">
        <v>1</v>
      </c>
      <c r="P540" s="5">
        <v>4484</v>
      </c>
    </row>
    <row r="541" spans="1:16" x14ac:dyDescent="0.3">
      <c r="A541" s="5">
        <v>20</v>
      </c>
      <c r="B541" s="5" t="s">
        <v>108</v>
      </c>
      <c r="C541" s="5">
        <v>10</v>
      </c>
      <c r="D541" s="5" t="s">
        <v>86</v>
      </c>
      <c r="E541" s="5">
        <v>2021</v>
      </c>
      <c r="F541" s="5">
        <v>10</v>
      </c>
      <c r="G541" s="5" t="s">
        <v>31</v>
      </c>
      <c r="H541" s="5">
        <v>3472966</v>
      </c>
      <c r="I541" s="5">
        <v>2984560.47</v>
      </c>
      <c r="J541" s="5">
        <v>48</v>
      </c>
      <c r="K541" s="5">
        <v>380703</v>
      </c>
      <c r="L541" s="5">
        <v>3842140</v>
      </c>
      <c r="M541" s="5">
        <v>488405.53</v>
      </c>
      <c r="N541" s="5">
        <v>0.1406</v>
      </c>
      <c r="O541" s="5">
        <v>6</v>
      </c>
      <c r="P541" s="5">
        <v>106280</v>
      </c>
    </row>
    <row r="542" spans="1:16" x14ac:dyDescent="0.3">
      <c r="A542" s="5">
        <v>20</v>
      </c>
      <c r="B542" s="5" t="s">
        <v>108</v>
      </c>
      <c r="C542" s="5">
        <v>10</v>
      </c>
      <c r="D542" s="5" t="s">
        <v>86</v>
      </c>
      <c r="E542" s="5">
        <v>2021</v>
      </c>
      <c r="F542" s="5">
        <v>11</v>
      </c>
      <c r="G542" s="5" t="s">
        <v>32</v>
      </c>
      <c r="H542" s="5">
        <v>3569233</v>
      </c>
      <c r="I542" s="5">
        <v>2983647.5</v>
      </c>
      <c r="J542" s="5">
        <v>54</v>
      </c>
      <c r="K542" s="5">
        <v>281097</v>
      </c>
      <c r="L542" s="5">
        <v>3840120</v>
      </c>
      <c r="M542" s="5">
        <v>585585.5</v>
      </c>
      <c r="N542" s="5">
        <v>0.1641</v>
      </c>
      <c r="O542" s="5">
        <v>3</v>
      </c>
      <c r="P542" s="5">
        <v>56476</v>
      </c>
    </row>
    <row r="543" spans="1:16" x14ac:dyDescent="0.3">
      <c r="A543" s="5">
        <v>20</v>
      </c>
      <c r="B543" s="5" t="s">
        <v>108</v>
      </c>
      <c r="C543" s="5">
        <v>10</v>
      </c>
      <c r="D543" s="5" t="s">
        <v>86</v>
      </c>
      <c r="E543" s="5">
        <v>2021</v>
      </c>
      <c r="F543" s="5">
        <v>12</v>
      </c>
      <c r="G543" s="5" t="s">
        <v>33</v>
      </c>
      <c r="H543" s="5">
        <v>2993065</v>
      </c>
      <c r="I543" s="5">
        <v>2547138.29</v>
      </c>
      <c r="J543" s="5">
        <v>46</v>
      </c>
      <c r="K543" s="5">
        <v>312378</v>
      </c>
      <c r="L543" s="5">
        <v>3290590</v>
      </c>
      <c r="M543" s="5">
        <v>445926.71</v>
      </c>
      <c r="N543" s="5">
        <v>0.14899999999999999</v>
      </c>
      <c r="O543" s="5">
        <v>6</v>
      </c>
      <c r="P543" s="5">
        <v>200208</v>
      </c>
    </row>
    <row r="544" spans="1:16" x14ac:dyDescent="0.3">
      <c r="A544" s="5">
        <v>20</v>
      </c>
      <c r="B544" s="5" t="s">
        <v>108</v>
      </c>
      <c r="C544" s="5">
        <v>10</v>
      </c>
      <c r="D544" s="5" t="s">
        <v>86</v>
      </c>
      <c r="E544" s="5">
        <v>2022</v>
      </c>
      <c r="F544" s="5">
        <v>1</v>
      </c>
      <c r="G544" s="5" t="s">
        <v>34</v>
      </c>
      <c r="H544" s="5">
        <v>2274065</v>
      </c>
      <c r="I544" s="5">
        <v>1901330.69</v>
      </c>
      <c r="J544" s="5">
        <v>32</v>
      </c>
      <c r="K544" s="5">
        <v>218277</v>
      </c>
      <c r="L544" s="5">
        <v>2487480</v>
      </c>
      <c r="M544" s="5">
        <v>372734.31</v>
      </c>
      <c r="N544" s="5">
        <v>0.16389999999999999</v>
      </c>
      <c r="O544" s="5">
        <v>5</v>
      </c>
      <c r="P544" s="5">
        <v>266298</v>
      </c>
    </row>
    <row r="545" spans="1:16" x14ac:dyDescent="0.3">
      <c r="A545" s="5">
        <v>20</v>
      </c>
      <c r="B545" s="5" t="s">
        <v>108</v>
      </c>
      <c r="C545" s="5">
        <v>10</v>
      </c>
      <c r="D545" s="5" t="s">
        <v>86</v>
      </c>
      <c r="E545" s="5">
        <v>2022</v>
      </c>
      <c r="F545" s="5">
        <v>2</v>
      </c>
      <c r="G545" s="5" t="s">
        <v>35</v>
      </c>
      <c r="H545" s="5">
        <v>2650639</v>
      </c>
      <c r="I545" s="5">
        <v>2299342.3199999998</v>
      </c>
      <c r="J545" s="5">
        <v>35</v>
      </c>
      <c r="K545" s="5">
        <v>274264</v>
      </c>
      <c r="L545" s="5">
        <v>2918840</v>
      </c>
      <c r="M545" s="5">
        <v>351296.68</v>
      </c>
      <c r="N545" s="5">
        <v>0.13250000000000001</v>
      </c>
      <c r="O545" s="5">
        <v>6</v>
      </c>
      <c r="P545" s="5">
        <v>76067</v>
      </c>
    </row>
    <row r="546" spans="1:16" x14ac:dyDescent="0.3">
      <c r="A546" s="5">
        <v>20</v>
      </c>
      <c r="B546" s="5" t="s">
        <v>108</v>
      </c>
      <c r="C546" s="5">
        <v>10</v>
      </c>
      <c r="D546" s="5" t="s">
        <v>86</v>
      </c>
      <c r="E546" s="5">
        <v>2022</v>
      </c>
      <c r="F546" s="5">
        <v>3</v>
      </c>
      <c r="G546" s="5" t="s">
        <v>36</v>
      </c>
      <c r="H546" s="5">
        <v>2606120</v>
      </c>
      <c r="I546" s="5">
        <v>2259059.39</v>
      </c>
      <c r="J546" s="5">
        <v>40</v>
      </c>
      <c r="K546" s="5">
        <v>336670</v>
      </c>
      <c r="L546" s="5">
        <v>2934210</v>
      </c>
      <c r="M546" s="5">
        <v>347060.61</v>
      </c>
      <c r="N546" s="5">
        <v>0.13320000000000001</v>
      </c>
      <c r="O546" s="5">
        <v>3</v>
      </c>
      <c r="P546" s="5">
        <v>150465</v>
      </c>
    </row>
    <row r="547" spans="1:16" x14ac:dyDescent="0.3">
      <c r="A547" s="5">
        <v>20</v>
      </c>
      <c r="B547" s="5" t="s">
        <v>108</v>
      </c>
      <c r="C547" s="5">
        <v>10</v>
      </c>
      <c r="D547" s="5" t="s">
        <v>86</v>
      </c>
      <c r="E547" s="5">
        <v>2022</v>
      </c>
      <c r="F547" s="5">
        <v>4</v>
      </c>
      <c r="G547" s="5" t="s">
        <v>37</v>
      </c>
      <c r="H547" s="5">
        <v>4119960</v>
      </c>
      <c r="I547" s="5">
        <v>3506097.29</v>
      </c>
      <c r="J547" s="5">
        <v>63</v>
      </c>
      <c r="K547" s="5">
        <v>416561</v>
      </c>
      <c r="L547" s="5">
        <v>4521800</v>
      </c>
      <c r="M547" s="5">
        <v>613862.71</v>
      </c>
      <c r="N547" s="5">
        <v>0.14899999999999999</v>
      </c>
      <c r="O547" s="5">
        <v>4</v>
      </c>
      <c r="P547" s="5">
        <v>88023</v>
      </c>
    </row>
    <row r="548" spans="1:16" x14ac:dyDescent="0.3">
      <c r="A548" s="5">
        <v>20</v>
      </c>
      <c r="B548" s="5" t="s">
        <v>108</v>
      </c>
      <c r="C548" s="5">
        <v>10</v>
      </c>
      <c r="D548" s="5" t="s">
        <v>86</v>
      </c>
      <c r="E548" s="5">
        <v>2022</v>
      </c>
      <c r="F548" s="5">
        <v>5</v>
      </c>
      <c r="G548" s="5" t="s">
        <v>38</v>
      </c>
      <c r="H548" s="5">
        <v>3564673</v>
      </c>
      <c r="I548" s="5">
        <v>3194048.37</v>
      </c>
      <c r="J548" s="5">
        <v>56</v>
      </c>
      <c r="K548" s="5">
        <v>537503</v>
      </c>
      <c r="L548" s="5">
        <v>4093750</v>
      </c>
      <c r="M548" s="5">
        <v>370624.63</v>
      </c>
      <c r="N548" s="5">
        <v>0.104</v>
      </c>
      <c r="O548" s="5">
        <v>3</v>
      </c>
      <c r="P548" s="5">
        <v>240317</v>
      </c>
    </row>
    <row r="549" spans="1:16" x14ac:dyDescent="0.3">
      <c r="A549" s="5">
        <v>20</v>
      </c>
      <c r="B549" s="5" t="s">
        <v>108</v>
      </c>
      <c r="C549" s="5">
        <v>10</v>
      </c>
      <c r="D549" s="5" t="s">
        <v>86</v>
      </c>
      <c r="E549" s="5">
        <v>2022</v>
      </c>
      <c r="F549" s="5">
        <v>6</v>
      </c>
      <c r="G549" s="5" t="s">
        <v>39</v>
      </c>
      <c r="H549" s="5">
        <v>2808353</v>
      </c>
      <c r="I549" s="5">
        <v>2385189.48</v>
      </c>
      <c r="J549" s="5">
        <v>54</v>
      </c>
      <c r="K549" s="5">
        <v>278911</v>
      </c>
      <c r="L549" s="5">
        <v>3077310</v>
      </c>
      <c r="M549" s="5">
        <v>423163.52</v>
      </c>
      <c r="N549" s="5">
        <v>0.1507</v>
      </c>
      <c r="O549" s="5">
        <v>3</v>
      </c>
      <c r="P549" s="5">
        <v>129349</v>
      </c>
    </row>
    <row r="550" spans="1:16" x14ac:dyDescent="0.3">
      <c r="A550" s="5">
        <v>20</v>
      </c>
      <c r="B550" s="5" t="s">
        <v>108</v>
      </c>
      <c r="C550" s="5">
        <v>10</v>
      </c>
      <c r="D550" s="5" t="s">
        <v>86</v>
      </c>
      <c r="E550" s="5">
        <v>2022</v>
      </c>
      <c r="F550" s="5">
        <v>7</v>
      </c>
      <c r="G550" s="5" t="s">
        <v>40</v>
      </c>
      <c r="H550" s="5">
        <v>2362072</v>
      </c>
      <c r="I550" s="5">
        <v>2007774.36</v>
      </c>
      <c r="J550" s="5">
        <v>37</v>
      </c>
      <c r="K550" s="5">
        <v>276684</v>
      </c>
      <c r="L550" s="5">
        <v>2631390</v>
      </c>
      <c r="M550" s="5">
        <v>354297.64</v>
      </c>
      <c r="N550" s="5">
        <v>0.15</v>
      </c>
      <c r="O550" s="5">
        <v>4</v>
      </c>
      <c r="P550" s="5">
        <v>249908</v>
      </c>
    </row>
    <row r="551" spans="1:16" x14ac:dyDescent="0.3">
      <c r="A551" s="5">
        <v>20</v>
      </c>
      <c r="B551" s="5" t="s">
        <v>108</v>
      </c>
      <c r="C551" s="5">
        <v>10</v>
      </c>
      <c r="D551" s="5" t="s">
        <v>86</v>
      </c>
      <c r="E551" s="5">
        <v>2022</v>
      </c>
      <c r="F551" s="5">
        <v>8</v>
      </c>
      <c r="G551" s="5" t="s">
        <v>41</v>
      </c>
      <c r="H551" s="5">
        <v>2710014</v>
      </c>
      <c r="I551" s="5">
        <v>2568296.31</v>
      </c>
      <c r="J551" s="5">
        <v>48</v>
      </c>
      <c r="K551" s="5">
        <v>627801</v>
      </c>
      <c r="L551" s="5">
        <v>3320560</v>
      </c>
      <c r="M551" s="5">
        <v>141717.69</v>
      </c>
      <c r="N551" s="5">
        <v>5.2299999999999999E-2</v>
      </c>
      <c r="O551" s="5">
        <v>4</v>
      </c>
      <c r="P551" s="5">
        <v>136319</v>
      </c>
    </row>
    <row r="552" spans="1:16" x14ac:dyDescent="0.3">
      <c r="A552" s="5">
        <v>20</v>
      </c>
      <c r="B552" s="5" t="s">
        <v>108</v>
      </c>
      <c r="C552" s="5">
        <v>10</v>
      </c>
      <c r="D552" s="5" t="s">
        <v>86</v>
      </c>
      <c r="E552" s="5">
        <v>2022</v>
      </c>
      <c r="F552" s="5">
        <v>9</v>
      </c>
      <c r="G552" s="5" t="s">
        <v>42</v>
      </c>
      <c r="H552" s="5">
        <v>3185885</v>
      </c>
      <c r="I552" s="5">
        <v>2815285.42</v>
      </c>
      <c r="J552" s="5">
        <v>48</v>
      </c>
      <c r="K552" s="5">
        <v>412204</v>
      </c>
      <c r="L552" s="5">
        <v>3588610</v>
      </c>
      <c r="M552" s="5">
        <v>370599.58</v>
      </c>
      <c r="N552" s="5">
        <v>0.1163</v>
      </c>
      <c r="O552" s="5">
        <v>0</v>
      </c>
      <c r="P552" s="5">
        <v>0</v>
      </c>
    </row>
    <row r="553" spans="1:16" x14ac:dyDescent="0.3">
      <c r="A553" s="5">
        <v>20</v>
      </c>
      <c r="B553" s="5" t="s">
        <v>108</v>
      </c>
      <c r="C553" s="5">
        <v>10</v>
      </c>
      <c r="D553" s="5" t="s">
        <v>86</v>
      </c>
      <c r="E553" s="5">
        <v>2022</v>
      </c>
      <c r="F553" s="5">
        <v>10</v>
      </c>
      <c r="G553" s="5" t="s">
        <v>43</v>
      </c>
      <c r="H553" s="5">
        <v>2904135</v>
      </c>
      <c r="I553" s="5">
        <v>2495333.65</v>
      </c>
      <c r="J553" s="5">
        <v>65</v>
      </c>
      <c r="K553" s="5">
        <v>424391</v>
      </c>
      <c r="L553" s="5">
        <v>3316940</v>
      </c>
      <c r="M553" s="5">
        <v>408801.35</v>
      </c>
      <c r="N553" s="5">
        <v>0.14080000000000001</v>
      </c>
      <c r="O553" s="5">
        <v>10</v>
      </c>
      <c r="P553" s="5">
        <v>272738</v>
      </c>
    </row>
    <row r="554" spans="1:16" x14ac:dyDescent="0.3">
      <c r="A554" s="5">
        <v>20</v>
      </c>
      <c r="B554" s="5" t="s">
        <v>108</v>
      </c>
      <c r="C554" s="5">
        <v>10</v>
      </c>
      <c r="D554" s="5" t="s">
        <v>86</v>
      </c>
      <c r="E554" s="5">
        <v>2022</v>
      </c>
      <c r="F554" s="5">
        <v>11</v>
      </c>
      <c r="G554" s="5" t="s">
        <v>44</v>
      </c>
      <c r="H554" s="5">
        <v>5652687</v>
      </c>
      <c r="I554" s="5">
        <v>4714947.8099999996</v>
      </c>
      <c r="J554" s="5">
        <v>72</v>
      </c>
      <c r="K554" s="5">
        <v>491367</v>
      </c>
      <c r="L554" s="5">
        <v>6115800</v>
      </c>
      <c r="M554" s="5">
        <v>937739.19</v>
      </c>
      <c r="N554" s="5">
        <v>0.16589999999999999</v>
      </c>
      <c r="O554" s="5">
        <v>4</v>
      </c>
      <c r="P554" s="5">
        <v>53194</v>
      </c>
    </row>
    <row r="555" spans="1:16" x14ac:dyDescent="0.3">
      <c r="A555" s="5">
        <v>20</v>
      </c>
      <c r="B555" s="5" t="s">
        <v>108</v>
      </c>
      <c r="C555" s="5">
        <v>10</v>
      </c>
      <c r="D555" s="5" t="s">
        <v>86</v>
      </c>
      <c r="E555" s="5">
        <v>2022</v>
      </c>
      <c r="F555" s="5">
        <v>12</v>
      </c>
      <c r="G555" s="5" t="s">
        <v>45</v>
      </c>
      <c r="H555" s="5">
        <v>4220708</v>
      </c>
      <c r="I555" s="5">
        <v>3485814.67</v>
      </c>
      <c r="J555" s="5">
        <v>65</v>
      </c>
      <c r="K555" s="5">
        <v>232424</v>
      </c>
      <c r="L555" s="5">
        <v>4435110</v>
      </c>
      <c r="M555" s="5">
        <v>734893.33</v>
      </c>
      <c r="N555" s="5">
        <v>0.1741</v>
      </c>
      <c r="O555" s="5">
        <v>2</v>
      </c>
      <c r="P555" s="5">
        <v>124037</v>
      </c>
    </row>
    <row r="556" spans="1:16" x14ac:dyDescent="0.3">
      <c r="A556" s="5">
        <v>20</v>
      </c>
      <c r="B556" s="5" t="s">
        <v>108</v>
      </c>
      <c r="C556" s="5">
        <v>10</v>
      </c>
      <c r="D556" s="5" t="s">
        <v>86</v>
      </c>
      <c r="E556" s="5">
        <v>2023</v>
      </c>
      <c r="F556" s="5">
        <v>1</v>
      </c>
      <c r="G556" s="5" t="s">
        <v>46</v>
      </c>
      <c r="H556" s="5">
        <v>2276304</v>
      </c>
      <c r="I556" s="5">
        <v>2180282.81</v>
      </c>
      <c r="J556" s="5">
        <v>39</v>
      </c>
      <c r="K556" s="5">
        <v>489364</v>
      </c>
      <c r="L556" s="5">
        <v>2760380</v>
      </c>
      <c r="M556" s="5">
        <v>96021.19</v>
      </c>
      <c r="N556" s="5">
        <v>4.2200000000000001E-2</v>
      </c>
      <c r="O556" s="5">
        <v>1</v>
      </c>
      <c r="P556" s="5">
        <v>682</v>
      </c>
    </row>
    <row r="557" spans="1:16" x14ac:dyDescent="0.3">
      <c r="A557" s="5">
        <v>20</v>
      </c>
      <c r="B557" s="5" t="s">
        <v>108</v>
      </c>
      <c r="C557" s="5">
        <v>10</v>
      </c>
      <c r="D557" s="5" t="s">
        <v>86</v>
      </c>
      <c r="E557" s="5">
        <v>2023</v>
      </c>
      <c r="F557" s="5">
        <v>2</v>
      </c>
      <c r="G557" s="5" t="s">
        <v>47</v>
      </c>
      <c r="H557" s="5">
        <v>2768655</v>
      </c>
      <c r="I557" s="5">
        <v>2280680.4900000002</v>
      </c>
      <c r="J557" s="5">
        <v>45</v>
      </c>
      <c r="K557" s="5">
        <v>268716</v>
      </c>
      <c r="L557" s="5">
        <v>3022760</v>
      </c>
      <c r="M557" s="5">
        <v>487974.51</v>
      </c>
      <c r="N557" s="5">
        <v>0.1762</v>
      </c>
      <c r="O557" s="5">
        <v>4</v>
      </c>
      <c r="P557" s="5">
        <v>55666</v>
      </c>
    </row>
    <row r="558" spans="1:16" x14ac:dyDescent="0.3">
      <c r="A558" s="5">
        <v>20</v>
      </c>
      <c r="B558" s="5" t="s">
        <v>108</v>
      </c>
      <c r="C558" s="5">
        <v>10</v>
      </c>
      <c r="D558" s="5" t="s">
        <v>86</v>
      </c>
      <c r="E558" s="5">
        <v>2023</v>
      </c>
      <c r="F558" s="5">
        <v>3</v>
      </c>
      <c r="G558" s="5" t="s">
        <v>48</v>
      </c>
      <c r="H558" s="5">
        <v>4310072</v>
      </c>
      <c r="I558" s="5">
        <v>3693062.47</v>
      </c>
      <c r="J558" s="5">
        <v>63</v>
      </c>
      <c r="K558" s="5">
        <v>468776</v>
      </c>
      <c r="L558" s="5">
        <v>4758060</v>
      </c>
      <c r="M558" s="5">
        <v>617009.53</v>
      </c>
      <c r="N558" s="5">
        <v>0.14319999999999999</v>
      </c>
      <c r="O558" s="5">
        <v>7</v>
      </c>
      <c r="P558" s="5">
        <v>97311</v>
      </c>
    </row>
    <row r="559" spans="1:16" x14ac:dyDescent="0.3">
      <c r="A559" s="5">
        <v>20</v>
      </c>
      <c r="B559" s="5" t="s">
        <v>108</v>
      </c>
      <c r="C559" s="5">
        <v>10</v>
      </c>
      <c r="D559" s="5" t="s">
        <v>86</v>
      </c>
      <c r="E559" s="5">
        <v>2023</v>
      </c>
      <c r="F559" s="5">
        <v>4</v>
      </c>
      <c r="G559" s="5" t="s">
        <v>49</v>
      </c>
      <c r="H559" s="5">
        <v>3443383</v>
      </c>
      <c r="I559" s="5">
        <v>2989491.44</v>
      </c>
      <c r="J559" s="5">
        <v>62</v>
      </c>
      <c r="K559" s="5">
        <v>452947</v>
      </c>
      <c r="L559" s="5">
        <v>3877360</v>
      </c>
      <c r="M559" s="5">
        <v>453891.56</v>
      </c>
      <c r="N559" s="5">
        <v>0.1318</v>
      </c>
      <c r="O559" s="5">
        <v>3</v>
      </c>
      <c r="P559" s="5">
        <v>82052</v>
      </c>
    </row>
    <row r="560" spans="1:16" x14ac:dyDescent="0.3">
      <c r="A560" s="5">
        <v>20</v>
      </c>
      <c r="B560" s="5" t="s">
        <v>108</v>
      </c>
      <c r="C560" s="5">
        <v>10</v>
      </c>
      <c r="D560" s="5" t="s">
        <v>86</v>
      </c>
      <c r="E560" s="5">
        <v>2023</v>
      </c>
      <c r="F560" s="5">
        <v>5</v>
      </c>
      <c r="G560" s="5" t="s">
        <v>50</v>
      </c>
      <c r="H560" s="5">
        <v>6127364</v>
      </c>
      <c r="I560" s="5">
        <v>5494167.0999999996</v>
      </c>
      <c r="J560" s="5">
        <v>68</v>
      </c>
      <c r="K560" s="5">
        <v>761137</v>
      </c>
      <c r="L560" s="5">
        <v>6873680</v>
      </c>
      <c r="M560" s="5">
        <v>633196.9</v>
      </c>
      <c r="N560" s="5">
        <v>0.1033</v>
      </c>
      <c r="O560" s="5">
        <v>3</v>
      </c>
      <c r="P560" s="5">
        <v>55319</v>
      </c>
    </row>
    <row r="561" spans="1:16" x14ac:dyDescent="0.3">
      <c r="A561" s="5">
        <v>20</v>
      </c>
      <c r="B561" s="5" t="s">
        <v>108</v>
      </c>
      <c r="C561" s="5">
        <v>10</v>
      </c>
      <c r="D561" s="5" t="s">
        <v>86</v>
      </c>
      <c r="E561" s="5">
        <v>2023</v>
      </c>
      <c r="F561" s="5">
        <v>6</v>
      </c>
      <c r="G561" s="5" t="s">
        <v>51</v>
      </c>
      <c r="H561" s="5">
        <v>4217935</v>
      </c>
      <c r="I561" s="5">
        <v>3639404.9</v>
      </c>
      <c r="J561" s="5">
        <v>56</v>
      </c>
      <c r="K561" s="5">
        <v>489405</v>
      </c>
      <c r="L561" s="5">
        <v>4691160</v>
      </c>
      <c r="M561" s="5">
        <v>578530.1</v>
      </c>
      <c r="N561" s="5">
        <v>0.13719999999999999</v>
      </c>
      <c r="O561" s="5">
        <v>5</v>
      </c>
      <c r="P561" s="5">
        <v>142622</v>
      </c>
    </row>
    <row r="562" spans="1:16" x14ac:dyDescent="0.3">
      <c r="A562" s="5">
        <v>20</v>
      </c>
      <c r="B562" s="5" t="s">
        <v>108</v>
      </c>
      <c r="C562" s="5">
        <v>10</v>
      </c>
      <c r="D562" s="5" t="s">
        <v>86</v>
      </c>
      <c r="E562" s="5">
        <v>2023</v>
      </c>
      <c r="F562" s="5">
        <v>7</v>
      </c>
      <c r="G562" s="5" t="s">
        <v>52</v>
      </c>
      <c r="H562" s="5">
        <v>2858416</v>
      </c>
      <c r="I562" s="5">
        <v>2544804.67</v>
      </c>
      <c r="J562" s="5">
        <v>39</v>
      </c>
      <c r="K562" s="5">
        <v>385113</v>
      </c>
      <c r="L562" s="5">
        <v>3228830</v>
      </c>
      <c r="M562" s="5">
        <v>313611.33</v>
      </c>
      <c r="N562" s="5">
        <v>0.10970000000000001</v>
      </c>
      <c r="O562" s="5">
        <v>2</v>
      </c>
      <c r="P562" s="5">
        <v>9078</v>
      </c>
    </row>
    <row r="563" spans="1:16" x14ac:dyDescent="0.3">
      <c r="A563" s="5">
        <v>20</v>
      </c>
      <c r="B563" s="5" t="s">
        <v>108</v>
      </c>
      <c r="C563" s="5">
        <v>10</v>
      </c>
      <c r="D563" s="5" t="s">
        <v>86</v>
      </c>
      <c r="E563" s="5">
        <v>2023</v>
      </c>
      <c r="F563" s="5">
        <v>8</v>
      </c>
      <c r="G563" s="5" t="s">
        <v>53</v>
      </c>
      <c r="H563" s="5">
        <v>1651166</v>
      </c>
      <c r="I563" s="5">
        <v>1468821.27</v>
      </c>
      <c r="J563" s="5">
        <v>48</v>
      </c>
      <c r="K563" s="5">
        <v>276688</v>
      </c>
      <c r="L563" s="5">
        <v>1924610</v>
      </c>
      <c r="M563" s="5">
        <v>182344.73</v>
      </c>
      <c r="N563" s="5">
        <v>0.1104</v>
      </c>
      <c r="O563" s="5">
        <v>6</v>
      </c>
      <c r="P563" s="5">
        <v>34555</v>
      </c>
    </row>
    <row r="564" spans="1:16" x14ac:dyDescent="0.3">
      <c r="A564" s="5">
        <v>20</v>
      </c>
      <c r="B564" s="5" t="s">
        <v>108</v>
      </c>
      <c r="C564" s="5">
        <v>10</v>
      </c>
      <c r="D564" s="5" t="s">
        <v>86</v>
      </c>
      <c r="E564" s="5">
        <v>2023</v>
      </c>
      <c r="F564" s="5">
        <v>9</v>
      </c>
      <c r="G564" s="5" t="s">
        <v>54</v>
      </c>
      <c r="H564" s="5">
        <v>4657322</v>
      </c>
      <c r="I564" s="5">
        <v>4145162.75</v>
      </c>
      <c r="J564" s="5">
        <v>61</v>
      </c>
      <c r="K564" s="5">
        <v>702649</v>
      </c>
      <c r="L564" s="5">
        <v>5348560</v>
      </c>
      <c r="M564" s="5">
        <v>512159.25</v>
      </c>
      <c r="N564" s="5">
        <v>0.11</v>
      </c>
      <c r="O564" s="5">
        <v>8</v>
      </c>
      <c r="P564" s="5">
        <v>389026</v>
      </c>
    </row>
    <row r="565" spans="1:16" x14ac:dyDescent="0.3">
      <c r="A565" s="5">
        <v>20</v>
      </c>
      <c r="B565" s="5" t="s">
        <v>108</v>
      </c>
      <c r="C565" s="5">
        <v>10</v>
      </c>
      <c r="D565" s="5" t="s">
        <v>86</v>
      </c>
      <c r="E565" s="5">
        <v>2023</v>
      </c>
      <c r="F565" s="5">
        <v>10</v>
      </c>
      <c r="G565" s="5" t="s">
        <v>55</v>
      </c>
      <c r="H565" s="5">
        <v>6175748</v>
      </c>
      <c r="I565" s="5">
        <v>5392041.7199999997</v>
      </c>
      <c r="J565" s="5">
        <v>85</v>
      </c>
      <c r="K565" s="5">
        <v>743075</v>
      </c>
      <c r="L565" s="5">
        <v>6898730</v>
      </c>
      <c r="M565" s="5">
        <v>783706.28</v>
      </c>
      <c r="N565" s="5">
        <v>0.12690000000000001</v>
      </c>
      <c r="O565" s="5">
        <v>5</v>
      </c>
      <c r="P565" s="5">
        <v>83514</v>
      </c>
    </row>
    <row r="566" spans="1:16" x14ac:dyDescent="0.3">
      <c r="A566" s="5">
        <v>20</v>
      </c>
      <c r="B566" s="5" t="s">
        <v>108</v>
      </c>
      <c r="C566" s="5">
        <v>10</v>
      </c>
      <c r="D566" s="5" t="s">
        <v>86</v>
      </c>
      <c r="E566" s="5">
        <v>2023</v>
      </c>
      <c r="F566" s="5">
        <v>11</v>
      </c>
      <c r="G566" s="5" t="s">
        <v>56</v>
      </c>
      <c r="H566" s="5">
        <v>6036890</v>
      </c>
      <c r="I566" s="5">
        <v>5314324.55</v>
      </c>
      <c r="J566" s="5">
        <v>81</v>
      </c>
      <c r="K566" s="5">
        <v>844942</v>
      </c>
      <c r="L566" s="5">
        <v>6853770</v>
      </c>
      <c r="M566" s="5">
        <v>722565.45</v>
      </c>
      <c r="N566" s="5">
        <v>0.1197</v>
      </c>
      <c r="O566" s="5">
        <v>7</v>
      </c>
      <c r="P566" s="5">
        <v>218257</v>
      </c>
    </row>
    <row r="567" spans="1:16" x14ac:dyDescent="0.3">
      <c r="A567" s="5">
        <v>20</v>
      </c>
      <c r="B567" s="5" t="s">
        <v>108</v>
      </c>
      <c r="C567" s="5">
        <v>10</v>
      </c>
      <c r="D567" s="5" t="s">
        <v>86</v>
      </c>
      <c r="E567" s="5">
        <v>2023</v>
      </c>
      <c r="F567" s="5">
        <v>12</v>
      </c>
      <c r="G567" s="5" t="s">
        <v>57</v>
      </c>
      <c r="H567" s="5">
        <v>5048282</v>
      </c>
      <c r="I567" s="5">
        <v>4617357.74</v>
      </c>
      <c r="J567" s="5">
        <v>88</v>
      </c>
      <c r="K567" s="5">
        <v>932087</v>
      </c>
      <c r="L567" s="5">
        <v>5961730</v>
      </c>
      <c r="M567" s="5">
        <v>430924.26</v>
      </c>
      <c r="N567" s="5">
        <v>8.5400000000000004E-2</v>
      </c>
      <c r="O567" s="5">
        <v>9</v>
      </c>
      <c r="P567" s="5">
        <v>416267</v>
      </c>
    </row>
    <row r="568" spans="1:16" x14ac:dyDescent="0.3">
      <c r="A568" s="5">
        <v>20</v>
      </c>
      <c r="B568" s="5" t="s">
        <v>108</v>
      </c>
      <c r="C568" s="5">
        <v>10</v>
      </c>
      <c r="D568" s="5" t="s">
        <v>86</v>
      </c>
      <c r="E568" s="5">
        <v>2024</v>
      </c>
      <c r="F568" s="5">
        <v>1</v>
      </c>
      <c r="G568" s="5" t="s">
        <v>58</v>
      </c>
      <c r="H568" s="5">
        <v>2578437</v>
      </c>
      <c r="I568" s="5">
        <v>2270319.04</v>
      </c>
      <c r="J568" s="5">
        <v>42</v>
      </c>
      <c r="K568" s="5">
        <v>365291</v>
      </c>
      <c r="L568" s="5">
        <v>2933050</v>
      </c>
      <c r="M568" s="5">
        <v>308117.96000000002</v>
      </c>
      <c r="N568" s="5">
        <v>0.1195</v>
      </c>
      <c r="O568" s="5">
        <v>5</v>
      </c>
      <c r="P568" s="5">
        <v>59178</v>
      </c>
    </row>
    <row r="569" spans="1:16" x14ac:dyDescent="0.3">
      <c r="A569" s="5">
        <v>20</v>
      </c>
      <c r="B569" s="5" t="s">
        <v>108</v>
      </c>
      <c r="C569" s="5">
        <v>10</v>
      </c>
      <c r="D569" s="5" t="s">
        <v>86</v>
      </c>
      <c r="E569" s="5">
        <v>2024</v>
      </c>
      <c r="F569" s="5">
        <v>2</v>
      </c>
      <c r="G569" s="5" t="s">
        <v>59</v>
      </c>
      <c r="H569" s="5">
        <v>3201828</v>
      </c>
      <c r="I569" s="5">
        <v>2664106.4</v>
      </c>
      <c r="J569" s="5">
        <v>51</v>
      </c>
      <c r="K569" s="5">
        <v>235292</v>
      </c>
      <c r="L569" s="5">
        <v>3412000</v>
      </c>
      <c r="M569" s="5">
        <v>537721.59999999998</v>
      </c>
      <c r="N569" s="5">
        <v>0.16789999999999999</v>
      </c>
      <c r="O569" s="5">
        <v>6</v>
      </c>
      <c r="P569" s="5">
        <v>138897</v>
      </c>
    </row>
    <row r="570" spans="1:16" x14ac:dyDescent="0.3">
      <c r="A570" s="5">
        <v>20</v>
      </c>
      <c r="B570" s="5" t="s">
        <v>108</v>
      </c>
      <c r="C570" s="5">
        <v>10</v>
      </c>
      <c r="D570" s="5" t="s">
        <v>86</v>
      </c>
      <c r="E570" s="5">
        <v>2024</v>
      </c>
      <c r="F570" s="5">
        <v>3</v>
      </c>
      <c r="G570" s="5" t="s">
        <v>60</v>
      </c>
      <c r="H570" s="5">
        <v>4831554</v>
      </c>
      <c r="I570" s="5">
        <v>4178710.08</v>
      </c>
      <c r="J570" s="5">
        <v>65</v>
      </c>
      <c r="K570" s="5">
        <v>553397</v>
      </c>
      <c r="L570" s="5">
        <v>5367140</v>
      </c>
      <c r="M570" s="5">
        <v>652843.92000000004</v>
      </c>
      <c r="N570" s="5">
        <v>0.1351</v>
      </c>
      <c r="O570" s="5">
        <v>4</v>
      </c>
      <c r="P570" s="5">
        <v>333843</v>
      </c>
    </row>
    <row r="571" spans="1:16" x14ac:dyDescent="0.3">
      <c r="A571" s="5">
        <v>20</v>
      </c>
      <c r="B571" s="5" t="s">
        <v>108</v>
      </c>
      <c r="C571" s="5">
        <v>10</v>
      </c>
      <c r="D571" s="5" t="s">
        <v>86</v>
      </c>
      <c r="E571" s="5">
        <v>2024</v>
      </c>
      <c r="F571" s="5">
        <v>4</v>
      </c>
      <c r="G571" s="5" t="s">
        <v>61</v>
      </c>
      <c r="H571" s="5">
        <v>4282205</v>
      </c>
      <c r="I571" s="5">
        <v>3956959.33</v>
      </c>
      <c r="J571" s="5">
        <v>60</v>
      </c>
      <c r="K571" s="5">
        <v>715911</v>
      </c>
      <c r="L571" s="5">
        <v>4985390</v>
      </c>
      <c r="M571" s="5">
        <v>325245.67</v>
      </c>
      <c r="N571" s="5">
        <v>7.5999999999999998E-2</v>
      </c>
      <c r="O571" s="5">
        <v>3</v>
      </c>
      <c r="P571" s="5">
        <v>34870</v>
      </c>
    </row>
    <row r="572" spans="1:16" x14ac:dyDescent="0.3">
      <c r="A572" s="5">
        <v>20</v>
      </c>
      <c r="B572" s="5" t="s">
        <v>108</v>
      </c>
      <c r="C572" s="5">
        <v>10</v>
      </c>
      <c r="D572" s="5" t="s">
        <v>86</v>
      </c>
      <c r="E572" s="5">
        <v>2024</v>
      </c>
      <c r="F572" s="5">
        <v>5</v>
      </c>
      <c r="G572" s="5" t="s">
        <v>62</v>
      </c>
      <c r="H572" s="5">
        <v>4820189</v>
      </c>
      <c r="I572" s="5">
        <v>4132442.03</v>
      </c>
      <c r="J572" s="5">
        <v>74</v>
      </c>
      <c r="K572" s="5">
        <v>484691</v>
      </c>
      <c r="L572" s="5">
        <v>5283490</v>
      </c>
      <c r="M572" s="5">
        <v>687746.97</v>
      </c>
      <c r="N572" s="5">
        <v>0.14269999999999999</v>
      </c>
      <c r="O572" s="5">
        <v>5</v>
      </c>
      <c r="P572" s="5">
        <v>63204</v>
      </c>
    </row>
    <row r="573" spans="1:16" x14ac:dyDescent="0.3">
      <c r="A573" s="5">
        <v>20</v>
      </c>
      <c r="B573" s="5" t="s">
        <v>108</v>
      </c>
      <c r="C573" s="5">
        <v>10</v>
      </c>
      <c r="D573" s="5" t="s">
        <v>86</v>
      </c>
      <c r="E573" s="5">
        <v>2024</v>
      </c>
      <c r="F573" s="5">
        <v>6</v>
      </c>
      <c r="G573" s="5" t="s">
        <v>63</v>
      </c>
      <c r="H573" s="5">
        <v>4365539</v>
      </c>
      <c r="I573" s="5">
        <v>3648019.02</v>
      </c>
      <c r="J573" s="5">
        <v>60</v>
      </c>
      <c r="K573" s="5">
        <v>448205</v>
      </c>
      <c r="L573" s="5">
        <v>4802690</v>
      </c>
      <c r="M573" s="5">
        <v>717519.98</v>
      </c>
      <c r="N573" s="5">
        <v>0.16439999999999999</v>
      </c>
      <c r="O573" s="5">
        <v>7</v>
      </c>
      <c r="P573" s="5">
        <v>409346</v>
      </c>
    </row>
    <row r="574" spans="1:16" x14ac:dyDescent="0.3">
      <c r="A574" s="5">
        <v>20</v>
      </c>
      <c r="B574" s="5" t="s">
        <v>108</v>
      </c>
      <c r="C574" s="5">
        <v>10</v>
      </c>
      <c r="D574" s="5" t="s">
        <v>86</v>
      </c>
      <c r="E574" s="5">
        <v>2024</v>
      </c>
      <c r="F574" s="5">
        <v>7</v>
      </c>
      <c r="G574" s="5" t="s">
        <v>64</v>
      </c>
      <c r="H574" s="5">
        <v>3318220</v>
      </c>
      <c r="I574" s="5">
        <v>2798543.44</v>
      </c>
      <c r="J574" s="5">
        <v>62</v>
      </c>
      <c r="K574" s="5">
        <v>322447</v>
      </c>
      <c r="L574" s="5">
        <v>3632390</v>
      </c>
      <c r="M574" s="5">
        <v>519676.56</v>
      </c>
      <c r="N574" s="5">
        <v>0.15659999999999999</v>
      </c>
      <c r="O574" s="5">
        <v>2</v>
      </c>
      <c r="P574" s="5">
        <v>15837</v>
      </c>
    </row>
    <row r="575" spans="1:16" x14ac:dyDescent="0.3">
      <c r="A575" s="5">
        <v>20</v>
      </c>
      <c r="B575" s="5" t="s">
        <v>108</v>
      </c>
      <c r="C575" s="5">
        <v>10</v>
      </c>
      <c r="D575" s="5" t="s">
        <v>86</v>
      </c>
      <c r="E575" s="5">
        <v>2024</v>
      </c>
      <c r="F575" s="5">
        <v>8</v>
      </c>
      <c r="G575" s="5" t="s">
        <v>65</v>
      </c>
      <c r="H575" s="5">
        <v>5916374</v>
      </c>
      <c r="I575" s="5">
        <v>5027188.6100000003</v>
      </c>
      <c r="J575" s="5">
        <v>67</v>
      </c>
      <c r="K575" s="5">
        <v>513260</v>
      </c>
      <c r="L575" s="5">
        <v>6418390</v>
      </c>
      <c r="M575" s="5">
        <v>889185.39</v>
      </c>
      <c r="N575" s="5">
        <v>0.15029999999999999</v>
      </c>
      <c r="O575" s="5">
        <v>3</v>
      </c>
      <c r="P575" s="5">
        <v>50617</v>
      </c>
    </row>
    <row r="576" spans="1:16" x14ac:dyDescent="0.3">
      <c r="A576" s="5">
        <v>20</v>
      </c>
      <c r="B576" s="5" t="s">
        <v>108</v>
      </c>
      <c r="C576" s="5">
        <v>10</v>
      </c>
      <c r="D576" s="5" t="s">
        <v>86</v>
      </c>
      <c r="E576" s="5">
        <v>2024</v>
      </c>
      <c r="F576" s="5">
        <v>9</v>
      </c>
      <c r="G576" s="5" t="s">
        <v>66</v>
      </c>
      <c r="H576" s="5">
        <v>4686192</v>
      </c>
      <c r="I576" s="5">
        <v>3893550.57</v>
      </c>
      <c r="J576" s="5">
        <v>65</v>
      </c>
      <c r="K576" s="5">
        <v>341629</v>
      </c>
      <c r="L576" s="5">
        <v>5012090</v>
      </c>
      <c r="M576" s="5">
        <v>792641.43</v>
      </c>
      <c r="N576" s="5">
        <v>0.1691</v>
      </c>
      <c r="O576" s="5">
        <v>7</v>
      </c>
      <c r="P576" s="5">
        <v>231649</v>
      </c>
    </row>
    <row r="577" spans="1:16" x14ac:dyDescent="0.3">
      <c r="A577" s="5">
        <v>20</v>
      </c>
      <c r="B577" s="5" t="s">
        <v>108</v>
      </c>
      <c r="C577" s="5">
        <v>10</v>
      </c>
      <c r="D577" s="5" t="s">
        <v>86</v>
      </c>
      <c r="E577" s="5">
        <v>2024</v>
      </c>
      <c r="F577" s="5">
        <v>10</v>
      </c>
      <c r="G577" s="5" t="s">
        <v>67</v>
      </c>
      <c r="H577" s="5">
        <v>6329157</v>
      </c>
      <c r="I577" s="5">
        <v>5101421.92</v>
      </c>
      <c r="J577" s="5">
        <v>88</v>
      </c>
      <c r="K577" s="5">
        <v>226713</v>
      </c>
      <c r="L577" s="5">
        <v>6545380</v>
      </c>
      <c r="M577" s="5">
        <v>1227735.08</v>
      </c>
      <c r="N577" s="5">
        <v>0.19400000000000001</v>
      </c>
      <c r="O577" s="5">
        <v>13</v>
      </c>
      <c r="P577" s="5">
        <v>462625</v>
      </c>
    </row>
    <row r="578" spans="1:16" x14ac:dyDescent="0.3">
      <c r="A578" s="5">
        <v>20</v>
      </c>
      <c r="B578" s="5" t="s">
        <v>108</v>
      </c>
      <c r="C578" s="5">
        <v>10</v>
      </c>
      <c r="D578" s="5" t="s">
        <v>86</v>
      </c>
      <c r="E578" s="5">
        <v>2024</v>
      </c>
      <c r="F578" s="5">
        <v>11</v>
      </c>
      <c r="G578" s="5" t="s">
        <v>68</v>
      </c>
      <c r="H578" s="5">
        <v>8854867</v>
      </c>
      <c r="I578" s="5">
        <v>7359403.0099999998</v>
      </c>
      <c r="J578" s="5">
        <v>107</v>
      </c>
      <c r="K578" s="5">
        <v>655435</v>
      </c>
      <c r="L578" s="5">
        <v>9485500</v>
      </c>
      <c r="M578" s="5">
        <v>1495463.99</v>
      </c>
      <c r="N578" s="5">
        <v>0.16889999999999999</v>
      </c>
      <c r="O578" s="5">
        <v>10</v>
      </c>
      <c r="P578" s="5">
        <v>251418</v>
      </c>
    </row>
    <row r="579" spans="1:16" x14ac:dyDescent="0.3">
      <c r="A579" s="5">
        <v>20</v>
      </c>
      <c r="B579" s="5" t="s">
        <v>108</v>
      </c>
      <c r="C579" s="5">
        <v>10</v>
      </c>
      <c r="D579" s="5" t="s">
        <v>86</v>
      </c>
      <c r="E579" s="5">
        <v>2024</v>
      </c>
      <c r="F579" s="5">
        <v>12</v>
      </c>
      <c r="G579" s="5" t="s">
        <v>69</v>
      </c>
      <c r="H579" s="5">
        <v>7548172</v>
      </c>
      <c r="I579" s="5">
        <v>6094519.4400000004</v>
      </c>
      <c r="J579" s="5">
        <v>92</v>
      </c>
      <c r="K579" s="5">
        <v>282388</v>
      </c>
      <c r="L579" s="5">
        <v>7809290</v>
      </c>
      <c r="M579" s="5">
        <v>1453652.56</v>
      </c>
      <c r="N579" s="5">
        <v>0.19259999999999999</v>
      </c>
      <c r="O579" s="5">
        <v>3</v>
      </c>
      <c r="P579" s="5">
        <v>20085</v>
      </c>
    </row>
    <row r="580" spans="1:16" x14ac:dyDescent="0.3">
      <c r="A580" s="5">
        <v>83</v>
      </c>
      <c r="B580" s="5" t="s">
        <v>109</v>
      </c>
      <c r="C580" s="5">
        <v>2</v>
      </c>
      <c r="D580" s="5" t="s">
        <v>88</v>
      </c>
      <c r="E580" s="5">
        <v>2021</v>
      </c>
      <c r="F580" s="5">
        <v>1</v>
      </c>
      <c r="G580" s="5" t="s">
        <v>22</v>
      </c>
      <c r="H580" s="5">
        <v>1328555</v>
      </c>
      <c r="I580" s="5">
        <v>1241901.19</v>
      </c>
      <c r="J580" s="5">
        <v>17</v>
      </c>
      <c r="K580" s="5">
        <v>280316</v>
      </c>
      <c r="L580" s="5">
        <v>1606550</v>
      </c>
      <c r="M580" s="5">
        <v>86653.81</v>
      </c>
      <c r="N580" s="5">
        <v>6.5199999999999994E-2</v>
      </c>
      <c r="O580" s="5">
        <v>3</v>
      </c>
      <c r="P580" s="5">
        <v>63913</v>
      </c>
    </row>
    <row r="581" spans="1:16" x14ac:dyDescent="0.3">
      <c r="A581" s="5">
        <v>83</v>
      </c>
      <c r="B581" s="5" t="s">
        <v>109</v>
      </c>
      <c r="C581" s="5">
        <v>2</v>
      </c>
      <c r="D581" s="5" t="s">
        <v>88</v>
      </c>
      <c r="E581" s="5">
        <v>2021</v>
      </c>
      <c r="F581" s="5">
        <v>2</v>
      </c>
      <c r="G581" s="5" t="s">
        <v>23</v>
      </c>
      <c r="H581" s="5">
        <v>1308577</v>
      </c>
      <c r="I581" s="5">
        <v>1309523.2</v>
      </c>
      <c r="J581" s="5">
        <v>15</v>
      </c>
      <c r="K581" s="5">
        <v>351800</v>
      </c>
      <c r="L581" s="5">
        <v>1659190</v>
      </c>
      <c r="M581" s="5">
        <v>-946.2</v>
      </c>
      <c r="N581" s="5">
        <v>-6.9999999999999999E-4</v>
      </c>
      <c r="O581" s="5">
        <v>0</v>
      </c>
      <c r="P581" s="5">
        <v>0</v>
      </c>
    </row>
    <row r="582" spans="1:16" x14ac:dyDescent="0.3">
      <c r="A582" s="5">
        <v>83</v>
      </c>
      <c r="B582" s="5" t="s">
        <v>109</v>
      </c>
      <c r="C582" s="5">
        <v>2</v>
      </c>
      <c r="D582" s="5" t="s">
        <v>88</v>
      </c>
      <c r="E582" s="5">
        <v>2021</v>
      </c>
      <c r="F582" s="5">
        <v>3</v>
      </c>
      <c r="G582" s="5" t="s">
        <v>24</v>
      </c>
      <c r="H582" s="5">
        <v>1257383</v>
      </c>
      <c r="I582" s="5">
        <v>1160930.5900000001</v>
      </c>
      <c r="J582" s="5">
        <v>13</v>
      </c>
      <c r="K582" s="5">
        <v>170166</v>
      </c>
      <c r="L582" s="5">
        <v>1423620</v>
      </c>
      <c r="M582" s="5">
        <v>96452.41</v>
      </c>
      <c r="N582" s="5">
        <v>7.6700000000000004E-2</v>
      </c>
      <c r="O582" s="5">
        <v>1</v>
      </c>
      <c r="P582" s="5">
        <v>284517</v>
      </c>
    </row>
    <row r="583" spans="1:16" x14ac:dyDescent="0.3">
      <c r="A583" s="5">
        <v>83</v>
      </c>
      <c r="B583" s="5" t="s">
        <v>109</v>
      </c>
      <c r="C583" s="5">
        <v>2</v>
      </c>
      <c r="D583" s="5" t="s">
        <v>88</v>
      </c>
      <c r="E583" s="5">
        <v>2021</v>
      </c>
      <c r="F583" s="5">
        <v>4</v>
      </c>
      <c r="G583" s="5" t="s">
        <v>25</v>
      </c>
      <c r="H583" s="5">
        <v>720235</v>
      </c>
      <c r="I583" s="5">
        <v>606315.1</v>
      </c>
      <c r="J583" s="5">
        <v>15</v>
      </c>
      <c r="K583" s="5">
        <v>73772</v>
      </c>
      <c r="L583" s="5">
        <v>792550</v>
      </c>
      <c r="M583" s="5">
        <v>113919.9</v>
      </c>
      <c r="N583" s="5">
        <v>0.15820000000000001</v>
      </c>
      <c r="O583" s="5">
        <v>3</v>
      </c>
      <c r="P583" s="5">
        <v>91196</v>
      </c>
    </row>
    <row r="584" spans="1:16" x14ac:dyDescent="0.3">
      <c r="A584" s="5">
        <v>83</v>
      </c>
      <c r="B584" s="5" t="s">
        <v>109</v>
      </c>
      <c r="C584" s="5">
        <v>2</v>
      </c>
      <c r="D584" s="5" t="s">
        <v>88</v>
      </c>
      <c r="E584" s="5">
        <v>2021</v>
      </c>
      <c r="F584" s="5">
        <v>5</v>
      </c>
      <c r="G584" s="5" t="s">
        <v>26</v>
      </c>
      <c r="H584" s="5">
        <v>1385652</v>
      </c>
      <c r="I584" s="5">
        <v>1328939.83</v>
      </c>
      <c r="J584" s="5">
        <v>19</v>
      </c>
      <c r="K584" s="5">
        <v>277096</v>
      </c>
      <c r="L584" s="5">
        <v>1659080</v>
      </c>
      <c r="M584" s="5">
        <v>56712.17</v>
      </c>
      <c r="N584" s="5">
        <v>4.0899999999999999E-2</v>
      </c>
      <c r="O584" s="5">
        <v>4</v>
      </c>
      <c r="P584" s="5">
        <v>299028</v>
      </c>
    </row>
    <row r="585" spans="1:16" x14ac:dyDescent="0.3">
      <c r="A585" s="5">
        <v>83</v>
      </c>
      <c r="B585" s="5" t="s">
        <v>109</v>
      </c>
      <c r="C585" s="5">
        <v>2</v>
      </c>
      <c r="D585" s="5" t="s">
        <v>88</v>
      </c>
      <c r="E585" s="5">
        <v>2021</v>
      </c>
      <c r="F585" s="5">
        <v>6</v>
      </c>
      <c r="G585" s="5" t="s">
        <v>27</v>
      </c>
      <c r="H585" s="5">
        <v>1066021</v>
      </c>
      <c r="I585" s="5">
        <v>973752.55</v>
      </c>
      <c r="J585" s="5">
        <v>25</v>
      </c>
      <c r="K585" s="5">
        <v>215026</v>
      </c>
      <c r="L585" s="5">
        <v>1278220</v>
      </c>
      <c r="M585" s="5">
        <v>92268.45</v>
      </c>
      <c r="N585" s="5">
        <v>8.6599999999999996E-2</v>
      </c>
      <c r="O585" s="5">
        <v>1</v>
      </c>
      <c r="P585" s="5">
        <v>4526</v>
      </c>
    </row>
    <row r="586" spans="1:16" x14ac:dyDescent="0.3">
      <c r="A586" s="5">
        <v>83</v>
      </c>
      <c r="B586" s="5" t="s">
        <v>109</v>
      </c>
      <c r="C586" s="5">
        <v>2</v>
      </c>
      <c r="D586" s="5" t="s">
        <v>88</v>
      </c>
      <c r="E586" s="5">
        <v>2021</v>
      </c>
      <c r="F586" s="5">
        <v>7</v>
      </c>
      <c r="G586" s="5" t="s">
        <v>28</v>
      </c>
      <c r="H586" s="5">
        <v>1161480</v>
      </c>
      <c r="I586" s="5">
        <v>950999.96</v>
      </c>
      <c r="J586" s="5">
        <v>17</v>
      </c>
      <c r="K586" s="5">
        <v>85586</v>
      </c>
      <c r="L586" s="5">
        <v>1244400</v>
      </c>
      <c r="M586" s="5">
        <v>210480.04</v>
      </c>
      <c r="N586" s="5">
        <v>0.1812</v>
      </c>
      <c r="O586" s="5">
        <v>3</v>
      </c>
      <c r="P586" s="5">
        <v>257767</v>
      </c>
    </row>
    <row r="587" spans="1:16" x14ac:dyDescent="0.3">
      <c r="A587" s="5">
        <v>83</v>
      </c>
      <c r="B587" s="5" t="s">
        <v>109</v>
      </c>
      <c r="C587" s="5">
        <v>2</v>
      </c>
      <c r="D587" s="5" t="s">
        <v>88</v>
      </c>
      <c r="E587" s="5">
        <v>2021</v>
      </c>
      <c r="F587" s="5">
        <v>8</v>
      </c>
      <c r="G587" s="5" t="s">
        <v>29</v>
      </c>
      <c r="H587" s="5">
        <v>1719976</v>
      </c>
      <c r="I587" s="5">
        <v>1483756.27</v>
      </c>
      <c r="J587" s="5">
        <v>20</v>
      </c>
      <c r="K587" s="5">
        <v>187991</v>
      </c>
      <c r="L587" s="5">
        <v>1899520</v>
      </c>
      <c r="M587" s="5">
        <v>236219.73</v>
      </c>
      <c r="N587" s="5">
        <v>0.13730000000000001</v>
      </c>
      <c r="O587" s="5">
        <v>2</v>
      </c>
      <c r="P587" s="5">
        <v>9622</v>
      </c>
    </row>
    <row r="588" spans="1:16" x14ac:dyDescent="0.3">
      <c r="A588" s="5">
        <v>83</v>
      </c>
      <c r="B588" s="5" t="s">
        <v>109</v>
      </c>
      <c r="C588" s="5">
        <v>2</v>
      </c>
      <c r="D588" s="5" t="s">
        <v>88</v>
      </c>
      <c r="E588" s="5">
        <v>2021</v>
      </c>
      <c r="F588" s="5">
        <v>9</v>
      </c>
      <c r="G588" s="5" t="s">
        <v>30</v>
      </c>
      <c r="H588" s="5">
        <v>2439423</v>
      </c>
      <c r="I588" s="5">
        <v>1953407.94</v>
      </c>
      <c r="J588" s="5">
        <v>26</v>
      </c>
      <c r="K588" s="5">
        <v>148108</v>
      </c>
      <c r="L588" s="5">
        <v>2570570</v>
      </c>
      <c r="M588" s="5">
        <v>486015.06</v>
      </c>
      <c r="N588" s="5">
        <v>0.19919999999999999</v>
      </c>
      <c r="O588" s="5">
        <v>0</v>
      </c>
      <c r="P588" s="5">
        <v>0</v>
      </c>
    </row>
    <row r="589" spans="1:16" x14ac:dyDescent="0.3">
      <c r="A589" s="5">
        <v>83</v>
      </c>
      <c r="B589" s="5" t="s">
        <v>109</v>
      </c>
      <c r="C589" s="5">
        <v>2</v>
      </c>
      <c r="D589" s="5" t="s">
        <v>88</v>
      </c>
      <c r="E589" s="5">
        <v>2021</v>
      </c>
      <c r="F589" s="5">
        <v>10</v>
      </c>
      <c r="G589" s="5" t="s">
        <v>31</v>
      </c>
      <c r="H589" s="5">
        <v>1358931</v>
      </c>
      <c r="I589" s="5">
        <v>1107367.1499999999</v>
      </c>
      <c r="J589" s="5">
        <v>22</v>
      </c>
      <c r="K589" s="5">
        <v>139288</v>
      </c>
      <c r="L589" s="5">
        <v>1492610</v>
      </c>
      <c r="M589" s="5">
        <v>251563.85</v>
      </c>
      <c r="N589" s="5">
        <v>0.18509999999999999</v>
      </c>
      <c r="O589" s="5">
        <v>2</v>
      </c>
      <c r="P589" s="5">
        <v>1712</v>
      </c>
    </row>
    <row r="590" spans="1:16" x14ac:dyDescent="0.3">
      <c r="A590" s="5">
        <v>83</v>
      </c>
      <c r="B590" s="5" t="s">
        <v>109</v>
      </c>
      <c r="C590" s="5">
        <v>2</v>
      </c>
      <c r="D590" s="5" t="s">
        <v>88</v>
      </c>
      <c r="E590" s="5">
        <v>2021</v>
      </c>
      <c r="F590" s="5">
        <v>11</v>
      </c>
      <c r="G590" s="5" t="s">
        <v>32</v>
      </c>
      <c r="H590" s="5">
        <v>1286332</v>
      </c>
      <c r="I590" s="5">
        <v>1068331</v>
      </c>
      <c r="J590" s="5">
        <v>18</v>
      </c>
      <c r="K590" s="5">
        <v>87281</v>
      </c>
      <c r="L590" s="5">
        <v>1371320</v>
      </c>
      <c r="M590" s="5">
        <v>218001</v>
      </c>
      <c r="N590" s="5">
        <v>0.16950000000000001</v>
      </c>
      <c r="O590" s="5">
        <v>1</v>
      </c>
      <c r="P590" s="5">
        <v>4993</v>
      </c>
    </row>
    <row r="591" spans="1:16" x14ac:dyDescent="0.3">
      <c r="A591" s="5">
        <v>83</v>
      </c>
      <c r="B591" s="5" t="s">
        <v>109</v>
      </c>
      <c r="C591" s="5">
        <v>2</v>
      </c>
      <c r="D591" s="5" t="s">
        <v>88</v>
      </c>
      <c r="E591" s="5">
        <v>2021</v>
      </c>
      <c r="F591" s="5">
        <v>12</v>
      </c>
      <c r="G591" s="5" t="s">
        <v>33</v>
      </c>
      <c r="H591" s="5">
        <v>1046195</v>
      </c>
      <c r="I591" s="5">
        <v>907756.55</v>
      </c>
      <c r="J591" s="5">
        <v>17</v>
      </c>
      <c r="K591" s="5">
        <v>88704</v>
      </c>
      <c r="L591" s="5">
        <v>1133810</v>
      </c>
      <c r="M591" s="5">
        <v>138438.45000000001</v>
      </c>
      <c r="N591" s="5">
        <v>0.1323</v>
      </c>
      <c r="O591" s="5">
        <v>1</v>
      </c>
      <c r="P591" s="5">
        <v>59197</v>
      </c>
    </row>
    <row r="592" spans="1:16" x14ac:dyDescent="0.3">
      <c r="A592" s="5">
        <v>83</v>
      </c>
      <c r="B592" s="5" t="s">
        <v>109</v>
      </c>
      <c r="C592" s="5">
        <v>2</v>
      </c>
      <c r="D592" s="5" t="s">
        <v>88</v>
      </c>
      <c r="E592" s="5">
        <v>2022</v>
      </c>
      <c r="F592" s="5">
        <v>1</v>
      </c>
      <c r="G592" s="5" t="s">
        <v>34</v>
      </c>
      <c r="H592" s="5">
        <v>910987</v>
      </c>
      <c r="I592" s="5">
        <v>743256.48</v>
      </c>
      <c r="J592" s="5">
        <v>17</v>
      </c>
      <c r="K592" s="5">
        <v>45483</v>
      </c>
      <c r="L592" s="5">
        <v>953310</v>
      </c>
      <c r="M592" s="5">
        <v>167730.51999999999</v>
      </c>
      <c r="N592" s="5">
        <v>0.18410000000000001</v>
      </c>
      <c r="O592" s="5">
        <v>1</v>
      </c>
      <c r="P592" s="5">
        <v>17781</v>
      </c>
    </row>
    <row r="593" spans="1:16" x14ac:dyDescent="0.3">
      <c r="A593" s="5">
        <v>83</v>
      </c>
      <c r="B593" s="5" t="s">
        <v>109</v>
      </c>
      <c r="C593" s="5">
        <v>2</v>
      </c>
      <c r="D593" s="5" t="s">
        <v>88</v>
      </c>
      <c r="E593" s="5">
        <v>2022</v>
      </c>
      <c r="F593" s="5">
        <v>2</v>
      </c>
      <c r="G593" s="5" t="s">
        <v>35</v>
      </c>
      <c r="H593" s="5">
        <v>1506397</v>
      </c>
      <c r="I593" s="5">
        <v>1223621.98</v>
      </c>
      <c r="J593" s="5">
        <v>25</v>
      </c>
      <c r="K593" s="5">
        <v>100089</v>
      </c>
      <c r="L593" s="5">
        <v>1602550</v>
      </c>
      <c r="M593" s="5">
        <v>282775.02</v>
      </c>
      <c r="N593" s="5">
        <v>0.18770000000000001</v>
      </c>
      <c r="O593" s="5">
        <v>1</v>
      </c>
      <c r="P593" s="5">
        <v>1396</v>
      </c>
    </row>
    <row r="594" spans="1:16" x14ac:dyDescent="0.3">
      <c r="A594" s="5">
        <v>83</v>
      </c>
      <c r="B594" s="5" t="s">
        <v>109</v>
      </c>
      <c r="C594" s="5">
        <v>2</v>
      </c>
      <c r="D594" s="5" t="s">
        <v>88</v>
      </c>
      <c r="E594" s="5">
        <v>2022</v>
      </c>
      <c r="F594" s="5">
        <v>3</v>
      </c>
      <c r="G594" s="5" t="s">
        <v>36</v>
      </c>
      <c r="H594" s="5">
        <v>3054594</v>
      </c>
      <c r="I594" s="5">
        <v>2632879.89</v>
      </c>
      <c r="J594" s="5">
        <v>29</v>
      </c>
      <c r="K594" s="5">
        <v>414782</v>
      </c>
      <c r="L594" s="5">
        <v>3459220</v>
      </c>
      <c r="M594" s="5">
        <v>421714.11</v>
      </c>
      <c r="N594" s="5">
        <v>0.1381</v>
      </c>
      <c r="O594" s="5">
        <v>1</v>
      </c>
      <c r="P594" s="5">
        <v>8389</v>
      </c>
    </row>
    <row r="595" spans="1:16" x14ac:dyDescent="0.3">
      <c r="A595" s="5">
        <v>83</v>
      </c>
      <c r="B595" s="5" t="s">
        <v>109</v>
      </c>
      <c r="C595" s="5">
        <v>2</v>
      </c>
      <c r="D595" s="5" t="s">
        <v>88</v>
      </c>
      <c r="E595" s="5">
        <v>2022</v>
      </c>
      <c r="F595" s="5">
        <v>4</v>
      </c>
      <c r="G595" s="5" t="s">
        <v>37</v>
      </c>
      <c r="H595" s="5">
        <v>1037110</v>
      </c>
      <c r="I595" s="5">
        <v>897808.7</v>
      </c>
      <c r="J595" s="5">
        <v>20</v>
      </c>
      <c r="K595" s="5">
        <v>126161</v>
      </c>
      <c r="L595" s="5">
        <v>1160410</v>
      </c>
      <c r="M595" s="5">
        <v>139301.29999999999</v>
      </c>
      <c r="N595" s="5">
        <v>0.1343</v>
      </c>
      <c r="O595" s="5">
        <v>1</v>
      </c>
      <c r="P595" s="5">
        <v>3063</v>
      </c>
    </row>
    <row r="596" spans="1:16" x14ac:dyDescent="0.3">
      <c r="A596" s="5">
        <v>83</v>
      </c>
      <c r="B596" s="5" t="s">
        <v>109</v>
      </c>
      <c r="C596" s="5">
        <v>2</v>
      </c>
      <c r="D596" s="5" t="s">
        <v>88</v>
      </c>
      <c r="E596" s="5">
        <v>2022</v>
      </c>
      <c r="F596" s="5">
        <v>5</v>
      </c>
      <c r="G596" s="5" t="s">
        <v>38</v>
      </c>
      <c r="H596" s="5">
        <v>1293214</v>
      </c>
      <c r="I596" s="5">
        <v>1157310.7</v>
      </c>
      <c r="J596" s="5">
        <v>20</v>
      </c>
      <c r="K596" s="5">
        <v>146242</v>
      </c>
      <c r="L596" s="5">
        <v>1434730</v>
      </c>
      <c r="M596" s="5">
        <v>135903.29999999999</v>
      </c>
      <c r="N596" s="5">
        <v>0.1051</v>
      </c>
      <c r="O596" s="5">
        <v>0</v>
      </c>
      <c r="P596" s="5">
        <v>0</v>
      </c>
    </row>
    <row r="597" spans="1:16" x14ac:dyDescent="0.3">
      <c r="A597" s="5">
        <v>83</v>
      </c>
      <c r="B597" s="5" t="s">
        <v>109</v>
      </c>
      <c r="C597" s="5">
        <v>2</v>
      </c>
      <c r="D597" s="5" t="s">
        <v>88</v>
      </c>
      <c r="E597" s="5">
        <v>2022</v>
      </c>
      <c r="F597" s="5">
        <v>6</v>
      </c>
      <c r="G597" s="5" t="s">
        <v>39</v>
      </c>
      <c r="H597" s="5">
        <v>1747456</v>
      </c>
      <c r="I597" s="5">
        <v>1522555.29</v>
      </c>
      <c r="J597" s="5">
        <v>19</v>
      </c>
      <c r="K597" s="5">
        <v>206227</v>
      </c>
      <c r="L597" s="5">
        <v>1946710</v>
      </c>
      <c r="M597" s="5">
        <v>224900.71</v>
      </c>
      <c r="N597" s="5">
        <v>0.12870000000000001</v>
      </c>
      <c r="O597" s="5">
        <v>1</v>
      </c>
      <c r="P597" s="5">
        <v>60098</v>
      </c>
    </row>
    <row r="598" spans="1:16" x14ac:dyDescent="0.3">
      <c r="A598" s="5">
        <v>83</v>
      </c>
      <c r="B598" s="5" t="s">
        <v>109</v>
      </c>
      <c r="C598" s="5">
        <v>2</v>
      </c>
      <c r="D598" s="5" t="s">
        <v>88</v>
      </c>
      <c r="E598" s="5">
        <v>2022</v>
      </c>
      <c r="F598" s="5">
        <v>7</v>
      </c>
      <c r="G598" s="5" t="s">
        <v>40</v>
      </c>
      <c r="H598" s="5">
        <v>1642021</v>
      </c>
      <c r="I598" s="5">
        <v>1399995.42</v>
      </c>
      <c r="J598" s="5">
        <v>29</v>
      </c>
      <c r="K598" s="5">
        <v>148340</v>
      </c>
      <c r="L598" s="5">
        <v>1785630</v>
      </c>
      <c r="M598" s="5">
        <v>242025.58</v>
      </c>
      <c r="N598" s="5">
        <v>0.1474</v>
      </c>
      <c r="O598" s="5">
        <v>4</v>
      </c>
      <c r="P598" s="5">
        <v>231745</v>
      </c>
    </row>
    <row r="599" spans="1:16" x14ac:dyDescent="0.3">
      <c r="A599" s="5">
        <v>83</v>
      </c>
      <c r="B599" s="5" t="s">
        <v>109</v>
      </c>
      <c r="C599" s="5">
        <v>2</v>
      </c>
      <c r="D599" s="5" t="s">
        <v>88</v>
      </c>
      <c r="E599" s="5">
        <v>2022</v>
      </c>
      <c r="F599" s="5">
        <v>8</v>
      </c>
      <c r="G599" s="5" t="s">
        <v>41</v>
      </c>
      <c r="H599" s="5">
        <v>2019857</v>
      </c>
      <c r="I599" s="5">
        <v>1905116.15</v>
      </c>
      <c r="J599" s="5">
        <v>35</v>
      </c>
      <c r="K599" s="5">
        <v>478922</v>
      </c>
      <c r="L599" s="5">
        <v>2493310</v>
      </c>
      <c r="M599" s="5">
        <v>114740.85</v>
      </c>
      <c r="N599" s="5">
        <v>5.6800000000000003E-2</v>
      </c>
      <c r="O599" s="5">
        <v>5</v>
      </c>
      <c r="P599" s="5">
        <v>192187</v>
      </c>
    </row>
    <row r="600" spans="1:16" x14ac:dyDescent="0.3">
      <c r="A600" s="5">
        <v>83</v>
      </c>
      <c r="B600" s="5" t="s">
        <v>109</v>
      </c>
      <c r="C600" s="5">
        <v>2</v>
      </c>
      <c r="D600" s="5" t="s">
        <v>88</v>
      </c>
      <c r="E600" s="5">
        <v>2022</v>
      </c>
      <c r="F600" s="5">
        <v>9</v>
      </c>
      <c r="G600" s="5" t="s">
        <v>42</v>
      </c>
      <c r="H600" s="5">
        <v>3283704</v>
      </c>
      <c r="I600" s="5">
        <v>2960624.3</v>
      </c>
      <c r="J600" s="5">
        <v>33</v>
      </c>
      <c r="K600" s="5">
        <v>446297</v>
      </c>
      <c r="L600" s="5">
        <v>3726780</v>
      </c>
      <c r="M600" s="5">
        <v>323079.7</v>
      </c>
      <c r="N600" s="5">
        <v>9.8400000000000001E-2</v>
      </c>
      <c r="O600" s="5">
        <v>3</v>
      </c>
      <c r="P600" s="5">
        <v>250693</v>
      </c>
    </row>
    <row r="601" spans="1:16" x14ac:dyDescent="0.3">
      <c r="A601" s="5">
        <v>83</v>
      </c>
      <c r="B601" s="5" t="s">
        <v>109</v>
      </c>
      <c r="C601" s="5">
        <v>2</v>
      </c>
      <c r="D601" s="5" t="s">
        <v>88</v>
      </c>
      <c r="E601" s="5">
        <v>2022</v>
      </c>
      <c r="F601" s="5">
        <v>10</v>
      </c>
      <c r="G601" s="5" t="s">
        <v>43</v>
      </c>
      <c r="H601" s="5">
        <v>2300299</v>
      </c>
      <c r="I601" s="5">
        <v>2028852.31</v>
      </c>
      <c r="J601" s="5">
        <v>44</v>
      </c>
      <c r="K601" s="5">
        <v>297756</v>
      </c>
      <c r="L601" s="5">
        <v>2590410</v>
      </c>
      <c r="M601" s="5">
        <v>271446.69</v>
      </c>
      <c r="N601" s="5">
        <v>0.11799999999999999</v>
      </c>
      <c r="O601" s="5">
        <v>3</v>
      </c>
      <c r="P601" s="5">
        <v>15098</v>
      </c>
    </row>
    <row r="602" spans="1:16" x14ac:dyDescent="0.3">
      <c r="A602" s="5">
        <v>83</v>
      </c>
      <c r="B602" s="5" t="s">
        <v>109</v>
      </c>
      <c r="C602" s="5">
        <v>2</v>
      </c>
      <c r="D602" s="5" t="s">
        <v>88</v>
      </c>
      <c r="E602" s="5">
        <v>2022</v>
      </c>
      <c r="F602" s="5">
        <v>11</v>
      </c>
      <c r="G602" s="5" t="s">
        <v>44</v>
      </c>
      <c r="H602" s="5">
        <v>1471235</v>
      </c>
      <c r="I602" s="5">
        <v>1233547.53</v>
      </c>
      <c r="J602" s="5">
        <v>27</v>
      </c>
      <c r="K602" s="5">
        <v>109595</v>
      </c>
      <c r="L602" s="5">
        <v>1577900</v>
      </c>
      <c r="M602" s="5">
        <v>237687.47</v>
      </c>
      <c r="N602" s="5">
        <v>0.16159999999999999</v>
      </c>
      <c r="O602" s="5">
        <v>4</v>
      </c>
      <c r="P602" s="5">
        <v>19479</v>
      </c>
    </row>
    <row r="603" spans="1:16" x14ac:dyDescent="0.3">
      <c r="A603" s="5">
        <v>83</v>
      </c>
      <c r="B603" s="5" t="s">
        <v>109</v>
      </c>
      <c r="C603" s="5">
        <v>2</v>
      </c>
      <c r="D603" s="5" t="s">
        <v>88</v>
      </c>
      <c r="E603" s="5">
        <v>2022</v>
      </c>
      <c r="F603" s="5">
        <v>12</v>
      </c>
      <c r="G603" s="5" t="s">
        <v>45</v>
      </c>
      <c r="H603" s="5">
        <v>2507913</v>
      </c>
      <c r="I603" s="5">
        <v>2094351.12</v>
      </c>
      <c r="J603" s="5">
        <v>37</v>
      </c>
      <c r="K603" s="5">
        <v>153399</v>
      </c>
      <c r="L603" s="5">
        <v>2651350</v>
      </c>
      <c r="M603" s="5">
        <v>413561.88</v>
      </c>
      <c r="N603" s="5">
        <v>0.16489999999999999</v>
      </c>
      <c r="O603" s="5">
        <v>4</v>
      </c>
      <c r="P603" s="5">
        <v>20224</v>
      </c>
    </row>
    <row r="604" spans="1:16" x14ac:dyDescent="0.3">
      <c r="A604" s="5">
        <v>83</v>
      </c>
      <c r="B604" s="5" t="s">
        <v>109</v>
      </c>
      <c r="C604" s="5">
        <v>2</v>
      </c>
      <c r="D604" s="5" t="s">
        <v>88</v>
      </c>
      <c r="E604" s="5">
        <v>2023</v>
      </c>
      <c r="F604" s="5">
        <v>1</v>
      </c>
      <c r="G604" s="5" t="s">
        <v>46</v>
      </c>
      <c r="H604" s="5">
        <v>3102967</v>
      </c>
      <c r="I604" s="5">
        <v>2537973.9700000002</v>
      </c>
      <c r="J604" s="5">
        <v>38</v>
      </c>
      <c r="K604" s="5">
        <v>202685</v>
      </c>
      <c r="L604" s="5">
        <v>3293780</v>
      </c>
      <c r="M604" s="5">
        <v>564993.03</v>
      </c>
      <c r="N604" s="5">
        <v>0.18210000000000001</v>
      </c>
      <c r="O604" s="5">
        <v>2</v>
      </c>
      <c r="P604" s="5">
        <v>274097</v>
      </c>
    </row>
    <row r="605" spans="1:16" x14ac:dyDescent="0.3">
      <c r="A605" s="5">
        <v>83</v>
      </c>
      <c r="B605" s="5" t="s">
        <v>109</v>
      </c>
      <c r="C605" s="5">
        <v>2</v>
      </c>
      <c r="D605" s="5" t="s">
        <v>88</v>
      </c>
      <c r="E605" s="5">
        <v>2023</v>
      </c>
      <c r="F605" s="5">
        <v>2</v>
      </c>
      <c r="G605" s="5" t="s">
        <v>47</v>
      </c>
      <c r="H605" s="5">
        <v>1679340</v>
      </c>
      <c r="I605" s="5">
        <v>1404136.37</v>
      </c>
      <c r="J605" s="5">
        <v>25</v>
      </c>
      <c r="K605" s="5">
        <v>156731</v>
      </c>
      <c r="L605" s="5">
        <v>1823790</v>
      </c>
      <c r="M605" s="5">
        <v>275203.63</v>
      </c>
      <c r="N605" s="5">
        <v>0.16389999999999999</v>
      </c>
      <c r="O605" s="5">
        <v>0</v>
      </c>
      <c r="P605" s="5">
        <v>0</v>
      </c>
    </row>
    <row r="606" spans="1:16" x14ac:dyDescent="0.3">
      <c r="A606" s="5">
        <v>83</v>
      </c>
      <c r="B606" s="5" t="s">
        <v>109</v>
      </c>
      <c r="C606" s="5">
        <v>2</v>
      </c>
      <c r="D606" s="5" t="s">
        <v>88</v>
      </c>
      <c r="E606" s="5">
        <v>2023</v>
      </c>
      <c r="F606" s="5">
        <v>3</v>
      </c>
      <c r="G606" s="5" t="s">
        <v>48</v>
      </c>
      <c r="H606" s="5">
        <v>2111717</v>
      </c>
      <c r="I606" s="5">
        <v>1842258.38</v>
      </c>
      <c r="J606" s="5">
        <v>32</v>
      </c>
      <c r="K606" s="5">
        <v>285118</v>
      </c>
      <c r="L606" s="5">
        <v>2393910</v>
      </c>
      <c r="M606" s="5">
        <v>269458.62</v>
      </c>
      <c r="N606" s="5">
        <v>0.12759999999999999</v>
      </c>
      <c r="O606" s="5">
        <v>3</v>
      </c>
      <c r="P606" s="5">
        <v>19020</v>
      </c>
    </row>
    <row r="607" spans="1:16" x14ac:dyDescent="0.3">
      <c r="A607" s="5">
        <v>83</v>
      </c>
      <c r="B607" s="5" t="s">
        <v>109</v>
      </c>
      <c r="C607" s="5">
        <v>2</v>
      </c>
      <c r="D607" s="5" t="s">
        <v>88</v>
      </c>
      <c r="E607" s="5">
        <v>2023</v>
      </c>
      <c r="F607" s="5">
        <v>4</v>
      </c>
      <c r="G607" s="5" t="s">
        <v>49</v>
      </c>
      <c r="H607" s="5">
        <v>1842165</v>
      </c>
      <c r="I607" s="5">
        <v>1648453.36</v>
      </c>
      <c r="J607" s="5">
        <v>29</v>
      </c>
      <c r="K607" s="5">
        <v>270914</v>
      </c>
      <c r="L607" s="5">
        <v>2109390</v>
      </c>
      <c r="M607" s="5">
        <v>193711.64</v>
      </c>
      <c r="N607" s="5">
        <v>0.1052</v>
      </c>
      <c r="O607" s="5">
        <v>4</v>
      </c>
      <c r="P607" s="5">
        <v>369951</v>
      </c>
    </row>
    <row r="608" spans="1:16" x14ac:dyDescent="0.3">
      <c r="A608" s="5">
        <v>83</v>
      </c>
      <c r="B608" s="5" t="s">
        <v>109</v>
      </c>
      <c r="C608" s="5">
        <v>2</v>
      </c>
      <c r="D608" s="5" t="s">
        <v>88</v>
      </c>
      <c r="E608" s="5">
        <v>2023</v>
      </c>
      <c r="F608" s="5">
        <v>5</v>
      </c>
      <c r="G608" s="5" t="s">
        <v>50</v>
      </c>
      <c r="H608" s="5">
        <v>2639263</v>
      </c>
      <c r="I608" s="5">
        <v>2338447.19</v>
      </c>
      <c r="J608" s="5">
        <v>37</v>
      </c>
      <c r="K608" s="5">
        <v>342240</v>
      </c>
      <c r="L608" s="5">
        <v>2970040</v>
      </c>
      <c r="M608" s="5">
        <v>300815.81</v>
      </c>
      <c r="N608" s="5">
        <v>0.114</v>
      </c>
      <c r="O608" s="5">
        <v>2</v>
      </c>
      <c r="P608" s="5">
        <v>87135</v>
      </c>
    </row>
    <row r="609" spans="1:16" x14ac:dyDescent="0.3">
      <c r="A609" s="5">
        <v>83</v>
      </c>
      <c r="B609" s="5" t="s">
        <v>109</v>
      </c>
      <c r="C609" s="5">
        <v>2</v>
      </c>
      <c r="D609" s="5" t="s">
        <v>88</v>
      </c>
      <c r="E609" s="5">
        <v>2023</v>
      </c>
      <c r="F609" s="5">
        <v>6</v>
      </c>
      <c r="G609" s="5" t="s">
        <v>51</v>
      </c>
      <c r="H609" s="5">
        <v>1429871</v>
      </c>
      <c r="I609" s="5">
        <v>1261564.51</v>
      </c>
      <c r="J609" s="5">
        <v>25</v>
      </c>
      <c r="K609" s="5">
        <v>209177</v>
      </c>
      <c r="L609" s="5">
        <v>1636850</v>
      </c>
      <c r="M609" s="5">
        <v>168306.49</v>
      </c>
      <c r="N609" s="5">
        <v>0.1177</v>
      </c>
      <c r="O609" s="5">
        <v>3</v>
      </c>
      <c r="P609" s="5">
        <v>51161</v>
      </c>
    </row>
    <row r="610" spans="1:16" x14ac:dyDescent="0.3">
      <c r="A610" s="5">
        <v>83</v>
      </c>
      <c r="B610" s="5" t="s">
        <v>109</v>
      </c>
      <c r="C610" s="5">
        <v>2</v>
      </c>
      <c r="D610" s="5" t="s">
        <v>88</v>
      </c>
      <c r="E610" s="5">
        <v>2023</v>
      </c>
      <c r="F610" s="5">
        <v>7</v>
      </c>
      <c r="G610" s="5" t="s">
        <v>52</v>
      </c>
      <c r="H610" s="5">
        <v>2471655</v>
      </c>
      <c r="I610" s="5">
        <v>2180055.5499999998</v>
      </c>
      <c r="J610" s="5">
        <v>29</v>
      </c>
      <c r="K610" s="5">
        <v>244180</v>
      </c>
      <c r="L610" s="5">
        <v>2704900</v>
      </c>
      <c r="M610" s="5">
        <v>291599.45</v>
      </c>
      <c r="N610" s="5">
        <v>0.11799999999999999</v>
      </c>
      <c r="O610" s="5">
        <v>2</v>
      </c>
      <c r="P610" s="5">
        <v>13360</v>
      </c>
    </row>
    <row r="611" spans="1:16" x14ac:dyDescent="0.3">
      <c r="A611" s="5">
        <v>83</v>
      </c>
      <c r="B611" s="5" t="s">
        <v>109</v>
      </c>
      <c r="C611" s="5">
        <v>2</v>
      </c>
      <c r="D611" s="5" t="s">
        <v>88</v>
      </c>
      <c r="E611" s="5">
        <v>2023</v>
      </c>
      <c r="F611" s="5">
        <v>8</v>
      </c>
      <c r="G611" s="5" t="s">
        <v>53</v>
      </c>
      <c r="H611" s="5">
        <v>2518790</v>
      </c>
      <c r="I611" s="5">
        <v>2183282.41</v>
      </c>
      <c r="J611" s="5">
        <v>37</v>
      </c>
      <c r="K611" s="5">
        <v>280012</v>
      </c>
      <c r="L611" s="5">
        <v>2792740</v>
      </c>
      <c r="M611" s="5">
        <v>335507.59000000003</v>
      </c>
      <c r="N611" s="5">
        <v>0.13320000000000001</v>
      </c>
      <c r="O611" s="5">
        <v>2</v>
      </c>
      <c r="P611" s="5">
        <v>108318</v>
      </c>
    </row>
    <row r="612" spans="1:16" x14ac:dyDescent="0.3">
      <c r="A612" s="5">
        <v>83</v>
      </c>
      <c r="B612" s="5" t="s">
        <v>109</v>
      </c>
      <c r="C612" s="5">
        <v>2</v>
      </c>
      <c r="D612" s="5" t="s">
        <v>88</v>
      </c>
      <c r="E612" s="5">
        <v>2023</v>
      </c>
      <c r="F612" s="5">
        <v>9</v>
      </c>
      <c r="G612" s="5" t="s">
        <v>54</v>
      </c>
      <c r="H612" s="5">
        <v>1577039</v>
      </c>
      <c r="I612" s="5">
        <v>1402483.42</v>
      </c>
      <c r="J612" s="5">
        <v>42</v>
      </c>
      <c r="K612" s="5">
        <v>293413</v>
      </c>
      <c r="L612" s="5">
        <v>1863250</v>
      </c>
      <c r="M612" s="5">
        <v>174555.58</v>
      </c>
      <c r="N612" s="5">
        <v>0.11070000000000001</v>
      </c>
      <c r="O612" s="5">
        <v>6</v>
      </c>
      <c r="P612" s="5">
        <v>47332</v>
      </c>
    </row>
    <row r="613" spans="1:16" x14ac:dyDescent="0.3">
      <c r="A613" s="5">
        <v>83</v>
      </c>
      <c r="B613" s="5" t="s">
        <v>109</v>
      </c>
      <c r="C613" s="5">
        <v>2</v>
      </c>
      <c r="D613" s="5" t="s">
        <v>88</v>
      </c>
      <c r="E613" s="5">
        <v>2023</v>
      </c>
      <c r="F613" s="5">
        <v>10</v>
      </c>
      <c r="G613" s="5" t="s">
        <v>55</v>
      </c>
      <c r="H613" s="5">
        <v>3027843</v>
      </c>
      <c r="I613" s="5">
        <v>2588307.87</v>
      </c>
      <c r="J613" s="5">
        <v>34</v>
      </c>
      <c r="K613" s="5">
        <v>256740</v>
      </c>
      <c r="L613" s="5">
        <v>3263650</v>
      </c>
      <c r="M613" s="5">
        <v>439535.13</v>
      </c>
      <c r="N613" s="5">
        <v>0.1452</v>
      </c>
      <c r="O613" s="5">
        <v>2</v>
      </c>
      <c r="P613" s="5">
        <v>53469</v>
      </c>
    </row>
    <row r="614" spans="1:16" x14ac:dyDescent="0.3">
      <c r="A614" s="5">
        <v>83</v>
      </c>
      <c r="B614" s="5" t="s">
        <v>109</v>
      </c>
      <c r="C614" s="5">
        <v>2</v>
      </c>
      <c r="D614" s="5" t="s">
        <v>88</v>
      </c>
      <c r="E614" s="5">
        <v>2023</v>
      </c>
      <c r="F614" s="5">
        <v>11</v>
      </c>
      <c r="G614" s="5" t="s">
        <v>56</v>
      </c>
      <c r="H614" s="5">
        <v>2605644</v>
      </c>
      <c r="I614" s="5">
        <v>2383828.79</v>
      </c>
      <c r="J614" s="5">
        <v>44</v>
      </c>
      <c r="K614" s="5">
        <v>432114</v>
      </c>
      <c r="L614" s="5">
        <v>3030180</v>
      </c>
      <c r="M614" s="5">
        <v>221815.21</v>
      </c>
      <c r="N614" s="5">
        <v>8.5099999999999995E-2</v>
      </c>
      <c r="O614" s="5">
        <v>7</v>
      </c>
      <c r="P614" s="5">
        <v>183543</v>
      </c>
    </row>
    <row r="615" spans="1:16" x14ac:dyDescent="0.3">
      <c r="A615" s="5">
        <v>83</v>
      </c>
      <c r="B615" s="5" t="s">
        <v>109</v>
      </c>
      <c r="C615" s="5">
        <v>2</v>
      </c>
      <c r="D615" s="5" t="s">
        <v>88</v>
      </c>
      <c r="E615" s="5">
        <v>2023</v>
      </c>
      <c r="F615" s="5">
        <v>12</v>
      </c>
      <c r="G615" s="5" t="s">
        <v>57</v>
      </c>
      <c r="H615" s="5">
        <v>2270898</v>
      </c>
      <c r="I615" s="5">
        <v>2122420.91</v>
      </c>
      <c r="J615" s="5">
        <v>42</v>
      </c>
      <c r="K615" s="5">
        <v>441165</v>
      </c>
      <c r="L615" s="5">
        <v>2706180</v>
      </c>
      <c r="M615" s="5">
        <v>148477.09</v>
      </c>
      <c r="N615" s="5">
        <v>6.54E-2</v>
      </c>
      <c r="O615" s="5">
        <v>5</v>
      </c>
      <c r="P615" s="5">
        <v>143728</v>
      </c>
    </row>
    <row r="616" spans="1:16" x14ac:dyDescent="0.3">
      <c r="A616" s="5">
        <v>83</v>
      </c>
      <c r="B616" s="5" t="s">
        <v>109</v>
      </c>
      <c r="C616" s="5">
        <v>2</v>
      </c>
      <c r="D616" s="5" t="s">
        <v>88</v>
      </c>
      <c r="E616" s="5">
        <v>2024</v>
      </c>
      <c r="F616" s="5">
        <v>1</v>
      </c>
      <c r="G616" s="5" t="s">
        <v>58</v>
      </c>
      <c r="H616" s="5">
        <v>2108274</v>
      </c>
      <c r="I616" s="5">
        <v>1869894.06</v>
      </c>
      <c r="J616" s="5">
        <v>32</v>
      </c>
      <c r="K616" s="5">
        <v>265656</v>
      </c>
      <c r="L616" s="5">
        <v>2366520</v>
      </c>
      <c r="M616" s="5">
        <v>238379.94</v>
      </c>
      <c r="N616" s="5">
        <v>0.11310000000000001</v>
      </c>
      <c r="O616" s="5">
        <v>5</v>
      </c>
      <c r="P616" s="5">
        <v>55014</v>
      </c>
    </row>
    <row r="617" spans="1:16" x14ac:dyDescent="0.3">
      <c r="A617" s="5">
        <v>83</v>
      </c>
      <c r="B617" s="5" t="s">
        <v>109</v>
      </c>
      <c r="C617" s="5">
        <v>2</v>
      </c>
      <c r="D617" s="5" t="s">
        <v>88</v>
      </c>
      <c r="E617" s="5">
        <v>2024</v>
      </c>
      <c r="F617" s="5">
        <v>2</v>
      </c>
      <c r="G617" s="5" t="s">
        <v>59</v>
      </c>
      <c r="H617" s="5">
        <v>2061605</v>
      </c>
      <c r="I617" s="5">
        <v>1817915.11</v>
      </c>
      <c r="J617" s="5">
        <v>24</v>
      </c>
      <c r="K617" s="5">
        <v>281437</v>
      </c>
      <c r="L617" s="5">
        <v>2337290</v>
      </c>
      <c r="M617" s="5">
        <v>243689.89</v>
      </c>
      <c r="N617" s="5">
        <v>0.1182</v>
      </c>
      <c r="O617" s="5">
        <v>4</v>
      </c>
      <c r="P617" s="5">
        <v>24502</v>
      </c>
    </row>
    <row r="618" spans="1:16" x14ac:dyDescent="0.3">
      <c r="A618" s="5">
        <v>83</v>
      </c>
      <c r="B618" s="5" t="s">
        <v>109</v>
      </c>
      <c r="C618" s="5">
        <v>2</v>
      </c>
      <c r="D618" s="5" t="s">
        <v>88</v>
      </c>
      <c r="E618" s="5">
        <v>2024</v>
      </c>
      <c r="F618" s="5">
        <v>3</v>
      </c>
      <c r="G618" s="5" t="s">
        <v>60</v>
      </c>
      <c r="H618" s="5">
        <v>2185205</v>
      </c>
      <c r="I618" s="5">
        <v>1815638.85</v>
      </c>
      <c r="J618" s="5">
        <v>36</v>
      </c>
      <c r="K618" s="5">
        <v>209121</v>
      </c>
      <c r="L618" s="5">
        <v>2382190</v>
      </c>
      <c r="M618" s="5">
        <v>369566.15</v>
      </c>
      <c r="N618" s="5">
        <v>0.1691</v>
      </c>
      <c r="O618" s="5">
        <v>0</v>
      </c>
      <c r="P618" s="5">
        <v>0</v>
      </c>
    </row>
    <row r="619" spans="1:16" x14ac:dyDescent="0.3">
      <c r="A619" s="5">
        <v>83</v>
      </c>
      <c r="B619" s="5" t="s">
        <v>109</v>
      </c>
      <c r="C619" s="5">
        <v>2</v>
      </c>
      <c r="D619" s="5" t="s">
        <v>88</v>
      </c>
      <c r="E619" s="5">
        <v>2024</v>
      </c>
      <c r="F619" s="5">
        <v>4</v>
      </c>
      <c r="G619" s="5" t="s">
        <v>61</v>
      </c>
      <c r="H619" s="5">
        <v>1757112</v>
      </c>
      <c r="I619" s="5">
        <v>1536699.93</v>
      </c>
      <c r="J619" s="5">
        <v>27</v>
      </c>
      <c r="K619" s="5">
        <v>204989</v>
      </c>
      <c r="L619" s="5">
        <v>1956510</v>
      </c>
      <c r="M619" s="5">
        <v>220412.07</v>
      </c>
      <c r="N619" s="5">
        <v>0.12540000000000001</v>
      </c>
      <c r="O619" s="5">
        <v>1</v>
      </c>
      <c r="P619" s="5">
        <v>3901</v>
      </c>
    </row>
    <row r="620" spans="1:16" x14ac:dyDescent="0.3">
      <c r="A620" s="5">
        <v>83</v>
      </c>
      <c r="B620" s="5" t="s">
        <v>109</v>
      </c>
      <c r="C620" s="5">
        <v>2</v>
      </c>
      <c r="D620" s="5" t="s">
        <v>88</v>
      </c>
      <c r="E620" s="5">
        <v>2024</v>
      </c>
      <c r="F620" s="5">
        <v>5</v>
      </c>
      <c r="G620" s="5" t="s">
        <v>62</v>
      </c>
      <c r="H620" s="5">
        <v>3158785</v>
      </c>
      <c r="I620" s="5">
        <v>2914771.19</v>
      </c>
      <c r="J620" s="5">
        <v>40</v>
      </c>
      <c r="K620" s="5">
        <v>583886</v>
      </c>
      <c r="L620" s="5">
        <v>3733880</v>
      </c>
      <c r="M620" s="5">
        <v>244013.81</v>
      </c>
      <c r="N620" s="5">
        <v>7.7200000000000005E-2</v>
      </c>
      <c r="O620" s="5">
        <v>4</v>
      </c>
      <c r="P620" s="5">
        <v>188511</v>
      </c>
    </row>
    <row r="621" spans="1:16" x14ac:dyDescent="0.3">
      <c r="A621" s="5">
        <v>83</v>
      </c>
      <c r="B621" s="5" t="s">
        <v>109</v>
      </c>
      <c r="C621" s="5">
        <v>2</v>
      </c>
      <c r="D621" s="5" t="s">
        <v>88</v>
      </c>
      <c r="E621" s="5">
        <v>2024</v>
      </c>
      <c r="F621" s="5">
        <v>6</v>
      </c>
      <c r="G621" s="5" t="s">
        <v>63</v>
      </c>
      <c r="H621" s="5">
        <v>2100085</v>
      </c>
      <c r="I621" s="5">
        <v>1811733.96</v>
      </c>
      <c r="J621" s="5">
        <v>31</v>
      </c>
      <c r="K621" s="5">
        <v>187611</v>
      </c>
      <c r="L621" s="5">
        <v>2281590</v>
      </c>
      <c r="M621" s="5">
        <v>288351.03999999998</v>
      </c>
      <c r="N621" s="5">
        <v>0.13730000000000001</v>
      </c>
      <c r="O621" s="5">
        <v>2</v>
      </c>
      <c r="P621" s="5">
        <v>95537</v>
      </c>
    </row>
    <row r="622" spans="1:16" x14ac:dyDescent="0.3">
      <c r="A622" s="5">
        <v>83</v>
      </c>
      <c r="B622" s="5" t="s">
        <v>109</v>
      </c>
      <c r="C622" s="5">
        <v>2</v>
      </c>
      <c r="D622" s="5" t="s">
        <v>88</v>
      </c>
      <c r="E622" s="5">
        <v>2024</v>
      </c>
      <c r="F622" s="5">
        <v>7</v>
      </c>
      <c r="G622" s="5" t="s">
        <v>64</v>
      </c>
      <c r="H622" s="5">
        <v>1242599</v>
      </c>
      <c r="I622" s="5">
        <v>1030769.99</v>
      </c>
      <c r="J622" s="5">
        <v>27</v>
      </c>
      <c r="K622" s="5">
        <v>84695</v>
      </c>
      <c r="L622" s="5">
        <v>1321250</v>
      </c>
      <c r="M622" s="5">
        <v>211829.01</v>
      </c>
      <c r="N622" s="5">
        <v>0.17050000000000001</v>
      </c>
      <c r="O622" s="5">
        <v>3</v>
      </c>
      <c r="P622" s="5">
        <v>82065</v>
      </c>
    </row>
    <row r="623" spans="1:16" x14ac:dyDescent="0.3">
      <c r="A623" s="5">
        <v>83</v>
      </c>
      <c r="B623" s="5" t="s">
        <v>109</v>
      </c>
      <c r="C623" s="5">
        <v>2</v>
      </c>
      <c r="D623" s="5" t="s">
        <v>88</v>
      </c>
      <c r="E623" s="5">
        <v>2024</v>
      </c>
      <c r="F623" s="5">
        <v>8</v>
      </c>
      <c r="G623" s="5" t="s">
        <v>65</v>
      </c>
      <c r="H623" s="5">
        <v>1699688</v>
      </c>
      <c r="I623" s="5">
        <v>1411179.72</v>
      </c>
      <c r="J623" s="5">
        <v>26</v>
      </c>
      <c r="K623" s="5">
        <v>126370</v>
      </c>
      <c r="L623" s="5">
        <v>1816980</v>
      </c>
      <c r="M623" s="5">
        <v>288508.28000000003</v>
      </c>
      <c r="N623" s="5">
        <v>0.16969999999999999</v>
      </c>
      <c r="O623" s="5">
        <v>0</v>
      </c>
      <c r="P623" s="5">
        <v>0</v>
      </c>
    </row>
    <row r="624" spans="1:16" x14ac:dyDescent="0.3">
      <c r="A624" s="5">
        <v>83</v>
      </c>
      <c r="B624" s="5" t="s">
        <v>109</v>
      </c>
      <c r="C624" s="5">
        <v>2</v>
      </c>
      <c r="D624" s="5" t="s">
        <v>88</v>
      </c>
      <c r="E624" s="5">
        <v>2024</v>
      </c>
      <c r="F624" s="5">
        <v>9</v>
      </c>
      <c r="G624" s="5" t="s">
        <v>66</v>
      </c>
      <c r="H624" s="5">
        <v>2977369</v>
      </c>
      <c r="I624" s="5">
        <v>2469936.89</v>
      </c>
      <c r="J624" s="5">
        <v>35</v>
      </c>
      <c r="K624" s="5">
        <v>183690</v>
      </c>
      <c r="L624" s="5">
        <v>3149100</v>
      </c>
      <c r="M624" s="5">
        <v>507432.11</v>
      </c>
      <c r="N624" s="5">
        <v>0.1704</v>
      </c>
      <c r="O624" s="5">
        <v>2</v>
      </c>
      <c r="P624" s="5">
        <v>13448</v>
      </c>
    </row>
    <row r="625" spans="1:16" x14ac:dyDescent="0.3">
      <c r="A625" s="5">
        <v>83</v>
      </c>
      <c r="B625" s="5" t="s">
        <v>109</v>
      </c>
      <c r="C625" s="5">
        <v>2</v>
      </c>
      <c r="D625" s="5" t="s">
        <v>88</v>
      </c>
      <c r="E625" s="5">
        <v>2024</v>
      </c>
      <c r="F625" s="5">
        <v>10</v>
      </c>
      <c r="G625" s="5" t="s">
        <v>67</v>
      </c>
      <c r="H625" s="5">
        <v>3845209</v>
      </c>
      <c r="I625" s="5">
        <v>3071827.45</v>
      </c>
      <c r="J625" s="5">
        <v>52</v>
      </c>
      <c r="K625" s="5">
        <v>139407</v>
      </c>
      <c r="L625" s="5">
        <v>3975040</v>
      </c>
      <c r="M625" s="5">
        <v>773381.55</v>
      </c>
      <c r="N625" s="5">
        <v>0.2011</v>
      </c>
      <c r="O625" s="5">
        <v>4</v>
      </c>
      <c r="P625" s="5">
        <v>378228</v>
      </c>
    </row>
    <row r="626" spans="1:16" x14ac:dyDescent="0.3">
      <c r="A626" s="5">
        <v>83</v>
      </c>
      <c r="B626" s="5" t="s">
        <v>109</v>
      </c>
      <c r="C626" s="5">
        <v>2</v>
      </c>
      <c r="D626" s="5" t="s">
        <v>88</v>
      </c>
      <c r="E626" s="5">
        <v>2024</v>
      </c>
      <c r="F626" s="5">
        <v>11</v>
      </c>
      <c r="G626" s="5" t="s">
        <v>68</v>
      </c>
      <c r="H626" s="5">
        <v>2392508</v>
      </c>
      <c r="I626" s="5">
        <v>1944930.24</v>
      </c>
      <c r="J626" s="5">
        <v>45</v>
      </c>
      <c r="K626" s="5">
        <v>161943</v>
      </c>
      <c r="L626" s="5">
        <v>2542760</v>
      </c>
      <c r="M626" s="5">
        <v>447577.76</v>
      </c>
      <c r="N626" s="5">
        <v>0.18709999999999999</v>
      </c>
      <c r="O626" s="5">
        <v>4</v>
      </c>
      <c r="P626" s="5">
        <v>51475</v>
      </c>
    </row>
    <row r="627" spans="1:16" x14ac:dyDescent="0.3">
      <c r="A627" s="5">
        <v>83</v>
      </c>
      <c r="B627" s="5" t="s">
        <v>109</v>
      </c>
      <c r="C627" s="5">
        <v>2</v>
      </c>
      <c r="D627" s="5" t="s">
        <v>88</v>
      </c>
      <c r="E627" s="5">
        <v>2024</v>
      </c>
      <c r="F627" s="5">
        <v>12</v>
      </c>
      <c r="G627" s="5" t="s">
        <v>69</v>
      </c>
      <c r="H627" s="5">
        <v>3862150</v>
      </c>
      <c r="I627" s="5">
        <v>3084670.89</v>
      </c>
      <c r="J627" s="5">
        <v>52</v>
      </c>
      <c r="K627" s="5">
        <v>123343</v>
      </c>
      <c r="L627" s="5">
        <v>3968830</v>
      </c>
      <c r="M627" s="5">
        <v>777479.11</v>
      </c>
      <c r="N627" s="5">
        <v>0.20130000000000001</v>
      </c>
      <c r="O627" s="5">
        <v>9</v>
      </c>
      <c r="P627" s="5">
        <v>366467</v>
      </c>
    </row>
    <row r="628" spans="1:16" x14ac:dyDescent="0.3">
      <c r="A628" s="5">
        <v>11</v>
      </c>
      <c r="B628" s="5" t="s">
        <v>110</v>
      </c>
      <c r="C628" s="5">
        <v>2</v>
      </c>
      <c r="D628" s="5" t="s">
        <v>88</v>
      </c>
      <c r="E628" s="5">
        <v>2021</v>
      </c>
      <c r="F628" s="5">
        <v>1</v>
      </c>
      <c r="G628" s="5" t="s">
        <v>22</v>
      </c>
      <c r="H628" s="5">
        <v>1462880</v>
      </c>
      <c r="I628" s="5">
        <v>1333777.69</v>
      </c>
      <c r="J628" s="5">
        <v>21</v>
      </c>
      <c r="K628" s="5">
        <v>226126</v>
      </c>
      <c r="L628" s="5">
        <v>1679210</v>
      </c>
      <c r="M628" s="5">
        <v>129102.31</v>
      </c>
      <c r="N628" s="5">
        <v>8.8300000000000003E-2</v>
      </c>
      <c r="O628" s="5">
        <v>1</v>
      </c>
      <c r="P628" s="5">
        <v>6457</v>
      </c>
    </row>
    <row r="629" spans="1:16" x14ac:dyDescent="0.3">
      <c r="A629" s="5">
        <v>65</v>
      </c>
      <c r="B629" s="5" t="s">
        <v>110</v>
      </c>
      <c r="C629" s="5">
        <v>2</v>
      </c>
      <c r="D629" s="5" t="s">
        <v>88</v>
      </c>
      <c r="E629" s="5">
        <v>2021</v>
      </c>
      <c r="F629" s="5">
        <v>1</v>
      </c>
      <c r="G629" s="5" t="s">
        <v>22</v>
      </c>
      <c r="H629" s="5">
        <v>2793986</v>
      </c>
      <c r="I629" s="5">
        <v>2561632.8199999998</v>
      </c>
      <c r="J629" s="5">
        <v>44</v>
      </c>
      <c r="K629" s="5">
        <v>521371</v>
      </c>
      <c r="L629" s="5">
        <v>3305440</v>
      </c>
      <c r="M629" s="5">
        <v>232353.18</v>
      </c>
      <c r="N629" s="5">
        <v>8.3199999999999996E-2</v>
      </c>
      <c r="O629" s="5">
        <v>4</v>
      </c>
      <c r="P629" s="5">
        <v>41370</v>
      </c>
    </row>
    <row r="630" spans="1:16" x14ac:dyDescent="0.3">
      <c r="A630" s="5">
        <v>89</v>
      </c>
      <c r="B630" s="5" t="s">
        <v>110</v>
      </c>
      <c r="C630" s="5">
        <v>2</v>
      </c>
      <c r="D630" s="5" t="s">
        <v>88</v>
      </c>
      <c r="E630" s="5">
        <v>2021</v>
      </c>
      <c r="F630" s="5">
        <v>1</v>
      </c>
      <c r="G630" s="5" t="s">
        <v>22</v>
      </c>
      <c r="H630" s="5">
        <v>2198086</v>
      </c>
      <c r="I630" s="5">
        <v>1980366.65</v>
      </c>
      <c r="J630" s="5">
        <v>20</v>
      </c>
      <c r="K630" s="5">
        <v>310304</v>
      </c>
      <c r="L630" s="5">
        <v>2500000</v>
      </c>
      <c r="M630" s="5">
        <v>217719.35</v>
      </c>
      <c r="N630" s="5">
        <v>9.9000000000000005E-2</v>
      </c>
      <c r="O630" s="5">
        <v>1</v>
      </c>
      <c r="P630" s="5">
        <v>826</v>
      </c>
    </row>
    <row r="631" spans="1:16" x14ac:dyDescent="0.3">
      <c r="A631" s="5">
        <v>103</v>
      </c>
      <c r="B631" s="5" t="s">
        <v>110</v>
      </c>
      <c r="C631" s="5">
        <v>2</v>
      </c>
      <c r="D631" s="5" t="s">
        <v>88</v>
      </c>
      <c r="E631" s="5">
        <v>2021</v>
      </c>
      <c r="F631" s="5">
        <v>1</v>
      </c>
      <c r="G631" s="5" t="s">
        <v>22</v>
      </c>
      <c r="H631" s="5">
        <v>1362103</v>
      </c>
      <c r="I631" s="5">
        <v>1169971.43</v>
      </c>
      <c r="J631" s="5">
        <v>27</v>
      </c>
      <c r="K631" s="5">
        <v>210081</v>
      </c>
      <c r="L631" s="5">
        <v>1564320</v>
      </c>
      <c r="M631" s="5">
        <v>192131.57</v>
      </c>
      <c r="N631" s="5">
        <v>0.1411</v>
      </c>
      <c r="O631" s="5">
        <v>2</v>
      </c>
      <c r="P631" s="5">
        <v>50737</v>
      </c>
    </row>
    <row r="632" spans="1:16" x14ac:dyDescent="0.3">
      <c r="A632" s="5">
        <v>114</v>
      </c>
      <c r="B632" s="5" t="s">
        <v>110</v>
      </c>
      <c r="C632" s="5">
        <v>2</v>
      </c>
      <c r="D632" s="5" t="s">
        <v>88</v>
      </c>
      <c r="E632" s="5">
        <v>2021</v>
      </c>
      <c r="F632" s="5">
        <v>1</v>
      </c>
      <c r="G632" s="5" t="s">
        <v>22</v>
      </c>
      <c r="H632" s="5">
        <v>1524332</v>
      </c>
      <c r="I632" s="5">
        <v>1358740.89</v>
      </c>
      <c r="J632" s="5">
        <v>22</v>
      </c>
      <c r="K632" s="5">
        <v>221729</v>
      </c>
      <c r="L632" s="5">
        <v>1731340</v>
      </c>
      <c r="M632" s="5">
        <v>165591.10999999999</v>
      </c>
      <c r="N632" s="5">
        <v>0.1086</v>
      </c>
      <c r="O632" s="5">
        <v>5</v>
      </c>
      <c r="P632" s="5">
        <v>315608</v>
      </c>
    </row>
    <row r="633" spans="1:16" x14ac:dyDescent="0.3">
      <c r="A633" s="5">
        <v>11</v>
      </c>
      <c r="B633" s="5" t="s">
        <v>110</v>
      </c>
      <c r="C633" s="5">
        <v>2</v>
      </c>
      <c r="D633" s="5" t="s">
        <v>88</v>
      </c>
      <c r="E633" s="5">
        <v>2021</v>
      </c>
      <c r="F633" s="5">
        <v>2</v>
      </c>
      <c r="G633" s="5" t="s">
        <v>23</v>
      </c>
      <c r="H633" s="5">
        <v>1898178</v>
      </c>
      <c r="I633" s="5">
        <v>1610499.44</v>
      </c>
      <c r="J633" s="5">
        <v>23</v>
      </c>
      <c r="K633" s="5">
        <v>168138</v>
      </c>
      <c r="L633" s="5">
        <v>2066110</v>
      </c>
      <c r="M633" s="5">
        <v>287678.56</v>
      </c>
      <c r="N633" s="5">
        <v>0.15160000000000001</v>
      </c>
      <c r="O633" s="5">
        <v>3</v>
      </c>
      <c r="P633" s="5">
        <v>28487</v>
      </c>
    </row>
    <row r="634" spans="1:16" x14ac:dyDescent="0.3">
      <c r="A634" s="5">
        <v>65</v>
      </c>
      <c r="B634" s="5" t="s">
        <v>110</v>
      </c>
      <c r="C634" s="5">
        <v>2</v>
      </c>
      <c r="D634" s="5" t="s">
        <v>88</v>
      </c>
      <c r="E634" s="5">
        <v>2021</v>
      </c>
      <c r="F634" s="5">
        <v>2</v>
      </c>
      <c r="G634" s="5" t="s">
        <v>23</v>
      </c>
      <c r="H634" s="5">
        <v>1425356</v>
      </c>
      <c r="I634" s="5">
        <v>1188212.6200000001</v>
      </c>
      <c r="J634" s="5">
        <v>24</v>
      </c>
      <c r="K634" s="5">
        <v>143348</v>
      </c>
      <c r="L634" s="5">
        <v>1558120</v>
      </c>
      <c r="M634" s="5">
        <v>237143.38</v>
      </c>
      <c r="N634" s="5">
        <v>0.16639999999999999</v>
      </c>
      <c r="O634" s="5">
        <v>2</v>
      </c>
      <c r="P634" s="5">
        <v>27855</v>
      </c>
    </row>
    <row r="635" spans="1:16" x14ac:dyDescent="0.3">
      <c r="A635" s="5">
        <v>89</v>
      </c>
      <c r="B635" s="5" t="s">
        <v>110</v>
      </c>
      <c r="C635" s="5">
        <v>2</v>
      </c>
      <c r="D635" s="5" t="s">
        <v>88</v>
      </c>
      <c r="E635" s="5">
        <v>2021</v>
      </c>
      <c r="F635" s="5">
        <v>2</v>
      </c>
      <c r="G635" s="5" t="s">
        <v>23</v>
      </c>
      <c r="H635" s="5">
        <v>1721588</v>
      </c>
      <c r="I635" s="5">
        <v>1541658.94</v>
      </c>
      <c r="J635" s="5">
        <v>21</v>
      </c>
      <c r="K635" s="5">
        <v>263959</v>
      </c>
      <c r="L635" s="5">
        <v>1980690</v>
      </c>
      <c r="M635" s="5">
        <v>179929.06</v>
      </c>
      <c r="N635" s="5">
        <v>0.1045</v>
      </c>
      <c r="O635" s="5">
        <v>4</v>
      </c>
      <c r="P635" s="5">
        <v>122927</v>
      </c>
    </row>
    <row r="636" spans="1:16" x14ac:dyDescent="0.3">
      <c r="A636" s="5">
        <v>103</v>
      </c>
      <c r="B636" s="5" t="s">
        <v>110</v>
      </c>
      <c r="C636" s="5">
        <v>2</v>
      </c>
      <c r="D636" s="5" t="s">
        <v>88</v>
      </c>
      <c r="E636" s="5">
        <v>2021</v>
      </c>
      <c r="F636" s="5">
        <v>2</v>
      </c>
      <c r="G636" s="5" t="s">
        <v>23</v>
      </c>
      <c r="H636" s="5">
        <v>1789869</v>
      </c>
      <c r="I636" s="5">
        <v>1430360.53</v>
      </c>
      <c r="J636" s="5">
        <v>30</v>
      </c>
      <c r="K636" s="5">
        <v>83176</v>
      </c>
      <c r="L636" s="5">
        <v>1852900</v>
      </c>
      <c r="M636" s="5">
        <v>359508.47</v>
      </c>
      <c r="N636" s="5">
        <v>0.2009</v>
      </c>
      <c r="O636" s="5">
        <v>1</v>
      </c>
      <c r="P636" s="5">
        <v>35460</v>
      </c>
    </row>
    <row r="637" spans="1:16" x14ac:dyDescent="0.3">
      <c r="A637" s="5">
        <v>114</v>
      </c>
      <c r="B637" s="5" t="s">
        <v>110</v>
      </c>
      <c r="C637" s="5">
        <v>2</v>
      </c>
      <c r="D637" s="5" t="s">
        <v>88</v>
      </c>
      <c r="E637" s="5">
        <v>2021</v>
      </c>
      <c r="F637" s="5">
        <v>2</v>
      </c>
      <c r="G637" s="5" t="s">
        <v>23</v>
      </c>
      <c r="H637" s="5">
        <v>1966696</v>
      </c>
      <c r="I637" s="5">
        <v>1827814.05</v>
      </c>
      <c r="J637" s="5">
        <v>30</v>
      </c>
      <c r="K637" s="5">
        <v>407664</v>
      </c>
      <c r="L637" s="5">
        <v>2372580</v>
      </c>
      <c r="M637" s="5">
        <v>138881.95000000001</v>
      </c>
      <c r="N637" s="5">
        <v>7.0599999999999996E-2</v>
      </c>
      <c r="O637" s="5">
        <v>2</v>
      </c>
      <c r="P637" s="5">
        <v>69835</v>
      </c>
    </row>
    <row r="638" spans="1:16" x14ac:dyDescent="0.3">
      <c r="A638" s="5">
        <v>11</v>
      </c>
      <c r="B638" s="5" t="s">
        <v>110</v>
      </c>
      <c r="C638" s="5">
        <v>2</v>
      </c>
      <c r="D638" s="5" t="s">
        <v>88</v>
      </c>
      <c r="E638" s="5">
        <v>2021</v>
      </c>
      <c r="F638" s="5">
        <v>3</v>
      </c>
      <c r="G638" s="5" t="s">
        <v>24</v>
      </c>
      <c r="H638" s="5">
        <v>2095387</v>
      </c>
      <c r="I638" s="5">
        <v>1741072.99</v>
      </c>
      <c r="J638" s="5">
        <v>26</v>
      </c>
      <c r="K638" s="5">
        <v>186239</v>
      </c>
      <c r="L638" s="5">
        <v>2272300</v>
      </c>
      <c r="M638" s="5">
        <v>354314.01</v>
      </c>
      <c r="N638" s="5">
        <v>0.1691</v>
      </c>
      <c r="O638" s="5">
        <v>1</v>
      </c>
      <c r="P638" s="5">
        <v>5797</v>
      </c>
    </row>
    <row r="639" spans="1:16" x14ac:dyDescent="0.3">
      <c r="A639" s="5">
        <v>65</v>
      </c>
      <c r="B639" s="5" t="s">
        <v>110</v>
      </c>
      <c r="C639" s="5">
        <v>2</v>
      </c>
      <c r="D639" s="5" t="s">
        <v>88</v>
      </c>
      <c r="E639" s="5">
        <v>2021</v>
      </c>
      <c r="F639" s="5">
        <v>3</v>
      </c>
      <c r="G639" s="5" t="s">
        <v>24</v>
      </c>
      <c r="H639" s="5">
        <v>1471790</v>
      </c>
      <c r="I639" s="5">
        <v>1204472.5900000001</v>
      </c>
      <c r="J639" s="5">
        <v>25</v>
      </c>
      <c r="K639" s="5">
        <v>135955</v>
      </c>
      <c r="L639" s="5">
        <v>1603430</v>
      </c>
      <c r="M639" s="5">
        <v>267317.40999999997</v>
      </c>
      <c r="N639" s="5">
        <v>0.18160000000000001</v>
      </c>
      <c r="O639" s="5">
        <v>0</v>
      </c>
      <c r="P639" s="5">
        <v>0</v>
      </c>
    </row>
    <row r="640" spans="1:16" x14ac:dyDescent="0.3">
      <c r="A640" s="5">
        <v>89</v>
      </c>
      <c r="B640" s="5" t="s">
        <v>110</v>
      </c>
      <c r="C640" s="5">
        <v>2</v>
      </c>
      <c r="D640" s="5" t="s">
        <v>88</v>
      </c>
      <c r="E640" s="5">
        <v>2021</v>
      </c>
      <c r="F640" s="5">
        <v>3</v>
      </c>
      <c r="G640" s="5" t="s">
        <v>24</v>
      </c>
      <c r="H640" s="5">
        <v>1743025</v>
      </c>
      <c r="I640" s="5">
        <v>1394326.86</v>
      </c>
      <c r="J640" s="5">
        <v>21</v>
      </c>
      <c r="K640" s="5">
        <v>64582</v>
      </c>
      <c r="L640" s="5">
        <v>1799540</v>
      </c>
      <c r="M640" s="5">
        <v>348698.14</v>
      </c>
      <c r="N640" s="5">
        <v>0.2001</v>
      </c>
      <c r="O640" s="5">
        <v>3</v>
      </c>
      <c r="P640" s="5">
        <v>89728</v>
      </c>
    </row>
    <row r="641" spans="1:16" x14ac:dyDescent="0.3">
      <c r="A641" s="5">
        <v>103</v>
      </c>
      <c r="B641" s="5" t="s">
        <v>110</v>
      </c>
      <c r="C641" s="5">
        <v>2</v>
      </c>
      <c r="D641" s="5" t="s">
        <v>88</v>
      </c>
      <c r="E641" s="5">
        <v>2021</v>
      </c>
      <c r="F641" s="5">
        <v>3</v>
      </c>
      <c r="G641" s="5" t="s">
        <v>24</v>
      </c>
      <c r="H641" s="5">
        <v>2465277</v>
      </c>
      <c r="I641" s="5">
        <v>2036842.87</v>
      </c>
      <c r="J641" s="5">
        <v>34</v>
      </c>
      <c r="K641" s="5">
        <v>165700</v>
      </c>
      <c r="L641" s="5">
        <v>2619960</v>
      </c>
      <c r="M641" s="5">
        <v>428434.13</v>
      </c>
      <c r="N641" s="5">
        <v>0.17380000000000001</v>
      </c>
      <c r="O641" s="5">
        <v>5</v>
      </c>
      <c r="P641" s="5">
        <v>116154</v>
      </c>
    </row>
    <row r="642" spans="1:16" x14ac:dyDescent="0.3">
      <c r="A642" s="5">
        <v>114</v>
      </c>
      <c r="B642" s="5" t="s">
        <v>110</v>
      </c>
      <c r="C642" s="5">
        <v>2</v>
      </c>
      <c r="D642" s="5" t="s">
        <v>88</v>
      </c>
      <c r="E642" s="5">
        <v>2021</v>
      </c>
      <c r="F642" s="5">
        <v>3</v>
      </c>
      <c r="G642" s="5" t="s">
        <v>24</v>
      </c>
      <c r="H642" s="5">
        <v>1643359</v>
      </c>
      <c r="I642" s="5">
        <v>1350262.83</v>
      </c>
      <c r="J642" s="5">
        <v>24</v>
      </c>
      <c r="K642" s="5">
        <v>153724</v>
      </c>
      <c r="L642" s="5">
        <v>1789750</v>
      </c>
      <c r="M642" s="5">
        <v>293096.17</v>
      </c>
      <c r="N642" s="5">
        <v>0.1784</v>
      </c>
      <c r="O642" s="5">
        <v>0</v>
      </c>
      <c r="P642" s="5">
        <v>0</v>
      </c>
    </row>
    <row r="643" spans="1:16" x14ac:dyDescent="0.3">
      <c r="A643" s="5">
        <v>11</v>
      </c>
      <c r="B643" s="5" t="s">
        <v>110</v>
      </c>
      <c r="C643" s="5">
        <v>2</v>
      </c>
      <c r="D643" s="5" t="s">
        <v>88</v>
      </c>
      <c r="E643" s="5">
        <v>2021</v>
      </c>
      <c r="F643" s="5">
        <v>4</v>
      </c>
      <c r="G643" s="5" t="s">
        <v>25</v>
      </c>
      <c r="H643" s="5">
        <v>1456648</v>
      </c>
      <c r="I643" s="5">
        <v>1296289.94</v>
      </c>
      <c r="J643" s="5">
        <v>25</v>
      </c>
      <c r="K643" s="5">
        <v>219892</v>
      </c>
      <c r="L643" s="5">
        <v>1675150</v>
      </c>
      <c r="M643" s="5">
        <v>160358.06</v>
      </c>
      <c r="N643" s="5">
        <v>0.1101</v>
      </c>
      <c r="O643" s="5">
        <v>1</v>
      </c>
      <c r="P643" s="5">
        <v>3932</v>
      </c>
    </row>
    <row r="644" spans="1:16" x14ac:dyDescent="0.3">
      <c r="A644" s="5">
        <v>65</v>
      </c>
      <c r="B644" s="5" t="s">
        <v>110</v>
      </c>
      <c r="C644" s="5">
        <v>2</v>
      </c>
      <c r="D644" s="5" t="s">
        <v>88</v>
      </c>
      <c r="E644" s="5">
        <v>2021</v>
      </c>
      <c r="F644" s="5">
        <v>4</v>
      </c>
      <c r="G644" s="5" t="s">
        <v>25</v>
      </c>
      <c r="H644" s="5">
        <v>1483261</v>
      </c>
      <c r="I644" s="5">
        <v>1321596.04</v>
      </c>
      <c r="J644" s="5">
        <v>24</v>
      </c>
      <c r="K644" s="5">
        <v>240221</v>
      </c>
      <c r="L644" s="5">
        <v>1721320</v>
      </c>
      <c r="M644" s="5">
        <v>161664.95999999999</v>
      </c>
      <c r="N644" s="5">
        <v>0.109</v>
      </c>
      <c r="O644" s="5">
        <v>0</v>
      </c>
      <c r="P644" s="5">
        <v>0</v>
      </c>
    </row>
    <row r="645" spans="1:16" x14ac:dyDescent="0.3">
      <c r="A645" s="5">
        <v>89</v>
      </c>
      <c r="B645" s="5" t="s">
        <v>110</v>
      </c>
      <c r="C645" s="5">
        <v>2</v>
      </c>
      <c r="D645" s="5" t="s">
        <v>88</v>
      </c>
      <c r="E645" s="5">
        <v>2021</v>
      </c>
      <c r="F645" s="5">
        <v>4</v>
      </c>
      <c r="G645" s="5" t="s">
        <v>25</v>
      </c>
      <c r="H645" s="5">
        <v>1274266</v>
      </c>
      <c r="I645" s="5">
        <v>1084744.3700000001</v>
      </c>
      <c r="J645" s="5">
        <v>17</v>
      </c>
      <c r="K645" s="5">
        <v>124111</v>
      </c>
      <c r="L645" s="5">
        <v>1397280</v>
      </c>
      <c r="M645" s="5">
        <v>189521.63</v>
      </c>
      <c r="N645" s="5">
        <v>0.1487</v>
      </c>
      <c r="O645" s="5">
        <v>2</v>
      </c>
      <c r="P645" s="5">
        <v>9498</v>
      </c>
    </row>
    <row r="646" spans="1:16" x14ac:dyDescent="0.3">
      <c r="A646" s="5">
        <v>103</v>
      </c>
      <c r="B646" s="5" t="s">
        <v>110</v>
      </c>
      <c r="C646" s="5">
        <v>2</v>
      </c>
      <c r="D646" s="5" t="s">
        <v>88</v>
      </c>
      <c r="E646" s="5">
        <v>2021</v>
      </c>
      <c r="F646" s="5">
        <v>4</v>
      </c>
      <c r="G646" s="5" t="s">
        <v>25</v>
      </c>
      <c r="H646" s="5">
        <v>2641701</v>
      </c>
      <c r="I646" s="5">
        <v>2372738.0499999998</v>
      </c>
      <c r="J646" s="5">
        <v>34</v>
      </c>
      <c r="K646" s="5">
        <v>363516</v>
      </c>
      <c r="L646" s="5">
        <v>2986440</v>
      </c>
      <c r="M646" s="5">
        <v>268962.95</v>
      </c>
      <c r="N646" s="5">
        <v>0.1018</v>
      </c>
      <c r="O646" s="5">
        <v>2</v>
      </c>
      <c r="P646" s="5">
        <v>3124</v>
      </c>
    </row>
    <row r="647" spans="1:16" x14ac:dyDescent="0.3">
      <c r="A647" s="5">
        <v>114</v>
      </c>
      <c r="B647" s="5" t="s">
        <v>110</v>
      </c>
      <c r="C647" s="5">
        <v>2</v>
      </c>
      <c r="D647" s="5" t="s">
        <v>88</v>
      </c>
      <c r="E647" s="5">
        <v>2021</v>
      </c>
      <c r="F647" s="5">
        <v>4</v>
      </c>
      <c r="G647" s="5" t="s">
        <v>25</v>
      </c>
      <c r="H647" s="5">
        <v>1624453</v>
      </c>
      <c r="I647" s="5">
        <v>1437440.14</v>
      </c>
      <c r="J647" s="5">
        <v>18</v>
      </c>
      <c r="K647" s="5">
        <v>213094</v>
      </c>
      <c r="L647" s="5">
        <v>1832630</v>
      </c>
      <c r="M647" s="5">
        <v>187012.86</v>
      </c>
      <c r="N647" s="5">
        <v>0.11509999999999999</v>
      </c>
      <c r="O647" s="5">
        <v>1</v>
      </c>
      <c r="P647" s="5">
        <v>23173</v>
      </c>
    </row>
    <row r="648" spans="1:16" x14ac:dyDescent="0.3">
      <c r="A648" s="5">
        <v>11</v>
      </c>
      <c r="B648" s="5" t="s">
        <v>110</v>
      </c>
      <c r="C648" s="5">
        <v>2</v>
      </c>
      <c r="D648" s="5" t="s">
        <v>88</v>
      </c>
      <c r="E648" s="5">
        <v>2021</v>
      </c>
      <c r="F648" s="5">
        <v>5</v>
      </c>
      <c r="G648" s="5" t="s">
        <v>26</v>
      </c>
      <c r="H648" s="5">
        <v>2240671</v>
      </c>
      <c r="I648" s="5">
        <v>2013855.11</v>
      </c>
      <c r="J648" s="5">
        <v>31</v>
      </c>
      <c r="K648" s="5">
        <v>350374</v>
      </c>
      <c r="L648" s="5">
        <v>2579750</v>
      </c>
      <c r="M648" s="5">
        <v>226815.89</v>
      </c>
      <c r="N648" s="5">
        <v>0.1012</v>
      </c>
      <c r="O648" s="5">
        <v>3</v>
      </c>
      <c r="P648" s="5">
        <v>17688</v>
      </c>
    </row>
    <row r="649" spans="1:16" x14ac:dyDescent="0.3">
      <c r="A649" s="5">
        <v>65</v>
      </c>
      <c r="B649" s="5" t="s">
        <v>110</v>
      </c>
      <c r="C649" s="5">
        <v>2</v>
      </c>
      <c r="D649" s="5" t="s">
        <v>88</v>
      </c>
      <c r="E649" s="5">
        <v>2021</v>
      </c>
      <c r="F649" s="5">
        <v>5</v>
      </c>
      <c r="G649" s="5" t="s">
        <v>26</v>
      </c>
      <c r="H649" s="5">
        <v>2284140</v>
      </c>
      <c r="I649" s="5">
        <v>1949303.92</v>
      </c>
      <c r="J649" s="5">
        <v>41</v>
      </c>
      <c r="K649" s="5">
        <v>263468</v>
      </c>
      <c r="L649" s="5">
        <v>2538930</v>
      </c>
      <c r="M649" s="5">
        <v>334836.08</v>
      </c>
      <c r="N649" s="5">
        <v>0.14660000000000001</v>
      </c>
      <c r="O649" s="5">
        <v>2</v>
      </c>
      <c r="P649" s="5">
        <v>35356</v>
      </c>
    </row>
    <row r="650" spans="1:16" x14ac:dyDescent="0.3">
      <c r="A650" s="5">
        <v>89</v>
      </c>
      <c r="B650" s="5" t="s">
        <v>110</v>
      </c>
      <c r="C650" s="5">
        <v>2</v>
      </c>
      <c r="D650" s="5" t="s">
        <v>88</v>
      </c>
      <c r="E650" s="5">
        <v>2021</v>
      </c>
      <c r="F650" s="5">
        <v>5</v>
      </c>
      <c r="G650" s="5" t="s">
        <v>26</v>
      </c>
      <c r="H650" s="5">
        <v>1185559</v>
      </c>
      <c r="I650" s="5">
        <v>1011599.1</v>
      </c>
      <c r="J650" s="5">
        <v>22</v>
      </c>
      <c r="K650" s="5">
        <v>128443</v>
      </c>
      <c r="L650" s="5">
        <v>1311990</v>
      </c>
      <c r="M650" s="5">
        <v>173959.9</v>
      </c>
      <c r="N650" s="5">
        <v>0.1467</v>
      </c>
      <c r="O650" s="5">
        <v>2</v>
      </c>
      <c r="P650" s="5">
        <v>18110</v>
      </c>
    </row>
    <row r="651" spans="1:16" x14ac:dyDescent="0.3">
      <c r="A651" s="5">
        <v>103</v>
      </c>
      <c r="B651" s="5" t="s">
        <v>110</v>
      </c>
      <c r="C651" s="5">
        <v>2</v>
      </c>
      <c r="D651" s="5" t="s">
        <v>88</v>
      </c>
      <c r="E651" s="5">
        <v>2021</v>
      </c>
      <c r="F651" s="5">
        <v>5</v>
      </c>
      <c r="G651" s="5" t="s">
        <v>26</v>
      </c>
      <c r="H651" s="5">
        <v>3153467</v>
      </c>
      <c r="I651" s="5">
        <v>2717885.85</v>
      </c>
      <c r="J651" s="5">
        <v>50</v>
      </c>
      <c r="K651" s="5">
        <v>343363</v>
      </c>
      <c r="L651" s="5">
        <v>3479600</v>
      </c>
      <c r="M651" s="5">
        <v>435581.15</v>
      </c>
      <c r="N651" s="5">
        <v>0.1381</v>
      </c>
      <c r="O651" s="5">
        <v>2</v>
      </c>
      <c r="P651" s="5">
        <v>8265</v>
      </c>
    </row>
    <row r="652" spans="1:16" x14ac:dyDescent="0.3">
      <c r="A652" s="5">
        <v>114</v>
      </c>
      <c r="B652" s="5" t="s">
        <v>110</v>
      </c>
      <c r="C652" s="5">
        <v>2</v>
      </c>
      <c r="D652" s="5" t="s">
        <v>88</v>
      </c>
      <c r="E652" s="5">
        <v>2021</v>
      </c>
      <c r="F652" s="5">
        <v>5</v>
      </c>
      <c r="G652" s="5" t="s">
        <v>26</v>
      </c>
      <c r="H652" s="5">
        <v>1601657</v>
      </c>
      <c r="I652" s="5">
        <v>1404710.44</v>
      </c>
      <c r="J652" s="5">
        <v>30</v>
      </c>
      <c r="K652" s="5">
        <v>225258</v>
      </c>
      <c r="L652" s="5">
        <v>1817800</v>
      </c>
      <c r="M652" s="5">
        <v>196946.56</v>
      </c>
      <c r="N652" s="5">
        <v>0.123</v>
      </c>
      <c r="O652" s="5">
        <v>1</v>
      </c>
      <c r="P652" s="5">
        <v>4317</v>
      </c>
    </row>
    <row r="653" spans="1:16" x14ac:dyDescent="0.3">
      <c r="A653" s="5">
        <v>11</v>
      </c>
      <c r="B653" s="5" t="s">
        <v>110</v>
      </c>
      <c r="C653" s="5">
        <v>2</v>
      </c>
      <c r="D653" s="5" t="s">
        <v>88</v>
      </c>
      <c r="E653" s="5">
        <v>2021</v>
      </c>
      <c r="F653" s="5">
        <v>6</v>
      </c>
      <c r="G653" s="5" t="s">
        <v>27</v>
      </c>
      <c r="H653" s="5">
        <v>2111766</v>
      </c>
      <c r="I653" s="5">
        <v>1811506.8</v>
      </c>
      <c r="J653" s="5">
        <v>28</v>
      </c>
      <c r="K653" s="5">
        <v>178460</v>
      </c>
      <c r="L653" s="5">
        <v>2284920</v>
      </c>
      <c r="M653" s="5">
        <v>300259.20000000001</v>
      </c>
      <c r="N653" s="5">
        <v>0.14219999999999999</v>
      </c>
      <c r="O653" s="5">
        <v>1</v>
      </c>
      <c r="P653" s="5">
        <v>4052</v>
      </c>
    </row>
    <row r="654" spans="1:16" x14ac:dyDescent="0.3">
      <c r="A654" s="5">
        <v>65</v>
      </c>
      <c r="B654" s="5" t="s">
        <v>110</v>
      </c>
      <c r="C654" s="5">
        <v>2</v>
      </c>
      <c r="D654" s="5" t="s">
        <v>88</v>
      </c>
      <c r="E654" s="5">
        <v>2021</v>
      </c>
      <c r="F654" s="5">
        <v>6</v>
      </c>
      <c r="G654" s="5" t="s">
        <v>27</v>
      </c>
      <c r="H654" s="5">
        <v>2238435</v>
      </c>
      <c r="I654" s="5">
        <v>1776470.93</v>
      </c>
      <c r="J654" s="5">
        <v>32</v>
      </c>
      <c r="K654" s="5">
        <v>97953</v>
      </c>
      <c r="L654" s="5">
        <v>2327180</v>
      </c>
      <c r="M654" s="5">
        <v>461964.07</v>
      </c>
      <c r="N654" s="5">
        <v>0.2064</v>
      </c>
      <c r="O654" s="5">
        <v>3</v>
      </c>
      <c r="P654" s="5">
        <v>23144</v>
      </c>
    </row>
    <row r="655" spans="1:16" x14ac:dyDescent="0.3">
      <c r="A655" s="5">
        <v>89</v>
      </c>
      <c r="B655" s="5" t="s">
        <v>110</v>
      </c>
      <c r="C655" s="5">
        <v>2</v>
      </c>
      <c r="D655" s="5" t="s">
        <v>88</v>
      </c>
      <c r="E655" s="5">
        <v>2021</v>
      </c>
      <c r="F655" s="5">
        <v>6</v>
      </c>
      <c r="G655" s="5" t="s">
        <v>27</v>
      </c>
      <c r="H655" s="5">
        <v>2001578</v>
      </c>
      <c r="I655" s="5">
        <v>1816267.47</v>
      </c>
      <c r="J655" s="5">
        <v>24</v>
      </c>
      <c r="K655" s="5">
        <v>289297</v>
      </c>
      <c r="L655" s="5">
        <v>2288040</v>
      </c>
      <c r="M655" s="5">
        <v>185310.53</v>
      </c>
      <c r="N655" s="5">
        <v>9.2600000000000002E-2</v>
      </c>
      <c r="O655" s="5">
        <v>3</v>
      </c>
      <c r="P655" s="5">
        <v>98441</v>
      </c>
    </row>
    <row r="656" spans="1:16" x14ac:dyDescent="0.3">
      <c r="A656" s="5">
        <v>103</v>
      </c>
      <c r="B656" s="5" t="s">
        <v>110</v>
      </c>
      <c r="C656" s="5">
        <v>2</v>
      </c>
      <c r="D656" s="5" t="s">
        <v>88</v>
      </c>
      <c r="E656" s="5">
        <v>2021</v>
      </c>
      <c r="F656" s="5">
        <v>6</v>
      </c>
      <c r="G656" s="5" t="s">
        <v>27</v>
      </c>
      <c r="H656" s="5">
        <v>1964651</v>
      </c>
      <c r="I656" s="5">
        <v>1683316.56</v>
      </c>
      <c r="J656" s="5">
        <v>38</v>
      </c>
      <c r="K656" s="5">
        <v>234925</v>
      </c>
      <c r="L656" s="5">
        <v>2192210</v>
      </c>
      <c r="M656" s="5">
        <v>281334.44</v>
      </c>
      <c r="N656" s="5">
        <v>0.14319999999999999</v>
      </c>
      <c r="O656" s="5">
        <v>3</v>
      </c>
      <c r="P656" s="5">
        <v>69115</v>
      </c>
    </row>
    <row r="657" spans="1:16" x14ac:dyDescent="0.3">
      <c r="A657" s="5">
        <v>114</v>
      </c>
      <c r="B657" s="5" t="s">
        <v>110</v>
      </c>
      <c r="C657" s="5">
        <v>2</v>
      </c>
      <c r="D657" s="5" t="s">
        <v>88</v>
      </c>
      <c r="E657" s="5">
        <v>2021</v>
      </c>
      <c r="F657" s="5">
        <v>6</v>
      </c>
      <c r="G657" s="5" t="s">
        <v>27</v>
      </c>
      <c r="H657" s="5">
        <v>2033182</v>
      </c>
      <c r="I657" s="5">
        <v>1900416.46</v>
      </c>
      <c r="J657" s="5">
        <v>26</v>
      </c>
      <c r="K657" s="5">
        <v>338914</v>
      </c>
      <c r="L657" s="5">
        <v>2356870</v>
      </c>
      <c r="M657" s="5">
        <v>132765.54</v>
      </c>
      <c r="N657" s="5">
        <v>6.5299999999999997E-2</v>
      </c>
      <c r="O657" s="5">
        <v>4</v>
      </c>
      <c r="P657" s="5">
        <v>100991</v>
      </c>
    </row>
    <row r="658" spans="1:16" x14ac:dyDescent="0.3">
      <c r="A658" s="5">
        <v>11</v>
      </c>
      <c r="B658" s="5" t="s">
        <v>110</v>
      </c>
      <c r="C658" s="5">
        <v>2</v>
      </c>
      <c r="D658" s="5" t="s">
        <v>88</v>
      </c>
      <c r="E658" s="5">
        <v>2021</v>
      </c>
      <c r="F658" s="5">
        <v>7</v>
      </c>
      <c r="G658" s="5" t="s">
        <v>28</v>
      </c>
      <c r="H658" s="5">
        <v>1670959</v>
      </c>
      <c r="I658" s="5">
        <v>1483630.14</v>
      </c>
      <c r="J658" s="5">
        <v>30</v>
      </c>
      <c r="K658" s="5">
        <v>223939</v>
      </c>
      <c r="L658" s="5">
        <v>1890530</v>
      </c>
      <c r="M658" s="5">
        <v>187328.86</v>
      </c>
      <c r="N658" s="5">
        <v>0.11210000000000001</v>
      </c>
      <c r="O658" s="5">
        <v>4</v>
      </c>
      <c r="P658" s="5">
        <v>17544</v>
      </c>
    </row>
    <row r="659" spans="1:16" x14ac:dyDescent="0.3">
      <c r="A659" s="5">
        <v>65</v>
      </c>
      <c r="B659" s="5" t="s">
        <v>110</v>
      </c>
      <c r="C659" s="5">
        <v>2</v>
      </c>
      <c r="D659" s="5" t="s">
        <v>88</v>
      </c>
      <c r="E659" s="5">
        <v>2021</v>
      </c>
      <c r="F659" s="5">
        <v>7</v>
      </c>
      <c r="G659" s="5" t="s">
        <v>28</v>
      </c>
      <c r="H659" s="5">
        <v>1528778</v>
      </c>
      <c r="I659" s="5">
        <v>1372040.66</v>
      </c>
      <c r="J659" s="5">
        <v>30</v>
      </c>
      <c r="K659" s="5">
        <v>279344</v>
      </c>
      <c r="L659" s="5">
        <v>1804640</v>
      </c>
      <c r="M659" s="5">
        <v>156737.34</v>
      </c>
      <c r="N659" s="5">
        <v>0.10249999999999999</v>
      </c>
      <c r="O659" s="5">
        <v>0</v>
      </c>
      <c r="P659" s="5">
        <v>0</v>
      </c>
    </row>
    <row r="660" spans="1:16" x14ac:dyDescent="0.3">
      <c r="A660" s="5">
        <v>89</v>
      </c>
      <c r="B660" s="5" t="s">
        <v>110</v>
      </c>
      <c r="C660" s="5">
        <v>2</v>
      </c>
      <c r="D660" s="5" t="s">
        <v>88</v>
      </c>
      <c r="E660" s="5">
        <v>2021</v>
      </c>
      <c r="F660" s="5">
        <v>7</v>
      </c>
      <c r="G660" s="5" t="s">
        <v>28</v>
      </c>
      <c r="H660" s="5">
        <v>2123412</v>
      </c>
      <c r="I660" s="5">
        <v>1943871.09</v>
      </c>
      <c r="J660" s="5">
        <v>27</v>
      </c>
      <c r="K660" s="5">
        <v>396690</v>
      </c>
      <c r="L660" s="5">
        <v>2518480</v>
      </c>
      <c r="M660" s="5">
        <v>179540.91</v>
      </c>
      <c r="N660" s="5">
        <v>8.4599999999999995E-2</v>
      </c>
      <c r="O660" s="5">
        <v>3</v>
      </c>
      <c r="P660" s="5">
        <v>44589</v>
      </c>
    </row>
    <row r="661" spans="1:16" x14ac:dyDescent="0.3">
      <c r="A661" s="5">
        <v>103</v>
      </c>
      <c r="B661" s="5" t="s">
        <v>110</v>
      </c>
      <c r="C661" s="5">
        <v>2</v>
      </c>
      <c r="D661" s="5" t="s">
        <v>88</v>
      </c>
      <c r="E661" s="5">
        <v>2021</v>
      </c>
      <c r="F661" s="5">
        <v>7</v>
      </c>
      <c r="G661" s="5" t="s">
        <v>28</v>
      </c>
      <c r="H661" s="5">
        <v>3724052</v>
      </c>
      <c r="I661" s="5">
        <v>3369160.24</v>
      </c>
      <c r="J661" s="5">
        <v>44</v>
      </c>
      <c r="K661" s="5">
        <v>605704</v>
      </c>
      <c r="L661" s="5">
        <v>4318580</v>
      </c>
      <c r="M661" s="5">
        <v>354891.76</v>
      </c>
      <c r="N661" s="5">
        <v>9.5299999999999996E-2</v>
      </c>
      <c r="O661" s="5">
        <v>8</v>
      </c>
      <c r="P661" s="5">
        <v>125039</v>
      </c>
    </row>
    <row r="662" spans="1:16" x14ac:dyDescent="0.3">
      <c r="A662" s="5">
        <v>114</v>
      </c>
      <c r="B662" s="5" t="s">
        <v>110</v>
      </c>
      <c r="C662" s="5">
        <v>2</v>
      </c>
      <c r="D662" s="5" t="s">
        <v>88</v>
      </c>
      <c r="E662" s="5">
        <v>2021</v>
      </c>
      <c r="F662" s="5">
        <v>7</v>
      </c>
      <c r="G662" s="5" t="s">
        <v>28</v>
      </c>
      <c r="H662" s="5">
        <v>2753667</v>
      </c>
      <c r="I662" s="5">
        <v>2507116.71</v>
      </c>
      <c r="J662" s="5">
        <v>30</v>
      </c>
      <c r="K662" s="5">
        <v>402182</v>
      </c>
      <c r="L662" s="5">
        <v>3153080</v>
      </c>
      <c r="M662" s="5">
        <v>246550.29</v>
      </c>
      <c r="N662" s="5">
        <v>8.9499999999999996E-2</v>
      </c>
      <c r="O662" s="5">
        <v>2</v>
      </c>
      <c r="P662" s="5">
        <v>87790</v>
      </c>
    </row>
    <row r="663" spans="1:16" x14ac:dyDescent="0.3">
      <c r="A663" s="5">
        <v>11</v>
      </c>
      <c r="B663" s="5" t="s">
        <v>110</v>
      </c>
      <c r="C663" s="5">
        <v>2</v>
      </c>
      <c r="D663" s="5" t="s">
        <v>88</v>
      </c>
      <c r="E663" s="5">
        <v>2021</v>
      </c>
      <c r="F663" s="5">
        <v>8</v>
      </c>
      <c r="G663" s="5" t="s">
        <v>29</v>
      </c>
      <c r="H663" s="5">
        <v>2491873</v>
      </c>
      <c r="I663" s="5">
        <v>2190529.31</v>
      </c>
      <c r="J663" s="5">
        <v>26</v>
      </c>
      <c r="K663" s="5">
        <v>280040</v>
      </c>
      <c r="L663" s="5">
        <v>2764420</v>
      </c>
      <c r="M663" s="5">
        <v>301343.69</v>
      </c>
      <c r="N663" s="5">
        <v>0.12089999999999999</v>
      </c>
      <c r="O663" s="5">
        <v>4</v>
      </c>
      <c r="P663" s="5">
        <v>149055</v>
      </c>
    </row>
    <row r="664" spans="1:16" x14ac:dyDescent="0.3">
      <c r="A664" s="5">
        <v>65</v>
      </c>
      <c r="B664" s="5" t="s">
        <v>110</v>
      </c>
      <c r="C664" s="5">
        <v>2</v>
      </c>
      <c r="D664" s="5" t="s">
        <v>88</v>
      </c>
      <c r="E664" s="5">
        <v>2021</v>
      </c>
      <c r="F664" s="5">
        <v>8</v>
      </c>
      <c r="G664" s="5" t="s">
        <v>29</v>
      </c>
      <c r="H664" s="5">
        <v>2081932</v>
      </c>
      <c r="I664" s="5">
        <v>1739513.37</v>
      </c>
      <c r="J664" s="5">
        <v>26</v>
      </c>
      <c r="K664" s="5">
        <v>199364</v>
      </c>
      <c r="L664" s="5">
        <v>2272670</v>
      </c>
      <c r="M664" s="5">
        <v>342418.63</v>
      </c>
      <c r="N664" s="5">
        <v>0.16450000000000001</v>
      </c>
      <c r="O664" s="5">
        <v>3</v>
      </c>
      <c r="P664" s="5">
        <v>162320</v>
      </c>
    </row>
    <row r="665" spans="1:16" x14ac:dyDescent="0.3">
      <c r="A665" s="5">
        <v>89</v>
      </c>
      <c r="B665" s="5" t="s">
        <v>110</v>
      </c>
      <c r="C665" s="5">
        <v>2</v>
      </c>
      <c r="D665" s="5" t="s">
        <v>88</v>
      </c>
      <c r="E665" s="5">
        <v>2021</v>
      </c>
      <c r="F665" s="5">
        <v>8</v>
      </c>
      <c r="G665" s="5" t="s">
        <v>29</v>
      </c>
      <c r="H665" s="5">
        <v>2396509</v>
      </c>
      <c r="I665" s="5">
        <v>2051306.62</v>
      </c>
      <c r="J665" s="5">
        <v>28</v>
      </c>
      <c r="K665" s="5">
        <v>211260</v>
      </c>
      <c r="L665" s="5">
        <v>2605030</v>
      </c>
      <c r="M665" s="5">
        <v>345202.38</v>
      </c>
      <c r="N665" s="5">
        <v>0.14399999999999999</v>
      </c>
      <c r="O665" s="5">
        <v>5</v>
      </c>
      <c r="P665" s="5">
        <v>314684</v>
      </c>
    </row>
    <row r="666" spans="1:16" x14ac:dyDescent="0.3">
      <c r="A666" s="5">
        <v>103</v>
      </c>
      <c r="B666" s="5" t="s">
        <v>110</v>
      </c>
      <c r="C666" s="5">
        <v>2</v>
      </c>
      <c r="D666" s="5" t="s">
        <v>88</v>
      </c>
      <c r="E666" s="5">
        <v>2021</v>
      </c>
      <c r="F666" s="5">
        <v>8</v>
      </c>
      <c r="G666" s="5" t="s">
        <v>29</v>
      </c>
      <c r="H666" s="5">
        <v>4473096</v>
      </c>
      <c r="I666" s="5">
        <v>3745468.19</v>
      </c>
      <c r="J666" s="5">
        <v>42</v>
      </c>
      <c r="K666" s="5">
        <v>262471</v>
      </c>
      <c r="L666" s="5">
        <v>4719280</v>
      </c>
      <c r="M666" s="5">
        <v>727627.81</v>
      </c>
      <c r="N666" s="5">
        <v>0.16270000000000001</v>
      </c>
      <c r="O666" s="5">
        <v>4</v>
      </c>
      <c r="P666" s="5">
        <v>113270</v>
      </c>
    </row>
    <row r="667" spans="1:16" x14ac:dyDescent="0.3">
      <c r="A667" s="5">
        <v>114</v>
      </c>
      <c r="B667" s="5" t="s">
        <v>110</v>
      </c>
      <c r="C667" s="5">
        <v>2</v>
      </c>
      <c r="D667" s="5" t="s">
        <v>88</v>
      </c>
      <c r="E667" s="5">
        <v>2021</v>
      </c>
      <c r="F667" s="5">
        <v>8</v>
      </c>
      <c r="G667" s="5" t="s">
        <v>29</v>
      </c>
      <c r="H667" s="5">
        <v>1773025</v>
      </c>
      <c r="I667" s="5">
        <v>1510267.28</v>
      </c>
      <c r="J667" s="5">
        <v>31</v>
      </c>
      <c r="K667" s="5">
        <v>180738</v>
      </c>
      <c r="L667" s="5">
        <v>1949390</v>
      </c>
      <c r="M667" s="5">
        <v>262757.71999999997</v>
      </c>
      <c r="N667" s="5">
        <v>0.1482</v>
      </c>
      <c r="O667" s="5">
        <v>3</v>
      </c>
      <c r="P667" s="5">
        <v>110835</v>
      </c>
    </row>
    <row r="668" spans="1:16" x14ac:dyDescent="0.3">
      <c r="A668" s="5">
        <v>11</v>
      </c>
      <c r="B668" s="5" t="s">
        <v>110</v>
      </c>
      <c r="C668" s="5">
        <v>2</v>
      </c>
      <c r="D668" s="5" t="s">
        <v>88</v>
      </c>
      <c r="E668" s="5">
        <v>2021</v>
      </c>
      <c r="F668" s="5">
        <v>9</v>
      </c>
      <c r="G668" s="5" t="s">
        <v>30</v>
      </c>
      <c r="H668" s="5">
        <v>1691650</v>
      </c>
      <c r="I668" s="5">
        <v>1459087.58</v>
      </c>
      <c r="J668" s="5">
        <v>25</v>
      </c>
      <c r="K668" s="5">
        <v>171026</v>
      </c>
      <c r="L668" s="5">
        <v>1854560</v>
      </c>
      <c r="M668" s="5">
        <v>232562.42</v>
      </c>
      <c r="N668" s="5">
        <v>0.13750000000000001</v>
      </c>
      <c r="O668" s="5">
        <v>1</v>
      </c>
      <c r="P668" s="5">
        <v>10641</v>
      </c>
    </row>
    <row r="669" spans="1:16" x14ac:dyDescent="0.3">
      <c r="A669" s="5">
        <v>65</v>
      </c>
      <c r="B669" s="5" t="s">
        <v>110</v>
      </c>
      <c r="C669" s="5">
        <v>2</v>
      </c>
      <c r="D669" s="5" t="s">
        <v>88</v>
      </c>
      <c r="E669" s="5">
        <v>2021</v>
      </c>
      <c r="F669" s="5">
        <v>9</v>
      </c>
      <c r="G669" s="5" t="s">
        <v>30</v>
      </c>
      <c r="H669" s="5">
        <v>3331087</v>
      </c>
      <c r="I669" s="5">
        <v>2735500.93</v>
      </c>
      <c r="J669" s="5">
        <v>47</v>
      </c>
      <c r="K669" s="5">
        <v>278322</v>
      </c>
      <c r="L669" s="5">
        <v>3586650</v>
      </c>
      <c r="M669" s="5">
        <v>595586.06999999995</v>
      </c>
      <c r="N669" s="5">
        <v>0.17879999999999999</v>
      </c>
      <c r="O669" s="5">
        <v>2</v>
      </c>
      <c r="P669" s="5">
        <v>93044</v>
      </c>
    </row>
    <row r="670" spans="1:16" x14ac:dyDescent="0.3">
      <c r="A670" s="5">
        <v>89</v>
      </c>
      <c r="B670" s="5" t="s">
        <v>110</v>
      </c>
      <c r="C670" s="5">
        <v>2</v>
      </c>
      <c r="D670" s="5" t="s">
        <v>88</v>
      </c>
      <c r="E670" s="5">
        <v>2021</v>
      </c>
      <c r="F670" s="5">
        <v>9</v>
      </c>
      <c r="G670" s="5" t="s">
        <v>30</v>
      </c>
      <c r="H670" s="5">
        <v>2161218</v>
      </c>
      <c r="I670" s="5">
        <v>1775462.13</v>
      </c>
      <c r="J670" s="5">
        <v>25</v>
      </c>
      <c r="K670" s="5">
        <v>87337</v>
      </c>
      <c r="L670" s="5">
        <v>2230080</v>
      </c>
      <c r="M670" s="5">
        <v>385755.87</v>
      </c>
      <c r="N670" s="5">
        <v>0.17849999999999999</v>
      </c>
      <c r="O670" s="5">
        <v>2</v>
      </c>
      <c r="P670" s="5">
        <v>20574</v>
      </c>
    </row>
    <row r="671" spans="1:16" x14ac:dyDescent="0.3">
      <c r="A671" s="5">
        <v>103</v>
      </c>
      <c r="B671" s="5" t="s">
        <v>110</v>
      </c>
      <c r="C671" s="5">
        <v>2</v>
      </c>
      <c r="D671" s="5" t="s">
        <v>88</v>
      </c>
      <c r="E671" s="5">
        <v>2021</v>
      </c>
      <c r="F671" s="5">
        <v>9</v>
      </c>
      <c r="G671" s="5" t="s">
        <v>30</v>
      </c>
      <c r="H671" s="5">
        <v>2710245</v>
      </c>
      <c r="I671" s="5">
        <v>2301465.44</v>
      </c>
      <c r="J671" s="5">
        <v>50</v>
      </c>
      <c r="K671" s="5">
        <v>299751</v>
      </c>
      <c r="L671" s="5">
        <v>3001270</v>
      </c>
      <c r="M671" s="5">
        <v>408779.56</v>
      </c>
      <c r="N671" s="5">
        <v>0.15079999999999999</v>
      </c>
      <c r="O671" s="5">
        <v>7</v>
      </c>
      <c r="P671" s="5">
        <v>94264</v>
      </c>
    </row>
    <row r="672" spans="1:16" x14ac:dyDescent="0.3">
      <c r="A672" s="5">
        <v>114</v>
      </c>
      <c r="B672" s="5" t="s">
        <v>110</v>
      </c>
      <c r="C672" s="5">
        <v>2</v>
      </c>
      <c r="D672" s="5" t="s">
        <v>88</v>
      </c>
      <c r="E672" s="5">
        <v>2021</v>
      </c>
      <c r="F672" s="5">
        <v>9</v>
      </c>
      <c r="G672" s="5" t="s">
        <v>30</v>
      </c>
      <c r="H672" s="5">
        <v>2048156</v>
      </c>
      <c r="I672" s="5">
        <v>1759543.35</v>
      </c>
      <c r="J672" s="5">
        <v>30</v>
      </c>
      <c r="K672" s="5">
        <v>214423</v>
      </c>
      <c r="L672" s="5">
        <v>2253320</v>
      </c>
      <c r="M672" s="5">
        <v>288612.65000000002</v>
      </c>
      <c r="N672" s="5">
        <v>0.1409</v>
      </c>
      <c r="O672" s="5">
        <v>0</v>
      </c>
      <c r="P672" s="5">
        <v>0</v>
      </c>
    </row>
    <row r="673" spans="1:16" x14ac:dyDescent="0.3">
      <c r="A673" s="5">
        <v>11</v>
      </c>
      <c r="B673" s="5" t="s">
        <v>110</v>
      </c>
      <c r="C673" s="5">
        <v>2</v>
      </c>
      <c r="D673" s="5" t="s">
        <v>88</v>
      </c>
      <c r="E673" s="5">
        <v>2021</v>
      </c>
      <c r="F673" s="5">
        <v>10</v>
      </c>
      <c r="G673" s="5" t="s">
        <v>31</v>
      </c>
      <c r="H673" s="5">
        <v>2019895</v>
      </c>
      <c r="I673" s="5">
        <v>1687635.23</v>
      </c>
      <c r="J673" s="5">
        <v>37</v>
      </c>
      <c r="K673" s="5">
        <v>190317</v>
      </c>
      <c r="L673" s="5">
        <v>2198550</v>
      </c>
      <c r="M673" s="5">
        <v>332259.77</v>
      </c>
      <c r="N673" s="5">
        <v>0.16450000000000001</v>
      </c>
      <c r="O673" s="5">
        <v>3</v>
      </c>
      <c r="P673" s="5">
        <v>32000</v>
      </c>
    </row>
    <row r="674" spans="1:16" x14ac:dyDescent="0.3">
      <c r="A674" s="5">
        <v>65</v>
      </c>
      <c r="B674" s="5" t="s">
        <v>110</v>
      </c>
      <c r="C674" s="5">
        <v>2</v>
      </c>
      <c r="D674" s="5" t="s">
        <v>88</v>
      </c>
      <c r="E674" s="5">
        <v>2021</v>
      </c>
      <c r="F674" s="5">
        <v>10</v>
      </c>
      <c r="G674" s="5" t="s">
        <v>31</v>
      </c>
      <c r="H674" s="5">
        <v>2562590</v>
      </c>
      <c r="I674" s="5">
        <v>2098760.2799999998</v>
      </c>
      <c r="J674" s="5">
        <v>48</v>
      </c>
      <c r="K674" s="5">
        <v>200735</v>
      </c>
      <c r="L674" s="5">
        <v>2748700</v>
      </c>
      <c r="M674" s="5">
        <v>463829.72</v>
      </c>
      <c r="N674" s="5">
        <v>0.18099999999999999</v>
      </c>
      <c r="O674" s="5">
        <v>1</v>
      </c>
      <c r="P674" s="5">
        <v>2997</v>
      </c>
    </row>
    <row r="675" spans="1:16" x14ac:dyDescent="0.3">
      <c r="A675" s="5">
        <v>89</v>
      </c>
      <c r="B675" s="5" t="s">
        <v>110</v>
      </c>
      <c r="C675" s="5">
        <v>2</v>
      </c>
      <c r="D675" s="5" t="s">
        <v>88</v>
      </c>
      <c r="E675" s="5">
        <v>2021</v>
      </c>
      <c r="F675" s="5">
        <v>10</v>
      </c>
      <c r="G675" s="5" t="s">
        <v>31</v>
      </c>
      <c r="H675" s="5">
        <v>3210494</v>
      </c>
      <c r="I675" s="5">
        <v>2792689.01</v>
      </c>
      <c r="J675" s="5">
        <v>47</v>
      </c>
      <c r="K675" s="5">
        <v>369124</v>
      </c>
      <c r="L675" s="5">
        <v>3567860</v>
      </c>
      <c r="M675" s="5">
        <v>417804.99</v>
      </c>
      <c r="N675" s="5">
        <v>0.13009999999999999</v>
      </c>
      <c r="O675" s="5">
        <v>5</v>
      </c>
      <c r="P675" s="5">
        <v>158874</v>
      </c>
    </row>
    <row r="676" spans="1:16" x14ac:dyDescent="0.3">
      <c r="A676" s="5">
        <v>103</v>
      </c>
      <c r="B676" s="5" t="s">
        <v>110</v>
      </c>
      <c r="C676" s="5">
        <v>2</v>
      </c>
      <c r="D676" s="5" t="s">
        <v>88</v>
      </c>
      <c r="E676" s="5">
        <v>2021</v>
      </c>
      <c r="F676" s="5">
        <v>10</v>
      </c>
      <c r="G676" s="5" t="s">
        <v>31</v>
      </c>
      <c r="H676" s="5">
        <v>5836435</v>
      </c>
      <c r="I676" s="5">
        <v>4892453.3099999996</v>
      </c>
      <c r="J676" s="5">
        <v>71</v>
      </c>
      <c r="K676" s="5">
        <v>498288</v>
      </c>
      <c r="L676" s="5">
        <v>6318730</v>
      </c>
      <c r="M676" s="5">
        <v>943981.69</v>
      </c>
      <c r="N676" s="5">
        <v>0.16170000000000001</v>
      </c>
      <c r="O676" s="5">
        <v>5</v>
      </c>
      <c r="P676" s="5">
        <v>279275</v>
      </c>
    </row>
    <row r="677" spans="1:16" x14ac:dyDescent="0.3">
      <c r="A677" s="5">
        <v>114</v>
      </c>
      <c r="B677" s="5" t="s">
        <v>110</v>
      </c>
      <c r="C677" s="5">
        <v>2</v>
      </c>
      <c r="D677" s="5" t="s">
        <v>88</v>
      </c>
      <c r="E677" s="5">
        <v>2021</v>
      </c>
      <c r="F677" s="5">
        <v>10</v>
      </c>
      <c r="G677" s="5" t="s">
        <v>31</v>
      </c>
      <c r="H677" s="5">
        <v>2911193</v>
      </c>
      <c r="I677" s="5">
        <v>2457604.63</v>
      </c>
      <c r="J677" s="5">
        <v>47</v>
      </c>
      <c r="K677" s="5">
        <v>236416</v>
      </c>
      <c r="L677" s="5">
        <v>3133890</v>
      </c>
      <c r="M677" s="5">
        <v>453588.37</v>
      </c>
      <c r="N677" s="5">
        <v>0.15579999999999999</v>
      </c>
      <c r="O677" s="5">
        <v>5</v>
      </c>
      <c r="P677" s="5">
        <v>43916</v>
      </c>
    </row>
    <row r="678" spans="1:16" x14ac:dyDescent="0.3">
      <c r="A678" s="5">
        <v>11</v>
      </c>
      <c r="B678" s="5" t="s">
        <v>110</v>
      </c>
      <c r="C678" s="5">
        <v>2</v>
      </c>
      <c r="D678" s="5" t="s">
        <v>88</v>
      </c>
      <c r="E678" s="5">
        <v>2021</v>
      </c>
      <c r="F678" s="5">
        <v>11</v>
      </c>
      <c r="G678" s="5" t="s">
        <v>32</v>
      </c>
      <c r="H678" s="5">
        <v>3306362</v>
      </c>
      <c r="I678" s="5">
        <v>2666430.09</v>
      </c>
      <c r="J678" s="5">
        <v>45</v>
      </c>
      <c r="K678" s="5">
        <v>107298</v>
      </c>
      <c r="L678" s="5">
        <v>3398070</v>
      </c>
      <c r="M678" s="5">
        <v>639931.91</v>
      </c>
      <c r="N678" s="5">
        <v>0.19350000000000001</v>
      </c>
      <c r="O678" s="5">
        <v>5</v>
      </c>
      <c r="P678" s="5">
        <v>132401</v>
      </c>
    </row>
    <row r="679" spans="1:16" x14ac:dyDescent="0.3">
      <c r="A679" s="5">
        <v>65</v>
      </c>
      <c r="B679" s="5" t="s">
        <v>110</v>
      </c>
      <c r="C679" s="5">
        <v>2</v>
      </c>
      <c r="D679" s="5" t="s">
        <v>88</v>
      </c>
      <c r="E679" s="5">
        <v>2021</v>
      </c>
      <c r="F679" s="5">
        <v>11</v>
      </c>
      <c r="G679" s="5" t="s">
        <v>32</v>
      </c>
      <c r="H679" s="5">
        <v>2845329</v>
      </c>
      <c r="I679" s="5">
        <v>2383415.38</v>
      </c>
      <c r="J679" s="5">
        <v>49</v>
      </c>
      <c r="K679" s="5">
        <v>158521</v>
      </c>
      <c r="L679" s="5">
        <v>2988760</v>
      </c>
      <c r="M679" s="5">
        <v>461913.62</v>
      </c>
      <c r="N679" s="5">
        <v>0.1623</v>
      </c>
      <c r="O679" s="5">
        <v>2</v>
      </c>
      <c r="P679" s="5">
        <v>315571</v>
      </c>
    </row>
    <row r="680" spans="1:16" x14ac:dyDescent="0.3">
      <c r="A680" s="5">
        <v>89</v>
      </c>
      <c r="B680" s="5" t="s">
        <v>110</v>
      </c>
      <c r="C680" s="5">
        <v>2</v>
      </c>
      <c r="D680" s="5" t="s">
        <v>88</v>
      </c>
      <c r="E680" s="5">
        <v>2021</v>
      </c>
      <c r="F680" s="5">
        <v>11</v>
      </c>
      <c r="G680" s="5" t="s">
        <v>32</v>
      </c>
      <c r="H680" s="5">
        <v>3482326</v>
      </c>
      <c r="I680" s="5">
        <v>2836592.5</v>
      </c>
      <c r="J680" s="5">
        <v>46</v>
      </c>
      <c r="K680" s="5">
        <v>197388</v>
      </c>
      <c r="L680" s="5">
        <v>3670440</v>
      </c>
      <c r="M680" s="5">
        <v>645733.5</v>
      </c>
      <c r="N680" s="5">
        <v>0.18540000000000001</v>
      </c>
      <c r="O680" s="5">
        <v>2</v>
      </c>
      <c r="P680" s="5">
        <v>51390</v>
      </c>
    </row>
    <row r="681" spans="1:16" x14ac:dyDescent="0.3">
      <c r="A681" s="5">
        <v>103</v>
      </c>
      <c r="B681" s="5" t="s">
        <v>110</v>
      </c>
      <c r="C681" s="5">
        <v>2</v>
      </c>
      <c r="D681" s="5" t="s">
        <v>88</v>
      </c>
      <c r="E681" s="5">
        <v>2021</v>
      </c>
      <c r="F681" s="5">
        <v>11</v>
      </c>
      <c r="G681" s="5" t="s">
        <v>32</v>
      </c>
      <c r="H681" s="5">
        <v>2455901</v>
      </c>
      <c r="I681" s="5">
        <v>2050601.69</v>
      </c>
      <c r="J681" s="5">
        <v>45</v>
      </c>
      <c r="K681" s="5">
        <v>199522</v>
      </c>
      <c r="L681" s="5">
        <v>2646830</v>
      </c>
      <c r="M681" s="5">
        <v>405299.31</v>
      </c>
      <c r="N681" s="5">
        <v>0.16500000000000001</v>
      </c>
      <c r="O681" s="5">
        <v>6</v>
      </c>
      <c r="P681" s="5">
        <v>58380</v>
      </c>
    </row>
    <row r="682" spans="1:16" x14ac:dyDescent="0.3">
      <c r="A682" s="5">
        <v>114</v>
      </c>
      <c r="B682" s="5" t="s">
        <v>110</v>
      </c>
      <c r="C682" s="5">
        <v>2</v>
      </c>
      <c r="D682" s="5" t="s">
        <v>88</v>
      </c>
      <c r="E682" s="5">
        <v>2021</v>
      </c>
      <c r="F682" s="5">
        <v>11</v>
      </c>
      <c r="G682" s="5" t="s">
        <v>32</v>
      </c>
      <c r="H682" s="5">
        <v>3386925</v>
      </c>
      <c r="I682" s="5">
        <v>2838182.18</v>
      </c>
      <c r="J682" s="5">
        <v>49</v>
      </c>
      <c r="K682" s="5">
        <v>220906</v>
      </c>
      <c r="L682" s="5">
        <v>3597850</v>
      </c>
      <c r="M682" s="5">
        <v>548742.81999999995</v>
      </c>
      <c r="N682" s="5">
        <v>0.16200000000000001</v>
      </c>
      <c r="O682" s="5">
        <v>3</v>
      </c>
      <c r="P682" s="5">
        <v>71339</v>
      </c>
    </row>
    <row r="683" spans="1:16" x14ac:dyDescent="0.3">
      <c r="A683" s="5">
        <v>11</v>
      </c>
      <c r="B683" s="5" t="s">
        <v>110</v>
      </c>
      <c r="C683" s="5">
        <v>2</v>
      </c>
      <c r="D683" s="5" t="s">
        <v>88</v>
      </c>
      <c r="E683" s="5">
        <v>2021</v>
      </c>
      <c r="F683" s="5">
        <v>12</v>
      </c>
      <c r="G683" s="5" t="s">
        <v>33</v>
      </c>
      <c r="H683" s="5">
        <v>3496477</v>
      </c>
      <c r="I683" s="5">
        <v>2848116.96</v>
      </c>
      <c r="J683" s="5">
        <v>45</v>
      </c>
      <c r="K683" s="5">
        <v>193581</v>
      </c>
      <c r="L683" s="5">
        <v>3680430</v>
      </c>
      <c r="M683" s="5">
        <v>648360.04</v>
      </c>
      <c r="N683" s="5">
        <v>0.18540000000000001</v>
      </c>
      <c r="O683" s="5">
        <v>6</v>
      </c>
      <c r="P683" s="5">
        <v>216355</v>
      </c>
    </row>
    <row r="684" spans="1:16" x14ac:dyDescent="0.3">
      <c r="A684" s="5">
        <v>65</v>
      </c>
      <c r="B684" s="5" t="s">
        <v>110</v>
      </c>
      <c r="C684" s="5">
        <v>2</v>
      </c>
      <c r="D684" s="5" t="s">
        <v>88</v>
      </c>
      <c r="E684" s="5">
        <v>2021</v>
      </c>
      <c r="F684" s="5">
        <v>12</v>
      </c>
      <c r="G684" s="5" t="s">
        <v>33</v>
      </c>
      <c r="H684" s="5">
        <v>5369708</v>
      </c>
      <c r="I684" s="5">
        <v>4650834.29</v>
      </c>
      <c r="J684" s="5">
        <v>61</v>
      </c>
      <c r="K684" s="5">
        <v>583202</v>
      </c>
      <c r="L684" s="5">
        <v>5935670</v>
      </c>
      <c r="M684" s="5">
        <v>718873.71</v>
      </c>
      <c r="N684" s="5">
        <v>0.13389999999999999</v>
      </c>
      <c r="O684" s="5">
        <v>6</v>
      </c>
      <c r="P684" s="5">
        <v>381119</v>
      </c>
    </row>
    <row r="685" spans="1:16" x14ac:dyDescent="0.3">
      <c r="A685" s="5">
        <v>89</v>
      </c>
      <c r="B685" s="5" t="s">
        <v>110</v>
      </c>
      <c r="C685" s="5">
        <v>2</v>
      </c>
      <c r="D685" s="5" t="s">
        <v>88</v>
      </c>
      <c r="E685" s="5">
        <v>2021</v>
      </c>
      <c r="F685" s="5">
        <v>12</v>
      </c>
      <c r="G685" s="5" t="s">
        <v>33</v>
      </c>
      <c r="H685" s="5">
        <v>2696375</v>
      </c>
      <c r="I685" s="5">
        <v>2401232.56</v>
      </c>
      <c r="J685" s="5">
        <v>31</v>
      </c>
      <c r="K685" s="5">
        <v>259387</v>
      </c>
      <c r="L685" s="5">
        <v>2949370</v>
      </c>
      <c r="M685" s="5">
        <v>295142.44</v>
      </c>
      <c r="N685" s="5">
        <v>0.1095</v>
      </c>
      <c r="O685" s="5">
        <v>3</v>
      </c>
      <c r="P685" s="5">
        <v>13845</v>
      </c>
    </row>
    <row r="686" spans="1:16" x14ac:dyDescent="0.3">
      <c r="A686" s="5">
        <v>103</v>
      </c>
      <c r="B686" s="5" t="s">
        <v>110</v>
      </c>
      <c r="C686" s="5">
        <v>2</v>
      </c>
      <c r="D686" s="5" t="s">
        <v>88</v>
      </c>
      <c r="E686" s="5">
        <v>2021</v>
      </c>
      <c r="F686" s="5">
        <v>12</v>
      </c>
      <c r="G686" s="5" t="s">
        <v>33</v>
      </c>
      <c r="H686" s="5">
        <v>4225497</v>
      </c>
      <c r="I686" s="5">
        <v>3614162.73</v>
      </c>
      <c r="J686" s="5">
        <v>54</v>
      </c>
      <c r="K686" s="5">
        <v>405118</v>
      </c>
      <c r="L686" s="5">
        <v>4616080</v>
      </c>
      <c r="M686" s="5">
        <v>611334.27</v>
      </c>
      <c r="N686" s="5">
        <v>0.1447</v>
      </c>
      <c r="O686" s="5">
        <v>4</v>
      </c>
      <c r="P686" s="5">
        <v>103303</v>
      </c>
    </row>
    <row r="687" spans="1:16" x14ac:dyDescent="0.3">
      <c r="A687" s="5">
        <v>114</v>
      </c>
      <c r="B687" s="5" t="s">
        <v>110</v>
      </c>
      <c r="C687" s="5">
        <v>2</v>
      </c>
      <c r="D687" s="5" t="s">
        <v>88</v>
      </c>
      <c r="E687" s="5">
        <v>2021</v>
      </c>
      <c r="F687" s="5">
        <v>12</v>
      </c>
      <c r="G687" s="5" t="s">
        <v>33</v>
      </c>
      <c r="H687" s="5">
        <v>2762511</v>
      </c>
      <c r="I687" s="5">
        <v>2430343.56</v>
      </c>
      <c r="J687" s="5">
        <v>35</v>
      </c>
      <c r="K687" s="5">
        <v>353138</v>
      </c>
      <c r="L687" s="5">
        <v>3105100</v>
      </c>
      <c r="M687" s="5">
        <v>332167.44</v>
      </c>
      <c r="N687" s="5">
        <v>0.1202</v>
      </c>
      <c r="O687" s="5">
        <v>5</v>
      </c>
      <c r="P687" s="5">
        <v>100106</v>
      </c>
    </row>
    <row r="688" spans="1:16" x14ac:dyDescent="0.3">
      <c r="A688" s="5">
        <v>11</v>
      </c>
      <c r="B688" s="5" t="s">
        <v>110</v>
      </c>
      <c r="C688" s="5">
        <v>2</v>
      </c>
      <c r="D688" s="5" t="s">
        <v>88</v>
      </c>
      <c r="E688" s="5">
        <v>2022</v>
      </c>
      <c r="F688" s="5">
        <v>1</v>
      </c>
      <c r="G688" s="5" t="s">
        <v>34</v>
      </c>
      <c r="H688" s="5">
        <v>1875246</v>
      </c>
      <c r="I688" s="5">
        <v>1489216.26</v>
      </c>
      <c r="J688" s="5">
        <v>27</v>
      </c>
      <c r="K688" s="5">
        <v>79712</v>
      </c>
      <c r="L688" s="5">
        <v>1938450</v>
      </c>
      <c r="M688" s="5">
        <v>386029.74</v>
      </c>
      <c r="N688" s="5">
        <v>0.2059</v>
      </c>
      <c r="O688" s="5">
        <v>2</v>
      </c>
      <c r="P688" s="5">
        <v>7151</v>
      </c>
    </row>
    <row r="689" spans="1:16" x14ac:dyDescent="0.3">
      <c r="A689" s="5">
        <v>65</v>
      </c>
      <c r="B689" s="5" t="s">
        <v>110</v>
      </c>
      <c r="C689" s="5">
        <v>2</v>
      </c>
      <c r="D689" s="5" t="s">
        <v>88</v>
      </c>
      <c r="E689" s="5">
        <v>2022</v>
      </c>
      <c r="F689" s="5">
        <v>1</v>
      </c>
      <c r="G689" s="5" t="s">
        <v>34</v>
      </c>
      <c r="H689" s="5">
        <v>1386120</v>
      </c>
      <c r="I689" s="5">
        <v>1139295.94</v>
      </c>
      <c r="J689" s="5">
        <v>34</v>
      </c>
      <c r="K689" s="5">
        <v>133631</v>
      </c>
      <c r="L689" s="5">
        <v>1515340</v>
      </c>
      <c r="M689" s="5">
        <v>246824.06</v>
      </c>
      <c r="N689" s="5">
        <v>0.17810000000000001</v>
      </c>
      <c r="O689" s="5">
        <v>0</v>
      </c>
      <c r="P689" s="5">
        <v>0</v>
      </c>
    </row>
    <row r="690" spans="1:16" x14ac:dyDescent="0.3">
      <c r="A690" s="5">
        <v>89</v>
      </c>
      <c r="B690" s="5" t="s">
        <v>110</v>
      </c>
      <c r="C690" s="5">
        <v>2</v>
      </c>
      <c r="D690" s="5" t="s">
        <v>88</v>
      </c>
      <c r="E690" s="5">
        <v>2022</v>
      </c>
      <c r="F690" s="5">
        <v>1</v>
      </c>
      <c r="G690" s="5" t="s">
        <v>34</v>
      </c>
      <c r="H690" s="5">
        <v>923318</v>
      </c>
      <c r="I690" s="5">
        <v>710456.1</v>
      </c>
      <c r="J690" s="5">
        <v>16</v>
      </c>
      <c r="K690" s="5">
        <v>12721</v>
      </c>
      <c r="L690" s="5">
        <v>931770</v>
      </c>
      <c r="M690" s="5">
        <v>212861.9</v>
      </c>
      <c r="N690" s="5">
        <v>0.23050000000000001</v>
      </c>
      <c r="O690" s="5">
        <v>0</v>
      </c>
      <c r="P690" s="5">
        <v>0</v>
      </c>
    </row>
    <row r="691" spans="1:16" x14ac:dyDescent="0.3">
      <c r="A691" s="5">
        <v>103</v>
      </c>
      <c r="B691" s="5" t="s">
        <v>110</v>
      </c>
      <c r="C691" s="5">
        <v>2</v>
      </c>
      <c r="D691" s="5" t="s">
        <v>88</v>
      </c>
      <c r="E691" s="5">
        <v>2022</v>
      </c>
      <c r="F691" s="5">
        <v>1</v>
      </c>
      <c r="G691" s="5" t="s">
        <v>34</v>
      </c>
      <c r="H691" s="5">
        <v>2897222</v>
      </c>
      <c r="I691" s="5">
        <v>2516533</v>
      </c>
      <c r="J691" s="5">
        <v>40</v>
      </c>
      <c r="K691" s="5">
        <v>333164</v>
      </c>
      <c r="L691" s="5">
        <v>3220020</v>
      </c>
      <c r="M691" s="5">
        <v>380689</v>
      </c>
      <c r="N691" s="5">
        <v>0.13139999999999999</v>
      </c>
      <c r="O691" s="5">
        <v>5</v>
      </c>
      <c r="P691" s="5">
        <v>106931</v>
      </c>
    </row>
    <row r="692" spans="1:16" x14ac:dyDescent="0.3">
      <c r="A692" s="5">
        <v>114</v>
      </c>
      <c r="B692" s="5" t="s">
        <v>110</v>
      </c>
      <c r="C692" s="5">
        <v>2</v>
      </c>
      <c r="D692" s="5" t="s">
        <v>88</v>
      </c>
      <c r="E692" s="5">
        <v>2022</v>
      </c>
      <c r="F692" s="5">
        <v>1</v>
      </c>
      <c r="G692" s="5" t="s">
        <v>34</v>
      </c>
      <c r="H692" s="5">
        <v>2088907</v>
      </c>
      <c r="I692" s="5">
        <v>1841211.65</v>
      </c>
      <c r="J692" s="5">
        <v>31</v>
      </c>
      <c r="K692" s="5">
        <v>276395</v>
      </c>
      <c r="L692" s="5">
        <v>2361580</v>
      </c>
      <c r="M692" s="5">
        <v>247695.35</v>
      </c>
      <c r="N692" s="5">
        <v>0.1186</v>
      </c>
      <c r="O692" s="5">
        <v>5</v>
      </c>
      <c r="P692" s="5">
        <v>23943</v>
      </c>
    </row>
    <row r="693" spans="1:16" x14ac:dyDescent="0.3">
      <c r="A693" s="5">
        <v>11</v>
      </c>
      <c r="B693" s="5" t="s">
        <v>110</v>
      </c>
      <c r="C693" s="5">
        <v>2</v>
      </c>
      <c r="D693" s="5" t="s">
        <v>88</v>
      </c>
      <c r="E693" s="5">
        <v>2022</v>
      </c>
      <c r="F693" s="5">
        <v>2</v>
      </c>
      <c r="G693" s="5" t="s">
        <v>35</v>
      </c>
      <c r="H693" s="5">
        <v>1642160</v>
      </c>
      <c r="I693" s="5">
        <v>1353141.72</v>
      </c>
      <c r="J693" s="5">
        <v>31</v>
      </c>
      <c r="K693" s="5">
        <v>127014</v>
      </c>
      <c r="L693" s="5">
        <v>1763230</v>
      </c>
      <c r="M693" s="5">
        <v>289018.28000000003</v>
      </c>
      <c r="N693" s="5">
        <v>0.17599999999999999</v>
      </c>
      <c r="O693" s="5">
        <v>5</v>
      </c>
      <c r="P693" s="5">
        <v>147175</v>
      </c>
    </row>
    <row r="694" spans="1:16" x14ac:dyDescent="0.3">
      <c r="A694" s="5">
        <v>65</v>
      </c>
      <c r="B694" s="5" t="s">
        <v>110</v>
      </c>
      <c r="C694" s="5">
        <v>2</v>
      </c>
      <c r="D694" s="5" t="s">
        <v>88</v>
      </c>
      <c r="E694" s="5">
        <v>2022</v>
      </c>
      <c r="F694" s="5">
        <v>2</v>
      </c>
      <c r="G694" s="5" t="s">
        <v>35</v>
      </c>
      <c r="H694" s="5">
        <v>4636153</v>
      </c>
      <c r="I694" s="5">
        <v>3949274.32</v>
      </c>
      <c r="J694" s="5">
        <v>50</v>
      </c>
      <c r="K694" s="5">
        <v>412382</v>
      </c>
      <c r="L694" s="5">
        <v>5037620</v>
      </c>
      <c r="M694" s="5">
        <v>686878.68</v>
      </c>
      <c r="N694" s="5">
        <v>0.1482</v>
      </c>
      <c r="O694" s="5">
        <v>4</v>
      </c>
      <c r="P694" s="5">
        <v>178167</v>
      </c>
    </row>
    <row r="695" spans="1:16" x14ac:dyDescent="0.3">
      <c r="A695" s="5">
        <v>89</v>
      </c>
      <c r="B695" s="5" t="s">
        <v>110</v>
      </c>
      <c r="C695" s="5">
        <v>2</v>
      </c>
      <c r="D695" s="5" t="s">
        <v>88</v>
      </c>
      <c r="E695" s="5">
        <v>2022</v>
      </c>
      <c r="F695" s="5">
        <v>2</v>
      </c>
      <c r="G695" s="5" t="s">
        <v>35</v>
      </c>
      <c r="H695" s="5">
        <v>1631751</v>
      </c>
      <c r="I695" s="5">
        <v>1403756.22</v>
      </c>
      <c r="J695" s="5">
        <v>28</v>
      </c>
      <c r="K695" s="5">
        <v>169284</v>
      </c>
      <c r="L695" s="5">
        <v>1796120</v>
      </c>
      <c r="M695" s="5">
        <v>227994.78</v>
      </c>
      <c r="N695" s="5">
        <v>0.13969999999999999</v>
      </c>
      <c r="O695" s="5">
        <v>3</v>
      </c>
      <c r="P695" s="5">
        <v>67316</v>
      </c>
    </row>
    <row r="696" spans="1:16" x14ac:dyDescent="0.3">
      <c r="A696" s="5">
        <v>103</v>
      </c>
      <c r="B696" s="5" t="s">
        <v>110</v>
      </c>
      <c r="C696" s="5">
        <v>2</v>
      </c>
      <c r="D696" s="5" t="s">
        <v>88</v>
      </c>
      <c r="E696" s="5">
        <v>2022</v>
      </c>
      <c r="F696" s="5">
        <v>2</v>
      </c>
      <c r="G696" s="5" t="s">
        <v>35</v>
      </c>
      <c r="H696" s="5">
        <v>2477666</v>
      </c>
      <c r="I696" s="5">
        <v>1965689.26</v>
      </c>
      <c r="J696" s="5">
        <v>37</v>
      </c>
      <c r="K696" s="5">
        <v>124824</v>
      </c>
      <c r="L696" s="5">
        <v>2592210</v>
      </c>
      <c r="M696" s="5">
        <v>511976.74</v>
      </c>
      <c r="N696" s="5">
        <v>0.20660000000000001</v>
      </c>
      <c r="O696" s="5">
        <v>3</v>
      </c>
      <c r="P696" s="5">
        <v>33097</v>
      </c>
    </row>
    <row r="697" spans="1:16" x14ac:dyDescent="0.3">
      <c r="A697" s="5">
        <v>114</v>
      </c>
      <c r="B697" s="5" t="s">
        <v>110</v>
      </c>
      <c r="C697" s="5">
        <v>2</v>
      </c>
      <c r="D697" s="5" t="s">
        <v>88</v>
      </c>
      <c r="E697" s="5">
        <v>2022</v>
      </c>
      <c r="F697" s="5">
        <v>2</v>
      </c>
      <c r="G697" s="5" t="s">
        <v>35</v>
      </c>
      <c r="H697" s="5">
        <v>1858800</v>
      </c>
      <c r="I697" s="5">
        <v>1633749.7</v>
      </c>
      <c r="J697" s="5">
        <v>28</v>
      </c>
      <c r="K697" s="5">
        <v>189479</v>
      </c>
      <c r="L697" s="5">
        <v>2044900</v>
      </c>
      <c r="M697" s="5">
        <v>225050.3</v>
      </c>
      <c r="N697" s="5">
        <v>0.1211</v>
      </c>
      <c r="O697" s="5">
        <v>3</v>
      </c>
      <c r="P697" s="5">
        <v>22044</v>
      </c>
    </row>
    <row r="698" spans="1:16" x14ac:dyDescent="0.3">
      <c r="A698" s="5">
        <v>11</v>
      </c>
      <c r="B698" s="5" t="s">
        <v>110</v>
      </c>
      <c r="C698" s="5">
        <v>2</v>
      </c>
      <c r="D698" s="5" t="s">
        <v>88</v>
      </c>
      <c r="E698" s="5">
        <v>2022</v>
      </c>
      <c r="F698" s="5">
        <v>3</v>
      </c>
      <c r="G698" s="5" t="s">
        <v>36</v>
      </c>
      <c r="H698" s="5">
        <v>3049522</v>
      </c>
      <c r="I698" s="5">
        <v>2508403.4900000002</v>
      </c>
      <c r="J698" s="5">
        <v>42</v>
      </c>
      <c r="K698" s="5">
        <v>233320</v>
      </c>
      <c r="L698" s="5">
        <v>3277960</v>
      </c>
      <c r="M698" s="5">
        <v>541118.51</v>
      </c>
      <c r="N698" s="5">
        <v>0.1774</v>
      </c>
      <c r="O698" s="5">
        <v>4</v>
      </c>
      <c r="P698" s="5">
        <v>116446</v>
      </c>
    </row>
    <row r="699" spans="1:16" x14ac:dyDescent="0.3">
      <c r="A699" s="5">
        <v>65</v>
      </c>
      <c r="B699" s="5" t="s">
        <v>110</v>
      </c>
      <c r="C699" s="5">
        <v>2</v>
      </c>
      <c r="D699" s="5" t="s">
        <v>88</v>
      </c>
      <c r="E699" s="5">
        <v>2022</v>
      </c>
      <c r="F699" s="5">
        <v>3</v>
      </c>
      <c r="G699" s="5" t="s">
        <v>36</v>
      </c>
      <c r="H699" s="5">
        <v>4117985</v>
      </c>
      <c r="I699" s="5">
        <v>3497241.59</v>
      </c>
      <c r="J699" s="5">
        <v>55</v>
      </c>
      <c r="K699" s="5">
        <v>398346</v>
      </c>
      <c r="L699" s="5">
        <v>4503800</v>
      </c>
      <c r="M699" s="5">
        <v>620743.41</v>
      </c>
      <c r="N699" s="5">
        <v>0.1507</v>
      </c>
      <c r="O699" s="5">
        <v>8</v>
      </c>
      <c r="P699" s="5">
        <v>172231</v>
      </c>
    </row>
    <row r="700" spans="1:16" x14ac:dyDescent="0.3">
      <c r="A700" s="5">
        <v>89</v>
      </c>
      <c r="B700" s="5" t="s">
        <v>110</v>
      </c>
      <c r="C700" s="5">
        <v>2</v>
      </c>
      <c r="D700" s="5" t="s">
        <v>88</v>
      </c>
      <c r="E700" s="5">
        <v>2022</v>
      </c>
      <c r="F700" s="5">
        <v>3</v>
      </c>
      <c r="G700" s="5" t="s">
        <v>36</v>
      </c>
      <c r="H700" s="5">
        <v>2646331</v>
      </c>
      <c r="I700" s="5">
        <v>2302389.36</v>
      </c>
      <c r="J700" s="5">
        <v>29</v>
      </c>
      <c r="K700" s="5">
        <v>283898</v>
      </c>
      <c r="L700" s="5">
        <v>2928200</v>
      </c>
      <c r="M700" s="5">
        <v>343941.64</v>
      </c>
      <c r="N700" s="5">
        <v>0.13</v>
      </c>
      <c r="O700" s="5">
        <v>5</v>
      </c>
      <c r="P700" s="5">
        <v>153785</v>
      </c>
    </row>
    <row r="701" spans="1:16" x14ac:dyDescent="0.3">
      <c r="A701" s="5">
        <v>103</v>
      </c>
      <c r="B701" s="5" t="s">
        <v>110</v>
      </c>
      <c r="C701" s="5">
        <v>2</v>
      </c>
      <c r="D701" s="5" t="s">
        <v>88</v>
      </c>
      <c r="E701" s="5">
        <v>2022</v>
      </c>
      <c r="F701" s="5">
        <v>3</v>
      </c>
      <c r="G701" s="5" t="s">
        <v>36</v>
      </c>
      <c r="H701" s="5">
        <v>3014677</v>
      </c>
      <c r="I701" s="5">
        <v>2647983.6800000002</v>
      </c>
      <c r="J701" s="5">
        <v>49</v>
      </c>
      <c r="K701" s="5">
        <v>509692</v>
      </c>
      <c r="L701" s="5">
        <v>3520490</v>
      </c>
      <c r="M701" s="5">
        <v>366693.32</v>
      </c>
      <c r="N701" s="5">
        <v>0.1216</v>
      </c>
      <c r="O701" s="5">
        <v>6</v>
      </c>
      <c r="P701" s="5">
        <v>146028</v>
      </c>
    </row>
    <row r="702" spans="1:16" x14ac:dyDescent="0.3">
      <c r="A702" s="5">
        <v>114</v>
      </c>
      <c r="B702" s="5" t="s">
        <v>110</v>
      </c>
      <c r="C702" s="5">
        <v>2</v>
      </c>
      <c r="D702" s="5" t="s">
        <v>88</v>
      </c>
      <c r="E702" s="5">
        <v>2022</v>
      </c>
      <c r="F702" s="5">
        <v>3</v>
      </c>
      <c r="G702" s="5" t="s">
        <v>36</v>
      </c>
      <c r="H702" s="5">
        <v>985967</v>
      </c>
      <c r="I702" s="5">
        <v>794958.82</v>
      </c>
      <c r="J702" s="5">
        <v>25</v>
      </c>
      <c r="K702" s="5">
        <v>78685</v>
      </c>
      <c r="L702" s="5">
        <v>1059460</v>
      </c>
      <c r="M702" s="5">
        <v>191008.18</v>
      </c>
      <c r="N702" s="5">
        <v>0.19370000000000001</v>
      </c>
      <c r="O702" s="5">
        <v>4</v>
      </c>
      <c r="P702" s="5">
        <v>71069</v>
      </c>
    </row>
    <row r="703" spans="1:16" x14ac:dyDescent="0.3">
      <c r="A703" s="5">
        <v>11</v>
      </c>
      <c r="B703" s="5" t="s">
        <v>110</v>
      </c>
      <c r="C703" s="5">
        <v>2</v>
      </c>
      <c r="D703" s="5" t="s">
        <v>88</v>
      </c>
      <c r="E703" s="5">
        <v>2022</v>
      </c>
      <c r="F703" s="5">
        <v>4</v>
      </c>
      <c r="G703" s="5" t="s">
        <v>37</v>
      </c>
      <c r="H703" s="5">
        <v>3081138</v>
      </c>
      <c r="I703" s="5">
        <v>2646166.14</v>
      </c>
      <c r="J703" s="5">
        <v>35</v>
      </c>
      <c r="K703" s="5">
        <v>239200</v>
      </c>
      <c r="L703" s="5">
        <v>3305280</v>
      </c>
      <c r="M703" s="5">
        <v>434971.86</v>
      </c>
      <c r="N703" s="5">
        <v>0.14119999999999999</v>
      </c>
      <c r="O703" s="5">
        <v>1</v>
      </c>
      <c r="P703" s="5">
        <v>53588</v>
      </c>
    </row>
    <row r="704" spans="1:16" x14ac:dyDescent="0.3">
      <c r="A704" s="5">
        <v>65</v>
      </c>
      <c r="B704" s="5" t="s">
        <v>110</v>
      </c>
      <c r="C704" s="5">
        <v>2</v>
      </c>
      <c r="D704" s="5" t="s">
        <v>88</v>
      </c>
      <c r="E704" s="5">
        <v>2022</v>
      </c>
      <c r="F704" s="5">
        <v>4</v>
      </c>
      <c r="G704" s="5" t="s">
        <v>37</v>
      </c>
      <c r="H704" s="5">
        <v>3469256</v>
      </c>
      <c r="I704" s="5">
        <v>2875182.57</v>
      </c>
      <c r="J704" s="5">
        <v>53</v>
      </c>
      <c r="K704" s="5">
        <v>320096</v>
      </c>
      <c r="L704" s="5">
        <v>3774970</v>
      </c>
      <c r="M704" s="5">
        <v>594073.43000000005</v>
      </c>
      <c r="N704" s="5">
        <v>0.17119999999999999</v>
      </c>
      <c r="O704" s="5">
        <v>4</v>
      </c>
      <c r="P704" s="5">
        <v>71845</v>
      </c>
    </row>
    <row r="705" spans="1:16" x14ac:dyDescent="0.3">
      <c r="A705" s="5">
        <v>89</v>
      </c>
      <c r="B705" s="5" t="s">
        <v>110</v>
      </c>
      <c r="C705" s="5">
        <v>2</v>
      </c>
      <c r="D705" s="5" t="s">
        <v>88</v>
      </c>
      <c r="E705" s="5">
        <v>2022</v>
      </c>
      <c r="F705" s="5">
        <v>4</v>
      </c>
      <c r="G705" s="5" t="s">
        <v>37</v>
      </c>
      <c r="H705" s="5">
        <v>3316608</v>
      </c>
      <c r="I705" s="5">
        <v>2901012.65</v>
      </c>
      <c r="J705" s="5">
        <v>43</v>
      </c>
      <c r="K705" s="5">
        <v>487319</v>
      </c>
      <c r="L705" s="5">
        <v>3799430</v>
      </c>
      <c r="M705" s="5">
        <v>415595.35</v>
      </c>
      <c r="N705" s="5">
        <v>0.12529999999999999</v>
      </c>
      <c r="O705" s="5">
        <v>8</v>
      </c>
      <c r="P705" s="5">
        <v>331156</v>
      </c>
    </row>
    <row r="706" spans="1:16" x14ac:dyDescent="0.3">
      <c r="A706" s="5">
        <v>103</v>
      </c>
      <c r="B706" s="5" t="s">
        <v>110</v>
      </c>
      <c r="C706" s="5">
        <v>2</v>
      </c>
      <c r="D706" s="5" t="s">
        <v>88</v>
      </c>
      <c r="E706" s="5">
        <v>2022</v>
      </c>
      <c r="F706" s="5">
        <v>4</v>
      </c>
      <c r="G706" s="5" t="s">
        <v>37</v>
      </c>
      <c r="H706" s="5">
        <v>4447707</v>
      </c>
      <c r="I706" s="5">
        <v>3863736.34</v>
      </c>
      <c r="J706" s="5">
        <v>63</v>
      </c>
      <c r="K706" s="5">
        <v>489878</v>
      </c>
      <c r="L706" s="5">
        <v>4925670</v>
      </c>
      <c r="M706" s="5">
        <v>583970.66</v>
      </c>
      <c r="N706" s="5">
        <v>0.1313</v>
      </c>
      <c r="O706" s="5">
        <v>5</v>
      </c>
      <c r="P706" s="5">
        <v>147951</v>
      </c>
    </row>
    <row r="707" spans="1:16" x14ac:dyDescent="0.3">
      <c r="A707" s="5">
        <v>114</v>
      </c>
      <c r="B707" s="5" t="s">
        <v>110</v>
      </c>
      <c r="C707" s="5">
        <v>2</v>
      </c>
      <c r="D707" s="5" t="s">
        <v>88</v>
      </c>
      <c r="E707" s="5">
        <v>2022</v>
      </c>
      <c r="F707" s="5">
        <v>4</v>
      </c>
      <c r="G707" s="5" t="s">
        <v>37</v>
      </c>
      <c r="H707" s="5">
        <v>1752180</v>
      </c>
      <c r="I707" s="5">
        <v>1420080.88</v>
      </c>
      <c r="J707" s="5">
        <v>36</v>
      </c>
      <c r="K707" s="5">
        <v>92526</v>
      </c>
      <c r="L707" s="5">
        <v>1838810</v>
      </c>
      <c r="M707" s="5">
        <v>332099.12</v>
      </c>
      <c r="N707" s="5">
        <v>0.1895</v>
      </c>
      <c r="O707" s="5">
        <v>4</v>
      </c>
      <c r="P707" s="5">
        <v>49314</v>
      </c>
    </row>
    <row r="708" spans="1:16" x14ac:dyDescent="0.3">
      <c r="A708" s="5">
        <v>11</v>
      </c>
      <c r="B708" s="5" t="s">
        <v>110</v>
      </c>
      <c r="C708" s="5">
        <v>2</v>
      </c>
      <c r="D708" s="5" t="s">
        <v>88</v>
      </c>
      <c r="E708" s="5">
        <v>2022</v>
      </c>
      <c r="F708" s="5">
        <v>5</v>
      </c>
      <c r="G708" s="5" t="s">
        <v>38</v>
      </c>
      <c r="H708" s="5">
        <v>3777462</v>
      </c>
      <c r="I708" s="5">
        <v>3221867.66</v>
      </c>
      <c r="J708" s="5">
        <v>51</v>
      </c>
      <c r="K708" s="5">
        <v>471969</v>
      </c>
      <c r="L708" s="5">
        <v>4232880</v>
      </c>
      <c r="M708" s="5">
        <v>555594.34</v>
      </c>
      <c r="N708" s="5">
        <v>0.14710000000000001</v>
      </c>
      <c r="O708" s="5">
        <v>3</v>
      </c>
      <c r="P708" s="5">
        <v>145072</v>
      </c>
    </row>
    <row r="709" spans="1:16" x14ac:dyDescent="0.3">
      <c r="A709" s="5">
        <v>65</v>
      </c>
      <c r="B709" s="5" t="s">
        <v>110</v>
      </c>
      <c r="C709" s="5">
        <v>2</v>
      </c>
      <c r="D709" s="5" t="s">
        <v>88</v>
      </c>
      <c r="E709" s="5">
        <v>2022</v>
      </c>
      <c r="F709" s="5">
        <v>5</v>
      </c>
      <c r="G709" s="5" t="s">
        <v>38</v>
      </c>
      <c r="H709" s="5">
        <v>2889538</v>
      </c>
      <c r="I709" s="5">
        <v>2467021.9700000002</v>
      </c>
      <c r="J709" s="5">
        <v>44</v>
      </c>
      <c r="K709" s="5">
        <v>332350</v>
      </c>
      <c r="L709" s="5">
        <v>3212560</v>
      </c>
      <c r="M709" s="5">
        <v>422516.03</v>
      </c>
      <c r="N709" s="5">
        <v>0.1462</v>
      </c>
      <c r="O709" s="5">
        <v>4</v>
      </c>
      <c r="P709" s="5">
        <v>120899</v>
      </c>
    </row>
    <row r="710" spans="1:16" x14ac:dyDescent="0.3">
      <c r="A710" s="5">
        <v>89</v>
      </c>
      <c r="B710" s="5" t="s">
        <v>110</v>
      </c>
      <c r="C710" s="5">
        <v>2</v>
      </c>
      <c r="D710" s="5" t="s">
        <v>88</v>
      </c>
      <c r="E710" s="5">
        <v>2022</v>
      </c>
      <c r="F710" s="5">
        <v>5</v>
      </c>
      <c r="G710" s="5" t="s">
        <v>38</v>
      </c>
      <c r="H710" s="5">
        <v>1973844</v>
      </c>
      <c r="I710" s="5">
        <v>1690469.97</v>
      </c>
      <c r="J710" s="5">
        <v>37</v>
      </c>
      <c r="K710" s="5">
        <v>247251</v>
      </c>
      <c r="L710" s="5">
        <v>2214650</v>
      </c>
      <c r="M710" s="5">
        <v>283374.03000000003</v>
      </c>
      <c r="N710" s="5">
        <v>0.14360000000000001</v>
      </c>
      <c r="O710" s="5">
        <v>2</v>
      </c>
      <c r="P710" s="5">
        <v>36494</v>
      </c>
    </row>
    <row r="711" spans="1:16" x14ac:dyDescent="0.3">
      <c r="A711" s="5">
        <v>103</v>
      </c>
      <c r="B711" s="5" t="s">
        <v>110</v>
      </c>
      <c r="C711" s="5">
        <v>2</v>
      </c>
      <c r="D711" s="5" t="s">
        <v>88</v>
      </c>
      <c r="E711" s="5">
        <v>2022</v>
      </c>
      <c r="F711" s="5">
        <v>5</v>
      </c>
      <c r="G711" s="5" t="s">
        <v>38</v>
      </c>
      <c r="H711" s="5">
        <v>3001853</v>
      </c>
      <c r="I711" s="5">
        <v>2784561.39</v>
      </c>
      <c r="J711" s="5">
        <v>43</v>
      </c>
      <c r="K711" s="5">
        <v>512689</v>
      </c>
      <c r="L711" s="5">
        <v>3509430</v>
      </c>
      <c r="M711" s="5">
        <v>217291.61</v>
      </c>
      <c r="N711" s="5">
        <v>7.2400000000000006E-2</v>
      </c>
      <c r="O711" s="5">
        <v>3</v>
      </c>
      <c r="P711" s="5">
        <v>104209</v>
      </c>
    </row>
    <row r="712" spans="1:16" x14ac:dyDescent="0.3">
      <c r="A712" s="5">
        <v>114</v>
      </c>
      <c r="B712" s="5" t="s">
        <v>110</v>
      </c>
      <c r="C712" s="5">
        <v>2</v>
      </c>
      <c r="D712" s="5" t="s">
        <v>88</v>
      </c>
      <c r="E712" s="5">
        <v>2022</v>
      </c>
      <c r="F712" s="5">
        <v>5</v>
      </c>
      <c r="G712" s="5" t="s">
        <v>38</v>
      </c>
      <c r="H712" s="5">
        <v>3045184</v>
      </c>
      <c r="I712" s="5">
        <v>2770829.4</v>
      </c>
      <c r="J712" s="5">
        <v>47</v>
      </c>
      <c r="K712" s="5">
        <v>530397</v>
      </c>
      <c r="L712" s="5">
        <v>3568340</v>
      </c>
      <c r="M712" s="5">
        <v>274354.59999999998</v>
      </c>
      <c r="N712" s="5">
        <v>9.01E-2</v>
      </c>
      <c r="O712" s="5">
        <v>9</v>
      </c>
      <c r="P712" s="5">
        <v>249189</v>
      </c>
    </row>
    <row r="713" spans="1:16" x14ac:dyDescent="0.3">
      <c r="A713" s="5">
        <v>11</v>
      </c>
      <c r="B713" s="5" t="s">
        <v>110</v>
      </c>
      <c r="C713" s="5">
        <v>2</v>
      </c>
      <c r="D713" s="5" t="s">
        <v>88</v>
      </c>
      <c r="E713" s="5">
        <v>2022</v>
      </c>
      <c r="F713" s="5">
        <v>6</v>
      </c>
      <c r="G713" s="5" t="s">
        <v>39</v>
      </c>
      <c r="H713" s="5">
        <v>2763915</v>
      </c>
      <c r="I713" s="5">
        <v>2213657.0099999998</v>
      </c>
      <c r="J713" s="5">
        <v>46</v>
      </c>
      <c r="K713" s="5">
        <v>149577</v>
      </c>
      <c r="L713" s="5">
        <v>2891830</v>
      </c>
      <c r="M713" s="5">
        <v>550257.99</v>
      </c>
      <c r="N713" s="5">
        <v>0.1991</v>
      </c>
      <c r="O713" s="5">
        <v>4</v>
      </c>
      <c r="P713" s="5">
        <v>17748</v>
      </c>
    </row>
    <row r="714" spans="1:16" x14ac:dyDescent="0.3">
      <c r="A714" s="5">
        <v>65</v>
      </c>
      <c r="B714" s="5" t="s">
        <v>110</v>
      </c>
      <c r="C714" s="5">
        <v>2</v>
      </c>
      <c r="D714" s="5" t="s">
        <v>88</v>
      </c>
      <c r="E714" s="5">
        <v>2022</v>
      </c>
      <c r="F714" s="5">
        <v>6</v>
      </c>
      <c r="G714" s="5" t="s">
        <v>39</v>
      </c>
      <c r="H714" s="5">
        <v>4154769</v>
      </c>
      <c r="I714" s="5">
        <v>3600953.03</v>
      </c>
      <c r="J714" s="5">
        <v>49</v>
      </c>
      <c r="K714" s="5">
        <v>492365</v>
      </c>
      <c r="L714" s="5">
        <v>4634810</v>
      </c>
      <c r="M714" s="5">
        <v>553815.97</v>
      </c>
      <c r="N714" s="5">
        <v>0.1333</v>
      </c>
      <c r="O714" s="5">
        <v>2</v>
      </c>
      <c r="P714" s="5">
        <v>47568</v>
      </c>
    </row>
    <row r="715" spans="1:16" x14ac:dyDescent="0.3">
      <c r="A715" s="5">
        <v>89</v>
      </c>
      <c r="B715" s="5" t="s">
        <v>110</v>
      </c>
      <c r="C715" s="5">
        <v>2</v>
      </c>
      <c r="D715" s="5" t="s">
        <v>88</v>
      </c>
      <c r="E715" s="5">
        <v>2022</v>
      </c>
      <c r="F715" s="5">
        <v>6</v>
      </c>
      <c r="G715" s="5" t="s">
        <v>39</v>
      </c>
      <c r="H715" s="5">
        <v>2028920</v>
      </c>
      <c r="I715" s="5">
        <v>1793614.33</v>
      </c>
      <c r="J715" s="5">
        <v>35</v>
      </c>
      <c r="K715" s="5">
        <v>274918</v>
      </c>
      <c r="L715" s="5">
        <v>2297440</v>
      </c>
      <c r="M715" s="5">
        <v>235305.67</v>
      </c>
      <c r="N715" s="5">
        <v>0.11600000000000001</v>
      </c>
      <c r="O715" s="5">
        <v>1</v>
      </c>
      <c r="P715" s="5">
        <v>61057</v>
      </c>
    </row>
    <row r="716" spans="1:16" x14ac:dyDescent="0.3">
      <c r="A716" s="5">
        <v>103</v>
      </c>
      <c r="B716" s="5" t="s">
        <v>110</v>
      </c>
      <c r="C716" s="5">
        <v>2</v>
      </c>
      <c r="D716" s="5" t="s">
        <v>88</v>
      </c>
      <c r="E716" s="5">
        <v>2022</v>
      </c>
      <c r="F716" s="5">
        <v>6</v>
      </c>
      <c r="G716" s="5" t="s">
        <v>39</v>
      </c>
      <c r="H716" s="5">
        <v>4007335</v>
      </c>
      <c r="I716" s="5">
        <v>3430196.9</v>
      </c>
      <c r="J716" s="5">
        <v>59</v>
      </c>
      <c r="K716" s="5">
        <v>426361</v>
      </c>
      <c r="L716" s="5">
        <v>4420340</v>
      </c>
      <c r="M716" s="5">
        <v>577138.1</v>
      </c>
      <c r="N716" s="5">
        <v>0.14399999999999999</v>
      </c>
      <c r="O716" s="5">
        <v>3</v>
      </c>
      <c r="P716" s="5">
        <v>53604</v>
      </c>
    </row>
    <row r="717" spans="1:16" x14ac:dyDescent="0.3">
      <c r="A717" s="5">
        <v>114</v>
      </c>
      <c r="B717" s="5" t="s">
        <v>110</v>
      </c>
      <c r="C717" s="5">
        <v>2</v>
      </c>
      <c r="D717" s="5" t="s">
        <v>88</v>
      </c>
      <c r="E717" s="5">
        <v>2022</v>
      </c>
      <c r="F717" s="5">
        <v>6</v>
      </c>
      <c r="G717" s="5" t="s">
        <v>39</v>
      </c>
      <c r="H717" s="5">
        <v>3110340</v>
      </c>
      <c r="I717" s="5">
        <v>2792870.11</v>
      </c>
      <c r="J717" s="5">
        <v>33</v>
      </c>
      <c r="K717" s="5">
        <v>431130</v>
      </c>
      <c r="L717" s="5">
        <v>3532860</v>
      </c>
      <c r="M717" s="5">
        <v>317469.89</v>
      </c>
      <c r="N717" s="5">
        <v>0.1021</v>
      </c>
      <c r="O717" s="5">
        <v>3</v>
      </c>
      <c r="P717" s="5">
        <v>427464</v>
      </c>
    </row>
    <row r="718" spans="1:16" x14ac:dyDescent="0.3">
      <c r="A718" s="5">
        <v>11</v>
      </c>
      <c r="B718" s="5" t="s">
        <v>110</v>
      </c>
      <c r="C718" s="5">
        <v>2</v>
      </c>
      <c r="D718" s="5" t="s">
        <v>88</v>
      </c>
      <c r="E718" s="5">
        <v>2022</v>
      </c>
      <c r="F718" s="5">
        <v>7</v>
      </c>
      <c r="G718" s="5" t="s">
        <v>40</v>
      </c>
      <c r="H718" s="5">
        <v>3118190</v>
      </c>
      <c r="I718" s="5">
        <v>2944455.77</v>
      </c>
      <c r="J718" s="5">
        <v>36</v>
      </c>
      <c r="K718" s="5">
        <v>544583</v>
      </c>
      <c r="L718" s="5">
        <v>3650890</v>
      </c>
      <c r="M718" s="5">
        <v>173734.23</v>
      </c>
      <c r="N718" s="5">
        <v>5.57E-2</v>
      </c>
      <c r="O718" s="5">
        <v>1</v>
      </c>
      <c r="P718" s="5">
        <v>6624</v>
      </c>
    </row>
    <row r="719" spans="1:16" x14ac:dyDescent="0.3">
      <c r="A719" s="5">
        <v>65</v>
      </c>
      <c r="B719" s="5" t="s">
        <v>110</v>
      </c>
      <c r="C719" s="5">
        <v>2</v>
      </c>
      <c r="D719" s="5" t="s">
        <v>88</v>
      </c>
      <c r="E719" s="5">
        <v>2022</v>
      </c>
      <c r="F719" s="5">
        <v>7</v>
      </c>
      <c r="G719" s="5" t="s">
        <v>40</v>
      </c>
      <c r="H719" s="5">
        <v>3868428</v>
      </c>
      <c r="I719" s="5">
        <v>3342481.32</v>
      </c>
      <c r="J719" s="5">
        <v>60</v>
      </c>
      <c r="K719" s="5">
        <v>525236</v>
      </c>
      <c r="L719" s="5">
        <v>4380780</v>
      </c>
      <c r="M719" s="5">
        <v>525946.68000000005</v>
      </c>
      <c r="N719" s="5">
        <v>0.13600000000000001</v>
      </c>
      <c r="O719" s="5">
        <v>6</v>
      </c>
      <c r="P719" s="5">
        <v>179980</v>
      </c>
    </row>
    <row r="720" spans="1:16" x14ac:dyDescent="0.3">
      <c r="A720" s="5">
        <v>89</v>
      </c>
      <c r="B720" s="5" t="s">
        <v>110</v>
      </c>
      <c r="C720" s="5">
        <v>2</v>
      </c>
      <c r="D720" s="5" t="s">
        <v>88</v>
      </c>
      <c r="E720" s="5">
        <v>2022</v>
      </c>
      <c r="F720" s="5">
        <v>7</v>
      </c>
      <c r="G720" s="5" t="s">
        <v>40</v>
      </c>
      <c r="H720" s="5">
        <v>2312443</v>
      </c>
      <c r="I720" s="5">
        <v>2132215.98</v>
      </c>
      <c r="J720" s="5">
        <v>36</v>
      </c>
      <c r="K720" s="5">
        <v>389507</v>
      </c>
      <c r="L720" s="5">
        <v>2696080</v>
      </c>
      <c r="M720" s="5">
        <v>180227.02</v>
      </c>
      <c r="N720" s="5">
        <v>7.7899999999999997E-2</v>
      </c>
      <c r="O720" s="5">
        <v>3</v>
      </c>
      <c r="P720" s="5">
        <v>166440</v>
      </c>
    </row>
    <row r="721" spans="1:16" x14ac:dyDescent="0.3">
      <c r="A721" s="5">
        <v>103</v>
      </c>
      <c r="B721" s="5" t="s">
        <v>110</v>
      </c>
      <c r="C721" s="5">
        <v>2</v>
      </c>
      <c r="D721" s="5" t="s">
        <v>88</v>
      </c>
      <c r="E721" s="5">
        <v>2022</v>
      </c>
      <c r="F721" s="5">
        <v>7</v>
      </c>
      <c r="G721" s="5" t="s">
        <v>40</v>
      </c>
      <c r="H721" s="5">
        <v>3545119</v>
      </c>
      <c r="I721" s="5">
        <v>3181390.11</v>
      </c>
      <c r="J721" s="5">
        <v>50</v>
      </c>
      <c r="K721" s="5">
        <v>531457</v>
      </c>
      <c r="L721" s="5">
        <v>4072000</v>
      </c>
      <c r="M721" s="5">
        <v>363728.89</v>
      </c>
      <c r="N721" s="5">
        <v>0.1026</v>
      </c>
      <c r="O721" s="5">
        <v>1</v>
      </c>
      <c r="P721" s="5">
        <v>3806</v>
      </c>
    </row>
    <row r="722" spans="1:16" x14ac:dyDescent="0.3">
      <c r="A722" s="5">
        <v>114</v>
      </c>
      <c r="B722" s="5" t="s">
        <v>110</v>
      </c>
      <c r="C722" s="5">
        <v>2</v>
      </c>
      <c r="D722" s="5" t="s">
        <v>88</v>
      </c>
      <c r="E722" s="5">
        <v>2022</v>
      </c>
      <c r="F722" s="5">
        <v>7</v>
      </c>
      <c r="G722" s="5" t="s">
        <v>40</v>
      </c>
      <c r="H722" s="5">
        <v>2720219</v>
      </c>
      <c r="I722" s="5">
        <v>2446647.61</v>
      </c>
      <c r="J722" s="5">
        <v>51</v>
      </c>
      <c r="K722" s="5">
        <v>428781</v>
      </c>
      <c r="L722" s="5">
        <v>3139210</v>
      </c>
      <c r="M722" s="5">
        <v>273571.39</v>
      </c>
      <c r="N722" s="5">
        <v>0.10059999999999999</v>
      </c>
      <c r="O722" s="5">
        <v>1</v>
      </c>
      <c r="P722" s="5">
        <v>272639</v>
      </c>
    </row>
    <row r="723" spans="1:16" x14ac:dyDescent="0.3">
      <c r="A723" s="5">
        <v>11</v>
      </c>
      <c r="B723" s="5" t="s">
        <v>110</v>
      </c>
      <c r="C723" s="5">
        <v>2</v>
      </c>
      <c r="D723" s="5" t="s">
        <v>88</v>
      </c>
      <c r="E723" s="5">
        <v>2022</v>
      </c>
      <c r="F723" s="5">
        <v>8</v>
      </c>
      <c r="G723" s="5" t="s">
        <v>41</v>
      </c>
      <c r="H723" s="5">
        <v>3735611</v>
      </c>
      <c r="I723" s="5">
        <v>3470165</v>
      </c>
      <c r="J723" s="5">
        <v>54</v>
      </c>
      <c r="K723" s="5">
        <v>743689</v>
      </c>
      <c r="L723" s="5">
        <v>4463010</v>
      </c>
      <c r="M723" s="5">
        <v>265446</v>
      </c>
      <c r="N723" s="5">
        <v>7.1099999999999997E-2</v>
      </c>
      <c r="O723" s="5">
        <v>4</v>
      </c>
      <c r="P723" s="5">
        <v>40433</v>
      </c>
    </row>
    <row r="724" spans="1:16" x14ac:dyDescent="0.3">
      <c r="A724" s="5">
        <v>65</v>
      </c>
      <c r="B724" s="5" t="s">
        <v>110</v>
      </c>
      <c r="C724" s="5">
        <v>2</v>
      </c>
      <c r="D724" s="5" t="s">
        <v>88</v>
      </c>
      <c r="E724" s="5">
        <v>2022</v>
      </c>
      <c r="F724" s="5">
        <v>8</v>
      </c>
      <c r="G724" s="5" t="s">
        <v>41</v>
      </c>
      <c r="H724" s="5">
        <v>2858635</v>
      </c>
      <c r="I724" s="5">
        <v>2839463.86</v>
      </c>
      <c r="J724" s="5">
        <v>50</v>
      </c>
      <c r="K724" s="5">
        <v>796946</v>
      </c>
      <c r="L724" s="5">
        <v>3644530</v>
      </c>
      <c r="M724" s="5">
        <v>19171.14</v>
      </c>
      <c r="N724" s="5">
        <v>6.7000000000000002E-3</v>
      </c>
      <c r="O724" s="5">
        <v>4</v>
      </c>
      <c r="P724" s="5">
        <v>14961</v>
      </c>
    </row>
    <row r="725" spans="1:16" x14ac:dyDescent="0.3">
      <c r="A725" s="5">
        <v>89</v>
      </c>
      <c r="B725" s="5" t="s">
        <v>110</v>
      </c>
      <c r="C725" s="5">
        <v>2</v>
      </c>
      <c r="D725" s="5" t="s">
        <v>88</v>
      </c>
      <c r="E725" s="5">
        <v>2022</v>
      </c>
      <c r="F725" s="5">
        <v>8</v>
      </c>
      <c r="G725" s="5" t="s">
        <v>41</v>
      </c>
      <c r="H725" s="5">
        <v>3961836</v>
      </c>
      <c r="I725" s="5">
        <v>3801290.1</v>
      </c>
      <c r="J725" s="5">
        <v>36</v>
      </c>
      <c r="K725" s="5">
        <v>883005</v>
      </c>
      <c r="L725" s="5">
        <v>4832210</v>
      </c>
      <c r="M725" s="5">
        <v>160545.9</v>
      </c>
      <c r="N725" s="5">
        <v>4.0500000000000001E-2</v>
      </c>
      <c r="O725" s="5">
        <v>5</v>
      </c>
      <c r="P725" s="5">
        <v>173785</v>
      </c>
    </row>
    <row r="726" spans="1:16" x14ac:dyDescent="0.3">
      <c r="A726" s="5">
        <v>103</v>
      </c>
      <c r="B726" s="5" t="s">
        <v>110</v>
      </c>
      <c r="C726" s="5">
        <v>2</v>
      </c>
      <c r="D726" s="5" t="s">
        <v>88</v>
      </c>
      <c r="E726" s="5">
        <v>2022</v>
      </c>
      <c r="F726" s="5">
        <v>8</v>
      </c>
      <c r="G726" s="5" t="s">
        <v>41</v>
      </c>
      <c r="H726" s="5">
        <v>3448002</v>
      </c>
      <c r="I726" s="5">
        <v>3143997.35</v>
      </c>
      <c r="J726" s="5">
        <v>52</v>
      </c>
      <c r="K726" s="5">
        <v>643085</v>
      </c>
      <c r="L726" s="5">
        <v>4071150</v>
      </c>
      <c r="M726" s="5">
        <v>304004.65000000002</v>
      </c>
      <c r="N726" s="5">
        <v>8.8200000000000001E-2</v>
      </c>
      <c r="O726" s="5">
        <v>3</v>
      </c>
      <c r="P726" s="5">
        <v>14866</v>
      </c>
    </row>
    <row r="727" spans="1:16" x14ac:dyDescent="0.3">
      <c r="A727" s="5">
        <v>114</v>
      </c>
      <c r="B727" s="5" t="s">
        <v>110</v>
      </c>
      <c r="C727" s="5">
        <v>2</v>
      </c>
      <c r="D727" s="5" t="s">
        <v>88</v>
      </c>
      <c r="E727" s="5">
        <v>2022</v>
      </c>
      <c r="F727" s="5">
        <v>8</v>
      </c>
      <c r="G727" s="5" t="s">
        <v>41</v>
      </c>
      <c r="H727" s="5">
        <v>2927306</v>
      </c>
      <c r="I727" s="5">
        <v>2795156.21</v>
      </c>
      <c r="J727" s="5">
        <v>51</v>
      </c>
      <c r="K727" s="5">
        <v>683056</v>
      </c>
      <c r="L727" s="5">
        <v>3603860</v>
      </c>
      <c r="M727" s="5">
        <v>132149.79</v>
      </c>
      <c r="N727" s="5">
        <v>4.5100000000000001E-2</v>
      </c>
      <c r="O727" s="5">
        <v>2</v>
      </c>
      <c r="P727" s="5">
        <v>137964</v>
      </c>
    </row>
    <row r="728" spans="1:16" x14ac:dyDescent="0.3">
      <c r="A728" s="5">
        <v>11</v>
      </c>
      <c r="B728" s="5" t="s">
        <v>110</v>
      </c>
      <c r="C728" s="5">
        <v>2</v>
      </c>
      <c r="D728" s="5" t="s">
        <v>88</v>
      </c>
      <c r="E728" s="5">
        <v>2022</v>
      </c>
      <c r="F728" s="5">
        <v>9</v>
      </c>
      <c r="G728" s="5" t="s">
        <v>42</v>
      </c>
      <c r="H728" s="5">
        <v>2779362</v>
      </c>
      <c r="I728" s="5">
        <v>2358042.37</v>
      </c>
      <c r="J728" s="5">
        <v>44</v>
      </c>
      <c r="K728" s="5">
        <v>274341</v>
      </c>
      <c r="L728" s="5">
        <v>3034030</v>
      </c>
      <c r="M728" s="5">
        <v>421319.63</v>
      </c>
      <c r="N728" s="5">
        <v>0.15160000000000001</v>
      </c>
      <c r="O728" s="5">
        <v>3</v>
      </c>
      <c r="P728" s="5">
        <v>53250</v>
      </c>
    </row>
    <row r="729" spans="1:16" x14ac:dyDescent="0.3">
      <c r="A729" s="5">
        <v>65</v>
      </c>
      <c r="B729" s="5" t="s">
        <v>110</v>
      </c>
      <c r="C729" s="5">
        <v>2</v>
      </c>
      <c r="D729" s="5" t="s">
        <v>88</v>
      </c>
      <c r="E729" s="5">
        <v>2022</v>
      </c>
      <c r="F729" s="5">
        <v>9</v>
      </c>
      <c r="G729" s="5" t="s">
        <v>42</v>
      </c>
      <c r="H729" s="5">
        <v>3116549</v>
      </c>
      <c r="I729" s="5">
        <v>2719002.41</v>
      </c>
      <c r="J729" s="5">
        <v>55</v>
      </c>
      <c r="K729" s="5">
        <v>421637</v>
      </c>
      <c r="L729" s="5">
        <v>3527020</v>
      </c>
      <c r="M729" s="5">
        <v>397546.59</v>
      </c>
      <c r="N729" s="5">
        <v>0.12759999999999999</v>
      </c>
      <c r="O729" s="5">
        <v>9</v>
      </c>
      <c r="P729" s="5">
        <v>464515</v>
      </c>
    </row>
    <row r="730" spans="1:16" x14ac:dyDescent="0.3">
      <c r="A730" s="5">
        <v>89</v>
      </c>
      <c r="B730" s="5" t="s">
        <v>110</v>
      </c>
      <c r="C730" s="5">
        <v>2</v>
      </c>
      <c r="D730" s="5" t="s">
        <v>88</v>
      </c>
      <c r="E730" s="5">
        <v>2022</v>
      </c>
      <c r="F730" s="5">
        <v>9</v>
      </c>
      <c r="G730" s="5" t="s">
        <v>42</v>
      </c>
      <c r="H730" s="5">
        <v>2481317</v>
      </c>
      <c r="I730" s="5">
        <v>2110112.9700000002</v>
      </c>
      <c r="J730" s="5">
        <v>30</v>
      </c>
      <c r="K730" s="5">
        <v>255931</v>
      </c>
      <c r="L730" s="5">
        <v>2726470</v>
      </c>
      <c r="M730" s="5">
        <v>371204.03</v>
      </c>
      <c r="N730" s="5">
        <v>0.14960000000000001</v>
      </c>
      <c r="O730" s="5">
        <v>1</v>
      </c>
      <c r="P730" s="5">
        <v>15197</v>
      </c>
    </row>
    <row r="731" spans="1:16" x14ac:dyDescent="0.3">
      <c r="A731" s="5">
        <v>103</v>
      </c>
      <c r="B731" s="5" t="s">
        <v>110</v>
      </c>
      <c r="C731" s="5">
        <v>2</v>
      </c>
      <c r="D731" s="5" t="s">
        <v>88</v>
      </c>
      <c r="E731" s="5">
        <v>2022</v>
      </c>
      <c r="F731" s="5">
        <v>9</v>
      </c>
      <c r="G731" s="5" t="s">
        <v>42</v>
      </c>
      <c r="H731" s="5">
        <v>4222609</v>
      </c>
      <c r="I731" s="5">
        <v>3706551.05</v>
      </c>
      <c r="J731" s="5">
        <v>59</v>
      </c>
      <c r="K731" s="5">
        <v>434774</v>
      </c>
      <c r="L731" s="5">
        <v>4637770</v>
      </c>
      <c r="M731" s="5">
        <v>516057.95</v>
      </c>
      <c r="N731" s="5">
        <v>0.1222</v>
      </c>
      <c r="O731" s="5">
        <v>5</v>
      </c>
      <c r="P731" s="5">
        <v>212796</v>
      </c>
    </row>
    <row r="732" spans="1:16" x14ac:dyDescent="0.3">
      <c r="A732" s="5">
        <v>114</v>
      </c>
      <c r="B732" s="5" t="s">
        <v>110</v>
      </c>
      <c r="C732" s="5">
        <v>2</v>
      </c>
      <c r="D732" s="5" t="s">
        <v>88</v>
      </c>
      <c r="E732" s="5">
        <v>2022</v>
      </c>
      <c r="F732" s="5">
        <v>9</v>
      </c>
      <c r="G732" s="5" t="s">
        <v>42</v>
      </c>
      <c r="H732" s="5">
        <v>2675628</v>
      </c>
      <c r="I732" s="5">
        <v>2241052.79</v>
      </c>
      <c r="J732" s="5">
        <v>48</v>
      </c>
      <c r="K732" s="5">
        <v>207915</v>
      </c>
      <c r="L732" s="5">
        <v>2873050</v>
      </c>
      <c r="M732" s="5">
        <v>434575.21</v>
      </c>
      <c r="N732" s="5">
        <v>0.16239999999999999</v>
      </c>
      <c r="O732" s="5">
        <v>2</v>
      </c>
      <c r="P732" s="5">
        <v>50681</v>
      </c>
    </row>
    <row r="733" spans="1:16" x14ac:dyDescent="0.3">
      <c r="A733" s="5">
        <v>11</v>
      </c>
      <c r="B733" s="5" t="s">
        <v>110</v>
      </c>
      <c r="C733" s="5">
        <v>2</v>
      </c>
      <c r="D733" s="5" t="s">
        <v>88</v>
      </c>
      <c r="E733" s="5">
        <v>2022</v>
      </c>
      <c r="F733" s="5">
        <v>10</v>
      </c>
      <c r="G733" s="5" t="s">
        <v>43</v>
      </c>
      <c r="H733" s="5">
        <v>3092954</v>
      </c>
      <c r="I733" s="5">
        <v>2796165.07</v>
      </c>
      <c r="J733" s="5">
        <v>50</v>
      </c>
      <c r="K733" s="5">
        <v>420730</v>
      </c>
      <c r="L733" s="5">
        <v>3494280</v>
      </c>
      <c r="M733" s="5">
        <v>296788.93</v>
      </c>
      <c r="N733" s="5">
        <v>9.6000000000000002E-2</v>
      </c>
      <c r="O733" s="5">
        <v>1</v>
      </c>
      <c r="P733" s="5">
        <v>37704</v>
      </c>
    </row>
    <row r="734" spans="1:16" x14ac:dyDescent="0.3">
      <c r="A734" s="5">
        <v>65</v>
      </c>
      <c r="B734" s="5" t="s">
        <v>110</v>
      </c>
      <c r="C734" s="5">
        <v>2</v>
      </c>
      <c r="D734" s="5" t="s">
        <v>88</v>
      </c>
      <c r="E734" s="5">
        <v>2022</v>
      </c>
      <c r="F734" s="5">
        <v>10</v>
      </c>
      <c r="G734" s="5" t="s">
        <v>43</v>
      </c>
      <c r="H734" s="5">
        <v>4575975</v>
      </c>
      <c r="I734" s="5">
        <v>4215556.71</v>
      </c>
      <c r="J734" s="5">
        <v>80</v>
      </c>
      <c r="K734" s="5">
        <v>903783</v>
      </c>
      <c r="L734" s="5">
        <v>5472310</v>
      </c>
      <c r="M734" s="5">
        <v>360418.29</v>
      </c>
      <c r="N734" s="5">
        <v>7.8799999999999995E-2</v>
      </c>
      <c r="O734" s="5">
        <v>4</v>
      </c>
      <c r="P734" s="5">
        <v>74718</v>
      </c>
    </row>
    <row r="735" spans="1:16" x14ac:dyDescent="0.3">
      <c r="A735" s="5">
        <v>89</v>
      </c>
      <c r="B735" s="5" t="s">
        <v>110</v>
      </c>
      <c r="C735" s="5">
        <v>2</v>
      </c>
      <c r="D735" s="5" t="s">
        <v>88</v>
      </c>
      <c r="E735" s="5">
        <v>2022</v>
      </c>
      <c r="F735" s="5">
        <v>10</v>
      </c>
      <c r="G735" s="5" t="s">
        <v>43</v>
      </c>
      <c r="H735" s="5">
        <v>2319603</v>
      </c>
      <c r="I735" s="5">
        <v>1988113.92</v>
      </c>
      <c r="J735" s="5">
        <v>47</v>
      </c>
      <c r="K735" s="5">
        <v>267853</v>
      </c>
      <c r="L735" s="5">
        <v>2580800</v>
      </c>
      <c r="M735" s="5">
        <v>331489.08</v>
      </c>
      <c r="N735" s="5">
        <v>0.1429</v>
      </c>
      <c r="O735" s="5">
        <v>3</v>
      </c>
      <c r="P735" s="5">
        <v>259220</v>
      </c>
    </row>
    <row r="736" spans="1:16" x14ac:dyDescent="0.3">
      <c r="A736" s="5">
        <v>103</v>
      </c>
      <c r="B736" s="5" t="s">
        <v>110</v>
      </c>
      <c r="C736" s="5">
        <v>2</v>
      </c>
      <c r="D736" s="5" t="s">
        <v>88</v>
      </c>
      <c r="E736" s="5">
        <v>2022</v>
      </c>
      <c r="F736" s="5">
        <v>10</v>
      </c>
      <c r="G736" s="5" t="s">
        <v>43</v>
      </c>
      <c r="H736" s="5">
        <v>5086022</v>
      </c>
      <c r="I736" s="5">
        <v>4589216.03</v>
      </c>
      <c r="J736" s="5">
        <v>73</v>
      </c>
      <c r="K736" s="5">
        <v>729020</v>
      </c>
      <c r="L736" s="5">
        <v>5800520</v>
      </c>
      <c r="M736" s="5">
        <v>496805.97</v>
      </c>
      <c r="N736" s="5">
        <v>9.7699999999999995E-2</v>
      </c>
      <c r="O736" s="5">
        <v>4</v>
      </c>
      <c r="P736" s="5">
        <v>28627</v>
      </c>
    </row>
    <row r="737" spans="1:16" x14ac:dyDescent="0.3">
      <c r="A737" s="5">
        <v>114</v>
      </c>
      <c r="B737" s="5" t="s">
        <v>110</v>
      </c>
      <c r="C737" s="5">
        <v>2</v>
      </c>
      <c r="D737" s="5" t="s">
        <v>88</v>
      </c>
      <c r="E737" s="5">
        <v>2022</v>
      </c>
      <c r="F737" s="5">
        <v>10</v>
      </c>
      <c r="G737" s="5" t="s">
        <v>43</v>
      </c>
      <c r="H737" s="5">
        <v>2932065</v>
      </c>
      <c r="I737" s="5">
        <v>2715845.01</v>
      </c>
      <c r="J737" s="5">
        <v>58</v>
      </c>
      <c r="K737" s="5">
        <v>639959</v>
      </c>
      <c r="L737" s="5">
        <v>3566190</v>
      </c>
      <c r="M737" s="5">
        <v>216219.99</v>
      </c>
      <c r="N737" s="5">
        <v>7.3700000000000002E-2</v>
      </c>
      <c r="O737" s="5">
        <v>4</v>
      </c>
      <c r="P737" s="5">
        <v>94241</v>
      </c>
    </row>
    <row r="738" spans="1:16" x14ac:dyDescent="0.3">
      <c r="A738" s="5">
        <v>11</v>
      </c>
      <c r="B738" s="5" t="s">
        <v>110</v>
      </c>
      <c r="C738" s="5">
        <v>2</v>
      </c>
      <c r="D738" s="5" t="s">
        <v>88</v>
      </c>
      <c r="E738" s="5">
        <v>2022</v>
      </c>
      <c r="F738" s="5">
        <v>11</v>
      </c>
      <c r="G738" s="5" t="s">
        <v>44</v>
      </c>
      <c r="H738" s="5">
        <v>2968996</v>
      </c>
      <c r="I738" s="5">
        <v>2510431.84</v>
      </c>
      <c r="J738" s="5">
        <v>47</v>
      </c>
      <c r="K738" s="5">
        <v>248680</v>
      </c>
      <c r="L738" s="5">
        <v>3209820</v>
      </c>
      <c r="M738" s="5">
        <v>458564.16</v>
      </c>
      <c r="N738" s="5">
        <v>0.1545</v>
      </c>
      <c r="O738" s="5">
        <v>2</v>
      </c>
      <c r="P738" s="5">
        <v>103734</v>
      </c>
    </row>
    <row r="739" spans="1:16" x14ac:dyDescent="0.3">
      <c r="A739" s="5">
        <v>65</v>
      </c>
      <c r="B739" s="5" t="s">
        <v>110</v>
      </c>
      <c r="C739" s="5">
        <v>2</v>
      </c>
      <c r="D739" s="5" t="s">
        <v>88</v>
      </c>
      <c r="E739" s="5">
        <v>2022</v>
      </c>
      <c r="F739" s="5">
        <v>11</v>
      </c>
      <c r="G739" s="5" t="s">
        <v>44</v>
      </c>
      <c r="H739" s="5">
        <v>6031585</v>
      </c>
      <c r="I739" s="5">
        <v>5295931.07</v>
      </c>
      <c r="J739" s="5">
        <v>76</v>
      </c>
      <c r="K739" s="5">
        <v>719468</v>
      </c>
      <c r="L739" s="5">
        <v>6735440</v>
      </c>
      <c r="M739" s="5">
        <v>735653.93</v>
      </c>
      <c r="N739" s="5">
        <v>0.122</v>
      </c>
      <c r="O739" s="5">
        <v>4</v>
      </c>
      <c r="P739" s="5">
        <v>403877</v>
      </c>
    </row>
    <row r="740" spans="1:16" x14ac:dyDescent="0.3">
      <c r="A740" s="5">
        <v>89</v>
      </c>
      <c r="B740" s="5" t="s">
        <v>110</v>
      </c>
      <c r="C740" s="5">
        <v>2</v>
      </c>
      <c r="D740" s="5" t="s">
        <v>88</v>
      </c>
      <c r="E740" s="5">
        <v>2022</v>
      </c>
      <c r="F740" s="5">
        <v>11</v>
      </c>
      <c r="G740" s="5" t="s">
        <v>44</v>
      </c>
      <c r="H740" s="5">
        <v>2421583</v>
      </c>
      <c r="I740" s="5">
        <v>2074493.67</v>
      </c>
      <c r="J740" s="5">
        <v>52</v>
      </c>
      <c r="K740" s="5">
        <v>278456</v>
      </c>
      <c r="L740" s="5">
        <v>2690340</v>
      </c>
      <c r="M740" s="5">
        <v>347089.33</v>
      </c>
      <c r="N740" s="5">
        <v>0.14330000000000001</v>
      </c>
      <c r="O740" s="5">
        <v>3</v>
      </c>
      <c r="P740" s="5">
        <v>122478</v>
      </c>
    </row>
    <row r="741" spans="1:16" x14ac:dyDescent="0.3">
      <c r="A741" s="5">
        <v>103</v>
      </c>
      <c r="B741" s="5" t="s">
        <v>110</v>
      </c>
      <c r="C741" s="5">
        <v>2</v>
      </c>
      <c r="D741" s="5" t="s">
        <v>88</v>
      </c>
      <c r="E741" s="5">
        <v>2022</v>
      </c>
      <c r="F741" s="5">
        <v>11</v>
      </c>
      <c r="G741" s="5" t="s">
        <v>44</v>
      </c>
      <c r="H741" s="5">
        <v>5879530</v>
      </c>
      <c r="I741" s="5">
        <v>4896665.57</v>
      </c>
      <c r="J741" s="5">
        <v>69</v>
      </c>
      <c r="K741" s="5">
        <v>417939</v>
      </c>
      <c r="L741" s="5">
        <v>6282540</v>
      </c>
      <c r="M741" s="5">
        <v>982864.43</v>
      </c>
      <c r="N741" s="5">
        <v>0.16719999999999999</v>
      </c>
      <c r="O741" s="5">
        <v>9</v>
      </c>
      <c r="P741" s="5">
        <v>495712</v>
      </c>
    </row>
    <row r="742" spans="1:16" x14ac:dyDescent="0.3">
      <c r="A742" s="5">
        <v>114</v>
      </c>
      <c r="B742" s="5" t="s">
        <v>110</v>
      </c>
      <c r="C742" s="5">
        <v>2</v>
      </c>
      <c r="D742" s="5" t="s">
        <v>88</v>
      </c>
      <c r="E742" s="5">
        <v>2022</v>
      </c>
      <c r="F742" s="5">
        <v>11</v>
      </c>
      <c r="G742" s="5" t="s">
        <v>44</v>
      </c>
      <c r="H742" s="5">
        <v>4194197</v>
      </c>
      <c r="I742" s="5">
        <v>3574298.83</v>
      </c>
      <c r="J742" s="5">
        <v>61</v>
      </c>
      <c r="K742" s="5">
        <v>427624</v>
      </c>
      <c r="L742" s="5">
        <v>4610700</v>
      </c>
      <c r="M742" s="5">
        <v>619898.17000000004</v>
      </c>
      <c r="N742" s="5">
        <v>0.14779999999999999</v>
      </c>
      <c r="O742" s="5">
        <v>8</v>
      </c>
      <c r="P742" s="5">
        <v>207554</v>
      </c>
    </row>
    <row r="743" spans="1:16" x14ac:dyDescent="0.3">
      <c r="A743" s="5">
        <v>11</v>
      </c>
      <c r="B743" s="5" t="s">
        <v>110</v>
      </c>
      <c r="C743" s="5">
        <v>2</v>
      </c>
      <c r="D743" s="5" t="s">
        <v>88</v>
      </c>
      <c r="E743" s="5">
        <v>2022</v>
      </c>
      <c r="F743" s="5">
        <v>12</v>
      </c>
      <c r="G743" s="5" t="s">
        <v>45</v>
      </c>
      <c r="H743" s="5">
        <v>4438337</v>
      </c>
      <c r="I743" s="5">
        <v>3518827.57</v>
      </c>
      <c r="J743" s="5">
        <v>53</v>
      </c>
      <c r="K743" s="5">
        <v>199130</v>
      </c>
      <c r="L743" s="5">
        <v>4613560</v>
      </c>
      <c r="M743" s="5">
        <v>919509.43</v>
      </c>
      <c r="N743" s="5">
        <v>0.2072</v>
      </c>
      <c r="O743" s="5">
        <v>1</v>
      </c>
      <c r="P743" s="5">
        <v>15177</v>
      </c>
    </row>
    <row r="744" spans="1:16" x14ac:dyDescent="0.3">
      <c r="A744" s="5">
        <v>65</v>
      </c>
      <c r="B744" s="5" t="s">
        <v>110</v>
      </c>
      <c r="C744" s="5">
        <v>2</v>
      </c>
      <c r="D744" s="5" t="s">
        <v>88</v>
      </c>
      <c r="E744" s="5">
        <v>2022</v>
      </c>
      <c r="F744" s="5">
        <v>12</v>
      </c>
      <c r="G744" s="5" t="s">
        <v>45</v>
      </c>
      <c r="H744" s="5">
        <v>6661439</v>
      </c>
      <c r="I744" s="5">
        <v>5566295.3799999999</v>
      </c>
      <c r="J744" s="5">
        <v>78</v>
      </c>
      <c r="K744" s="5">
        <v>466159</v>
      </c>
      <c r="L744" s="5">
        <v>7100910</v>
      </c>
      <c r="M744" s="5">
        <v>1095143.6200000001</v>
      </c>
      <c r="N744" s="5">
        <v>0.16439999999999999</v>
      </c>
      <c r="O744" s="5">
        <v>8</v>
      </c>
      <c r="P744" s="5">
        <v>663677</v>
      </c>
    </row>
    <row r="745" spans="1:16" x14ac:dyDescent="0.3">
      <c r="A745" s="5">
        <v>89</v>
      </c>
      <c r="B745" s="5" t="s">
        <v>110</v>
      </c>
      <c r="C745" s="5">
        <v>2</v>
      </c>
      <c r="D745" s="5" t="s">
        <v>88</v>
      </c>
      <c r="E745" s="5">
        <v>2022</v>
      </c>
      <c r="F745" s="5">
        <v>12</v>
      </c>
      <c r="G745" s="5" t="s">
        <v>45</v>
      </c>
      <c r="H745" s="5">
        <v>3816677</v>
      </c>
      <c r="I745" s="5">
        <v>3101721.93</v>
      </c>
      <c r="J745" s="5">
        <v>56</v>
      </c>
      <c r="K745" s="5">
        <v>254862</v>
      </c>
      <c r="L745" s="5">
        <v>4058050</v>
      </c>
      <c r="M745" s="5">
        <v>714955.07</v>
      </c>
      <c r="N745" s="5">
        <v>0.18729999999999999</v>
      </c>
      <c r="O745" s="5">
        <v>7</v>
      </c>
      <c r="P745" s="5">
        <v>25145</v>
      </c>
    </row>
    <row r="746" spans="1:16" x14ac:dyDescent="0.3">
      <c r="A746" s="5">
        <v>103</v>
      </c>
      <c r="B746" s="5" t="s">
        <v>110</v>
      </c>
      <c r="C746" s="5">
        <v>2</v>
      </c>
      <c r="D746" s="5" t="s">
        <v>88</v>
      </c>
      <c r="E746" s="5">
        <v>2022</v>
      </c>
      <c r="F746" s="5">
        <v>12</v>
      </c>
      <c r="G746" s="5" t="s">
        <v>45</v>
      </c>
      <c r="H746" s="5">
        <v>7403698</v>
      </c>
      <c r="I746" s="5">
        <v>6161119.8399999999</v>
      </c>
      <c r="J746" s="5">
        <v>77</v>
      </c>
      <c r="K746" s="5">
        <v>447330</v>
      </c>
      <c r="L746" s="5">
        <v>7827640</v>
      </c>
      <c r="M746" s="5">
        <v>1242578.1599999999</v>
      </c>
      <c r="N746" s="5">
        <v>0.1678</v>
      </c>
      <c r="O746" s="5">
        <v>10</v>
      </c>
      <c r="P746" s="5">
        <v>307068</v>
      </c>
    </row>
    <row r="747" spans="1:16" x14ac:dyDescent="0.3">
      <c r="A747" s="5">
        <v>114</v>
      </c>
      <c r="B747" s="5" t="s">
        <v>110</v>
      </c>
      <c r="C747" s="5">
        <v>2</v>
      </c>
      <c r="D747" s="5" t="s">
        <v>88</v>
      </c>
      <c r="E747" s="5">
        <v>2022</v>
      </c>
      <c r="F747" s="5">
        <v>12</v>
      </c>
      <c r="G747" s="5" t="s">
        <v>45</v>
      </c>
      <c r="H747" s="5">
        <v>4334698</v>
      </c>
      <c r="I747" s="5">
        <v>3675670.88</v>
      </c>
      <c r="J747" s="5">
        <v>54</v>
      </c>
      <c r="K747" s="5">
        <v>320412</v>
      </c>
      <c r="L747" s="5">
        <v>4650380</v>
      </c>
      <c r="M747" s="5">
        <v>659027.12</v>
      </c>
      <c r="N747" s="5">
        <v>0.152</v>
      </c>
      <c r="O747" s="5">
        <v>8</v>
      </c>
      <c r="P747" s="5">
        <v>317233</v>
      </c>
    </row>
    <row r="748" spans="1:16" x14ac:dyDescent="0.3">
      <c r="A748" s="5">
        <v>11</v>
      </c>
      <c r="B748" s="5" t="s">
        <v>110</v>
      </c>
      <c r="C748" s="5">
        <v>2</v>
      </c>
      <c r="D748" s="5" t="s">
        <v>88</v>
      </c>
      <c r="E748" s="5">
        <v>2023</v>
      </c>
      <c r="F748" s="5">
        <v>1</v>
      </c>
      <c r="G748" s="5" t="s">
        <v>46</v>
      </c>
      <c r="H748" s="5">
        <v>1844758</v>
      </c>
      <c r="I748" s="5">
        <v>1544936.45</v>
      </c>
      <c r="J748" s="5">
        <v>34</v>
      </c>
      <c r="K748" s="5">
        <v>142477</v>
      </c>
      <c r="L748" s="5">
        <v>1976610</v>
      </c>
      <c r="M748" s="5">
        <v>299821.55</v>
      </c>
      <c r="N748" s="5">
        <v>0.16250000000000001</v>
      </c>
      <c r="O748" s="5">
        <v>3</v>
      </c>
      <c r="P748" s="5">
        <v>14571</v>
      </c>
    </row>
    <row r="749" spans="1:16" x14ac:dyDescent="0.3">
      <c r="A749" s="5">
        <v>65</v>
      </c>
      <c r="B749" s="5" t="s">
        <v>110</v>
      </c>
      <c r="C749" s="5">
        <v>2</v>
      </c>
      <c r="D749" s="5" t="s">
        <v>88</v>
      </c>
      <c r="E749" s="5">
        <v>2023</v>
      </c>
      <c r="F749" s="5">
        <v>1</v>
      </c>
      <c r="G749" s="5" t="s">
        <v>46</v>
      </c>
      <c r="H749" s="5">
        <v>3944875</v>
      </c>
      <c r="I749" s="5">
        <v>3536246.41</v>
      </c>
      <c r="J749" s="5">
        <v>54</v>
      </c>
      <c r="K749" s="5">
        <v>570974</v>
      </c>
      <c r="L749" s="5">
        <v>4501230</v>
      </c>
      <c r="M749" s="5">
        <v>408628.59</v>
      </c>
      <c r="N749" s="5">
        <v>0.1036</v>
      </c>
      <c r="O749" s="5">
        <v>5</v>
      </c>
      <c r="P749" s="5">
        <v>122141</v>
      </c>
    </row>
    <row r="750" spans="1:16" x14ac:dyDescent="0.3">
      <c r="A750" s="5">
        <v>89</v>
      </c>
      <c r="B750" s="5" t="s">
        <v>110</v>
      </c>
      <c r="C750" s="5">
        <v>2</v>
      </c>
      <c r="D750" s="5" t="s">
        <v>88</v>
      </c>
      <c r="E750" s="5">
        <v>2023</v>
      </c>
      <c r="F750" s="5">
        <v>1</v>
      </c>
      <c r="G750" s="5" t="s">
        <v>46</v>
      </c>
      <c r="H750" s="5">
        <v>1853639</v>
      </c>
      <c r="I750" s="5">
        <v>1642691.47</v>
      </c>
      <c r="J750" s="5">
        <v>39</v>
      </c>
      <c r="K750" s="5">
        <v>281748</v>
      </c>
      <c r="L750" s="5">
        <v>2126680</v>
      </c>
      <c r="M750" s="5">
        <v>210947.53</v>
      </c>
      <c r="N750" s="5">
        <v>0.1138</v>
      </c>
      <c r="O750" s="5">
        <v>0</v>
      </c>
      <c r="P750" s="5">
        <v>0</v>
      </c>
    </row>
    <row r="751" spans="1:16" x14ac:dyDescent="0.3">
      <c r="A751" s="5">
        <v>103</v>
      </c>
      <c r="B751" s="5" t="s">
        <v>110</v>
      </c>
      <c r="C751" s="5">
        <v>2</v>
      </c>
      <c r="D751" s="5" t="s">
        <v>88</v>
      </c>
      <c r="E751" s="5">
        <v>2023</v>
      </c>
      <c r="F751" s="5">
        <v>1</v>
      </c>
      <c r="G751" s="5" t="s">
        <v>46</v>
      </c>
      <c r="H751" s="5">
        <v>3111147</v>
      </c>
      <c r="I751" s="5">
        <v>2704550.55</v>
      </c>
      <c r="J751" s="5">
        <v>60</v>
      </c>
      <c r="K751" s="5">
        <v>418569</v>
      </c>
      <c r="L751" s="5">
        <v>3517730</v>
      </c>
      <c r="M751" s="5">
        <v>406596.45</v>
      </c>
      <c r="N751" s="5">
        <v>0.13070000000000001</v>
      </c>
      <c r="O751" s="5">
        <v>6</v>
      </c>
      <c r="P751" s="5">
        <v>146764</v>
      </c>
    </row>
    <row r="752" spans="1:16" x14ac:dyDescent="0.3">
      <c r="A752" s="5">
        <v>114</v>
      </c>
      <c r="B752" s="5" t="s">
        <v>110</v>
      </c>
      <c r="C752" s="5">
        <v>2</v>
      </c>
      <c r="D752" s="5" t="s">
        <v>88</v>
      </c>
      <c r="E752" s="5">
        <v>2023</v>
      </c>
      <c r="F752" s="5">
        <v>1</v>
      </c>
      <c r="G752" s="5" t="s">
        <v>46</v>
      </c>
      <c r="H752" s="5">
        <v>2927415</v>
      </c>
      <c r="I752" s="5">
        <v>2577481.7599999998</v>
      </c>
      <c r="J752" s="5">
        <v>44</v>
      </c>
      <c r="K752" s="5">
        <v>397045</v>
      </c>
      <c r="L752" s="5">
        <v>3311620</v>
      </c>
      <c r="M752" s="5">
        <v>349933.24</v>
      </c>
      <c r="N752" s="5">
        <v>0.1195</v>
      </c>
      <c r="O752" s="5">
        <v>4</v>
      </c>
      <c r="P752" s="5">
        <v>122124</v>
      </c>
    </row>
    <row r="753" spans="1:16" x14ac:dyDescent="0.3">
      <c r="A753" s="5">
        <v>11</v>
      </c>
      <c r="B753" s="5" t="s">
        <v>110</v>
      </c>
      <c r="C753" s="5">
        <v>2</v>
      </c>
      <c r="D753" s="5" t="s">
        <v>88</v>
      </c>
      <c r="E753" s="5">
        <v>2023</v>
      </c>
      <c r="F753" s="5">
        <v>2</v>
      </c>
      <c r="G753" s="5" t="s">
        <v>47</v>
      </c>
      <c r="H753" s="5">
        <v>2522758</v>
      </c>
      <c r="I753" s="5">
        <v>2129429.16</v>
      </c>
      <c r="J753" s="5">
        <v>45</v>
      </c>
      <c r="K753" s="5">
        <v>293271</v>
      </c>
      <c r="L753" s="5">
        <v>2801380</v>
      </c>
      <c r="M753" s="5">
        <v>393328.84</v>
      </c>
      <c r="N753" s="5">
        <v>0.15590000000000001</v>
      </c>
      <c r="O753" s="5">
        <v>3</v>
      </c>
      <c r="P753" s="5">
        <v>64213</v>
      </c>
    </row>
    <row r="754" spans="1:16" x14ac:dyDescent="0.3">
      <c r="A754" s="5">
        <v>65</v>
      </c>
      <c r="B754" s="5" t="s">
        <v>110</v>
      </c>
      <c r="C754" s="5">
        <v>2</v>
      </c>
      <c r="D754" s="5" t="s">
        <v>88</v>
      </c>
      <c r="E754" s="5">
        <v>2023</v>
      </c>
      <c r="F754" s="5">
        <v>2</v>
      </c>
      <c r="G754" s="5" t="s">
        <v>47</v>
      </c>
      <c r="H754" s="5">
        <v>2814278</v>
      </c>
      <c r="I754" s="5">
        <v>2571912.15</v>
      </c>
      <c r="J754" s="5">
        <v>41</v>
      </c>
      <c r="K754" s="5">
        <v>474613</v>
      </c>
      <c r="L754" s="5">
        <v>3284350</v>
      </c>
      <c r="M754" s="5">
        <v>242365.85</v>
      </c>
      <c r="N754" s="5">
        <v>8.6099999999999996E-2</v>
      </c>
      <c r="O754" s="5">
        <v>3</v>
      </c>
      <c r="P754" s="5">
        <v>199800</v>
      </c>
    </row>
    <row r="755" spans="1:16" x14ac:dyDescent="0.3">
      <c r="A755" s="5">
        <v>89</v>
      </c>
      <c r="B755" s="5" t="s">
        <v>110</v>
      </c>
      <c r="C755" s="5">
        <v>2</v>
      </c>
      <c r="D755" s="5" t="s">
        <v>88</v>
      </c>
      <c r="E755" s="5">
        <v>2023</v>
      </c>
      <c r="F755" s="5">
        <v>2</v>
      </c>
      <c r="G755" s="5" t="s">
        <v>47</v>
      </c>
      <c r="H755" s="5">
        <v>3379090</v>
      </c>
      <c r="I755" s="5">
        <v>2958083.91</v>
      </c>
      <c r="J755" s="5">
        <v>43</v>
      </c>
      <c r="K755" s="5">
        <v>441070</v>
      </c>
      <c r="L755" s="5">
        <v>3812140</v>
      </c>
      <c r="M755" s="5">
        <v>421006.09</v>
      </c>
      <c r="N755" s="5">
        <v>0.1246</v>
      </c>
      <c r="O755" s="5">
        <v>4</v>
      </c>
      <c r="P755" s="5">
        <v>23236</v>
      </c>
    </row>
    <row r="756" spans="1:16" x14ac:dyDescent="0.3">
      <c r="A756" s="5">
        <v>103</v>
      </c>
      <c r="B756" s="5" t="s">
        <v>110</v>
      </c>
      <c r="C756" s="5">
        <v>2</v>
      </c>
      <c r="D756" s="5" t="s">
        <v>88</v>
      </c>
      <c r="E756" s="5">
        <v>2023</v>
      </c>
      <c r="F756" s="5">
        <v>2</v>
      </c>
      <c r="G756" s="5" t="s">
        <v>47</v>
      </c>
      <c r="H756" s="5">
        <v>4326499</v>
      </c>
      <c r="I756" s="5">
        <v>3845910.28</v>
      </c>
      <c r="J756" s="5">
        <v>55</v>
      </c>
      <c r="K756" s="5">
        <v>552466</v>
      </c>
      <c r="L756" s="5">
        <v>4862370</v>
      </c>
      <c r="M756" s="5">
        <v>480588.72</v>
      </c>
      <c r="N756" s="5">
        <v>0.1111</v>
      </c>
      <c r="O756" s="5">
        <v>5</v>
      </c>
      <c r="P756" s="5">
        <v>15633</v>
      </c>
    </row>
    <row r="757" spans="1:16" x14ac:dyDescent="0.3">
      <c r="A757" s="5">
        <v>114</v>
      </c>
      <c r="B757" s="5" t="s">
        <v>110</v>
      </c>
      <c r="C757" s="5">
        <v>2</v>
      </c>
      <c r="D757" s="5" t="s">
        <v>88</v>
      </c>
      <c r="E757" s="5">
        <v>2023</v>
      </c>
      <c r="F757" s="5">
        <v>2</v>
      </c>
      <c r="G757" s="5" t="s">
        <v>47</v>
      </c>
      <c r="H757" s="5">
        <v>2315445</v>
      </c>
      <c r="I757" s="5">
        <v>1984260.96</v>
      </c>
      <c r="J757" s="5">
        <v>34</v>
      </c>
      <c r="K757" s="5">
        <v>291140</v>
      </c>
      <c r="L757" s="5">
        <v>2600720</v>
      </c>
      <c r="M757" s="5">
        <v>331184.03999999998</v>
      </c>
      <c r="N757" s="5">
        <v>0.14299999999999999</v>
      </c>
      <c r="O757" s="5">
        <v>1</v>
      </c>
      <c r="P757" s="5">
        <v>4471</v>
      </c>
    </row>
    <row r="758" spans="1:16" x14ac:dyDescent="0.3">
      <c r="A758" s="5">
        <v>11</v>
      </c>
      <c r="B758" s="5" t="s">
        <v>110</v>
      </c>
      <c r="C758" s="5">
        <v>2</v>
      </c>
      <c r="D758" s="5" t="s">
        <v>88</v>
      </c>
      <c r="E758" s="5">
        <v>2023</v>
      </c>
      <c r="F758" s="5">
        <v>3</v>
      </c>
      <c r="G758" s="5" t="s">
        <v>48</v>
      </c>
      <c r="H758" s="5">
        <v>1890987</v>
      </c>
      <c r="I758" s="5">
        <v>1684687.89</v>
      </c>
      <c r="J758" s="5">
        <v>33</v>
      </c>
      <c r="K758" s="5">
        <v>286877</v>
      </c>
      <c r="L758" s="5">
        <v>2176310</v>
      </c>
      <c r="M758" s="5">
        <v>206299.11</v>
      </c>
      <c r="N758" s="5">
        <v>0.1091</v>
      </c>
      <c r="O758" s="5">
        <v>6</v>
      </c>
      <c r="P758" s="5">
        <v>58269</v>
      </c>
    </row>
    <row r="759" spans="1:16" x14ac:dyDescent="0.3">
      <c r="A759" s="5">
        <v>65</v>
      </c>
      <c r="B759" s="5" t="s">
        <v>110</v>
      </c>
      <c r="C759" s="5">
        <v>2</v>
      </c>
      <c r="D759" s="5" t="s">
        <v>88</v>
      </c>
      <c r="E759" s="5">
        <v>2023</v>
      </c>
      <c r="F759" s="5">
        <v>3</v>
      </c>
      <c r="G759" s="5" t="s">
        <v>48</v>
      </c>
      <c r="H759" s="5">
        <v>2864551</v>
      </c>
      <c r="I759" s="5">
        <v>2392553.41</v>
      </c>
      <c r="J759" s="5">
        <v>57</v>
      </c>
      <c r="K759" s="5">
        <v>170229</v>
      </c>
      <c r="L759" s="5">
        <v>3013610</v>
      </c>
      <c r="M759" s="5">
        <v>471997.59</v>
      </c>
      <c r="N759" s="5">
        <v>0.1648</v>
      </c>
      <c r="O759" s="5">
        <v>8</v>
      </c>
      <c r="P759" s="5">
        <v>154870</v>
      </c>
    </row>
    <row r="760" spans="1:16" x14ac:dyDescent="0.3">
      <c r="A760" s="5">
        <v>89</v>
      </c>
      <c r="B760" s="5" t="s">
        <v>110</v>
      </c>
      <c r="C760" s="5">
        <v>2</v>
      </c>
      <c r="D760" s="5" t="s">
        <v>88</v>
      </c>
      <c r="E760" s="5">
        <v>2023</v>
      </c>
      <c r="F760" s="5">
        <v>3</v>
      </c>
      <c r="G760" s="5" t="s">
        <v>48</v>
      </c>
      <c r="H760" s="5">
        <v>2935937</v>
      </c>
      <c r="I760" s="5">
        <v>2779872.93</v>
      </c>
      <c r="J760" s="5">
        <v>35</v>
      </c>
      <c r="K760" s="5">
        <v>591871</v>
      </c>
      <c r="L760" s="5">
        <v>3524920</v>
      </c>
      <c r="M760" s="5">
        <v>156064.07</v>
      </c>
      <c r="N760" s="5">
        <v>5.3199999999999997E-2</v>
      </c>
      <c r="O760" s="5">
        <v>6</v>
      </c>
      <c r="P760" s="5">
        <v>258198</v>
      </c>
    </row>
    <row r="761" spans="1:16" x14ac:dyDescent="0.3">
      <c r="A761" s="5">
        <v>103</v>
      </c>
      <c r="B761" s="5" t="s">
        <v>110</v>
      </c>
      <c r="C761" s="5">
        <v>2</v>
      </c>
      <c r="D761" s="5" t="s">
        <v>88</v>
      </c>
      <c r="E761" s="5">
        <v>2023</v>
      </c>
      <c r="F761" s="5">
        <v>3</v>
      </c>
      <c r="G761" s="5" t="s">
        <v>48</v>
      </c>
      <c r="H761" s="5">
        <v>3757384</v>
      </c>
      <c r="I761" s="5">
        <v>3248607.3</v>
      </c>
      <c r="J761" s="5">
        <v>64</v>
      </c>
      <c r="K761" s="5">
        <v>410522</v>
      </c>
      <c r="L761" s="5">
        <v>4158120</v>
      </c>
      <c r="M761" s="5">
        <v>508776.7</v>
      </c>
      <c r="N761" s="5">
        <v>0.13539999999999999</v>
      </c>
      <c r="O761" s="5">
        <v>1</v>
      </c>
      <c r="P761" s="5">
        <v>6875</v>
      </c>
    </row>
    <row r="762" spans="1:16" x14ac:dyDescent="0.3">
      <c r="A762" s="5">
        <v>114</v>
      </c>
      <c r="B762" s="5" t="s">
        <v>110</v>
      </c>
      <c r="C762" s="5">
        <v>2</v>
      </c>
      <c r="D762" s="5" t="s">
        <v>88</v>
      </c>
      <c r="E762" s="5">
        <v>2023</v>
      </c>
      <c r="F762" s="5">
        <v>3</v>
      </c>
      <c r="G762" s="5" t="s">
        <v>48</v>
      </c>
      <c r="H762" s="5">
        <v>3043165</v>
      </c>
      <c r="I762" s="5">
        <v>2756259.56</v>
      </c>
      <c r="J762" s="5">
        <v>56</v>
      </c>
      <c r="K762" s="5">
        <v>543651</v>
      </c>
      <c r="L762" s="5">
        <v>3579660</v>
      </c>
      <c r="M762" s="5">
        <v>286905.44</v>
      </c>
      <c r="N762" s="5">
        <v>9.4299999999999995E-2</v>
      </c>
      <c r="O762" s="5">
        <v>7</v>
      </c>
      <c r="P762" s="5">
        <v>212278</v>
      </c>
    </row>
    <row r="763" spans="1:16" x14ac:dyDescent="0.3">
      <c r="A763" s="5">
        <v>11</v>
      </c>
      <c r="B763" s="5" t="s">
        <v>110</v>
      </c>
      <c r="C763" s="5">
        <v>2</v>
      </c>
      <c r="D763" s="5" t="s">
        <v>88</v>
      </c>
      <c r="E763" s="5">
        <v>2023</v>
      </c>
      <c r="F763" s="5">
        <v>4</v>
      </c>
      <c r="G763" s="5" t="s">
        <v>49</v>
      </c>
      <c r="H763" s="5">
        <v>3041094</v>
      </c>
      <c r="I763" s="5">
        <v>2697055.53</v>
      </c>
      <c r="J763" s="5">
        <v>56</v>
      </c>
      <c r="K763" s="5">
        <v>402007</v>
      </c>
      <c r="L763" s="5">
        <v>3435630</v>
      </c>
      <c r="M763" s="5">
        <v>344038.47</v>
      </c>
      <c r="N763" s="5">
        <v>0.11310000000000001</v>
      </c>
      <c r="O763" s="5">
        <v>7</v>
      </c>
      <c r="P763" s="5">
        <v>237475</v>
      </c>
    </row>
    <row r="764" spans="1:16" x14ac:dyDescent="0.3">
      <c r="A764" s="5">
        <v>65</v>
      </c>
      <c r="B764" s="5" t="s">
        <v>110</v>
      </c>
      <c r="C764" s="5">
        <v>2</v>
      </c>
      <c r="D764" s="5" t="s">
        <v>88</v>
      </c>
      <c r="E764" s="5">
        <v>2023</v>
      </c>
      <c r="F764" s="5">
        <v>4</v>
      </c>
      <c r="G764" s="5" t="s">
        <v>49</v>
      </c>
      <c r="H764" s="5">
        <v>5362186</v>
      </c>
      <c r="I764" s="5">
        <v>4836020.16</v>
      </c>
      <c r="J764" s="5">
        <v>74</v>
      </c>
      <c r="K764" s="5">
        <v>835496</v>
      </c>
      <c r="L764" s="5">
        <v>6183860</v>
      </c>
      <c r="M764" s="5">
        <v>526165.84</v>
      </c>
      <c r="N764" s="5">
        <v>9.8100000000000007E-2</v>
      </c>
      <c r="O764" s="5">
        <v>7</v>
      </c>
      <c r="P764" s="5">
        <v>98858</v>
      </c>
    </row>
    <row r="765" spans="1:16" x14ac:dyDescent="0.3">
      <c r="A765" s="5">
        <v>89</v>
      </c>
      <c r="B765" s="5" t="s">
        <v>110</v>
      </c>
      <c r="C765" s="5">
        <v>2</v>
      </c>
      <c r="D765" s="5" t="s">
        <v>88</v>
      </c>
      <c r="E765" s="5">
        <v>2023</v>
      </c>
      <c r="F765" s="5">
        <v>4</v>
      </c>
      <c r="G765" s="5" t="s">
        <v>49</v>
      </c>
      <c r="H765" s="5">
        <v>3309559</v>
      </c>
      <c r="I765" s="5">
        <v>2874545.49</v>
      </c>
      <c r="J765" s="5">
        <v>35</v>
      </c>
      <c r="K765" s="5">
        <v>341026</v>
      </c>
      <c r="L765" s="5">
        <v>3636900</v>
      </c>
      <c r="M765" s="5">
        <v>435013.51</v>
      </c>
      <c r="N765" s="5">
        <v>0.13139999999999999</v>
      </c>
      <c r="O765" s="5">
        <v>3</v>
      </c>
      <c r="P765" s="5">
        <v>101088</v>
      </c>
    </row>
    <row r="766" spans="1:16" x14ac:dyDescent="0.3">
      <c r="A766" s="5">
        <v>103</v>
      </c>
      <c r="B766" s="5" t="s">
        <v>110</v>
      </c>
      <c r="C766" s="5">
        <v>2</v>
      </c>
      <c r="D766" s="5" t="s">
        <v>88</v>
      </c>
      <c r="E766" s="5">
        <v>2023</v>
      </c>
      <c r="F766" s="5">
        <v>4</v>
      </c>
      <c r="G766" s="5" t="s">
        <v>49</v>
      </c>
      <c r="H766" s="5">
        <v>3721222</v>
      </c>
      <c r="I766" s="5">
        <v>3319972.45</v>
      </c>
      <c r="J766" s="5">
        <v>62</v>
      </c>
      <c r="K766" s="5">
        <v>586103</v>
      </c>
      <c r="L766" s="5">
        <v>4293430</v>
      </c>
      <c r="M766" s="5">
        <v>401249.55</v>
      </c>
      <c r="N766" s="5">
        <v>0.10780000000000001</v>
      </c>
      <c r="O766" s="5">
        <v>4</v>
      </c>
      <c r="P766" s="5">
        <v>154481</v>
      </c>
    </row>
    <row r="767" spans="1:16" x14ac:dyDescent="0.3">
      <c r="A767" s="5">
        <v>114</v>
      </c>
      <c r="B767" s="5" t="s">
        <v>110</v>
      </c>
      <c r="C767" s="5">
        <v>2</v>
      </c>
      <c r="D767" s="5" t="s">
        <v>88</v>
      </c>
      <c r="E767" s="5">
        <v>2023</v>
      </c>
      <c r="F767" s="5">
        <v>4</v>
      </c>
      <c r="G767" s="5" t="s">
        <v>49</v>
      </c>
      <c r="H767" s="5">
        <v>2308660</v>
      </c>
      <c r="I767" s="5">
        <v>1940796.25</v>
      </c>
      <c r="J767" s="5">
        <v>47</v>
      </c>
      <c r="K767" s="5">
        <v>283830</v>
      </c>
      <c r="L767" s="5">
        <v>2583770</v>
      </c>
      <c r="M767" s="5">
        <v>367863.75</v>
      </c>
      <c r="N767" s="5">
        <v>0.1593</v>
      </c>
      <c r="O767" s="5">
        <v>6</v>
      </c>
      <c r="P767" s="5">
        <v>134001</v>
      </c>
    </row>
    <row r="768" spans="1:16" x14ac:dyDescent="0.3">
      <c r="A768" s="5">
        <v>11</v>
      </c>
      <c r="B768" s="5" t="s">
        <v>110</v>
      </c>
      <c r="C768" s="5">
        <v>2</v>
      </c>
      <c r="D768" s="5" t="s">
        <v>88</v>
      </c>
      <c r="E768" s="5">
        <v>2023</v>
      </c>
      <c r="F768" s="5">
        <v>5</v>
      </c>
      <c r="G768" s="5" t="s">
        <v>50</v>
      </c>
      <c r="H768" s="5">
        <v>2952114</v>
      </c>
      <c r="I768" s="5">
        <v>2482770.61</v>
      </c>
      <c r="J768" s="5">
        <v>52</v>
      </c>
      <c r="K768" s="5">
        <v>255691</v>
      </c>
      <c r="L768" s="5">
        <v>3197340</v>
      </c>
      <c r="M768" s="5">
        <v>469343.39</v>
      </c>
      <c r="N768" s="5">
        <v>0.159</v>
      </c>
      <c r="O768" s="5">
        <v>1</v>
      </c>
      <c r="P768" s="5">
        <v>1244</v>
      </c>
    </row>
    <row r="769" spans="1:16" x14ac:dyDescent="0.3">
      <c r="A769" s="5">
        <v>65</v>
      </c>
      <c r="B769" s="5" t="s">
        <v>110</v>
      </c>
      <c r="C769" s="5">
        <v>2</v>
      </c>
      <c r="D769" s="5" t="s">
        <v>88</v>
      </c>
      <c r="E769" s="5">
        <v>2023</v>
      </c>
      <c r="F769" s="5">
        <v>5</v>
      </c>
      <c r="G769" s="5" t="s">
        <v>50</v>
      </c>
      <c r="H769" s="5">
        <v>4230315</v>
      </c>
      <c r="I769" s="5">
        <v>3743559.29</v>
      </c>
      <c r="J769" s="5">
        <v>54</v>
      </c>
      <c r="K769" s="5">
        <v>492481</v>
      </c>
      <c r="L769" s="5">
        <v>4713150</v>
      </c>
      <c r="M769" s="5">
        <v>486755.71</v>
      </c>
      <c r="N769" s="5">
        <v>0.11509999999999999</v>
      </c>
      <c r="O769" s="5">
        <v>7</v>
      </c>
      <c r="P769" s="5">
        <v>95073</v>
      </c>
    </row>
    <row r="770" spans="1:16" x14ac:dyDescent="0.3">
      <c r="A770" s="5">
        <v>89</v>
      </c>
      <c r="B770" s="5" t="s">
        <v>110</v>
      </c>
      <c r="C770" s="5">
        <v>2</v>
      </c>
      <c r="D770" s="5" t="s">
        <v>88</v>
      </c>
      <c r="E770" s="5">
        <v>2023</v>
      </c>
      <c r="F770" s="5">
        <v>5</v>
      </c>
      <c r="G770" s="5" t="s">
        <v>50</v>
      </c>
      <c r="H770" s="5">
        <v>3114556</v>
      </c>
      <c r="I770" s="5">
        <v>2744079.2</v>
      </c>
      <c r="J770" s="5">
        <v>57</v>
      </c>
      <c r="K770" s="5">
        <v>397100</v>
      </c>
      <c r="L770" s="5">
        <v>3501820</v>
      </c>
      <c r="M770" s="5">
        <v>370476.79999999999</v>
      </c>
      <c r="N770" s="5">
        <v>0.11899999999999999</v>
      </c>
      <c r="O770" s="5">
        <v>3</v>
      </c>
      <c r="P770" s="5">
        <v>146952</v>
      </c>
    </row>
    <row r="771" spans="1:16" x14ac:dyDescent="0.3">
      <c r="A771" s="5">
        <v>103</v>
      </c>
      <c r="B771" s="5" t="s">
        <v>110</v>
      </c>
      <c r="C771" s="5">
        <v>2</v>
      </c>
      <c r="D771" s="5" t="s">
        <v>88</v>
      </c>
      <c r="E771" s="5">
        <v>2023</v>
      </c>
      <c r="F771" s="5">
        <v>5</v>
      </c>
      <c r="G771" s="5" t="s">
        <v>50</v>
      </c>
      <c r="H771" s="5">
        <v>4328410</v>
      </c>
      <c r="I771" s="5">
        <v>3715432.73</v>
      </c>
      <c r="J771" s="5">
        <v>66</v>
      </c>
      <c r="K771" s="5">
        <v>432449</v>
      </c>
      <c r="L771" s="5">
        <v>4744350</v>
      </c>
      <c r="M771" s="5">
        <v>612977.27</v>
      </c>
      <c r="N771" s="5">
        <v>0.1416</v>
      </c>
      <c r="O771" s="5">
        <v>2</v>
      </c>
      <c r="P771" s="5">
        <v>1880</v>
      </c>
    </row>
    <row r="772" spans="1:16" x14ac:dyDescent="0.3">
      <c r="A772" s="5">
        <v>114</v>
      </c>
      <c r="B772" s="5" t="s">
        <v>110</v>
      </c>
      <c r="C772" s="5">
        <v>2</v>
      </c>
      <c r="D772" s="5" t="s">
        <v>88</v>
      </c>
      <c r="E772" s="5">
        <v>2023</v>
      </c>
      <c r="F772" s="5">
        <v>5</v>
      </c>
      <c r="G772" s="5" t="s">
        <v>50</v>
      </c>
      <c r="H772" s="5">
        <v>3602477</v>
      </c>
      <c r="I772" s="5">
        <v>3123707.45</v>
      </c>
      <c r="J772" s="5">
        <v>56</v>
      </c>
      <c r="K772" s="5">
        <v>455401</v>
      </c>
      <c r="L772" s="5">
        <v>4045840</v>
      </c>
      <c r="M772" s="5">
        <v>478769.55</v>
      </c>
      <c r="N772" s="5">
        <v>0.13289999999999999</v>
      </c>
      <c r="O772" s="5">
        <v>3</v>
      </c>
      <c r="P772" s="5">
        <v>31045</v>
      </c>
    </row>
    <row r="773" spans="1:16" x14ac:dyDescent="0.3">
      <c r="A773" s="5">
        <v>11</v>
      </c>
      <c r="B773" s="5" t="s">
        <v>110</v>
      </c>
      <c r="C773" s="5">
        <v>2</v>
      </c>
      <c r="D773" s="5" t="s">
        <v>88</v>
      </c>
      <c r="E773" s="5">
        <v>2023</v>
      </c>
      <c r="F773" s="5">
        <v>6</v>
      </c>
      <c r="G773" s="5" t="s">
        <v>51</v>
      </c>
      <c r="H773" s="5">
        <v>3898462</v>
      </c>
      <c r="I773" s="5">
        <v>3225469.89</v>
      </c>
      <c r="J773" s="5">
        <v>56</v>
      </c>
      <c r="K773" s="5">
        <v>314424</v>
      </c>
      <c r="L773" s="5">
        <v>4205500</v>
      </c>
      <c r="M773" s="5">
        <v>672992.11</v>
      </c>
      <c r="N773" s="5">
        <v>0.1726</v>
      </c>
      <c r="O773" s="5">
        <v>4</v>
      </c>
      <c r="P773" s="5">
        <v>54780</v>
      </c>
    </row>
    <row r="774" spans="1:16" x14ac:dyDescent="0.3">
      <c r="A774" s="5">
        <v>65</v>
      </c>
      <c r="B774" s="5" t="s">
        <v>110</v>
      </c>
      <c r="C774" s="5">
        <v>2</v>
      </c>
      <c r="D774" s="5" t="s">
        <v>88</v>
      </c>
      <c r="E774" s="5">
        <v>2023</v>
      </c>
      <c r="F774" s="5">
        <v>6</v>
      </c>
      <c r="G774" s="5" t="s">
        <v>51</v>
      </c>
      <c r="H774" s="5">
        <v>5484499</v>
      </c>
      <c r="I774" s="5">
        <v>4588728.83</v>
      </c>
      <c r="J774" s="5">
        <v>70</v>
      </c>
      <c r="K774" s="5">
        <v>394799</v>
      </c>
      <c r="L774" s="5">
        <v>5851720</v>
      </c>
      <c r="M774" s="5">
        <v>895770.17</v>
      </c>
      <c r="N774" s="5">
        <v>0.1633</v>
      </c>
      <c r="O774" s="5">
        <v>6</v>
      </c>
      <c r="P774" s="5">
        <v>439992</v>
      </c>
    </row>
    <row r="775" spans="1:16" x14ac:dyDescent="0.3">
      <c r="A775" s="5">
        <v>89</v>
      </c>
      <c r="B775" s="5" t="s">
        <v>110</v>
      </c>
      <c r="C775" s="5">
        <v>2</v>
      </c>
      <c r="D775" s="5" t="s">
        <v>88</v>
      </c>
      <c r="E775" s="5">
        <v>2023</v>
      </c>
      <c r="F775" s="5">
        <v>6</v>
      </c>
      <c r="G775" s="5" t="s">
        <v>51</v>
      </c>
      <c r="H775" s="5">
        <v>3281832</v>
      </c>
      <c r="I775" s="5">
        <v>2941257.97</v>
      </c>
      <c r="J775" s="5">
        <v>48</v>
      </c>
      <c r="K775" s="5">
        <v>439909</v>
      </c>
      <c r="L775" s="5">
        <v>3716150</v>
      </c>
      <c r="M775" s="5">
        <v>340574.03</v>
      </c>
      <c r="N775" s="5">
        <v>0.1038</v>
      </c>
      <c r="O775" s="5">
        <v>2</v>
      </c>
      <c r="P775" s="5">
        <v>23739</v>
      </c>
    </row>
    <row r="776" spans="1:16" x14ac:dyDescent="0.3">
      <c r="A776" s="5">
        <v>103</v>
      </c>
      <c r="B776" s="5" t="s">
        <v>110</v>
      </c>
      <c r="C776" s="5">
        <v>2</v>
      </c>
      <c r="D776" s="5" t="s">
        <v>88</v>
      </c>
      <c r="E776" s="5">
        <v>2023</v>
      </c>
      <c r="F776" s="5">
        <v>6</v>
      </c>
      <c r="G776" s="5" t="s">
        <v>51</v>
      </c>
      <c r="H776" s="5">
        <v>6116483</v>
      </c>
      <c r="I776" s="5">
        <v>5081424.1100000003</v>
      </c>
      <c r="J776" s="5">
        <v>76</v>
      </c>
      <c r="K776" s="5">
        <v>526384</v>
      </c>
      <c r="L776" s="5">
        <v>6611980</v>
      </c>
      <c r="M776" s="5">
        <v>1035058.89</v>
      </c>
      <c r="N776" s="5">
        <v>0.16919999999999999</v>
      </c>
      <c r="O776" s="5">
        <v>9</v>
      </c>
      <c r="P776" s="5">
        <v>252630</v>
      </c>
    </row>
    <row r="777" spans="1:16" x14ac:dyDescent="0.3">
      <c r="A777" s="5">
        <v>114</v>
      </c>
      <c r="B777" s="5" t="s">
        <v>110</v>
      </c>
      <c r="C777" s="5">
        <v>2</v>
      </c>
      <c r="D777" s="5" t="s">
        <v>88</v>
      </c>
      <c r="E777" s="5">
        <v>2023</v>
      </c>
      <c r="F777" s="5">
        <v>6</v>
      </c>
      <c r="G777" s="5" t="s">
        <v>51</v>
      </c>
      <c r="H777" s="5">
        <v>4003683</v>
      </c>
      <c r="I777" s="5">
        <v>3419668.34</v>
      </c>
      <c r="J777" s="5">
        <v>45</v>
      </c>
      <c r="K777" s="5">
        <v>394589</v>
      </c>
      <c r="L777" s="5">
        <v>4379870</v>
      </c>
      <c r="M777" s="5">
        <v>584014.66</v>
      </c>
      <c r="N777" s="5">
        <v>0.1459</v>
      </c>
      <c r="O777" s="5">
        <v>3</v>
      </c>
      <c r="P777" s="5">
        <v>237607</v>
      </c>
    </row>
    <row r="778" spans="1:16" x14ac:dyDescent="0.3">
      <c r="A778" s="5">
        <v>11</v>
      </c>
      <c r="B778" s="5" t="s">
        <v>110</v>
      </c>
      <c r="C778" s="5">
        <v>2</v>
      </c>
      <c r="D778" s="5" t="s">
        <v>88</v>
      </c>
      <c r="E778" s="5">
        <v>2023</v>
      </c>
      <c r="F778" s="5">
        <v>7</v>
      </c>
      <c r="G778" s="5" t="s">
        <v>52</v>
      </c>
      <c r="H778" s="5">
        <v>4431578</v>
      </c>
      <c r="I778" s="5">
        <v>4117517.66</v>
      </c>
      <c r="J778" s="5">
        <v>60</v>
      </c>
      <c r="K778" s="5">
        <v>806544</v>
      </c>
      <c r="L778" s="5">
        <v>5226290</v>
      </c>
      <c r="M778" s="5">
        <v>314060.34000000003</v>
      </c>
      <c r="N778" s="5">
        <v>7.0900000000000005E-2</v>
      </c>
      <c r="O778" s="5">
        <v>7</v>
      </c>
      <c r="P778" s="5">
        <v>408461</v>
      </c>
    </row>
    <row r="779" spans="1:16" x14ac:dyDescent="0.3">
      <c r="A779" s="5">
        <v>65</v>
      </c>
      <c r="B779" s="5" t="s">
        <v>110</v>
      </c>
      <c r="C779" s="5">
        <v>2</v>
      </c>
      <c r="D779" s="5" t="s">
        <v>88</v>
      </c>
      <c r="E779" s="5">
        <v>2023</v>
      </c>
      <c r="F779" s="5">
        <v>7</v>
      </c>
      <c r="G779" s="5" t="s">
        <v>52</v>
      </c>
      <c r="H779" s="5">
        <v>4369886</v>
      </c>
      <c r="I779" s="5">
        <v>3863603.03</v>
      </c>
      <c r="J779" s="5">
        <v>72</v>
      </c>
      <c r="K779" s="5">
        <v>586942</v>
      </c>
      <c r="L779" s="5">
        <v>4942110</v>
      </c>
      <c r="M779" s="5">
        <v>506282.97</v>
      </c>
      <c r="N779" s="5">
        <v>0.1159</v>
      </c>
      <c r="O779" s="5">
        <v>7</v>
      </c>
      <c r="P779" s="5">
        <v>363045</v>
      </c>
    </row>
    <row r="780" spans="1:16" x14ac:dyDescent="0.3">
      <c r="A780" s="5">
        <v>89</v>
      </c>
      <c r="B780" s="5" t="s">
        <v>110</v>
      </c>
      <c r="C780" s="5">
        <v>2</v>
      </c>
      <c r="D780" s="5" t="s">
        <v>88</v>
      </c>
      <c r="E780" s="5">
        <v>2023</v>
      </c>
      <c r="F780" s="5">
        <v>7</v>
      </c>
      <c r="G780" s="5" t="s">
        <v>52</v>
      </c>
      <c r="H780" s="5">
        <v>1883634</v>
      </c>
      <c r="I780" s="5">
        <v>1702717.04</v>
      </c>
      <c r="J780" s="5">
        <v>37</v>
      </c>
      <c r="K780" s="5">
        <v>247859</v>
      </c>
      <c r="L780" s="5">
        <v>2127330</v>
      </c>
      <c r="M780" s="5">
        <v>180916.96</v>
      </c>
      <c r="N780" s="5">
        <v>9.6000000000000002E-2</v>
      </c>
      <c r="O780" s="5">
        <v>2</v>
      </c>
      <c r="P780" s="5">
        <v>122359</v>
      </c>
    </row>
    <row r="781" spans="1:16" x14ac:dyDescent="0.3">
      <c r="A781" s="5">
        <v>103</v>
      </c>
      <c r="B781" s="5" t="s">
        <v>110</v>
      </c>
      <c r="C781" s="5">
        <v>2</v>
      </c>
      <c r="D781" s="5" t="s">
        <v>88</v>
      </c>
      <c r="E781" s="5">
        <v>2023</v>
      </c>
      <c r="F781" s="5">
        <v>7</v>
      </c>
      <c r="G781" s="5" t="s">
        <v>52</v>
      </c>
      <c r="H781" s="5">
        <v>4551172</v>
      </c>
      <c r="I781" s="5">
        <v>4108039.9</v>
      </c>
      <c r="J781" s="5">
        <v>67</v>
      </c>
      <c r="K781" s="5">
        <v>744048</v>
      </c>
      <c r="L781" s="5">
        <v>5279990</v>
      </c>
      <c r="M781" s="5">
        <v>443132.1</v>
      </c>
      <c r="N781" s="5">
        <v>9.74E-2</v>
      </c>
      <c r="O781" s="5">
        <v>5</v>
      </c>
      <c r="P781" s="5">
        <v>23759</v>
      </c>
    </row>
    <row r="782" spans="1:16" x14ac:dyDescent="0.3">
      <c r="A782" s="5">
        <v>114</v>
      </c>
      <c r="B782" s="5" t="s">
        <v>110</v>
      </c>
      <c r="C782" s="5">
        <v>2</v>
      </c>
      <c r="D782" s="5" t="s">
        <v>88</v>
      </c>
      <c r="E782" s="5">
        <v>2023</v>
      </c>
      <c r="F782" s="5">
        <v>7</v>
      </c>
      <c r="G782" s="5" t="s">
        <v>52</v>
      </c>
      <c r="H782" s="5">
        <v>3798397</v>
      </c>
      <c r="I782" s="5">
        <v>3218854.24</v>
      </c>
      <c r="J782" s="5">
        <v>48</v>
      </c>
      <c r="K782" s="5">
        <v>355113</v>
      </c>
      <c r="L782" s="5">
        <v>4143390</v>
      </c>
      <c r="M782" s="5">
        <v>579542.76</v>
      </c>
      <c r="N782" s="5">
        <v>0.15260000000000001</v>
      </c>
      <c r="O782" s="5">
        <v>6</v>
      </c>
      <c r="P782" s="5">
        <v>443393</v>
      </c>
    </row>
    <row r="783" spans="1:16" x14ac:dyDescent="0.3">
      <c r="A783" s="5">
        <v>11</v>
      </c>
      <c r="B783" s="5" t="s">
        <v>110</v>
      </c>
      <c r="C783" s="5">
        <v>2</v>
      </c>
      <c r="D783" s="5" t="s">
        <v>88</v>
      </c>
      <c r="E783" s="5">
        <v>2023</v>
      </c>
      <c r="F783" s="5">
        <v>8</v>
      </c>
      <c r="G783" s="5" t="s">
        <v>53</v>
      </c>
      <c r="H783" s="5">
        <v>2668091</v>
      </c>
      <c r="I783" s="5">
        <v>2277389.23</v>
      </c>
      <c r="J783" s="5">
        <v>46</v>
      </c>
      <c r="K783" s="5">
        <v>343484</v>
      </c>
      <c r="L783" s="5">
        <v>2996710</v>
      </c>
      <c r="M783" s="5">
        <v>390701.77</v>
      </c>
      <c r="N783" s="5">
        <v>0.1464</v>
      </c>
      <c r="O783" s="5">
        <v>1</v>
      </c>
      <c r="P783" s="5">
        <v>4430</v>
      </c>
    </row>
    <row r="784" spans="1:16" x14ac:dyDescent="0.3">
      <c r="A784" s="5">
        <v>65</v>
      </c>
      <c r="B784" s="5" t="s">
        <v>110</v>
      </c>
      <c r="C784" s="5">
        <v>2</v>
      </c>
      <c r="D784" s="5" t="s">
        <v>88</v>
      </c>
      <c r="E784" s="5">
        <v>2023</v>
      </c>
      <c r="F784" s="5">
        <v>8</v>
      </c>
      <c r="G784" s="5" t="s">
        <v>53</v>
      </c>
      <c r="H784" s="5">
        <v>4458977</v>
      </c>
      <c r="I784" s="5">
        <v>4212283.87</v>
      </c>
      <c r="J784" s="5">
        <v>58</v>
      </c>
      <c r="K784" s="5">
        <v>1028922</v>
      </c>
      <c r="L784" s="5">
        <v>5482350</v>
      </c>
      <c r="M784" s="5">
        <v>246693.13</v>
      </c>
      <c r="N784" s="5">
        <v>5.5300000000000002E-2</v>
      </c>
      <c r="O784" s="5">
        <v>4</v>
      </c>
      <c r="P784" s="5">
        <v>126190</v>
      </c>
    </row>
    <row r="785" spans="1:16" x14ac:dyDescent="0.3">
      <c r="A785" s="5">
        <v>89</v>
      </c>
      <c r="B785" s="5" t="s">
        <v>110</v>
      </c>
      <c r="C785" s="5">
        <v>2</v>
      </c>
      <c r="D785" s="5" t="s">
        <v>88</v>
      </c>
      <c r="E785" s="5">
        <v>2023</v>
      </c>
      <c r="F785" s="5">
        <v>8</v>
      </c>
      <c r="G785" s="5" t="s">
        <v>53</v>
      </c>
      <c r="H785" s="5">
        <v>4095805</v>
      </c>
      <c r="I785" s="5">
        <v>3482091.04</v>
      </c>
      <c r="J785" s="5">
        <v>51</v>
      </c>
      <c r="K785" s="5">
        <v>490331</v>
      </c>
      <c r="L785" s="5">
        <v>4573830</v>
      </c>
      <c r="M785" s="5">
        <v>613713.96</v>
      </c>
      <c r="N785" s="5">
        <v>0.14979999999999999</v>
      </c>
      <c r="O785" s="5">
        <v>3</v>
      </c>
      <c r="P785" s="5">
        <v>73256</v>
      </c>
    </row>
    <row r="786" spans="1:16" x14ac:dyDescent="0.3">
      <c r="A786" s="5">
        <v>103</v>
      </c>
      <c r="B786" s="5" t="s">
        <v>110</v>
      </c>
      <c r="C786" s="5">
        <v>2</v>
      </c>
      <c r="D786" s="5" t="s">
        <v>88</v>
      </c>
      <c r="E786" s="5">
        <v>2023</v>
      </c>
      <c r="F786" s="5">
        <v>8</v>
      </c>
      <c r="G786" s="5" t="s">
        <v>53</v>
      </c>
      <c r="H786" s="5">
        <v>4721878</v>
      </c>
      <c r="I786" s="5">
        <v>4178361.99</v>
      </c>
      <c r="J786" s="5">
        <v>85</v>
      </c>
      <c r="K786" s="5">
        <v>691207</v>
      </c>
      <c r="L786" s="5">
        <v>5389770</v>
      </c>
      <c r="M786" s="5">
        <v>543516.01</v>
      </c>
      <c r="N786" s="5">
        <v>0.11509999999999999</v>
      </c>
      <c r="O786" s="5">
        <v>11</v>
      </c>
      <c r="P786" s="5">
        <v>194727</v>
      </c>
    </row>
    <row r="787" spans="1:16" x14ac:dyDescent="0.3">
      <c r="A787" s="5">
        <v>114</v>
      </c>
      <c r="B787" s="5" t="s">
        <v>110</v>
      </c>
      <c r="C787" s="5">
        <v>2</v>
      </c>
      <c r="D787" s="5" t="s">
        <v>88</v>
      </c>
      <c r="E787" s="5">
        <v>2023</v>
      </c>
      <c r="F787" s="5">
        <v>8</v>
      </c>
      <c r="G787" s="5" t="s">
        <v>53</v>
      </c>
      <c r="H787" s="5">
        <v>3757103</v>
      </c>
      <c r="I787" s="5">
        <v>3170821.32</v>
      </c>
      <c r="J787" s="5">
        <v>54</v>
      </c>
      <c r="K787" s="5">
        <v>467091</v>
      </c>
      <c r="L787" s="5">
        <v>4205320</v>
      </c>
      <c r="M787" s="5">
        <v>586281.68000000005</v>
      </c>
      <c r="N787" s="5">
        <v>0.156</v>
      </c>
      <c r="O787" s="5">
        <v>5</v>
      </c>
      <c r="P787" s="5">
        <v>201946</v>
      </c>
    </row>
    <row r="788" spans="1:16" x14ac:dyDescent="0.3">
      <c r="A788" s="5">
        <v>11</v>
      </c>
      <c r="B788" s="5" t="s">
        <v>110</v>
      </c>
      <c r="C788" s="5">
        <v>2</v>
      </c>
      <c r="D788" s="5" t="s">
        <v>88</v>
      </c>
      <c r="E788" s="5">
        <v>2023</v>
      </c>
      <c r="F788" s="5">
        <v>9</v>
      </c>
      <c r="G788" s="5" t="s">
        <v>54</v>
      </c>
      <c r="H788" s="5">
        <v>4764413</v>
      </c>
      <c r="I788" s="5">
        <v>4370397.5599999996</v>
      </c>
      <c r="J788" s="5">
        <v>70</v>
      </c>
      <c r="K788" s="5">
        <v>836083</v>
      </c>
      <c r="L788" s="5">
        <v>5579190</v>
      </c>
      <c r="M788" s="5">
        <v>394015.44</v>
      </c>
      <c r="N788" s="5">
        <v>8.2699999999999996E-2</v>
      </c>
      <c r="O788" s="5">
        <v>4</v>
      </c>
      <c r="P788" s="5">
        <v>151756</v>
      </c>
    </row>
    <row r="789" spans="1:16" x14ac:dyDescent="0.3">
      <c r="A789" s="5">
        <v>65</v>
      </c>
      <c r="B789" s="5" t="s">
        <v>110</v>
      </c>
      <c r="C789" s="5">
        <v>2</v>
      </c>
      <c r="D789" s="5" t="s">
        <v>88</v>
      </c>
      <c r="E789" s="5">
        <v>2023</v>
      </c>
      <c r="F789" s="5">
        <v>9</v>
      </c>
      <c r="G789" s="5" t="s">
        <v>54</v>
      </c>
      <c r="H789" s="5">
        <v>5624473</v>
      </c>
      <c r="I789" s="5">
        <v>5306463.18</v>
      </c>
      <c r="J789" s="5">
        <v>86</v>
      </c>
      <c r="K789" s="5">
        <v>1217693</v>
      </c>
      <c r="L789" s="5">
        <v>6829740</v>
      </c>
      <c r="M789" s="5">
        <v>318009.82</v>
      </c>
      <c r="N789" s="5">
        <v>5.6500000000000002E-2</v>
      </c>
      <c r="O789" s="5">
        <v>11</v>
      </c>
      <c r="P789" s="5">
        <v>319174</v>
      </c>
    </row>
    <row r="790" spans="1:16" x14ac:dyDescent="0.3">
      <c r="A790" s="5">
        <v>89</v>
      </c>
      <c r="B790" s="5" t="s">
        <v>110</v>
      </c>
      <c r="C790" s="5">
        <v>2</v>
      </c>
      <c r="D790" s="5" t="s">
        <v>88</v>
      </c>
      <c r="E790" s="5">
        <v>2023</v>
      </c>
      <c r="F790" s="5">
        <v>9</v>
      </c>
      <c r="G790" s="5" t="s">
        <v>54</v>
      </c>
      <c r="H790" s="5">
        <v>4434752</v>
      </c>
      <c r="I790" s="5">
        <v>4018269.94</v>
      </c>
      <c r="J790" s="5">
        <v>59</v>
      </c>
      <c r="K790" s="5">
        <v>723441</v>
      </c>
      <c r="L790" s="5">
        <v>5150030</v>
      </c>
      <c r="M790" s="5">
        <v>416482.06</v>
      </c>
      <c r="N790" s="5">
        <v>9.3899999999999997E-2</v>
      </c>
      <c r="O790" s="5">
        <v>5</v>
      </c>
      <c r="P790" s="5">
        <v>92703</v>
      </c>
    </row>
    <row r="791" spans="1:16" x14ac:dyDescent="0.3">
      <c r="A791" s="5">
        <v>103</v>
      </c>
      <c r="B791" s="5" t="s">
        <v>110</v>
      </c>
      <c r="C791" s="5">
        <v>2</v>
      </c>
      <c r="D791" s="5" t="s">
        <v>88</v>
      </c>
      <c r="E791" s="5">
        <v>2023</v>
      </c>
      <c r="F791" s="5">
        <v>9</v>
      </c>
      <c r="G791" s="5" t="s">
        <v>54</v>
      </c>
      <c r="H791" s="5">
        <v>4900850</v>
      </c>
      <c r="I791" s="5">
        <v>4304995.9000000004</v>
      </c>
      <c r="J791" s="5">
        <v>81</v>
      </c>
      <c r="K791" s="5">
        <v>635579</v>
      </c>
      <c r="L791" s="5">
        <v>5521950</v>
      </c>
      <c r="M791" s="5">
        <v>595854.1</v>
      </c>
      <c r="N791" s="5">
        <v>0.1216</v>
      </c>
      <c r="O791" s="5">
        <v>2</v>
      </c>
      <c r="P791" s="5">
        <v>17085</v>
      </c>
    </row>
    <row r="792" spans="1:16" x14ac:dyDescent="0.3">
      <c r="A792" s="5">
        <v>114</v>
      </c>
      <c r="B792" s="5" t="s">
        <v>110</v>
      </c>
      <c r="C792" s="5">
        <v>2</v>
      </c>
      <c r="D792" s="5" t="s">
        <v>88</v>
      </c>
      <c r="E792" s="5">
        <v>2023</v>
      </c>
      <c r="F792" s="5">
        <v>9</v>
      </c>
      <c r="G792" s="5" t="s">
        <v>54</v>
      </c>
      <c r="H792" s="5">
        <v>3167942</v>
      </c>
      <c r="I792" s="5">
        <v>2872026.82</v>
      </c>
      <c r="J792" s="5">
        <v>51</v>
      </c>
      <c r="K792" s="5">
        <v>550436</v>
      </c>
      <c r="L792" s="5">
        <v>3705610</v>
      </c>
      <c r="M792" s="5">
        <v>295915.18</v>
      </c>
      <c r="N792" s="5">
        <v>9.3399999999999997E-2</v>
      </c>
      <c r="O792" s="5">
        <v>5</v>
      </c>
      <c r="P792" s="5">
        <v>48487</v>
      </c>
    </row>
    <row r="793" spans="1:16" x14ac:dyDescent="0.3">
      <c r="A793" s="5">
        <v>11</v>
      </c>
      <c r="B793" s="5" t="s">
        <v>110</v>
      </c>
      <c r="C793" s="5">
        <v>2</v>
      </c>
      <c r="D793" s="5" t="s">
        <v>88</v>
      </c>
      <c r="E793" s="5">
        <v>2023</v>
      </c>
      <c r="F793" s="5">
        <v>10</v>
      </c>
      <c r="G793" s="5" t="s">
        <v>55</v>
      </c>
      <c r="H793" s="5">
        <v>4706826</v>
      </c>
      <c r="I793" s="5">
        <v>3881165</v>
      </c>
      <c r="J793" s="5">
        <v>68</v>
      </c>
      <c r="K793" s="5">
        <v>359410</v>
      </c>
      <c r="L793" s="5">
        <v>5035640</v>
      </c>
      <c r="M793" s="5">
        <v>825661</v>
      </c>
      <c r="N793" s="5">
        <v>0.1754</v>
      </c>
      <c r="O793" s="5">
        <v>9</v>
      </c>
      <c r="P793" s="5">
        <v>343208</v>
      </c>
    </row>
    <row r="794" spans="1:16" x14ac:dyDescent="0.3">
      <c r="A794" s="5">
        <v>65</v>
      </c>
      <c r="B794" s="5" t="s">
        <v>110</v>
      </c>
      <c r="C794" s="5">
        <v>2</v>
      </c>
      <c r="D794" s="5" t="s">
        <v>88</v>
      </c>
      <c r="E794" s="5">
        <v>2023</v>
      </c>
      <c r="F794" s="5">
        <v>10</v>
      </c>
      <c r="G794" s="5" t="s">
        <v>55</v>
      </c>
      <c r="H794" s="5">
        <v>4760990</v>
      </c>
      <c r="I794" s="5">
        <v>4106163.62</v>
      </c>
      <c r="J794" s="5">
        <v>90</v>
      </c>
      <c r="K794" s="5">
        <v>562820</v>
      </c>
      <c r="L794" s="5">
        <v>5303500</v>
      </c>
      <c r="M794" s="5">
        <v>654826.38</v>
      </c>
      <c r="N794" s="5">
        <v>0.13750000000000001</v>
      </c>
      <c r="O794" s="5">
        <v>6</v>
      </c>
      <c r="P794" s="5">
        <v>121034</v>
      </c>
    </row>
    <row r="795" spans="1:16" x14ac:dyDescent="0.3">
      <c r="A795" s="5">
        <v>89</v>
      </c>
      <c r="B795" s="5" t="s">
        <v>110</v>
      </c>
      <c r="C795" s="5">
        <v>2</v>
      </c>
      <c r="D795" s="5" t="s">
        <v>88</v>
      </c>
      <c r="E795" s="5">
        <v>2023</v>
      </c>
      <c r="F795" s="5">
        <v>10</v>
      </c>
      <c r="G795" s="5" t="s">
        <v>55</v>
      </c>
      <c r="H795" s="5">
        <v>4330416</v>
      </c>
      <c r="I795" s="5">
        <v>3629656.89</v>
      </c>
      <c r="J795" s="5">
        <v>55</v>
      </c>
      <c r="K795" s="5">
        <v>431643</v>
      </c>
      <c r="L795" s="5">
        <v>4739540</v>
      </c>
      <c r="M795" s="5">
        <v>700759.11</v>
      </c>
      <c r="N795" s="5">
        <v>0.1618</v>
      </c>
      <c r="O795" s="5">
        <v>3</v>
      </c>
      <c r="P795" s="5">
        <v>64703</v>
      </c>
    </row>
    <row r="796" spans="1:16" x14ac:dyDescent="0.3">
      <c r="A796" s="5">
        <v>103</v>
      </c>
      <c r="B796" s="5" t="s">
        <v>110</v>
      </c>
      <c r="C796" s="5">
        <v>2</v>
      </c>
      <c r="D796" s="5" t="s">
        <v>88</v>
      </c>
      <c r="E796" s="5">
        <v>2023</v>
      </c>
      <c r="F796" s="5">
        <v>10</v>
      </c>
      <c r="G796" s="5" t="s">
        <v>55</v>
      </c>
      <c r="H796" s="5">
        <v>4937495</v>
      </c>
      <c r="I796" s="5">
        <v>4159506.84</v>
      </c>
      <c r="J796" s="5">
        <v>84</v>
      </c>
      <c r="K796" s="5">
        <v>573283</v>
      </c>
      <c r="L796" s="5">
        <v>5495800</v>
      </c>
      <c r="M796" s="5">
        <v>777988.16</v>
      </c>
      <c r="N796" s="5">
        <v>0.15759999999999999</v>
      </c>
      <c r="O796" s="5">
        <v>5</v>
      </c>
      <c r="P796" s="5">
        <v>131127</v>
      </c>
    </row>
    <row r="797" spans="1:16" x14ac:dyDescent="0.3">
      <c r="A797" s="5">
        <v>114</v>
      </c>
      <c r="B797" s="5" t="s">
        <v>110</v>
      </c>
      <c r="C797" s="5">
        <v>2</v>
      </c>
      <c r="D797" s="5" t="s">
        <v>88</v>
      </c>
      <c r="E797" s="5">
        <v>2023</v>
      </c>
      <c r="F797" s="5">
        <v>10</v>
      </c>
      <c r="G797" s="5" t="s">
        <v>55</v>
      </c>
      <c r="H797" s="5">
        <v>4705605</v>
      </c>
      <c r="I797" s="5">
        <v>4099725.08</v>
      </c>
      <c r="J797" s="5">
        <v>66</v>
      </c>
      <c r="K797" s="5">
        <v>655298</v>
      </c>
      <c r="L797" s="5">
        <v>5349990</v>
      </c>
      <c r="M797" s="5">
        <v>605879.92000000004</v>
      </c>
      <c r="N797" s="5">
        <v>0.1288</v>
      </c>
      <c r="O797" s="5">
        <v>1</v>
      </c>
      <c r="P797" s="5">
        <v>25367</v>
      </c>
    </row>
    <row r="798" spans="1:16" x14ac:dyDescent="0.3">
      <c r="A798" s="5">
        <v>11</v>
      </c>
      <c r="B798" s="5" t="s">
        <v>110</v>
      </c>
      <c r="C798" s="5">
        <v>2</v>
      </c>
      <c r="D798" s="5" t="s">
        <v>88</v>
      </c>
      <c r="E798" s="5">
        <v>2023</v>
      </c>
      <c r="F798" s="5">
        <v>11</v>
      </c>
      <c r="G798" s="5" t="s">
        <v>56</v>
      </c>
      <c r="H798" s="5">
        <v>4077034</v>
      </c>
      <c r="I798" s="5">
        <v>3688305.36</v>
      </c>
      <c r="J798" s="5">
        <v>55</v>
      </c>
      <c r="K798" s="5">
        <v>605120</v>
      </c>
      <c r="L798" s="5">
        <v>4665870</v>
      </c>
      <c r="M798" s="5">
        <v>388728.64</v>
      </c>
      <c r="N798" s="5">
        <v>9.5299999999999996E-2</v>
      </c>
      <c r="O798" s="5">
        <v>5</v>
      </c>
      <c r="P798" s="5">
        <v>61955</v>
      </c>
    </row>
    <row r="799" spans="1:16" x14ac:dyDescent="0.3">
      <c r="A799" s="5">
        <v>65</v>
      </c>
      <c r="B799" s="5" t="s">
        <v>110</v>
      </c>
      <c r="C799" s="5">
        <v>2</v>
      </c>
      <c r="D799" s="5" t="s">
        <v>88</v>
      </c>
      <c r="E799" s="5">
        <v>2023</v>
      </c>
      <c r="F799" s="5">
        <v>11</v>
      </c>
      <c r="G799" s="5" t="s">
        <v>56</v>
      </c>
      <c r="H799" s="5">
        <v>4768154</v>
      </c>
      <c r="I799" s="5">
        <v>4328974.38</v>
      </c>
      <c r="J799" s="5">
        <v>85</v>
      </c>
      <c r="K799" s="5">
        <v>858702</v>
      </c>
      <c r="L799" s="5">
        <v>5609690</v>
      </c>
      <c r="M799" s="5">
        <v>439179.62</v>
      </c>
      <c r="N799" s="5">
        <v>9.2100000000000001E-2</v>
      </c>
      <c r="O799" s="5">
        <v>9</v>
      </c>
      <c r="P799" s="5">
        <v>197563</v>
      </c>
    </row>
    <row r="800" spans="1:16" x14ac:dyDescent="0.3">
      <c r="A800" s="5">
        <v>89</v>
      </c>
      <c r="B800" s="5" t="s">
        <v>110</v>
      </c>
      <c r="C800" s="5">
        <v>2</v>
      </c>
      <c r="D800" s="5" t="s">
        <v>88</v>
      </c>
      <c r="E800" s="5">
        <v>2023</v>
      </c>
      <c r="F800" s="5">
        <v>11</v>
      </c>
      <c r="G800" s="5" t="s">
        <v>56</v>
      </c>
      <c r="H800" s="5">
        <v>3671132</v>
      </c>
      <c r="I800" s="5">
        <v>3106262.38</v>
      </c>
      <c r="J800" s="5">
        <v>66</v>
      </c>
      <c r="K800" s="5">
        <v>352673</v>
      </c>
      <c r="L800" s="5">
        <v>4007810</v>
      </c>
      <c r="M800" s="5">
        <v>564869.62</v>
      </c>
      <c r="N800" s="5">
        <v>0.15390000000000001</v>
      </c>
      <c r="O800" s="5">
        <v>5</v>
      </c>
      <c r="P800" s="5">
        <v>134646</v>
      </c>
    </row>
    <row r="801" spans="1:16" x14ac:dyDescent="0.3">
      <c r="A801" s="5">
        <v>103</v>
      </c>
      <c r="B801" s="5" t="s">
        <v>110</v>
      </c>
      <c r="C801" s="5">
        <v>2</v>
      </c>
      <c r="D801" s="5" t="s">
        <v>88</v>
      </c>
      <c r="E801" s="5">
        <v>2023</v>
      </c>
      <c r="F801" s="5">
        <v>11</v>
      </c>
      <c r="G801" s="5" t="s">
        <v>56</v>
      </c>
      <c r="H801" s="5">
        <v>4651160</v>
      </c>
      <c r="I801" s="5">
        <v>4186259.52</v>
      </c>
      <c r="J801" s="5">
        <v>98</v>
      </c>
      <c r="K801" s="5">
        <v>724185</v>
      </c>
      <c r="L801" s="5">
        <v>5357160</v>
      </c>
      <c r="M801" s="5">
        <v>464900.48</v>
      </c>
      <c r="N801" s="5">
        <v>0.1</v>
      </c>
      <c r="O801" s="5">
        <v>6</v>
      </c>
      <c r="P801" s="5">
        <v>223474</v>
      </c>
    </row>
    <row r="802" spans="1:16" x14ac:dyDescent="0.3">
      <c r="A802" s="5">
        <v>114</v>
      </c>
      <c r="B802" s="5" t="s">
        <v>110</v>
      </c>
      <c r="C802" s="5">
        <v>2</v>
      </c>
      <c r="D802" s="5" t="s">
        <v>88</v>
      </c>
      <c r="E802" s="5">
        <v>2023</v>
      </c>
      <c r="F802" s="5">
        <v>11</v>
      </c>
      <c r="G802" s="5" t="s">
        <v>56</v>
      </c>
      <c r="H802" s="5">
        <v>4921621</v>
      </c>
      <c r="I802" s="5">
        <v>4205254.1399999997</v>
      </c>
      <c r="J802" s="5">
        <v>66</v>
      </c>
      <c r="K802" s="5">
        <v>459289</v>
      </c>
      <c r="L802" s="5">
        <v>5360820</v>
      </c>
      <c r="M802" s="5">
        <v>716366.86</v>
      </c>
      <c r="N802" s="5">
        <v>0.14560000000000001</v>
      </c>
      <c r="O802" s="5">
        <v>5</v>
      </c>
      <c r="P802" s="5">
        <v>145183</v>
      </c>
    </row>
    <row r="803" spans="1:16" x14ac:dyDescent="0.3">
      <c r="A803" s="5">
        <v>11</v>
      </c>
      <c r="B803" s="5" t="s">
        <v>110</v>
      </c>
      <c r="C803" s="5">
        <v>2</v>
      </c>
      <c r="D803" s="5" t="s">
        <v>88</v>
      </c>
      <c r="E803" s="5">
        <v>2023</v>
      </c>
      <c r="F803" s="5">
        <v>12</v>
      </c>
      <c r="G803" s="5" t="s">
        <v>57</v>
      </c>
      <c r="H803" s="5">
        <v>5526402</v>
      </c>
      <c r="I803" s="5">
        <v>4981050.82</v>
      </c>
      <c r="J803" s="5">
        <v>79</v>
      </c>
      <c r="K803" s="5">
        <v>848021</v>
      </c>
      <c r="L803" s="5">
        <v>6356850</v>
      </c>
      <c r="M803" s="5">
        <v>545351.18000000005</v>
      </c>
      <c r="N803" s="5">
        <v>9.8699999999999996E-2</v>
      </c>
      <c r="O803" s="5">
        <v>4</v>
      </c>
      <c r="P803" s="5">
        <v>181738</v>
      </c>
    </row>
    <row r="804" spans="1:16" x14ac:dyDescent="0.3">
      <c r="A804" s="5">
        <v>65</v>
      </c>
      <c r="B804" s="5" t="s">
        <v>110</v>
      </c>
      <c r="C804" s="5">
        <v>2</v>
      </c>
      <c r="D804" s="5" t="s">
        <v>88</v>
      </c>
      <c r="E804" s="5">
        <v>2023</v>
      </c>
      <c r="F804" s="5">
        <v>12</v>
      </c>
      <c r="G804" s="5" t="s">
        <v>57</v>
      </c>
      <c r="H804" s="5">
        <v>5211597</v>
      </c>
      <c r="I804" s="5">
        <v>4632988.3</v>
      </c>
      <c r="J804" s="5">
        <v>85</v>
      </c>
      <c r="K804" s="5">
        <v>754842</v>
      </c>
      <c r="L804" s="5">
        <v>5932560</v>
      </c>
      <c r="M804" s="5">
        <v>578608.69999999995</v>
      </c>
      <c r="N804" s="5">
        <v>0.111</v>
      </c>
      <c r="O804" s="5">
        <v>5</v>
      </c>
      <c r="P804" s="5">
        <v>70714</v>
      </c>
    </row>
    <row r="805" spans="1:16" x14ac:dyDescent="0.3">
      <c r="A805" s="5">
        <v>89</v>
      </c>
      <c r="B805" s="5" t="s">
        <v>110</v>
      </c>
      <c r="C805" s="5">
        <v>2</v>
      </c>
      <c r="D805" s="5" t="s">
        <v>88</v>
      </c>
      <c r="E805" s="5">
        <v>2023</v>
      </c>
      <c r="F805" s="5">
        <v>12</v>
      </c>
      <c r="G805" s="5" t="s">
        <v>57</v>
      </c>
      <c r="H805" s="5">
        <v>3714468</v>
      </c>
      <c r="I805" s="5">
        <v>3334716.39</v>
      </c>
      <c r="J805" s="5">
        <v>62</v>
      </c>
      <c r="K805" s="5">
        <v>655852</v>
      </c>
      <c r="L805" s="5">
        <v>4362050</v>
      </c>
      <c r="M805" s="5">
        <v>379751.61</v>
      </c>
      <c r="N805" s="5">
        <v>0.1022</v>
      </c>
      <c r="O805" s="5">
        <v>5</v>
      </c>
      <c r="P805" s="5">
        <v>94875</v>
      </c>
    </row>
    <row r="806" spans="1:16" x14ac:dyDescent="0.3">
      <c r="A806" s="5">
        <v>103</v>
      </c>
      <c r="B806" s="5" t="s">
        <v>110</v>
      </c>
      <c r="C806" s="5">
        <v>2</v>
      </c>
      <c r="D806" s="5" t="s">
        <v>88</v>
      </c>
      <c r="E806" s="5">
        <v>2023</v>
      </c>
      <c r="F806" s="5">
        <v>12</v>
      </c>
      <c r="G806" s="5" t="s">
        <v>57</v>
      </c>
      <c r="H806" s="5">
        <v>6331959</v>
      </c>
      <c r="I806" s="5">
        <v>5685639.1900000004</v>
      </c>
      <c r="J806" s="5">
        <v>106</v>
      </c>
      <c r="K806" s="5">
        <v>1073068</v>
      </c>
      <c r="L806" s="5">
        <v>7384470</v>
      </c>
      <c r="M806" s="5">
        <v>646319.81000000006</v>
      </c>
      <c r="N806" s="5">
        <v>0.1021</v>
      </c>
      <c r="O806" s="5">
        <v>12</v>
      </c>
      <c r="P806" s="5">
        <v>178595</v>
      </c>
    </row>
    <row r="807" spans="1:16" x14ac:dyDescent="0.3">
      <c r="A807" s="5">
        <v>114</v>
      </c>
      <c r="B807" s="5" t="s">
        <v>110</v>
      </c>
      <c r="C807" s="5">
        <v>2</v>
      </c>
      <c r="D807" s="5" t="s">
        <v>88</v>
      </c>
      <c r="E807" s="5">
        <v>2023</v>
      </c>
      <c r="F807" s="5">
        <v>12</v>
      </c>
      <c r="G807" s="5" t="s">
        <v>57</v>
      </c>
      <c r="H807" s="5">
        <v>4798761</v>
      </c>
      <c r="I807" s="5">
        <v>4402870.5199999996</v>
      </c>
      <c r="J807" s="5">
        <v>77</v>
      </c>
      <c r="K807" s="5">
        <v>891347</v>
      </c>
      <c r="L807" s="5">
        <v>5681360</v>
      </c>
      <c r="M807" s="5">
        <v>395890.48</v>
      </c>
      <c r="N807" s="5">
        <v>8.2500000000000004E-2</v>
      </c>
      <c r="O807" s="5">
        <v>8</v>
      </c>
      <c r="P807" s="5">
        <v>216647</v>
      </c>
    </row>
    <row r="808" spans="1:16" x14ac:dyDescent="0.3">
      <c r="A808" s="5">
        <v>11</v>
      </c>
      <c r="B808" s="5" t="s">
        <v>110</v>
      </c>
      <c r="C808" s="5">
        <v>2</v>
      </c>
      <c r="D808" s="5" t="s">
        <v>88</v>
      </c>
      <c r="E808" s="5">
        <v>2024</v>
      </c>
      <c r="F808" s="5">
        <v>1</v>
      </c>
      <c r="G808" s="5" t="s">
        <v>58</v>
      </c>
      <c r="H808" s="5">
        <v>4097446</v>
      </c>
      <c r="I808" s="5">
        <v>3631970.34</v>
      </c>
      <c r="J808" s="5">
        <v>54</v>
      </c>
      <c r="K808" s="5">
        <v>505631</v>
      </c>
      <c r="L808" s="5">
        <v>4588120</v>
      </c>
      <c r="M808" s="5">
        <v>465475.66</v>
      </c>
      <c r="N808" s="5">
        <v>0.11360000000000001</v>
      </c>
      <c r="O808" s="5">
        <v>4</v>
      </c>
      <c r="P808" s="5">
        <v>22313</v>
      </c>
    </row>
    <row r="809" spans="1:16" x14ac:dyDescent="0.3">
      <c r="A809" s="5">
        <v>65</v>
      </c>
      <c r="B809" s="5" t="s">
        <v>110</v>
      </c>
      <c r="C809" s="5">
        <v>2</v>
      </c>
      <c r="D809" s="5" t="s">
        <v>88</v>
      </c>
      <c r="E809" s="5">
        <v>2024</v>
      </c>
      <c r="F809" s="5">
        <v>1</v>
      </c>
      <c r="G809" s="5" t="s">
        <v>58</v>
      </c>
      <c r="H809" s="5">
        <v>4089654</v>
      </c>
      <c r="I809" s="5">
        <v>3609720.04</v>
      </c>
      <c r="J809" s="5">
        <v>67</v>
      </c>
      <c r="K809" s="5">
        <v>642201</v>
      </c>
      <c r="L809" s="5">
        <v>4720130</v>
      </c>
      <c r="M809" s="5">
        <v>479933.96</v>
      </c>
      <c r="N809" s="5">
        <v>0.1174</v>
      </c>
      <c r="O809" s="5">
        <v>6</v>
      </c>
      <c r="P809" s="5">
        <v>53103</v>
      </c>
    </row>
    <row r="810" spans="1:16" x14ac:dyDescent="0.3">
      <c r="A810" s="5">
        <v>89</v>
      </c>
      <c r="B810" s="5" t="s">
        <v>110</v>
      </c>
      <c r="C810" s="5">
        <v>2</v>
      </c>
      <c r="D810" s="5" t="s">
        <v>88</v>
      </c>
      <c r="E810" s="5">
        <v>2024</v>
      </c>
      <c r="F810" s="5">
        <v>1</v>
      </c>
      <c r="G810" s="5" t="s">
        <v>58</v>
      </c>
      <c r="H810" s="5">
        <v>2926248</v>
      </c>
      <c r="I810" s="5">
        <v>2550993.48</v>
      </c>
      <c r="J810" s="5">
        <v>48</v>
      </c>
      <c r="K810" s="5">
        <v>375555</v>
      </c>
      <c r="L810" s="5">
        <v>3293820</v>
      </c>
      <c r="M810" s="5">
        <v>375254.52</v>
      </c>
      <c r="N810" s="5">
        <v>0.12820000000000001</v>
      </c>
      <c r="O810" s="5">
        <v>5</v>
      </c>
      <c r="P810" s="5">
        <v>31269</v>
      </c>
    </row>
    <row r="811" spans="1:16" x14ac:dyDescent="0.3">
      <c r="A811" s="5">
        <v>103</v>
      </c>
      <c r="B811" s="5" t="s">
        <v>110</v>
      </c>
      <c r="C811" s="5">
        <v>2</v>
      </c>
      <c r="D811" s="5" t="s">
        <v>88</v>
      </c>
      <c r="E811" s="5">
        <v>2024</v>
      </c>
      <c r="F811" s="5">
        <v>1</v>
      </c>
      <c r="G811" s="5" t="s">
        <v>58</v>
      </c>
      <c r="H811" s="5">
        <v>4564255</v>
      </c>
      <c r="I811" s="5">
        <v>4045000.47</v>
      </c>
      <c r="J811" s="5">
        <v>67</v>
      </c>
      <c r="K811" s="5">
        <v>625737</v>
      </c>
      <c r="L811" s="5">
        <v>5174960</v>
      </c>
      <c r="M811" s="5">
        <v>519254.53</v>
      </c>
      <c r="N811" s="5">
        <v>0.1138</v>
      </c>
      <c r="O811" s="5">
        <v>1</v>
      </c>
      <c r="P811" s="5">
        <v>97816</v>
      </c>
    </row>
    <row r="812" spans="1:16" x14ac:dyDescent="0.3">
      <c r="A812" s="5">
        <v>114</v>
      </c>
      <c r="B812" s="5" t="s">
        <v>110</v>
      </c>
      <c r="C812" s="5">
        <v>2</v>
      </c>
      <c r="D812" s="5" t="s">
        <v>88</v>
      </c>
      <c r="E812" s="5">
        <v>2024</v>
      </c>
      <c r="F812" s="5">
        <v>1</v>
      </c>
      <c r="G812" s="5" t="s">
        <v>58</v>
      </c>
      <c r="H812" s="5">
        <v>4280912</v>
      </c>
      <c r="I812" s="5">
        <v>3680759.46</v>
      </c>
      <c r="J812" s="5">
        <v>62</v>
      </c>
      <c r="K812" s="5">
        <v>593871</v>
      </c>
      <c r="L812" s="5">
        <v>4859760</v>
      </c>
      <c r="M812" s="5">
        <v>600152.54</v>
      </c>
      <c r="N812" s="5">
        <v>0.14019999999999999</v>
      </c>
      <c r="O812" s="5">
        <v>10</v>
      </c>
      <c r="P812" s="5">
        <v>718098</v>
      </c>
    </row>
    <row r="813" spans="1:16" x14ac:dyDescent="0.3">
      <c r="A813" s="5">
        <v>11</v>
      </c>
      <c r="B813" s="5" t="s">
        <v>110</v>
      </c>
      <c r="C813" s="5">
        <v>2</v>
      </c>
      <c r="D813" s="5" t="s">
        <v>88</v>
      </c>
      <c r="E813" s="5">
        <v>2024</v>
      </c>
      <c r="F813" s="5">
        <v>2</v>
      </c>
      <c r="G813" s="5" t="s">
        <v>59</v>
      </c>
      <c r="H813" s="5">
        <v>3060631</v>
      </c>
      <c r="I813" s="5">
        <v>2512524.34</v>
      </c>
      <c r="J813" s="5">
        <v>38</v>
      </c>
      <c r="K813" s="5">
        <v>190998</v>
      </c>
      <c r="L813" s="5">
        <v>3230440</v>
      </c>
      <c r="M813" s="5">
        <v>548106.66</v>
      </c>
      <c r="N813" s="5">
        <v>0.17910000000000001</v>
      </c>
      <c r="O813" s="5">
        <v>6</v>
      </c>
      <c r="P813" s="5">
        <v>93414</v>
      </c>
    </row>
    <row r="814" spans="1:16" x14ac:dyDescent="0.3">
      <c r="A814" s="5">
        <v>65</v>
      </c>
      <c r="B814" s="5" t="s">
        <v>110</v>
      </c>
      <c r="C814" s="5">
        <v>2</v>
      </c>
      <c r="D814" s="5" t="s">
        <v>88</v>
      </c>
      <c r="E814" s="5">
        <v>2024</v>
      </c>
      <c r="F814" s="5">
        <v>2</v>
      </c>
      <c r="G814" s="5" t="s">
        <v>59</v>
      </c>
      <c r="H814" s="5">
        <v>4041374</v>
      </c>
      <c r="I814" s="5">
        <v>3515040.7</v>
      </c>
      <c r="J814" s="5">
        <v>59</v>
      </c>
      <c r="K814" s="5">
        <v>500410</v>
      </c>
      <c r="L814" s="5">
        <v>4531860</v>
      </c>
      <c r="M814" s="5">
        <v>526333.30000000005</v>
      </c>
      <c r="N814" s="5">
        <v>0.13020000000000001</v>
      </c>
      <c r="O814" s="5">
        <v>4</v>
      </c>
      <c r="P814" s="5">
        <v>141845</v>
      </c>
    </row>
    <row r="815" spans="1:16" x14ac:dyDescent="0.3">
      <c r="A815" s="5">
        <v>89</v>
      </c>
      <c r="B815" s="5" t="s">
        <v>110</v>
      </c>
      <c r="C815" s="5">
        <v>2</v>
      </c>
      <c r="D815" s="5" t="s">
        <v>88</v>
      </c>
      <c r="E815" s="5">
        <v>2024</v>
      </c>
      <c r="F815" s="5">
        <v>2</v>
      </c>
      <c r="G815" s="5" t="s">
        <v>59</v>
      </c>
      <c r="H815" s="5">
        <v>3654486</v>
      </c>
      <c r="I815" s="5">
        <v>3165432.35</v>
      </c>
      <c r="J815" s="5">
        <v>43</v>
      </c>
      <c r="K815" s="5">
        <v>362572</v>
      </c>
      <c r="L815" s="5">
        <v>4001450</v>
      </c>
      <c r="M815" s="5">
        <v>489053.65</v>
      </c>
      <c r="N815" s="5">
        <v>0.1338</v>
      </c>
      <c r="O815" s="5">
        <v>4</v>
      </c>
      <c r="P815" s="5">
        <v>199110</v>
      </c>
    </row>
    <row r="816" spans="1:16" x14ac:dyDescent="0.3">
      <c r="A816" s="5">
        <v>103</v>
      </c>
      <c r="B816" s="5" t="s">
        <v>110</v>
      </c>
      <c r="C816" s="5">
        <v>2</v>
      </c>
      <c r="D816" s="5" t="s">
        <v>88</v>
      </c>
      <c r="E816" s="5">
        <v>2024</v>
      </c>
      <c r="F816" s="5">
        <v>2</v>
      </c>
      <c r="G816" s="5" t="s">
        <v>59</v>
      </c>
      <c r="H816" s="5">
        <v>4424732</v>
      </c>
      <c r="I816" s="5">
        <v>3730862.56</v>
      </c>
      <c r="J816" s="5">
        <v>51</v>
      </c>
      <c r="K816" s="5">
        <v>466385</v>
      </c>
      <c r="L816" s="5">
        <v>4883200</v>
      </c>
      <c r="M816" s="5">
        <v>693869.44</v>
      </c>
      <c r="N816" s="5">
        <v>0.15679999999999999</v>
      </c>
      <c r="O816" s="5">
        <v>10</v>
      </c>
      <c r="P816" s="5">
        <v>157344</v>
      </c>
    </row>
    <row r="817" spans="1:16" x14ac:dyDescent="0.3">
      <c r="A817" s="5">
        <v>114</v>
      </c>
      <c r="B817" s="5" t="s">
        <v>110</v>
      </c>
      <c r="C817" s="5">
        <v>2</v>
      </c>
      <c r="D817" s="5" t="s">
        <v>88</v>
      </c>
      <c r="E817" s="5">
        <v>2024</v>
      </c>
      <c r="F817" s="5">
        <v>2</v>
      </c>
      <c r="G817" s="5" t="s">
        <v>59</v>
      </c>
      <c r="H817" s="5">
        <v>3183244</v>
      </c>
      <c r="I817" s="5">
        <v>2751620.82</v>
      </c>
      <c r="J817" s="5">
        <v>46</v>
      </c>
      <c r="K817" s="5">
        <v>278798</v>
      </c>
      <c r="L817" s="5">
        <v>3444570</v>
      </c>
      <c r="M817" s="5">
        <v>431623.18</v>
      </c>
      <c r="N817" s="5">
        <v>0.1356</v>
      </c>
      <c r="O817" s="5">
        <v>7</v>
      </c>
      <c r="P817" s="5">
        <v>171374</v>
      </c>
    </row>
    <row r="818" spans="1:16" x14ac:dyDescent="0.3">
      <c r="A818" s="5">
        <v>11</v>
      </c>
      <c r="B818" s="5" t="s">
        <v>110</v>
      </c>
      <c r="C818" s="5">
        <v>2</v>
      </c>
      <c r="D818" s="5" t="s">
        <v>88</v>
      </c>
      <c r="E818" s="5">
        <v>2024</v>
      </c>
      <c r="F818" s="5">
        <v>3</v>
      </c>
      <c r="G818" s="5" t="s">
        <v>60</v>
      </c>
      <c r="H818" s="5">
        <v>2960685</v>
      </c>
      <c r="I818" s="5">
        <v>2575878.7999999998</v>
      </c>
      <c r="J818" s="5">
        <v>44</v>
      </c>
      <c r="K818" s="5">
        <v>392868</v>
      </c>
      <c r="L818" s="5">
        <v>3350500</v>
      </c>
      <c r="M818" s="5">
        <v>384806.2</v>
      </c>
      <c r="N818" s="5">
        <v>0.13</v>
      </c>
      <c r="O818" s="5">
        <v>6</v>
      </c>
      <c r="P818" s="5">
        <v>125324</v>
      </c>
    </row>
    <row r="819" spans="1:16" x14ac:dyDescent="0.3">
      <c r="A819" s="5">
        <v>65</v>
      </c>
      <c r="B819" s="5" t="s">
        <v>110</v>
      </c>
      <c r="C819" s="5">
        <v>2</v>
      </c>
      <c r="D819" s="5" t="s">
        <v>88</v>
      </c>
      <c r="E819" s="5">
        <v>2024</v>
      </c>
      <c r="F819" s="5">
        <v>3</v>
      </c>
      <c r="G819" s="5" t="s">
        <v>60</v>
      </c>
      <c r="H819" s="5">
        <v>3552602</v>
      </c>
      <c r="I819" s="5">
        <v>2994234.36</v>
      </c>
      <c r="J819" s="5">
        <v>58</v>
      </c>
      <c r="K819" s="5">
        <v>367969</v>
      </c>
      <c r="L819" s="5">
        <v>3909960</v>
      </c>
      <c r="M819" s="5">
        <v>558367.64</v>
      </c>
      <c r="N819" s="5">
        <v>0.15720000000000001</v>
      </c>
      <c r="O819" s="5">
        <v>5</v>
      </c>
      <c r="P819" s="5">
        <v>72626</v>
      </c>
    </row>
    <row r="820" spans="1:16" x14ac:dyDescent="0.3">
      <c r="A820" s="5">
        <v>89</v>
      </c>
      <c r="B820" s="5" t="s">
        <v>110</v>
      </c>
      <c r="C820" s="5">
        <v>2</v>
      </c>
      <c r="D820" s="5" t="s">
        <v>88</v>
      </c>
      <c r="E820" s="5">
        <v>2024</v>
      </c>
      <c r="F820" s="5">
        <v>3</v>
      </c>
      <c r="G820" s="5" t="s">
        <v>60</v>
      </c>
      <c r="H820" s="5">
        <v>3743898</v>
      </c>
      <c r="I820" s="5">
        <v>3210524.81</v>
      </c>
      <c r="J820" s="5">
        <v>56</v>
      </c>
      <c r="K820" s="5">
        <v>363762</v>
      </c>
      <c r="L820" s="5">
        <v>4103300</v>
      </c>
      <c r="M820" s="5">
        <v>533373.18999999994</v>
      </c>
      <c r="N820" s="5">
        <v>0.14249999999999999</v>
      </c>
      <c r="O820" s="5">
        <v>5</v>
      </c>
      <c r="P820" s="5">
        <v>98627</v>
      </c>
    </row>
    <row r="821" spans="1:16" x14ac:dyDescent="0.3">
      <c r="A821" s="5">
        <v>103</v>
      </c>
      <c r="B821" s="5" t="s">
        <v>110</v>
      </c>
      <c r="C821" s="5">
        <v>2</v>
      </c>
      <c r="D821" s="5" t="s">
        <v>88</v>
      </c>
      <c r="E821" s="5">
        <v>2024</v>
      </c>
      <c r="F821" s="5">
        <v>3</v>
      </c>
      <c r="G821" s="5" t="s">
        <v>60</v>
      </c>
      <c r="H821" s="5">
        <v>6074659</v>
      </c>
      <c r="I821" s="5">
        <v>5150075.3</v>
      </c>
      <c r="J821" s="5">
        <v>72</v>
      </c>
      <c r="K821" s="5">
        <v>523252</v>
      </c>
      <c r="L821" s="5">
        <v>6571920</v>
      </c>
      <c r="M821" s="5">
        <v>924583.7</v>
      </c>
      <c r="N821" s="5">
        <v>0.1522</v>
      </c>
      <c r="O821" s="5">
        <v>7</v>
      </c>
      <c r="P821" s="5">
        <v>280734</v>
      </c>
    </row>
    <row r="822" spans="1:16" x14ac:dyDescent="0.3">
      <c r="A822" s="5">
        <v>114</v>
      </c>
      <c r="B822" s="5" t="s">
        <v>110</v>
      </c>
      <c r="C822" s="5">
        <v>2</v>
      </c>
      <c r="D822" s="5" t="s">
        <v>88</v>
      </c>
      <c r="E822" s="5">
        <v>2024</v>
      </c>
      <c r="F822" s="5">
        <v>3</v>
      </c>
      <c r="G822" s="5" t="s">
        <v>60</v>
      </c>
      <c r="H822" s="5">
        <v>4463182</v>
      </c>
      <c r="I822" s="5">
        <v>3975434.84</v>
      </c>
      <c r="J822" s="5">
        <v>50</v>
      </c>
      <c r="K822" s="5">
        <v>600443</v>
      </c>
      <c r="L822" s="5">
        <v>5055150</v>
      </c>
      <c r="M822" s="5">
        <v>487747.16</v>
      </c>
      <c r="N822" s="5">
        <v>0.10929999999999999</v>
      </c>
      <c r="O822" s="5">
        <v>4</v>
      </c>
      <c r="P822" s="5">
        <v>115520</v>
      </c>
    </row>
    <row r="823" spans="1:16" x14ac:dyDescent="0.3">
      <c r="A823" s="5">
        <v>11</v>
      </c>
      <c r="B823" s="5" t="s">
        <v>110</v>
      </c>
      <c r="C823" s="5">
        <v>2</v>
      </c>
      <c r="D823" s="5" t="s">
        <v>88</v>
      </c>
      <c r="E823" s="5">
        <v>2024</v>
      </c>
      <c r="F823" s="5">
        <v>4</v>
      </c>
      <c r="G823" s="5" t="s">
        <v>61</v>
      </c>
      <c r="H823" s="5">
        <v>3727606</v>
      </c>
      <c r="I823" s="5">
        <v>3298438.31</v>
      </c>
      <c r="J823" s="5">
        <v>42</v>
      </c>
      <c r="K823" s="5">
        <v>544779</v>
      </c>
      <c r="L823" s="5">
        <v>4267260</v>
      </c>
      <c r="M823" s="5">
        <v>429167.69</v>
      </c>
      <c r="N823" s="5">
        <v>0.11509999999999999</v>
      </c>
      <c r="O823" s="5">
        <v>5</v>
      </c>
      <c r="P823" s="5">
        <v>163087</v>
      </c>
    </row>
    <row r="824" spans="1:16" x14ac:dyDescent="0.3">
      <c r="A824" s="5">
        <v>65</v>
      </c>
      <c r="B824" s="5" t="s">
        <v>110</v>
      </c>
      <c r="C824" s="5">
        <v>2</v>
      </c>
      <c r="D824" s="5" t="s">
        <v>88</v>
      </c>
      <c r="E824" s="5">
        <v>2024</v>
      </c>
      <c r="F824" s="5">
        <v>4</v>
      </c>
      <c r="G824" s="5" t="s">
        <v>61</v>
      </c>
      <c r="H824" s="5">
        <v>3354066</v>
      </c>
      <c r="I824" s="5">
        <v>2871145.77</v>
      </c>
      <c r="J824" s="5">
        <v>56</v>
      </c>
      <c r="K824" s="5">
        <v>520397</v>
      </c>
      <c r="L824" s="5">
        <v>3871040</v>
      </c>
      <c r="M824" s="5">
        <v>482920.23</v>
      </c>
      <c r="N824" s="5">
        <v>0.14399999999999999</v>
      </c>
      <c r="O824" s="5">
        <v>5</v>
      </c>
      <c r="P824" s="5">
        <v>224321</v>
      </c>
    </row>
    <row r="825" spans="1:16" x14ac:dyDescent="0.3">
      <c r="A825" s="5">
        <v>89</v>
      </c>
      <c r="B825" s="5" t="s">
        <v>110</v>
      </c>
      <c r="C825" s="5">
        <v>2</v>
      </c>
      <c r="D825" s="5" t="s">
        <v>88</v>
      </c>
      <c r="E825" s="5">
        <v>2024</v>
      </c>
      <c r="F825" s="5">
        <v>4</v>
      </c>
      <c r="G825" s="5" t="s">
        <v>61</v>
      </c>
      <c r="H825" s="5">
        <v>3338533</v>
      </c>
      <c r="I825" s="5">
        <v>2924642.79</v>
      </c>
      <c r="J825" s="5">
        <v>51</v>
      </c>
      <c r="K825" s="5">
        <v>465946</v>
      </c>
      <c r="L825" s="5">
        <v>3796450</v>
      </c>
      <c r="M825" s="5">
        <v>413890.21</v>
      </c>
      <c r="N825" s="5">
        <v>0.124</v>
      </c>
      <c r="O825" s="5">
        <v>1</v>
      </c>
      <c r="P825" s="5">
        <v>121323</v>
      </c>
    </row>
    <row r="826" spans="1:16" x14ac:dyDescent="0.3">
      <c r="A826" s="5">
        <v>103</v>
      </c>
      <c r="B826" s="5" t="s">
        <v>110</v>
      </c>
      <c r="C826" s="5">
        <v>2</v>
      </c>
      <c r="D826" s="5" t="s">
        <v>88</v>
      </c>
      <c r="E826" s="5">
        <v>2024</v>
      </c>
      <c r="F826" s="5">
        <v>4</v>
      </c>
      <c r="G826" s="5" t="s">
        <v>61</v>
      </c>
      <c r="H826" s="5">
        <v>4935868</v>
      </c>
      <c r="I826" s="5">
        <v>4278242.16</v>
      </c>
      <c r="J826" s="5">
        <v>78</v>
      </c>
      <c r="K826" s="5">
        <v>540306</v>
      </c>
      <c r="L826" s="5">
        <v>5464240</v>
      </c>
      <c r="M826" s="5">
        <v>657625.84</v>
      </c>
      <c r="N826" s="5">
        <v>0.13320000000000001</v>
      </c>
      <c r="O826" s="5">
        <v>5</v>
      </c>
      <c r="P826" s="5">
        <v>361357</v>
      </c>
    </row>
    <row r="827" spans="1:16" x14ac:dyDescent="0.3">
      <c r="A827" s="5">
        <v>114</v>
      </c>
      <c r="B827" s="5" t="s">
        <v>110</v>
      </c>
      <c r="C827" s="5">
        <v>2</v>
      </c>
      <c r="D827" s="5" t="s">
        <v>88</v>
      </c>
      <c r="E827" s="5">
        <v>2024</v>
      </c>
      <c r="F827" s="5">
        <v>4</v>
      </c>
      <c r="G827" s="5" t="s">
        <v>61</v>
      </c>
      <c r="H827" s="5">
        <v>4077479</v>
      </c>
      <c r="I827" s="5">
        <v>3567458.6</v>
      </c>
      <c r="J827" s="5">
        <v>54</v>
      </c>
      <c r="K827" s="5">
        <v>479405</v>
      </c>
      <c r="L827" s="5">
        <v>4537150</v>
      </c>
      <c r="M827" s="5">
        <v>510020.4</v>
      </c>
      <c r="N827" s="5">
        <v>0.12509999999999999</v>
      </c>
      <c r="O827" s="5">
        <v>1</v>
      </c>
      <c r="P827" s="5">
        <v>1977</v>
      </c>
    </row>
    <row r="828" spans="1:16" x14ac:dyDescent="0.3">
      <c r="A828" s="5">
        <v>11</v>
      </c>
      <c r="B828" s="5" t="s">
        <v>110</v>
      </c>
      <c r="C828" s="5">
        <v>2</v>
      </c>
      <c r="D828" s="5" t="s">
        <v>88</v>
      </c>
      <c r="E828" s="5">
        <v>2024</v>
      </c>
      <c r="F828" s="5">
        <v>5</v>
      </c>
      <c r="G828" s="5" t="s">
        <v>62</v>
      </c>
      <c r="H828" s="5">
        <v>4243509</v>
      </c>
      <c r="I828" s="5">
        <v>3808031</v>
      </c>
      <c r="J828" s="5">
        <v>68</v>
      </c>
      <c r="K828" s="5">
        <v>648846</v>
      </c>
      <c r="L828" s="5">
        <v>4883170</v>
      </c>
      <c r="M828" s="5">
        <v>435478</v>
      </c>
      <c r="N828" s="5">
        <v>0.1026</v>
      </c>
      <c r="O828" s="5">
        <v>7</v>
      </c>
      <c r="P828" s="5">
        <v>290699</v>
      </c>
    </row>
    <row r="829" spans="1:16" x14ac:dyDescent="0.3">
      <c r="A829" s="5">
        <v>65</v>
      </c>
      <c r="B829" s="5" t="s">
        <v>110</v>
      </c>
      <c r="C829" s="5">
        <v>2</v>
      </c>
      <c r="D829" s="5" t="s">
        <v>88</v>
      </c>
      <c r="E829" s="5">
        <v>2024</v>
      </c>
      <c r="F829" s="5">
        <v>5</v>
      </c>
      <c r="G829" s="5" t="s">
        <v>62</v>
      </c>
      <c r="H829" s="5">
        <v>4290373</v>
      </c>
      <c r="I829" s="5">
        <v>3570286.59</v>
      </c>
      <c r="J829" s="5">
        <v>61</v>
      </c>
      <c r="K829" s="5">
        <v>360961</v>
      </c>
      <c r="L829" s="5">
        <v>4621680</v>
      </c>
      <c r="M829" s="5">
        <v>720086.41</v>
      </c>
      <c r="N829" s="5">
        <v>0.1678</v>
      </c>
      <c r="O829" s="5">
        <v>6</v>
      </c>
      <c r="P829" s="5">
        <v>93944</v>
      </c>
    </row>
    <row r="830" spans="1:16" x14ac:dyDescent="0.3">
      <c r="A830" s="5">
        <v>89</v>
      </c>
      <c r="B830" s="5" t="s">
        <v>110</v>
      </c>
      <c r="C830" s="5">
        <v>2</v>
      </c>
      <c r="D830" s="5" t="s">
        <v>88</v>
      </c>
      <c r="E830" s="5">
        <v>2024</v>
      </c>
      <c r="F830" s="5">
        <v>5</v>
      </c>
      <c r="G830" s="5" t="s">
        <v>62</v>
      </c>
      <c r="H830" s="5">
        <v>3444954</v>
      </c>
      <c r="I830" s="5">
        <v>2941784.17</v>
      </c>
      <c r="J830" s="5">
        <v>53</v>
      </c>
      <c r="K830" s="5">
        <v>389643</v>
      </c>
      <c r="L830" s="5">
        <v>3820480</v>
      </c>
      <c r="M830" s="5">
        <v>503169.83</v>
      </c>
      <c r="N830" s="5">
        <v>0.14610000000000001</v>
      </c>
      <c r="O830" s="5">
        <v>8</v>
      </c>
      <c r="P830" s="5">
        <v>104493</v>
      </c>
    </row>
    <row r="831" spans="1:16" x14ac:dyDescent="0.3">
      <c r="A831" s="5">
        <v>103</v>
      </c>
      <c r="B831" s="5" t="s">
        <v>110</v>
      </c>
      <c r="C831" s="5">
        <v>2</v>
      </c>
      <c r="D831" s="5" t="s">
        <v>88</v>
      </c>
      <c r="E831" s="5">
        <v>2024</v>
      </c>
      <c r="F831" s="5">
        <v>5</v>
      </c>
      <c r="G831" s="5" t="s">
        <v>62</v>
      </c>
      <c r="H831" s="5">
        <v>5104728</v>
      </c>
      <c r="I831" s="5">
        <v>4516600.37</v>
      </c>
      <c r="J831" s="5">
        <v>78</v>
      </c>
      <c r="K831" s="5">
        <v>710812</v>
      </c>
      <c r="L831" s="5">
        <v>5805240</v>
      </c>
      <c r="M831" s="5">
        <v>588127.63</v>
      </c>
      <c r="N831" s="5">
        <v>0.1152</v>
      </c>
      <c r="O831" s="5">
        <v>6</v>
      </c>
      <c r="P831" s="5">
        <v>179877</v>
      </c>
    </row>
    <row r="832" spans="1:16" x14ac:dyDescent="0.3">
      <c r="A832" s="5">
        <v>114</v>
      </c>
      <c r="B832" s="5" t="s">
        <v>110</v>
      </c>
      <c r="C832" s="5">
        <v>2</v>
      </c>
      <c r="D832" s="5" t="s">
        <v>88</v>
      </c>
      <c r="E832" s="5">
        <v>2024</v>
      </c>
      <c r="F832" s="5">
        <v>5</v>
      </c>
      <c r="G832" s="5" t="s">
        <v>62</v>
      </c>
      <c r="H832" s="5">
        <v>3653804</v>
      </c>
      <c r="I832" s="5">
        <v>3039667.63</v>
      </c>
      <c r="J832" s="5">
        <v>53</v>
      </c>
      <c r="K832" s="5">
        <v>288319</v>
      </c>
      <c r="L832" s="5">
        <v>3922950</v>
      </c>
      <c r="M832" s="5">
        <v>614136.37</v>
      </c>
      <c r="N832" s="5">
        <v>0.1681</v>
      </c>
      <c r="O832" s="5">
        <v>3</v>
      </c>
      <c r="P832" s="5">
        <v>53802</v>
      </c>
    </row>
    <row r="833" spans="1:16" x14ac:dyDescent="0.3">
      <c r="A833" s="5">
        <v>11</v>
      </c>
      <c r="B833" s="5" t="s">
        <v>110</v>
      </c>
      <c r="C833" s="5">
        <v>2</v>
      </c>
      <c r="D833" s="5" t="s">
        <v>88</v>
      </c>
      <c r="E833" s="5">
        <v>2024</v>
      </c>
      <c r="F833" s="5">
        <v>6</v>
      </c>
      <c r="G833" s="5" t="s">
        <v>63</v>
      </c>
      <c r="H833" s="5">
        <v>4472174</v>
      </c>
      <c r="I833" s="5">
        <v>3704202.08</v>
      </c>
      <c r="J833" s="5">
        <v>57</v>
      </c>
      <c r="K833" s="5">
        <v>334508</v>
      </c>
      <c r="L833" s="5">
        <v>4797010</v>
      </c>
      <c r="M833" s="5">
        <v>767971.92</v>
      </c>
      <c r="N833" s="5">
        <v>0.17169999999999999</v>
      </c>
      <c r="O833" s="5">
        <v>5</v>
      </c>
      <c r="P833" s="5">
        <v>402295</v>
      </c>
    </row>
    <row r="834" spans="1:16" x14ac:dyDescent="0.3">
      <c r="A834" s="5">
        <v>65</v>
      </c>
      <c r="B834" s="5" t="s">
        <v>110</v>
      </c>
      <c r="C834" s="5">
        <v>2</v>
      </c>
      <c r="D834" s="5" t="s">
        <v>88</v>
      </c>
      <c r="E834" s="5">
        <v>2024</v>
      </c>
      <c r="F834" s="5">
        <v>6</v>
      </c>
      <c r="G834" s="5" t="s">
        <v>63</v>
      </c>
      <c r="H834" s="5">
        <v>6044206</v>
      </c>
      <c r="I834" s="5">
        <v>5057470.7</v>
      </c>
      <c r="J834" s="5">
        <v>77</v>
      </c>
      <c r="K834" s="5">
        <v>398190</v>
      </c>
      <c r="L834" s="5">
        <v>6420420</v>
      </c>
      <c r="M834" s="5">
        <v>986735.3</v>
      </c>
      <c r="N834" s="5">
        <v>0.1633</v>
      </c>
      <c r="O834" s="5">
        <v>10</v>
      </c>
      <c r="P834" s="5">
        <v>644284</v>
      </c>
    </row>
    <row r="835" spans="1:16" x14ac:dyDescent="0.3">
      <c r="A835" s="5">
        <v>89</v>
      </c>
      <c r="B835" s="5" t="s">
        <v>110</v>
      </c>
      <c r="C835" s="5">
        <v>2</v>
      </c>
      <c r="D835" s="5" t="s">
        <v>88</v>
      </c>
      <c r="E835" s="5">
        <v>2024</v>
      </c>
      <c r="F835" s="5">
        <v>6</v>
      </c>
      <c r="G835" s="5" t="s">
        <v>63</v>
      </c>
      <c r="H835" s="5">
        <v>2735052</v>
      </c>
      <c r="I835" s="5">
        <v>2273818.09</v>
      </c>
      <c r="J835" s="5">
        <v>47</v>
      </c>
      <c r="K835" s="5">
        <v>209686</v>
      </c>
      <c r="L835" s="5">
        <v>2938170</v>
      </c>
      <c r="M835" s="5">
        <v>461233.91</v>
      </c>
      <c r="N835" s="5">
        <v>0.1686</v>
      </c>
      <c r="O835" s="5">
        <v>6</v>
      </c>
      <c r="P835" s="5">
        <v>322727</v>
      </c>
    </row>
    <row r="836" spans="1:16" x14ac:dyDescent="0.3">
      <c r="A836" s="5">
        <v>103</v>
      </c>
      <c r="B836" s="5" t="s">
        <v>110</v>
      </c>
      <c r="C836" s="5">
        <v>2</v>
      </c>
      <c r="D836" s="5" t="s">
        <v>88</v>
      </c>
      <c r="E836" s="5">
        <v>2024</v>
      </c>
      <c r="F836" s="5">
        <v>6</v>
      </c>
      <c r="G836" s="5" t="s">
        <v>63</v>
      </c>
      <c r="H836" s="5">
        <v>5465504</v>
      </c>
      <c r="I836" s="5">
        <v>4490247.9400000004</v>
      </c>
      <c r="J836" s="5">
        <v>75</v>
      </c>
      <c r="K836" s="5">
        <v>372186</v>
      </c>
      <c r="L836" s="5">
        <v>5822900</v>
      </c>
      <c r="M836" s="5">
        <v>975256.06</v>
      </c>
      <c r="N836" s="5">
        <v>0.1784</v>
      </c>
      <c r="O836" s="5">
        <v>5</v>
      </c>
      <c r="P836" s="5">
        <v>89047</v>
      </c>
    </row>
    <row r="837" spans="1:16" x14ac:dyDescent="0.3">
      <c r="A837" s="5">
        <v>114</v>
      </c>
      <c r="B837" s="5" t="s">
        <v>110</v>
      </c>
      <c r="C837" s="5">
        <v>2</v>
      </c>
      <c r="D837" s="5" t="s">
        <v>88</v>
      </c>
      <c r="E837" s="5">
        <v>2024</v>
      </c>
      <c r="F837" s="5">
        <v>6</v>
      </c>
      <c r="G837" s="5" t="s">
        <v>63</v>
      </c>
      <c r="H837" s="5">
        <v>3476276</v>
      </c>
      <c r="I837" s="5">
        <v>3032713.88</v>
      </c>
      <c r="J837" s="5">
        <v>47</v>
      </c>
      <c r="K837" s="5">
        <v>409096</v>
      </c>
      <c r="L837" s="5">
        <v>3872970</v>
      </c>
      <c r="M837" s="5">
        <v>443562.12</v>
      </c>
      <c r="N837" s="5">
        <v>0.12759999999999999</v>
      </c>
      <c r="O837" s="5">
        <v>1</v>
      </c>
      <c r="P837" s="5">
        <v>3364</v>
      </c>
    </row>
    <row r="838" spans="1:16" x14ac:dyDescent="0.3">
      <c r="A838" s="5">
        <v>11</v>
      </c>
      <c r="B838" s="5" t="s">
        <v>110</v>
      </c>
      <c r="C838" s="5">
        <v>2</v>
      </c>
      <c r="D838" s="5" t="s">
        <v>88</v>
      </c>
      <c r="E838" s="5">
        <v>2024</v>
      </c>
      <c r="F838" s="5">
        <v>7</v>
      </c>
      <c r="G838" s="5" t="s">
        <v>64</v>
      </c>
      <c r="H838" s="5">
        <v>4402028</v>
      </c>
      <c r="I838" s="5">
        <v>3742023.33</v>
      </c>
      <c r="J838" s="5">
        <v>58</v>
      </c>
      <c r="K838" s="5">
        <v>428732</v>
      </c>
      <c r="L838" s="5">
        <v>4811330</v>
      </c>
      <c r="M838" s="5">
        <v>660004.67000000004</v>
      </c>
      <c r="N838" s="5">
        <v>0.14990000000000001</v>
      </c>
      <c r="O838" s="5">
        <v>5</v>
      </c>
      <c r="P838" s="5">
        <v>108049</v>
      </c>
    </row>
    <row r="839" spans="1:16" x14ac:dyDescent="0.3">
      <c r="A839" s="5">
        <v>65</v>
      </c>
      <c r="B839" s="5" t="s">
        <v>110</v>
      </c>
      <c r="C839" s="5">
        <v>2</v>
      </c>
      <c r="D839" s="5" t="s">
        <v>88</v>
      </c>
      <c r="E839" s="5">
        <v>2024</v>
      </c>
      <c r="F839" s="5">
        <v>7</v>
      </c>
      <c r="G839" s="5" t="s">
        <v>64</v>
      </c>
      <c r="H839" s="5">
        <v>4479672</v>
      </c>
      <c r="I839" s="5">
        <v>3719208.09</v>
      </c>
      <c r="J839" s="5">
        <v>74</v>
      </c>
      <c r="K839" s="5">
        <v>267844</v>
      </c>
      <c r="L839" s="5">
        <v>4720140</v>
      </c>
      <c r="M839" s="5">
        <v>760463.91</v>
      </c>
      <c r="N839" s="5">
        <v>0.16980000000000001</v>
      </c>
      <c r="O839" s="5">
        <v>12</v>
      </c>
      <c r="P839" s="5">
        <v>623951</v>
      </c>
    </row>
    <row r="840" spans="1:16" x14ac:dyDescent="0.3">
      <c r="A840" s="5">
        <v>89</v>
      </c>
      <c r="B840" s="5" t="s">
        <v>110</v>
      </c>
      <c r="C840" s="5">
        <v>2</v>
      </c>
      <c r="D840" s="5" t="s">
        <v>88</v>
      </c>
      <c r="E840" s="5">
        <v>2024</v>
      </c>
      <c r="F840" s="5">
        <v>7</v>
      </c>
      <c r="G840" s="5" t="s">
        <v>64</v>
      </c>
      <c r="H840" s="5">
        <v>3151436</v>
      </c>
      <c r="I840" s="5">
        <v>2713809.73</v>
      </c>
      <c r="J840" s="5">
        <v>46</v>
      </c>
      <c r="K840" s="5">
        <v>315474</v>
      </c>
      <c r="L840" s="5">
        <v>3459200</v>
      </c>
      <c r="M840" s="5">
        <v>437626.27</v>
      </c>
      <c r="N840" s="5">
        <v>0.1389</v>
      </c>
      <c r="O840" s="5">
        <v>2</v>
      </c>
      <c r="P840" s="5">
        <v>216872</v>
      </c>
    </row>
    <row r="841" spans="1:16" x14ac:dyDescent="0.3">
      <c r="A841" s="5">
        <v>103</v>
      </c>
      <c r="B841" s="5" t="s">
        <v>110</v>
      </c>
      <c r="C841" s="5">
        <v>2</v>
      </c>
      <c r="D841" s="5" t="s">
        <v>88</v>
      </c>
      <c r="E841" s="5">
        <v>2024</v>
      </c>
      <c r="F841" s="5">
        <v>7</v>
      </c>
      <c r="G841" s="5" t="s">
        <v>64</v>
      </c>
      <c r="H841" s="5">
        <v>4076204</v>
      </c>
      <c r="I841" s="5">
        <v>3581937.83</v>
      </c>
      <c r="J841" s="5">
        <v>76</v>
      </c>
      <c r="K841" s="5">
        <v>533651</v>
      </c>
      <c r="L841" s="5">
        <v>4600860</v>
      </c>
      <c r="M841" s="5">
        <v>494266.17</v>
      </c>
      <c r="N841" s="5">
        <v>0.12130000000000001</v>
      </c>
      <c r="O841" s="5">
        <v>2</v>
      </c>
      <c r="P841" s="5">
        <v>18690</v>
      </c>
    </row>
    <row r="842" spans="1:16" x14ac:dyDescent="0.3">
      <c r="A842" s="5">
        <v>114</v>
      </c>
      <c r="B842" s="5" t="s">
        <v>110</v>
      </c>
      <c r="C842" s="5">
        <v>2</v>
      </c>
      <c r="D842" s="5" t="s">
        <v>88</v>
      </c>
      <c r="E842" s="5">
        <v>2024</v>
      </c>
      <c r="F842" s="5">
        <v>7</v>
      </c>
      <c r="G842" s="5" t="s">
        <v>64</v>
      </c>
      <c r="H842" s="5">
        <v>3082469</v>
      </c>
      <c r="I842" s="5">
        <v>2505875.0299999998</v>
      </c>
      <c r="J842" s="5">
        <v>53</v>
      </c>
      <c r="K842" s="5">
        <v>181660</v>
      </c>
      <c r="L842" s="5">
        <v>3252150</v>
      </c>
      <c r="M842" s="5">
        <v>576593.97</v>
      </c>
      <c r="N842" s="5">
        <v>0.18709999999999999</v>
      </c>
      <c r="O842" s="5">
        <v>2</v>
      </c>
      <c r="P842" s="5">
        <v>58376</v>
      </c>
    </row>
    <row r="843" spans="1:16" x14ac:dyDescent="0.3">
      <c r="A843" s="5">
        <v>11</v>
      </c>
      <c r="B843" s="5" t="s">
        <v>110</v>
      </c>
      <c r="C843" s="5">
        <v>2</v>
      </c>
      <c r="D843" s="5" t="s">
        <v>88</v>
      </c>
      <c r="E843" s="5">
        <v>2024</v>
      </c>
      <c r="F843" s="5">
        <v>8</v>
      </c>
      <c r="G843" s="5" t="s">
        <v>65</v>
      </c>
      <c r="H843" s="5">
        <v>2611273</v>
      </c>
      <c r="I843" s="5">
        <v>2228493.5299999998</v>
      </c>
      <c r="J843" s="5">
        <v>47</v>
      </c>
      <c r="K843" s="5">
        <v>271910</v>
      </c>
      <c r="L843" s="5">
        <v>2875110</v>
      </c>
      <c r="M843" s="5">
        <v>382779.47</v>
      </c>
      <c r="N843" s="5">
        <v>0.14660000000000001</v>
      </c>
      <c r="O843" s="5">
        <v>2</v>
      </c>
      <c r="P843" s="5">
        <v>43438</v>
      </c>
    </row>
    <row r="844" spans="1:16" x14ac:dyDescent="0.3">
      <c r="A844" s="5">
        <v>65</v>
      </c>
      <c r="B844" s="5" t="s">
        <v>110</v>
      </c>
      <c r="C844" s="5">
        <v>2</v>
      </c>
      <c r="D844" s="5" t="s">
        <v>88</v>
      </c>
      <c r="E844" s="5">
        <v>2024</v>
      </c>
      <c r="F844" s="5">
        <v>8</v>
      </c>
      <c r="G844" s="5" t="s">
        <v>65</v>
      </c>
      <c r="H844" s="5">
        <v>4840847</v>
      </c>
      <c r="I844" s="5">
        <v>4159616.37</v>
      </c>
      <c r="J844" s="5">
        <v>72</v>
      </c>
      <c r="K844" s="5">
        <v>419223</v>
      </c>
      <c r="L844" s="5">
        <v>5249990</v>
      </c>
      <c r="M844" s="5">
        <v>681230.63</v>
      </c>
      <c r="N844" s="5">
        <v>0.14069999999999999</v>
      </c>
      <c r="O844" s="5">
        <v>5</v>
      </c>
      <c r="P844" s="5">
        <v>192965</v>
      </c>
    </row>
    <row r="845" spans="1:16" x14ac:dyDescent="0.3">
      <c r="A845" s="5">
        <v>89</v>
      </c>
      <c r="B845" s="5" t="s">
        <v>110</v>
      </c>
      <c r="C845" s="5">
        <v>2</v>
      </c>
      <c r="D845" s="5" t="s">
        <v>88</v>
      </c>
      <c r="E845" s="5">
        <v>2024</v>
      </c>
      <c r="F845" s="5">
        <v>8</v>
      </c>
      <c r="G845" s="5" t="s">
        <v>65</v>
      </c>
      <c r="H845" s="5">
        <v>3103190</v>
      </c>
      <c r="I845" s="5">
        <v>2685467.12</v>
      </c>
      <c r="J845" s="5">
        <v>47</v>
      </c>
      <c r="K845" s="5">
        <v>358667</v>
      </c>
      <c r="L845" s="5">
        <v>3449070</v>
      </c>
      <c r="M845" s="5">
        <v>417722.88</v>
      </c>
      <c r="N845" s="5">
        <v>0.1346</v>
      </c>
      <c r="O845" s="5">
        <v>4</v>
      </c>
      <c r="P845" s="5">
        <v>7321</v>
      </c>
    </row>
    <row r="846" spans="1:16" x14ac:dyDescent="0.3">
      <c r="A846" s="5">
        <v>103</v>
      </c>
      <c r="B846" s="5" t="s">
        <v>110</v>
      </c>
      <c r="C846" s="5">
        <v>2</v>
      </c>
      <c r="D846" s="5" t="s">
        <v>88</v>
      </c>
      <c r="E846" s="5">
        <v>2024</v>
      </c>
      <c r="F846" s="5">
        <v>8</v>
      </c>
      <c r="G846" s="5" t="s">
        <v>65</v>
      </c>
      <c r="H846" s="5">
        <v>5288359</v>
      </c>
      <c r="I846" s="5">
        <v>4375568.29</v>
      </c>
      <c r="J846" s="5">
        <v>97</v>
      </c>
      <c r="K846" s="5">
        <v>489621</v>
      </c>
      <c r="L846" s="5">
        <v>5757360</v>
      </c>
      <c r="M846" s="5">
        <v>912790.71</v>
      </c>
      <c r="N846" s="5">
        <v>0.1726</v>
      </c>
      <c r="O846" s="5">
        <v>7</v>
      </c>
      <c r="P846" s="5">
        <v>68925</v>
      </c>
    </row>
    <row r="847" spans="1:16" x14ac:dyDescent="0.3">
      <c r="A847" s="5">
        <v>114</v>
      </c>
      <c r="B847" s="5" t="s">
        <v>110</v>
      </c>
      <c r="C847" s="5">
        <v>2</v>
      </c>
      <c r="D847" s="5" t="s">
        <v>88</v>
      </c>
      <c r="E847" s="5">
        <v>2024</v>
      </c>
      <c r="F847" s="5">
        <v>8</v>
      </c>
      <c r="G847" s="5" t="s">
        <v>65</v>
      </c>
      <c r="H847" s="5">
        <v>4813805</v>
      </c>
      <c r="I847" s="5">
        <v>4120519.91</v>
      </c>
      <c r="J847" s="5">
        <v>65</v>
      </c>
      <c r="K847" s="5">
        <v>471540</v>
      </c>
      <c r="L847" s="5">
        <v>5271090</v>
      </c>
      <c r="M847" s="5">
        <v>693285.09</v>
      </c>
      <c r="N847" s="5">
        <v>0.14399999999999999</v>
      </c>
      <c r="O847" s="5">
        <v>10</v>
      </c>
      <c r="P847" s="5">
        <v>117304</v>
      </c>
    </row>
    <row r="848" spans="1:16" x14ac:dyDescent="0.3">
      <c r="A848" s="5">
        <v>11</v>
      </c>
      <c r="B848" s="5" t="s">
        <v>110</v>
      </c>
      <c r="C848" s="5">
        <v>2</v>
      </c>
      <c r="D848" s="5" t="s">
        <v>88</v>
      </c>
      <c r="E848" s="5">
        <v>2024</v>
      </c>
      <c r="F848" s="5">
        <v>9</v>
      </c>
      <c r="G848" s="5" t="s">
        <v>66</v>
      </c>
      <c r="H848" s="5">
        <v>4371193</v>
      </c>
      <c r="I848" s="5">
        <v>3664586.99</v>
      </c>
      <c r="J848" s="5">
        <v>57</v>
      </c>
      <c r="K848" s="5">
        <v>275618</v>
      </c>
      <c r="L848" s="5">
        <v>4633010</v>
      </c>
      <c r="M848" s="5">
        <v>706606.01</v>
      </c>
      <c r="N848" s="5">
        <v>0.16170000000000001</v>
      </c>
      <c r="O848" s="5">
        <v>2</v>
      </c>
      <c r="P848" s="5">
        <v>8829</v>
      </c>
    </row>
    <row r="849" spans="1:16" x14ac:dyDescent="0.3">
      <c r="A849" s="5">
        <v>65</v>
      </c>
      <c r="B849" s="5" t="s">
        <v>110</v>
      </c>
      <c r="C849" s="5">
        <v>2</v>
      </c>
      <c r="D849" s="5" t="s">
        <v>88</v>
      </c>
      <c r="E849" s="5">
        <v>2024</v>
      </c>
      <c r="F849" s="5">
        <v>9</v>
      </c>
      <c r="G849" s="5" t="s">
        <v>66</v>
      </c>
      <c r="H849" s="5">
        <v>6057833</v>
      </c>
      <c r="I849" s="5">
        <v>4994873.25</v>
      </c>
      <c r="J849" s="5">
        <v>77</v>
      </c>
      <c r="K849" s="5">
        <v>316709</v>
      </c>
      <c r="L849" s="5">
        <v>6349430</v>
      </c>
      <c r="M849" s="5">
        <v>1062959.75</v>
      </c>
      <c r="N849" s="5">
        <v>0.17549999999999999</v>
      </c>
      <c r="O849" s="5">
        <v>3</v>
      </c>
      <c r="P849" s="5">
        <v>4917</v>
      </c>
    </row>
    <row r="850" spans="1:16" x14ac:dyDescent="0.3">
      <c r="A850" s="5">
        <v>89</v>
      </c>
      <c r="B850" s="5" t="s">
        <v>110</v>
      </c>
      <c r="C850" s="5">
        <v>2</v>
      </c>
      <c r="D850" s="5" t="s">
        <v>88</v>
      </c>
      <c r="E850" s="5">
        <v>2024</v>
      </c>
      <c r="F850" s="5">
        <v>9</v>
      </c>
      <c r="G850" s="5" t="s">
        <v>66</v>
      </c>
      <c r="H850" s="5">
        <v>3172711</v>
      </c>
      <c r="I850" s="5">
        <v>2605455.7799999998</v>
      </c>
      <c r="J850" s="5">
        <v>56</v>
      </c>
      <c r="K850" s="5">
        <v>158427</v>
      </c>
      <c r="L850" s="5">
        <v>3319690</v>
      </c>
      <c r="M850" s="5">
        <v>567255.22</v>
      </c>
      <c r="N850" s="5">
        <v>0.17879999999999999</v>
      </c>
      <c r="O850" s="5">
        <v>6</v>
      </c>
      <c r="P850" s="5">
        <v>194938</v>
      </c>
    </row>
    <row r="851" spans="1:16" x14ac:dyDescent="0.3">
      <c r="A851" s="5">
        <v>103</v>
      </c>
      <c r="B851" s="5" t="s">
        <v>110</v>
      </c>
      <c r="C851" s="5">
        <v>2</v>
      </c>
      <c r="D851" s="5" t="s">
        <v>88</v>
      </c>
      <c r="E851" s="5">
        <v>2024</v>
      </c>
      <c r="F851" s="5">
        <v>9</v>
      </c>
      <c r="G851" s="5" t="s">
        <v>66</v>
      </c>
      <c r="H851" s="5">
        <v>6195811</v>
      </c>
      <c r="I851" s="5">
        <v>5077714.49</v>
      </c>
      <c r="J851" s="5">
        <v>92</v>
      </c>
      <c r="K851" s="5">
        <v>350693</v>
      </c>
      <c r="L851" s="5">
        <v>6529150</v>
      </c>
      <c r="M851" s="5">
        <v>1118096.51</v>
      </c>
      <c r="N851" s="5">
        <v>0.18049999999999999</v>
      </c>
      <c r="O851" s="5">
        <v>9</v>
      </c>
      <c r="P851" s="5">
        <v>169901</v>
      </c>
    </row>
    <row r="852" spans="1:16" x14ac:dyDescent="0.3">
      <c r="A852" s="5">
        <v>114</v>
      </c>
      <c r="B852" s="5" t="s">
        <v>110</v>
      </c>
      <c r="C852" s="5">
        <v>2</v>
      </c>
      <c r="D852" s="5" t="s">
        <v>88</v>
      </c>
      <c r="E852" s="5">
        <v>2024</v>
      </c>
      <c r="F852" s="5">
        <v>9</v>
      </c>
      <c r="G852" s="5" t="s">
        <v>66</v>
      </c>
      <c r="H852" s="5">
        <v>4330296</v>
      </c>
      <c r="I852" s="5">
        <v>3570434.84</v>
      </c>
      <c r="J852" s="5">
        <v>63</v>
      </c>
      <c r="K852" s="5">
        <v>208237</v>
      </c>
      <c r="L852" s="5">
        <v>4525990</v>
      </c>
      <c r="M852" s="5">
        <v>759861.16</v>
      </c>
      <c r="N852" s="5">
        <v>0.17549999999999999</v>
      </c>
      <c r="O852" s="5">
        <v>6</v>
      </c>
      <c r="P852" s="5">
        <v>431169</v>
      </c>
    </row>
    <row r="853" spans="1:16" x14ac:dyDescent="0.3">
      <c r="A853" s="5">
        <v>11</v>
      </c>
      <c r="B853" s="5" t="s">
        <v>110</v>
      </c>
      <c r="C853" s="5">
        <v>2</v>
      </c>
      <c r="D853" s="5" t="s">
        <v>88</v>
      </c>
      <c r="E853" s="5">
        <v>2024</v>
      </c>
      <c r="F853" s="5">
        <v>10</v>
      </c>
      <c r="G853" s="5" t="s">
        <v>67</v>
      </c>
      <c r="H853" s="5">
        <v>3722387</v>
      </c>
      <c r="I853" s="5">
        <v>2949475.65</v>
      </c>
      <c r="J853" s="5">
        <v>72</v>
      </c>
      <c r="K853" s="5">
        <v>137889</v>
      </c>
      <c r="L853" s="5">
        <v>3850030</v>
      </c>
      <c r="M853" s="5">
        <v>772911.35</v>
      </c>
      <c r="N853" s="5">
        <v>0.20760000000000001</v>
      </c>
      <c r="O853" s="5">
        <v>10</v>
      </c>
      <c r="P853" s="5">
        <v>370503</v>
      </c>
    </row>
    <row r="854" spans="1:16" x14ac:dyDescent="0.3">
      <c r="A854" s="5">
        <v>65</v>
      </c>
      <c r="B854" s="5" t="s">
        <v>110</v>
      </c>
      <c r="C854" s="5">
        <v>2</v>
      </c>
      <c r="D854" s="5" t="s">
        <v>88</v>
      </c>
      <c r="E854" s="5">
        <v>2024</v>
      </c>
      <c r="F854" s="5">
        <v>10</v>
      </c>
      <c r="G854" s="5" t="s">
        <v>67</v>
      </c>
      <c r="H854" s="5">
        <v>5983976</v>
      </c>
      <c r="I854" s="5">
        <v>4813407.9000000004</v>
      </c>
      <c r="J854" s="5">
        <v>89</v>
      </c>
      <c r="K854" s="5">
        <v>195007</v>
      </c>
      <c r="L854" s="5">
        <v>6167270</v>
      </c>
      <c r="M854" s="5">
        <v>1170568.1000000001</v>
      </c>
      <c r="N854" s="5">
        <v>0.1956</v>
      </c>
      <c r="O854" s="5">
        <v>6</v>
      </c>
      <c r="P854" s="5">
        <v>84350</v>
      </c>
    </row>
    <row r="855" spans="1:16" x14ac:dyDescent="0.3">
      <c r="A855" s="5">
        <v>89</v>
      </c>
      <c r="B855" s="5" t="s">
        <v>110</v>
      </c>
      <c r="C855" s="5">
        <v>2</v>
      </c>
      <c r="D855" s="5" t="s">
        <v>88</v>
      </c>
      <c r="E855" s="5">
        <v>2024</v>
      </c>
      <c r="F855" s="5">
        <v>10</v>
      </c>
      <c r="G855" s="5" t="s">
        <v>67</v>
      </c>
      <c r="H855" s="5">
        <v>4144513</v>
      </c>
      <c r="I855" s="5">
        <v>3350364.32</v>
      </c>
      <c r="J855" s="5">
        <v>65</v>
      </c>
      <c r="K855" s="5">
        <v>162055</v>
      </c>
      <c r="L855" s="5">
        <v>4298290</v>
      </c>
      <c r="M855" s="5">
        <v>794148.68</v>
      </c>
      <c r="N855" s="5">
        <v>0.19159999999999999</v>
      </c>
      <c r="O855" s="5">
        <v>5</v>
      </c>
      <c r="P855" s="5">
        <v>270804</v>
      </c>
    </row>
    <row r="856" spans="1:16" x14ac:dyDescent="0.3">
      <c r="A856" s="5">
        <v>103</v>
      </c>
      <c r="B856" s="5" t="s">
        <v>110</v>
      </c>
      <c r="C856" s="5">
        <v>2</v>
      </c>
      <c r="D856" s="5" t="s">
        <v>88</v>
      </c>
      <c r="E856" s="5">
        <v>2024</v>
      </c>
      <c r="F856" s="5">
        <v>10</v>
      </c>
      <c r="G856" s="5" t="s">
        <v>67</v>
      </c>
      <c r="H856" s="5">
        <v>7026486</v>
      </c>
      <c r="I856" s="5">
        <v>5623190.2699999996</v>
      </c>
      <c r="J856" s="5">
        <v>93</v>
      </c>
      <c r="K856" s="5">
        <v>223696</v>
      </c>
      <c r="L856" s="5">
        <v>7215620</v>
      </c>
      <c r="M856" s="5">
        <v>1403295.73</v>
      </c>
      <c r="N856" s="5">
        <v>0.19969999999999999</v>
      </c>
      <c r="O856" s="5">
        <v>4</v>
      </c>
      <c r="P856" s="5">
        <v>87324</v>
      </c>
    </row>
    <row r="857" spans="1:16" x14ac:dyDescent="0.3">
      <c r="A857" s="5">
        <v>114</v>
      </c>
      <c r="B857" s="5" t="s">
        <v>110</v>
      </c>
      <c r="C857" s="5">
        <v>2</v>
      </c>
      <c r="D857" s="5" t="s">
        <v>88</v>
      </c>
      <c r="E857" s="5">
        <v>2024</v>
      </c>
      <c r="F857" s="5">
        <v>10</v>
      </c>
      <c r="G857" s="5" t="s">
        <v>67</v>
      </c>
      <c r="H857" s="5">
        <v>5713778</v>
      </c>
      <c r="I857" s="5">
        <v>4627454.7</v>
      </c>
      <c r="J857" s="5">
        <v>83</v>
      </c>
      <c r="K857" s="5">
        <v>190490</v>
      </c>
      <c r="L857" s="5">
        <v>5883840</v>
      </c>
      <c r="M857" s="5">
        <v>1086323.3</v>
      </c>
      <c r="N857" s="5">
        <v>0.19009999999999999</v>
      </c>
      <c r="O857" s="5">
        <v>4</v>
      </c>
      <c r="P857" s="5">
        <v>98116</v>
      </c>
    </row>
    <row r="858" spans="1:16" x14ac:dyDescent="0.3">
      <c r="A858" s="5">
        <v>11</v>
      </c>
      <c r="B858" s="5" t="s">
        <v>110</v>
      </c>
      <c r="C858" s="5">
        <v>2</v>
      </c>
      <c r="D858" s="5" t="s">
        <v>88</v>
      </c>
      <c r="E858" s="5">
        <v>2024</v>
      </c>
      <c r="F858" s="5">
        <v>11</v>
      </c>
      <c r="G858" s="5" t="s">
        <v>68</v>
      </c>
      <c r="H858" s="5">
        <v>4611516</v>
      </c>
      <c r="I858" s="5">
        <v>3846345.13</v>
      </c>
      <c r="J858" s="5">
        <v>76</v>
      </c>
      <c r="K858" s="5">
        <v>309395</v>
      </c>
      <c r="L858" s="5">
        <v>4905450</v>
      </c>
      <c r="M858" s="5">
        <v>765170.87</v>
      </c>
      <c r="N858" s="5">
        <v>0.16589999999999999</v>
      </c>
      <c r="O858" s="5">
        <v>6</v>
      </c>
      <c r="P858" s="5">
        <v>209634</v>
      </c>
    </row>
    <row r="859" spans="1:16" x14ac:dyDescent="0.3">
      <c r="A859" s="5">
        <v>65</v>
      </c>
      <c r="B859" s="5" t="s">
        <v>110</v>
      </c>
      <c r="C859" s="5">
        <v>2</v>
      </c>
      <c r="D859" s="5" t="s">
        <v>88</v>
      </c>
      <c r="E859" s="5">
        <v>2024</v>
      </c>
      <c r="F859" s="5">
        <v>11</v>
      </c>
      <c r="G859" s="5" t="s">
        <v>68</v>
      </c>
      <c r="H859" s="5">
        <v>5109850</v>
      </c>
      <c r="I859" s="5">
        <v>4290719.4000000004</v>
      </c>
      <c r="J859" s="5">
        <v>86</v>
      </c>
      <c r="K859" s="5">
        <v>361886</v>
      </c>
      <c r="L859" s="5">
        <v>5460140</v>
      </c>
      <c r="M859" s="5">
        <v>819130.6</v>
      </c>
      <c r="N859" s="5">
        <v>0.1603</v>
      </c>
      <c r="O859" s="5">
        <v>6</v>
      </c>
      <c r="P859" s="5">
        <v>218306</v>
      </c>
    </row>
    <row r="860" spans="1:16" x14ac:dyDescent="0.3">
      <c r="A860" s="5">
        <v>89</v>
      </c>
      <c r="B860" s="5" t="s">
        <v>110</v>
      </c>
      <c r="C860" s="5">
        <v>2</v>
      </c>
      <c r="D860" s="5" t="s">
        <v>88</v>
      </c>
      <c r="E860" s="5">
        <v>2024</v>
      </c>
      <c r="F860" s="5">
        <v>11</v>
      </c>
      <c r="G860" s="5" t="s">
        <v>68</v>
      </c>
      <c r="H860" s="5">
        <v>4918780</v>
      </c>
      <c r="I860" s="5">
        <v>4211338.78</v>
      </c>
      <c r="J860" s="5">
        <v>74</v>
      </c>
      <c r="K860" s="5">
        <v>541106</v>
      </c>
      <c r="L860" s="5">
        <v>5450560</v>
      </c>
      <c r="M860" s="5">
        <v>707441.22</v>
      </c>
      <c r="N860" s="5">
        <v>0.14380000000000001</v>
      </c>
      <c r="O860" s="5">
        <v>6</v>
      </c>
      <c r="P860" s="5">
        <v>110912</v>
      </c>
    </row>
    <row r="861" spans="1:16" x14ac:dyDescent="0.3">
      <c r="A861" s="5">
        <v>103</v>
      </c>
      <c r="B861" s="5" t="s">
        <v>110</v>
      </c>
      <c r="C861" s="5">
        <v>2</v>
      </c>
      <c r="D861" s="5" t="s">
        <v>88</v>
      </c>
      <c r="E861" s="5">
        <v>2024</v>
      </c>
      <c r="F861" s="5">
        <v>11</v>
      </c>
      <c r="G861" s="5" t="s">
        <v>68</v>
      </c>
      <c r="H861" s="5">
        <v>7454495</v>
      </c>
      <c r="I861" s="5">
        <v>6287499.2400000002</v>
      </c>
      <c r="J861" s="5">
        <v>104</v>
      </c>
      <c r="K861" s="5">
        <v>799334</v>
      </c>
      <c r="L861" s="5">
        <v>8234660</v>
      </c>
      <c r="M861" s="5">
        <v>1166995.76</v>
      </c>
      <c r="N861" s="5">
        <v>0.1565</v>
      </c>
      <c r="O861" s="5">
        <v>9</v>
      </c>
      <c r="P861" s="5">
        <v>317643</v>
      </c>
    </row>
    <row r="862" spans="1:16" x14ac:dyDescent="0.3">
      <c r="A862" s="5">
        <v>114</v>
      </c>
      <c r="B862" s="5" t="s">
        <v>110</v>
      </c>
      <c r="C862" s="5">
        <v>2</v>
      </c>
      <c r="D862" s="5" t="s">
        <v>88</v>
      </c>
      <c r="E862" s="5">
        <v>2024</v>
      </c>
      <c r="F862" s="5">
        <v>11</v>
      </c>
      <c r="G862" s="5" t="s">
        <v>68</v>
      </c>
      <c r="H862" s="5">
        <v>7107763</v>
      </c>
      <c r="I862" s="5">
        <v>5956343.46</v>
      </c>
      <c r="J862" s="5">
        <v>93</v>
      </c>
      <c r="K862" s="5">
        <v>562968</v>
      </c>
      <c r="L862" s="5">
        <v>7628310</v>
      </c>
      <c r="M862" s="5">
        <v>1151419.54</v>
      </c>
      <c r="N862" s="5">
        <v>0.16200000000000001</v>
      </c>
      <c r="O862" s="5">
        <v>11</v>
      </c>
      <c r="P862" s="5">
        <v>292039</v>
      </c>
    </row>
    <row r="863" spans="1:16" x14ac:dyDescent="0.3">
      <c r="A863" s="5">
        <v>11</v>
      </c>
      <c r="B863" s="5" t="s">
        <v>110</v>
      </c>
      <c r="C863" s="5">
        <v>2</v>
      </c>
      <c r="D863" s="5" t="s">
        <v>88</v>
      </c>
      <c r="E863" s="5">
        <v>2024</v>
      </c>
      <c r="F863" s="5">
        <v>12</v>
      </c>
      <c r="G863" s="5" t="s">
        <v>69</v>
      </c>
      <c r="H863" s="5">
        <v>4997935</v>
      </c>
      <c r="I863" s="5">
        <v>4074397.86</v>
      </c>
      <c r="J863" s="5">
        <v>87</v>
      </c>
      <c r="K863" s="5">
        <v>178523</v>
      </c>
      <c r="L863" s="5">
        <v>5161720</v>
      </c>
      <c r="M863" s="5">
        <v>923537.14</v>
      </c>
      <c r="N863" s="5">
        <v>0.18479999999999999</v>
      </c>
      <c r="O863" s="5">
        <v>4</v>
      </c>
      <c r="P863" s="5">
        <v>97134</v>
      </c>
    </row>
    <row r="864" spans="1:16" x14ac:dyDescent="0.3">
      <c r="A864" s="5">
        <v>65</v>
      </c>
      <c r="B864" s="5" t="s">
        <v>110</v>
      </c>
      <c r="C864" s="5">
        <v>2</v>
      </c>
      <c r="D864" s="5" t="s">
        <v>88</v>
      </c>
      <c r="E864" s="5">
        <v>2024</v>
      </c>
      <c r="F864" s="5">
        <v>12</v>
      </c>
      <c r="G864" s="5" t="s">
        <v>69</v>
      </c>
      <c r="H864" s="5">
        <v>7495051</v>
      </c>
      <c r="I864" s="5">
        <v>5995152.9900000002</v>
      </c>
      <c r="J864" s="5">
        <v>100</v>
      </c>
      <c r="K864" s="5">
        <v>265052</v>
      </c>
      <c r="L864" s="5">
        <v>7726280</v>
      </c>
      <c r="M864" s="5">
        <v>1499898.01</v>
      </c>
      <c r="N864" s="5">
        <v>0.2001</v>
      </c>
      <c r="O864" s="5">
        <v>6</v>
      </c>
      <c r="P864" s="5">
        <v>360313</v>
      </c>
    </row>
    <row r="865" spans="1:16" x14ac:dyDescent="0.3">
      <c r="A865" s="5">
        <v>89</v>
      </c>
      <c r="B865" s="5" t="s">
        <v>110</v>
      </c>
      <c r="C865" s="5">
        <v>2</v>
      </c>
      <c r="D865" s="5" t="s">
        <v>88</v>
      </c>
      <c r="E865" s="5">
        <v>2024</v>
      </c>
      <c r="F865" s="5">
        <v>12</v>
      </c>
      <c r="G865" s="5" t="s">
        <v>69</v>
      </c>
      <c r="H865" s="5">
        <v>5233169</v>
      </c>
      <c r="I865" s="5">
        <v>4221971.4400000004</v>
      </c>
      <c r="J865" s="5">
        <v>58</v>
      </c>
      <c r="K865" s="5">
        <v>206397</v>
      </c>
      <c r="L865" s="5">
        <v>5427360</v>
      </c>
      <c r="M865" s="5">
        <v>1011197.56</v>
      </c>
      <c r="N865" s="5">
        <v>0.19320000000000001</v>
      </c>
      <c r="O865" s="5">
        <v>5</v>
      </c>
      <c r="P865" s="5">
        <v>200172</v>
      </c>
    </row>
    <row r="866" spans="1:16" x14ac:dyDescent="0.3">
      <c r="A866" s="5">
        <v>103</v>
      </c>
      <c r="B866" s="5" t="s">
        <v>110</v>
      </c>
      <c r="C866" s="5">
        <v>2</v>
      </c>
      <c r="D866" s="5" t="s">
        <v>88</v>
      </c>
      <c r="E866" s="5">
        <v>2024</v>
      </c>
      <c r="F866" s="5">
        <v>12</v>
      </c>
      <c r="G866" s="5" t="s">
        <v>69</v>
      </c>
      <c r="H866" s="5">
        <v>9753049</v>
      </c>
      <c r="I866" s="5">
        <v>7896724.4500000002</v>
      </c>
      <c r="J866" s="5">
        <v>115</v>
      </c>
      <c r="K866" s="5">
        <v>316919</v>
      </c>
      <c r="L866" s="5">
        <v>10051050</v>
      </c>
      <c r="M866" s="5">
        <v>1856324.55</v>
      </c>
      <c r="N866" s="5">
        <v>0.1903</v>
      </c>
      <c r="O866" s="5">
        <v>7</v>
      </c>
      <c r="P866" s="5">
        <v>86048</v>
      </c>
    </row>
    <row r="867" spans="1:16" x14ac:dyDescent="0.3">
      <c r="A867" s="5">
        <v>114</v>
      </c>
      <c r="B867" s="5" t="s">
        <v>110</v>
      </c>
      <c r="C867" s="5">
        <v>2</v>
      </c>
      <c r="D867" s="5" t="s">
        <v>88</v>
      </c>
      <c r="E867" s="5">
        <v>2024</v>
      </c>
      <c r="F867" s="5">
        <v>12</v>
      </c>
      <c r="G867" s="5" t="s">
        <v>69</v>
      </c>
      <c r="H867" s="5">
        <v>4901541</v>
      </c>
      <c r="I867" s="5">
        <v>3913358.35</v>
      </c>
      <c r="J867" s="5">
        <v>73</v>
      </c>
      <c r="K867" s="5">
        <v>168334</v>
      </c>
      <c r="L867" s="5">
        <v>5060930</v>
      </c>
      <c r="M867" s="5">
        <v>988182.65</v>
      </c>
      <c r="N867" s="5">
        <v>0.2016</v>
      </c>
      <c r="O867" s="5">
        <v>9</v>
      </c>
      <c r="P867" s="5">
        <v>541887</v>
      </c>
    </row>
    <row r="868" spans="1:16" x14ac:dyDescent="0.3">
      <c r="A868" s="5">
        <v>44</v>
      </c>
      <c r="B868" s="5" t="s">
        <v>111</v>
      </c>
      <c r="C868" s="5">
        <v>6</v>
      </c>
      <c r="D868" s="5" t="s">
        <v>90</v>
      </c>
      <c r="E868" s="5">
        <v>2021</v>
      </c>
      <c r="F868" s="5">
        <v>1</v>
      </c>
      <c r="G868" s="5" t="s">
        <v>22</v>
      </c>
      <c r="H868" s="5">
        <v>1643940</v>
      </c>
      <c r="I868" s="5">
        <v>1450962.16</v>
      </c>
      <c r="J868" s="5">
        <v>26</v>
      </c>
      <c r="K868" s="5">
        <v>254268</v>
      </c>
      <c r="L868" s="5">
        <v>1890530</v>
      </c>
      <c r="M868" s="5">
        <v>192977.84</v>
      </c>
      <c r="N868" s="5">
        <v>0.1174</v>
      </c>
      <c r="O868" s="5">
        <v>3</v>
      </c>
      <c r="P868" s="5">
        <v>85715</v>
      </c>
    </row>
    <row r="869" spans="1:16" x14ac:dyDescent="0.3">
      <c r="A869" s="5">
        <v>44</v>
      </c>
      <c r="B869" s="5" t="s">
        <v>111</v>
      </c>
      <c r="C869" s="5">
        <v>6</v>
      </c>
      <c r="D869" s="5" t="s">
        <v>90</v>
      </c>
      <c r="E869" s="5">
        <v>2021</v>
      </c>
      <c r="F869" s="5">
        <v>2</v>
      </c>
      <c r="G869" s="5" t="s">
        <v>23</v>
      </c>
      <c r="H869" s="5">
        <v>1902197</v>
      </c>
      <c r="I869" s="5">
        <v>1684176.8</v>
      </c>
      <c r="J869" s="5">
        <v>26</v>
      </c>
      <c r="K869" s="5">
        <v>243407</v>
      </c>
      <c r="L869" s="5">
        <v>2130970</v>
      </c>
      <c r="M869" s="5">
        <v>218020.2</v>
      </c>
      <c r="N869" s="5">
        <v>0.11459999999999999</v>
      </c>
      <c r="O869" s="5">
        <v>1</v>
      </c>
      <c r="P869" s="5">
        <v>17740</v>
      </c>
    </row>
    <row r="870" spans="1:16" x14ac:dyDescent="0.3">
      <c r="A870" s="5">
        <v>44</v>
      </c>
      <c r="B870" s="5" t="s">
        <v>111</v>
      </c>
      <c r="C870" s="5">
        <v>6</v>
      </c>
      <c r="D870" s="5" t="s">
        <v>90</v>
      </c>
      <c r="E870" s="5">
        <v>2021</v>
      </c>
      <c r="F870" s="5">
        <v>3</v>
      </c>
      <c r="G870" s="5" t="s">
        <v>24</v>
      </c>
      <c r="H870" s="5">
        <v>1673810</v>
      </c>
      <c r="I870" s="5">
        <v>1391323.2</v>
      </c>
      <c r="J870" s="5">
        <v>33</v>
      </c>
      <c r="K870" s="5">
        <v>157884</v>
      </c>
      <c r="L870" s="5">
        <v>1828000</v>
      </c>
      <c r="M870" s="5">
        <v>282486.8</v>
      </c>
      <c r="N870" s="5">
        <v>0.16880000000000001</v>
      </c>
      <c r="O870" s="5">
        <v>3</v>
      </c>
      <c r="P870" s="5">
        <v>58557</v>
      </c>
    </row>
    <row r="871" spans="1:16" x14ac:dyDescent="0.3">
      <c r="A871" s="5">
        <v>44</v>
      </c>
      <c r="B871" s="5" t="s">
        <v>111</v>
      </c>
      <c r="C871" s="5">
        <v>6</v>
      </c>
      <c r="D871" s="5" t="s">
        <v>90</v>
      </c>
      <c r="E871" s="5">
        <v>2021</v>
      </c>
      <c r="F871" s="5">
        <v>4</v>
      </c>
      <c r="G871" s="5" t="s">
        <v>25</v>
      </c>
      <c r="H871" s="5">
        <v>1714797</v>
      </c>
      <c r="I871" s="5">
        <v>1517706.28</v>
      </c>
      <c r="J871" s="5">
        <v>28</v>
      </c>
      <c r="K871" s="5">
        <v>244137</v>
      </c>
      <c r="L871" s="5">
        <v>1952960</v>
      </c>
      <c r="M871" s="5">
        <v>197090.72</v>
      </c>
      <c r="N871" s="5">
        <v>0.1149</v>
      </c>
      <c r="O871" s="5">
        <v>1</v>
      </c>
      <c r="P871" s="5">
        <v>321</v>
      </c>
    </row>
    <row r="872" spans="1:16" x14ac:dyDescent="0.3">
      <c r="A872" s="5">
        <v>44</v>
      </c>
      <c r="B872" s="5" t="s">
        <v>111</v>
      </c>
      <c r="C872" s="5">
        <v>6</v>
      </c>
      <c r="D872" s="5" t="s">
        <v>90</v>
      </c>
      <c r="E872" s="5">
        <v>2021</v>
      </c>
      <c r="F872" s="5">
        <v>5</v>
      </c>
      <c r="G872" s="5" t="s">
        <v>26</v>
      </c>
      <c r="H872" s="5">
        <v>2297527</v>
      </c>
      <c r="I872" s="5">
        <v>2047993.81</v>
      </c>
      <c r="J872" s="5">
        <v>27</v>
      </c>
      <c r="K872" s="5">
        <v>315705</v>
      </c>
      <c r="L872" s="5">
        <v>2602530</v>
      </c>
      <c r="M872" s="5">
        <v>249533.19</v>
      </c>
      <c r="N872" s="5">
        <v>0.1086</v>
      </c>
      <c r="O872" s="5">
        <v>3</v>
      </c>
      <c r="P872" s="5">
        <v>79522</v>
      </c>
    </row>
    <row r="873" spans="1:16" x14ac:dyDescent="0.3">
      <c r="A873" s="5">
        <v>44</v>
      </c>
      <c r="B873" s="5" t="s">
        <v>111</v>
      </c>
      <c r="C873" s="5">
        <v>6</v>
      </c>
      <c r="D873" s="5" t="s">
        <v>90</v>
      </c>
      <c r="E873" s="5">
        <v>2021</v>
      </c>
      <c r="F873" s="5">
        <v>6</v>
      </c>
      <c r="G873" s="5" t="s">
        <v>27</v>
      </c>
      <c r="H873" s="5">
        <v>1773531</v>
      </c>
      <c r="I873" s="5">
        <v>1625613.18</v>
      </c>
      <c r="J873" s="5">
        <v>29</v>
      </c>
      <c r="K873" s="5">
        <v>253833</v>
      </c>
      <c r="L873" s="5">
        <v>2023150</v>
      </c>
      <c r="M873" s="5">
        <v>147917.82</v>
      </c>
      <c r="N873" s="5">
        <v>8.3400000000000002E-2</v>
      </c>
      <c r="O873" s="5">
        <v>1</v>
      </c>
      <c r="P873" s="5">
        <v>12690</v>
      </c>
    </row>
    <row r="874" spans="1:16" x14ac:dyDescent="0.3">
      <c r="A874" s="5">
        <v>44</v>
      </c>
      <c r="B874" s="5" t="s">
        <v>111</v>
      </c>
      <c r="C874" s="5">
        <v>6</v>
      </c>
      <c r="D874" s="5" t="s">
        <v>90</v>
      </c>
      <c r="E874" s="5">
        <v>2021</v>
      </c>
      <c r="F874" s="5">
        <v>7</v>
      </c>
      <c r="G874" s="5" t="s">
        <v>28</v>
      </c>
      <c r="H874" s="5">
        <v>675512</v>
      </c>
      <c r="I874" s="5">
        <v>563127.34</v>
      </c>
      <c r="J874" s="5">
        <v>16</v>
      </c>
      <c r="K874" s="5">
        <v>87727</v>
      </c>
      <c r="L874" s="5">
        <v>762280</v>
      </c>
      <c r="M874" s="5">
        <v>112384.66</v>
      </c>
      <c r="N874" s="5">
        <v>0.16639999999999999</v>
      </c>
      <c r="O874" s="5">
        <v>1</v>
      </c>
      <c r="P874" s="5">
        <v>83758</v>
      </c>
    </row>
    <row r="875" spans="1:16" x14ac:dyDescent="0.3">
      <c r="A875" s="5">
        <v>44</v>
      </c>
      <c r="B875" s="5" t="s">
        <v>111</v>
      </c>
      <c r="C875" s="5">
        <v>6</v>
      </c>
      <c r="D875" s="5" t="s">
        <v>90</v>
      </c>
      <c r="E875" s="5">
        <v>2021</v>
      </c>
      <c r="F875" s="5">
        <v>8</v>
      </c>
      <c r="G875" s="5" t="s">
        <v>29</v>
      </c>
      <c r="H875" s="5">
        <v>928122</v>
      </c>
      <c r="I875" s="5">
        <v>803284.9</v>
      </c>
      <c r="J875" s="5">
        <v>22</v>
      </c>
      <c r="K875" s="5">
        <v>120012</v>
      </c>
      <c r="L875" s="5">
        <v>1045180</v>
      </c>
      <c r="M875" s="5">
        <v>124837.1</v>
      </c>
      <c r="N875" s="5">
        <v>0.13450000000000001</v>
      </c>
      <c r="O875" s="5">
        <v>1</v>
      </c>
      <c r="P875" s="5">
        <v>19636</v>
      </c>
    </row>
    <row r="876" spans="1:16" x14ac:dyDescent="0.3">
      <c r="A876" s="5">
        <v>44</v>
      </c>
      <c r="B876" s="5" t="s">
        <v>111</v>
      </c>
      <c r="C876" s="5">
        <v>6</v>
      </c>
      <c r="D876" s="5" t="s">
        <v>90</v>
      </c>
      <c r="E876" s="5">
        <v>2021</v>
      </c>
      <c r="F876" s="5">
        <v>9</v>
      </c>
      <c r="G876" s="5" t="s">
        <v>30</v>
      </c>
      <c r="H876" s="5">
        <v>1747770</v>
      </c>
      <c r="I876" s="5">
        <v>1637703.43</v>
      </c>
      <c r="J876" s="5">
        <v>26</v>
      </c>
      <c r="K876" s="5">
        <v>301181</v>
      </c>
      <c r="L876" s="5">
        <v>2044440</v>
      </c>
      <c r="M876" s="5">
        <v>110066.57</v>
      </c>
      <c r="N876" s="5">
        <v>6.3E-2</v>
      </c>
      <c r="O876" s="5">
        <v>5</v>
      </c>
      <c r="P876" s="5">
        <v>40873</v>
      </c>
    </row>
    <row r="877" spans="1:16" x14ac:dyDescent="0.3">
      <c r="A877" s="5">
        <v>44</v>
      </c>
      <c r="B877" s="5" t="s">
        <v>111</v>
      </c>
      <c r="C877" s="5">
        <v>6</v>
      </c>
      <c r="D877" s="5" t="s">
        <v>90</v>
      </c>
      <c r="E877" s="5">
        <v>2021</v>
      </c>
      <c r="F877" s="5">
        <v>10</v>
      </c>
      <c r="G877" s="5" t="s">
        <v>31</v>
      </c>
      <c r="H877" s="5">
        <v>2963993</v>
      </c>
      <c r="I877" s="5">
        <v>2402370.7799999998</v>
      </c>
      <c r="J877" s="5">
        <v>41</v>
      </c>
      <c r="K877" s="5">
        <v>278544</v>
      </c>
      <c r="L877" s="5">
        <v>3232200</v>
      </c>
      <c r="M877" s="5">
        <v>561622.22</v>
      </c>
      <c r="N877" s="5">
        <v>0.1895</v>
      </c>
      <c r="O877" s="5">
        <v>4</v>
      </c>
      <c r="P877" s="5">
        <v>158765</v>
      </c>
    </row>
    <row r="878" spans="1:16" x14ac:dyDescent="0.3">
      <c r="A878" s="5">
        <v>44</v>
      </c>
      <c r="B878" s="5" t="s">
        <v>111</v>
      </c>
      <c r="C878" s="5">
        <v>6</v>
      </c>
      <c r="D878" s="5" t="s">
        <v>90</v>
      </c>
      <c r="E878" s="5">
        <v>2021</v>
      </c>
      <c r="F878" s="5">
        <v>11</v>
      </c>
      <c r="G878" s="5" t="s">
        <v>32</v>
      </c>
      <c r="H878" s="5">
        <v>3211749</v>
      </c>
      <c r="I878" s="5">
        <v>2617564.09</v>
      </c>
      <c r="J878" s="5">
        <v>50</v>
      </c>
      <c r="K878" s="5">
        <v>216710</v>
      </c>
      <c r="L878" s="5">
        <v>3407780</v>
      </c>
      <c r="M878" s="5">
        <v>594184.91</v>
      </c>
      <c r="N878" s="5">
        <v>0.185</v>
      </c>
      <c r="O878" s="5">
        <v>4</v>
      </c>
      <c r="P878" s="5">
        <v>71642</v>
      </c>
    </row>
    <row r="879" spans="1:16" x14ac:dyDescent="0.3">
      <c r="A879" s="5">
        <v>44</v>
      </c>
      <c r="B879" s="5" t="s">
        <v>111</v>
      </c>
      <c r="C879" s="5">
        <v>6</v>
      </c>
      <c r="D879" s="5" t="s">
        <v>90</v>
      </c>
      <c r="E879" s="5">
        <v>2021</v>
      </c>
      <c r="F879" s="5">
        <v>12</v>
      </c>
      <c r="G879" s="5" t="s">
        <v>33</v>
      </c>
      <c r="H879" s="5">
        <v>3111852</v>
      </c>
      <c r="I879" s="5">
        <v>2641470.59</v>
      </c>
      <c r="J879" s="5">
        <v>43</v>
      </c>
      <c r="K879" s="5">
        <v>250625</v>
      </c>
      <c r="L879" s="5">
        <v>3355670</v>
      </c>
      <c r="M879" s="5">
        <v>470381.41</v>
      </c>
      <c r="N879" s="5">
        <v>0.1512</v>
      </c>
      <c r="O879" s="5">
        <v>5</v>
      </c>
      <c r="P879" s="5">
        <v>127115</v>
      </c>
    </row>
    <row r="880" spans="1:16" x14ac:dyDescent="0.3">
      <c r="A880" s="5">
        <v>44</v>
      </c>
      <c r="B880" s="5" t="s">
        <v>111</v>
      </c>
      <c r="C880" s="5">
        <v>6</v>
      </c>
      <c r="D880" s="5" t="s">
        <v>90</v>
      </c>
      <c r="E880" s="5">
        <v>2022</v>
      </c>
      <c r="F880" s="5">
        <v>1</v>
      </c>
      <c r="G880" s="5" t="s">
        <v>34</v>
      </c>
      <c r="H880" s="5">
        <v>2451696</v>
      </c>
      <c r="I880" s="5">
        <v>2026612.39</v>
      </c>
      <c r="J880" s="5">
        <v>38</v>
      </c>
      <c r="K880" s="5">
        <v>157439</v>
      </c>
      <c r="L880" s="5">
        <v>2604110</v>
      </c>
      <c r="M880" s="5">
        <v>425083.61</v>
      </c>
      <c r="N880" s="5">
        <v>0.1734</v>
      </c>
      <c r="O880" s="5">
        <v>4</v>
      </c>
      <c r="P880" s="5">
        <v>133587</v>
      </c>
    </row>
    <row r="881" spans="1:16" x14ac:dyDescent="0.3">
      <c r="A881" s="5">
        <v>44</v>
      </c>
      <c r="B881" s="5" t="s">
        <v>111</v>
      </c>
      <c r="C881" s="5">
        <v>6</v>
      </c>
      <c r="D881" s="5" t="s">
        <v>90</v>
      </c>
      <c r="E881" s="5">
        <v>2022</v>
      </c>
      <c r="F881" s="5">
        <v>2</v>
      </c>
      <c r="G881" s="5" t="s">
        <v>35</v>
      </c>
      <c r="H881" s="5">
        <v>618837</v>
      </c>
      <c r="I881" s="5">
        <v>457929.26</v>
      </c>
      <c r="J881" s="5">
        <v>18</v>
      </c>
      <c r="K881" s="5">
        <v>16015</v>
      </c>
      <c r="L881" s="5">
        <v>630380</v>
      </c>
      <c r="M881" s="5">
        <v>160907.74</v>
      </c>
      <c r="N881" s="5">
        <v>0.26</v>
      </c>
      <c r="O881" s="5">
        <v>1</v>
      </c>
      <c r="P881" s="5">
        <v>57959</v>
      </c>
    </row>
    <row r="882" spans="1:16" x14ac:dyDescent="0.3">
      <c r="A882" s="5">
        <v>44</v>
      </c>
      <c r="B882" s="5" t="s">
        <v>111</v>
      </c>
      <c r="C882" s="5">
        <v>6</v>
      </c>
      <c r="D882" s="5" t="s">
        <v>90</v>
      </c>
      <c r="E882" s="5">
        <v>2022</v>
      </c>
      <c r="F882" s="5">
        <v>3</v>
      </c>
      <c r="G882" s="5" t="s">
        <v>36</v>
      </c>
      <c r="H882" s="5">
        <v>3246508</v>
      </c>
      <c r="I882" s="5">
        <v>2834618.52</v>
      </c>
      <c r="J882" s="5">
        <v>37</v>
      </c>
      <c r="K882" s="5">
        <v>382722</v>
      </c>
      <c r="L882" s="5">
        <v>3620750</v>
      </c>
      <c r="M882" s="5">
        <v>411889.48</v>
      </c>
      <c r="N882" s="5">
        <v>0.12690000000000001</v>
      </c>
      <c r="O882" s="5">
        <v>3</v>
      </c>
      <c r="P882" s="5">
        <v>91411</v>
      </c>
    </row>
    <row r="883" spans="1:16" x14ac:dyDescent="0.3">
      <c r="A883" s="5">
        <v>44</v>
      </c>
      <c r="B883" s="5" t="s">
        <v>111</v>
      </c>
      <c r="C883" s="5">
        <v>6</v>
      </c>
      <c r="D883" s="5" t="s">
        <v>90</v>
      </c>
      <c r="E883" s="5">
        <v>2022</v>
      </c>
      <c r="F883" s="5">
        <v>4</v>
      </c>
      <c r="G883" s="5" t="s">
        <v>37</v>
      </c>
      <c r="H883" s="5">
        <v>1796686</v>
      </c>
      <c r="I883" s="5">
        <v>1470363.52</v>
      </c>
      <c r="J883" s="5">
        <v>38</v>
      </c>
      <c r="K883" s="5">
        <v>105542</v>
      </c>
      <c r="L883" s="5">
        <v>1898190</v>
      </c>
      <c r="M883" s="5">
        <v>326322.48</v>
      </c>
      <c r="N883" s="5">
        <v>0.18160000000000001</v>
      </c>
      <c r="O883" s="5">
        <v>2</v>
      </c>
      <c r="P883" s="5">
        <v>65436</v>
      </c>
    </row>
    <row r="884" spans="1:16" x14ac:dyDescent="0.3">
      <c r="A884" s="5">
        <v>44</v>
      </c>
      <c r="B884" s="5" t="s">
        <v>111</v>
      </c>
      <c r="C884" s="5">
        <v>6</v>
      </c>
      <c r="D884" s="5" t="s">
        <v>90</v>
      </c>
      <c r="E884" s="5">
        <v>2022</v>
      </c>
      <c r="F884" s="5">
        <v>5</v>
      </c>
      <c r="G884" s="5" t="s">
        <v>38</v>
      </c>
      <c r="H884" s="5">
        <v>4197127</v>
      </c>
      <c r="I884" s="5">
        <v>3768490.87</v>
      </c>
      <c r="J884" s="5">
        <v>52</v>
      </c>
      <c r="K884" s="5">
        <v>548012</v>
      </c>
      <c r="L884" s="5">
        <v>4726560</v>
      </c>
      <c r="M884" s="5">
        <v>428636.13</v>
      </c>
      <c r="N884" s="5">
        <v>0.1021</v>
      </c>
      <c r="O884" s="5">
        <v>0</v>
      </c>
      <c r="P884" s="5">
        <v>0</v>
      </c>
    </row>
    <row r="885" spans="1:16" x14ac:dyDescent="0.3">
      <c r="A885" s="5">
        <v>44</v>
      </c>
      <c r="B885" s="5" t="s">
        <v>111</v>
      </c>
      <c r="C885" s="5">
        <v>6</v>
      </c>
      <c r="D885" s="5" t="s">
        <v>90</v>
      </c>
      <c r="E885" s="5">
        <v>2022</v>
      </c>
      <c r="F885" s="5">
        <v>6</v>
      </c>
      <c r="G885" s="5" t="s">
        <v>39</v>
      </c>
      <c r="H885" s="5">
        <v>1491353</v>
      </c>
      <c r="I885" s="5">
        <v>1304019.69</v>
      </c>
      <c r="J885" s="5">
        <v>36</v>
      </c>
      <c r="K885" s="5">
        <v>191538</v>
      </c>
      <c r="L885" s="5">
        <v>1680550</v>
      </c>
      <c r="M885" s="5">
        <v>187333.31</v>
      </c>
      <c r="N885" s="5">
        <v>0.12559999999999999</v>
      </c>
      <c r="O885" s="5">
        <v>4</v>
      </c>
      <c r="P885" s="5">
        <v>99226</v>
      </c>
    </row>
    <row r="886" spans="1:16" x14ac:dyDescent="0.3">
      <c r="A886" s="5">
        <v>44</v>
      </c>
      <c r="B886" s="5" t="s">
        <v>111</v>
      </c>
      <c r="C886" s="5">
        <v>6</v>
      </c>
      <c r="D886" s="5" t="s">
        <v>90</v>
      </c>
      <c r="E886" s="5">
        <v>2022</v>
      </c>
      <c r="F886" s="5">
        <v>7</v>
      </c>
      <c r="G886" s="5" t="s">
        <v>40</v>
      </c>
      <c r="H886" s="5">
        <v>2449432</v>
      </c>
      <c r="I886" s="5">
        <v>2006637.7</v>
      </c>
      <c r="J886" s="5">
        <v>39</v>
      </c>
      <c r="K886" s="5">
        <v>171787</v>
      </c>
      <c r="L886" s="5">
        <v>2601880</v>
      </c>
      <c r="M886" s="5">
        <v>442794.3</v>
      </c>
      <c r="N886" s="5">
        <v>0.18079999999999999</v>
      </c>
      <c r="O886" s="5">
        <v>5</v>
      </c>
      <c r="P886" s="5">
        <v>63961</v>
      </c>
    </row>
    <row r="887" spans="1:16" x14ac:dyDescent="0.3">
      <c r="A887" s="5">
        <v>44</v>
      </c>
      <c r="B887" s="5" t="s">
        <v>111</v>
      </c>
      <c r="C887" s="5">
        <v>6</v>
      </c>
      <c r="D887" s="5" t="s">
        <v>90</v>
      </c>
      <c r="E887" s="5">
        <v>2022</v>
      </c>
      <c r="F887" s="5">
        <v>8</v>
      </c>
      <c r="G887" s="5" t="s">
        <v>41</v>
      </c>
      <c r="H887" s="5">
        <v>3667417</v>
      </c>
      <c r="I887" s="5">
        <v>3183163.45</v>
      </c>
      <c r="J887" s="5">
        <v>42</v>
      </c>
      <c r="K887" s="5">
        <v>463975</v>
      </c>
      <c r="L887" s="5">
        <v>4119160</v>
      </c>
      <c r="M887" s="5">
        <v>484253.55</v>
      </c>
      <c r="N887" s="5">
        <v>0.13200000000000001</v>
      </c>
      <c r="O887" s="5">
        <v>3</v>
      </c>
      <c r="P887" s="5">
        <v>177924</v>
      </c>
    </row>
    <row r="888" spans="1:16" x14ac:dyDescent="0.3">
      <c r="A888" s="5">
        <v>44</v>
      </c>
      <c r="B888" s="5" t="s">
        <v>111</v>
      </c>
      <c r="C888" s="5">
        <v>6</v>
      </c>
      <c r="D888" s="5" t="s">
        <v>90</v>
      </c>
      <c r="E888" s="5">
        <v>2022</v>
      </c>
      <c r="F888" s="5">
        <v>9</v>
      </c>
      <c r="G888" s="5" t="s">
        <v>42</v>
      </c>
      <c r="H888" s="5">
        <v>2950499</v>
      </c>
      <c r="I888" s="5">
        <v>2590468.83</v>
      </c>
      <c r="J888" s="5">
        <v>47</v>
      </c>
      <c r="K888" s="5">
        <v>357801</v>
      </c>
      <c r="L888" s="5">
        <v>3299020</v>
      </c>
      <c r="M888" s="5">
        <v>360030.17</v>
      </c>
      <c r="N888" s="5">
        <v>0.122</v>
      </c>
      <c r="O888" s="5">
        <v>6</v>
      </c>
      <c r="P888" s="5">
        <v>212552</v>
      </c>
    </row>
    <row r="889" spans="1:16" x14ac:dyDescent="0.3">
      <c r="A889" s="5">
        <v>44</v>
      </c>
      <c r="B889" s="5" t="s">
        <v>111</v>
      </c>
      <c r="C889" s="5">
        <v>6</v>
      </c>
      <c r="D889" s="5" t="s">
        <v>90</v>
      </c>
      <c r="E889" s="5">
        <v>2022</v>
      </c>
      <c r="F889" s="5">
        <v>10</v>
      </c>
      <c r="G889" s="5" t="s">
        <v>43</v>
      </c>
      <c r="H889" s="5">
        <v>3647556</v>
      </c>
      <c r="I889" s="5">
        <v>3347777.38</v>
      </c>
      <c r="J889" s="5">
        <v>59</v>
      </c>
      <c r="K889" s="5">
        <v>674115</v>
      </c>
      <c r="L889" s="5">
        <v>4314450</v>
      </c>
      <c r="M889" s="5">
        <v>299778.62</v>
      </c>
      <c r="N889" s="5">
        <v>8.2199999999999995E-2</v>
      </c>
      <c r="O889" s="5">
        <v>9</v>
      </c>
      <c r="P889" s="5">
        <v>345929</v>
      </c>
    </row>
    <row r="890" spans="1:16" x14ac:dyDescent="0.3">
      <c r="A890" s="5">
        <v>44</v>
      </c>
      <c r="B890" s="5" t="s">
        <v>111</v>
      </c>
      <c r="C890" s="5">
        <v>6</v>
      </c>
      <c r="D890" s="5" t="s">
        <v>90</v>
      </c>
      <c r="E890" s="5">
        <v>2022</v>
      </c>
      <c r="F890" s="5">
        <v>11</v>
      </c>
      <c r="G890" s="5" t="s">
        <v>44</v>
      </c>
      <c r="H890" s="5">
        <v>5418922</v>
      </c>
      <c r="I890" s="5">
        <v>4599306.13</v>
      </c>
      <c r="J890" s="5">
        <v>69</v>
      </c>
      <c r="K890" s="5">
        <v>490745</v>
      </c>
      <c r="L890" s="5">
        <v>5894070</v>
      </c>
      <c r="M890" s="5">
        <v>819615.87</v>
      </c>
      <c r="N890" s="5">
        <v>0.15129999999999999</v>
      </c>
      <c r="O890" s="5">
        <v>4</v>
      </c>
      <c r="P890" s="5">
        <v>51444</v>
      </c>
    </row>
    <row r="891" spans="1:16" x14ac:dyDescent="0.3">
      <c r="A891" s="5">
        <v>44</v>
      </c>
      <c r="B891" s="5" t="s">
        <v>111</v>
      </c>
      <c r="C891" s="5">
        <v>6</v>
      </c>
      <c r="D891" s="5" t="s">
        <v>90</v>
      </c>
      <c r="E891" s="5">
        <v>2022</v>
      </c>
      <c r="F891" s="5">
        <v>12</v>
      </c>
      <c r="G891" s="5" t="s">
        <v>45</v>
      </c>
      <c r="H891" s="5">
        <v>3774025</v>
      </c>
      <c r="I891" s="5">
        <v>3144624.51</v>
      </c>
      <c r="J891" s="5">
        <v>60</v>
      </c>
      <c r="K891" s="5">
        <v>293451</v>
      </c>
      <c r="L891" s="5">
        <v>4055470</v>
      </c>
      <c r="M891" s="5">
        <v>629400.49</v>
      </c>
      <c r="N891" s="5">
        <v>0.1668</v>
      </c>
      <c r="O891" s="5">
        <v>7</v>
      </c>
      <c r="P891" s="5">
        <v>338342</v>
      </c>
    </row>
    <row r="892" spans="1:16" x14ac:dyDescent="0.3">
      <c r="A892" s="5">
        <v>44</v>
      </c>
      <c r="B892" s="5" t="s">
        <v>111</v>
      </c>
      <c r="C892" s="5">
        <v>6</v>
      </c>
      <c r="D892" s="5" t="s">
        <v>90</v>
      </c>
      <c r="E892" s="5">
        <v>2023</v>
      </c>
      <c r="F892" s="5">
        <v>1</v>
      </c>
      <c r="G892" s="5" t="s">
        <v>46</v>
      </c>
      <c r="H892" s="5">
        <v>1863564</v>
      </c>
      <c r="I892" s="5">
        <v>1641816.43</v>
      </c>
      <c r="J892" s="5">
        <v>43</v>
      </c>
      <c r="K892" s="5">
        <v>327014</v>
      </c>
      <c r="L892" s="5">
        <v>2187500</v>
      </c>
      <c r="M892" s="5">
        <v>221747.57</v>
      </c>
      <c r="N892" s="5">
        <v>0.11899999999999999</v>
      </c>
      <c r="O892" s="5">
        <v>5</v>
      </c>
      <c r="P892" s="5">
        <v>99316</v>
      </c>
    </row>
    <row r="893" spans="1:16" x14ac:dyDescent="0.3">
      <c r="A893" s="5">
        <v>44</v>
      </c>
      <c r="B893" s="5" t="s">
        <v>111</v>
      </c>
      <c r="C893" s="5">
        <v>6</v>
      </c>
      <c r="D893" s="5" t="s">
        <v>90</v>
      </c>
      <c r="E893" s="5">
        <v>2023</v>
      </c>
      <c r="F893" s="5">
        <v>2</v>
      </c>
      <c r="G893" s="5" t="s">
        <v>47</v>
      </c>
      <c r="H893" s="5">
        <v>3148672</v>
      </c>
      <c r="I893" s="5">
        <v>2854235.07</v>
      </c>
      <c r="J893" s="5">
        <v>46</v>
      </c>
      <c r="K893" s="5">
        <v>501217</v>
      </c>
      <c r="L893" s="5">
        <v>3643760</v>
      </c>
      <c r="M893" s="5">
        <v>294436.93</v>
      </c>
      <c r="N893" s="5">
        <v>9.35E-2</v>
      </c>
      <c r="O893" s="5">
        <v>4</v>
      </c>
      <c r="P893" s="5">
        <v>181315</v>
      </c>
    </row>
    <row r="894" spans="1:16" x14ac:dyDescent="0.3">
      <c r="A894" s="5">
        <v>44</v>
      </c>
      <c r="B894" s="5" t="s">
        <v>111</v>
      </c>
      <c r="C894" s="5">
        <v>6</v>
      </c>
      <c r="D894" s="5" t="s">
        <v>90</v>
      </c>
      <c r="E894" s="5">
        <v>2023</v>
      </c>
      <c r="F894" s="5">
        <v>3</v>
      </c>
      <c r="G894" s="5" t="s">
        <v>48</v>
      </c>
      <c r="H894" s="5">
        <v>4944869</v>
      </c>
      <c r="I894" s="5">
        <v>4373557.41</v>
      </c>
      <c r="J894" s="5">
        <v>58</v>
      </c>
      <c r="K894" s="5">
        <v>724730</v>
      </c>
      <c r="L894" s="5">
        <v>5660770</v>
      </c>
      <c r="M894" s="5">
        <v>571311.59</v>
      </c>
      <c r="N894" s="5">
        <v>0.11550000000000001</v>
      </c>
      <c r="O894" s="5">
        <v>6</v>
      </c>
      <c r="P894" s="5">
        <v>192951</v>
      </c>
    </row>
    <row r="895" spans="1:16" x14ac:dyDescent="0.3">
      <c r="A895" s="5">
        <v>44</v>
      </c>
      <c r="B895" s="5" t="s">
        <v>111</v>
      </c>
      <c r="C895" s="5">
        <v>6</v>
      </c>
      <c r="D895" s="5" t="s">
        <v>90</v>
      </c>
      <c r="E895" s="5">
        <v>2023</v>
      </c>
      <c r="F895" s="5">
        <v>4</v>
      </c>
      <c r="G895" s="5" t="s">
        <v>49</v>
      </c>
      <c r="H895" s="5">
        <v>2989296</v>
      </c>
      <c r="I895" s="5">
        <v>2553078.39</v>
      </c>
      <c r="J895" s="5">
        <v>52</v>
      </c>
      <c r="K895" s="5">
        <v>332293</v>
      </c>
      <c r="L895" s="5">
        <v>3307040</v>
      </c>
      <c r="M895" s="5">
        <v>436217.61</v>
      </c>
      <c r="N895" s="5">
        <v>0.1459</v>
      </c>
      <c r="O895" s="5">
        <v>8</v>
      </c>
      <c r="P895" s="5">
        <v>193789</v>
      </c>
    </row>
    <row r="896" spans="1:16" x14ac:dyDescent="0.3">
      <c r="A896" s="5">
        <v>44</v>
      </c>
      <c r="B896" s="5" t="s">
        <v>111</v>
      </c>
      <c r="C896" s="5">
        <v>6</v>
      </c>
      <c r="D896" s="5" t="s">
        <v>90</v>
      </c>
      <c r="E896" s="5">
        <v>2023</v>
      </c>
      <c r="F896" s="5">
        <v>5</v>
      </c>
      <c r="G896" s="5" t="s">
        <v>50</v>
      </c>
      <c r="H896" s="5">
        <v>2533383</v>
      </c>
      <c r="I896" s="5">
        <v>2149961.33</v>
      </c>
      <c r="J896" s="5">
        <v>49</v>
      </c>
      <c r="K896" s="5">
        <v>269383</v>
      </c>
      <c r="L896" s="5">
        <v>2791930</v>
      </c>
      <c r="M896" s="5">
        <v>383421.67</v>
      </c>
      <c r="N896" s="5">
        <v>0.15129999999999999</v>
      </c>
      <c r="O896" s="5">
        <v>4</v>
      </c>
      <c r="P896" s="5">
        <v>260477</v>
      </c>
    </row>
    <row r="897" spans="1:16" x14ac:dyDescent="0.3">
      <c r="A897" s="5">
        <v>44</v>
      </c>
      <c r="B897" s="5" t="s">
        <v>111</v>
      </c>
      <c r="C897" s="5">
        <v>6</v>
      </c>
      <c r="D897" s="5" t="s">
        <v>90</v>
      </c>
      <c r="E897" s="5">
        <v>2023</v>
      </c>
      <c r="F897" s="5">
        <v>6</v>
      </c>
      <c r="G897" s="5" t="s">
        <v>51</v>
      </c>
      <c r="H897" s="5">
        <v>2788410</v>
      </c>
      <c r="I897" s="5">
        <v>2418949.92</v>
      </c>
      <c r="J897" s="5">
        <v>49</v>
      </c>
      <c r="K897" s="5">
        <v>304667</v>
      </c>
      <c r="L897" s="5">
        <v>3085500</v>
      </c>
      <c r="M897" s="5">
        <v>369460.08</v>
      </c>
      <c r="N897" s="5">
        <v>0.13250000000000001</v>
      </c>
      <c r="O897" s="5">
        <v>6</v>
      </c>
      <c r="P897" s="5">
        <v>333164</v>
      </c>
    </row>
    <row r="898" spans="1:16" x14ac:dyDescent="0.3">
      <c r="A898" s="5">
        <v>44</v>
      </c>
      <c r="B898" s="5" t="s">
        <v>111</v>
      </c>
      <c r="C898" s="5">
        <v>6</v>
      </c>
      <c r="D898" s="5" t="s">
        <v>90</v>
      </c>
      <c r="E898" s="5">
        <v>2023</v>
      </c>
      <c r="F898" s="5">
        <v>7</v>
      </c>
      <c r="G898" s="5" t="s">
        <v>52</v>
      </c>
      <c r="H898" s="5">
        <v>3269746</v>
      </c>
      <c r="I898" s="5">
        <v>2954332.45</v>
      </c>
      <c r="J898" s="5">
        <v>51</v>
      </c>
      <c r="K898" s="5">
        <v>466782</v>
      </c>
      <c r="L898" s="5">
        <v>3733060</v>
      </c>
      <c r="M898" s="5">
        <v>315413.55</v>
      </c>
      <c r="N898" s="5">
        <v>9.6500000000000002E-2</v>
      </c>
      <c r="O898" s="5">
        <v>2</v>
      </c>
      <c r="P898" s="5">
        <v>81965</v>
      </c>
    </row>
    <row r="899" spans="1:16" x14ac:dyDescent="0.3">
      <c r="A899" s="5">
        <v>44</v>
      </c>
      <c r="B899" s="5" t="s">
        <v>111</v>
      </c>
      <c r="C899" s="5">
        <v>6</v>
      </c>
      <c r="D899" s="5" t="s">
        <v>90</v>
      </c>
      <c r="E899" s="5">
        <v>2023</v>
      </c>
      <c r="F899" s="5">
        <v>8</v>
      </c>
      <c r="G899" s="5" t="s">
        <v>53</v>
      </c>
      <c r="H899" s="5">
        <v>2851148</v>
      </c>
      <c r="I899" s="5">
        <v>2683110.5499999998</v>
      </c>
      <c r="J899" s="5">
        <v>50</v>
      </c>
      <c r="K899" s="5">
        <v>589276</v>
      </c>
      <c r="L899" s="5">
        <v>3434000</v>
      </c>
      <c r="M899" s="5">
        <v>168037.45</v>
      </c>
      <c r="N899" s="5">
        <v>5.8900000000000001E-2</v>
      </c>
      <c r="O899" s="5">
        <v>2</v>
      </c>
      <c r="P899" s="5">
        <v>60406</v>
      </c>
    </row>
    <row r="900" spans="1:16" x14ac:dyDescent="0.3">
      <c r="A900" s="5">
        <v>44</v>
      </c>
      <c r="B900" s="5" t="s">
        <v>111</v>
      </c>
      <c r="C900" s="5">
        <v>6</v>
      </c>
      <c r="D900" s="5" t="s">
        <v>90</v>
      </c>
      <c r="E900" s="5">
        <v>2023</v>
      </c>
      <c r="F900" s="5">
        <v>9</v>
      </c>
      <c r="G900" s="5" t="s">
        <v>54</v>
      </c>
      <c r="H900" s="5">
        <v>3040066</v>
      </c>
      <c r="I900" s="5">
        <v>2605262.0299999998</v>
      </c>
      <c r="J900" s="5">
        <v>54</v>
      </c>
      <c r="K900" s="5">
        <v>378569</v>
      </c>
      <c r="L900" s="5">
        <v>3404300</v>
      </c>
      <c r="M900" s="5">
        <v>434803.97</v>
      </c>
      <c r="N900" s="5">
        <v>0.14299999999999999</v>
      </c>
      <c r="O900" s="5">
        <v>5</v>
      </c>
      <c r="P900" s="5">
        <v>20236</v>
      </c>
    </row>
    <row r="901" spans="1:16" x14ac:dyDescent="0.3">
      <c r="A901" s="5">
        <v>44</v>
      </c>
      <c r="B901" s="5" t="s">
        <v>111</v>
      </c>
      <c r="C901" s="5">
        <v>6</v>
      </c>
      <c r="D901" s="5" t="s">
        <v>90</v>
      </c>
      <c r="E901" s="5">
        <v>2023</v>
      </c>
      <c r="F901" s="5">
        <v>10</v>
      </c>
      <c r="G901" s="5" t="s">
        <v>55</v>
      </c>
      <c r="H901" s="5">
        <v>5113671</v>
      </c>
      <c r="I901" s="5">
        <v>4600652.97</v>
      </c>
      <c r="J901" s="5">
        <v>69</v>
      </c>
      <c r="K901" s="5">
        <v>810653</v>
      </c>
      <c r="L901" s="5">
        <v>5915600</v>
      </c>
      <c r="M901" s="5">
        <v>513018.03</v>
      </c>
      <c r="N901" s="5">
        <v>0.1003</v>
      </c>
      <c r="O901" s="5">
        <v>7</v>
      </c>
      <c r="P901" s="5">
        <v>120806</v>
      </c>
    </row>
    <row r="902" spans="1:16" x14ac:dyDescent="0.3">
      <c r="A902" s="5">
        <v>44</v>
      </c>
      <c r="B902" s="5" t="s">
        <v>111</v>
      </c>
      <c r="C902" s="5">
        <v>6</v>
      </c>
      <c r="D902" s="5" t="s">
        <v>90</v>
      </c>
      <c r="E902" s="5">
        <v>2023</v>
      </c>
      <c r="F902" s="5">
        <v>11</v>
      </c>
      <c r="G902" s="5" t="s">
        <v>56</v>
      </c>
      <c r="H902" s="5">
        <v>4330931</v>
      </c>
      <c r="I902" s="5">
        <v>3719133.82</v>
      </c>
      <c r="J902" s="5">
        <v>84</v>
      </c>
      <c r="K902" s="5">
        <v>574392</v>
      </c>
      <c r="L902" s="5">
        <v>4891490</v>
      </c>
      <c r="M902" s="5">
        <v>611797.18000000005</v>
      </c>
      <c r="N902" s="5">
        <v>0.14130000000000001</v>
      </c>
      <c r="O902" s="5">
        <v>5</v>
      </c>
      <c r="P902" s="5">
        <v>240624</v>
      </c>
    </row>
    <row r="903" spans="1:16" x14ac:dyDescent="0.3">
      <c r="A903" s="5">
        <v>44</v>
      </c>
      <c r="B903" s="5" t="s">
        <v>111</v>
      </c>
      <c r="C903" s="5">
        <v>6</v>
      </c>
      <c r="D903" s="5" t="s">
        <v>90</v>
      </c>
      <c r="E903" s="5">
        <v>2023</v>
      </c>
      <c r="F903" s="5">
        <v>12</v>
      </c>
      <c r="G903" s="5" t="s">
        <v>57</v>
      </c>
      <c r="H903" s="5">
        <v>4727058</v>
      </c>
      <c r="I903" s="5">
        <v>4249175.3499999996</v>
      </c>
      <c r="J903" s="5">
        <v>71</v>
      </c>
      <c r="K903" s="5">
        <v>730640</v>
      </c>
      <c r="L903" s="5">
        <v>5427960</v>
      </c>
      <c r="M903" s="5">
        <v>477882.65</v>
      </c>
      <c r="N903" s="5">
        <v>0.1011</v>
      </c>
      <c r="O903" s="5">
        <v>8</v>
      </c>
      <c r="P903" s="5">
        <v>443974</v>
      </c>
    </row>
    <row r="904" spans="1:16" x14ac:dyDescent="0.3">
      <c r="A904" s="5">
        <v>44</v>
      </c>
      <c r="B904" s="5" t="s">
        <v>111</v>
      </c>
      <c r="C904" s="5">
        <v>6</v>
      </c>
      <c r="D904" s="5" t="s">
        <v>90</v>
      </c>
      <c r="E904" s="5">
        <v>2024</v>
      </c>
      <c r="F904" s="5">
        <v>1</v>
      </c>
      <c r="G904" s="5" t="s">
        <v>58</v>
      </c>
      <c r="H904" s="5">
        <v>4549679</v>
      </c>
      <c r="I904" s="5">
        <v>4035216.63</v>
      </c>
      <c r="J904" s="5">
        <v>56</v>
      </c>
      <c r="K904" s="5">
        <v>548232</v>
      </c>
      <c r="L904" s="5">
        <v>5079100</v>
      </c>
      <c r="M904" s="5">
        <v>514462.37</v>
      </c>
      <c r="N904" s="5">
        <v>0.11310000000000001</v>
      </c>
      <c r="O904" s="5">
        <v>7</v>
      </c>
      <c r="P904" s="5">
        <v>91798</v>
      </c>
    </row>
    <row r="905" spans="1:16" x14ac:dyDescent="0.3">
      <c r="A905" s="5">
        <v>44</v>
      </c>
      <c r="B905" s="5" t="s">
        <v>111</v>
      </c>
      <c r="C905" s="5">
        <v>6</v>
      </c>
      <c r="D905" s="5" t="s">
        <v>90</v>
      </c>
      <c r="E905" s="5">
        <v>2024</v>
      </c>
      <c r="F905" s="5">
        <v>2</v>
      </c>
      <c r="G905" s="5" t="s">
        <v>59</v>
      </c>
      <c r="H905" s="5">
        <v>4667760</v>
      </c>
      <c r="I905" s="5">
        <v>4195115.3600000003</v>
      </c>
      <c r="J905" s="5">
        <v>60</v>
      </c>
      <c r="K905" s="5">
        <v>708164</v>
      </c>
      <c r="L905" s="5">
        <v>5373730</v>
      </c>
      <c r="M905" s="5">
        <v>472644.64</v>
      </c>
      <c r="N905" s="5">
        <v>0.1013</v>
      </c>
      <c r="O905" s="5">
        <v>5</v>
      </c>
      <c r="P905" s="5">
        <v>476624</v>
      </c>
    </row>
    <row r="906" spans="1:16" x14ac:dyDescent="0.3">
      <c r="A906" s="5">
        <v>44</v>
      </c>
      <c r="B906" s="5" t="s">
        <v>111</v>
      </c>
      <c r="C906" s="5">
        <v>6</v>
      </c>
      <c r="D906" s="5" t="s">
        <v>90</v>
      </c>
      <c r="E906" s="5">
        <v>2024</v>
      </c>
      <c r="F906" s="5">
        <v>3</v>
      </c>
      <c r="G906" s="5" t="s">
        <v>60</v>
      </c>
      <c r="H906" s="5">
        <v>3973672</v>
      </c>
      <c r="I906" s="5">
        <v>3513823.22</v>
      </c>
      <c r="J906" s="5">
        <v>62</v>
      </c>
      <c r="K906" s="5">
        <v>522046</v>
      </c>
      <c r="L906" s="5">
        <v>4485970</v>
      </c>
      <c r="M906" s="5">
        <v>459848.78</v>
      </c>
      <c r="N906" s="5">
        <v>0.1157</v>
      </c>
      <c r="O906" s="5">
        <v>6</v>
      </c>
      <c r="P906" s="5">
        <v>93815</v>
      </c>
    </row>
    <row r="907" spans="1:16" x14ac:dyDescent="0.3">
      <c r="A907" s="5">
        <v>44</v>
      </c>
      <c r="B907" s="5" t="s">
        <v>111</v>
      </c>
      <c r="C907" s="5">
        <v>6</v>
      </c>
      <c r="D907" s="5" t="s">
        <v>90</v>
      </c>
      <c r="E907" s="5">
        <v>2024</v>
      </c>
      <c r="F907" s="5">
        <v>4</v>
      </c>
      <c r="G907" s="5" t="s">
        <v>61</v>
      </c>
      <c r="H907" s="5">
        <v>4252684</v>
      </c>
      <c r="I907" s="5">
        <v>3637421.72</v>
      </c>
      <c r="J907" s="5">
        <v>60</v>
      </c>
      <c r="K907" s="5">
        <v>465855</v>
      </c>
      <c r="L907" s="5">
        <v>4699650</v>
      </c>
      <c r="M907" s="5">
        <v>615262.28</v>
      </c>
      <c r="N907" s="5">
        <v>0.1447</v>
      </c>
      <c r="O907" s="5">
        <v>6</v>
      </c>
      <c r="P907" s="5">
        <v>665079</v>
      </c>
    </row>
    <row r="908" spans="1:16" x14ac:dyDescent="0.3">
      <c r="A908" s="5">
        <v>44</v>
      </c>
      <c r="B908" s="5" t="s">
        <v>111</v>
      </c>
      <c r="C908" s="5">
        <v>6</v>
      </c>
      <c r="D908" s="5" t="s">
        <v>90</v>
      </c>
      <c r="E908" s="5">
        <v>2024</v>
      </c>
      <c r="F908" s="5">
        <v>5</v>
      </c>
      <c r="G908" s="5" t="s">
        <v>62</v>
      </c>
      <c r="H908" s="5">
        <v>4469186</v>
      </c>
      <c r="I908" s="5">
        <v>4122145.24</v>
      </c>
      <c r="J908" s="5">
        <v>66</v>
      </c>
      <c r="K908" s="5">
        <v>798729</v>
      </c>
      <c r="L908" s="5">
        <v>5258240</v>
      </c>
      <c r="M908" s="5">
        <v>347040.76</v>
      </c>
      <c r="N908" s="5">
        <v>7.7700000000000005E-2</v>
      </c>
      <c r="O908" s="5">
        <v>3</v>
      </c>
      <c r="P908" s="5">
        <v>229679</v>
      </c>
    </row>
    <row r="909" spans="1:16" x14ac:dyDescent="0.3">
      <c r="A909" s="5">
        <v>44</v>
      </c>
      <c r="B909" s="5" t="s">
        <v>111</v>
      </c>
      <c r="C909" s="5">
        <v>6</v>
      </c>
      <c r="D909" s="5" t="s">
        <v>90</v>
      </c>
      <c r="E909" s="5">
        <v>2024</v>
      </c>
      <c r="F909" s="5">
        <v>6</v>
      </c>
      <c r="G909" s="5" t="s">
        <v>63</v>
      </c>
      <c r="H909" s="5">
        <v>3192957</v>
      </c>
      <c r="I909" s="5">
        <v>2574155.6800000002</v>
      </c>
      <c r="J909" s="5">
        <v>56</v>
      </c>
      <c r="K909" s="5">
        <v>193177</v>
      </c>
      <c r="L909" s="5">
        <v>3376590</v>
      </c>
      <c r="M909" s="5">
        <v>618801.31999999995</v>
      </c>
      <c r="N909" s="5">
        <v>0.1938</v>
      </c>
      <c r="O909" s="5">
        <v>4</v>
      </c>
      <c r="P909" s="5">
        <v>99379</v>
      </c>
    </row>
    <row r="910" spans="1:16" x14ac:dyDescent="0.3">
      <c r="A910" s="5">
        <v>44</v>
      </c>
      <c r="B910" s="5" t="s">
        <v>111</v>
      </c>
      <c r="C910" s="5">
        <v>6</v>
      </c>
      <c r="D910" s="5" t="s">
        <v>90</v>
      </c>
      <c r="E910" s="5">
        <v>2024</v>
      </c>
      <c r="F910" s="5">
        <v>7</v>
      </c>
      <c r="G910" s="5" t="s">
        <v>64</v>
      </c>
      <c r="H910" s="5">
        <v>3765612</v>
      </c>
      <c r="I910" s="5">
        <v>3166730.92</v>
      </c>
      <c r="J910" s="5">
        <v>66</v>
      </c>
      <c r="K910" s="5">
        <v>299310</v>
      </c>
      <c r="L910" s="5">
        <v>4050510</v>
      </c>
      <c r="M910" s="5">
        <v>598881.07999999996</v>
      </c>
      <c r="N910" s="5">
        <v>0.159</v>
      </c>
      <c r="O910" s="5">
        <v>5</v>
      </c>
      <c r="P910" s="5">
        <v>82123</v>
      </c>
    </row>
    <row r="911" spans="1:16" x14ac:dyDescent="0.3">
      <c r="A911" s="5">
        <v>44</v>
      </c>
      <c r="B911" s="5" t="s">
        <v>111</v>
      </c>
      <c r="C911" s="5">
        <v>6</v>
      </c>
      <c r="D911" s="5" t="s">
        <v>90</v>
      </c>
      <c r="E911" s="5">
        <v>2024</v>
      </c>
      <c r="F911" s="5">
        <v>8</v>
      </c>
      <c r="G911" s="5" t="s">
        <v>65</v>
      </c>
      <c r="H911" s="5">
        <v>3454349</v>
      </c>
      <c r="I911" s="5">
        <v>2910416.62</v>
      </c>
      <c r="J911" s="5">
        <v>55</v>
      </c>
      <c r="K911" s="5">
        <v>321020</v>
      </c>
      <c r="L911" s="5">
        <v>3759270</v>
      </c>
      <c r="M911" s="5">
        <v>543932.38</v>
      </c>
      <c r="N911" s="5">
        <v>0.1575</v>
      </c>
      <c r="O911" s="5">
        <v>2</v>
      </c>
      <c r="P911" s="5">
        <v>4142</v>
      </c>
    </row>
    <row r="912" spans="1:16" x14ac:dyDescent="0.3">
      <c r="A912" s="5">
        <v>44</v>
      </c>
      <c r="B912" s="5" t="s">
        <v>111</v>
      </c>
      <c r="C912" s="5">
        <v>6</v>
      </c>
      <c r="D912" s="5" t="s">
        <v>90</v>
      </c>
      <c r="E912" s="5">
        <v>2024</v>
      </c>
      <c r="F912" s="5">
        <v>9</v>
      </c>
      <c r="G912" s="5" t="s">
        <v>66</v>
      </c>
      <c r="H912" s="5">
        <v>4041433</v>
      </c>
      <c r="I912" s="5">
        <v>3346764.17</v>
      </c>
      <c r="J912" s="5">
        <v>57</v>
      </c>
      <c r="K912" s="5">
        <v>258350</v>
      </c>
      <c r="L912" s="5">
        <v>4288910</v>
      </c>
      <c r="M912" s="5">
        <v>694668.83</v>
      </c>
      <c r="N912" s="5">
        <v>0.1719</v>
      </c>
      <c r="O912" s="5">
        <v>7</v>
      </c>
      <c r="P912" s="5">
        <v>176547</v>
      </c>
    </row>
    <row r="913" spans="1:16" x14ac:dyDescent="0.3">
      <c r="A913" s="5">
        <v>44</v>
      </c>
      <c r="B913" s="5" t="s">
        <v>111</v>
      </c>
      <c r="C913" s="5">
        <v>6</v>
      </c>
      <c r="D913" s="5" t="s">
        <v>90</v>
      </c>
      <c r="E913" s="5">
        <v>2024</v>
      </c>
      <c r="F913" s="5">
        <v>10</v>
      </c>
      <c r="G913" s="5" t="s">
        <v>67</v>
      </c>
      <c r="H913" s="5">
        <v>7611110</v>
      </c>
      <c r="I913" s="5">
        <v>6230380.3200000003</v>
      </c>
      <c r="J913" s="5">
        <v>98</v>
      </c>
      <c r="K913" s="5">
        <v>261430</v>
      </c>
      <c r="L913" s="5">
        <v>7832240</v>
      </c>
      <c r="M913" s="5">
        <v>1380729.68</v>
      </c>
      <c r="N913" s="5">
        <v>0.18140000000000001</v>
      </c>
      <c r="O913" s="5">
        <v>6</v>
      </c>
      <c r="P913" s="5">
        <v>142946</v>
      </c>
    </row>
    <row r="914" spans="1:16" x14ac:dyDescent="0.3">
      <c r="A914" s="5">
        <v>44</v>
      </c>
      <c r="B914" s="5" t="s">
        <v>111</v>
      </c>
      <c r="C914" s="5">
        <v>6</v>
      </c>
      <c r="D914" s="5" t="s">
        <v>90</v>
      </c>
      <c r="E914" s="5">
        <v>2024</v>
      </c>
      <c r="F914" s="5">
        <v>11</v>
      </c>
      <c r="G914" s="5" t="s">
        <v>68</v>
      </c>
      <c r="H914" s="5">
        <v>7535313</v>
      </c>
      <c r="I914" s="5">
        <v>6265177.5599999996</v>
      </c>
      <c r="J914" s="5">
        <v>88</v>
      </c>
      <c r="K914" s="5">
        <v>522741</v>
      </c>
      <c r="L914" s="5">
        <v>8035850</v>
      </c>
      <c r="M914" s="5">
        <v>1270135.44</v>
      </c>
      <c r="N914" s="5">
        <v>0.1686</v>
      </c>
      <c r="O914" s="5">
        <v>6</v>
      </c>
      <c r="P914" s="5">
        <v>311015</v>
      </c>
    </row>
    <row r="915" spans="1:16" x14ac:dyDescent="0.3">
      <c r="A915" s="5">
        <v>44</v>
      </c>
      <c r="B915" s="5" t="s">
        <v>111</v>
      </c>
      <c r="C915" s="5">
        <v>6</v>
      </c>
      <c r="D915" s="5" t="s">
        <v>90</v>
      </c>
      <c r="E915" s="5">
        <v>2024</v>
      </c>
      <c r="F915" s="5">
        <v>12</v>
      </c>
      <c r="G915" s="5" t="s">
        <v>69</v>
      </c>
      <c r="H915" s="5">
        <v>5379368</v>
      </c>
      <c r="I915" s="5">
        <v>4276327.99</v>
      </c>
      <c r="J915" s="5">
        <v>89</v>
      </c>
      <c r="K915" s="5">
        <v>171161</v>
      </c>
      <c r="L915" s="5">
        <v>5530320</v>
      </c>
      <c r="M915" s="5">
        <v>1103040.01</v>
      </c>
      <c r="N915" s="5">
        <v>0.2051</v>
      </c>
      <c r="O915" s="5">
        <v>6</v>
      </c>
      <c r="P915" s="5">
        <v>90768</v>
      </c>
    </row>
    <row r="916" spans="1:16" x14ac:dyDescent="0.3">
      <c r="A916" s="5">
        <v>62</v>
      </c>
      <c r="B916" s="5" t="s">
        <v>112</v>
      </c>
      <c r="C916" s="5">
        <v>6</v>
      </c>
      <c r="D916" s="5" t="s">
        <v>90</v>
      </c>
      <c r="E916" s="5">
        <v>2021</v>
      </c>
      <c r="F916" s="5">
        <v>1</v>
      </c>
      <c r="G916" s="5" t="s">
        <v>22</v>
      </c>
      <c r="H916" s="5">
        <v>4014680</v>
      </c>
      <c r="I916" s="5">
        <v>3878758.71</v>
      </c>
      <c r="J916" s="5">
        <v>57</v>
      </c>
      <c r="K916" s="5">
        <v>915165</v>
      </c>
      <c r="L916" s="5">
        <v>4922020</v>
      </c>
      <c r="M916" s="5">
        <v>135921.29</v>
      </c>
      <c r="N916" s="5">
        <v>3.39E-2</v>
      </c>
      <c r="O916" s="5">
        <v>4</v>
      </c>
      <c r="P916" s="5">
        <v>146923</v>
      </c>
    </row>
    <row r="917" spans="1:16" x14ac:dyDescent="0.3">
      <c r="A917" s="5">
        <v>62</v>
      </c>
      <c r="B917" s="5" t="s">
        <v>112</v>
      </c>
      <c r="C917" s="5">
        <v>6</v>
      </c>
      <c r="D917" s="5" t="s">
        <v>90</v>
      </c>
      <c r="E917" s="5">
        <v>2021</v>
      </c>
      <c r="F917" s="5">
        <v>2</v>
      </c>
      <c r="G917" s="5" t="s">
        <v>23</v>
      </c>
      <c r="H917" s="5">
        <v>3786456</v>
      </c>
      <c r="I917" s="5">
        <v>3185542.15</v>
      </c>
      <c r="J917" s="5">
        <v>54</v>
      </c>
      <c r="K917" s="5">
        <v>399276</v>
      </c>
      <c r="L917" s="5">
        <v>4178520</v>
      </c>
      <c r="M917" s="5">
        <v>600913.85</v>
      </c>
      <c r="N917" s="5">
        <v>0.15870000000000001</v>
      </c>
      <c r="O917" s="5">
        <v>3</v>
      </c>
      <c r="P917" s="5">
        <v>33689</v>
      </c>
    </row>
    <row r="918" spans="1:16" x14ac:dyDescent="0.3">
      <c r="A918" s="5">
        <v>62</v>
      </c>
      <c r="B918" s="5" t="s">
        <v>112</v>
      </c>
      <c r="C918" s="5">
        <v>6</v>
      </c>
      <c r="D918" s="5" t="s">
        <v>90</v>
      </c>
      <c r="E918" s="5">
        <v>2021</v>
      </c>
      <c r="F918" s="5">
        <v>3</v>
      </c>
      <c r="G918" s="5" t="s">
        <v>24</v>
      </c>
      <c r="H918" s="5">
        <v>4279012</v>
      </c>
      <c r="I918" s="5">
        <v>3715406.98</v>
      </c>
      <c r="J918" s="5">
        <v>63</v>
      </c>
      <c r="K918" s="5">
        <v>521565</v>
      </c>
      <c r="L918" s="5">
        <v>4785400</v>
      </c>
      <c r="M918" s="5">
        <v>563605.02</v>
      </c>
      <c r="N918" s="5">
        <v>0.13170000000000001</v>
      </c>
      <c r="O918" s="5">
        <v>5</v>
      </c>
      <c r="P918" s="5">
        <v>40531</v>
      </c>
    </row>
    <row r="919" spans="1:16" x14ac:dyDescent="0.3">
      <c r="A919" s="5">
        <v>62</v>
      </c>
      <c r="B919" s="5" t="s">
        <v>112</v>
      </c>
      <c r="C919" s="5">
        <v>6</v>
      </c>
      <c r="D919" s="5" t="s">
        <v>90</v>
      </c>
      <c r="E919" s="5">
        <v>2021</v>
      </c>
      <c r="F919" s="5">
        <v>4</v>
      </c>
      <c r="G919" s="5" t="s">
        <v>25</v>
      </c>
      <c r="H919" s="5">
        <v>6158138</v>
      </c>
      <c r="I919" s="5">
        <v>5332277.5</v>
      </c>
      <c r="J919" s="5">
        <v>86</v>
      </c>
      <c r="K919" s="5">
        <v>785252</v>
      </c>
      <c r="L919" s="5">
        <v>6922740</v>
      </c>
      <c r="M919" s="5">
        <v>825860.5</v>
      </c>
      <c r="N919" s="5">
        <v>0.1341</v>
      </c>
      <c r="O919" s="5">
        <v>13</v>
      </c>
      <c r="P919" s="5">
        <v>460684</v>
      </c>
    </row>
    <row r="920" spans="1:16" x14ac:dyDescent="0.3">
      <c r="A920" s="5">
        <v>62</v>
      </c>
      <c r="B920" s="5" t="s">
        <v>112</v>
      </c>
      <c r="C920" s="5">
        <v>6</v>
      </c>
      <c r="D920" s="5" t="s">
        <v>90</v>
      </c>
      <c r="E920" s="5">
        <v>2021</v>
      </c>
      <c r="F920" s="5">
        <v>5</v>
      </c>
      <c r="G920" s="5" t="s">
        <v>26</v>
      </c>
      <c r="H920" s="5">
        <v>4232732</v>
      </c>
      <c r="I920" s="5">
        <v>3773894.99</v>
      </c>
      <c r="J920" s="5">
        <v>64</v>
      </c>
      <c r="K920" s="5">
        <v>678212</v>
      </c>
      <c r="L920" s="5">
        <v>4889200</v>
      </c>
      <c r="M920" s="5">
        <v>458837.01</v>
      </c>
      <c r="N920" s="5">
        <v>0.1084</v>
      </c>
      <c r="O920" s="5">
        <v>10</v>
      </c>
      <c r="P920" s="5">
        <v>306761</v>
      </c>
    </row>
    <row r="921" spans="1:16" x14ac:dyDescent="0.3">
      <c r="A921" s="5">
        <v>62</v>
      </c>
      <c r="B921" s="5" t="s">
        <v>112</v>
      </c>
      <c r="C921" s="5">
        <v>6</v>
      </c>
      <c r="D921" s="5" t="s">
        <v>90</v>
      </c>
      <c r="E921" s="5">
        <v>2021</v>
      </c>
      <c r="F921" s="5">
        <v>6</v>
      </c>
      <c r="G921" s="5" t="s">
        <v>27</v>
      </c>
      <c r="H921" s="5">
        <v>6617149</v>
      </c>
      <c r="I921" s="5">
        <v>5620795.6900000004</v>
      </c>
      <c r="J921" s="5">
        <v>87</v>
      </c>
      <c r="K921" s="5">
        <v>602509</v>
      </c>
      <c r="L921" s="5">
        <v>7197330</v>
      </c>
      <c r="M921" s="5">
        <v>996353.31</v>
      </c>
      <c r="N921" s="5">
        <v>0.15060000000000001</v>
      </c>
      <c r="O921" s="5">
        <v>5</v>
      </c>
      <c r="P921" s="5">
        <v>171928</v>
      </c>
    </row>
    <row r="922" spans="1:16" x14ac:dyDescent="0.3">
      <c r="A922" s="5">
        <v>62</v>
      </c>
      <c r="B922" s="5" t="s">
        <v>112</v>
      </c>
      <c r="C922" s="5">
        <v>6</v>
      </c>
      <c r="D922" s="5" t="s">
        <v>90</v>
      </c>
      <c r="E922" s="5">
        <v>2021</v>
      </c>
      <c r="F922" s="5">
        <v>7</v>
      </c>
      <c r="G922" s="5" t="s">
        <v>28</v>
      </c>
      <c r="H922" s="5">
        <v>4650294</v>
      </c>
      <c r="I922" s="5">
        <v>4058934.93</v>
      </c>
      <c r="J922" s="5">
        <v>74</v>
      </c>
      <c r="K922" s="5">
        <v>547395</v>
      </c>
      <c r="L922" s="5">
        <v>5182210</v>
      </c>
      <c r="M922" s="5">
        <v>591359.06999999995</v>
      </c>
      <c r="N922" s="5">
        <v>0.12720000000000001</v>
      </c>
      <c r="O922" s="5">
        <v>5</v>
      </c>
      <c r="P922" s="5">
        <v>83490</v>
      </c>
    </row>
    <row r="923" spans="1:16" x14ac:dyDescent="0.3">
      <c r="A923" s="5">
        <v>62</v>
      </c>
      <c r="B923" s="5" t="s">
        <v>112</v>
      </c>
      <c r="C923" s="5">
        <v>6</v>
      </c>
      <c r="D923" s="5" t="s">
        <v>90</v>
      </c>
      <c r="E923" s="5">
        <v>2021</v>
      </c>
      <c r="F923" s="5">
        <v>8</v>
      </c>
      <c r="G923" s="5" t="s">
        <v>29</v>
      </c>
      <c r="H923" s="5">
        <v>4917394</v>
      </c>
      <c r="I923" s="5">
        <v>4277393.46</v>
      </c>
      <c r="J923" s="5">
        <v>68</v>
      </c>
      <c r="K923" s="5">
        <v>551465</v>
      </c>
      <c r="L923" s="5">
        <v>5453260</v>
      </c>
      <c r="M923" s="5">
        <v>640000.54</v>
      </c>
      <c r="N923" s="5">
        <v>0.13020000000000001</v>
      </c>
      <c r="O923" s="5">
        <v>9</v>
      </c>
      <c r="P923" s="5">
        <v>250726</v>
      </c>
    </row>
    <row r="924" spans="1:16" x14ac:dyDescent="0.3">
      <c r="A924" s="5">
        <v>62</v>
      </c>
      <c r="B924" s="5" t="s">
        <v>112</v>
      </c>
      <c r="C924" s="5">
        <v>6</v>
      </c>
      <c r="D924" s="5" t="s">
        <v>90</v>
      </c>
      <c r="E924" s="5">
        <v>2021</v>
      </c>
      <c r="F924" s="5">
        <v>9</v>
      </c>
      <c r="G924" s="5" t="s">
        <v>30</v>
      </c>
      <c r="H924" s="5">
        <v>4502793</v>
      </c>
      <c r="I924" s="5">
        <v>4004422.99</v>
      </c>
      <c r="J924" s="5">
        <v>75</v>
      </c>
      <c r="K924" s="5">
        <v>667817</v>
      </c>
      <c r="L924" s="5">
        <v>5158770</v>
      </c>
      <c r="M924" s="5">
        <v>498370.01</v>
      </c>
      <c r="N924" s="5">
        <v>0.11070000000000001</v>
      </c>
      <c r="O924" s="5">
        <v>8</v>
      </c>
      <c r="P924" s="5">
        <v>150324</v>
      </c>
    </row>
    <row r="925" spans="1:16" x14ac:dyDescent="0.3">
      <c r="A925" s="5">
        <v>62</v>
      </c>
      <c r="B925" s="5" t="s">
        <v>112</v>
      </c>
      <c r="C925" s="5">
        <v>6</v>
      </c>
      <c r="D925" s="5" t="s">
        <v>90</v>
      </c>
      <c r="E925" s="5">
        <v>2021</v>
      </c>
      <c r="F925" s="5">
        <v>10</v>
      </c>
      <c r="G925" s="5" t="s">
        <v>31</v>
      </c>
      <c r="H925" s="5">
        <v>5335484</v>
      </c>
      <c r="I925" s="5">
        <v>4442634.7300000004</v>
      </c>
      <c r="J925" s="5">
        <v>108</v>
      </c>
      <c r="K925" s="5">
        <v>380759</v>
      </c>
      <c r="L925" s="5">
        <v>5699460</v>
      </c>
      <c r="M925" s="5">
        <v>892849.27</v>
      </c>
      <c r="N925" s="5">
        <v>0.1673</v>
      </c>
      <c r="O925" s="5">
        <v>6</v>
      </c>
      <c r="P925" s="5">
        <v>145051</v>
      </c>
    </row>
    <row r="926" spans="1:16" x14ac:dyDescent="0.3">
      <c r="A926" s="5">
        <v>62</v>
      </c>
      <c r="B926" s="5" t="s">
        <v>112</v>
      </c>
      <c r="C926" s="5">
        <v>6</v>
      </c>
      <c r="D926" s="5" t="s">
        <v>90</v>
      </c>
      <c r="E926" s="5">
        <v>2021</v>
      </c>
      <c r="F926" s="5">
        <v>11</v>
      </c>
      <c r="G926" s="5" t="s">
        <v>32</v>
      </c>
      <c r="H926" s="5">
        <v>6082221</v>
      </c>
      <c r="I926" s="5">
        <v>4980843.32</v>
      </c>
      <c r="J926" s="5">
        <v>94</v>
      </c>
      <c r="K926" s="5">
        <v>372522</v>
      </c>
      <c r="L926" s="5">
        <v>6431990</v>
      </c>
      <c r="M926" s="5">
        <v>1101377.68</v>
      </c>
      <c r="N926" s="5">
        <v>0.18110000000000001</v>
      </c>
      <c r="O926" s="5">
        <v>6</v>
      </c>
      <c r="P926" s="5">
        <v>317648</v>
      </c>
    </row>
    <row r="927" spans="1:16" x14ac:dyDescent="0.3">
      <c r="A927" s="5">
        <v>62</v>
      </c>
      <c r="B927" s="5" t="s">
        <v>112</v>
      </c>
      <c r="C927" s="5">
        <v>6</v>
      </c>
      <c r="D927" s="5" t="s">
        <v>90</v>
      </c>
      <c r="E927" s="5">
        <v>2021</v>
      </c>
      <c r="F927" s="5">
        <v>12</v>
      </c>
      <c r="G927" s="5" t="s">
        <v>33</v>
      </c>
      <c r="H927" s="5">
        <v>5878543</v>
      </c>
      <c r="I927" s="5">
        <v>4788208.72</v>
      </c>
      <c r="J927" s="5">
        <v>87</v>
      </c>
      <c r="K927" s="5">
        <v>343538</v>
      </c>
      <c r="L927" s="5">
        <v>6207520</v>
      </c>
      <c r="M927" s="5">
        <v>1090334.28</v>
      </c>
      <c r="N927" s="5">
        <v>0.1855</v>
      </c>
      <c r="O927" s="5">
        <v>3</v>
      </c>
      <c r="P927" s="5">
        <v>15024</v>
      </c>
    </row>
    <row r="928" spans="1:16" x14ac:dyDescent="0.3">
      <c r="A928" s="5">
        <v>62</v>
      </c>
      <c r="B928" s="5" t="s">
        <v>112</v>
      </c>
      <c r="C928" s="5">
        <v>6</v>
      </c>
      <c r="D928" s="5" t="s">
        <v>90</v>
      </c>
      <c r="E928" s="5">
        <v>2022</v>
      </c>
      <c r="F928" s="5">
        <v>1</v>
      </c>
      <c r="G928" s="5" t="s">
        <v>34</v>
      </c>
      <c r="H928" s="5">
        <v>7448525</v>
      </c>
      <c r="I928" s="5">
        <v>6189870.8399999999</v>
      </c>
      <c r="J928" s="5">
        <v>83</v>
      </c>
      <c r="K928" s="5">
        <v>451927</v>
      </c>
      <c r="L928" s="5">
        <v>7876240</v>
      </c>
      <c r="M928" s="5">
        <v>1258654.1599999999</v>
      </c>
      <c r="N928" s="5">
        <v>0.16900000000000001</v>
      </c>
      <c r="O928" s="5">
        <v>11</v>
      </c>
      <c r="P928" s="5">
        <v>531173</v>
      </c>
    </row>
    <row r="929" spans="1:16" x14ac:dyDescent="0.3">
      <c r="A929" s="5">
        <v>62</v>
      </c>
      <c r="B929" s="5" t="s">
        <v>112</v>
      </c>
      <c r="C929" s="5">
        <v>6</v>
      </c>
      <c r="D929" s="5" t="s">
        <v>90</v>
      </c>
      <c r="E929" s="5">
        <v>2022</v>
      </c>
      <c r="F929" s="5">
        <v>2</v>
      </c>
      <c r="G929" s="5" t="s">
        <v>35</v>
      </c>
      <c r="H929" s="5">
        <v>3943008</v>
      </c>
      <c r="I929" s="5">
        <v>3371918.1</v>
      </c>
      <c r="J929" s="5">
        <v>67</v>
      </c>
      <c r="K929" s="5">
        <v>347568</v>
      </c>
      <c r="L929" s="5">
        <v>4278280</v>
      </c>
      <c r="M929" s="5">
        <v>571089.9</v>
      </c>
      <c r="N929" s="5">
        <v>0.14480000000000001</v>
      </c>
      <c r="O929" s="5">
        <v>5</v>
      </c>
      <c r="P929" s="5">
        <v>141409</v>
      </c>
    </row>
    <row r="930" spans="1:16" x14ac:dyDescent="0.3">
      <c r="A930" s="5">
        <v>62</v>
      </c>
      <c r="B930" s="5" t="s">
        <v>112</v>
      </c>
      <c r="C930" s="5">
        <v>6</v>
      </c>
      <c r="D930" s="5" t="s">
        <v>90</v>
      </c>
      <c r="E930" s="5">
        <v>2022</v>
      </c>
      <c r="F930" s="5">
        <v>3</v>
      </c>
      <c r="G930" s="5" t="s">
        <v>36</v>
      </c>
      <c r="H930" s="5">
        <v>6447175</v>
      </c>
      <c r="I930" s="5">
        <v>5547828.3899999997</v>
      </c>
      <c r="J930" s="5">
        <v>88</v>
      </c>
      <c r="K930" s="5">
        <v>791272</v>
      </c>
      <c r="L930" s="5">
        <v>7218470</v>
      </c>
      <c r="M930" s="5">
        <v>899346.61</v>
      </c>
      <c r="N930" s="5">
        <v>0.13950000000000001</v>
      </c>
      <c r="O930" s="5">
        <v>6</v>
      </c>
      <c r="P930" s="5">
        <v>385821</v>
      </c>
    </row>
    <row r="931" spans="1:16" x14ac:dyDescent="0.3">
      <c r="A931" s="5">
        <v>62</v>
      </c>
      <c r="B931" s="5" t="s">
        <v>112</v>
      </c>
      <c r="C931" s="5">
        <v>6</v>
      </c>
      <c r="D931" s="5" t="s">
        <v>90</v>
      </c>
      <c r="E931" s="5">
        <v>2022</v>
      </c>
      <c r="F931" s="5">
        <v>4</v>
      </c>
      <c r="G931" s="5" t="s">
        <v>37</v>
      </c>
      <c r="H931" s="5">
        <v>7660825</v>
      </c>
      <c r="I931" s="5">
        <v>6801099.6100000003</v>
      </c>
      <c r="J931" s="5">
        <v>112</v>
      </c>
      <c r="K931" s="5">
        <v>1102306</v>
      </c>
      <c r="L931" s="5">
        <v>8751260</v>
      </c>
      <c r="M931" s="5">
        <v>859725.39</v>
      </c>
      <c r="N931" s="5">
        <v>0.11219999999999999</v>
      </c>
      <c r="O931" s="5">
        <v>7</v>
      </c>
      <c r="P931" s="5">
        <v>428532</v>
      </c>
    </row>
    <row r="932" spans="1:16" x14ac:dyDescent="0.3">
      <c r="A932" s="5">
        <v>62</v>
      </c>
      <c r="B932" s="5" t="s">
        <v>112</v>
      </c>
      <c r="C932" s="5">
        <v>6</v>
      </c>
      <c r="D932" s="5" t="s">
        <v>90</v>
      </c>
      <c r="E932" s="5">
        <v>2022</v>
      </c>
      <c r="F932" s="5">
        <v>5</v>
      </c>
      <c r="G932" s="5" t="s">
        <v>38</v>
      </c>
      <c r="H932" s="5">
        <v>8438214</v>
      </c>
      <c r="I932" s="5">
        <v>7596034.0999999996</v>
      </c>
      <c r="J932" s="5">
        <v>106</v>
      </c>
      <c r="K932" s="5">
        <v>1277363</v>
      </c>
      <c r="L932" s="5">
        <v>9687500</v>
      </c>
      <c r="M932" s="5">
        <v>842179.9</v>
      </c>
      <c r="N932" s="5">
        <v>9.98E-2</v>
      </c>
      <c r="O932" s="5">
        <v>7</v>
      </c>
      <c r="P932" s="5">
        <v>114520</v>
      </c>
    </row>
    <row r="933" spans="1:16" x14ac:dyDescent="0.3">
      <c r="A933" s="5">
        <v>62</v>
      </c>
      <c r="B933" s="5" t="s">
        <v>112</v>
      </c>
      <c r="C933" s="5">
        <v>6</v>
      </c>
      <c r="D933" s="5" t="s">
        <v>90</v>
      </c>
      <c r="E933" s="5">
        <v>2022</v>
      </c>
      <c r="F933" s="5">
        <v>6</v>
      </c>
      <c r="G933" s="5" t="s">
        <v>39</v>
      </c>
      <c r="H933" s="5">
        <v>6665873</v>
      </c>
      <c r="I933" s="5">
        <v>5725885.3600000003</v>
      </c>
      <c r="J933" s="5">
        <v>98</v>
      </c>
      <c r="K933" s="5">
        <v>665562</v>
      </c>
      <c r="L933" s="5">
        <v>7315380</v>
      </c>
      <c r="M933" s="5">
        <v>939987.64</v>
      </c>
      <c r="N933" s="5">
        <v>0.14099999999999999</v>
      </c>
      <c r="O933" s="5">
        <v>10</v>
      </c>
      <c r="P933" s="5">
        <v>226468</v>
      </c>
    </row>
    <row r="934" spans="1:16" x14ac:dyDescent="0.3">
      <c r="A934" s="5">
        <v>62</v>
      </c>
      <c r="B934" s="5" t="s">
        <v>112</v>
      </c>
      <c r="C934" s="5">
        <v>6</v>
      </c>
      <c r="D934" s="5" t="s">
        <v>90</v>
      </c>
      <c r="E934" s="5">
        <v>2022</v>
      </c>
      <c r="F934" s="5">
        <v>7</v>
      </c>
      <c r="G934" s="5" t="s">
        <v>40</v>
      </c>
      <c r="H934" s="5">
        <v>5205871</v>
      </c>
      <c r="I934" s="5">
        <v>4475129.78</v>
      </c>
      <c r="J934" s="5">
        <v>88</v>
      </c>
      <c r="K934" s="5">
        <v>534020</v>
      </c>
      <c r="L934" s="5">
        <v>5711870</v>
      </c>
      <c r="M934" s="5">
        <v>730741.22</v>
      </c>
      <c r="N934" s="5">
        <v>0.1404</v>
      </c>
      <c r="O934" s="5">
        <v>7</v>
      </c>
      <c r="P934" s="5">
        <v>37569</v>
      </c>
    </row>
    <row r="935" spans="1:16" x14ac:dyDescent="0.3">
      <c r="A935" s="5">
        <v>62</v>
      </c>
      <c r="B935" s="5" t="s">
        <v>112</v>
      </c>
      <c r="C935" s="5">
        <v>6</v>
      </c>
      <c r="D935" s="5" t="s">
        <v>90</v>
      </c>
      <c r="E935" s="5">
        <v>2022</v>
      </c>
      <c r="F935" s="5">
        <v>8</v>
      </c>
      <c r="G935" s="5" t="s">
        <v>41</v>
      </c>
      <c r="H935" s="5">
        <v>5703127</v>
      </c>
      <c r="I935" s="5">
        <v>5132071.7699999996</v>
      </c>
      <c r="J935" s="5">
        <v>97</v>
      </c>
      <c r="K935" s="5">
        <v>937447</v>
      </c>
      <c r="L935" s="5">
        <v>6615920</v>
      </c>
      <c r="M935" s="5">
        <v>571055.23</v>
      </c>
      <c r="N935" s="5">
        <v>0.10009999999999999</v>
      </c>
      <c r="O935" s="5">
        <v>8</v>
      </c>
      <c r="P935" s="5">
        <v>111762</v>
      </c>
    </row>
    <row r="936" spans="1:16" x14ac:dyDescent="0.3">
      <c r="A936" s="5">
        <v>62</v>
      </c>
      <c r="B936" s="5" t="s">
        <v>112</v>
      </c>
      <c r="C936" s="5">
        <v>6</v>
      </c>
      <c r="D936" s="5" t="s">
        <v>90</v>
      </c>
      <c r="E936" s="5">
        <v>2022</v>
      </c>
      <c r="F936" s="5">
        <v>9</v>
      </c>
      <c r="G936" s="5" t="s">
        <v>42</v>
      </c>
      <c r="H936" s="5">
        <v>8070168</v>
      </c>
      <c r="I936" s="5">
        <v>7047979.8200000003</v>
      </c>
      <c r="J936" s="5">
        <v>125</v>
      </c>
      <c r="K936" s="5">
        <v>1087857</v>
      </c>
      <c r="L936" s="5">
        <v>9139500</v>
      </c>
      <c r="M936" s="5">
        <v>1022188.18</v>
      </c>
      <c r="N936" s="5">
        <v>0.12670000000000001</v>
      </c>
      <c r="O936" s="5">
        <v>13</v>
      </c>
      <c r="P936" s="5">
        <v>454842</v>
      </c>
    </row>
    <row r="937" spans="1:16" x14ac:dyDescent="0.3">
      <c r="A937" s="5">
        <v>62</v>
      </c>
      <c r="B937" s="5" t="s">
        <v>112</v>
      </c>
      <c r="C937" s="5">
        <v>6</v>
      </c>
      <c r="D937" s="5" t="s">
        <v>90</v>
      </c>
      <c r="E937" s="5">
        <v>2022</v>
      </c>
      <c r="F937" s="5">
        <v>10</v>
      </c>
      <c r="G937" s="5" t="s">
        <v>43</v>
      </c>
      <c r="H937" s="5">
        <v>8711620</v>
      </c>
      <c r="I937" s="5">
        <v>7814927.6600000001</v>
      </c>
      <c r="J937" s="5">
        <v>129</v>
      </c>
      <c r="K937" s="5">
        <v>1295769</v>
      </c>
      <c r="L937" s="5">
        <v>9969400</v>
      </c>
      <c r="M937" s="5">
        <v>896692.34</v>
      </c>
      <c r="N937" s="5">
        <v>0.10290000000000001</v>
      </c>
      <c r="O937" s="5">
        <v>9</v>
      </c>
      <c r="P937" s="5">
        <v>310786</v>
      </c>
    </row>
    <row r="938" spans="1:16" x14ac:dyDescent="0.3">
      <c r="A938" s="5">
        <v>62</v>
      </c>
      <c r="B938" s="5" t="s">
        <v>112</v>
      </c>
      <c r="C938" s="5">
        <v>6</v>
      </c>
      <c r="D938" s="5" t="s">
        <v>90</v>
      </c>
      <c r="E938" s="5">
        <v>2022</v>
      </c>
      <c r="F938" s="5">
        <v>11</v>
      </c>
      <c r="G938" s="5" t="s">
        <v>44</v>
      </c>
      <c r="H938" s="5">
        <v>9423990</v>
      </c>
      <c r="I938" s="5">
        <v>8155289.7599999998</v>
      </c>
      <c r="J938" s="5">
        <v>141</v>
      </c>
      <c r="K938" s="5">
        <v>1130091</v>
      </c>
      <c r="L938" s="5">
        <v>10523560</v>
      </c>
      <c r="M938" s="5">
        <v>1268700.24</v>
      </c>
      <c r="N938" s="5">
        <v>0.1346</v>
      </c>
      <c r="O938" s="5">
        <v>15</v>
      </c>
      <c r="P938" s="5">
        <v>329680</v>
      </c>
    </row>
    <row r="939" spans="1:16" x14ac:dyDescent="0.3">
      <c r="A939" s="5">
        <v>62</v>
      </c>
      <c r="B939" s="5" t="s">
        <v>112</v>
      </c>
      <c r="C939" s="5">
        <v>6</v>
      </c>
      <c r="D939" s="5" t="s">
        <v>90</v>
      </c>
      <c r="E939" s="5">
        <v>2022</v>
      </c>
      <c r="F939" s="5">
        <v>12</v>
      </c>
      <c r="G939" s="5" t="s">
        <v>45</v>
      </c>
      <c r="H939" s="5">
        <v>10361451</v>
      </c>
      <c r="I939" s="5">
        <v>8714040.6300000008</v>
      </c>
      <c r="J939" s="5">
        <v>157</v>
      </c>
      <c r="K939" s="5">
        <v>829200</v>
      </c>
      <c r="L939" s="5">
        <v>11160600</v>
      </c>
      <c r="M939" s="5">
        <v>1647410.37</v>
      </c>
      <c r="N939" s="5">
        <v>0.159</v>
      </c>
      <c r="O939" s="5">
        <v>12</v>
      </c>
      <c r="P939" s="5">
        <v>602999</v>
      </c>
    </row>
    <row r="940" spans="1:16" x14ac:dyDescent="0.3">
      <c r="A940" s="5">
        <v>62</v>
      </c>
      <c r="B940" s="5" t="s">
        <v>112</v>
      </c>
      <c r="C940" s="5">
        <v>6</v>
      </c>
      <c r="D940" s="5" t="s">
        <v>90</v>
      </c>
      <c r="E940" s="5">
        <v>2023</v>
      </c>
      <c r="F940" s="5">
        <v>1</v>
      </c>
      <c r="G940" s="5" t="s">
        <v>46</v>
      </c>
      <c r="H940" s="5">
        <v>5662305</v>
      </c>
      <c r="I940" s="5">
        <v>4786121</v>
      </c>
      <c r="J940" s="5">
        <v>102</v>
      </c>
      <c r="K940" s="5">
        <v>605573</v>
      </c>
      <c r="L940" s="5">
        <v>6243300</v>
      </c>
      <c r="M940" s="5">
        <v>876184</v>
      </c>
      <c r="N940" s="5">
        <v>0.1547</v>
      </c>
      <c r="O940" s="5">
        <v>8</v>
      </c>
      <c r="P940" s="5">
        <v>259020</v>
      </c>
    </row>
    <row r="941" spans="1:16" x14ac:dyDescent="0.3">
      <c r="A941" s="5">
        <v>62</v>
      </c>
      <c r="B941" s="5" t="s">
        <v>112</v>
      </c>
      <c r="C941" s="5">
        <v>6</v>
      </c>
      <c r="D941" s="5" t="s">
        <v>90</v>
      </c>
      <c r="E941" s="5">
        <v>2023</v>
      </c>
      <c r="F941" s="5">
        <v>2</v>
      </c>
      <c r="G941" s="5" t="s">
        <v>47</v>
      </c>
      <c r="H941" s="5">
        <v>7195426</v>
      </c>
      <c r="I941" s="5">
        <v>6214428.9699999997</v>
      </c>
      <c r="J941" s="5">
        <v>92</v>
      </c>
      <c r="K941" s="5">
        <v>846820</v>
      </c>
      <c r="L941" s="5">
        <v>8026690</v>
      </c>
      <c r="M941" s="5">
        <v>980997.03</v>
      </c>
      <c r="N941" s="5">
        <v>0.1363</v>
      </c>
      <c r="O941" s="5">
        <v>7</v>
      </c>
      <c r="P941" s="5">
        <v>122064</v>
      </c>
    </row>
    <row r="942" spans="1:16" x14ac:dyDescent="0.3">
      <c r="A942" s="5">
        <v>62</v>
      </c>
      <c r="B942" s="5" t="s">
        <v>112</v>
      </c>
      <c r="C942" s="5">
        <v>6</v>
      </c>
      <c r="D942" s="5" t="s">
        <v>90</v>
      </c>
      <c r="E942" s="5">
        <v>2023</v>
      </c>
      <c r="F942" s="5">
        <v>3</v>
      </c>
      <c r="G942" s="5" t="s">
        <v>48</v>
      </c>
      <c r="H942" s="5">
        <v>11662276</v>
      </c>
      <c r="I942" s="5">
        <v>9962855.1799999997</v>
      </c>
      <c r="J942" s="5">
        <v>157</v>
      </c>
      <c r="K942" s="5">
        <v>1265331</v>
      </c>
      <c r="L942" s="5">
        <v>12895760</v>
      </c>
      <c r="M942" s="5">
        <v>1699420.82</v>
      </c>
      <c r="N942" s="5">
        <v>0.1457</v>
      </c>
      <c r="O942" s="5">
        <v>17</v>
      </c>
      <c r="P942" s="5">
        <v>596870</v>
      </c>
    </row>
    <row r="943" spans="1:16" x14ac:dyDescent="0.3">
      <c r="A943" s="5">
        <v>62</v>
      </c>
      <c r="B943" s="5" t="s">
        <v>112</v>
      </c>
      <c r="C943" s="5">
        <v>6</v>
      </c>
      <c r="D943" s="5" t="s">
        <v>90</v>
      </c>
      <c r="E943" s="5">
        <v>2023</v>
      </c>
      <c r="F943" s="5">
        <v>4</v>
      </c>
      <c r="G943" s="5" t="s">
        <v>49</v>
      </c>
      <c r="H943" s="5">
        <v>8270595</v>
      </c>
      <c r="I943" s="5">
        <v>7394527.4299999997</v>
      </c>
      <c r="J943" s="5">
        <v>135</v>
      </c>
      <c r="K943" s="5">
        <v>1189399</v>
      </c>
      <c r="L943" s="5">
        <v>9434430</v>
      </c>
      <c r="M943" s="5">
        <v>876067.57</v>
      </c>
      <c r="N943" s="5">
        <v>0.10589999999999999</v>
      </c>
      <c r="O943" s="5">
        <v>11</v>
      </c>
      <c r="P943" s="5">
        <v>167189</v>
      </c>
    </row>
    <row r="944" spans="1:16" x14ac:dyDescent="0.3">
      <c r="A944" s="5">
        <v>62</v>
      </c>
      <c r="B944" s="5" t="s">
        <v>112</v>
      </c>
      <c r="C944" s="5">
        <v>6</v>
      </c>
      <c r="D944" s="5" t="s">
        <v>90</v>
      </c>
      <c r="E944" s="5">
        <v>2023</v>
      </c>
      <c r="F944" s="5">
        <v>5</v>
      </c>
      <c r="G944" s="5" t="s">
        <v>50</v>
      </c>
      <c r="H944" s="5">
        <v>9136849</v>
      </c>
      <c r="I944" s="5">
        <v>7981750.79</v>
      </c>
      <c r="J944" s="5">
        <v>137</v>
      </c>
      <c r="K944" s="5">
        <v>1117476</v>
      </c>
      <c r="L944" s="5">
        <v>10217820</v>
      </c>
      <c r="M944" s="5">
        <v>1155098.21</v>
      </c>
      <c r="N944" s="5">
        <v>0.12640000000000001</v>
      </c>
      <c r="O944" s="5">
        <v>13</v>
      </c>
      <c r="P944" s="5">
        <v>406440</v>
      </c>
    </row>
    <row r="945" spans="1:16" x14ac:dyDescent="0.3">
      <c r="A945" s="5">
        <v>62</v>
      </c>
      <c r="B945" s="5" t="s">
        <v>112</v>
      </c>
      <c r="C945" s="5">
        <v>6</v>
      </c>
      <c r="D945" s="5" t="s">
        <v>90</v>
      </c>
      <c r="E945" s="5">
        <v>2023</v>
      </c>
      <c r="F945" s="5">
        <v>6</v>
      </c>
      <c r="G945" s="5" t="s">
        <v>51</v>
      </c>
      <c r="H945" s="5">
        <v>9103365</v>
      </c>
      <c r="I945" s="5">
        <v>7780805.4800000004</v>
      </c>
      <c r="J945" s="5">
        <v>136</v>
      </c>
      <c r="K945" s="5">
        <v>988032</v>
      </c>
      <c r="L945" s="5">
        <v>10059610</v>
      </c>
      <c r="M945" s="5">
        <v>1322559.52</v>
      </c>
      <c r="N945" s="5">
        <v>0.14530000000000001</v>
      </c>
      <c r="O945" s="5">
        <v>14</v>
      </c>
      <c r="P945" s="5">
        <v>359986</v>
      </c>
    </row>
    <row r="946" spans="1:16" x14ac:dyDescent="0.3">
      <c r="A946" s="5">
        <v>62</v>
      </c>
      <c r="B946" s="5" t="s">
        <v>112</v>
      </c>
      <c r="C946" s="5">
        <v>6</v>
      </c>
      <c r="D946" s="5" t="s">
        <v>90</v>
      </c>
      <c r="E946" s="5">
        <v>2023</v>
      </c>
      <c r="F946" s="5">
        <v>7</v>
      </c>
      <c r="G946" s="5" t="s">
        <v>52</v>
      </c>
      <c r="H946" s="5">
        <v>7746678</v>
      </c>
      <c r="I946" s="5">
        <v>6689267.1500000004</v>
      </c>
      <c r="J946" s="5">
        <v>118</v>
      </c>
      <c r="K946" s="5">
        <v>995692</v>
      </c>
      <c r="L946" s="5">
        <v>8720990</v>
      </c>
      <c r="M946" s="5">
        <v>1057410.8500000001</v>
      </c>
      <c r="N946" s="5">
        <v>0.13650000000000001</v>
      </c>
      <c r="O946" s="5">
        <v>6</v>
      </c>
      <c r="P946" s="5">
        <v>66474</v>
      </c>
    </row>
    <row r="947" spans="1:16" x14ac:dyDescent="0.3">
      <c r="A947" s="5">
        <v>62</v>
      </c>
      <c r="B947" s="5" t="s">
        <v>112</v>
      </c>
      <c r="C947" s="5">
        <v>6</v>
      </c>
      <c r="D947" s="5" t="s">
        <v>90</v>
      </c>
      <c r="E947" s="5">
        <v>2023</v>
      </c>
      <c r="F947" s="5">
        <v>8</v>
      </c>
      <c r="G947" s="5" t="s">
        <v>53</v>
      </c>
      <c r="H947" s="5">
        <v>8351767</v>
      </c>
      <c r="I947" s="5">
        <v>7339990.2000000002</v>
      </c>
      <c r="J947" s="5">
        <v>131</v>
      </c>
      <c r="K947" s="5">
        <v>968012</v>
      </c>
      <c r="L947" s="5">
        <v>9286590</v>
      </c>
      <c r="M947" s="5">
        <v>1011776.8</v>
      </c>
      <c r="N947" s="5">
        <v>0.1211</v>
      </c>
      <c r="O947" s="5">
        <v>7</v>
      </c>
      <c r="P947" s="5">
        <v>461962</v>
      </c>
    </row>
    <row r="948" spans="1:16" x14ac:dyDescent="0.3">
      <c r="A948" s="5">
        <v>62</v>
      </c>
      <c r="B948" s="5" t="s">
        <v>112</v>
      </c>
      <c r="C948" s="5">
        <v>6</v>
      </c>
      <c r="D948" s="5" t="s">
        <v>90</v>
      </c>
      <c r="E948" s="5">
        <v>2023</v>
      </c>
      <c r="F948" s="5">
        <v>9</v>
      </c>
      <c r="G948" s="5" t="s">
        <v>54</v>
      </c>
      <c r="H948" s="5">
        <v>7396045</v>
      </c>
      <c r="I948" s="5">
        <v>6352936.5899999999</v>
      </c>
      <c r="J948" s="5">
        <v>145</v>
      </c>
      <c r="K948" s="5">
        <v>859444</v>
      </c>
      <c r="L948" s="5">
        <v>8218540</v>
      </c>
      <c r="M948" s="5">
        <v>1043108.41</v>
      </c>
      <c r="N948" s="5">
        <v>0.14099999999999999</v>
      </c>
      <c r="O948" s="5">
        <v>10</v>
      </c>
      <c r="P948" s="5">
        <v>687662</v>
      </c>
    </row>
    <row r="949" spans="1:16" x14ac:dyDescent="0.3">
      <c r="A949" s="5">
        <v>62</v>
      </c>
      <c r="B949" s="5" t="s">
        <v>112</v>
      </c>
      <c r="C949" s="5">
        <v>6</v>
      </c>
      <c r="D949" s="5" t="s">
        <v>90</v>
      </c>
      <c r="E949" s="5">
        <v>2023</v>
      </c>
      <c r="F949" s="5">
        <v>10</v>
      </c>
      <c r="G949" s="5" t="s">
        <v>55</v>
      </c>
      <c r="H949" s="5">
        <v>9888116</v>
      </c>
      <c r="I949" s="5">
        <v>8577750.0299999993</v>
      </c>
      <c r="J949" s="5">
        <v>155</v>
      </c>
      <c r="K949" s="5">
        <v>1078317</v>
      </c>
      <c r="L949" s="5">
        <v>10931650</v>
      </c>
      <c r="M949" s="5">
        <v>1310365.97</v>
      </c>
      <c r="N949" s="5">
        <v>0.13250000000000001</v>
      </c>
      <c r="O949" s="5">
        <v>15</v>
      </c>
      <c r="P949" s="5">
        <v>432620</v>
      </c>
    </row>
    <row r="950" spans="1:16" x14ac:dyDescent="0.3">
      <c r="A950" s="5">
        <v>62</v>
      </c>
      <c r="B950" s="5" t="s">
        <v>112</v>
      </c>
      <c r="C950" s="5">
        <v>6</v>
      </c>
      <c r="D950" s="5" t="s">
        <v>90</v>
      </c>
      <c r="E950" s="5">
        <v>2023</v>
      </c>
      <c r="F950" s="5">
        <v>11</v>
      </c>
      <c r="G950" s="5" t="s">
        <v>56</v>
      </c>
      <c r="H950" s="5">
        <v>11123768</v>
      </c>
      <c r="I950" s="5">
        <v>9894774.5099999998</v>
      </c>
      <c r="J950" s="5">
        <v>166</v>
      </c>
      <c r="K950" s="5">
        <v>1758916</v>
      </c>
      <c r="L950" s="5">
        <v>12852710</v>
      </c>
      <c r="M950" s="5">
        <v>1228993.49</v>
      </c>
      <c r="N950" s="5">
        <v>0.1105</v>
      </c>
      <c r="O950" s="5">
        <v>14</v>
      </c>
      <c r="P950" s="5">
        <v>361323</v>
      </c>
    </row>
    <row r="951" spans="1:16" x14ac:dyDescent="0.3">
      <c r="A951" s="5">
        <v>62</v>
      </c>
      <c r="B951" s="5" t="s">
        <v>112</v>
      </c>
      <c r="C951" s="5">
        <v>6</v>
      </c>
      <c r="D951" s="5" t="s">
        <v>90</v>
      </c>
      <c r="E951" s="5">
        <v>2023</v>
      </c>
      <c r="F951" s="5">
        <v>12</v>
      </c>
      <c r="G951" s="5" t="s">
        <v>57</v>
      </c>
      <c r="H951" s="5">
        <v>11709618</v>
      </c>
      <c r="I951" s="5">
        <v>10359482.73</v>
      </c>
      <c r="J951" s="5">
        <v>163</v>
      </c>
      <c r="K951" s="5">
        <v>1606168</v>
      </c>
      <c r="L951" s="5">
        <v>13259240</v>
      </c>
      <c r="M951" s="5">
        <v>1350135.27</v>
      </c>
      <c r="N951" s="5">
        <v>0.1153</v>
      </c>
      <c r="O951" s="5">
        <v>10</v>
      </c>
      <c r="P951" s="5">
        <v>128467</v>
      </c>
    </row>
    <row r="952" spans="1:16" x14ac:dyDescent="0.3">
      <c r="A952" s="5">
        <v>62</v>
      </c>
      <c r="B952" s="5" t="s">
        <v>112</v>
      </c>
      <c r="C952" s="5">
        <v>6</v>
      </c>
      <c r="D952" s="5" t="s">
        <v>90</v>
      </c>
      <c r="E952" s="5">
        <v>2024</v>
      </c>
      <c r="F952" s="5">
        <v>1</v>
      </c>
      <c r="G952" s="5" t="s">
        <v>58</v>
      </c>
      <c r="H952" s="5">
        <v>6735692</v>
      </c>
      <c r="I952" s="5">
        <v>5963100.21</v>
      </c>
      <c r="J952" s="5">
        <v>119</v>
      </c>
      <c r="K952" s="5">
        <v>966720</v>
      </c>
      <c r="L952" s="5">
        <v>7686150</v>
      </c>
      <c r="M952" s="5">
        <v>772591.79</v>
      </c>
      <c r="N952" s="5">
        <v>0.1147</v>
      </c>
      <c r="O952" s="5">
        <v>14</v>
      </c>
      <c r="P952" s="5">
        <v>386847</v>
      </c>
    </row>
    <row r="953" spans="1:16" x14ac:dyDescent="0.3">
      <c r="A953" s="5">
        <v>62</v>
      </c>
      <c r="B953" s="5" t="s">
        <v>112</v>
      </c>
      <c r="C953" s="5">
        <v>6</v>
      </c>
      <c r="D953" s="5" t="s">
        <v>90</v>
      </c>
      <c r="E953" s="5">
        <v>2024</v>
      </c>
      <c r="F953" s="5">
        <v>2</v>
      </c>
      <c r="G953" s="5" t="s">
        <v>59</v>
      </c>
      <c r="H953" s="5">
        <v>7929598</v>
      </c>
      <c r="I953" s="5">
        <v>6883949.8899999997</v>
      </c>
      <c r="J953" s="5">
        <v>109</v>
      </c>
      <c r="K953" s="5">
        <v>986301</v>
      </c>
      <c r="L953" s="5">
        <v>8900140</v>
      </c>
      <c r="M953" s="5">
        <v>1045648.11</v>
      </c>
      <c r="N953" s="5">
        <v>0.13189999999999999</v>
      </c>
      <c r="O953" s="5">
        <v>12</v>
      </c>
      <c r="P953" s="5">
        <v>345378</v>
      </c>
    </row>
    <row r="954" spans="1:16" x14ac:dyDescent="0.3">
      <c r="A954" s="5">
        <v>62</v>
      </c>
      <c r="B954" s="5" t="s">
        <v>112</v>
      </c>
      <c r="C954" s="5">
        <v>6</v>
      </c>
      <c r="D954" s="5" t="s">
        <v>90</v>
      </c>
      <c r="E954" s="5">
        <v>2024</v>
      </c>
      <c r="F954" s="5">
        <v>3</v>
      </c>
      <c r="G954" s="5" t="s">
        <v>60</v>
      </c>
      <c r="H954" s="5">
        <v>6614867</v>
      </c>
      <c r="I954" s="5">
        <v>5658862.0300000003</v>
      </c>
      <c r="J954" s="5">
        <v>111</v>
      </c>
      <c r="K954" s="5">
        <v>650614</v>
      </c>
      <c r="L954" s="5">
        <v>7239650</v>
      </c>
      <c r="M954" s="5">
        <v>956004.97</v>
      </c>
      <c r="N954" s="5">
        <v>0.14449999999999999</v>
      </c>
      <c r="O954" s="5">
        <v>9</v>
      </c>
      <c r="P954" s="5">
        <v>147961</v>
      </c>
    </row>
    <row r="955" spans="1:16" x14ac:dyDescent="0.3">
      <c r="A955" s="5">
        <v>62</v>
      </c>
      <c r="B955" s="5" t="s">
        <v>112</v>
      </c>
      <c r="C955" s="5">
        <v>6</v>
      </c>
      <c r="D955" s="5" t="s">
        <v>90</v>
      </c>
      <c r="E955" s="5">
        <v>2024</v>
      </c>
      <c r="F955" s="5">
        <v>4</v>
      </c>
      <c r="G955" s="5" t="s">
        <v>61</v>
      </c>
      <c r="H955" s="5">
        <v>10722652</v>
      </c>
      <c r="I955" s="5">
        <v>9207945.3399999999</v>
      </c>
      <c r="J955" s="5">
        <v>138</v>
      </c>
      <c r="K955" s="5">
        <v>1096981</v>
      </c>
      <c r="L955" s="5">
        <v>11776170</v>
      </c>
      <c r="M955" s="5">
        <v>1514706.66</v>
      </c>
      <c r="N955" s="5">
        <v>0.14130000000000001</v>
      </c>
      <c r="O955" s="5">
        <v>16</v>
      </c>
      <c r="P955" s="5">
        <v>655492</v>
      </c>
    </row>
    <row r="956" spans="1:16" x14ac:dyDescent="0.3">
      <c r="A956" s="5">
        <v>62</v>
      </c>
      <c r="B956" s="5" t="s">
        <v>112</v>
      </c>
      <c r="C956" s="5">
        <v>6</v>
      </c>
      <c r="D956" s="5" t="s">
        <v>90</v>
      </c>
      <c r="E956" s="5">
        <v>2024</v>
      </c>
      <c r="F956" s="5">
        <v>5</v>
      </c>
      <c r="G956" s="5" t="s">
        <v>62</v>
      </c>
      <c r="H956" s="5">
        <v>9516376</v>
      </c>
      <c r="I956" s="5">
        <v>8581341.0600000005</v>
      </c>
      <c r="J956" s="5">
        <v>146</v>
      </c>
      <c r="K956" s="5">
        <v>1393407</v>
      </c>
      <c r="L956" s="5">
        <v>10887600</v>
      </c>
      <c r="M956" s="5">
        <v>935034.94</v>
      </c>
      <c r="N956" s="5">
        <v>9.8299999999999998E-2</v>
      </c>
      <c r="O956" s="5">
        <v>9</v>
      </c>
      <c r="P956" s="5">
        <v>244370</v>
      </c>
    </row>
    <row r="957" spans="1:16" x14ac:dyDescent="0.3">
      <c r="A957" s="5">
        <v>62</v>
      </c>
      <c r="B957" s="5" t="s">
        <v>112</v>
      </c>
      <c r="C957" s="5">
        <v>6</v>
      </c>
      <c r="D957" s="5" t="s">
        <v>90</v>
      </c>
      <c r="E957" s="5">
        <v>2024</v>
      </c>
      <c r="F957" s="5">
        <v>6</v>
      </c>
      <c r="G957" s="5" t="s">
        <v>63</v>
      </c>
      <c r="H957" s="5">
        <v>8756557</v>
      </c>
      <c r="I957" s="5">
        <v>7301785.0800000001</v>
      </c>
      <c r="J957" s="5">
        <v>127</v>
      </c>
      <c r="K957" s="5">
        <v>585863</v>
      </c>
      <c r="L957" s="5">
        <v>9301260</v>
      </c>
      <c r="M957" s="5">
        <v>1454771.92</v>
      </c>
      <c r="N957" s="5">
        <v>0.1661</v>
      </c>
      <c r="O957" s="5">
        <v>9</v>
      </c>
      <c r="P957" s="5">
        <v>428627</v>
      </c>
    </row>
    <row r="958" spans="1:16" x14ac:dyDescent="0.3">
      <c r="A958" s="5">
        <v>62</v>
      </c>
      <c r="B958" s="5" t="s">
        <v>112</v>
      </c>
      <c r="C958" s="5">
        <v>6</v>
      </c>
      <c r="D958" s="5" t="s">
        <v>90</v>
      </c>
      <c r="E958" s="5">
        <v>2024</v>
      </c>
      <c r="F958" s="5">
        <v>7</v>
      </c>
      <c r="G958" s="5" t="s">
        <v>64</v>
      </c>
      <c r="H958" s="5">
        <v>9922430</v>
      </c>
      <c r="I958" s="5">
        <v>8608734.6799999997</v>
      </c>
      <c r="J958" s="5">
        <v>136</v>
      </c>
      <c r="K958" s="5">
        <v>1203319</v>
      </c>
      <c r="L958" s="5">
        <v>11091650</v>
      </c>
      <c r="M958" s="5">
        <v>1313695.32</v>
      </c>
      <c r="N958" s="5">
        <v>0.13239999999999999</v>
      </c>
      <c r="O958" s="5">
        <v>17</v>
      </c>
      <c r="P958" s="5">
        <v>570977</v>
      </c>
    </row>
    <row r="959" spans="1:16" x14ac:dyDescent="0.3">
      <c r="A959" s="5">
        <v>62</v>
      </c>
      <c r="B959" s="5" t="s">
        <v>112</v>
      </c>
      <c r="C959" s="5">
        <v>6</v>
      </c>
      <c r="D959" s="5" t="s">
        <v>90</v>
      </c>
      <c r="E959" s="5">
        <v>2024</v>
      </c>
      <c r="F959" s="5">
        <v>8</v>
      </c>
      <c r="G959" s="5" t="s">
        <v>65</v>
      </c>
      <c r="H959" s="5">
        <v>13036987</v>
      </c>
      <c r="I959" s="5">
        <v>11214353.17</v>
      </c>
      <c r="J959" s="5">
        <v>167</v>
      </c>
      <c r="K959" s="5">
        <v>1368283</v>
      </c>
      <c r="L959" s="5">
        <v>14372430</v>
      </c>
      <c r="M959" s="5">
        <v>1822633.83</v>
      </c>
      <c r="N959" s="5">
        <v>0.13980000000000001</v>
      </c>
      <c r="O959" s="5">
        <v>11</v>
      </c>
      <c r="P959" s="5">
        <v>316616</v>
      </c>
    </row>
    <row r="960" spans="1:16" x14ac:dyDescent="0.3">
      <c r="A960" s="5">
        <v>62</v>
      </c>
      <c r="B960" s="5" t="s">
        <v>112</v>
      </c>
      <c r="C960" s="5">
        <v>6</v>
      </c>
      <c r="D960" s="5" t="s">
        <v>90</v>
      </c>
      <c r="E960" s="5">
        <v>2024</v>
      </c>
      <c r="F960" s="5">
        <v>9</v>
      </c>
      <c r="G960" s="5" t="s">
        <v>66</v>
      </c>
      <c r="H960" s="5">
        <v>11297215</v>
      </c>
      <c r="I960" s="5">
        <v>9151557.1699999999</v>
      </c>
      <c r="J960" s="5">
        <v>157</v>
      </c>
      <c r="K960" s="5">
        <v>538965</v>
      </c>
      <c r="L960" s="5">
        <v>11782730</v>
      </c>
      <c r="M960" s="5">
        <v>2145657.83</v>
      </c>
      <c r="N960" s="5">
        <v>0.18990000000000001</v>
      </c>
      <c r="O960" s="5">
        <v>14</v>
      </c>
      <c r="P960" s="5">
        <v>302246</v>
      </c>
    </row>
    <row r="961" spans="1:16" x14ac:dyDescent="0.3">
      <c r="A961" s="5">
        <v>62</v>
      </c>
      <c r="B961" s="5" t="s">
        <v>112</v>
      </c>
      <c r="C961" s="5">
        <v>6</v>
      </c>
      <c r="D961" s="5" t="s">
        <v>90</v>
      </c>
      <c r="E961" s="5">
        <v>2024</v>
      </c>
      <c r="F961" s="5">
        <v>10</v>
      </c>
      <c r="G961" s="5" t="s">
        <v>67</v>
      </c>
      <c r="H961" s="5">
        <v>13359013</v>
      </c>
      <c r="I961" s="5">
        <v>10793354.970000001</v>
      </c>
      <c r="J961" s="5">
        <v>216</v>
      </c>
      <c r="K961" s="5">
        <v>459913</v>
      </c>
      <c r="L961" s="5">
        <v>13783330</v>
      </c>
      <c r="M961" s="5">
        <v>2565658.0299999998</v>
      </c>
      <c r="N961" s="5">
        <v>0.19209999999999999</v>
      </c>
      <c r="O961" s="5">
        <v>16</v>
      </c>
      <c r="P961" s="5">
        <v>278169</v>
      </c>
    </row>
    <row r="962" spans="1:16" x14ac:dyDescent="0.3">
      <c r="A962" s="5">
        <v>62</v>
      </c>
      <c r="B962" s="5" t="s">
        <v>112</v>
      </c>
      <c r="C962" s="5">
        <v>6</v>
      </c>
      <c r="D962" s="5" t="s">
        <v>90</v>
      </c>
      <c r="E962" s="5">
        <v>2024</v>
      </c>
      <c r="F962" s="5">
        <v>11</v>
      </c>
      <c r="G962" s="5" t="s">
        <v>68</v>
      </c>
      <c r="H962" s="5">
        <v>13406430</v>
      </c>
      <c r="I962" s="5">
        <v>11302566.27</v>
      </c>
      <c r="J962" s="5">
        <v>195</v>
      </c>
      <c r="K962" s="5">
        <v>1110322</v>
      </c>
      <c r="L962" s="5">
        <v>14459460</v>
      </c>
      <c r="M962" s="5">
        <v>2103863.73</v>
      </c>
      <c r="N962" s="5">
        <v>0.15690000000000001</v>
      </c>
      <c r="O962" s="5">
        <v>16</v>
      </c>
      <c r="P962" s="5">
        <v>283329</v>
      </c>
    </row>
    <row r="963" spans="1:16" x14ac:dyDescent="0.3">
      <c r="A963" s="5">
        <v>62</v>
      </c>
      <c r="B963" s="5" t="s">
        <v>112</v>
      </c>
      <c r="C963" s="5">
        <v>6</v>
      </c>
      <c r="D963" s="5" t="s">
        <v>90</v>
      </c>
      <c r="E963" s="5">
        <v>2024</v>
      </c>
      <c r="F963" s="5">
        <v>12</v>
      </c>
      <c r="G963" s="5" t="s">
        <v>69</v>
      </c>
      <c r="H963" s="5">
        <v>15572722</v>
      </c>
      <c r="I963" s="5">
        <v>12477892.77</v>
      </c>
      <c r="J963" s="5">
        <v>207</v>
      </c>
      <c r="K963" s="5">
        <v>534446</v>
      </c>
      <c r="L963" s="5">
        <v>16060190</v>
      </c>
      <c r="M963" s="5">
        <v>3094829.23</v>
      </c>
      <c r="N963" s="5">
        <v>0.19869999999999999</v>
      </c>
      <c r="O963" s="5">
        <v>13</v>
      </c>
      <c r="P963" s="5">
        <v>280465</v>
      </c>
    </row>
    <row r="964" spans="1:16" x14ac:dyDescent="0.3">
      <c r="A964" s="5">
        <v>93</v>
      </c>
      <c r="B964" s="5" t="s">
        <v>113</v>
      </c>
      <c r="C964" s="5">
        <v>6</v>
      </c>
      <c r="D964" s="5" t="s">
        <v>90</v>
      </c>
      <c r="E964" s="5">
        <v>2021</v>
      </c>
      <c r="F964" s="5">
        <v>1</v>
      </c>
      <c r="G964" s="5" t="s">
        <v>22</v>
      </c>
      <c r="H964" s="5">
        <v>682064</v>
      </c>
      <c r="I964" s="5">
        <v>581275.05000000005</v>
      </c>
      <c r="J964" s="5">
        <v>7</v>
      </c>
      <c r="K964" s="5">
        <v>32284</v>
      </c>
      <c r="L964" s="5">
        <v>710420</v>
      </c>
      <c r="M964" s="5">
        <v>100788.95</v>
      </c>
      <c r="N964" s="5">
        <v>0.14779999999999999</v>
      </c>
      <c r="O964" s="5">
        <v>0</v>
      </c>
      <c r="P964" s="5">
        <v>0</v>
      </c>
    </row>
    <row r="965" spans="1:16" x14ac:dyDescent="0.3">
      <c r="A965" s="5">
        <v>93</v>
      </c>
      <c r="B965" s="5" t="s">
        <v>113</v>
      </c>
      <c r="C965" s="5">
        <v>6</v>
      </c>
      <c r="D965" s="5" t="s">
        <v>90</v>
      </c>
      <c r="E965" s="5">
        <v>2021</v>
      </c>
      <c r="F965" s="5">
        <v>2</v>
      </c>
      <c r="G965" s="5" t="s">
        <v>23</v>
      </c>
      <c r="H965" s="5">
        <v>535477</v>
      </c>
      <c r="I965" s="5">
        <v>434529.45</v>
      </c>
      <c r="J965" s="5">
        <v>10</v>
      </c>
      <c r="K965" s="5">
        <v>35075</v>
      </c>
      <c r="L965" s="5">
        <v>568490</v>
      </c>
      <c r="M965" s="5">
        <v>100947.55</v>
      </c>
      <c r="N965" s="5">
        <v>0.1885</v>
      </c>
      <c r="O965" s="5">
        <v>1</v>
      </c>
      <c r="P965" s="5">
        <v>2464</v>
      </c>
    </row>
    <row r="966" spans="1:16" x14ac:dyDescent="0.3">
      <c r="A966" s="5">
        <v>93</v>
      </c>
      <c r="B966" s="5" t="s">
        <v>113</v>
      </c>
      <c r="C966" s="5">
        <v>6</v>
      </c>
      <c r="D966" s="5" t="s">
        <v>90</v>
      </c>
      <c r="E966" s="5">
        <v>2021</v>
      </c>
      <c r="F966" s="5">
        <v>3</v>
      </c>
      <c r="G966" s="5" t="s">
        <v>24</v>
      </c>
      <c r="H966" s="5">
        <v>753345</v>
      </c>
      <c r="I966" s="5">
        <v>663918.13</v>
      </c>
      <c r="J966" s="5">
        <v>9</v>
      </c>
      <c r="K966" s="5">
        <v>110023</v>
      </c>
      <c r="L966" s="5">
        <v>861460</v>
      </c>
      <c r="M966" s="5">
        <v>89426.87</v>
      </c>
      <c r="N966" s="5">
        <v>0.1187</v>
      </c>
      <c r="O966" s="5">
        <v>0</v>
      </c>
      <c r="P966" s="5">
        <v>0</v>
      </c>
    </row>
    <row r="967" spans="1:16" x14ac:dyDescent="0.3">
      <c r="A967" s="5">
        <v>93</v>
      </c>
      <c r="B967" s="5" t="s">
        <v>113</v>
      </c>
      <c r="C967" s="5">
        <v>6</v>
      </c>
      <c r="D967" s="5" t="s">
        <v>90</v>
      </c>
      <c r="E967" s="5">
        <v>2021</v>
      </c>
      <c r="F967" s="5">
        <v>4</v>
      </c>
      <c r="G967" s="5" t="s">
        <v>25</v>
      </c>
      <c r="H967" s="5">
        <v>762986</v>
      </c>
      <c r="I967" s="5">
        <v>692782.24</v>
      </c>
      <c r="J967" s="5">
        <v>14</v>
      </c>
      <c r="K967" s="5">
        <v>116409</v>
      </c>
      <c r="L967" s="5">
        <v>879030</v>
      </c>
      <c r="M967" s="5">
        <v>70203.759999999995</v>
      </c>
      <c r="N967" s="5">
        <v>9.1999999999999998E-2</v>
      </c>
      <c r="O967" s="5">
        <v>0</v>
      </c>
      <c r="P967" s="5">
        <v>0</v>
      </c>
    </row>
    <row r="968" spans="1:16" x14ac:dyDescent="0.3">
      <c r="A968" s="5">
        <v>93</v>
      </c>
      <c r="B968" s="5" t="s">
        <v>113</v>
      </c>
      <c r="C968" s="5">
        <v>6</v>
      </c>
      <c r="D968" s="5" t="s">
        <v>90</v>
      </c>
      <c r="E968" s="5">
        <v>2021</v>
      </c>
      <c r="F968" s="5">
        <v>5</v>
      </c>
      <c r="G968" s="5" t="s">
        <v>26</v>
      </c>
      <c r="H968" s="5">
        <v>605532</v>
      </c>
      <c r="I968" s="5">
        <v>555252.42000000004</v>
      </c>
      <c r="J968" s="5">
        <v>11</v>
      </c>
      <c r="K968" s="5">
        <v>127146</v>
      </c>
      <c r="L968" s="5">
        <v>730190</v>
      </c>
      <c r="M968" s="5">
        <v>50279.58</v>
      </c>
      <c r="N968" s="5">
        <v>8.3000000000000004E-2</v>
      </c>
      <c r="O968" s="5">
        <v>1</v>
      </c>
      <c r="P968" s="5">
        <v>18346</v>
      </c>
    </row>
    <row r="969" spans="1:16" x14ac:dyDescent="0.3">
      <c r="A969" s="5">
        <v>93</v>
      </c>
      <c r="B969" s="5" t="s">
        <v>113</v>
      </c>
      <c r="C969" s="5">
        <v>6</v>
      </c>
      <c r="D969" s="5" t="s">
        <v>90</v>
      </c>
      <c r="E969" s="5">
        <v>2021</v>
      </c>
      <c r="F969" s="5">
        <v>6</v>
      </c>
      <c r="G969" s="5" t="s">
        <v>27</v>
      </c>
      <c r="H969" s="5">
        <v>624251</v>
      </c>
      <c r="I969" s="5">
        <v>569035.74</v>
      </c>
      <c r="J969" s="5">
        <v>7</v>
      </c>
      <c r="K969" s="5">
        <v>83654</v>
      </c>
      <c r="L969" s="5">
        <v>707020</v>
      </c>
      <c r="M969" s="5">
        <v>55215.26</v>
      </c>
      <c r="N969" s="5">
        <v>8.8499999999999995E-2</v>
      </c>
      <c r="O969" s="5">
        <v>0</v>
      </c>
      <c r="P969" s="5">
        <v>0</v>
      </c>
    </row>
    <row r="970" spans="1:16" x14ac:dyDescent="0.3">
      <c r="A970" s="5">
        <v>93</v>
      </c>
      <c r="B970" s="5" t="s">
        <v>113</v>
      </c>
      <c r="C970" s="5">
        <v>6</v>
      </c>
      <c r="D970" s="5" t="s">
        <v>90</v>
      </c>
      <c r="E970" s="5">
        <v>2021</v>
      </c>
      <c r="F970" s="5">
        <v>7</v>
      </c>
      <c r="G970" s="5" t="s">
        <v>28</v>
      </c>
      <c r="H970" s="5">
        <v>1056041</v>
      </c>
      <c r="I970" s="5">
        <v>925590.59</v>
      </c>
      <c r="J970" s="5">
        <v>12</v>
      </c>
      <c r="K970" s="5">
        <v>123317</v>
      </c>
      <c r="L970" s="5">
        <v>1178040</v>
      </c>
      <c r="M970" s="5">
        <v>130450.41</v>
      </c>
      <c r="N970" s="5">
        <v>0.1235</v>
      </c>
      <c r="O970" s="5">
        <v>0</v>
      </c>
      <c r="P970" s="5">
        <v>0</v>
      </c>
    </row>
    <row r="971" spans="1:16" x14ac:dyDescent="0.3">
      <c r="A971" s="5">
        <v>93</v>
      </c>
      <c r="B971" s="5" t="s">
        <v>113</v>
      </c>
      <c r="C971" s="5">
        <v>6</v>
      </c>
      <c r="D971" s="5" t="s">
        <v>90</v>
      </c>
      <c r="E971" s="5">
        <v>2021</v>
      </c>
      <c r="F971" s="5">
        <v>8</v>
      </c>
      <c r="G971" s="5" t="s">
        <v>29</v>
      </c>
      <c r="H971" s="5">
        <v>710178</v>
      </c>
      <c r="I971" s="5">
        <v>577769.68000000005</v>
      </c>
      <c r="J971" s="5">
        <v>14</v>
      </c>
      <c r="K971" s="5">
        <v>59713</v>
      </c>
      <c r="L971" s="5">
        <v>767820</v>
      </c>
      <c r="M971" s="5">
        <v>132408.32000000001</v>
      </c>
      <c r="N971" s="5">
        <v>0.18640000000000001</v>
      </c>
      <c r="O971" s="5">
        <v>1</v>
      </c>
      <c r="P971" s="5">
        <v>27646</v>
      </c>
    </row>
    <row r="972" spans="1:16" x14ac:dyDescent="0.3">
      <c r="A972" s="5">
        <v>93</v>
      </c>
      <c r="B972" s="5" t="s">
        <v>113</v>
      </c>
      <c r="C972" s="5">
        <v>6</v>
      </c>
      <c r="D972" s="5" t="s">
        <v>90</v>
      </c>
      <c r="E972" s="5">
        <v>2021</v>
      </c>
      <c r="F972" s="5">
        <v>9</v>
      </c>
      <c r="G972" s="5" t="s">
        <v>30</v>
      </c>
      <c r="H972" s="5">
        <v>1149301</v>
      </c>
      <c r="I972" s="5">
        <v>966924.11</v>
      </c>
      <c r="J972" s="5">
        <v>22</v>
      </c>
      <c r="K972" s="5">
        <v>119494</v>
      </c>
      <c r="L972" s="5">
        <v>1260820</v>
      </c>
      <c r="M972" s="5">
        <v>182376.89</v>
      </c>
      <c r="N972" s="5">
        <v>0.15870000000000001</v>
      </c>
      <c r="O972" s="5">
        <v>3</v>
      </c>
      <c r="P972" s="5">
        <v>10930</v>
      </c>
    </row>
    <row r="973" spans="1:16" x14ac:dyDescent="0.3">
      <c r="A973" s="5">
        <v>93</v>
      </c>
      <c r="B973" s="5" t="s">
        <v>113</v>
      </c>
      <c r="C973" s="5">
        <v>6</v>
      </c>
      <c r="D973" s="5" t="s">
        <v>90</v>
      </c>
      <c r="E973" s="5">
        <v>2021</v>
      </c>
      <c r="F973" s="5">
        <v>10</v>
      </c>
      <c r="G973" s="5" t="s">
        <v>31</v>
      </c>
      <c r="H973" s="5">
        <v>923268</v>
      </c>
      <c r="I973" s="5">
        <v>775136.16</v>
      </c>
      <c r="J973" s="5">
        <v>20</v>
      </c>
      <c r="K973" s="5">
        <v>99204</v>
      </c>
      <c r="L973" s="5">
        <v>1022120</v>
      </c>
      <c r="M973" s="5">
        <v>148131.84</v>
      </c>
      <c r="N973" s="5">
        <v>0.16039999999999999</v>
      </c>
      <c r="O973" s="5">
        <v>2</v>
      </c>
      <c r="P973" s="5">
        <v>37814</v>
      </c>
    </row>
    <row r="974" spans="1:16" x14ac:dyDescent="0.3">
      <c r="A974" s="5">
        <v>93</v>
      </c>
      <c r="B974" s="5" t="s">
        <v>113</v>
      </c>
      <c r="C974" s="5">
        <v>6</v>
      </c>
      <c r="D974" s="5" t="s">
        <v>90</v>
      </c>
      <c r="E974" s="5">
        <v>2021</v>
      </c>
      <c r="F974" s="5">
        <v>11</v>
      </c>
      <c r="G974" s="5" t="s">
        <v>32</v>
      </c>
      <c r="H974" s="5">
        <v>893199</v>
      </c>
      <c r="I974" s="5">
        <v>697223.88</v>
      </c>
      <c r="J974" s="5">
        <v>17</v>
      </c>
      <c r="K974" s="5">
        <v>30905</v>
      </c>
      <c r="L974" s="5">
        <v>913540</v>
      </c>
      <c r="M974" s="5">
        <v>195975.12</v>
      </c>
      <c r="N974" s="5">
        <v>0.21940000000000001</v>
      </c>
      <c r="O974" s="5">
        <v>0</v>
      </c>
      <c r="P974" s="5">
        <v>0</v>
      </c>
    </row>
    <row r="975" spans="1:16" x14ac:dyDescent="0.3">
      <c r="A975" s="5">
        <v>93</v>
      </c>
      <c r="B975" s="5" t="s">
        <v>113</v>
      </c>
      <c r="C975" s="5">
        <v>6</v>
      </c>
      <c r="D975" s="5" t="s">
        <v>90</v>
      </c>
      <c r="E975" s="5">
        <v>2021</v>
      </c>
      <c r="F975" s="5">
        <v>12</v>
      </c>
      <c r="G975" s="5" t="s">
        <v>33</v>
      </c>
      <c r="H975" s="5">
        <v>538502</v>
      </c>
      <c r="I975" s="5">
        <v>437612.06</v>
      </c>
      <c r="J975" s="5">
        <v>7</v>
      </c>
      <c r="K975" s="5">
        <v>20111</v>
      </c>
      <c r="L975" s="5">
        <v>557180</v>
      </c>
      <c r="M975" s="5">
        <v>100889.94</v>
      </c>
      <c r="N975" s="5">
        <v>0.18740000000000001</v>
      </c>
      <c r="O975" s="5">
        <v>0</v>
      </c>
      <c r="P975" s="5">
        <v>0</v>
      </c>
    </row>
    <row r="976" spans="1:16" x14ac:dyDescent="0.3">
      <c r="A976" s="5">
        <v>93</v>
      </c>
      <c r="B976" s="5" t="s">
        <v>113</v>
      </c>
      <c r="C976" s="5">
        <v>6</v>
      </c>
      <c r="D976" s="5" t="s">
        <v>90</v>
      </c>
      <c r="E976" s="5">
        <v>2022</v>
      </c>
      <c r="F976" s="5">
        <v>1</v>
      </c>
      <c r="G976" s="5" t="s">
        <v>34</v>
      </c>
      <c r="H976" s="5">
        <v>679463</v>
      </c>
      <c r="I976" s="5">
        <v>578655.67000000004</v>
      </c>
      <c r="J976" s="5">
        <v>15</v>
      </c>
      <c r="K976" s="5">
        <v>82121</v>
      </c>
      <c r="L976" s="5">
        <v>761340</v>
      </c>
      <c r="M976" s="5">
        <v>100807.33</v>
      </c>
      <c r="N976" s="5">
        <v>0.1484</v>
      </c>
      <c r="O976" s="5">
        <v>1</v>
      </c>
      <c r="P976" s="5">
        <v>6146</v>
      </c>
    </row>
    <row r="977" spans="1:16" x14ac:dyDescent="0.3">
      <c r="A977" s="5">
        <v>93</v>
      </c>
      <c r="B977" s="5" t="s">
        <v>113</v>
      </c>
      <c r="C977" s="5">
        <v>6</v>
      </c>
      <c r="D977" s="5" t="s">
        <v>90</v>
      </c>
      <c r="E977" s="5">
        <v>2022</v>
      </c>
      <c r="F977" s="5">
        <v>2</v>
      </c>
      <c r="G977" s="5" t="s">
        <v>35</v>
      </c>
      <c r="H977" s="5">
        <v>1757403</v>
      </c>
      <c r="I977" s="5">
        <v>1412972.71</v>
      </c>
      <c r="J977" s="5">
        <v>16</v>
      </c>
      <c r="K977" s="5">
        <v>32967</v>
      </c>
      <c r="L977" s="5">
        <v>1777490</v>
      </c>
      <c r="M977" s="5">
        <v>344430.29</v>
      </c>
      <c r="N977" s="5">
        <v>0.19600000000000001</v>
      </c>
      <c r="O977" s="5">
        <v>1</v>
      </c>
      <c r="P977" s="5">
        <v>100789</v>
      </c>
    </row>
    <row r="978" spans="1:16" x14ac:dyDescent="0.3">
      <c r="A978" s="5">
        <v>93</v>
      </c>
      <c r="B978" s="5" t="s">
        <v>113</v>
      </c>
      <c r="C978" s="5">
        <v>6</v>
      </c>
      <c r="D978" s="5" t="s">
        <v>90</v>
      </c>
      <c r="E978" s="5">
        <v>2022</v>
      </c>
      <c r="F978" s="5">
        <v>3</v>
      </c>
      <c r="G978" s="5" t="s">
        <v>36</v>
      </c>
      <c r="H978" s="5">
        <v>1664171</v>
      </c>
      <c r="I978" s="5">
        <v>1459372.13</v>
      </c>
      <c r="J978" s="5">
        <v>22</v>
      </c>
      <c r="K978" s="5">
        <v>168897</v>
      </c>
      <c r="L978" s="5">
        <v>1827230</v>
      </c>
      <c r="M978" s="5">
        <v>204798.87</v>
      </c>
      <c r="N978" s="5">
        <v>0.1231</v>
      </c>
      <c r="O978" s="5">
        <v>1</v>
      </c>
      <c r="P978" s="5">
        <v>16638</v>
      </c>
    </row>
    <row r="979" spans="1:16" x14ac:dyDescent="0.3">
      <c r="A979" s="5">
        <v>93</v>
      </c>
      <c r="B979" s="5" t="s">
        <v>113</v>
      </c>
      <c r="C979" s="5">
        <v>6</v>
      </c>
      <c r="D979" s="5" t="s">
        <v>90</v>
      </c>
      <c r="E979" s="5">
        <v>2022</v>
      </c>
      <c r="F979" s="5">
        <v>4</v>
      </c>
      <c r="G979" s="5" t="s">
        <v>37</v>
      </c>
      <c r="H979" s="5">
        <v>1124287</v>
      </c>
      <c r="I979" s="5">
        <v>1021666.27</v>
      </c>
      <c r="J979" s="5">
        <v>22</v>
      </c>
      <c r="K979" s="5">
        <v>210183</v>
      </c>
      <c r="L979" s="5">
        <v>1331460</v>
      </c>
      <c r="M979" s="5">
        <v>102620.73</v>
      </c>
      <c r="N979" s="5">
        <v>9.1300000000000006E-2</v>
      </c>
      <c r="O979" s="5">
        <v>0</v>
      </c>
      <c r="P979" s="5">
        <v>0</v>
      </c>
    </row>
    <row r="980" spans="1:16" x14ac:dyDescent="0.3">
      <c r="A980" s="5">
        <v>93</v>
      </c>
      <c r="B980" s="5" t="s">
        <v>113</v>
      </c>
      <c r="C980" s="5">
        <v>6</v>
      </c>
      <c r="D980" s="5" t="s">
        <v>90</v>
      </c>
      <c r="E980" s="5">
        <v>2022</v>
      </c>
      <c r="F980" s="5">
        <v>5</v>
      </c>
      <c r="G980" s="5" t="s">
        <v>38</v>
      </c>
      <c r="H980" s="5">
        <v>1648258</v>
      </c>
      <c r="I980" s="5">
        <v>1470820.37</v>
      </c>
      <c r="J980" s="5">
        <v>23</v>
      </c>
      <c r="K980" s="5">
        <v>250478</v>
      </c>
      <c r="L980" s="5">
        <v>1894970</v>
      </c>
      <c r="M980" s="5">
        <v>177437.63</v>
      </c>
      <c r="N980" s="5">
        <v>0.1077</v>
      </c>
      <c r="O980" s="5">
        <v>1</v>
      </c>
      <c r="P980" s="5">
        <v>17244</v>
      </c>
    </row>
    <row r="981" spans="1:16" x14ac:dyDescent="0.3">
      <c r="A981" s="5">
        <v>93</v>
      </c>
      <c r="B981" s="5" t="s">
        <v>113</v>
      </c>
      <c r="C981" s="5">
        <v>6</v>
      </c>
      <c r="D981" s="5" t="s">
        <v>90</v>
      </c>
      <c r="E981" s="5">
        <v>2022</v>
      </c>
      <c r="F981" s="5">
        <v>6</v>
      </c>
      <c r="G981" s="5" t="s">
        <v>39</v>
      </c>
      <c r="H981" s="5">
        <v>1081469</v>
      </c>
      <c r="I981" s="5">
        <v>1024521.44</v>
      </c>
      <c r="J981" s="5">
        <v>15</v>
      </c>
      <c r="K981" s="5">
        <v>223501</v>
      </c>
      <c r="L981" s="5">
        <v>1304970</v>
      </c>
      <c r="M981" s="5">
        <v>56947.56</v>
      </c>
      <c r="N981" s="5">
        <v>5.2699999999999997E-2</v>
      </c>
      <c r="O981" s="5">
        <v>3</v>
      </c>
      <c r="P981" s="5">
        <v>9289</v>
      </c>
    </row>
    <row r="982" spans="1:16" x14ac:dyDescent="0.3">
      <c r="A982" s="5">
        <v>93</v>
      </c>
      <c r="B982" s="5" t="s">
        <v>113</v>
      </c>
      <c r="C982" s="5">
        <v>6</v>
      </c>
      <c r="D982" s="5" t="s">
        <v>90</v>
      </c>
      <c r="E982" s="5">
        <v>2022</v>
      </c>
      <c r="F982" s="5">
        <v>7</v>
      </c>
      <c r="G982" s="5" t="s">
        <v>40</v>
      </c>
      <c r="H982" s="5">
        <v>1371602</v>
      </c>
      <c r="I982" s="5">
        <v>1140161.73</v>
      </c>
      <c r="J982" s="5">
        <v>20</v>
      </c>
      <c r="K982" s="5">
        <v>108781</v>
      </c>
      <c r="L982" s="5">
        <v>1474390</v>
      </c>
      <c r="M982" s="5">
        <v>231440.27</v>
      </c>
      <c r="N982" s="5">
        <v>0.16869999999999999</v>
      </c>
      <c r="O982" s="5">
        <v>4</v>
      </c>
      <c r="P982" s="5">
        <v>24976</v>
      </c>
    </row>
    <row r="983" spans="1:16" x14ac:dyDescent="0.3">
      <c r="A983" s="5">
        <v>93</v>
      </c>
      <c r="B983" s="5" t="s">
        <v>113</v>
      </c>
      <c r="C983" s="5">
        <v>6</v>
      </c>
      <c r="D983" s="5" t="s">
        <v>90</v>
      </c>
      <c r="E983" s="5">
        <v>2022</v>
      </c>
      <c r="F983" s="5">
        <v>8</v>
      </c>
      <c r="G983" s="5" t="s">
        <v>41</v>
      </c>
      <c r="H983" s="5">
        <v>1491497</v>
      </c>
      <c r="I983" s="5">
        <v>1323791.46</v>
      </c>
      <c r="J983" s="5">
        <v>20</v>
      </c>
      <c r="K983" s="5">
        <v>184473</v>
      </c>
      <c r="L983" s="5">
        <v>1673630</v>
      </c>
      <c r="M983" s="5">
        <v>167705.54</v>
      </c>
      <c r="N983" s="5">
        <v>0.1124</v>
      </c>
      <c r="O983" s="5">
        <v>2</v>
      </c>
      <c r="P983" s="5">
        <v>28386</v>
      </c>
    </row>
    <row r="984" spans="1:16" x14ac:dyDescent="0.3">
      <c r="A984" s="5">
        <v>93</v>
      </c>
      <c r="B984" s="5" t="s">
        <v>113</v>
      </c>
      <c r="C984" s="5">
        <v>6</v>
      </c>
      <c r="D984" s="5" t="s">
        <v>90</v>
      </c>
      <c r="E984" s="5">
        <v>2022</v>
      </c>
      <c r="F984" s="5">
        <v>9</v>
      </c>
      <c r="G984" s="5" t="s">
        <v>42</v>
      </c>
      <c r="H984" s="5">
        <v>974498</v>
      </c>
      <c r="I984" s="5">
        <v>891160.18</v>
      </c>
      <c r="J984" s="5">
        <v>17</v>
      </c>
      <c r="K984" s="5">
        <v>154889</v>
      </c>
      <c r="L984" s="5">
        <v>1128560</v>
      </c>
      <c r="M984" s="5">
        <v>83337.820000000007</v>
      </c>
      <c r="N984" s="5">
        <v>8.5500000000000007E-2</v>
      </c>
      <c r="O984" s="5">
        <v>2</v>
      </c>
      <c r="P984" s="5">
        <v>107422</v>
      </c>
    </row>
    <row r="985" spans="1:16" x14ac:dyDescent="0.3">
      <c r="A985" s="5">
        <v>93</v>
      </c>
      <c r="B985" s="5" t="s">
        <v>113</v>
      </c>
      <c r="C985" s="5">
        <v>6</v>
      </c>
      <c r="D985" s="5" t="s">
        <v>90</v>
      </c>
      <c r="E985" s="5">
        <v>2022</v>
      </c>
      <c r="F985" s="5">
        <v>10</v>
      </c>
      <c r="G985" s="5" t="s">
        <v>43</v>
      </c>
      <c r="H985" s="5">
        <v>1037152</v>
      </c>
      <c r="I985" s="5">
        <v>893244.61</v>
      </c>
      <c r="J985" s="5">
        <v>22</v>
      </c>
      <c r="K985" s="5">
        <v>119592</v>
      </c>
      <c r="L985" s="5">
        <v>1153640</v>
      </c>
      <c r="M985" s="5">
        <v>143907.39000000001</v>
      </c>
      <c r="N985" s="5">
        <v>0.13880000000000001</v>
      </c>
      <c r="O985" s="5">
        <v>0</v>
      </c>
      <c r="P985" s="5">
        <v>0</v>
      </c>
    </row>
    <row r="986" spans="1:16" x14ac:dyDescent="0.3">
      <c r="A986" s="5">
        <v>93</v>
      </c>
      <c r="B986" s="5" t="s">
        <v>113</v>
      </c>
      <c r="C986" s="5">
        <v>6</v>
      </c>
      <c r="D986" s="5" t="s">
        <v>90</v>
      </c>
      <c r="E986" s="5">
        <v>2022</v>
      </c>
      <c r="F986" s="5">
        <v>11</v>
      </c>
      <c r="G986" s="5" t="s">
        <v>44</v>
      </c>
      <c r="H986" s="5">
        <v>1349463</v>
      </c>
      <c r="I986" s="5">
        <v>1143676.9099999999</v>
      </c>
      <c r="J986" s="5">
        <v>23</v>
      </c>
      <c r="K986" s="5">
        <v>143245</v>
      </c>
      <c r="L986" s="5">
        <v>1489850</v>
      </c>
      <c r="M986" s="5">
        <v>205786.09</v>
      </c>
      <c r="N986" s="5">
        <v>0.1525</v>
      </c>
      <c r="O986" s="5">
        <v>3</v>
      </c>
      <c r="P986" s="5">
        <v>37204</v>
      </c>
    </row>
    <row r="987" spans="1:16" x14ac:dyDescent="0.3">
      <c r="A987" s="5">
        <v>93</v>
      </c>
      <c r="B987" s="5" t="s">
        <v>113</v>
      </c>
      <c r="C987" s="5">
        <v>6</v>
      </c>
      <c r="D987" s="5" t="s">
        <v>90</v>
      </c>
      <c r="E987" s="5">
        <v>2022</v>
      </c>
      <c r="F987" s="5">
        <v>12</v>
      </c>
      <c r="G987" s="5" t="s">
        <v>45</v>
      </c>
      <c r="H987" s="5">
        <v>1687818</v>
      </c>
      <c r="I987" s="5">
        <v>1450756.83</v>
      </c>
      <c r="J987" s="5">
        <v>18</v>
      </c>
      <c r="K987" s="5">
        <v>142778</v>
      </c>
      <c r="L987" s="5">
        <v>1828770</v>
      </c>
      <c r="M987" s="5">
        <v>237061.17</v>
      </c>
      <c r="N987" s="5">
        <v>0.14050000000000001</v>
      </c>
      <c r="O987" s="5">
        <v>1</v>
      </c>
      <c r="P987" s="5">
        <v>58304</v>
      </c>
    </row>
    <row r="988" spans="1:16" x14ac:dyDescent="0.3">
      <c r="A988" s="5">
        <v>93</v>
      </c>
      <c r="B988" s="5" t="s">
        <v>113</v>
      </c>
      <c r="C988" s="5">
        <v>6</v>
      </c>
      <c r="D988" s="5" t="s">
        <v>90</v>
      </c>
      <c r="E988" s="5">
        <v>2023</v>
      </c>
      <c r="F988" s="5">
        <v>1</v>
      </c>
      <c r="G988" s="5" t="s">
        <v>46</v>
      </c>
      <c r="H988" s="5">
        <v>1727627</v>
      </c>
      <c r="I988" s="5">
        <v>1558950.62</v>
      </c>
      <c r="J988" s="5">
        <v>21</v>
      </c>
      <c r="K988" s="5">
        <v>299332</v>
      </c>
      <c r="L988" s="5">
        <v>2022550</v>
      </c>
      <c r="M988" s="5">
        <v>168676.38</v>
      </c>
      <c r="N988" s="5">
        <v>9.7600000000000006E-2</v>
      </c>
      <c r="O988" s="5">
        <v>2</v>
      </c>
      <c r="P988" s="5">
        <v>6341</v>
      </c>
    </row>
    <row r="989" spans="1:16" x14ac:dyDescent="0.3">
      <c r="A989" s="5">
        <v>93</v>
      </c>
      <c r="B989" s="5" t="s">
        <v>113</v>
      </c>
      <c r="C989" s="5">
        <v>6</v>
      </c>
      <c r="D989" s="5" t="s">
        <v>90</v>
      </c>
      <c r="E989" s="5">
        <v>2023</v>
      </c>
      <c r="F989" s="5">
        <v>2</v>
      </c>
      <c r="G989" s="5" t="s">
        <v>47</v>
      </c>
      <c r="H989" s="5">
        <v>1837044</v>
      </c>
      <c r="I989" s="5">
        <v>1623806.3</v>
      </c>
      <c r="J989" s="5">
        <v>25</v>
      </c>
      <c r="K989" s="5">
        <v>217463</v>
      </c>
      <c r="L989" s="5">
        <v>2049940</v>
      </c>
      <c r="M989" s="5">
        <v>213237.7</v>
      </c>
      <c r="N989" s="5">
        <v>0.11609999999999999</v>
      </c>
      <c r="O989" s="5">
        <v>0</v>
      </c>
      <c r="P989" s="5">
        <v>0</v>
      </c>
    </row>
    <row r="990" spans="1:16" x14ac:dyDescent="0.3">
      <c r="A990" s="5">
        <v>93</v>
      </c>
      <c r="B990" s="5" t="s">
        <v>113</v>
      </c>
      <c r="C990" s="5">
        <v>6</v>
      </c>
      <c r="D990" s="5" t="s">
        <v>90</v>
      </c>
      <c r="E990" s="5">
        <v>2023</v>
      </c>
      <c r="F990" s="5">
        <v>3</v>
      </c>
      <c r="G990" s="5" t="s">
        <v>48</v>
      </c>
      <c r="H990" s="5">
        <v>1363074</v>
      </c>
      <c r="I990" s="5">
        <v>1275617.75</v>
      </c>
      <c r="J990" s="5">
        <v>25</v>
      </c>
      <c r="K990" s="5">
        <v>219130</v>
      </c>
      <c r="L990" s="5">
        <v>1580340</v>
      </c>
      <c r="M990" s="5">
        <v>87456.25</v>
      </c>
      <c r="N990" s="5">
        <v>6.4199999999999993E-2</v>
      </c>
      <c r="O990" s="5">
        <v>1</v>
      </c>
      <c r="P990" s="5">
        <v>41770</v>
      </c>
    </row>
    <row r="991" spans="1:16" x14ac:dyDescent="0.3">
      <c r="A991" s="5">
        <v>93</v>
      </c>
      <c r="B991" s="5" t="s">
        <v>113</v>
      </c>
      <c r="C991" s="5">
        <v>6</v>
      </c>
      <c r="D991" s="5" t="s">
        <v>90</v>
      </c>
      <c r="E991" s="5">
        <v>2023</v>
      </c>
      <c r="F991" s="5">
        <v>4</v>
      </c>
      <c r="G991" s="5" t="s">
        <v>49</v>
      </c>
      <c r="H991" s="5">
        <v>1295364</v>
      </c>
      <c r="I991" s="5">
        <v>1080932.26</v>
      </c>
      <c r="J991" s="5">
        <v>18</v>
      </c>
      <c r="K991" s="5">
        <v>125509</v>
      </c>
      <c r="L991" s="5">
        <v>1408940</v>
      </c>
      <c r="M991" s="5">
        <v>214431.74</v>
      </c>
      <c r="N991" s="5">
        <v>0.16550000000000001</v>
      </c>
      <c r="O991" s="5">
        <v>0</v>
      </c>
      <c r="P991" s="5">
        <v>0</v>
      </c>
    </row>
    <row r="992" spans="1:16" x14ac:dyDescent="0.3">
      <c r="A992" s="5">
        <v>93</v>
      </c>
      <c r="B992" s="5" t="s">
        <v>113</v>
      </c>
      <c r="C992" s="5">
        <v>6</v>
      </c>
      <c r="D992" s="5" t="s">
        <v>90</v>
      </c>
      <c r="E992" s="5">
        <v>2023</v>
      </c>
      <c r="F992" s="5">
        <v>5</v>
      </c>
      <c r="G992" s="5" t="s">
        <v>50</v>
      </c>
      <c r="H992" s="5">
        <v>1339018</v>
      </c>
      <c r="I992" s="5">
        <v>1133923.47</v>
      </c>
      <c r="J992" s="5">
        <v>24</v>
      </c>
      <c r="K992" s="5">
        <v>134033</v>
      </c>
      <c r="L992" s="5">
        <v>1470560</v>
      </c>
      <c r="M992" s="5">
        <v>205094.53</v>
      </c>
      <c r="N992" s="5">
        <v>0.1532</v>
      </c>
      <c r="O992" s="5">
        <v>3</v>
      </c>
      <c r="P992" s="5">
        <v>62145</v>
      </c>
    </row>
    <row r="993" spans="1:16" x14ac:dyDescent="0.3">
      <c r="A993" s="5">
        <v>93</v>
      </c>
      <c r="B993" s="5" t="s">
        <v>113</v>
      </c>
      <c r="C993" s="5">
        <v>6</v>
      </c>
      <c r="D993" s="5" t="s">
        <v>90</v>
      </c>
      <c r="E993" s="5">
        <v>2023</v>
      </c>
      <c r="F993" s="5">
        <v>6</v>
      </c>
      <c r="G993" s="5" t="s">
        <v>51</v>
      </c>
      <c r="H993" s="5">
        <v>1791716</v>
      </c>
      <c r="I993" s="5">
        <v>1587910.52</v>
      </c>
      <c r="J993" s="5">
        <v>24</v>
      </c>
      <c r="K993" s="5">
        <v>243833</v>
      </c>
      <c r="L993" s="5">
        <v>2034380</v>
      </c>
      <c r="M993" s="5">
        <v>203805.48</v>
      </c>
      <c r="N993" s="5">
        <v>0.1137</v>
      </c>
      <c r="O993" s="5">
        <v>6</v>
      </c>
      <c r="P993" s="5">
        <v>51666</v>
      </c>
    </row>
    <row r="994" spans="1:16" x14ac:dyDescent="0.3">
      <c r="A994" s="5">
        <v>93</v>
      </c>
      <c r="B994" s="5" t="s">
        <v>113</v>
      </c>
      <c r="C994" s="5">
        <v>6</v>
      </c>
      <c r="D994" s="5" t="s">
        <v>90</v>
      </c>
      <c r="E994" s="5">
        <v>2023</v>
      </c>
      <c r="F994" s="5">
        <v>7</v>
      </c>
      <c r="G994" s="5" t="s">
        <v>52</v>
      </c>
      <c r="H994" s="5">
        <v>1838366</v>
      </c>
      <c r="I994" s="5">
        <v>1735213.67</v>
      </c>
      <c r="J994" s="5">
        <v>27</v>
      </c>
      <c r="K994" s="5">
        <v>354525</v>
      </c>
      <c r="L994" s="5">
        <v>2187180</v>
      </c>
      <c r="M994" s="5">
        <v>103152.33</v>
      </c>
      <c r="N994" s="5">
        <v>5.6099999999999997E-2</v>
      </c>
      <c r="O994" s="5">
        <v>1</v>
      </c>
      <c r="P994" s="5">
        <v>1051</v>
      </c>
    </row>
    <row r="995" spans="1:16" x14ac:dyDescent="0.3">
      <c r="A995" s="5">
        <v>93</v>
      </c>
      <c r="B995" s="5" t="s">
        <v>113</v>
      </c>
      <c r="C995" s="5">
        <v>6</v>
      </c>
      <c r="D995" s="5" t="s">
        <v>90</v>
      </c>
      <c r="E995" s="5">
        <v>2023</v>
      </c>
      <c r="F995" s="5">
        <v>8</v>
      </c>
      <c r="G995" s="5" t="s">
        <v>53</v>
      </c>
      <c r="H995" s="5">
        <v>1648675</v>
      </c>
      <c r="I995" s="5">
        <v>1584103.27</v>
      </c>
      <c r="J995" s="5">
        <v>27</v>
      </c>
      <c r="K995" s="5">
        <v>408934</v>
      </c>
      <c r="L995" s="5">
        <v>2055570</v>
      </c>
      <c r="M995" s="5">
        <v>64571.73</v>
      </c>
      <c r="N995" s="5">
        <v>3.9199999999999999E-2</v>
      </c>
      <c r="O995" s="5">
        <v>3</v>
      </c>
      <c r="P995" s="5">
        <v>123214</v>
      </c>
    </row>
    <row r="996" spans="1:16" x14ac:dyDescent="0.3">
      <c r="A996" s="5">
        <v>93</v>
      </c>
      <c r="B996" s="5" t="s">
        <v>113</v>
      </c>
      <c r="C996" s="5">
        <v>6</v>
      </c>
      <c r="D996" s="5" t="s">
        <v>90</v>
      </c>
      <c r="E996" s="5">
        <v>2023</v>
      </c>
      <c r="F996" s="5">
        <v>9</v>
      </c>
      <c r="G996" s="5" t="s">
        <v>54</v>
      </c>
      <c r="H996" s="5">
        <v>1229148</v>
      </c>
      <c r="I996" s="5">
        <v>1068163.92</v>
      </c>
      <c r="J996" s="5">
        <v>17</v>
      </c>
      <c r="K996" s="5">
        <v>133173</v>
      </c>
      <c r="L996" s="5">
        <v>1359290</v>
      </c>
      <c r="M996" s="5">
        <v>160984.07999999999</v>
      </c>
      <c r="N996" s="5">
        <v>0.13100000000000001</v>
      </c>
      <c r="O996" s="5">
        <v>2</v>
      </c>
      <c r="P996" s="5">
        <v>16838</v>
      </c>
    </row>
    <row r="997" spans="1:16" x14ac:dyDescent="0.3">
      <c r="A997" s="5">
        <v>93</v>
      </c>
      <c r="B997" s="5" t="s">
        <v>113</v>
      </c>
      <c r="C997" s="5">
        <v>6</v>
      </c>
      <c r="D997" s="5" t="s">
        <v>90</v>
      </c>
      <c r="E997" s="5">
        <v>2023</v>
      </c>
      <c r="F997" s="5">
        <v>10</v>
      </c>
      <c r="G997" s="5" t="s">
        <v>55</v>
      </c>
      <c r="H997" s="5">
        <v>2720705</v>
      </c>
      <c r="I997" s="5">
        <v>2339654.62</v>
      </c>
      <c r="J997" s="5">
        <v>43</v>
      </c>
      <c r="K997" s="5">
        <v>244530</v>
      </c>
      <c r="L997" s="5">
        <v>2947320</v>
      </c>
      <c r="M997" s="5">
        <v>381050.38</v>
      </c>
      <c r="N997" s="5">
        <v>0.1401</v>
      </c>
      <c r="O997" s="5">
        <v>4</v>
      </c>
      <c r="P997" s="5">
        <v>27643</v>
      </c>
    </row>
    <row r="998" spans="1:16" x14ac:dyDescent="0.3">
      <c r="A998" s="5">
        <v>93</v>
      </c>
      <c r="B998" s="5" t="s">
        <v>113</v>
      </c>
      <c r="C998" s="5">
        <v>6</v>
      </c>
      <c r="D998" s="5" t="s">
        <v>90</v>
      </c>
      <c r="E998" s="5">
        <v>2023</v>
      </c>
      <c r="F998" s="5">
        <v>11</v>
      </c>
      <c r="G998" s="5" t="s">
        <v>56</v>
      </c>
      <c r="H998" s="5">
        <v>1636248</v>
      </c>
      <c r="I998" s="5">
        <v>1465371.45</v>
      </c>
      <c r="J998" s="5">
        <v>41</v>
      </c>
      <c r="K998" s="5">
        <v>316623</v>
      </c>
      <c r="L998" s="5">
        <v>1946540</v>
      </c>
      <c r="M998" s="5">
        <v>170876.55</v>
      </c>
      <c r="N998" s="5">
        <v>0.10440000000000001</v>
      </c>
      <c r="O998" s="5">
        <v>0</v>
      </c>
      <c r="P998" s="5">
        <v>0</v>
      </c>
    </row>
    <row r="999" spans="1:16" x14ac:dyDescent="0.3">
      <c r="A999" s="5">
        <v>93</v>
      </c>
      <c r="B999" s="5" t="s">
        <v>113</v>
      </c>
      <c r="C999" s="5">
        <v>6</v>
      </c>
      <c r="D999" s="5" t="s">
        <v>90</v>
      </c>
      <c r="E999" s="5">
        <v>2023</v>
      </c>
      <c r="F999" s="5">
        <v>12</v>
      </c>
      <c r="G999" s="5" t="s">
        <v>57</v>
      </c>
      <c r="H999" s="5">
        <v>2579024</v>
      </c>
      <c r="I999" s="5">
        <v>2275311.8199999998</v>
      </c>
      <c r="J999" s="5">
        <v>41</v>
      </c>
      <c r="K999" s="5">
        <v>436906</v>
      </c>
      <c r="L999" s="5">
        <v>3013000</v>
      </c>
      <c r="M999" s="5">
        <v>303712.18</v>
      </c>
      <c r="N999" s="5">
        <v>0.1178</v>
      </c>
      <c r="O999" s="5">
        <v>4</v>
      </c>
      <c r="P999" s="5">
        <v>349588</v>
      </c>
    </row>
    <row r="1000" spans="1:16" x14ac:dyDescent="0.3">
      <c r="A1000" s="5">
        <v>93</v>
      </c>
      <c r="B1000" s="5" t="s">
        <v>113</v>
      </c>
      <c r="C1000" s="5">
        <v>6</v>
      </c>
      <c r="D1000" s="5" t="s">
        <v>90</v>
      </c>
      <c r="E1000" s="5">
        <v>2024</v>
      </c>
      <c r="F1000" s="5">
        <v>1</v>
      </c>
      <c r="G1000" s="5" t="s">
        <v>58</v>
      </c>
      <c r="H1000" s="5">
        <v>1340268</v>
      </c>
      <c r="I1000" s="5">
        <v>1203876.71</v>
      </c>
      <c r="J1000" s="5">
        <v>20</v>
      </c>
      <c r="K1000" s="5">
        <v>190139</v>
      </c>
      <c r="L1000" s="5">
        <v>1526420</v>
      </c>
      <c r="M1000" s="5">
        <v>136391.29</v>
      </c>
      <c r="N1000" s="5">
        <v>0.1018</v>
      </c>
      <c r="O1000" s="5">
        <v>4</v>
      </c>
      <c r="P1000" s="5">
        <v>202479</v>
      </c>
    </row>
    <row r="1001" spans="1:16" x14ac:dyDescent="0.3">
      <c r="A1001" s="5">
        <v>93</v>
      </c>
      <c r="B1001" s="5" t="s">
        <v>113</v>
      </c>
      <c r="C1001" s="5">
        <v>6</v>
      </c>
      <c r="D1001" s="5" t="s">
        <v>90</v>
      </c>
      <c r="E1001" s="5">
        <v>2024</v>
      </c>
      <c r="F1001" s="5">
        <v>2</v>
      </c>
      <c r="G1001" s="5" t="s">
        <v>59</v>
      </c>
      <c r="H1001" s="5">
        <v>1545111</v>
      </c>
      <c r="I1001" s="5">
        <v>1319624.02</v>
      </c>
      <c r="J1001" s="5">
        <v>16</v>
      </c>
      <c r="K1001" s="5">
        <v>119685</v>
      </c>
      <c r="L1001" s="5">
        <v>1658430</v>
      </c>
      <c r="M1001" s="5">
        <v>225486.98</v>
      </c>
      <c r="N1001" s="5">
        <v>0.1459</v>
      </c>
      <c r="O1001" s="5">
        <v>2</v>
      </c>
      <c r="P1001" s="5">
        <v>91728</v>
      </c>
    </row>
    <row r="1002" spans="1:16" x14ac:dyDescent="0.3">
      <c r="A1002" s="5">
        <v>93</v>
      </c>
      <c r="B1002" s="5" t="s">
        <v>113</v>
      </c>
      <c r="C1002" s="5">
        <v>6</v>
      </c>
      <c r="D1002" s="5" t="s">
        <v>90</v>
      </c>
      <c r="E1002" s="5">
        <v>2024</v>
      </c>
      <c r="F1002" s="5">
        <v>3</v>
      </c>
      <c r="G1002" s="5" t="s">
        <v>60</v>
      </c>
      <c r="H1002" s="5">
        <v>1242063</v>
      </c>
      <c r="I1002" s="5">
        <v>1100045.74</v>
      </c>
      <c r="J1002" s="5">
        <v>24</v>
      </c>
      <c r="K1002" s="5">
        <v>282016</v>
      </c>
      <c r="L1002" s="5">
        <v>1519650</v>
      </c>
      <c r="M1002" s="5">
        <v>142017.26</v>
      </c>
      <c r="N1002" s="5">
        <v>0.1143</v>
      </c>
      <c r="O1002" s="5">
        <v>1</v>
      </c>
      <c r="P1002" s="5">
        <v>31312</v>
      </c>
    </row>
    <row r="1003" spans="1:16" x14ac:dyDescent="0.3">
      <c r="A1003" s="5">
        <v>93</v>
      </c>
      <c r="B1003" s="5" t="s">
        <v>113</v>
      </c>
      <c r="C1003" s="5">
        <v>6</v>
      </c>
      <c r="D1003" s="5" t="s">
        <v>90</v>
      </c>
      <c r="E1003" s="5">
        <v>2024</v>
      </c>
      <c r="F1003" s="5">
        <v>4</v>
      </c>
      <c r="G1003" s="5" t="s">
        <v>61</v>
      </c>
      <c r="H1003" s="5">
        <v>1950640</v>
      </c>
      <c r="I1003" s="5">
        <v>1782577.66</v>
      </c>
      <c r="J1003" s="5">
        <v>25</v>
      </c>
      <c r="K1003" s="5">
        <v>267281</v>
      </c>
      <c r="L1003" s="5">
        <v>2215030</v>
      </c>
      <c r="M1003" s="5">
        <v>168062.34</v>
      </c>
      <c r="N1003" s="5">
        <v>8.6199999999999999E-2</v>
      </c>
      <c r="O1003" s="5">
        <v>0</v>
      </c>
      <c r="P1003" s="5">
        <v>0</v>
      </c>
    </row>
    <row r="1004" spans="1:16" x14ac:dyDescent="0.3">
      <c r="A1004" s="5">
        <v>93</v>
      </c>
      <c r="B1004" s="5" t="s">
        <v>113</v>
      </c>
      <c r="C1004" s="5">
        <v>6</v>
      </c>
      <c r="D1004" s="5" t="s">
        <v>90</v>
      </c>
      <c r="E1004" s="5">
        <v>2024</v>
      </c>
      <c r="F1004" s="5">
        <v>5</v>
      </c>
      <c r="G1004" s="5" t="s">
        <v>62</v>
      </c>
      <c r="H1004" s="5">
        <v>1730625</v>
      </c>
      <c r="I1004" s="5">
        <v>1565735.89</v>
      </c>
      <c r="J1004" s="5">
        <v>26</v>
      </c>
      <c r="K1004" s="5">
        <v>258268</v>
      </c>
      <c r="L1004" s="5">
        <v>1985880</v>
      </c>
      <c r="M1004" s="5">
        <v>164889.10999999999</v>
      </c>
      <c r="N1004" s="5">
        <v>9.5299999999999996E-2</v>
      </c>
      <c r="O1004" s="5">
        <v>2</v>
      </c>
      <c r="P1004" s="5">
        <v>33764</v>
      </c>
    </row>
    <row r="1005" spans="1:16" x14ac:dyDescent="0.3">
      <c r="A1005" s="5">
        <v>93</v>
      </c>
      <c r="B1005" s="5" t="s">
        <v>113</v>
      </c>
      <c r="C1005" s="5">
        <v>6</v>
      </c>
      <c r="D1005" s="5" t="s">
        <v>90</v>
      </c>
      <c r="E1005" s="5">
        <v>2024</v>
      </c>
      <c r="F1005" s="5">
        <v>6</v>
      </c>
      <c r="G1005" s="5" t="s">
        <v>63</v>
      </c>
      <c r="H1005" s="5">
        <v>1981651</v>
      </c>
      <c r="I1005" s="5">
        <v>1672276.76</v>
      </c>
      <c r="J1005" s="5">
        <v>24</v>
      </c>
      <c r="K1005" s="5">
        <v>128346</v>
      </c>
      <c r="L1005" s="5">
        <v>2102660</v>
      </c>
      <c r="M1005" s="5">
        <v>309374.24</v>
      </c>
      <c r="N1005" s="5">
        <v>0.15609999999999999</v>
      </c>
      <c r="O1005" s="5">
        <v>2</v>
      </c>
      <c r="P1005" s="5">
        <v>9771</v>
      </c>
    </row>
    <row r="1006" spans="1:16" x14ac:dyDescent="0.3">
      <c r="A1006" s="5">
        <v>93</v>
      </c>
      <c r="B1006" s="5" t="s">
        <v>113</v>
      </c>
      <c r="C1006" s="5">
        <v>6</v>
      </c>
      <c r="D1006" s="5" t="s">
        <v>90</v>
      </c>
      <c r="E1006" s="5">
        <v>2024</v>
      </c>
      <c r="F1006" s="5">
        <v>7</v>
      </c>
      <c r="G1006" s="5" t="s">
        <v>64</v>
      </c>
      <c r="H1006" s="5">
        <v>1933734</v>
      </c>
      <c r="I1006" s="5">
        <v>1614714.11</v>
      </c>
      <c r="J1006" s="5">
        <v>28</v>
      </c>
      <c r="K1006" s="5">
        <v>161140</v>
      </c>
      <c r="L1006" s="5">
        <v>2086310</v>
      </c>
      <c r="M1006" s="5">
        <v>319019.89</v>
      </c>
      <c r="N1006" s="5">
        <v>0.16500000000000001</v>
      </c>
      <c r="O1006" s="5">
        <v>1</v>
      </c>
      <c r="P1006" s="5">
        <v>6760</v>
      </c>
    </row>
    <row r="1007" spans="1:16" x14ac:dyDescent="0.3">
      <c r="A1007" s="5">
        <v>93</v>
      </c>
      <c r="B1007" s="5" t="s">
        <v>113</v>
      </c>
      <c r="C1007" s="5">
        <v>6</v>
      </c>
      <c r="D1007" s="5" t="s">
        <v>90</v>
      </c>
      <c r="E1007" s="5">
        <v>2024</v>
      </c>
      <c r="F1007" s="5">
        <v>8</v>
      </c>
      <c r="G1007" s="5" t="s">
        <v>65</v>
      </c>
      <c r="H1007" s="5">
        <v>1414527</v>
      </c>
      <c r="I1007" s="5">
        <v>1196296.8700000001</v>
      </c>
      <c r="J1007" s="5">
        <v>21</v>
      </c>
      <c r="K1007" s="5">
        <v>164112</v>
      </c>
      <c r="L1007" s="5">
        <v>1573660</v>
      </c>
      <c r="M1007" s="5">
        <v>218230.13</v>
      </c>
      <c r="N1007" s="5">
        <v>0.15429999999999999</v>
      </c>
      <c r="O1007" s="5">
        <v>2</v>
      </c>
      <c r="P1007" s="5">
        <v>8956</v>
      </c>
    </row>
    <row r="1008" spans="1:16" x14ac:dyDescent="0.3">
      <c r="A1008" s="5">
        <v>93</v>
      </c>
      <c r="B1008" s="5" t="s">
        <v>113</v>
      </c>
      <c r="C1008" s="5">
        <v>6</v>
      </c>
      <c r="D1008" s="5" t="s">
        <v>90</v>
      </c>
      <c r="E1008" s="5">
        <v>2024</v>
      </c>
      <c r="F1008" s="5">
        <v>9</v>
      </c>
      <c r="G1008" s="5" t="s">
        <v>66</v>
      </c>
      <c r="H1008" s="5">
        <v>1164410</v>
      </c>
      <c r="I1008" s="5">
        <v>963035.79</v>
      </c>
      <c r="J1008" s="5">
        <v>19</v>
      </c>
      <c r="K1008" s="5">
        <v>67737</v>
      </c>
      <c r="L1008" s="5">
        <v>1228830</v>
      </c>
      <c r="M1008" s="5">
        <v>201374.21</v>
      </c>
      <c r="N1008" s="5">
        <v>0.1729</v>
      </c>
      <c r="O1008" s="5">
        <v>0</v>
      </c>
      <c r="P1008" s="5">
        <v>0</v>
      </c>
    </row>
    <row r="1009" spans="1:16" x14ac:dyDescent="0.3">
      <c r="A1009" s="5">
        <v>93</v>
      </c>
      <c r="B1009" s="5" t="s">
        <v>113</v>
      </c>
      <c r="C1009" s="5">
        <v>6</v>
      </c>
      <c r="D1009" s="5" t="s">
        <v>90</v>
      </c>
      <c r="E1009" s="5">
        <v>2024</v>
      </c>
      <c r="F1009" s="5">
        <v>10</v>
      </c>
      <c r="G1009" s="5" t="s">
        <v>67</v>
      </c>
      <c r="H1009" s="5">
        <v>3956091</v>
      </c>
      <c r="I1009" s="5">
        <v>3251225.5</v>
      </c>
      <c r="J1009" s="5">
        <v>44</v>
      </c>
      <c r="K1009" s="5">
        <v>143457</v>
      </c>
      <c r="L1009" s="5">
        <v>4084860</v>
      </c>
      <c r="M1009" s="5">
        <v>704865.5</v>
      </c>
      <c r="N1009" s="5">
        <v>0.1782</v>
      </c>
      <c r="O1009" s="5">
        <v>1</v>
      </c>
      <c r="P1009" s="5">
        <v>3507</v>
      </c>
    </row>
    <row r="1010" spans="1:16" x14ac:dyDescent="0.3">
      <c r="A1010" s="5">
        <v>93</v>
      </c>
      <c r="B1010" s="5" t="s">
        <v>113</v>
      </c>
      <c r="C1010" s="5">
        <v>6</v>
      </c>
      <c r="D1010" s="5" t="s">
        <v>90</v>
      </c>
      <c r="E1010" s="5">
        <v>2024</v>
      </c>
      <c r="F1010" s="5">
        <v>11</v>
      </c>
      <c r="G1010" s="5" t="s">
        <v>68</v>
      </c>
      <c r="H1010" s="5">
        <v>2530451</v>
      </c>
      <c r="I1010" s="5">
        <v>2210003.62</v>
      </c>
      <c r="J1010" s="5">
        <v>40</v>
      </c>
      <c r="K1010" s="5">
        <v>319865</v>
      </c>
      <c r="L1010" s="5">
        <v>2841470</v>
      </c>
      <c r="M1010" s="5">
        <v>320447.38</v>
      </c>
      <c r="N1010" s="5">
        <v>0.12659999999999999</v>
      </c>
      <c r="O1010" s="5">
        <v>3</v>
      </c>
      <c r="P1010" s="5">
        <v>150791</v>
      </c>
    </row>
    <row r="1011" spans="1:16" x14ac:dyDescent="0.3">
      <c r="A1011" s="5">
        <v>93</v>
      </c>
      <c r="B1011" s="5" t="s">
        <v>113</v>
      </c>
      <c r="C1011" s="5">
        <v>6</v>
      </c>
      <c r="D1011" s="5" t="s">
        <v>90</v>
      </c>
      <c r="E1011" s="5">
        <v>2024</v>
      </c>
      <c r="F1011" s="5">
        <v>12</v>
      </c>
      <c r="G1011" s="5" t="s">
        <v>69</v>
      </c>
      <c r="H1011" s="5">
        <v>1230144</v>
      </c>
      <c r="I1011" s="5">
        <v>953769.5</v>
      </c>
      <c r="J1011" s="5">
        <v>30</v>
      </c>
      <c r="K1011" s="5">
        <v>52935</v>
      </c>
      <c r="L1011" s="5">
        <v>1280020</v>
      </c>
      <c r="M1011" s="5">
        <v>276374.5</v>
      </c>
      <c r="N1011" s="5">
        <v>0.22470000000000001</v>
      </c>
      <c r="O1011" s="5">
        <v>1</v>
      </c>
      <c r="P1011" s="5">
        <v>2039</v>
      </c>
    </row>
    <row r="1012" spans="1:16" x14ac:dyDescent="0.3">
      <c r="A1012" s="5">
        <v>30</v>
      </c>
      <c r="B1012" s="5" t="s">
        <v>114</v>
      </c>
      <c r="C1012" s="5">
        <v>10</v>
      </c>
      <c r="D1012" s="5" t="s">
        <v>86</v>
      </c>
      <c r="E1012" s="5">
        <v>2021</v>
      </c>
      <c r="F1012" s="5">
        <v>1</v>
      </c>
      <c r="G1012" s="5" t="s">
        <v>22</v>
      </c>
      <c r="H1012" s="5">
        <v>1664848</v>
      </c>
      <c r="I1012" s="5">
        <v>1501034.39</v>
      </c>
      <c r="J1012" s="5">
        <v>36</v>
      </c>
      <c r="K1012" s="5">
        <v>323096</v>
      </c>
      <c r="L1012" s="5">
        <v>1984200</v>
      </c>
      <c r="M1012" s="5">
        <v>163813.60999999999</v>
      </c>
      <c r="N1012" s="5">
        <v>9.8400000000000001E-2</v>
      </c>
      <c r="O1012" s="5">
        <v>4</v>
      </c>
      <c r="P1012" s="5">
        <v>57527</v>
      </c>
    </row>
    <row r="1013" spans="1:16" x14ac:dyDescent="0.3">
      <c r="A1013" s="5">
        <v>79</v>
      </c>
      <c r="B1013" s="5" t="s">
        <v>114</v>
      </c>
      <c r="C1013" s="5">
        <v>10</v>
      </c>
      <c r="D1013" s="5" t="s">
        <v>86</v>
      </c>
      <c r="E1013" s="5">
        <v>2021</v>
      </c>
      <c r="F1013" s="5">
        <v>1</v>
      </c>
      <c r="G1013" s="5" t="s">
        <v>22</v>
      </c>
      <c r="H1013" s="5">
        <v>807315</v>
      </c>
      <c r="I1013" s="5">
        <v>733961.99</v>
      </c>
      <c r="J1013" s="5">
        <v>11</v>
      </c>
      <c r="K1013" s="5">
        <v>123610</v>
      </c>
      <c r="L1013" s="5">
        <v>927180</v>
      </c>
      <c r="M1013" s="5">
        <v>73353.009999999995</v>
      </c>
      <c r="N1013" s="5">
        <v>9.0899999999999995E-2</v>
      </c>
      <c r="O1013" s="5">
        <v>1</v>
      </c>
      <c r="P1013" s="5">
        <v>2946</v>
      </c>
    </row>
    <row r="1014" spans="1:16" x14ac:dyDescent="0.3">
      <c r="A1014" s="5">
        <v>30</v>
      </c>
      <c r="B1014" s="5" t="s">
        <v>114</v>
      </c>
      <c r="C1014" s="5">
        <v>10</v>
      </c>
      <c r="D1014" s="5" t="s">
        <v>86</v>
      </c>
      <c r="E1014" s="5">
        <v>2021</v>
      </c>
      <c r="F1014" s="5">
        <v>2</v>
      </c>
      <c r="G1014" s="5" t="s">
        <v>23</v>
      </c>
      <c r="H1014" s="5">
        <v>2084188</v>
      </c>
      <c r="I1014" s="5">
        <v>1777817.14</v>
      </c>
      <c r="J1014" s="5">
        <v>29</v>
      </c>
      <c r="K1014" s="5">
        <v>169828</v>
      </c>
      <c r="L1014" s="5">
        <v>2252280</v>
      </c>
      <c r="M1014" s="5">
        <v>306370.86</v>
      </c>
      <c r="N1014" s="5">
        <v>0.14699999999999999</v>
      </c>
      <c r="O1014" s="5">
        <v>0</v>
      </c>
      <c r="P1014" s="5">
        <v>0</v>
      </c>
    </row>
    <row r="1015" spans="1:16" x14ac:dyDescent="0.3">
      <c r="A1015" s="5">
        <v>79</v>
      </c>
      <c r="B1015" s="5" t="s">
        <v>114</v>
      </c>
      <c r="C1015" s="5">
        <v>10</v>
      </c>
      <c r="D1015" s="5" t="s">
        <v>86</v>
      </c>
      <c r="E1015" s="5">
        <v>2021</v>
      </c>
      <c r="F1015" s="5">
        <v>2</v>
      </c>
      <c r="G1015" s="5" t="s">
        <v>23</v>
      </c>
      <c r="H1015" s="5">
        <v>560483</v>
      </c>
      <c r="I1015" s="5">
        <v>460409.61</v>
      </c>
      <c r="J1015" s="5">
        <v>8</v>
      </c>
      <c r="K1015" s="5">
        <v>28309</v>
      </c>
      <c r="L1015" s="5">
        <v>587960</v>
      </c>
      <c r="M1015" s="5">
        <v>100073.39</v>
      </c>
      <c r="N1015" s="5">
        <v>0.17849999999999999</v>
      </c>
      <c r="O1015" s="5">
        <v>1</v>
      </c>
      <c r="P1015" s="5">
        <v>16090</v>
      </c>
    </row>
    <row r="1016" spans="1:16" x14ac:dyDescent="0.3">
      <c r="A1016" s="5">
        <v>30</v>
      </c>
      <c r="B1016" s="5" t="s">
        <v>114</v>
      </c>
      <c r="C1016" s="5">
        <v>10</v>
      </c>
      <c r="D1016" s="5" t="s">
        <v>86</v>
      </c>
      <c r="E1016" s="5">
        <v>2021</v>
      </c>
      <c r="F1016" s="5">
        <v>3</v>
      </c>
      <c r="G1016" s="5" t="s">
        <v>24</v>
      </c>
      <c r="H1016" s="5">
        <v>2472641</v>
      </c>
      <c r="I1016" s="5">
        <v>2162000.0099999998</v>
      </c>
      <c r="J1016" s="5">
        <v>37</v>
      </c>
      <c r="K1016" s="5">
        <v>287847</v>
      </c>
      <c r="L1016" s="5">
        <v>2747060</v>
      </c>
      <c r="M1016" s="5">
        <v>310640.99</v>
      </c>
      <c r="N1016" s="5">
        <v>0.12559999999999999</v>
      </c>
      <c r="O1016" s="5">
        <v>3</v>
      </c>
      <c r="P1016" s="5">
        <v>50229</v>
      </c>
    </row>
    <row r="1017" spans="1:16" x14ac:dyDescent="0.3">
      <c r="A1017" s="5">
        <v>79</v>
      </c>
      <c r="B1017" s="5" t="s">
        <v>114</v>
      </c>
      <c r="C1017" s="5">
        <v>10</v>
      </c>
      <c r="D1017" s="5" t="s">
        <v>86</v>
      </c>
      <c r="E1017" s="5">
        <v>2021</v>
      </c>
      <c r="F1017" s="5">
        <v>3</v>
      </c>
      <c r="G1017" s="5" t="s">
        <v>24</v>
      </c>
      <c r="H1017" s="5">
        <v>353870</v>
      </c>
      <c r="I1017" s="5">
        <v>309465.83</v>
      </c>
      <c r="J1017" s="5">
        <v>6</v>
      </c>
      <c r="K1017" s="5">
        <v>32141</v>
      </c>
      <c r="L1017" s="5">
        <v>383070</v>
      </c>
      <c r="M1017" s="5">
        <v>44404.17</v>
      </c>
      <c r="N1017" s="5">
        <v>0.1255</v>
      </c>
      <c r="O1017" s="5">
        <v>0</v>
      </c>
      <c r="P1017" s="5">
        <v>0</v>
      </c>
    </row>
    <row r="1018" spans="1:16" x14ac:dyDescent="0.3">
      <c r="A1018" s="5">
        <v>30</v>
      </c>
      <c r="B1018" s="5" t="s">
        <v>114</v>
      </c>
      <c r="C1018" s="5">
        <v>10</v>
      </c>
      <c r="D1018" s="5" t="s">
        <v>86</v>
      </c>
      <c r="E1018" s="5">
        <v>2021</v>
      </c>
      <c r="F1018" s="5">
        <v>4</v>
      </c>
      <c r="G1018" s="5" t="s">
        <v>25</v>
      </c>
      <c r="H1018" s="5">
        <v>4035277</v>
      </c>
      <c r="I1018" s="5">
        <v>3712661.55</v>
      </c>
      <c r="J1018" s="5">
        <v>47</v>
      </c>
      <c r="K1018" s="5">
        <v>721988</v>
      </c>
      <c r="L1018" s="5">
        <v>4740710</v>
      </c>
      <c r="M1018" s="5">
        <v>322615.45</v>
      </c>
      <c r="N1018" s="5">
        <v>7.9899999999999999E-2</v>
      </c>
      <c r="O1018" s="5">
        <v>5</v>
      </c>
      <c r="P1018" s="5">
        <v>303363</v>
      </c>
    </row>
    <row r="1019" spans="1:16" x14ac:dyDescent="0.3">
      <c r="A1019" s="5">
        <v>79</v>
      </c>
      <c r="B1019" s="5" t="s">
        <v>114</v>
      </c>
      <c r="C1019" s="5">
        <v>10</v>
      </c>
      <c r="D1019" s="5" t="s">
        <v>86</v>
      </c>
      <c r="E1019" s="5">
        <v>2021</v>
      </c>
      <c r="F1019" s="5">
        <v>4</v>
      </c>
      <c r="G1019" s="5" t="s">
        <v>25</v>
      </c>
      <c r="H1019" s="5">
        <v>601881</v>
      </c>
      <c r="I1019" s="5">
        <v>539045.06999999995</v>
      </c>
      <c r="J1019" s="5">
        <v>7</v>
      </c>
      <c r="K1019" s="5">
        <v>93111</v>
      </c>
      <c r="L1019" s="5">
        <v>694200</v>
      </c>
      <c r="M1019" s="5">
        <v>62835.93</v>
      </c>
      <c r="N1019" s="5">
        <v>0.10440000000000001</v>
      </c>
      <c r="O1019" s="5">
        <v>0</v>
      </c>
      <c r="P1019" s="5">
        <v>0</v>
      </c>
    </row>
    <row r="1020" spans="1:16" x14ac:dyDescent="0.3">
      <c r="A1020" s="5">
        <v>30</v>
      </c>
      <c r="B1020" s="5" t="s">
        <v>114</v>
      </c>
      <c r="C1020" s="5">
        <v>10</v>
      </c>
      <c r="D1020" s="5" t="s">
        <v>86</v>
      </c>
      <c r="E1020" s="5">
        <v>2021</v>
      </c>
      <c r="F1020" s="5">
        <v>5</v>
      </c>
      <c r="G1020" s="5" t="s">
        <v>26</v>
      </c>
      <c r="H1020" s="5">
        <v>2977304</v>
      </c>
      <c r="I1020" s="5">
        <v>2649684.67</v>
      </c>
      <c r="J1020" s="5">
        <v>50</v>
      </c>
      <c r="K1020" s="5">
        <v>473324</v>
      </c>
      <c r="L1020" s="5">
        <v>3449260</v>
      </c>
      <c r="M1020" s="5">
        <v>327619.33</v>
      </c>
      <c r="N1020" s="5">
        <v>0.11</v>
      </c>
      <c r="O1020" s="5">
        <v>2</v>
      </c>
      <c r="P1020" s="5">
        <v>18199</v>
      </c>
    </row>
    <row r="1021" spans="1:16" x14ac:dyDescent="0.3">
      <c r="A1021" s="5">
        <v>79</v>
      </c>
      <c r="B1021" s="5" t="s">
        <v>114</v>
      </c>
      <c r="C1021" s="5">
        <v>10</v>
      </c>
      <c r="D1021" s="5" t="s">
        <v>86</v>
      </c>
      <c r="E1021" s="5">
        <v>2021</v>
      </c>
      <c r="F1021" s="5">
        <v>5</v>
      </c>
      <c r="G1021" s="5" t="s">
        <v>26</v>
      </c>
      <c r="H1021" s="5">
        <v>588968</v>
      </c>
      <c r="I1021" s="5">
        <v>548826.71</v>
      </c>
      <c r="J1021" s="5">
        <v>10</v>
      </c>
      <c r="K1021" s="5">
        <v>86078</v>
      </c>
      <c r="L1021" s="5">
        <v>674790</v>
      </c>
      <c r="M1021" s="5">
        <v>40141.29</v>
      </c>
      <c r="N1021" s="5">
        <v>6.8199999999999997E-2</v>
      </c>
      <c r="O1021" s="5">
        <v>1</v>
      </c>
      <c r="P1021" s="5">
        <v>74675</v>
      </c>
    </row>
    <row r="1022" spans="1:16" x14ac:dyDescent="0.3">
      <c r="A1022" s="5">
        <v>30</v>
      </c>
      <c r="B1022" s="5" t="s">
        <v>114</v>
      </c>
      <c r="C1022" s="5">
        <v>10</v>
      </c>
      <c r="D1022" s="5" t="s">
        <v>86</v>
      </c>
      <c r="E1022" s="5">
        <v>2021</v>
      </c>
      <c r="F1022" s="5">
        <v>6</v>
      </c>
      <c r="G1022" s="5" t="s">
        <v>27</v>
      </c>
      <c r="H1022" s="5">
        <v>3600597</v>
      </c>
      <c r="I1022" s="5">
        <v>3215088.08</v>
      </c>
      <c r="J1022" s="5">
        <v>54</v>
      </c>
      <c r="K1022" s="5">
        <v>526418</v>
      </c>
      <c r="L1022" s="5">
        <v>4114170</v>
      </c>
      <c r="M1022" s="5">
        <v>385508.92</v>
      </c>
      <c r="N1022" s="5">
        <v>0.1071</v>
      </c>
      <c r="O1022" s="5">
        <v>8</v>
      </c>
      <c r="P1022" s="5">
        <v>248038</v>
      </c>
    </row>
    <row r="1023" spans="1:16" x14ac:dyDescent="0.3">
      <c r="A1023" s="5">
        <v>79</v>
      </c>
      <c r="B1023" s="5" t="s">
        <v>114</v>
      </c>
      <c r="C1023" s="5">
        <v>10</v>
      </c>
      <c r="D1023" s="5" t="s">
        <v>86</v>
      </c>
      <c r="E1023" s="5">
        <v>2021</v>
      </c>
      <c r="F1023" s="5">
        <v>6</v>
      </c>
      <c r="G1023" s="5" t="s">
        <v>27</v>
      </c>
      <c r="H1023" s="5">
        <v>203328</v>
      </c>
      <c r="I1023" s="5">
        <v>180063.68</v>
      </c>
      <c r="J1023" s="5">
        <v>7</v>
      </c>
      <c r="K1023" s="5">
        <v>52774</v>
      </c>
      <c r="L1023" s="5">
        <v>255870</v>
      </c>
      <c r="M1023" s="5">
        <v>23264.32</v>
      </c>
      <c r="N1023" s="5">
        <v>0.1144</v>
      </c>
      <c r="O1023" s="5">
        <v>2</v>
      </c>
      <c r="P1023" s="5">
        <v>11759</v>
      </c>
    </row>
    <row r="1024" spans="1:16" x14ac:dyDescent="0.3">
      <c r="A1024" s="5">
        <v>30</v>
      </c>
      <c r="B1024" s="5" t="s">
        <v>114</v>
      </c>
      <c r="C1024" s="5">
        <v>10</v>
      </c>
      <c r="D1024" s="5" t="s">
        <v>86</v>
      </c>
      <c r="E1024" s="5">
        <v>2021</v>
      </c>
      <c r="F1024" s="5">
        <v>7</v>
      </c>
      <c r="G1024" s="5" t="s">
        <v>28</v>
      </c>
      <c r="H1024" s="5">
        <v>2748308</v>
      </c>
      <c r="I1024" s="5">
        <v>2412925.39</v>
      </c>
      <c r="J1024" s="5">
        <v>46</v>
      </c>
      <c r="K1024" s="5">
        <v>368179</v>
      </c>
      <c r="L1024" s="5">
        <v>3106920</v>
      </c>
      <c r="M1024" s="5">
        <v>335382.61</v>
      </c>
      <c r="N1024" s="5">
        <v>0.122</v>
      </c>
      <c r="O1024" s="5">
        <v>2</v>
      </c>
      <c r="P1024" s="5">
        <v>116732</v>
      </c>
    </row>
    <row r="1025" spans="1:16" x14ac:dyDescent="0.3">
      <c r="A1025" s="5">
        <v>79</v>
      </c>
      <c r="B1025" s="5" t="s">
        <v>114</v>
      </c>
      <c r="C1025" s="5">
        <v>10</v>
      </c>
      <c r="D1025" s="5" t="s">
        <v>86</v>
      </c>
      <c r="E1025" s="5">
        <v>2021</v>
      </c>
      <c r="F1025" s="5">
        <v>7</v>
      </c>
      <c r="G1025" s="5" t="s">
        <v>28</v>
      </c>
      <c r="H1025" s="5">
        <v>504574</v>
      </c>
      <c r="I1025" s="5">
        <v>472078.08000000002</v>
      </c>
      <c r="J1025" s="5">
        <v>8</v>
      </c>
      <c r="K1025" s="5">
        <v>84590</v>
      </c>
      <c r="L1025" s="5">
        <v>587260</v>
      </c>
      <c r="M1025" s="5">
        <v>32495.919999999998</v>
      </c>
      <c r="N1025" s="5">
        <v>6.4399999999999999E-2</v>
      </c>
      <c r="O1025" s="5">
        <v>0</v>
      </c>
      <c r="P1025" s="5">
        <v>0</v>
      </c>
    </row>
    <row r="1026" spans="1:16" x14ac:dyDescent="0.3">
      <c r="A1026" s="5">
        <v>30</v>
      </c>
      <c r="B1026" s="5" t="s">
        <v>114</v>
      </c>
      <c r="C1026" s="5">
        <v>10</v>
      </c>
      <c r="D1026" s="5" t="s">
        <v>86</v>
      </c>
      <c r="E1026" s="5">
        <v>2021</v>
      </c>
      <c r="F1026" s="5">
        <v>8</v>
      </c>
      <c r="G1026" s="5" t="s">
        <v>29</v>
      </c>
      <c r="H1026" s="5">
        <v>1708379</v>
      </c>
      <c r="I1026" s="5">
        <v>1489622.25</v>
      </c>
      <c r="J1026" s="5">
        <v>30</v>
      </c>
      <c r="K1026" s="5">
        <v>193730</v>
      </c>
      <c r="L1026" s="5">
        <v>1900100</v>
      </c>
      <c r="M1026" s="5">
        <v>218756.75</v>
      </c>
      <c r="N1026" s="5">
        <v>0.128</v>
      </c>
      <c r="O1026" s="5">
        <v>1</v>
      </c>
      <c r="P1026" s="5">
        <v>1160</v>
      </c>
    </row>
    <row r="1027" spans="1:16" x14ac:dyDescent="0.3">
      <c r="A1027" s="5">
        <v>79</v>
      </c>
      <c r="B1027" s="5" t="s">
        <v>114</v>
      </c>
      <c r="C1027" s="5">
        <v>10</v>
      </c>
      <c r="D1027" s="5" t="s">
        <v>86</v>
      </c>
      <c r="E1027" s="5">
        <v>2021</v>
      </c>
      <c r="F1027" s="5">
        <v>8</v>
      </c>
      <c r="G1027" s="5" t="s">
        <v>29</v>
      </c>
      <c r="H1027" s="5">
        <v>380651</v>
      </c>
      <c r="I1027" s="5">
        <v>341555.41</v>
      </c>
      <c r="J1027" s="5">
        <v>8</v>
      </c>
      <c r="K1027" s="5">
        <v>56975</v>
      </c>
      <c r="L1027" s="5">
        <v>437000</v>
      </c>
      <c r="M1027" s="5">
        <v>39095.589999999997</v>
      </c>
      <c r="N1027" s="5">
        <v>0.1027</v>
      </c>
      <c r="O1027" s="5">
        <v>2</v>
      </c>
      <c r="P1027" s="5">
        <v>139931</v>
      </c>
    </row>
    <row r="1028" spans="1:16" x14ac:dyDescent="0.3">
      <c r="A1028" s="5">
        <v>30</v>
      </c>
      <c r="B1028" s="5" t="s">
        <v>114</v>
      </c>
      <c r="C1028" s="5">
        <v>10</v>
      </c>
      <c r="D1028" s="5" t="s">
        <v>86</v>
      </c>
      <c r="E1028" s="5">
        <v>2021</v>
      </c>
      <c r="F1028" s="5">
        <v>9</v>
      </c>
      <c r="G1028" s="5" t="s">
        <v>30</v>
      </c>
      <c r="H1028" s="5">
        <v>3643427</v>
      </c>
      <c r="I1028" s="5">
        <v>3199258.88</v>
      </c>
      <c r="J1028" s="5">
        <v>54</v>
      </c>
      <c r="K1028" s="5">
        <v>468373</v>
      </c>
      <c r="L1028" s="5">
        <v>4101470</v>
      </c>
      <c r="M1028" s="5">
        <v>444168.12</v>
      </c>
      <c r="N1028" s="5">
        <v>0.12189999999999999</v>
      </c>
      <c r="O1028" s="5">
        <v>3</v>
      </c>
      <c r="P1028" s="5">
        <v>13614</v>
      </c>
    </row>
    <row r="1029" spans="1:16" x14ac:dyDescent="0.3">
      <c r="A1029" s="5">
        <v>79</v>
      </c>
      <c r="B1029" s="5" t="s">
        <v>114</v>
      </c>
      <c r="C1029" s="5">
        <v>10</v>
      </c>
      <c r="D1029" s="5" t="s">
        <v>86</v>
      </c>
      <c r="E1029" s="5">
        <v>2021</v>
      </c>
      <c r="F1029" s="5">
        <v>9</v>
      </c>
      <c r="G1029" s="5" t="s">
        <v>30</v>
      </c>
      <c r="H1029" s="5">
        <v>760609</v>
      </c>
      <c r="I1029" s="5">
        <v>636843.93999999994</v>
      </c>
      <c r="J1029" s="5">
        <v>7</v>
      </c>
      <c r="K1029" s="5">
        <v>49794</v>
      </c>
      <c r="L1029" s="5">
        <v>804420</v>
      </c>
      <c r="M1029" s="5">
        <v>123765.06</v>
      </c>
      <c r="N1029" s="5">
        <v>0.16270000000000001</v>
      </c>
      <c r="O1029" s="5">
        <v>0</v>
      </c>
      <c r="P1029" s="5">
        <v>0</v>
      </c>
    </row>
    <row r="1030" spans="1:16" x14ac:dyDescent="0.3">
      <c r="A1030" s="5">
        <v>30</v>
      </c>
      <c r="B1030" s="5" t="s">
        <v>114</v>
      </c>
      <c r="C1030" s="5">
        <v>10</v>
      </c>
      <c r="D1030" s="5" t="s">
        <v>86</v>
      </c>
      <c r="E1030" s="5">
        <v>2021</v>
      </c>
      <c r="F1030" s="5">
        <v>10</v>
      </c>
      <c r="G1030" s="5" t="s">
        <v>31</v>
      </c>
      <c r="H1030" s="5">
        <v>5111006</v>
      </c>
      <c r="I1030" s="5">
        <v>4340317.7699999996</v>
      </c>
      <c r="J1030" s="5">
        <v>66</v>
      </c>
      <c r="K1030" s="5">
        <v>506000</v>
      </c>
      <c r="L1030" s="5">
        <v>5601120</v>
      </c>
      <c r="M1030" s="5">
        <v>770688.23</v>
      </c>
      <c r="N1030" s="5">
        <v>0.15079999999999999</v>
      </c>
      <c r="O1030" s="5">
        <v>5</v>
      </c>
      <c r="P1030" s="5">
        <v>107343</v>
      </c>
    </row>
    <row r="1031" spans="1:16" x14ac:dyDescent="0.3">
      <c r="A1031" s="5">
        <v>79</v>
      </c>
      <c r="B1031" s="5" t="s">
        <v>114</v>
      </c>
      <c r="C1031" s="5">
        <v>10</v>
      </c>
      <c r="D1031" s="5" t="s">
        <v>86</v>
      </c>
      <c r="E1031" s="5">
        <v>2021</v>
      </c>
      <c r="F1031" s="5">
        <v>10</v>
      </c>
      <c r="G1031" s="5" t="s">
        <v>31</v>
      </c>
      <c r="H1031" s="5">
        <v>1055363</v>
      </c>
      <c r="I1031" s="5">
        <v>895835.97</v>
      </c>
      <c r="J1031" s="5">
        <v>12</v>
      </c>
      <c r="K1031" s="5">
        <v>116058</v>
      </c>
      <c r="L1031" s="5">
        <v>1169850</v>
      </c>
      <c r="M1031" s="5">
        <v>159527.03</v>
      </c>
      <c r="N1031" s="5">
        <v>0.1512</v>
      </c>
      <c r="O1031" s="5">
        <v>1</v>
      </c>
      <c r="P1031" s="5">
        <v>1873</v>
      </c>
    </row>
    <row r="1032" spans="1:16" x14ac:dyDescent="0.3">
      <c r="A1032" s="5">
        <v>30</v>
      </c>
      <c r="B1032" s="5" t="s">
        <v>114</v>
      </c>
      <c r="C1032" s="5">
        <v>10</v>
      </c>
      <c r="D1032" s="5" t="s">
        <v>86</v>
      </c>
      <c r="E1032" s="5">
        <v>2021</v>
      </c>
      <c r="F1032" s="5">
        <v>11</v>
      </c>
      <c r="G1032" s="5" t="s">
        <v>32</v>
      </c>
      <c r="H1032" s="5">
        <v>5552578</v>
      </c>
      <c r="I1032" s="5">
        <v>4583450.08</v>
      </c>
      <c r="J1032" s="5">
        <v>70</v>
      </c>
      <c r="K1032" s="5">
        <v>402995</v>
      </c>
      <c r="L1032" s="5">
        <v>5933800</v>
      </c>
      <c r="M1032" s="5">
        <v>969127.92</v>
      </c>
      <c r="N1032" s="5">
        <v>0.17449999999999999</v>
      </c>
      <c r="O1032" s="5">
        <v>6</v>
      </c>
      <c r="P1032" s="5">
        <v>273193</v>
      </c>
    </row>
    <row r="1033" spans="1:16" x14ac:dyDescent="0.3">
      <c r="A1033" s="5">
        <v>79</v>
      </c>
      <c r="B1033" s="5" t="s">
        <v>114</v>
      </c>
      <c r="C1033" s="5">
        <v>10</v>
      </c>
      <c r="D1033" s="5" t="s">
        <v>86</v>
      </c>
      <c r="E1033" s="5">
        <v>2021</v>
      </c>
      <c r="F1033" s="5">
        <v>11</v>
      </c>
      <c r="G1033" s="5" t="s">
        <v>32</v>
      </c>
      <c r="H1033" s="5">
        <v>1474723</v>
      </c>
      <c r="I1033" s="5">
        <v>1211675.3899999999</v>
      </c>
      <c r="J1033" s="5">
        <v>15</v>
      </c>
      <c r="K1033" s="5">
        <v>68626</v>
      </c>
      <c r="L1033" s="5">
        <v>1529700</v>
      </c>
      <c r="M1033" s="5">
        <v>263047.61</v>
      </c>
      <c r="N1033" s="5">
        <v>0.1784</v>
      </c>
      <c r="O1033" s="5">
        <v>3</v>
      </c>
      <c r="P1033" s="5">
        <v>69124</v>
      </c>
    </row>
    <row r="1034" spans="1:16" x14ac:dyDescent="0.3">
      <c r="A1034" s="5">
        <v>30</v>
      </c>
      <c r="B1034" s="5" t="s">
        <v>114</v>
      </c>
      <c r="C1034" s="5">
        <v>10</v>
      </c>
      <c r="D1034" s="5" t="s">
        <v>86</v>
      </c>
      <c r="E1034" s="5">
        <v>2021</v>
      </c>
      <c r="F1034" s="5">
        <v>12</v>
      </c>
      <c r="G1034" s="5" t="s">
        <v>33</v>
      </c>
      <c r="H1034" s="5">
        <v>6286114</v>
      </c>
      <c r="I1034" s="5">
        <v>5472650.2599999998</v>
      </c>
      <c r="J1034" s="5">
        <v>70</v>
      </c>
      <c r="K1034" s="5">
        <v>715785</v>
      </c>
      <c r="L1034" s="5">
        <v>6979200</v>
      </c>
      <c r="M1034" s="5">
        <v>813463.74</v>
      </c>
      <c r="N1034" s="5">
        <v>0.12939999999999999</v>
      </c>
      <c r="O1034" s="5">
        <v>7</v>
      </c>
      <c r="P1034" s="5">
        <v>267047</v>
      </c>
    </row>
    <row r="1035" spans="1:16" x14ac:dyDescent="0.3">
      <c r="A1035" s="5">
        <v>79</v>
      </c>
      <c r="B1035" s="5" t="s">
        <v>114</v>
      </c>
      <c r="C1035" s="5">
        <v>10</v>
      </c>
      <c r="D1035" s="5" t="s">
        <v>86</v>
      </c>
      <c r="E1035" s="5">
        <v>2021</v>
      </c>
      <c r="F1035" s="5">
        <v>12</v>
      </c>
      <c r="G1035" s="5" t="s">
        <v>33</v>
      </c>
      <c r="H1035" s="5">
        <v>676613</v>
      </c>
      <c r="I1035" s="5">
        <v>568724.92000000004</v>
      </c>
      <c r="J1035" s="5">
        <v>14</v>
      </c>
      <c r="K1035" s="5">
        <v>70445</v>
      </c>
      <c r="L1035" s="5">
        <v>746770</v>
      </c>
      <c r="M1035" s="5">
        <v>107888.08</v>
      </c>
      <c r="N1035" s="5">
        <v>0.1595</v>
      </c>
      <c r="O1035" s="5">
        <v>1</v>
      </c>
      <c r="P1035" s="5">
        <v>17347</v>
      </c>
    </row>
    <row r="1036" spans="1:16" x14ac:dyDescent="0.3">
      <c r="A1036" s="5">
        <v>30</v>
      </c>
      <c r="B1036" s="5" t="s">
        <v>114</v>
      </c>
      <c r="C1036" s="5">
        <v>10</v>
      </c>
      <c r="D1036" s="5" t="s">
        <v>86</v>
      </c>
      <c r="E1036" s="5">
        <v>2022</v>
      </c>
      <c r="F1036" s="5">
        <v>1</v>
      </c>
      <c r="G1036" s="5" t="s">
        <v>34</v>
      </c>
      <c r="H1036" s="5">
        <v>3221158</v>
      </c>
      <c r="I1036" s="5">
        <v>2701721.85</v>
      </c>
      <c r="J1036" s="5">
        <v>54</v>
      </c>
      <c r="K1036" s="5">
        <v>207367</v>
      </c>
      <c r="L1036" s="5">
        <v>3417630</v>
      </c>
      <c r="M1036" s="5">
        <v>519436.15</v>
      </c>
      <c r="N1036" s="5">
        <v>0.1613</v>
      </c>
      <c r="O1036" s="5">
        <v>3</v>
      </c>
      <c r="P1036" s="5">
        <v>43238</v>
      </c>
    </row>
    <row r="1037" spans="1:16" x14ac:dyDescent="0.3">
      <c r="A1037" s="5">
        <v>79</v>
      </c>
      <c r="B1037" s="5" t="s">
        <v>114</v>
      </c>
      <c r="C1037" s="5">
        <v>10</v>
      </c>
      <c r="D1037" s="5" t="s">
        <v>86</v>
      </c>
      <c r="E1037" s="5">
        <v>2022</v>
      </c>
      <c r="F1037" s="5">
        <v>1</v>
      </c>
      <c r="G1037" s="5" t="s">
        <v>34</v>
      </c>
      <c r="H1037" s="5">
        <v>439838</v>
      </c>
      <c r="I1037" s="5">
        <v>349769.83</v>
      </c>
      <c r="J1037" s="5">
        <v>6</v>
      </c>
      <c r="K1037" s="5">
        <v>12029</v>
      </c>
      <c r="L1037" s="5">
        <v>447330</v>
      </c>
      <c r="M1037" s="5">
        <v>90068.17</v>
      </c>
      <c r="N1037" s="5">
        <v>0.20480000000000001</v>
      </c>
      <c r="O1037" s="5">
        <v>0</v>
      </c>
      <c r="P1037" s="5">
        <v>0</v>
      </c>
    </row>
    <row r="1038" spans="1:16" x14ac:dyDescent="0.3">
      <c r="A1038" s="5">
        <v>30</v>
      </c>
      <c r="B1038" s="5" t="s">
        <v>114</v>
      </c>
      <c r="C1038" s="5">
        <v>10</v>
      </c>
      <c r="D1038" s="5" t="s">
        <v>86</v>
      </c>
      <c r="E1038" s="5">
        <v>2022</v>
      </c>
      <c r="F1038" s="5">
        <v>2</v>
      </c>
      <c r="G1038" s="5" t="s">
        <v>35</v>
      </c>
      <c r="H1038" s="5">
        <v>2493242</v>
      </c>
      <c r="I1038" s="5">
        <v>2094554.32</v>
      </c>
      <c r="J1038" s="5">
        <v>35</v>
      </c>
      <c r="K1038" s="5">
        <v>178971</v>
      </c>
      <c r="L1038" s="5">
        <v>2661740</v>
      </c>
      <c r="M1038" s="5">
        <v>398687.68</v>
      </c>
      <c r="N1038" s="5">
        <v>0.15989999999999999</v>
      </c>
      <c r="O1038" s="5">
        <v>6</v>
      </c>
      <c r="P1038" s="5">
        <v>270983</v>
      </c>
    </row>
    <row r="1039" spans="1:16" x14ac:dyDescent="0.3">
      <c r="A1039" s="5">
        <v>79</v>
      </c>
      <c r="B1039" s="5" t="s">
        <v>114</v>
      </c>
      <c r="C1039" s="5">
        <v>10</v>
      </c>
      <c r="D1039" s="5" t="s">
        <v>86</v>
      </c>
      <c r="E1039" s="5">
        <v>2022</v>
      </c>
      <c r="F1039" s="5">
        <v>2</v>
      </c>
      <c r="G1039" s="5" t="s">
        <v>35</v>
      </c>
      <c r="H1039" s="5">
        <v>656731</v>
      </c>
      <c r="I1039" s="5">
        <v>522736.95</v>
      </c>
      <c r="J1039" s="5">
        <v>10</v>
      </c>
      <c r="K1039" s="5">
        <v>84340</v>
      </c>
      <c r="L1039" s="5">
        <v>739290</v>
      </c>
      <c r="M1039" s="5">
        <v>133994.04999999999</v>
      </c>
      <c r="N1039" s="5">
        <v>0.20399999999999999</v>
      </c>
      <c r="O1039" s="5">
        <v>1</v>
      </c>
      <c r="P1039" s="5">
        <v>1956</v>
      </c>
    </row>
    <row r="1040" spans="1:16" x14ac:dyDescent="0.3">
      <c r="A1040" s="5">
        <v>30</v>
      </c>
      <c r="B1040" s="5" t="s">
        <v>114</v>
      </c>
      <c r="C1040" s="5">
        <v>10</v>
      </c>
      <c r="D1040" s="5" t="s">
        <v>86</v>
      </c>
      <c r="E1040" s="5">
        <v>2022</v>
      </c>
      <c r="F1040" s="5">
        <v>3</v>
      </c>
      <c r="G1040" s="5" t="s">
        <v>36</v>
      </c>
      <c r="H1040" s="5">
        <v>4340541</v>
      </c>
      <c r="I1040" s="5">
        <v>3751589.8</v>
      </c>
      <c r="J1040" s="5">
        <v>57</v>
      </c>
      <c r="K1040" s="5">
        <v>486216</v>
      </c>
      <c r="L1040" s="5">
        <v>4803980</v>
      </c>
      <c r="M1040" s="5">
        <v>588951.19999999995</v>
      </c>
      <c r="N1040" s="5">
        <v>0.13569999999999999</v>
      </c>
      <c r="O1040" s="5">
        <v>3</v>
      </c>
      <c r="P1040" s="5">
        <v>71604</v>
      </c>
    </row>
    <row r="1041" spans="1:16" x14ac:dyDescent="0.3">
      <c r="A1041" s="5">
        <v>79</v>
      </c>
      <c r="B1041" s="5" t="s">
        <v>114</v>
      </c>
      <c r="C1041" s="5">
        <v>10</v>
      </c>
      <c r="D1041" s="5" t="s">
        <v>86</v>
      </c>
      <c r="E1041" s="5">
        <v>2022</v>
      </c>
      <c r="F1041" s="5">
        <v>3</v>
      </c>
      <c r="G1041" s="5" t="s">
        <v>36</v>
      </c>
      <c r="H1041" s="5">
        <v>771701</v>
      </c>
      <c r="I1041" s="5">
        <v>636339.61</v>
      </c>
      <c r="J1041" s="5">
        <v>9</v>
      </c>
      <c r="K1041" s="5">
        <v>15383</v>
      </c>
      <c r="L1041" s="5">
        <v>782090</v>
      </c>
      <c r="M1041" s="5">
        <v>135361.39000000001</v>
      </c>
      <c r="N1041" s="5">
        <v>0.1754</v>
      </c>
      <c r="O1041" s="5">
        <v>0</v>
      </c>
      <c r="P1041" s="5">
        <v>0</v>
      </c>
    </row>
    <row r="1042" spans="1:16" x14ac:dyDescent="0.3">
      <c r="A1042" s="5">
        <v>30</v>
      </c>
      <c r="B1042" s="5" t="s">
        <v>114</v>
      </c>
      <c r="C1042" s="5">
        <v>10</v>
      </c>
      <c r="D1042" s="5" t="s">
        <v>86</v>
      </c>
      <c r="E1042" s="5">
        <v>2022</v>
      </c>
      <c r="F1042" s="5">
        <v>4</v>
      </c>
      <c r="G1042" s="5" t="s">
        <v>37</v>
      </c>
      <c r="H1042" s="5">
        <v>5357919</v>
      </c>
      <c r="I1042" s="5">
        <v>4568630.71</v>
      </c>
      <c r="J1042" s="5">
        <v>71</v>
      </c>
      <c r="K1042" s="5">
        <v>529101</v>
      </c>
      <c r="L1042" s="5">
        <v>5865540</v>
      </c>
      <c r="M1042" s="5">
        <v>789288.29</v>
      </c>
      <c r="N1042" s="5">
        <v>0.14729999999999999</v>
      </c>
      <c r="O1042" s="5">
        <v>10</v>
      </c>
      <c r="P1042" s="5">
        <v>119773</v>
      </c>
    </row>
    <row r="1043" spans="1:16" x14ac:dyDescent="0.3">
      <c r="A1043" s="5">
        <v>79</v>
      </c>
      <c r="B1043" s="5" t="s">
        <v>114</v>
      </c>
      <c r="C1043" s="5">
        <v>10</v>
      </c>
      <c r="D1043" s="5" t="s">
        <v>86</v>
      </c>
      <c r="E1043" s="5">
        <v>2022</v>
      </c>
      <c r="F1043" s="5">
        <v>4</v>
      </c>
      <c r="G1043" s="5" t="s">
        <v>37</v>
      </c>
      <c r="H1043" s="5">
        <v>513518</v>
      </c>
      <c r="I1043" s="5">
        <v>501144.98</v>
      </c>
      <c r="J1043" s="5">
        <v>8</v>
      </c>
      <c r="K1043" s="5">
        <v>143904</v>
      </c>
      <c r="L1043" s="5">
        <v>657340</v>
      </c>
      <c r="M1043" s="5">
        <v>12373.02</v>
      </c>
      <c r="N1043" s="5">
        <v>2.41E-2</v>
      </c>
      <c r="O1043" s="5">
        <v>0</v>
      </c>
      <c r="P1043" s="5">
        <v>0</v>
      </c>
    </row>
    <row r="1044" spans="1:16" x14ac:dyDescent="0.3">
      <c r="A1044" s="5">
        <v>30</v>
      </c>
      <c r="B1044" s="5" t="s">
        <v>114</v>
      </c>
      <c r="C1044" s="5">
        <v>10</v>
      </c>
      <c r="D1044" s="5" t="s">
        <v>86</v>
      </c>
      <c r="E1044" s="5">
        <v>2022</v>
      </c>
      <c r="F1044" s="5">
        <v>5</v>
      </c>
      <c r="G1044" s="5" t="s">
        <v>38</v>
      </c>
      <c r="H1044" s="5">
        <v>5174766</v>
      </c>
      <c r="I1044" s="5">
        <v>4435171.8499999996</v>
      </c>
      <c r="J1044" s="5">
        <v>73</v>
      </c>
      <c r="K1044" s="5">
        <v>484536</v>
      </c>
      <c r="L1044" s="5">
        <v>5642440</v>
      </c>
      <c r="M1044" s="5">
        <v>739594.15</v>
      </c>
      <c r="N1044" s="5">
        <v>0.1429</v>
      </c>
      <c r="O1044" s="5">
        <v>4</v>
      </c>
      <c r="P1044" s="5">
        <v>207421</v>
      </c>
    </row>
    <row r="1045" spans="1:16" x14ac:dyDescent="0.3">
      <c r="A1045" s="5">
        <v>79</v>
      </c>
      <c r="B1045" s="5" t="s">
        <v>114</v>
      </c>
      <c r="C1045" s="5">
        <v>10</v>
      </c>
      <c r="D1045" s="5" t="s">
        <v>86</v>
      </c>
      <c r="E1045" s="5">
        <v>2022</v>
      </c>
      <c r="F1045" s="5">
        <v>5</v>
      </c>
      <c r="G1045" s="5" t="s">
        <v>38</v>
      </c>
      <c r="H1045" s="5">
        <v>567060</v>
      </c>
      <c r="I1045" s="5">
        <v>474342.86</v>
      </c>
      <c r="J1045" s="5">
        <v>16</v>
      </c>
      <c r="K1045" s="5">
        <v>57295</v>
      </c>
      <c r="L1045" s="5">
        <v>621630</v>
      </c>
      <c r="M1045" s="5">
        <v>92717.14</v>
      </c>
      <c r="N1045" s="5">
        <v>0.16350000000000001</v>
      </c>
      <c r="O1045" s="5">
        <v>2</v>
      </c>
      <c r="P1045" s="5">
        <v>28540</v>
      </c>
    </row>
    <row r="1046" spans="1:16" x14ac:dyDescent="0.3">
      <c r="A1046" s="5">
        <v>30</v>
      </c>
      <c r="B1046" s="5" t="s">
        <v>114</v>
      </c>
      <c r="C1046" s="5">
        <v>10</v>
      </c>
      <c r="D1046" s="5" t="s">
        <v>86</v>
      </c>
      <c r="E1046" s="5">
        <v>2022</v>
      </c>
      <c r="F1046" s="5">
        <v>6</v>
      </c>
      <c r="G1046" s="5" t="s">
        <v>39</v>
      </c>
      <c r="H1046" s="5">
        <v>2675167</v>
      </c>
      <c r="I1046" s="5">
        <v>2252638.94</v>
      </c>
      <c r="J1046" s="5">
        <v>54</v>
      </c>
      <c r="K1046" s="5">
        <v>259790</v>
      </c>
      <c r="L1046" s="5">
        <v>2921740</v>
      </c>
      <c r="M1046" s="5">
        <v>422528.06</v>
      </c>
      <c r="N1046" s="5">
        <v>0.15790000000000001</v>
      </c>
      <c r="O1046" s="5">
        <v>5</v>
      </c>
      <c r="P1046" s="5">
        <v>166735</v>
      </c>
    </row>
    <row r="1047" spans="1:16" x14ac:dyDescent="0.3">
      <c r="A1047" s="5">
        <v>79</v>
      </c>
      <c r="B1047" s="5" t="s">
        <v>114</v>
      </c>
      <c r="C1047" s="5">
        <v>10</v>
      </c>
      <c r="D1047" s="5" t="s">
        <v>86</v>
      </c>
      <c r="E1047" s="5">
        <v>2022</v>
      </c>
      <c r="F1047" s="5">
        <v>6</v>
      </c>
      <c r="G1047" s="5" t="s">
        <v>39</v>
      </c>
      <c r="H1047" s="5">
        <v>722755</v>
      </c>
      <c r="I1047" s="5">
        <v>628876.61</v>
      </c>
      <c r="J1047" s="5">
        <v>16</v>
      </c>
      <c r="K1047" s="5">
        <v>120104</v>
      </c>
      <c r="L1047" s="5">
        <v>841960</v>
      </c>
      <c r="M1047" s="5">
        <v>93878.39</v>
      </c>
      <c r="N1047" s="5">
        <v>0.12989999999999999</v>
      </c>
      <c r="O1047" s="5">
        <v>0</v>
      </c>
      <c r="P1047" s="5">
        <v>0</v>
      </c>
    </row>
    <row r="1048" spans="1:16" x14ac:dyDescent="0.3">
      <c r="A1048" s="5">
        <v>30</v>
      </c>
      <c r="B1048" s="5" t="s">
        <v>114</v>
      </c>
      <c r="C1048" s="5">
        <v>10</v>
      </c>
      <c r="D1048" s="5" t="s">
        <v>86</v>
      </c>
      <c r="E1048" s="5">
        <v>2022</v>
      </c>
      <c r="F1048" s="5">
        <v>7</v>
      </c>
      <c r="G1048" s="5" t="s">
        <v>40</v>
      </c>
      <c r="H1048" s="5">
        <v>4819296</v>
      </c>
      <c r="I1048" s="5">
        <v>4230988.1399999997</v>
      </c>
      <c r="J1048" s="5">
        <v>70</v>
      </c>
      <c r="K1048" s="5">
        <v>684420</v>
      </c>
      <c r="L1048" s="5">
        <v>5485220</v>
      </c>
      <c r="M1048" s="5">
        <v>588307.86</v>
      </c>
      <c r="N1048" s="5">
        <v>0.1221</v>
      </c>
      <c r="O1048" s="5">
        <v>8</v>
      </c>
      <c r="P1048" s="5">
        <v>145371</v>
      </c>
    </row>
    <row r="1049" spans="1:16" x14ac:dyDescent="0.3">
      <c r="A1049" s="5">
        <v>79</v>
      </c>
      <c r="B1049" s="5" t="s">
        <v>114</v>
      </c>
      <c r="C1049" s="5">
        <v>10</v>
      </c>
      <c r="D1049" s="5" t="s">
        <v>86</v>
      </c>
      <c r="E1049" s="5">
        <v>2022</v>
      </c>
      <c r="F1049" s="5">
        <v>7</v>
      </c>
      <c r="G1049" s="5" t="s">
        <v>40</v>
      </c>
      <c r="H1049" s="5">
        <v>793287</v>
      </c>
      <c r="I1049" s="5">
        <v>701608.9</v>
      </c>
      <c r="J1049" s="5">
        <v>14</v>
      </c>
      <c r="K1049" s="5">
        <v>141372</v>
      </c>
      <c r="L1049" s="5">
        <v>931250</v>
      </c>
      <c r="M1049" s="5">
        <v>91678.1</v>
      </c>
      <c r="N1049" s="5">
        <v>0.11559999999999999</v>
      </c>
      <c r="O1049" s="5">
        <v>1</v>
      </c>
      <c r="P1049" s="5">
        <v>33718</v>
      </c>
    </row>
    <row r="1050" spans="1:16" x14ac:dyDescent="0.3">
      <c r="A1050" s="5">
        <v>30</v>
      </c>
      <c r="B1050" s="5" t="s">
        <v>114</v>
      </c>
      <c r="C1050" s="5">
        <v>10</v>
      </c>
      <c r="D1050" s="5" t="s">
        <v>86</v>
      </c>
      <c r="E1050" s="5">
        <v>2022</v>
      </c>
      <c r="F1050" s="5">
        <v>8</v>
      </c>
      <c r="G1050" s="5" t="s">
        <v>41</v>
      </c>
      <c r="H1050" s="5">
        <v>3474343</v>
      </c>
      <c r="I1050" s="5">
        <v>3442383.62</v>
      </c>
      <c r="J1050" s="5">
        <v>56</v>
      </c>
      <c r="K1050" s="5">
        <v>890150</v>
      </c>
      <c r="L1050" s="5">
        <v>4348520</v>
      </c>
      <c r="M1050" s="5">
        <v>31959.38</v>
      </c>
      <c r="N1050" s="5">
        <v>9.1999999999999998E-3</v>
      </c>
      <c r="O1050" s="5">
        <v>4</v>
      </c>
      <c r="P1050" s="5">
        <v>46785</v>
      </c>
    </row>
    <row r="1051" spans="1:16" x14ac:dyDescent="0.3">
      <c r="A1051" s="5">
        <v>79</v>
      </c>
      <c r="B1051" s="5" t="s">
        <v>114</v>
      </c>
      <c r="C1051" s="5">
        <v>10</v>
      </c>
      <c r="D1051" s="5" t="s">
        <v>86</v>
      </c>
      <c r="E1051" s="5">
        <v>2022</v>
      </c>
      <c r="F1051" s="5">
        <v>8</v>
      </c>
      <c r="G1051" s="5" t="s">
        <v>41</v>
      </c>
      <c r="H1051" s="5">
        <v>699976</v>
      </c>
      <c r="I1051" s="5">
        <v>664687.12</v>
      </c>
      <c r="J1051" s="5">
        <v>11</v>
      </c>
      <c r="K1051" s="5">
        <v>183733</v>
      </c>
      <c r="L1051" s="5">
        <v>879930</v>
      </c>
      <c r="M1051" s="5">
        <v>35288.879999999997</v>
      </c>
      <c r="N1051" s="5">
        <v>5.04E-2</v>
      </c>
      <c r="O1051" s="5">
        <v>1</v>
      </c>
      <c r="P1051" s="5">
        <v>2752</v>
      </c>
    </row>
    <row r="1052" spans="1:16" x14ac:dyDescent="0.3">
      <c r="A1052" s="5">
        <v>30</v>
      </c>
      <c r="B1052" s="5" t="s">
        <v>114</v>
      </c>
      <c r="C1052" s="5">
        <v>10</v>
      </c>
      <c r="D1052" s="5" t="s">
        <v>86</v>
      </c>
      <c r="E1052" s="5">
        <v>2022</v>
      </c>
      <c r="F1052" s="5">
        <v>9</v>
      </c>
      <c r="G1052" s="5" t="s">
        <v>42</v>
      </c>
      <c r="H1052" s="5">
        <v>3802242</v>
      </c>
      <c r="I1052" s="5">
        <v>3224498.83</v>
      </c>
      <c r="J1052" s="5">
        <v>77</v>
      </c>
      <c r="K1052" s="5">
        <v>348386</v>
      </c>
      <c r="L1052" s="5">
        <v>4135270</v>
      </c>
      <c r="M1052" s="5">
        <v>577743.17000000004</v>
      </c>
      <c r="N1052" s="5">
        <v>0.15190000000000001</v>
      </c>
      <c r="O1052" s="5">
        <v>4</v>
      </c>
      <c r="P1052" s="5">
        <v>20283</v>
      </c>
    </row>
    <row r="1053" spans="1:16" x14ac:dyDescent="0.3">
      <c r="A1053" s="5">
        <v>79</v>
      </c>
      <c r="B1053" s="5" t="s">
        <v>114</v>
      </c>
      <c r="C1053" s="5">
        <v>10</v>
      </c>
      <c r="D1053" s="5" t="s">
        <v>86</v>
      </c>
      <c r="E1053" s="5">
        <v>2022</v>
      </c>
      <c r="F1053" s="5">
        <v>9</v>
      </c>
      <c r="G1053" s="5" t="s">
        <v>42</v>
      </c>
      <c r="H1053" s="5">
        <v>1465919</v>
      </c>
      <c r="I1053" s="5">
        <v>1302810.19</v>
      </c>
      <c r="J1053" s="5">
        <v>23</v>
      </c>
      <c r="K1053" s="5">
        <v>238785</v>
      </c>
      <c r="L1053" s="5">
        <v>1702800</v>
      </c>
      <c r="M1053" s="5">
        <v>163108.81</v>
      </c>
      <c r="N1053" s="5">
        <v>0.1113</v>
      </c>
      <c r="O1053" s="5">
        <v>0</v>
      </c>
      <c r="P1053" s="5">
        <v>0</v>
      </c>
    </row>
    <row r="1054" spans="1:16" x14ac:dyDescent="0.3">
      <c r="A1054" s="5">
        <v>30</v>
      </c>
      <c r="B1054" s="5" t="s">
        <v>114</v>
      </c>
      <c r="C1054" s="5">
        <v>10</v>
      </c>
      <c r="D1054" s="5" t="s">
        <v>86</v>
      </c>
      <c r="E1054" s="5">
        <v>2022</v>
      </c>
      <c r="F1054" s="5">
        <v>10</v>
      </c>
      <c r="G1054" s="5" t="s">
        <v>43</v>
      </c>
      <c r="H1054" s="5">
        <v>5503822</v>
      </c>
      <c r="I1054" s="5">
        <v>4952731.4800000004</v>
      </c>
      <c r="J1054" s="5">
        <v>89</v>
      </c>
      <c r="K1054" s="5">
        <v>773810</v>
      </c>
      <c r="L1054" s="5">
        <v>6263600</v>
      </c>
      <c r="M1054" s="5">
        <v>551090.52</v>
      </c>
      <c r="N1054" s="5">
        <v>0.10009999999999999</v>
      </c>
      <c r="O1054" s="5">
        <v>5</v>
      </c>
      <c r="P1054" s="5">
        <v>62431</v>
      </c>
    </row>
    <row r="1055" spans="1:16" x14ac:dyDescent="0.3">
      <c r="A1055" s="5">
        <v>79</v>
      </c>
      <c r="B1055" s="5" t="s">
        <v>114</v>
      </c>
      <c r="C1055" s="5">
        <v>10</v>
      </c>
      <c r="D1055" s="5" t="s">
        <v>86</v>
      </c>
      <c r="E1055" s="5">
        <v>2022</v>
      </c>
      <c r="F1055" s="5">
        <v>10</v>
      </c>
      <c r="G1055" s="5" t="s">
        <v>43</v>
      </c>
      <c r="H1055" s="5">
        <v>1231830</v>
      </c>
      <c r="I1055" s="5">
        <v>1129573.8700000001</v>
      </c>
      <c r="J1055" s="5">
        <v>20</v>
      </c>
      <c r="K1055" s="5">
        <v>256832</v>
      </c>
      <c r="L1055" s="5">
        <v>1487350</v>
      </c>
      <c r="M1055" s="5">
        <v>102256.13</v>
      </c>
      <c r="N1055" s="5">
        <v>8.3000000000000004E-2</v>
      </c>
      <c r="O1055" s="5">
        <v>1</v>
      </c>
      <c r="P1055" s="5">
        <v>2583</v>
      </c>
    </row>
    <row r="1056" spans="1:16" x14ac:dyDescent="0.3">
      <c r="A1056" s="5">
        <v>30</v>
      </c>
      <c r="B1056" s="5" t="s">
        <v>114</v>
      </c>
      <c r="C1056" s="5">
        <v>10</v>
      </c>
      <c r="D1056" s="5" t="s">
        <v>86</v>
      </c>
      <c r="E1056" s="5">
        <v>2022</v>
      </c>
      <c r="F1056" s="5">
        <v>11</v>
      </c>
      <c r="G1056" s="5" t="s">
        <v>44</v>
      </c>
      <c r="H1056" s="5">
        <v>5963058</v>
      </c>
      <c r="I1056" s="5">
        <v>4867524.75</v>
      </c>
      <c r="J1056" s="5">
        <v>91</v>
      </c>
      <c r="K1056" s="5">
        <v>395102</v>
      </c>
      <c r="L1056" s="5">
        <v>6328440</v>
      </c>
      <c r="M1056" s="5">
        <v>1095533.25</v>
      </c>
      <c r="N1056" s="5">
        <v>0.1837</v>
      </c>
      <c r="O1056" s="5">
        <v>7</v>
      </c>
      <c r="P1056" s="5">
        <v>294364</v>
      </c>
    </row>
    <row r="1057" spans="1:16" x14ac:dyDescent="0.3">
      <c r="A1057" s="5">
        <v>79</v>
      </c>
      <c r="B1057" s="5" t="s">
        <v>114</v>
      </c>
      <c r="C1057" s="5">
        <v>10</v>
      </c>
      <c r="D1057" s="5" t="s">
        <v>86</v>
      </c>
      <c r="E1057" s="5">
        <v>2022</v>
      </c>
      <c r="F1057" s="5">
        <v>11</v>
      </c>
      <c r="G1057" s="5" t="s">
        <v>44</v>
      </c>
      <c r="H1057" s="5">
        <v>1200557</v>
      </c>
      <c r="I1057" s="5">
        <v>978602.7</v>
      </c>
      <c r="J1057" s="5">
        <v>23</v>
      </c>
      <c r="K1057" s="5">
        <v>137796</v>
      </c>
      <c r="L1057" s="5">
        <v>1334630</v>
      </c>
      <c r="M1057" s="5">
        <v>221954.3</v>
      </c>
      <c r="N1057" s="5">
        <v>0.18490000000000001</v>
      </c>
      <c r="O1057" s="5">
        <v>1</v>
      </c>
      <c r="P1057" s="5">
        <v>1763</v>
      </c>
    </row>
    <row r="1058" spans="1:16" x14ac:dyDescent="0.3">
      <c r="A1058" s="5">
        <v>30</v>
      </c>
      <c r="B1058" s="5" t="s">
        <v>114</v>
      </c>
      <c r="C1058" s="5">
        <v>10</v>
      </c>
      <c r="D1058" s="5" t="s">
        <v>86</v>
      </c>
      <c r="E1058" s="5">
        <v>2022</v>
      </c>
      <c r="F1058" s="5">
        <v>12</v>
      </c>
      <c r="G1058" s="5" t="s">
        <v>45</v>
      </c>
      <c r="H1058" s="5">
        <v>5354298</v>
      </c>
      <c r="I1058" s="5">
        <v>4605562.5999999996</v>
      </c>
      <c r="J1058" s="5">
        <v>92</v>
      </c>
      <c r="K1058" s="5">
        <v>513003</v>
      </c>
      <c r="L1058" s="5">
        <v>5857370</v>
      </c>
      <c r="M1058" s="5">
        <v>748735.4</v>
      </c>
      <c r="N1058" s="5">
        <v>0.13980000000000001</v>
      </c>
      <c r="O1058" s="5">
        <v>10</v>
      </c>
      <c r="P1058" s="5">
        <v>198056</v>
      </c>
    </row>
    <row r="1059" spans="1:16" x14ac:dyDescent="0.3">
      <c r="A1059" s="5">
        <v>79</v>
      </c>
      <c r="B1059" s="5" t="s">
        <v>114</v>
      </c>
      <c r="C1059" s="5">
        <v>10</v>
      </c>
      <c r="D1059" s="5" t="s">
        <v>86</v>
      </c>
      <c r="E1059" s="5">
        <v>2022</v>
      </c>
      <c r="F1059" s="5">
        <v>12</v>
      </c>
      <c r="G1059" s="5" t="s">
        <v>45</v>
      </c>
      <c r="H1059" s="5">
        <v>1059631</v>
      </c>
      <c r="I1059" s="5">
        <v>862933.47</v>
      </c>
      <c r="J1059" s="5">
        <v>14</v>
      </c>
      <c r="K1059" s="5">
        <v>52554</v>
      </c>
      <c r="L1059" s="5">
        <v>1108320</v>
      </c>
      <c r="M1059" s="5">
        <v>196697.53</v>
      </c>
      <c r="N1059" s="5">
        <v>0.18559999999999999</v>
      </c>
      <c r="O1059" s="5">
        <v>0</v>
      </c>
      <c r="P1059" s="5">
        <v>0</v>
      </c>
    </row>
    <row r="1060" spans="1:16" x14ac:dyDescent="0.3">
      <c r="A1060" s="5">
        <v>30</v>
      </c>
      <c r="B1060" s="5" t="s">
        <v>114</v>
      </c>
      <c r="C1060" s="5">
        <v>10</v>
      </c>
      <c r="D1060" s="5" t="s">
        <v>86</v>
      </c>
      <c r="E1060" s="5">
        <v>2023</v>
      </c>
      <c r="F1060" s="5">
        <v>1</v>
      </c>
      <c r="G1060" s="5" t="s">
        <v>46</v>
      </c>
      <c r="H1060" s="5">
        <v>5051497</v>
      </c>
      <c r="I1060" s="5">
        <v>4693929.0199999996</v>
      </c>
      <c r="J1060" s="5">
        <v>63</v>
      </c>
      <c r="K1060" s="5">
        <v>954911</v>
      </c>
      <c r="L1060" s="5">
        <v>5994330</v>
      </c>
      <c r="M1060" s="5">
        <v>357567.98</v>
      </c>
      <c r="N1060" s="5">
        <v>7.0800000000000002E-2</v>
      </c>
      <c r="O1060" s="5">
        <v>3</v>
      </c>
      <c r="P1060" s="5">
        <v>118274</v>
      </c>
    </row>
    <row r="1061" spans="1:16" x14ac:dyDescent="0.3">
      <c r="A1061" s="5">
        <v>79</v>
      </c>
      <c r="B1061" s="5" t="s">
        <v>114</v>
      </c>
      <c r="C1061" s="5">
        <v>10</v>
      </c>
      <c r="D1061" s="5" t="s">
        <v>86</v>
      </c>
      <c r="E1061" s="5">
        <v>2023</v>
      </c>
      <c r="F1061" s="5">
        <v>1</v>
      </c>
      <c r="G1061" s="5" t="s">
        <v>46</v>
      </c>
      <c r="H1061" s="5">
        <v>1382934</v>
      </c>
      <c r="I1061" s="5">
        <v>1214279.17</v>
      </c>
      <c r="J1061" s="5">
        <v>16</v>
      </c>
      <c r="K1061" s="5">
        <v>141711</v>
      </c>
      <c r="L1061" s="5">
        <v>1516650</v>
      </c>
      <c r="M1061" s="5">
        <v>168654.83</v>
      </c>
      <c r="N1061" s="5">
        <v>0.122</v>
      </c>
      <c r="O1061" s="5">
        <v>3</v>
      </c>
      <c r="P1061" s="5">
        <v>16703</v>
      </c>
    </row>
    <row r="1062" spans="1:16" x14ac:dyDescent="0.3">
      <c r="A1062" s="5">
        <v>30</v>
      </c>
      <c r="B1062" s="5" t="s">
        <v>114</v>
      </c>
      <c r="C1062" s="5">
        <v>10</v>
      </c>
      <c r="D1062" s="5" t="s">
        <v>86</v>
      </c>
      <c r="E1062" s="5">
        <v>2023</v>
      </c>
      <c r="F1062" s="5">
        <v>2</v>
      </c>
      <c r="G1062" s="5" t="s">
        <v>47</v>
      </c>
      <c r="H1062" s="5">
        <v>3913955</v>
      </c>
      <c r="I1062" s="5">
        <v>3435571.38</v>
      </c>
      <c r="J1062" s="5">
        <v>53</v>
      </c>
      <c r="K1062" s="5">
        <v>457711</v>
      </c>
      <c r="L1062" s="5">
        <v>4352990</v>
      </c>
      <c r="M1062" s="5">
        <v>478383.62</v>
      </c>
      <c r="N1062" s="5">
        <v>0.1222</v>
      </c>
      <c r="O1062" s="5">
        <v>7</v>
      </c>
      <c r="P1062" s="5">
        <v>269896</v>
      </c>
    </row>
    <row r="1063" spans="1:16" x14ac:dyDescent="0.3">
      <c r="A1063" s="5">
        <v>79</v>
      </c>
      <c r="B1063" s="5" t="s">
        <v>114</v>
      </c>
      <c r="C1063" s="5">
        <v>10</v>
      </c>
      <c r="D1063" s="5" t="s">
        <v>86</v>
      </c>
      <c r="E1063" s="5">
        <v>2023</v>
      </c>
      <c r="F1063" s="5">
        <v>2</v>
      </c>
      <c r="G1063" s="5" t="s">
        <v>47</v>
      </c>
      <c r="H1063" s="5">
        <v>528966</v>
      </c>
      <c r="I1063" s="5">
        <v>418899.02</v>
      </c>
      <c r="J1063" s="5">
        <v>13</v>
      </c>
      <c r="K1063" s="5">
        <v>46058</v>
      </c>
      <c r="L1063" s="5">
        <v>570690</v>
      </c>
      <c r="M1063" s="5">
        <v>110066.98</v>
      </c>
      <c r="N1063" s="5">
        <v>0.20810000000000001</v>
      </c>
      <c r="O1063" s="5">
        <v>2</v>
      </c>
      <c r="P1063" s="5">
        <v>11273</v>
      </c>
    </row>
    <row r="1064" spans="1:16" x14ac:dyDescent="0.3">
      <c r="A1064" s="5">
        <v>30</v>
      </c>
      <c r="B1064" s="5" t="s">
        <v>114</v>
      </c>
      <c r="C1064" s="5">
        <v>10</v>
      </c>
      <c r="D1064" s="5" t="s">
        <v>86</v>
      </c>
      <c r="E1064" s="5">
        <v>2023</v>
      </c>
      <c r="F1064" s="5">
        <v>3</v>
      </c>
      <c r="G1064" s="5" t="s">
        <v>48</v>
      </c>
      <c r="H1064" s="5">
        <v>6486555</v>
      </c>
      <c r="I1064" s="5">
        <v>5705706.5099999998</v>
      </c>
      <c r="J1064" s="5">
        <v>80</v>
      </c>
      <c r="K1064" s="5">
        <v>778952</v>
      </c>
      <c r="L1064" s="5">
        <v>7238530</v>
      </c>
      <c r="M1064" s="5">
        <v>780848.49</v>
      </c>
      <c r="N1064" s="5">
        <v>0.12039999999999999</v>
      </c>
      <c r="O1064" s="5">
        <v>2</v>
      </c>
      <c r="P1064" s="5">
        <v>45772</v>
      </c>
    </row>
    <row r="1065" spans="1:16" x14ac:dyDescent="0.3">
      <c r="A1065" s="5">
        <v>79</v>
      </c>
      <c r="B1065" s="5" t="s">
        <v>114</v>
      </c>
      <c r="C1065" s="5">
        <v>10</v>
      </c>
      <c r="D1065" s="5" t="s">
        <v>86</v>
      </c>
      <c r="E1065" s="5">
        <v>2023</v>
      </c>
      <c r="F1065" s="5">
        <v>3</v>
      </c>
      <c r="G1065" s="5" t="s">
        <v>48</v>
      </c>
      <c r="H1065" s="5">
        <v>833006</v>
      </c>
      <c r="I1065" s="5">
        <v>667255.24</v>
      </c>
      <c r="J1065" s="5">
        <v>11</v>
      </c>
      <c r="K1065" s="5">
        <v>15892</v>
      </c>
      <c r="L1065" s="5">
        <v>846410</v>
      </c>
      <c r="M1065" s="5">
        <v>165750.76</v>
      </c>
      <c r="N1065" s="5">
        <v>0.19900000000000001</v>
      </c>
      <c r="O1065" s="5">
        <v>1</v>
      </c>
      <c r="P1065" s="5">
        <v>1807</v>
      </c>
    </row>
    <row r="1066" spans="1:16" x14ac:dyDescent="0.3">
      <c r="A1066" s="5">
        <v>30</v>
      </c>
      <c r="B1066" s="5" t="s">
        <v>114</v>
      </c>
      <c r="C1066" s="5">
        <v>10</v>
      </c>
      <c r="D1066" s="5" t="s">
        <v>86</v>
      </c>
      <c r="E1066" s="5">
        <v>2023</v>
      </c>
      <c r="F1066" s="5">
        <v>4</v>
      </c>
      <c r="G1066" s="5" t="s">
        <v>49</v>
      </c>
      <c r="H1066" s="5">
        <v>6953720</v>
      </c>
      <c r="I1066" s="5">
        <v>6276051.1299999999</v>
      </c>
      <c r="J1066" s="5">
        <v>95</v>
      </c>
      <c r="K1066" s="5">
        <v>1057467</v>
      </c>
      <c r="L1066" s="5">
        <v>7991520</v>
      </c>
      <c r="M1066" s="5">
        <v>677668.87</v>
      </c>
      <c r="N1066" s="5">
        <v>9.7500000000000003E-2</v>
      </c>
      <c r="O1066" s="5">
        <v>11</v>
      </c>
      <c r="P1066" s="5">
        <v>413390</v>
      </c>
    </row>
    <row r="1067" spans="1:16" x14ac:dyDescent="0.3">
      <c r="A1067" s="5">
        <v>79</v>
      </c>
      <c r="B1067" s="5" t="s">
        <v>114</v>
      </c>
      <c r="C1067" s="5">
        <v>10</v>
      </c>
      <c r="D1067" s="5" t="s">
        <v>86</v>
      </c>
      <c r="E1067" s="5">
        <v>2023</v>
      </c>
      <c r="F1067" s="5">
        <v>4</v>
      </c>
      <c r="G1067" s="5" t="s">
        <v>49</v>
      </c>
      <c r="H1067" s="5">
        <v>583426</v>
      </c>
      <c r="I1067" s="5">
        <v>527547.19999999995</v>
      </c>
      <c r="J1067" s="5">
        <v>15</v>
      </c>
      <c r="K1067" s="5">
        <v>100971</v>
      </c>
      <c r="L1067" s="5">
        <v>683780</v>
      </c>
      <c r="M1067" s="5">
        <v>55878.8</v>
      </c>
      <c r="N1067" s="5">
        <v>9.5799999999999996E-2</v>
      </c>
      <c r="O1067" s="5">
        <v>1</v>
      </c>
      <c r="P1067" s="5">
        <v>1795</v>
      </c>
    </row>
    <row r="1068" spans="1:16" x14ac:dyDescent="0.3">
      <c r="A1068" s="5">
        <v>30</v>
      </c>
      <c r="B1068" s="5" t="s">
        <v>114</v>
      </c>
      <c r="C1068" s="5">
        <v>10</v>
      </c>
      <c r="D1068" s="5" t="s">
        <v>86</v>
      </c>
      <c r="E1068" s="5">
        <v>2023</v>
      </c>
      <c r="F1068" s="5">
        <v>5</v>
      </c>
      <c r="G1068" s="5" t="s">
        <v>50</v>
      </c>
      <c r="H1068" s="5">
        <v>5099916</v>
      </c>
      <c r="I1068" s="5">
        <v>4393959.63</v>
      </c>
      <c r="J1068" s="5">
        <v>86</v>
      </c>
      <c r="K1068" s="5">
        <v>655444</v>
      </c>
      <c r="L1068" s="5">
        <v>5742310</v>
      </c>
      <c r="M1068" s="5">
        <v>705956.37</v>
      </c>
      <c r="N1068" s="5">
        <v>0.1384</v>
      </c>
      <c r="O1068" s="5">
        <v>7</v>
      </c>
      <c r="P1068" s="5">
        <v>188550</v>
      </c>
    </row>
    <row r="1069" spans="1:16" x14ac:dyDescent="0.3">
      <c r="A1069" s="5">
        <v>79</v>
      </c>
      <c r="B1069" s="5" t="s">
        <v>114</v>
      </c>
      <c r="C1069" s="5">
        <v>10</v>
      </c>
      <c r="D1069" s="5" t="s">
        <v>86</v>
      </c>
      <c r="E1069" s="5">
        <v>2023</v>
      </c>
      <c r="F1069" s="5">
        <v>5</v>
      </c>
      <c r="G1069" s="5" t="s">
        <v>50</v>
      </c>
      <c r="H1069" s="5">
        <v>2405099</v>
      </c>
      <c r="I1069" s="5">
        <v>2082368.16</v>
      </c>
      <c r="J1069" s="5">
        <v>26</v>
      </c>
      <c r="K1069" s="5">
        <v>238366</v>
      </c>
      <c r="L1069" s="5">
        <v>2637440</v>
      </c>
      <c r="M1069" s="5">
        <v>322730.84000000003</v>
      </c>
      <c r="N1069" s="5">
        <v>0.13420000000000001</v>
      </c>
      <c r="O1069" s="5">
        <v>4</v>
      </c>
      <c r="P1069" s="5">
        <v>220970</v>
      </c>
    </row>
    <row r="1070" spans="1:16" x14ac:dyDescent="0.3">
      <c r="A1070" s="5">
        <v>30</v>
      </c>
      <c r="B1070" s="5" t="s">
        <v>114</v>
      </c>
      <c r="C1070" s="5">
        <v>10</v>
      </c>
      <c r="D1070" s="5" t="s">
        <v>86</v>
      </c>
      <c r="E1070" s="5">
        <v>2023</v>
      </c>
      <c r="F1070" s="5">
        <v>6</v>
      </c>
      <c r="G1070" s="5" t="s">
        <v>51</v>
      </c>
      <c r="H1070" s="5">
        <v>4188844</v>
      </c>
      <c r="I1070" s="5">
        <v>3409204.46</v>
      </c>
      <c r="J1070" s="5">
        <v>85</v>
      </c>
      <c r="K1070" s="5">
        <v>343030</v>
      </c>
      <c r="L1070" s="5">
        <v>4512850</v>
      </c>
      <c r="M1070" s="5">
        <v>779639.54</v>
      </c>
      <c r="N1070" s="5">
        <v>0.18609999999999999</v>
      </c>
      <c r="O1070" s="5">
        <v>8</v>
      </c>
      <c r="P1070" s="5">
        <v>72849</v>
      </c>
    </row>
    <row r="1071" spans="1:16" x14ac:dyDescent="0.3">
      <c r="A1071" s="5">
        <v>79</v>
      </c>
      <c r="B1071" s="5" t="s">
        <v>114</v>
      </c>
      <c r="C1071" s="5">
        <v>10</v>
      </c>
      <c r="D1071" s="5" t="s">
        <v>86</v>
      </c>
      <c r="E1071" s="5">
        <v>2023</v>
      </c>
      <c r="F1071" s="5">
        <v>6</v>
      </c>
      <c r="G1071" s="5" t="s">
        <v>51</v>
      </c>
      <c r="H1071" s="5">
        <v>642356</v>
      </c>
      <c r="I1071" s="5">
        <v>546887.23</v>
      </c>
      <c r="J1071" s="5">
        <v>13</v>
      </c>
      <c r="K1071" s="5">
        <v>99770</v>
      </c>
      <c r="L1071" s="5">
        <v>739830</v>
      </c>
      <c r="M1071" s="5">
        <v>95468.77</v>
      </c>
      <c r="N1071" s="5">
        <v>0.14860000000000001</v>
      </c>
      <c r="O1071" s="5">
        <v>2</v>
      </c>
      <c r="P1071" s="5">
        <v>8221</v>
      </c>
    </row>
    <row r="1072" spans="1:16" x14ac:dyDescent="0.3">
      <c r="A1072" s="5">
        <v>30</v>
      </c>
      <c r="B1072" s="5" t="s">
        <v>114</v>
      </c>
      <c r="C1072" s="5">
        <v>10</v>
      </c>
      <c r="D1072" s="5" t="s">
        <v>86</v>
      </c>
      <c r="E1072" s="5">
        <v>2023</v>
      </c>
      <c r="F1072" s="5">
        <v>7</v>
      </c>
      <c r="G1072" s="5" t="s">
        <v>52</v>
      </c>
      <c r="H1072" s="5">
        <v>5580231</v>
      </c>
      <c r="I1072" s="5">
        <v>4854631.1100000003</v>
      </c>
      <c r="J1072" s="5">
        <v>86</v>
      </c>
      <c r="K1072" s="5">
        <v>723309</v>
      </c>
      <c r="L1072" s="5">
        <v>6278740</v>
      </c>
      <c r="M1072" s="5">
        <v>725599.89</v>
      </c>
      <c r="N1072" s="5">
        <v>0.13</v>
      </c>
      <c r="O1072" s="5">
        <v>7</v>
      </c>
      <c r="P1072" s="5">
        <v>58225</v>
      </c>
    </row>
    <row r="1073" spans="1:16" x14ac:dyDescent="0.3">
      <c r="A1073" s="5">
        <v>79</v>
      </c>
      <c r="B1073" s="5" t="s">
        <v>114</v>
      </c>
      <c r="C1073" s="5">
        <v>10</v>
      </c>
      <c r="D1073" s="5" t="s">
        <v>86</v>
      </c>
      <c r="E1073" s="5">
        <v>2023</v>
      </c>
      <c r="F1073" s="5">
        <v>7</v>
      </c>
      <c r="G1073" s="5" t="s">
        <v>52</v>
      </c>
      <c r="H1073" s="5">
        <v>825517</v>
      </c>
      <c r="I1073" s="5">
        <v>706193.23</v>
      </c>
      <c r="J1073" s="5">
        <v>16</v>
      </c>
      <c r="K1073" s="5">
        <v>83095</v>
      </c>
      <c r="L1073" s="5">
        <v>902040</v>
      </c>
      <c r="M1073" s="5">
        <v>119323.77</v>
      </c>
      <c r="N1073" s="5">
        <v>0.14449999999999999</v>
      </c>
      <c r="O1073" s="5">
        <v>2</v>
      </c>
      <c r="P1073" s="5">
        <v>3591</v>
      </c>
    </row>
    <row r="1074" spans="1:16" x14ac:dyDescent="0.3">
      <c r="A1074" s="5">
        <v>30</v>
      </c>
      <c r="B1074" s="5" t="s">
        <v>114</v>
      </c>
      <c r="C1074" s="5">
        <v>10</v>
      </c>
      <c r="D1074" s="5" t="s">
        <v>86</v>
      </c>
      <c r="E1074" s="5">
        <v>2023</v>
      </c>
      <c r="F1074" s="5">
        <v>8</v>
      </c>
      <c r="G1074" s="5" t="s">
        <v>53</v>
      </c>
      <c r="H1074" s="5">
        <v>5110349</v>
      </c>
      <c r="I1074" s="5">
        <v>4383812.58</v>
      </c>
      <c r="J1074" s="5">
        <v>84</v>
      </c>
      <c r="K1074" s="5">
        <v>667404</v>
      </c>
      <c r="L1074" s="5">
        <v>5754830</v>
      </c>
      <c r="M1074" s="5">
        <v>726536.42</v>
      </c>
      <c r="N1074" s="5">
        <v>0.14219999999999999</v>
      </c>
      <c r="O1074" s="5">
        <v>7</v>
      </c>
      <c r="P1074" s="5">
        <v>199813</v>
      </c>
    </row>
    <row r="1075" spans="1:16" x14ac:dyDescent="0.3">
      <c r="A1075" s="5">
        <v>79</v>
      </c>
      <c r="B1075" s="5" t="s">
        <v>114</v>
      </c>
      <c r="C1075" s="5">
        <v>10</v>
      </c>
      <c r="D1075" s="5" t="s">
        <v>86</v>
      </c>
      <c r="E1075" s="5">
        <v>2023</v>
      </c>
      <c r="F1075" s="5">
        <v>8</v>
      </c>
      <c r="G1075" s="5" t="s">
        <v>53</v>
      </c>
      <c r="H1075" s="5">
        <v>1006836</v>
      </c>
      <c r="I1075" s="5">
        <v>920841.97</v>
      </c>
      <c r="J1075" s="5">
        <v>13</v>
      </c>
      <c r="K1075" s="5">
        <v>122480</v>
      </c>
      <c r="L1075" s="5">
        <v>1125080</v>
      </c>
      <c r="M1075" s="5">
        <v>85994.03</v>
      </c>
      <c r="N1075" s="5">
        <v>8.5400000000000004E-2</v>
      </c>
      <c r="O1075" s="5">
        <v>1</v>
      </c>
      <c r="P1075" s="5">
        <v>47565</v>
      </c>
    </row>
    <row r="1076" spans="1:16" x14ac:dyDescent="0.3">
      <c r="A1076" s="5">
        <v>30</v>
      </c>
      <c r="B1076" s="5" t="s">
        <v>114</v>
      </c>
      <c r="C1076" s="5">
        <v>10</v>
      </c>
      <c r="D1076" s="5" t="s">
        <v>86</v>
      </c>
      <c r="E1076" s="5">
        <v>2023</v>
      </c>
      <c r="F1076" s="5">
        <v>9</v>
      </c>
      <c r="G1076" s="5" t="s">
        <v>54</v>
      </c>
      <c r="H1076" s="5">
        <v>7579003</v>
      </c>
      <c r="I1076" s="5">
        <v>6717115.9500000002</v>
      </c>
      <c r="J1076" s="5">
        <v>112</v>
      </c>
      <c r="K1076" s="5">
        <v>1105280</v>
      </c>
      <c r="L1076" s="5">
        <v>8661050</v>
      </c>
      <c r="M1076" s="5">
        <v>861887.05</v>
      </c>
      <c r="N1076" s="5">
        <v>0.1137</v>
      </c>
      <c r="O1076" s="5">
        <v>17</v>
      </c>
      <c r="P1076" s="5">
        <v>279001</v>
      </c>
    </row>
    <row r="1077" spans="1:16" x14ac:dyDescent="0.3">
      <c r="A1077" s="5">
        <v>79</v>
      </c>
      <c r="B1077" s="5" t="s">
        <v>114</v>
      </c>
      <c r="C1077" s="5">
        <v>10</v>
      </c>
      <c r="D1077" s="5" t="s">
        <v>86</v>
      </c>
      <c r="E1077" s="5">
        <v>2023</v>
      </c>
      <c r="F1077" s="5">
        <v>9</v>
      </c>
      <c r="G1077" s="5" t="s">
        <v>54</v>
      </c>
      <c r="H1077" s="5">
        <v>783807</v>
      </c>
      <c r="I1077" s="5">
        <v>656725.89</v>
      </c>
      <c r="J1077" s="5">
        <v>19</v>
      </c>
      <c r="K1077" s="5">
        <v>108573</v>
      </c>
      <c r="L1077" s="5">
        <v>889970</v>
      </c>
      <c r="M1077" s="5">
        <v>127081.11</v>
      </c>
      <c r="N1077" s="5">
        <v>0.16209999999999999</v>
      </c>
      <c r="O1077" s="5">
        <v>1</v>
      </c>
      <c r="P1077" s="5">
        <v>6596</v>
      </c>
    </row>
    <row r="1078" spans="1:16" x14ac:dyDescent="0.3">
      <c r="A1078" s="5">
        <v>30</v>
      </c>
      <c r="B1078" s="5" t="s">
        <v>114</v>
      </c>
      <c r="C1078" s="5">
        <v>10</v>
      </c>
      <c r="D1078" s="5" t="s">
        <v>86</v>
      </c>
      <c r="E1078" s="5">
        <v>2023</v>
      </c>
      <c r="F1078" s="5">
        <v>10</v>
      </c>
      <c r="G1078" s="5" t="s">
        <v>55</v>
      </c>
      <c r="H1078" s="5">
        <v>7106337</v>
      </c>
      <c r="I1078" s="5">
        <v>6172994.2999999998</v>
      </c>
      <c r="J1078" s="5">
        <v>112</v>
      </c>
      <c r="K1078" s="5">
        <v>906877</v>
      </c>
      <c r="L1078" s="5">
        <v>7987990</v>
      </c>
      <c r="M1078" s="5">
        <v>933342.7</v>
      </c>
      <c r="N1078" s="5">
        <v>0.1313</v>
      </c>
      <c r="O1078" s="5">
        <v>7</v>
      </c>
      <c r="P1078" s="5">
        <v>109188</v>
      </c>
    </row>
    <row r="1079" spans="1:16" x14ac:dyDescent="0.3">
      <c r="A1079" s="5">
        <v>79</v>
      </c>
      <c r="B1079" s="5" t="s">
        <v>114</v>
      </c>
      <c r="C1079" s="5">
        <v>10</v>
      </c>
      <c r="D1079" s="5" t="s">
        <v>86</v>
      </c>
      <c r="E1079" s="5">
        <v>2023</v>
      </c>
      <c r="F1079" s="5">
        <v>10</v>
      </c>
      <c r="G1079" s="5" t="s">
        <v>55</v>
      </c>
      <c r="H1079" s="5">
        <v>1190314</v>
      </c>
      <c r="I1079" s="5">
        <v>988558.05</v>
      </c>
      <c r="J1079" s="5">
        <v>31</v>
      </c>
      <c r="K1079" s="5">
        <v>118932</v>
      </c>
      <c r="L1079" s="5">
        <v>1304030</v>
      </c>
      <c r="M1079" s="5">
        <v>201755.95</v>
      </c>
      <c r="N1079" s="5">
        <v>0.16950000000000001</v>
      </c>
      <c r="O1079" s="5">
        <v>3</v>
      </c>
      <c r="P1079" s="5">
        <v>113606</v>
      </c>
    </row>
    <row r="1080" spans="1:16" x14ac:dyDescent="0.3">
      <c r="A1080" s="5">
        <v>30</v>
      </c>
      <c r="B1080" s="5" t="s">
        <v>114</v>
      </c>
      <c r="C1080" s="5">
        <v>10</v>
      </c>
      <c r="D1080" s="5" t="s">
        <v>86</v>
      </c>
      <c r="E1080" s="5">
        <v>2023</v>
      </c>
      <c r="F1080" s="5">
        <v>11</v>
      </c>
      <c r="G1080" s="5" t="s">
        <v>56</v>
      </c>
      <c r="H1080" s="5">
        <v>9269014</v>
      </c>
      <c r="I1080" s="5">
        <v>8569395.1899999995</v>
      </c>
      <c r="J1080" s="5">
        <v>124</v>
      </c>
      <c r="K1080" s="5">
        <v>1806326</v>
      </c>
      <c r="L1080" s="5">
        <v>11046470</v>
      </c>
      <c r="M1080" s="5">
        <v>699618.81</v>
      </c>
      <c r="N1080" s="5">
        <v>7.5499999999999998E-2</v>
      </c>
      <c r="O1080" s="5">
        <v>13</v>
      </c>
      <c r="P1080" s="5">
        <v>601558</v>
      </c>
    </row>
    <row r="1081" spans="1:16" x14ac:dyDescent="0.3">
      <c r="A1081" s="5">
        <v>79</v>
      </c>
      <c r="B1081" s="5" t="s">
        <v>114</v>
      </c>
      <c r="C1081" s="5">
        <v>10</v>
      </c>
      <c r="D1081" s="5" t="s">
        <v>86</v>
      </c>
      <c r="E1081" s="5">
        <v>2023</v>
      </c>
      <c r="F1081" s="5">
        <v>11</v>
      </c>
      <c r="G1081" s="5" t="s">
        <v>56</v>
      </c>
      <c r="H1081" s="5">
        <v>1372336</v>
      </c>
      <c r="I1081" s="5">
        <v>1275806.95</v>
      </c>
      <c r="J1081" s="5">
        <v>19</v>
      </c>
      <c r="K1081" s="5">
        <v>311295</v>
      </c>
      <c r="L1081" s="5">
        <v>1681540</v>
      </c>
      <c r="M1081" s="5">
        <v>96529.05</v>
      </c>
      <c r="N1081" s="5">
        <v>7.0300000000000001E-2</v>
      </c>
      <c r="O1081" s="5">
        <v>1</v>
      </c>
      <c r="P1081" s="5">
        <v>19883</v>
      </c>
    </row>
    <row r="1082" spans="1:16" x14ac:dyDescent="0.3">
      <c r="A1082" s="5">
        <v>30</v>
      </c>
      <c r="B1082" s="5" t="s">
        <v>114</v>
      </c>
      <c r="C1082" s="5">
        <v>10</v>
      </c>
      <c r="D1082" s="5" t="s">
        <v>86</v>
      </c>
      <c r="E1082" s="5">
        <v>2023</v>
      </c>
      <c r="F1082" s="5">
        <v>12</v>
      </c>
      <c r="G1082" s="5" t="s">
        <v>57</v>
      </c>
      <c r="H1082" s="5">
        <v>7177006</v>
      </c>
      <c r="I1082" s="5">
        <v>6129009.6399999997</v>
      </c>
      <c r="J1082" s="5">
        <v>106</v>
      </c>
      <c r="K1082" s="5">
        <v>782894</v>
      </c>
      <c r="L1082" s="5">
        <v>7926490</v>
      </c>
      <c r="M1082" s="5">
        <v>1047996.36</v>
      </c>
      <c r="N1082" s="5">
        <v>0.14599999999999999</v>
      </c>
      <c r="O1082" s="5">
        <v>11</v>
      </c>
      <c r="P1082" s="5">
        <v>623325</v>
      </c>
    </row>
    <row r="1083" spans="1:16" x14ac:dyDescent="0.3">
      <c r="A1083" s="5">
        <v>79</v>
      </c>
      <c r="B1083" s="5" t="s">
        <v>114</v>
      </c>
      <c r="C1083" s="5">
        <v>10</v>
      </c>
      <c r="D1083" s="5" t="s">
        <v>86</v>
      </c>
      <c r="E1083" s="5">
        <v>2023</v>
      </c>
      <c r="F1083" s="5">
        <v>12</v>
      </c>
      <c r="G1083" s="5" t="s">
        <v>57</v>
      </c>
      <c r="H1083" s="5">
        <v>1208197</v>
      </c>
      <c r="I1083" s="5">
        <v>1141442.08</v>
      </c>
      <c r="J1083" s="5">
        <v>25</v>
      </c>
      <c r="K1083" s="5">
        <v>265867</v>
      </c>
      <c r="L1083" s="5">
        <v>1468390</v>
      </c>
      <c r="M1083" s="5">
        <v>66754.92</v>
      </c>
      <c r="N1083" s="5">
        <v>5.5300000000000002E-2</v>
      </c>
      <c r="O1083" s="5">
        <v>0</v>
      </c>
      <c r="P1083" s="5">
        <v>0</v>
      </c>
    </row>
    <row r="1084" spans="1:16" x14ac:dyDescent="0.3">
      <c r="A1084" s="5">
        <v>30</v>
      </c>
      <c r="B1084" s="5" t="s">
        <v>114</v>
      </c>
      <c r="C1084" s="5">
        <v>10</v>
      </c>
      <c r="D1084" s="5" t="s">
        <v>86</v>
      </c>
      <c r="E1084" s="5">
        <v>2024</v>
      </c>
      <c r="F1084" s="5">
        <v>1</v>
      </c>
      <c r="G1084" s="5" t="s">
        <v>58</v>
      </c>
      <c r="H1084" s="5">
        <v>5311924</v>
      </c>
      <c r="I1084" s="5">
        <v>4705595.32</v>
      </c>
      <c r="J1084" s="5">
        <v>81</v>
      </c>
      <c r="K1084" s="5">
        <v>714263</v>
      </c>
      <c r="L1084" s="5">
        <v>6007210</v>
      </c>
      <c r="M1084" s="5">
        <v>606328.68000000005</v>
      </c>
      <c r="N1084" s="5">
        <v>0.11409999999999999</v>
      </c>
      <c r="O1084" s="5">
        <v>10</v>
      </c>
      <c r="P1084" s="5">
        <v>301956</v>
      </c>
    </row>
    <row r="1085" spans="1:16" x14ac:dyDescent="0.3">
      <c r="A1085" s="5">
        <v>79</v>
      </c>
      <c r="B1085" s="5" t="s">
        <v>114</v>
      </c>
      <c r="C1085" s="5">
        <v>10</v>
      </c>
      <c r="D1085" s="5" t="s">
        <v>86</v>
      </c>
      <c r="E1085" s="5">
        <v>2024</v>
      </c>
      <c r="F1085" s="5">
        <v>1</v>
      </c>
      <c r="G1085" s="5" t="s">
        <v>58</v>
      </c>
      <c r="H1085" s="5">
        <v>1147932</v>
      </c>
      <c r="I1085" s="5">
        <v>1031168.24</v>
      </c>
      <c r="J1085" s="5">
        <v>21</v>
      </c>
      <c r="K1085" s="5">
        <v>254286</v>
      </c>
      <c r="L1085" s="5">
        <v>1401250</v>
      </c>
      <c r="M1085" s="5">
        <v>116763.76</v>
      </c>
      <c r="N1085" s="5">
        <v>0.1017</v>
      </c>
      <c r="O1085" s="5">
        <v>2</v>
      </c>
      <c r="P1085" s="5">
        <v>26396</v>
      </c>
    </row>
    <row r="1086" spans="1:16" x14ac:dyDescent="0.3">
      <c r="A1086" s="5">
        <v>30</v>
      </c>
      <c r="B1086" s="5" t="s">
        <v>114</v>
      </c>
      <c r="C1086" s="5">
        <v>10</v>
      </c>
      <c r="D1086" s="5" t="s">
        <v>86</v>
      </c>
      <c r="E1086" s="5">
        <v>2024</v>
      </c>
      <c r="F1086" s="5">
        <v>2</v>
      </c>
      <c r="G1086" s="5" t="s">
        <v>59</v>
      </c>
      <c r="H1086" s="5">
        <v>3767475</v>
      </c>
      <c r="I1086" s="5">
        <v>3145575.59</v>
      </c>
      <c r="J1086" s="5">
        <v>66</v>
      </c>
      <c r="K1086" s="5">
        <v>353269</v>
      </c>
      <c r="L1086" s="5">
        <v>4100900</v>
      </c>
      <c r="M1086" s="5">
        <v>621899.41</v>
      </c>
      <c r="N1086" s="5">
        <v>0.1651</v>
      </c>
      <c r="O1086" s="5">
        <v>8</v>
      </c>
      <c r="P1086" s="5">
        <v>102165</v>
      </c>
    </row>
    <row r="1087" spans="1:16" x14ac:dyDescent="0.3">
      <c r="A1087" s="5">
        <v>79</v>
      </c>
      <c r="B1087" s="5" t="s">
        <v>114</v>
      </c>
      <c r="C1087" s="5">
        <v>10</v>
      </c>
      <c r="D1087" s="5" t="s">
        <v>86</v>
      </c>
      <c r="E1087" s="5">
        <v>2024</v>
      </c>
      <c r="F1087" s="5">
        <v>2</v>
      </c>
      <c r="G1087" s="5" t="s">
        <v>59</v>
      </c>
      <c r="H1087" s="5">
        <v>970221</v>
      </c>
      <c r="I1087" s="5">
        <v>833877.07</v>
      </c>
      <c r="J1087" s="5">
        <v>23</v>
      </c>
      <c r="K1087" s="5">
        <v>120476</v>
      </c>
      <c r="L1087" s="5">
        <v>1085050</v>
      </c>
      <c r="M1087" s="5">
        <v>136343.93</v>
      </c>
      <c r="N1087" s="5">
        <v>0.14050000000000001</v>
      </c>
      <c r="O1087" s="5">
        <v>1</v>
      </c>
      <c r="P1087" s="5">
        <v>3216</v>
      </c>
    </row>
    <row r="1088" spans="1:16" x14ac:dyDescent="0.3">
      <c r="A1088" s="5">
        <v>30</v>
      </c>
      <c r="B1088" s="5" t="s">
        <v>114</v>
      </c>
      <c r="C1088" s="5">
        <v>10</v>
      </c>
      <c r="D1088" s="5" t="s">
        <v>86</v>
      </c>
      <c r="E1088" s="5">
        <v>2024</v>
      </c>
      <c r="F1088" s="5">
        <v>3</v>
      </c>
      <c r="G1088" s="5" t="s">
        <v>60</v>
      </c>
      <c r="H1088" s="5">
        <v>3702572</v>
      </c>
      <c r="I1088" s="5">
        <v>3121768.7</v>
      </c>
      <c r="J1088" s="5">
        <v>61</v>
      </c>
      <c r="K1088" s="5">
        <v>324035</v>
      </c>
      <c r="L1088" s="5">
        <v>4015840</v>
      </c>
      <c r="M1088" s="5">
        <v>580803.30000000005</v>
      </c>
      <c r="N1088" s="5">
        <v>0.15690000000000001</v>
      </c>
      <c r="O1088" s="5">
        <v>4</v>
      </c>
      <c r="P1088" s="5">
        <v>133022</v>
      </c>
    </row>
    <row r="1089" spans="1:16" x14ac:dyDescent="0.3">
      <c r="A1089" s="5">
        <v>79</v>
      </c>
      <c r="B1089" s="5" t="s">
        <v>114</v>
      </c>
      <c r="C1089" s="5">
        <v>10</v>
      </c>
      <c r="D1089" s="5" t="s">
        <v>86</v>
      </c>
      <c r="E1089" s="5">
        <v>2024</v>
      </c>
      <c r="F1089" s="5">
        <v>3</v>
      </c>
      <c r="G1089" s="5" t="s">
        <v>60</v>
      </c>
      <c r="H1089" s="5">
        <v>897272</v>
      </c>
      <c r="I1089" s="5">
        <v>777816.95</v>
      </c>
      <c r="J1089" s="5">
        <v>16</v>
      </c>
      <c r="K1089" s="5">
        <v>75473</v>
      </c>
      <c r="L1089" s="5">
        <v>971000</v>
      </c>
      <c r="M1089" s="5">
        <v>119455.05</v>
      </c>
      <c r="N1089" s="5">
        <v>0.1331</v>
      </c>
      <c r="O1089" s="5">
        <v>1</v>
      </c>
      <c r="P1089" s="5">
        <v>7016</v>
      </c>
    </row>
    <row r="1090" spans="1:16" x14ac:dyDescent="0.3">
      <c r="A1090" s="5">
        <v>30</v>
      </c>
      <c r="B1090" s="5" t="s">
        <v>114</v>
      </c>
      <c r="C1090" s="5">
        <v>10</v>
      </c>
      <c r="D1090" s="5" t="s">
        <v>86</v>
      </c>
      <c r="E1090" s="5">
        <v>2024</v>
      </c>
      <c r="F1090" s="5">
        <v>4</v>
      </c>
      <c r="G1090" s="5" t="s">
        <v>61</v>
      </c>
      <c r="H1090" s="5">
        <v>5347313</v>
      </c>
      <c r="I1090" s="5">
        <v>4590322.24</v>
      </c>
      <c r="J1090" s="5">
        <v>76</v>
      </c>
      <c r="K1090" s="5">
        <v>566246</v>
      </c>
      <c r="L1090" s="5">
        <v>5891420</v>
      </c>
      <c r="M1090" s="5">
        <v>756990.76</v>
      </c>
      <c r="N1090" s="5">
        <v>0.1416</v>
      </c>
      <c r="O1090" s="5">
        <v>8</v>
      </c>
      <c r="P1090" s="5">
        <v>100746</v>
      </c>
    </row>
    <row r="1091" spans="1:16" x14ac:dyDescent="0.3">
      <c r="A1091" s="5">
        <v>79</v>
      </c>
      <c r="B1091" s="5" t="s">
        <v>114</v>
      </c>
      <c r="C1091" s="5">
        <v>10</v>
      </c>
      <c r="D1091" s="5" t="s">
        <v>86</v>
      </c>
      <c r="E1091" s="5">
        <v>2024</v>
      </c>
      <c r="F1091" s="5">
        <v>4</v>
      </c>
      <c r="G1091" s="5" t="s">
        <v>61</v>
      </c>
      <c r="H1091" s="5">
        <v>347352</v>
      </c>
      <c r="I1091" s="5">
        <v>276685.44</v>
      </c>
      <c r="J1091" s="5">
        <v>12</v>
      </c>
      <c r="K1091" s="5">
        <v>25636</v>
      </c>
      <c r="L1091" s="5">
        <v>369600</v>
      </c>
      <c r="M1091" s="5">
        <v>70666.559999999998</v>
      </c>
      <c r="N1091" s="5">
        <v>0.2034</v>
      </c>
      <c r="O1091" s="5">
        <v>1</v>
      </c>
      <c r="P1091" s="5">
        <v>26883</v>
      </c>
    </row>
    <row r="1092" spans="1:16" x14ac:dyDescent="0.3">
      <c r="A1092" s="5">
        <v>30</v>
      </c>
      <c r="B1092" s="5" t="s">
        <v>114</v>
      </c>
      <c r="C1092" s="5">
        <v>10</v>
      </c>
      <c r="D1092" s="5" t="s">
        <v>86</v>
      </c>
      <c r="E1092" s="5">
        <v>2024</v>
      </c>
      <c r="F1092" s="5">
        <v>5</v>
      </c>
      <c r="G1092" s="5" t="s">
        <v>62</v>
      </c>
      <c r="H1092" s="5">
        <v>4932441</v>
      </c>
      <c r="I1092" s="5">
        <v>4150671.97</v>
      </c>
      <c r="J1092" s="5">
        <v>105</v>
      </c>
      <c r="K1092" s="5">
        <v>520227</v>
      </c>
      <c r="L1092" s="5">
        <v>5434790</v>
      </c>
      <c r="M1092" s="5">
        <v>781769.03</v>
      </c>
      <c r="N1092" s="5">
        <v>0.1585</v>
      </c>
      <c r="O1092" s="5">
        <v>6</v>
      </c>
      <c r="P1092" s="5">
        <v>34224</v>
      </c>
    </row>
    <row r="1093" spans="1:16" x14ac:dyDescent="0.3">
      <c r="A1093" s="5">
        <v>79</v>
      </c>
      <c r="B1093" s="5" t="s">
        <v>114</v>
      </c>
      <c r="C1093" s="5">
        <v>10</v>
      </c>
      <c r="D1093" s="5" t="s">
        <v>86</v>
      </c>
      <c r="E1093" s="5">
        <v>2024</v>
      </c>
      <c r="F1093" s="5">
        <v>5</v>
      </c>
      <c r="G1093" s="5" t="s">
        <v>62</v>
      </c>
      <c r="H1093" s="5">
        <v>1927870</v>
      </c>
      <c r="I1093" s="5">
        <v>1611841.52</v>
      </c>
      <c r="J1093" s="5">
        <v>19</v>
      </c>
      <c r="K1093" s="5">
        <v>159356</v>
      </c>
      <c r="L1093" s="5">
        <v>2075340</v>
      </c>
      <c r="M1093" s="5">
        <v>316028.48</v>
      </c>
      <c r="N1093" s="5">
        <v>0.16389999999999999</v>
      </c>
      <c r="O1093" s="5">
        <v>2</v>
      </c>
      <c r="P1093" s="5">
        <v>125790</v>
      </c>
    </row>
    <row r="1094" spans="1:16" x14ac:dyDescent="0.3">
      <c r="A1094" s="5">
        <v>30</v>
      </c>
      <c r="B1094" s="5" t="s">
        <v>114</v>
      </c>
      <c r="C1094" s="5">
        <v>10</v>
      </c>
      <c r="D1094" s="5" t="s">
        <v>86</v>
      </c>
      <c r="E1094" s="5">
        <v>2024</v>
      </c>
      <c r="F1094" s="5">
        <v>6</v>
      </c>
      <c r="G1094" s="5" t="s">
        <v>63</v>
      </c>
      <c r="H1094" s="5">
        <v>7077823</v>
      </c>
      <c r="I1094" s="5">
        <v>5789077.9500000002</v>
      </c>
      <c r="J1094" s="5">
        <v>101</v>
      </c>
      <c r="K1094" s="5">
        <v>432523</v>
      </c>
      <c r="L1094" s="5">
        <v>7472950</v>
      </c>
      <c r="M1094" s="5">
        <v>1288745.05</v>
      </c>
      <c r="N1094" s="5">
        <v>0.18210000000000001</v>
      </c>
      <c r="O1094" s="5">
        <v>11</v>
      </c>
      <c r="P1094" s="5">
        <v>299997</v>
      </c>
    </row>
    <row r="1095" spans="1:16" x14ac:dyDescent="0.3">
      <c r="A1095" s="5">
        <v>79</v>
      </c>
      <c r="B1095" s="5" t="s">
        <v>114</v>
      </c>
      <c r="C1095" s="5">
        <v>10</v>
      </c>
      <c r="D1095" s="5" t="s">
        <v>86</v>
      </c>
      <c r="E1095" s="5">
        <v>2024</v>
      </c>
      <c r="F1095" s="5">
        <v>6</v>
      </c>
      <c r="G1095" s="5" t="s">
        <v>63</v>
      </c>
      <c r="H1095" s="5">
        <v>933748</v>
      </c>
      <c r="I1095" s="5">
        <v>762227.27</v>
      </c>
      <c r="J1095" s="5">
        <v>15</v>
      </c>
      <c r="K1095" s="5">
        <v>70488</v>
      </c>
      <c r="L1095" s="5">
        <v>995040</v>
      </c>
      <c r="M1095" s="5">
        <v>171520.73</v>
      </c>
      <c r="N1095" s="5">
        <v>0.1837</v>
      </c>
      <c r="O1095" s="5">
        <v>0</v>
      </c>
      <c r="P1095" s="5">
        <v>0</v>
      </c>
    </row>
    <row r="1096" spans="1:16" x14ac:dyDescent="0.3">
      <c r="A1096" s="5">
        <v>30</v>
      </c>
      <c r="B1096" s="5" t="s">
        <v>114</v>
      </c>
      <c r="C1096" s="5">
        <v>10</v>
      </c>
      <c r="D1096" s="5" t="s">
        <v>86</v>
      </c>
      <c r="E1096" s="5">
        <v>2024</v>
      </c>
      <c r="F1096" s="5">
        <v>7</v>
      </c>
      <c r="G1096" s="5" t="s">
        <v>64</v>
      </c>
      <c r="H1096" s="5">
        <v>5897400</v>
      </c>
      <c r="I1096" s="5">
        <v>5056626.96</v>
      </c>
      <c r="J1096" s="5">
        <v>92</v>
      </c>
      <c r="K1096" s="5">
        <v>606768</v>
      </c>
      <c r="L1096" s="5">
        <v>6485900</v>
      </c>
      <c r="M1096" s="5">
        <v>840773.04</v>
      </c>
      <c r="N1096" s="5">
        <v>0.1426</v>
      </c>
      <c r="O1096" s="5">
        <v>9</v>
      </c>
      <c r="P1096" s="5">
        <v>98033</v>
      </c>
    </row>
    <row r="1097" spans="1:16" x14ac:dyDescent="0.3">
      <c r="A1097" s="5">
        <v>79</v>
      </c>
      <c r="B1097" s="5" t="s">
        <v>114</v>
      </c>
      <c r="C1097" s="5">
        <v>10</v>
      </c>
      <c r="D1097" s="5" t="s">
        <v>86</v>
      </c>
      <c r="E1097" s="5">
        <v>2024</v>
      </c>
      <c r="F1097" s="5">
        <v>7</v>
      </c>
      <c r="G1097" s="5" t="s">
        <v>64</v>
      </c>
      <c r="H1097" s="5">
        <v>2143523</v>
      </c>
      <c r="I1097" s="5">
        <v>1928182.73</v>
      </c>
      <c r="J1097" s="5">
        <v>17</v>
      </c>
      <c r="K1097" s="5">
        <v>227962</v>
      </c>
      <c r="L1097" s="5">
        <v>2369610</v>
      </c>
      <c r="M1097" s="5">
        <v>215340.27</v>
      </c>
      <c r="N1097" s="5">
        <v>0.10050000000000001</v>
      </c>
      <c r="O1097" s="5">
        <v>1</v>
      </c>
      <c r="P1097" s="5">
        <v>350178</v>
      </c>
    </row>
    <row r="1098" spans="1:16" x14ac:dyDescent="0.3">
      <c r="A1098" s="5">
        <v>30</v>
      </c>
      <c r="B1098" s="5" t="s">
        <v>114</v>
      </c>
      <c r="C1098" s="5">
        <v>10</v>
      </c>
      <c r="D1098" s="5" t="s">
        <v>86</v>
      </c>
      <c r="E1098" s="5">
        <v>2024</v>
      </c>
      <c r="F1098" s="5">
        <v>8</v>
      </c>
      <c r="G1098" s="5" t="s">
        <v>65</v>
      </c>
      <c r="H1098" s="5">
        <v>5428655</v>
      </c>
      <c r="I1098" s="5">
        <v>4517856.7300000004</v>
      </c>
      <c r="J1098" s="5">
        <v>73</v>
      </c>
      <c r="K1098" s="5">
        <v>371687</v>
      </c>
      <c r="L1098" s="5">
        <v>5772570</v>
      </c>
      <c r="M1098" s="5">
        <v>910798.27</v>
      </c>
      <c r="N1098" s="5">
        <v>0.1678</v>
      </c>
      <c r="O1098" s="5">
        <v>6</v>
      </c>
      <c r="P1098" s="5">
        <v>392640</v>
      </c>
    </row>
    <row r="1099" spans="1:16" x14ac:dyDescent="0.3">
      <c r="A1099" s="5">
        <v>79</v>
      </c>
      <c r="B1099" s="5" t="s">
        <v>114</v>
      </c>
      <c r="C1099" s="5">
        <v>10</v>
      </c>
      <c r="D1099" s="5" t="s">
        <v>86</v>
      </c>
      <c r="E1099" s="5">
        <v>2024</v>
      </c>
      <c r="F1099" s="5">
        <v>8</v>
      </c>
      <c r="G1099" s="5" t="s">
        <v>65</v>
      </c>
      <c r="H1099" s="5">
        <v>2005756</v>
      </c>
      <c r="I1099" s="5">
        <v>1650618.14</v>
      </c>
      <c r="J1099" s="5">
        <v>21</v>
      </c>
      <c r="K1099" s="5">
        <v>167170</v>
      </c>
      <c r="L1099" s="5">
        <v>2165170</v>
      </c>
      <c r="M1099" s="5">
        <v>355137.86</v>
      </c>
      <c r="N1099" s="5">
        <v>0.17710000000000001</v>
      </c>
      <c r="O1099" s="5">
        <v>3</v>
      </c>
      <c r="P1099" s="5">
        <v>23479</v>
      </c>
    </row>
    <row r="1100" spans="1:16" x14ac:dyDescent="0.3">
      <c r="A1100" s="5">
        <v>30</v>
      </c>
      <c r="B1100" s="5" t="s">
        <v>114</v>
      </c>
      <c r="C1100" s="5">
        <v>10</v>
      </c>
      <c r="D1100" s="5" t="s">
        <v>86</v>
      </c>
      <c r="E1100" s="5">
        <v>2024</v>
      </c>
      <c r="F1100" s="5">
        <v>9</v>
      </c>
      <c r="G1100" s="5" t="s">
        <v>66</v>
      </c>
      <c r="H1100" s="5">
        <v>6377799</v>
      </c>
      <c r="I1100" s="5">
        <v>5113053.6399999997</v>
      </c>
      <c r="J1100" s="5">
        <v>93</v>
      </c>
      <c r="K1100" s="5">
        <v>323472</v>
      </c>
      <c r="L1100" s="5">
        <v>6676550</v>
      </c>
      <c r="M1100" s="5">
        <v>1264745.3600000001</v>
      </c>
      <c r="N1100" s="5">
        <v>0.1983</v>
      </c>
      <c r="O1100" s="5">
        <v>9</v>
      </c>
      <c r="P1100" s="5">
        <v>329729</v>
      </c>
    </row>
    <row r="1101" spans="1:16" x14ac:dyDescent="0.3">
      <c r="A1101" s="5">
        <v>79</v>
      </c>
      <c r="B1101" s="5" t="s">
        <v>114</v>
      </c>
      <c r="C1101" s="5">
        <v>10</v>
      </c>
      <c r="D1101" s="5" t="s">
        <v>86</v>
      </c>
      <c r="E1101" s="5">
        <v>2024</v>
      </c>
      <c r="F1101" s="5">
        <v>9</v>
      </c>
      <c r="G1101" s="5" t="s">
        <v>66</v>
      </c>
      <c r="H1101" s="5">
        <v>1530626</v>
      </c>
      <c r="I1101" s="5">
        <v>1312839.3500000001</v>
      </c>
      <c r="J1101" s="5">
        <v>18</v>
      </c>
      <c r="K1101" s="5">
        <v>166495</v>
      </c>
      <c r="L1101" s="5">
        <v>1694610</v>
      </c>
      <c r="M1101" s="5">
        <v>217786.65</v>
      </c>
      <c r="N1101" s="5">
        <v>0.14230000000000001</v>
      </c>
      <c r="O1101" s="5">
        <v>2</v>
      </c>
      <c r="P1101" s="5">
        <v>106757</v>
      </c>
    </row>
    <row r="1102" spans="1:16" x14ac:dyDescent="0.3">
      <c r="A1102" s="5">
        <v>30</v>
      </c>
      <c r="B1102" s="5" t="s">
        <v>114</v>
      </c>
      <c r="C1102" s="5">
        <v>10</v>
      </c>
      <c r="D1102" s="5" t="s">
        <v>86</v>
      </c>
      <c r="E1102" s="5">
        <v>2024</v>
      </c>
      <c r="F1102" s="5">
        <v>10</v>
      </c>
      <c r="G1102" s="5" t="s">
        <v>67</v>
      </c>
      <c r="H1102" s="5">
        <v>9535232</v>
      </c>
      <c r="I1102" s="5">
        <v>7701613.5099999998</v>
      </c>
      <c r="J1102" s="5">
        <v>135</v>
      </c>
      <c r="K1102" s="5">
        <v>263956</v>
      </c>
      <c r="L1102" s="5">
        <v>9767610</v>
      </c>
      <c r="M1102" s="5">
        <v>1833618.49</v>
      </c>
      <c r="N1102" s="5">
        <v>0.1923</v>
      </c>
      <c r="O1102" s="5">
        <v>8</v>
      </c>
      <c r="P1102" s="5">
        <v>281708</v>
      </c>
    </row>
    <row r="1103" spans="1:16" x14ac:dyDescent="0.3">
      <c r="A1103" s="5">
        <v>79</v>
      </c>
      <c r="B1103" s="5" t="s">
        <v>114</v>
      </c>
      <c r="C1103" s="5">
        <v>10</v>
      </c>
      <c r="D1103" s="5" t="s">
        <v>86</v>
      </c>
      <c r="E1103" s="5">
        <v>2024</v>
      </c>
      <c r="F1103" s="5">
        <v>10</v>
      </c>
      <c r="G1103" s="5" t="s">
        <v>67</v>
      </c>
      <c r="H1103" s="5">
        <v>1676888</v>
      </c>
      <c r="I1103" s="5">
        <v>1331597.47</v>
      </c>
      <c r="J1103" s="5">
        <v>29</v>
      </c>
      <c r="K1103" s="5">
        <v>27905</v>
      </c>
      <c r="L1103" s="5">
        <v>1697340</v>
      </c>
      <c r="M1103" s="5">
        <v>345290.53</v>
      </c>
      <c r="N1103" s="5">
        <v>0.2059</v>
      </c>
      <c r="O1103" s="5">
        <v>1</v>
      </c>
      <c r="P1103" s="5">
        <v>4958</v>
      </c>
    </row>
    <row r="1104" spans="1:16" x14ac:dyDescent="0.3">
      <c r="A1104" s="5">
        <v>30</v>
      </c>
      <c r="B1104" s="5" t="s">
        <v>114</v>
      </c>
      <c r="C1104" s="5">
        <v>10</v>
      </c>
      <c r="D1104" s="5" t="s">
        <v>86</v>
      </c>
      <c r="E1104" s="5">
        <v>2024</v>
      </c>
      <c r="F1104" s="5">
        <v>11</v>
      </c>
      <c r="G1104" s="5" t="s">
        <v>68</v>
      </c>
      <c r="H1104" s="5">
        <v>8724760</v>
      </c>
      <c r="I1104" s="5">
        <v>7440584.5999999996</v>
      </c>
      <c r="J1104" s="5">
        <v>129</v>
      </c>
      <c r="K1104" s="5">
        <v>786590</v>
      </c>
      <c r="L1104" s="5">
        <v>9491770</v>
      </c>
      <c r="M1104" s="5">
        <v>1284175.3999999999</v>
      </c>
      <c r="N1104" s="5">
        <v>0.1472</v>
      </c>
      <c r="O1104" s="5">
        <v>10</v>
      </c>
      <c r="P1104" s="5">
        <v>93727</v>
      </c>
    </row>
    <row r="1105" spans="1:16" x14ac:dyDescent="0.3">
      <c r="A1105" s="5">
        <v>79</v>
      </c>
      <c r="B1105" s="5" t="s">
        <v>114</v>
      </c>
      <c r="C1105" s="5">
        <v>10</v>
      </c>
      <c r="D1105" s="5" t="s">
        <v>86</v>
      </c>
      <c r="E1105" s="5">
        <v>2024</v>
      </c>
      <c r="F1105" s="5">
        <v>11</v>
      </c>
      <c r="G1105" s="5" t="s">
        <v>68</v>
      </c>
      <c r="H1105" s="5">
        <v>2090754</v>
      </c>
      <c r="I1105" s="5">
        <v>1651683.97</v>
      </c>
      <c r="J1105" s="5">
        <v>30</v>
      </c>
      <c r="K1105" s="5">
        <v>86358</v>
      </c>
      <c r="L1105" s="5">
        <v>2162090</v>
      </c>
      <c r="M1105" s="5">
        <v>439070.03</v>
      </c>
      <c r="N1105" s="5">
        <v>0.21</v>
      </c>
      <c r="O1105" s="5">
        <v>1</v>
      </c>
      <c r="P1105" s="5">
        <v>33089</v>
      </c>
    </row>
    <row r="1106" spans="1:16" x14ac:dyDescent="0.3">
      <c r="A1106" s="5">
        <v>30</v>
      </c>
      <c r="B1106" s="5" t="s">
        <v>114</v>
      </c>
      <c r="C1106" s="5">
        <v>10</v>
      </c>
      <c r="D1106" s="5" t="s">
        <v>86</v>
      </c>
      <c r="E1106" s="5">
        <v>2024</v>
      </c>
      <c r="F1106" s="5">
        <v>12</v>
      </c>
      <c r="G1106" s="5" t="s">
        <v>69</v>
      </c>
      <c r="H1106" s="5">
        <v>10436553</v>
      </c>
      <c r="I1106" s="5">
        <v>8407952.5700000003</v>
      </c>
      <c r="J1106" s="5">
        <v>138</v>
      </c>
      <c r="K1106" s="5">
        <v>318118</v>
      </c>
      <c r="L1106" s="5">
        <v>10722150</v>
      </c>
      <c r="M1106" s="5">
        <v>2028600.43</v>
      </c>
      <c r="N1106" s="5">
        <v>0.19439999999999999</v>
      </c>
      <c r="O1106" s="5">
        <v>9</v>
      </c>
      <c r="P1106" s="5">
        <v>223714</v>
      </c>
    </row>
    <row r="1107" spans="1:16" x14ac:dyDescent="0.3">
      <c r="A1107" s="5">
        <v>79</v>
      </c>
      <c r="B1107" s="5" t="s">
        <v>114</v>
      </c>
      <c r="C1107" s="5">
        <v>10</v>
      </c>
      <c r="D1107" s="5" t="s">
        <v>86</v>
      </c>
      <c r="E1107" s="5">
        <v>2024</v>
      </c>
      <c r="F1107" s="5">
        <v>12</v>
      </c>
      <c r="G1107" s="5" t="s">
        <v>69</v>
      </c>
      <c r="H1107" s="5">
        <v>2659068</v>
      </c>
      <c r="I1107" s="5">
        <v>2124506.54</v>
      </c>
      <c r="J1107" s="5">
        <v>29</v>
      </c>
      <c r="K1107" s="5">
        <v>57389</v>
      </c>
      <c r="L1107" s="5">
        <v>2701260</v>
      </c>
      <c r="M1107" s="5">
        <v>534561.46</v>
      </c>
      <c r="N1107" s="5">
        <v>0.20100000000000001</v>
      </c>
      <c r="O1107" s="5">
        <v>0</v>
      </c>
      <c r="P1107" s="5">
        <v>0</v>
      </c>
    </row>
    <row r="1108" spans="1:16" x14ac:dyDescent="0.3">
      <c r="A1108" s="5">
        <v>14</v>
      </c>
      <c r="B1108" s="5" t="s">
        <v>115</v>
      </c>
      <c r="C1108" s="5">
        <v>9</v>
      </c>
      <c r="D1108" s="5" t="s">
        <v>92</v>
      </c>
      <c r="E1108" s="5">
        <v>2021</v>
      </c>
      <c r="F1108" s="5">
        <v>1</v>
      </c>
      <c r="G1108" s="5" t="s">
        <v>22</v>
      </c>
      <c r="H1108" s="5">
        <v>1916355</v>
      </c>
      <c r="I1108" s="5">
        <v>1763310.4</v>
      </c>
      <c r="J1108" s="5">
        <v>28</v>
      </c>
      <c r="K1108" s="5">
        <v>346324</v>
      </c>
      <c r="L1108" s="5">
        <v>2257140</v>
      </c>
      <c r="M1108" s="5">
        <v>153044.6</v>
      </c>
      <c r="N1108" s="5">
        <v>7.9899999999999999E-2</v>
      </c>
      <c r="O1108" s="5">
        <v>2</v>
      </c>
      <c r="P1108" s="5">
        <v>65689</v>
      </c>
    </row>
    <row r="1109" spans="1:16" x14ac:dyDescent="0.3">
      <c r="A1109" s="5">
        <v>23</v>
      </c>
      <c r="B1109" s="5" t="s">
        <v>115</v>
      </c>
      <c r="C1109" s="5">
        <v>9</v>
      </c>
      <c r="D1109" s="5" t="s">
        <v>92</v>
      </c>
      <c r="E1109" s="5">
        <v>2021</v>
      </c>
      <c r="F1109" s="5">
        <v>1</v>
      </c>
      <c r="G1109" s="5" t="s">
        <v>22</v>
      </c>
      <c r="H1109" s="5">
        <v>3617949</v>
      </c>
      <c r="I1109" s="5">
        <v>3333609.42</v>
      </c>
      <c r="J1109" s="5">
        <v>63</v>
      </c>
      <c r="K1109" s="5">
        <v>691446</v>
      </c>
      <c r="L1109" s="5">
        <v>4299720</v>
      </c>
      <c r="M1109" s="5">
        <v>284339.58</v>
      </c>
      <c r="N1109" s="5">
        <v>7.8600000000000003E-2</v>
      </c>
      <c r="O1109" s="5">
        <v>7</v>
      </c>
      <c r="P1109" s="5">
        <v>339078</v>
      </c>
    </row>
    <row r="1110" spans="1:16" x14ac:dyDescent="0.3">
      <c r="A1110" s="5">
        <v>55</v>
      </c>
      <c r="B1110" s="5" t="s">
        <v>115</v>
      </c>
      <c r="C1110" s="5">
        <v>9</v>
      </c>
      <c r="D1110" s="5" t="s">
        <v>92</v>
      </c>
      <c r="E1110" s="5">
        <v>2021</v>
      </c>
      <c r="F1110" s="5">
        <v>1</v>
      </c>
      <c r="G1110" s="5" t="s">
        <v>22</v>
      </c>
      <c r="H1110" s="5">
        <v>901482</v>
      </c>
      <c r="I1110" s="5">
        <v>873555.2</v>
      </c>
      <c r="J1110" s="5">
        <v>25</v>
      </c>
      <c r="K1110" s="5">
        <v>221869</v>
      </c>
      <c r="L1110" s="5">
        <v>1122610</v>
      </c>
      <c r="M1110" s="5">
        <v>27926.799999999999</v>
      </c>
      <c r="N1110" s="5">
        <v>3.1E-2</v>
      </c>
      <c r="O1110" s="5">
        <v>2</v>
      </c>
      <c r="P1110" s="5">
        <v>17854</v>
      </c>
    </row>
    <row r="1111" spans="1:16" x14ac:dyDescent="0.3">
      <c r="A1111" s="5">
        <v>80</v>
      </c>
      <c r="B1111" s="5" t="s">
        <v>115</v>
      </c>
      <c r="C1111" s="5">
        <v>9</v>
      </c>
      <c r="D1111" s="5" t="s">
        <v>92</v>
      </c>
      <c r="E1111" s="5">
        <v>2021</v>
      </c>
      <c r="F1111" s="5">
        <v>1</v>
      </c>
      <c r="G1111" s="5" t="s">
        <v>22</v>
      </c>
      <c r="H1111" s="5">
        <v>829913</v>
      </c>
      <c r="I1111" s="5">
        <v>720653.39</v>
      </c>
      <c r="J1111" s="5">
        <v>13</v>
      </c>
      <c r="K1111" s="5">
        <v>142481</v>
      </c>
      <c r="L1111" s="5">
        <v>969880</v>
      </c>
      <c r="M1111" s="5">
        <v>109259.61</v>
      </c>
      <c r="N1111" s="5">
        <v>0.13170000000000001</v>
      </c>
      <c r="O1111" s="5">
        <v>0</v>
      </c>
      <c r="P1111" s="5">
        <v>0</v>
      </c>
    </row>
    <row r="1112" spans="1:16" x14ac:dyDescent="0.3">
      <c r="A1112" s="5">
        <v>14</v>
      </c>
      <c r="B1112" s="5" t="s">
        <v>115</v>
      </c>
      <c r="C1112" s="5">
        <v>9</v>
      </c>
      <c r="D1112" s="5" t="s">
        <v>92</v>
      </c>
      <c r="E1112" s="5">
        <v>2021</v>
      </c>
      <c r="F1112" s="5">
        <v>2</v>
      </c>
      <c r="G1112" s="5" t="s">
        <v>23</v>
      </c>
      <c r="H1112" s="5">
        <v>1452095</v>
      </c>
      <c r="I1112" s="5">
        <v>1256476.43</v>
      </c>
      <c r="J1112" s="5">
        <v>20</v>
      </c>
      <c r="K1112" s="5">
        <v>197583</v>
      </c>
      <c r="L1112" s="5">
        <v>1646350</v>
      </c>
      <c r="M1112" s="5">
        <v>195618.57</v>
      </c>
      <c r="N1112" s="5">
        <v>0.13469999999999999</v>
      </c>
      <c r="O1112" s="5">
        <v>1</v>
      </c>
      <c r="P1112" s="5">
        <v>131227</v>
      </c>
    </row>
    <row r="1113" spans="1:16" x14ac:dyDescent="0.3">
      <c r="A1113" s="5">
        <v>23</v>
      </c>
      <c r="B1113" s="5" t="s">
        <v>115</v>
      </c>
      <c r="C1113" s="5">
        <v>9</v>
      </c>
      <c r="D1113" s="5" t="s">
        <v>92</v>
      </c>
      <c r="E1113" s="5">
        <v>2021</v>
      </c>
      <c r="F1113" s="5">
        <v>2</v>
      </c>
      <c r="G1113" s="5" t="s">
        <v>23</v>
      </c>
      <c r="H1113" s="5">
        <v>2234039</v>
      </c>
      <c r="I1113" s="5">
        <v>1839711.3</v>
      </c>
      <c r="J1113" s="5">
        <v>34</v>
      </c>
      <c r="K1113" s="5">
        <v>235609</v>
      </c>
      <c r="L1113" s="5">
        <v>2459600</v>
      </c>
      <c r="M1113" s="5">
        <v>394327.7</v>
      </c>
      <c r="N1113" s="5">
        <v>0.17649999999999999</v>
      </c>
      <c r="O1113" s="5">
        <v>2</v>
      </c>
      <c r="P1113" s="5">
        <v>23874</v>
      </c>
    </row>
    <row r="1114" spans="1:16" x14ac:dyDescent="0.3">
      <c r="A1114" s="5">
        <v>55</v>
      </c>
      <c r="B1114" s="5" t="s">
        <v>115</v>
      </c>
      <c r="C1114" s="5">
        <v>9</v>
      </c>
      <c r="D1114" s="5" t="s">
        <v>92</v>
      </c>
      <c r="E1114" s="5">
        <v>2021</v>
      </c>
      <c r="F1114" s="5">
        <v>2</v>
      </c>
      <c r="G1114" s="5" t="s">
        <v>23</v>
      </c>
      <c r="H1114" s="5">
        <v>1171280</v>
      </c>
      <c r="I1114" s="5">
        <v>1038783.69</v>
      </c>
      <c r="J1114" s="5">
        <v>20</v>
      </c>
      <c r="K1114" s="5">
        <v>221420</v>
      </c>
      <c r="L1114" s="5">
        <v>1390860</v>
      </c>
      <c r="M1114" s="5">
        <v>132496.31</v>
      </c>
      <c r="N1114" s="5">
        <v>0.11310000000000001</v>
      </c>
      <c r="O1114" s="5">
        <v>0</v>
      </c>
      <c r="P1114" s="5">
        <v>0</v>
      </c>
    </row>
    <row r="1115" spans="1:16" x14ac:dyDescent="0.3">
      <c r="A1115" s="5">
        <v>80</v>
      </c>
      <c r="B1115" s="5" t="s">
        <v>115</v>
      </c>
      <c r="C1115" s="5">
        <v>9</v>
      </c>
      <c r="D1115" s="5" t="s">
        <v>92</v>
      </c>
      <c r="E1115" s="5">
        <v>2021</v>
      </c>
      <c r="F1115" s="5">
        <v>2</v>
      </c>
      <c r="G1115" s="5" t="s">
        <v>23</v>
      </c>
      <c r="H1115" s="5">
        <v>446457</v>
      </c>
      <c r="I1115" s="5">
        <v>382865.42</v>
      </c>
      <c r="J1115" s="5">
        <v>6</v>
      </c>
      <c r="K1115" s="5">
        <v>97661</v>
      </c>
      <c r="L1115" s="5">
        <v>543720</v>
      </c>
      <c r="M1115" s="5">
        <v>63591.58</v>
      </c>
      <c r="N1115" s="5">
        <v>0.1424</v>
      </c>
      <c r="O1115" s="5">
        <v>0</v>
      </c>
      <c r="P1115" s="5">
        <v>0</v>
      </c>
    </row>
    <row r="1116" spans="1:16" x14ac:dyDescent="0.3">
      <c r="A1116" s="5">
        <v>14</v>
      </c>
      <c r="B1116" s="5" t="s">
        <v>115</v>
      </c>
      <c r="C1116" s="5">
        <v>9</v>
      </c>
      <c r="D1116" s="5" t="s">
        <v>92</v>
      </c>
      <c r="E1116" s="5">
        <v>2021</v>
      </c>
      <c r="F1116" s="5">
        <v>3</v>
      </c>
      <c r="G1116" s="5" t="s">
        <v>24</v>
      </c>
      <c r="H1116" s="5">
        <v>1311802</v>
      </c>
      <c r="I1116" s="5">
        <v>1205495.98</v>
      </c>
      <c r="J1116" s="5">
        <v>26</v>
      </c>
      <c r="K1116" s="5">
        <v>180308</v>
      </c>
      <c r="L1116" s="5">
        <v>1489210</v>
      </c>
      <c r="M1116" s="5">
        <v>106306.02</v>
      </c>
      <c r="N1116" s="5">
        <v>8.1000000000000003E-2</v>
      </c>
      <c r="O1116" s="5">
        <v>4</v>
      </c>
      <c r="P1116" s="5">
        <v>46130</v>
      </c>
    </row>
    <row r="1117" spans="1:16" x14ac:dyDescent="0.3">
      <c r="A1117" s="5">
        <v>23</v>
      </c>
      <c r="B1117" s="5" t="s">
        <v>115</v>
      </c>
      <c r="C1117" s="5">
        <v>9</v>
      </c>
      <c r="D1117" s="5" t="s">
        <v>92</v>
      </c>
      <c r="E1117" s="5">
        <v>2021</v>
      </c>
      <c r="F1117" s="5">
        <v>3</v>
      </c>
      <c r="G1117" s="5" t="s">
        <v>24</v>
      </c>
      <c r="H1117" s="5">
        <v>4156299</v>
      </c>
      <c r="I1117" s="5">
        <v>3481979.7</v>
      </c>
      <c r="J1117" s="5">
        <v>55</v>
      </c>
      <c r="K1117" s="5">
        <v>336491</v>
      </c>
      <c r="L1117" s="5">
        <v>4482260</v>
      </c>
      <c r="M1117" s="5">
        <v>674319.3</v>
      </c>
      <c r="N1117" s="5">
        <v>0.16220000000000001</v>
      </c>
      <c r="O1117" s="5">
        <v>11</v>
      </c>
      <c r="P1117" s="5">
        <v>533837</v>
      </c>
    </row>
    <row r="1118" spans="1:16" x14ac:dyDescent="0.3">
      <c r="A1118" s="5">
        <v>55</v>
      </c>
      <c r="B1118" s="5" t="s">
        <v>115</v>
      </c>
      <c r="C1118" s="5">
        <v>9</v>
      </c>
      <c r="D1118" s="5" t="s">
        <v>92</v>
      </c>
      <c r="E1118" s="5">
        <v>2021</v>
      </c>
      <c r="F1118" s="5">
        <v>3</v>
      </c>
      <c r="G1118" s="5" t="s">
        <v>24</v>
      </c>
      <c r="H1118" s="5">
        <v>1501886</v>
      </c>
      <c r="I1118" s="5">
        <v>1231530.24</v>
      </c>
      <c r="J1118" s="5">
        <v>16</v>
      </c>
      <c r="K1118" s="5">
        <v>82458</v>
      </c>
      <c r="L1118" s="5">
        <v>1573330</v>
      </c>
      <c r="M1118" s="5">
        <v>270355.76</v>
      </c>
      <c r="N1118" s="5">
        <v>0.18</v>
      </c>
      <c r="O1118" s="5">
        <v>0</v>
      </c>
      <c r="P1118" s="5">
        <v>0</v>
      </c>
    </row>
    <row r="1119" spans="1:16" x14ac:dyDescent="0.3">
      <c r="A1119" s="5">
        <v>80</v>
      </c>
      <c r="B1119" s="5" t="s">
        <v>115</v>
      </c>
      <c r="C1119" s="5">
        <v>9</v>
      </c>
      <c r="D1119" s="5" t="s">
        <v>92</v>
      </c>
      <c r="E1119" s="5">
        <v>2021</v>
      </c>
      <c r="F1119" s="5">
        <v>3</v>
      </c>
      <c r="G1119" s="5" t="s">
        <v>24</v>
      </c>
      <c r="H1119" s="5">
        <v>907053</v>
      </c>
      <c r="I1119" s="5">
        <v>858661.93</v>
      </c>
      <c r="J1119" s="5">
        <v>12</v>
      </c>
      <c r="K1119" s="5">
        <v>151027</v>
      </c>
      <c r="L1119" s="5">
        <v>1053850</v>
      </c>
      <c r="M1119" s="5">
        <v>48391.07</v>
      </c>
      <c r="N1119" s="5">
        <v>5.33E-2</v>
      </c>
      <c r="O1119" s="5">
        <v>2</v>
      </c>
      <c r="P1119" s="5">
        <v>45282</v>
      </c>
    </row>
    <row r="1120" spans="1:16" x14ac:dyDescent="0.3">
      <c r="A1120" s="5">
        <v>14</v>
      </c>
      <c r="B1120" s="5" t="s">
        <v>115</v>
      </c>
      <c r="C1120" s="5">
        <v>9</v>
      </c>
      <c r="D1120" s="5" t="s">
        <v>92</v>
      </c>
      <c r="E1120" s="5">
        <v>2021</v>
      </c>
      <c r="F1120" s="5">
        <v>4</v>
      </c>
      <c r="G1120" s="5" t="s">
        <v>25</v>
      </c>
      <c r="H1120" s="5">
        <v>1303730</v>
      </c>
      <c r="I1120" s="5">
        <v>1119095.1499999999</v>
      </c>
      <c r="J1120" s="5">
        <v>18</v>
      </c>
      <c r="K1120" s="5">
        <v>156009</v>
      </c>
      <c r="L1120" s="5">
        <v>1456290</v>
      </c>
      <c r="M1120" s="5">
        <v>184634.85</v>
      </c>
      <c r="N1120" s="5">
        <v>0.1416</v>
      </c>
      <c r="O1120" s="5">
        <v>0</v>
      </c>
      <c r="P1120" s="5">
        <v>0</v>
      </c>
    </row>
    <row r="1121" spans="1:16" x14ac:dyDescent="0.3">
      <c r="A1121" s="5">
        <v>23</v>
      </c>
      <c r="B1121" s="5" t="s">
        <v>115</v>
      </c>
      <c r="C1121" s="5">
        <v>9</v>
      </c>
      <c r="D1121" s="5" t="s">
        <v>92</v>
      </c>
      <c r="E1121" s="5">
        <v>2021</v>
      </c>
      <c r="F1121" s="5">
        <v>4</v>
      </c>
      <c r="G1121" s="5" t="s">
        <v>25</v>
      </c>
      <c r="H1121" s="5">
        <v>4123060</v>
      </c>
      <c r="I1121" s="5">
        <v>3788708.44</v>
      </c>
      <c r="J1121" s="5">
        <v>65</v>
      </c>
      <c r="K1121" s="5">
        <v>751980</v>
      </c>
      <c r="L1121" s="5">
        <v>4867470</v>
      </c>
      <c r="M1121" s="5">
        <v>334351.56</v>
      </c>
      <c r="N1121" s="5">
        <v>8.1100000000000005E-2</v>
      </c>
      <c r="O1121" s="5">
        <v>7</v>
      </c>
      <c r="P1121" s="5">
        <v>153799</v>
      </c>
    </row>
    <row r="1122" spans="1:16" x14ac:dyDescent="0.3">
      <c r="A1122" s="5">
        <v>55</v>
      </c>
      <c r="B1122" s="5" t="s">
        <v>115</v>
      </c>
      <c r="C1122" s="5">
        <v>9</v>
      </c>
      <c r="D1122" s="5" t="s">
        <v>92</v>
      </c>
      <c r="E1122" s="5">
        <v>2021</v>
      </c>
      <c r="F1122" s="5">
        <v>4</v>
      </c>
      <c r="G1122" s="5" t="s">
        <v>25</v>
      </c>
      <c r="H1122" s="5">
        <v>1073566</v>
      </c>
      <c r="I1122" s="5">
        <v>914131.28</v>
      </c>
      <c r="J1122" s="5">
        <v>22</v>
      </c>
      <c r="K1122" s="5">
        <v>141181</v>
      </c>
      <c r="L1122" s="5">
        <v>1209060</v>
      </c>
      <c r="M1122" s="5">
        <v>159434.72</v>
      </c>
      <c r="N1122" s="5">
        <v>0.14849999999999999</v>
      </c>
      <c r="O1122" s="5">
        <v>1</v>
      </c>
      <c r="P1122" s="5">
        <v>63674</v>
      </c>
    </row>
    <row r="1123" spans="1:16" x14ac:dyDescent="0.3">
      <c r="A1123" s="5">
        <v>80</v>
      </c>
      <c r="B1123" s="5" t="s">
        <v>115</v>
      </c>
      <c r="C1123" s="5">
        <v>9</v>
      </c>
      <c r="D1123" s="5" t="s">
        <v>92</v>
      </c>
      <c r="E1123" s="5">
        <v>2021</v>
      </c>
      <c r="F1123" s="5">
        <v>4</v>
      </c>
      <c r="G1123" s="5" t="s">
        <v>25</v>
      </c>
      <c r="H1123" s="5">
        <v>166879</v>
      </c>
      <c r="I1123" s="5">
        <v>146722.75</v>
      </c>
      <c r="J1123" s="5">
        <v>6</v>
      </c>
      <c r="K1123" s="5">
        <v>36297</v>
      </c>
      <c r="L1123" s="5">
        <v>203140</v>
      </c>
      <c r="M1123" s="5">
        <v>20156.25</v>
      </c>
      <c r="N1123" s="5">
        <v>0.1208</v>
      </c>
      <c r="O1123" s="5">
        <v>0</v>
      </c>
      <c r="P1123" s="5">
        <v>0</v>
      </c>
    </row>
    <row r="1124" spans="1:16" x14ac:dyDescent="0.3">
      <c r="A1124" s="5">
        <v>14</v>
      </c>
      <c r="B1124" s="5" t="s">
        <v>115</v>
      </c>
      <c r="C1124" s="5">
        <v>9</v>
      </c>
      <c r="D1124" s="5" t="s">
        <v>92</v>
      </c>
      <c r="E1124" s="5">
        <v>2021</v>
      </c>
      <c r="F1124" s="5">
        <v>5</v>
      </c>
      <c r="G1124" s="5" t="s">
        <v>26</v>
      </c>
      <c r="H1124" s="5">
        <v>2037429</v>
      </c>
      <c r="I1124" s="5">
        <v>1789730.55</v>
      </c>
      <c r="J1124" s="5">
        <v>29</v>
      </c>
      <c r="K1124" s="5">
        <v>279159</v>
      </c>
      <c r="L1124" s="5">
        <v>2314490</v>
      </c>
      <c r="M1124" s="5">
        <v>247698.45</v>
      </c>
      <c r="N1124" s="5">
        <v>0.1216</v>
      </c>
      <c r="O1124" s="5">
        <v>3</v>
      </c>
      <c r="P1124" s="5">
        <v>100590</v>
      </c>
    </row>
    <row r="1125" spans="1:16" x14ac:dyDescent="0.3">
      <c r="A1125" s="5">
        <v>23</v>
      </c>
      <c r="B1125" s="5" t="s">
        <v>115</v>
      </c>
      <c r="C1125" s="5">
        <v>9</v>
      </c>
      <c r="D1125" s="5" t="s">
        <v>92</v>
      </c>
      <c r="E1125" s="5">
        <v>2021</v>
      </c>
      <c r="F1125" s="5">
        <v>5</v>
      </c>
      <c r="G1125" s="5" t="s">
        <v>26</v>
      </c>
      <c r="H1125" s="5">
        <v>5024017</v>
      </c>
      <c r="I1125" s="5">
        <v>4282579.57</v>
      </c>
      <c r="J1125" s="5">
        <v>75</v>
      </c>
      <c r="K1125" s="5">
        <v>511356</v>
      </c>
      <c r="L1125" s="5">
        <v>5519380</v>
      </c>
      <c r="M1125" s="5">
        <v>741437.43</v>
      </c>
      <c r="N1125" s="5">
        <v>0.14760000000000001</v>
      </c>
      <c r="O1125" s="5">
        <v>7</v>
      </c>
      <c r="P1125" s="5">
        <v>80926</v>
      </c>
    </row>
    <row r="1126" spans="1:16" x14ac:dyDescent="0.3">
      <c r="A1126" s="5">
        <v>55</v>
      </c>
      <c r="B1126" s="5" t="s">
        <v>115</v>
      </c>
      <c r="C1126" s="5">
        <v>9</v>
      </c>
      <c r="D1126" s="5" t="s">
        <v>92</v>
      </c>
      <c r="E1126" s="5">
        <v>2021</v>
      </c>
      <c r="F1126" s="5">
        <v>5</v>
      </c>
      <c r="G1126" s="5" t="s">
        <v>26</v>
      </c>
      <c r="H1126" s="5">
        <v>1451168</v>
      </c>
      <c r="I1126" s="5">
        <v>1207714.4099999999</v>
      </c>
      <c r="J1126" s="5">
        <v>27</v>
      </c>
      <c r="K1126" s="5">
        <v>162321</v>
      </c>
      <c r="L1126" s="5">
        <v>1606800</v>
      </c>
      <c r="M1126" s="5">
        <v>243453.59</v>
      </c>
      <c r="N1126" s="5">
        <v>0.1678</v>
      </c>
      <c r="O1126" s="5">
        <v>8</v>
      </c>
      <c r="P1126" s="5">
        <v>162154</v>
      </c>
    </row>
    <row r="1127" spans="1:16" x14ac:dyDescent="0.3">
      <c r="A1127" s="5">
        <v>80</v>
      </c>
      <c r="B1127" s="5" t="s">
        <v>115</v>
      </c>
      <c r="C1127" s="5">
        <v>9</v>
      </c>
      <c r="D1127" s="5" t="s">
        <v>92</v>
      </c>
      <c r="E1127" s="5">
        <v>2021</v>
      </c>
      <c r="F1127" s="5">
        <v>5</v>
      </c>
      <c r="G1127" s="5" t="s">
        <v>26</v>
      </c>
      <c r="H1127" s="5">
        <v>1573209</v>
      </c>
      <c r="I1127" s="5">
        <v>1499818.3</v>
      </c>
      <c r="J1127" s="5">
        <v>11</v>
      </c>
      <c r="K1127" s="5">
        <v>273741</v>
      </c>
      <c r="L1127" s="5">
        <v>1845020</v>
      </c>
      <c r="M1127" s="5">
        <v>73390.7</v>
      </c>
      <c r="N1127" s="5">
        <v>4.6699999999999998E-2</v>
      </c>
      <c r="O1127" s="5">
        <v>1</v>
      </c>
      <c r="P1127" s="5">
        <v>4875</v>
      </c>
    </row>
    <row r="1128" spans="1:16" x14ac:dyDescent="0.3">
      <c r="A1128" s="5">
        <v>14</v>
      </c>
      <c r="B1128" s="5" t="s">
        <v>115</v>
      </c>
      <c r="C1128" s="5">
        <v>9</v>
      </c>
      <c r="D1128" s="5" t="s">
        <v>92</v>
      </c>
      <c r="E1128" s="5">
        <v>2021</v>
      </c>
      <c r="F1128" s="5">
        <v>6</v>
      </c>
      <c r="G1128" s="5" t="s">
        <v>27</v>
      </c>
      <c r="H1128" s="5">
        <v>2955147</v>
      </c>
      <c r="I1128" s="5">
        <v>2624716.81</v>
      </c>
      <c r="J1128" s="5">
        <v>34</v>
      </c>
      <c r="K1128" s="5">
        <v>373856</v>
      </c>
      <c r="L1128" s="5">
        <v>3321760</v>
      </c>
      <c r="M1128" s="5">
        <v>330430.19</v>
      </c>
      <c r="N1128" s="5">
        <v>0.1118</v>
      </c>
      <c r="O1128" s="5">
        <v>4</v>
      </c>
      <c r="P1128" s="5">
        <v>211860</v>
      </c>
    </row>
    <row r="1129" spans="1:16" x14ac:dyDescent="0.3">
      <c r="A1129" s="5">
        <v>23</v>
      </c>
      <c r="B1129" s="5" t="s">
        <v>115</v>
      </c>
      <c r="C1129" s="5">
        <v>9</v>
      </c>
      <c r="D1129" s="5" t="s">
        <v>92</v>
      </c>
      <c r="E1129" s="5">
        <v>2021</v>
      </c>
      <c r="F1129" s="5">
        <v>6</v>
      </c>
      <c r="G1129" s="5" t="s">
        <v>27</v>
      </c>
      <c r="H1129" s="5">
        <v>5081603</v>
      </c>
      <c r="I1129" s="5">
        <v>4266987.63</v>
      </c>
      <c r="J1129" s="5">
        <v>76</v>
      </c>
      <c r="K1129" s="5">
        <v>483156</v>
      </c>
      <c r="L1129" s="5">
        <v>5544930</v>
      </c>
      <c r="M1129" s="5">
        <v>814615.37</v>
      </c>
      <c r="N1129" s="5">
        <v>0.1603</v>
      </c>
      <c r="O1129" s="5">
        <v>7</v>
      </c>
      <c r="P1129" s="5">
        <v>231165</v>
      </c>
    </row>
    <row r="1130" spans="1:16" x14ac:dyDescent="0.3">
      <c r="A1130" s="5">
        <v>55</v>
      </c>
      <c r="B1130" s="5" t="s">
        <v>115</v>
      </c>
      <c r="C1130" s="5">
        <v>9</v>
      </c>
      <c r="D1130" s="5" t="s">
        <v>92</v>
      </c>
      <c r="E1130" s="5">
        <v>2021</v>
      </c>
      <c r="F1130" s="5">
        <v>6</v>
      </c>
      <c r="G1130" s="5" t="s">
        <v>27</v>
      </c>
      <c r="H1130" s="5">
        <v>1709396</v>
      </c>
      <c r="I1130" s="5">
        <v>1642478.99</v>
      </c>
      <c r="J1130" s="5">
        <v>29</v>
      </c>
      <c r="K1130" s="5">
        <v>366039</v>
      </c>
      <c r="L1130" s="5">
        <v>2074770</v>
      </c>
      <c r="M1130" s="5">
        <v>66917.009999999995</v>
      </c>
      <c r="N1130" s="5">
        <v>3.9100000000000003E-2</v>
      </c>
      <c r="O1130" s="5">
        <v>4</v>
      </c>
      <c r="P1130" s="5">
        <v>167364</v>
      </c>
    </row>
    <row r="1131" spans="1:16" x14ac:dyDescent="0.3">
      <c r="A1131" s="5">
        <v>80</v>
      </c>
      <c r="B1131" s="5" t="s">
        <v>115</v>
      </c>
      <c r="C1131" s="5">
        <v>9</v>
      </c>
      <c r="D1131" s="5" t="s">
        <v>92</v>
      </c>
      <c r="E1131" s="5">
        <v>2021</v>
      </c>
      <c r="F1131" s="5">
        <v>6</v>
      </c>
      <c r="G1131" s="5" t="s">
        <v>27</v>
      </c>
      <c r="H1131" s="5">
        <v>161904</v>
      </c>
      <c r="I1131" s="5">
        <v>122524.23</v>
      </c>
      <c r="J1131" s="5">
        <v>7</v>
      </c>
      <c r="K1131" s="5">
        <v>10482</v>
      </c>
      <c r="L1131" s="5">
        <v>172150</v>
      </c>
      <c r="M1131" s="5">
        <v>39379.769999999997</v>
      </c>
      <c r="N1131" s="5">
        <v>0.2432</v>
      </c>
      <c r="O1131" s="5">
        <v>2</v>
      </c>
      <c r="P1131" s="5">
        <v>18118</v>
      </c>
    </row>
    <row r="1132" spans="1:16" x14ac:dyDescent="0.3">
      <c r="A1132" s="5">
        <v>14</v>
      </c>
      <c r="B1132" s="5" t="s">
        <v>115</v>
      </c>
      <c r="C1132" s="5">
        <v>9</v>
      </c>
      <c r="D1132" s="5" t="s">
        <v>92</v>
      </c>
      <c r="E1132" s="5">
        <v>2021</v>
      </c>
      <c r="F1132" s="5">
        <v>7</v>
      </c>
      <c r="G1132" s="5" t="s">
        <v>28</v>
      </c>
      <c r="H1132" s="5">
        <v>1146022</v>
      </c>
      <c r="I1132" s="5">
        <v>968065.15</v>
      </c>
      <c r="J1132" s="5">
        <v>23</v>
      </c>
      <c r="K1132" s="5">
        <v>102061</v>
      </c>
      <c r="L1132" s="5">
        <v>1242500</v>
      </c>
      <c r="M1132" s="5">
        <v>177956.85</v>
      </c>
      <c r="N1132" s="5">
        <v>0.15529999999999999</v>
      </c>
      <c r="O1132" s="5">
        <v>1</v>
      </c>
      <c r="P1132" s="5">
        <v>8423</v>
      </c>
    </row>
    <row r="1133" spans="1:16" x14ac:dyDescent="0.3">
      <c r="A1133" s="5">
        <v>23</v>
      </c>
      <c r="B1133" s="5" t="s">
        <v>115</v>
      </c>
      <c r="C1133" s="5">
        <v>9</v>
      </c>
      <c r="D1133" s="5" t="s">
        <v>92</v>
      </c>
      <c r="E1133" s="5">
        <v>2021</v>
      </c>
      <c r="F1133" s="5">
        <v>7</v>
      </c>
      <c r="G1133" s="5" t="s">
        <v>28</v>
      </c>
      <c r="H1133" s="5">
        <v>4789498</v>
      </c>
      <c r="I1133" s="5">
        <v>4159247.59</v>
      </c>
      <c r="J1133" s="5">
        <v>61</v>
      </c>
      <c r="K1133" s="5">
        <v>554856</v>
      </c>
      <c r="L1133" s="5">
        <v>5316930</v>
      </c>
      <c r="M1133" s="5">
        <v>630250.41</v>
      </c>
      <c r="N1133" s="5">
        <v>0.13159999999999999</v>
      </c>
      <c r="O1133" s="5">
        <v>2</v>
      </c>
      <c r="P1133" s="5">
        <v>49236</v>
      </c>
    </row>
    <row r="1134" spans="1:16" x14ac:dyDescent="0.3">
      <c r="A1134" s="5">
        <v>55</v>
      </c>
      <c r="B1134" s="5" t="s">
        <v>115</v>
      </c>
      <c r="C1134" s="5">
        <v>9</v>
      </c>
      <c r="D1134" s="5" t="s">
        <v>92</v>
      </c>
      <c r="E1134" s="5">
        <v>2021</v>
      </c>
      <c r="F1134" s="5">
        <v>7</v>
      </c>
      <c r="G1134" s="5" t="s">
        <v>28</v>
      </c>
      <c r="H1134" s="5">
        <v>1160557</v>
      </c>
      <c r="I1134" s="5">
        <v>921632.27</v>
      </c>
      <c r="J1134" s="5">
        <v>20</v>
      </c>
      <c r="K1134" s="5">
        <v>78394</v>
      </c>
      <c r="L1134" s="5">
        <v>1237320</v>
      </c>
      <c r="M1134" s="5">
        <v>238924.73</v>
      </c>
      <c r="N1134" s="5">
        <v>0.2059</v>
      </c>
      <c r="O1134" s="5">
        <v>0</v>
      </c>
      <c r="P1134" s="5">
        <v>0</v>
      </c>
    </row>
    <row r="1135" spans="1:16" x14ac:dyDescent="0.3">
      <c r="A1135" s="5">
        <v>80</v>
      </c>
      <c r="B1135" s="5" t="s">
        <v>115</v>
      </c>
      <c r="C1135" s="5">
        <v>9</v>
      </c>
      <c r="D1135" s="5" t="s">
        <v>92</v>
      </c>
      <c r="E1135" s="5">
        <v>2021</v>
      </c>
      <c r="F1135" s="5">
        <v>7</v>
      </c>
      <c r="G1135" s="5" t="s">
        <v>28</v>
      </c>
      <c r="H1135" s="5">
        <v>368976</v>
      </c>
      <c r="I1135" s="5">
        <v>375518.77</v>
      </c>
      <c r="J1135" s="5">
        <v>11</v>
      </c>
      <c r="K1135" s="5">
        <v>109567</v>
      </c>
      <c r="L1135" s="5">
        <v>477820</v>
      </c>
      <c r="M1135" s="5">
        <v>-6542.77</v>
      </c>
      <c r="N1135" s="5">
        <v>-1.77E-2</v>
      </c>
      <c r="O1135" s="5">
        <v>1</v>
      </c>
      <c r="P1135" s="5">
        <v>3326</v>
      </c>
    </row>
    <row r="1136" spans="1:16" x14ac:dyDescent="0.3">
      <c r="A1136" s="5">
        <v>14</v>
      </c>
      <c r="B1136" s="5" t="s">
        <v>115</v>
      </c>
      <c r="C1136" s="5">
        <v>9</v>
      </c>
      <c r="D1136" s="5" t="s">
        <v>92</v>
      </c>
      <c r="E1136" s="5">
        <v>2021</v>
      </c>
      <c r="F1136" s="5">
        <v>8</v>
      </c>
      <c r="G1136" s="5" t="s">
        <v>29</v>
      </c>
      <c r="H1136" s="5">
        <v>1711902</v>
      </c>
      <c r="I1136" s="5">
        <v>1435950.81</v>
      </c>
      <c r="J1136" s="5">
        <v>25</v>
      </c>
      <c r="K1136" s="5">
        <v>94408</v>
      </c>
      <c r="L1136" s="5">
        <v>1797060</v>
      </c>
      <c r="M1136" s="5">
        <v>275951.19</v>
      </c>
      <c r="N1136" s="5">
        <v>0.16120000000000001</v>
      </c>
      <c r="O1136" s="5">
        <v>3</v>
      </c>
      <c r="P1136" s="5">
        <v>73126</v>
      </c>
    </row>
    <row r="1137" spans="1:16" x14ac:dyDescent="0.3">
      <c r="A1137" s="5">
        <v>23</v>
      </c>
      <c r="B1137" s="5" t="s">
        <v>115</v>
      </c>
      <c r="C1137" s="5">
        <v>9</v>
      </c>
      <c r="D1137" s="5" t="s">
        <v>92</v>
      </c>
      <c r="E1137" s="5">
        <v>2021</v>
      </c>
      <c r="F1137" s="5">
        <v>8</v>
      </c>
      <c r="G1137" s="5" t="s">
        <v>29</v>
      </c>
      <c r="H1137" s="5">
        <v>5857384</v>
      </c>
      <c r="I1137" s="5">
        <v>5146880.1399999997</v>
      </c>
      <c r="J1137" s="5">
        <v>73</v>
      </c>
      <c r="K1137" s="5">
        <v>585568</v>
      </c>
      <c r="L1137" s="5">
        <v>6425430</v>
      </c>
      <c r="M1137" s="5">
        <v>710503.86</v>
      </c>
      <c r="N1137" s="5">
        <v>0.12130000000000001</v>
      </c>
      <c r="O1137" s="5">
        <v>9</v>
      </c>
      <c r="P1137" s="5">
        <v>94761</v>
      </c>
    </row>
    <row r="1138" spans="1:16" x14ac:dyDescent="0.3">
      <c r="A1138" s="5">
        <v>55</v>
      </c>
      <c r="B1138" s="5" t="s">
        <v>115</v>
      </c>
      <c r="C1138" s="5">
        <v>9</v>
      </c>
      <c r="D1138" s="5" t="s">
        <v>92</v>
      </c>
      <c r="E1138" s="5">
        <v>2021</v>
      </c>
      <c r="F1138" s="5">
        <v>8</v>
      </c>
      <c r="G1138" s="5" t="s">
        <v>29</v>
      </c>
      <c r="H1138" s="5">
        <v>1834480</v>
      </c>
      <c r="I1138" s="5">
        <v>1661738.15</v>
      </c>
      <c r="J1138" s="5">
        <v>33</v>
      </c>
      <c r="K1138" s="5">
        <v>212523</v>
      </c>
      <c r="L1138" s="5">
        <v>2043260</v>
      </c>
      <c r="M1138" s="5">
        <v>172741.85</v>
      </c>
      <c r="N1138" s="5">
        <v>9.4200000000000006E-2</v>
      </c>
      <c r="O1138" s="5">
        <v>1</v>
      </c>
      <c r="P1138" s="5">
        <v>1213</v>
      </c>
    </row>
    <row r="1139" spans="1:16" x14ac:dyDescent="0.3">
      <c r="A1139" s="5">
        <v>80</v>
      </c>
      <c r="B1139" s="5" t="s">
        <v>115</v>
      </c>
      <c r="C1139" s="5">
        <v>9</v>
      </c>
      <c r="D1139" s="5" t="s">
        <v>92</v>
      </c>
      <c r="E1139" s="5">
        <v>2021</v>
      </c>
      <c r="F1139" s="5">
        <v>8</v>
      </c>
      <c r="G1139" s="5" t="s">
        <v>29</v>
      </c>
      <c r="H1139" s="5">
        <v>520504</v>
      </c>
      <c r="I1139" s="5">
        <v>465301.11</v>
      </c>
      <c r="J1139" s="5">
        <v>9</v>
      </c>
      <c r="K1139" s="5">
        <v>47332</v>
      </c>
      <c r="L1139" s="5">
        <v>567810</v>
      </c>
      <c r="M1139" s="5">
        <v>55202.89</v>
      </c>
      <c r="N1139" s="5">
        <v>0.1061</v>
      </c>
      <c r="O1139" s="5">
        <v>2</v>
      </c>
      <c r="P1139" s="5">
        <v>7318</v>
      </c>
    </row>
    <row r="1140" spans="1:16" x14ac:dyDescent="0.3">
      <c r="A1140" s="5">
        <v>14</v>
      </c>
      <c r="B1140" s="5" t="s">
        <v>115</v>
      </c>
      <c r="C1140" s="5">
        <v>9</v>
      </c>
      <c r="D1140" s="5" t="s">
        <v>92</v>
      </c>
      <c r="E1140" s="5">
        <v>2021</v>
      </c>
      <c r="F1140" s="5">
        <v>9</v>
      </c>
      <c r="G1140" s="5" t="s">
        <v>30</v>
      </c>
      <c r="H1140" s="5">
        <v>2256146</v>
      </c>
      <c r="I1140" s="5">
        <v>2037850.68</v>
      </c>
      <c r="J1140" s="5">
        <v>32</v>
      </c>
      <c r="K1140" s="5">
        <v>336690</v>
      </c>
      <c r="L1140" s="5">
        <v>2584850</v>
      </c>
      <c r="M1140" s="5">
        <v>218295.32</v>
      </c>
      <c r="N1140" s="5">
        <v>9.6799999999999997E-2</v>
      </c>
      <c r="O1140" s="5">
        <v>5</v>
      </c>
      <c r="P1140" s="5">
        <v>175816</v>
      </c>
    </row>
    <row r="1141" spans="1:16" x14ac:dyDescent="0.3">
      <c r="A1141" s="5">
        <v>23</v>
      </c>
      <c r="B1141" s="5" t="s">
        <v>115</v>
      </c>
      <c r="C1141" s="5">
        <v>9</v>
      </c>
      <c r="D1141" s="5" t="s">
        <v>92</v>
      </c>
      <c r="E1141" s="5">
        <v>2021</v>
      </c>
      <c r="F1141" s="5">
        <v>9</v>
      </c>
      <c r="G1141" s="5" t="s">
        <v>30</v>
      </c>
      <c r="H1141" s="5">
        <v>4864657</v>
      </c>
      <c r="I1141" s="5">
        <v>4259828.13</v>
      </c>
      <c r="J1141" s="5">
        <v>76</v>
      </c>
      <c r="K1141" s="5">
        <v>567700</v>
      </c>
      <c r="L1141" s="5">
        <v>5421190</v>
      </c>
      <c r="M1141" s="5">
        <v>604828.87</v>
      </c>
      <c r="N1141" s="5">
        <v>0.12429999999999999</v>
      </c>
      <c r="O1141" s="5">
        <v>5</v>
      </c>
      <c r="P1141" s="5">
        <v>100688</v>
      </c>
    </row>
    <row r="1142" spans="1:16" x14ac:dyDescent="0.3">
      <c r="A1142" s="5">
        <v>55</v>
      </c>
      <c r="B1142" s="5" t="s">
        <v>115</v>
      </c>
      <c r="C1142" s="5">
        <v>9</v>
      </c>
      <c r="D1142" s="5" t="s">
        <v>92</v>
      </c>
      <c r="E1142" s="5">
        <v>2021</v>
      </c>
      <c r="F1142" s="5">
        <v>9</v>
      </c>
      <c r="G1142" s="5" t="s">
        <v>30</v>
      </c>
      <c r="H1142" s="5">
        <v>1415232</v>
      </c>
      <c r="I1142" s="5">
        <v>1257714.94</v>
      </c>
      <c r="J1142" s="5">
        <v>28</v>
      </c>
      <c r="K1142" s="5">
        <v>217409</v>
      </c>
      <c r="L1142" s="5">
        <v>1629320</v>
      </c>
      <c r="M1142" s="5">
        <v>157517.06</v>
      </c>
      <c r="N1142" s="5">
        <v>0.1113</v>
      </c>
      <c r="O1142" s="5">
        <v>3</v>
      </c>
      <c r="P1142" s="5">
        <v>17768</v>
      </c>
    </row>
    <row r="1143" spans="1:16" x14ac:dyDescent="0.3">
      <c r="A1143" s="5">
        <v>80</v>
      </c>
      <c r="B1143" s="5" t="s">
        <v>115</v>
      </c>
      <c r="C1143" s="5">
        <v>9</v>
      </c>
      <c r="D1143" s="5" t="s">
        <v>92</v>
      </c>
      <c r="E1143" s="5">
        <v>2021</v>
      </c>
      <c r="F1143" s="5">
        <v>9</v>
      </c>
      <c r="G1143" s="5" t="s">
        <v>30</v>
      </c>
      <c r="H1143" s="5">
        <v>1053517</v>
      </c>
      <c r="I1143" s="5">
        <v>951439.77</v>
      </c>
      <c r="J1143" s="5">
        <v>9</v>
      </c>
      <c r="K1143" s="5">
        <v>180945</v>
      </c>
      <c r="L1143" s="5">
        <v>1229720</v>
      </c>
      <c r="M1143" s="5">
        <v>102077.23</v>
      </c>
      <c r="N1143" s="5">
        <v>9.69E-2</v>
      </c>
      <c r="O1143" s="5">
        <v>3</v>
      </c>
      <c r="P1143" s="5">
        <v>70635</v>
      </c>
    </row>
    <row r="1144" spans="1:16" x14ac:dyDescent="0.3">
      <c r="A1144" s="5">
        <v>14</v>
      </c>
      <c r="B1144" s="5" t="s">
        <v>115</v>
      </c>
      <c r="C1144" s="5">
        <v>9</v>
      </c>
      <c r="D1144" s="5" t="s">
        <v>92</v>
      </c>
      <c r="E1144" s="5">
        <v>2021</v>
      </c>
      <c r="F1144" s="5">
        <v>10</v>
      </c>
      <c r="G1144" s="5" t="s">
        <v>31</v>
      </c>
      <c r="H1144" s="5">
        <v>3400199</v>
      </c>
      <c r="I1144" s="5">
        <v>2841619.99</v>
      </c>
      <c r="J1144" s="5">
        <v>51</v>
      </c>
      <c r="K1144" s="5">
        <v>267282</v>
      </c>
      <c r="L1144" s="5">
        <v>3650200</v>
      </c>
      <c r="M1144" s="5">
        <v>558579.01</v>
      </c>
      <c r="N1144" s="5">
        <v>0.1643</v>
      </c>
      <c r="O1144" s="5">
        <v>4</v>
      </c>
      <c r="P1144" s="5">
        <v>54936</v>
      </c>
    </row>
    <row r="1145" spans="1:16" x14ac:dyDescent="0.3">
      <c r="A1145" s="5">
        <v>23</v>
      </c>
      <c r="B1145" s="5" t="s">
        <v>115</v>
      </c>
      <c r="C1145" s="5">
        <v>9</v>
      </c>
      <c r="D1145" s="5" t="s">
        <v>92</v>
      </c>
      <c r="E1145" s="5">
        <v>2021</v>
      </c>
      <c r="F1145" s="5">
        <v>10</v>
      </c>
      <c r="G1145" s="5" t="s">
        <v>31</v>
      </c>
      <c r="H1145" s="5">
        <v>7090054</v>
      </c>
      <c r="I1145" s="5">
        <v>5881300.8600000003</v>
      </c>
      <c r="J1145" s="5">
        <v>110</v>
      </c>
      <c r="K1145" s="5">
        <v>621045</v>
      </c>
      <c r="L1145" s="5">
        <v>7691830</v>
      </c>
      <c r="M1145" s="5">
        <v>1208753.1399999999</v>
      </c>
      <c r="N1145" s="5">
        <v>0.17050000000000001</v>
      </c>
      <c r="O1145" s="5">
        <v>9</v>
      </c>
      <c r="P1145" s="5">
        <v>200474</v>
      </c>
    </row>
    <row r="1146" spans="1:16" x14ac:dyDescent="0.3">
      <c r="A1146" s="5">
        <v>55</v>
      </c>
      <c r="B1146" s="5" t="s">
        <v>115</v>
      </c>
      <c r="C1146" s="5">
        <v>9</v>
      </c>
      <c r="D1146" s="5" t="s">
        <v>92</v>
      </c>
      <c r="E1146" s="5">
        <v>2021</v>
      </c>
      <c r="F1146" s="5">
        <v>10</v>
      </c>
      <c r="G1146" s="5" t="s">
        <v>31</v>
      </c>
      <c r="H1146" s="5">
        <v>3513193</v>
      </c>
      <c r="I1146" s="5">
        <v>3015602.25</v>
      </c>
      <c r="J1146" s="5">
        <v>46</v>
      </c>
      <c r="K1146" s="5">
        <v>351777</v>
      </c>
      <c r="L1146" s="5">
        <v>3851710</v>
      </c>
      <c r="M1146" s="5">
        <v>497590.75</v>
      </c>
      <c r="N1146" s="5">
        <v>0.1416</v>
      </c>
      <c r="O1146" s="5">
        <v>6</v>
      </c>
      <c r="P1146" s="5">
        <v>67903</v>
      </c>
    </row>
    <row r="1147" spans="1:16" x14ac:dyDescent="0.3">
      <c r="A1147" s="5">
        <v>80</v>
      </c>
      <c r="B1147" s="5" t="s">
        <v>115</v>
      </c>
      <c r="C1147" s="5">
        <v>9</v>
      </c>
      <c r="D1147" s="5" t="s">
        <v>92</v>
      </c>
      <c r="E1147" s="5">
        <v>2021</v>
      </c>
      <c r="F1147" s="5">
        <v>10</v>
      </c>
      <c r="G1147" s="5" t="s">
        <v>31</v>
      </c>
      <c r="H1147" s="5">
        <v>1500460</v>
      </c>
      <c r="I1147" s="5">
        <v>1256982.3</v>
      </c>
      <c r="J1147" s="5">
        <v>18</v>
      </c>
      <c r="K1147" s="5">
        <v>107524</v>
      </c>
      <c r="L1147" s="5">
        <v>1606510</v>
      </c>
      <c r="M1147" s="5">
        <v>243477.7</v>
      </c>
      <c r="N1147" s="5">
        <v>0.1623</v>
      </c>
      <c r="O1147" s="5">
        <v>1</v>
      </c>
      <c r="P1147" s="5">
        <v>2609</v>
      </c>
    </row>
    <row r="1148" spans="1:16" x14ac:dyDescent="0.3">
      <c r="A1148" s="5">
        <v>14</v>
      </c>
      <c r="B1148" s="5" t="s">
        <v>115</v>
      </c>
      <c r="C1148" s="5">
        <v>9</v>
      </c>
      <c r="D1148" s="5" t="s">
        <v>92</v>
      </c>
      <c r="E1148" s="5">
        <v>2021</v>
      </c>
      <c r="F1148" s="5">
        <v>11</v>
      </c>
      <c r="G1148" s="5" t="s">
        <v>32</v>
      </c>
      <c r="H1148" s="5">
        <v>3787703</v>
      </c>
      <c r="I1148" s="5">
        <v>3160511.82</v>
      </c>
      <c r="J1148" s="5">
        <v>42</v>
      </c>
      <c r="K1148" s="5">
        <v>250656</v>
      </c>
      <c r="L1148" s="5">
        <v>4029650</v>
      </c>
      <c r="M1148" s="5">
        <v>627191.18000000005</v>
      </c>
      <c r="N1148" s="5">
        <v>0.1656</v>
      </c>
      <c r="O1148" s="5">
        <v>2</v>
      </c>
      <c r="P1148" s="5">
        <v>5497</v>
      </c>
    </row>
    <row r="1149" spans="1:16" x14ac:dyDescent="0.3">
      <c r="A1149" s="5">
        <v>23</v>
      </c>
      <c r="B1149" s="5" t="s">
        <v>115</v>
      </c>
      <c r="C1149" s="5">
        <v>9</v>
      </c>
      <c r="D1149" s="5" t="s">
        <v>92</v>
      </c>
      <c r="E1149" s="5">
        <v>2021</v>
      </c>
      <c r="F1149" s="5">
        <v>11</v>
      </c>
      <c r="G1149" s="5" t="s">
        <v>32</v>
      </c>
      <c r="H1149" s="5">
        <v>8372229</v>
      </c>
      <c r="I1149" s="5">
        <v>6982930.9400000004</v>
      </c>
      <c r="J1149" s="5">
        <v>108</v>
      </c>
      <c r="K1149" s="5">
        <v>594978</v>
      </c>
      <c r="L1149" s="5">
        <v>8940120</v>
      </c>
      <c r="M1149" s="5">
        <v>1389298.06</v>
      </c>
      <c r="N1149" s="5">
        <v>0.16589999999999999</v>
      </c>
      <c r="O1149" s="5">
        <v>11</v>
      </c>
      <c r="P1149" s="5">
        <v>354949</v>
      </c>
    </row>
    <row r="1150" spans="1:16" x14ac:dyDescent="0.3">
      <c r="A1150" s="5">
        <v>55</v>
      </c>
      <c r="B1150" s="5" t="s">
        <v>115</v>
      </c>
      <c r="C1150" s="5">
        <v>9</v>
      </c>
      <c r="D1150" s="5" t="s">
        <v>92</v>
      </c>
      <c r="E1150" s="5">
        <v>2021</v>
      </c>
      <c r="F1150" s="5">
        <v>11</v>
      </c>
      <c r="G1150" s="5" t="s">
        <v>32</v>
      </c>
      <c r="H1150" s="5">
        <v>2172105</v>
      </c>
      <c r="I1150" s="5">
        <v>1851629.1</v>
      </c>
      <c r="J1150" s="5">
        <v>33</v>
      </c>
      <c r="K1150" s="5">
        <v>185653</v>
      </c>
      <c r="L1150" s="5">
        <v>2353500</v>
      </c>
      <c r="M1150" s="5">
        <v>320475.90000000002</v>
      </c>
      <c r="N1150" s="5">
        <v>0.14749999999999999</v>
      </c>
      <c r="O1150" s="5">
        <v>2</v>
      </c>
      <c r="P1150" s="5">
        <v>34028</v>
      </c>
    </row>
    <row r="1151" spans="1:16" x14ac:dyDescent="0.3">
      <c r="A1151" s="5">
        <v>80</v>
      </c>
      <c r="B1151" s="5" t="s">
        <v>115</v>
      </c>
      <c r="C1151" s="5">
        <v>9</v>
      </c>
      <c r="D1151" s="5" t="s">
        <v>92</v>
      </c>
      <c r="E1151" s="5">
        <v>2021</v>
      </c>
      <c r="F1151" s="5">
        <v>11</v>
      </c>
      <c r="G1151" s="5" t="s">
        <v>32</v>
      </c>
      <c r="H1151" s="5">
        <v>1033941</v>
      </c>
      <c r="I1151" s="5">
        <v>890331.74</v>
      </c>
      <c r="J1151" s="5">
        <v>10</v>
      </c>
      <c r="K1151" s="5">
        <v>88776</v>
      </c>
      <c r="L1151" s="5">
        <v>1121500</v>
      </c>
      <c r="M1151" s="5">
        <v>143609.26</v>
      </c>
      <c r="N1151" s="5">
        <v>0.1389</v>
      </c>
      <c r="O1151" s="5">
        <v>0</v>
      </c>
      <c r="P1151" s="5">
        <v>0</v>
      </c>
    </row>
    <row r="1152" spans="1:16" x14ac:dyDescent="0.3">
      <c r="A1152" s="5">
        <v>14</v>
      </c>
      <c r="B1152" s="5" t="s">
        <v>115</v>
      </c>
      <c r="C1152" s="5">
        <v>9</v>
      </c>
      <c r="D1152" s="5" t="s">
        <v>92</v>
      </c>
      <c r="E1152" s="5">
        <v>2021</v>
      </c>
      <c r="F1152" s="5">
        <v>12</v>
      </c>
      <c r="G1152" s="5" t="s">
        <v>33</v>
      </c>
      <c r="H1152" s="5">
        <v>2202409</v>
      </c>
      <c r="I1152" s="5">
        <v>2086022.28</v>
      </c>
      <c r="J1152" s="5">
        <v>31</v>
      </c>
      <c r="K1152" s="5">
        <v>417558</v>
      </c>
      <c r="L1152" s="5">
        <v>2618310</v>
      </c>
      <c r="M1152" s="5">
        <v>116386.72</v>
      </c>
      <c r="N1152" s="5">
        <v>5.28E-2</v>
      </c>
      <c r="O1152" s="5">
        <v>2</v>
      </c>
      <c r="P1152" s="5">
        <v>53935</v>
      </c>
    </row>
    <row r="1153" spans="1:16" x14ac:dyDescent="0.3">
      <c r="A1153" s="5">
        <v>23</v>
      </c>
      <c r="B1153" s="5" t="s">
        <v>115</v>
      </c>
      <c r="C1153" s="5">
        <v>9</v>
      </c>
      <c r="D1153" s="5" t="s">
        <v>92</v>
      </c>
      <c r="E1153" s="5">
        <v>2021</v>
      </c>
      <c r="F1153" s="5">
        <v>12</v>
      </c>
      <c r="G1153" s="5" t="s">
        <v>33</v>
      </c>
      <c r="H1153" s="5">
        <v>6010230</v>
      </c>
      <c r="I1153" s="5">
        <v>5063564.95</v>
      </c>
      <c r="J1153" s="5">
        <v>97</v>
      </c>
      <c r="K1153" s="5">
        <v>661380</v>
      </c>
      <c r="L1153" s="5">
        <v>6640340</v>
      </c>
      <c r="M1153" s="5">
        <v>946665.05</v>
      </c>
      <c r="N1153" s="5">
        <v>0.1575</v>
      </c>
      <c r="O1153" s="5">
        <v>13</v>
      </c>
      <c r="P1153" s="5">
        <v>259222</v>
      </c>
    </row>
    <row r="1154" spans="1:16" x14ac:dyDescent="0.3">
      <c r="A1154" s="5">
        <v>55</v>
      </c>
      <c r="B1154" s="5" t="s">
        <v>115</v>
      </c>
      <c r="C1154" s="5">
        <v>9</v>
      </c>
      <c r="D1154" s="5" t="s">
        <v>92</v>
      </c>
      <c r="E1154" s="5">
        <v>2021</v>
      </c>
      <c r="F1154" s="5">
        <v>12</v>
      </c>
      <c r="G1154" s="5" t="s">
        <v>33</v>
      </c>
      <c r="H1154" s="5">
        <v>1481670</v>
      </c>
      <c r="I1154" s="5">
        <v>1263075.83</v>
      </c>
      <c r="J1154" s="5">
        <v>33</v>
      </c>
      <c r="K1154" s="5">
        <v>160415</v>
      </c>
      <c r="L1154" s="5">
        <v>1639520</v>
      </c>
      <c r="M1154" s="5">
        <v>218594.17</v>
      </c>
      <c r="N1154" s="5">
        <v>0.14749999999999999</v>
      </c>
      <c r="O1154" s="5">
        <v>3</v>
      </c>
      <c r="P1154" s="5">
        <v>53221</v>
      </c>
    </row>
    <row r="1155" spans="1:16" x14ac:dyDescent="0.3">
      <c r="A1155" s="5">
        <v>80</v>
      </c>
      <c r="B1155" s="5" t="s">
        <v>115</v>
      </c>
      <c r="C1155" s="5">
        <v>9</v>
      </c>
      <c r="D1155" s="5" t="s">
        <v>92</v>
      </c>
      <c r="E1155" s="5">
        <v>2021</v>
      </c>
      <c r="F1155" s="5">
        <v>12</v>
      </c>
      <c r="G1155" s="5" t="s">
        <v>33</v>
      </c>
      <c r="H1155" s="5">
        <v>578354</v>
      </c>
      <c r="I1155" s="5">
        <v>503314.87</v>
      </c>
      <c r="J1155" s="5">
        <v>9</v>
      </c>
      <c r="K1155" s="5">
        <v>50961</v>
      </c>
      <c r="L1155" s="5">
        <v>626880</v>
      </c>
      <c r="M1155" s="5">
        <v>75039.13</v>
      </c>
      <c r="N1155" s="5">
        <v>0.12970000000000001</v>
      </c>
      <c r="O1155" s="5">
        <v>2</v>
      </c>
      <c r="P1155" s="5">
        <v>163236</v>
      </c>
    </row>
    <row r="1156" spans="1:16" x14ac:dyDescent="0.3">
      <c r="A1156" s="5">
        <v>14</v>
      </c>
      <c r="B1156" s="5" t="s">
        <v>115</v>
      </c>
      <c r="C1156" s="5">
        <v>9</v>
      </c>
      <c r="D1156" s="5" t="s">
        <v>92</v>
      </c>
      <c r="E1156" s="5">
        <v>2022</v>
      </c>
      <c r="F1156" s="5">
        <v>1</v>
      </c>
      <c r="G1156" s="5" t="s">
        <v>34</v>
      </c>
      <c r="H1156" s="5">
        <v>2608894</v>
      </c>
      <c r="I1156" s="5">
        <v>2273654.0099999998</v>
      </c>
      <c r="J1156" s="5">
        <v>29</v>
      </c>
      <c r="K1156" s="5">
        <v>301090</v>
      </c>
      <c r="L1156" s="5">
        <v>2904090</v>
      </c>
      <c r="M1156" s="5">
        <v>335239.99</v>
      </c>
      <c r="N1156" s="5">
        <v>0.1285</v>
      </c>
      <c r="O1156" s="5">
        <v>2</v>
      </c>
      <c r="P1156" s="5">
        <v>31963</v>
      </c>
    </row>
    <row r="1157" spans="1:16" x14ac:dyDescent="0.3">
      <c r="A1157" s="5">
        <v>23</v>
      </c>
      <c r="B1157" s="5" t="s">
        <v>115</v>
      </c>
      <c r="C1157" s="5">
        <v>9</v>
      </c>
      <c r="D1157" s="5" t="s">
        <v>92</v>
      </c>
      <c r="E1157" s="5">
        <v>2022</v>
      </c>
      <c r="F1157" s="5">
        <v>1</v>
      </c>
      <c r="G1157" s="5" t="s">
        <v>34</v>
      </c>
      <c r="H1157" s="5">
        <v>4104503</v>
      </c>
      <c r="I1157" s="5">
        <v>3447774.39</v>
      </c>
      <c r="J1157" s="5">
        <v>77</v>
      </c>
      <c r="K1157" s="5">
        <v>399107</v>
      </c>
      <c r="L1157" s="5">
        <v>4482980</v>
      </c>
      <c r="M1157" s="5">
        <v>656728.61</v>
      </c>
      <c r="N1157" s="5">
        <v>0.16</v>
      </c>
      <c r="O1157" s="5">
        <v>7</v>
      </c>
      <c r="P1157" s="5">
        <v>73929</v>
      </c>
    </row>
    <row r="1158" spans="1:16" x14ac:dyDescent="0.3">
      <c r="A1158" s="5">
        <v>55</v>
      </c>
      <c r="B1158" s="5" t="s">
        <v>115</v>
      </c>
      <c r="C1158" s="5">
        <v>9</v>
      </c>
      <c r="D1158" s="5" t="s">
        <v>92</v>
      </c>
      <c r="E1158" s="5">
        <v>2022</v>
      </c>
      <c r="F1158" s="5">
        <v>1</v>
      </c>
      <c r="G1158" s="5" t="s">
        <v>34</v>
      </c>
      <c r="H1158" s="5">
        <v>2394315</v>
      </c>
      <c r="I1158" s="5">
        <v>1951407.48</v>
      </c>
      <c r="J1158" s="5">
        <v>43</v>
      </c>
      <c r="K1158" s="5">
        <v>154427</v>
      </c>
      <c r="L1158" s="5">
        <v>2541210</v>
      </c>
      <c r="M1158" s="5">
        <v>442907.52</v>
      </c>
      <c r="N1158" s="5">
        <v>0.185</v>
      </c>
      <c r="O1158" s="5">
        <v>4</v>
      </c>
      <c r="P1158" s="5">
        <v>150990</v>
      </c>
    </row>
    <row r="1159" spans="1:16" x14ac:dyDescent="0.3">
      <c r="A1159" s="5">
        <v>80</v>
      </c>
      <c r="B1159" s="5" t="s">
        <v>115</v>
      </c>
      <c r="C1159" s="5">
        <v>9</v>
      </c>
      <c r="D1159" s="5" t="s">
        <v>92</v>
      </c>
      <c r="E1159" s="5">
        <v>2022</v>
      </c>
      <c r="F1159" s="5">
        <v>1</v>
      </c>
      <c r="G1159" s="5" t="s">
        <v>34</v>
      </c>
      <c r="H1159" s="5">
        <v>797099</v>
      </c>
      <c r="I1159" s="5">
        <v>639684.89</v>
      </c>
      <c r="J1159" s="5">
        <v>12</v>
      </c>
      <c r="K1159" s="5">
        <v>49158</v>
      </c>
      <c r="L1159" s="5">
        <v>843400</v>
      </c>
      <c r="M1159" s="5">
        <v>157414.10999999999</v>
      </c>
      <c r="N1159" s="5">
        <v>0.19750000000000001</v>
      </c>
      <c r="O1159" s="5">
        <v>1</v>
      </c>
      <c r="P1159" s="5">
        <v>92751</v>
      </c>
    </row>
    <row r="1160" spans="1:16" x14ac:dyDescent="0.3">
      <c r="A1160" s="5">
        <v>14</v>
      </c>
      <c r="B1160" s="5" t="s">
        <v>115</v>
      </c>
      <c r="C1160" s="5">
        <v>9</v>
      </c>
      <c r="D1160" s="5" t="s">
        <v>92</v>
      </c>
      <c r="E1160" s="5">
        <v>2022</v>
      </c>
      <c r="F1160" s="5">
        <v>2</v>
      </c>
      <c r="G1160" s="5" t="s">
        <v>35</v>
      </c>
      <c r="H1160" s="5">
        <v>1263509</v>
      </c>
      <c r="I1160" s="5">
        <v>1067882.1200000001</v>
      </c>
      <c r="J1160" s="5">
        <v>23</v>
      </c>
      <c r="K1160" s="5">
        <v>77504</v>
      </c>
      <c r="L1160" s="5">
        <v>1336190</v>
      </c>
      <c r="M1160" s="5">
        <v>195626.88</v>
      </c>
      <c r="N1160" s="5">
        <v>0.15479999999999999</v>
      </c>
      <c r="O1160" s="5">
        <v>2</v>
      </c>
      <c r="P1160" s="5">
        <v>17563</v>
      </c>
    </row>
    <row r="1161" spans="1:16" x14ac:dyDescent="0.3">
      <c r="A1161" s="5">
        <v>23</v>
      </c>
      <c r="B1161" s="5" t="s">
        <v>115</v>
      </c>
      <c r="C1161" s="5">
        <v>9</v>
      </c>
      <c r="D1161" s="5" t="s">
        <v>92</v>
      </c>
      <c r="E1161" s="5">
        <v>2022</v>
      </c>
      <c r="F1161" s="5">
        <v>2</v>
      </c>
      <c r="G1161" s="5" t="s">
        <v>35</v>
      </c>
      <c r="H1161" s="5">
        <v>4103312</v>
      </c>
      <c r="I1161" s="5">
        <v>3439054.77</v>
      </c>
      <c r="J1161" s="5">
        <v>72</v>
      </c>
      <c r="K1161" s="5">
        <v>353623</v>
      </c>
      <c r="L1161" s="5">
        <v>4444150</v>
      </c>
      <c r="M1161" s="5">
        <v>664257.23</v>
      </c>
      <c r="N1161" s="5">
        <v>0.16189999999999999</v>
      </c>
      <c r="O1161" s="5">
        <v>7</v>
      </c>
      <c r="P1161" s="5">
        <v>121450</v>
      </c>
    </row>
    <row r="1162" spans="1:16" x14ac:dyDescent="0.3">
      <c r="A1162" s="5">
        <v>55</v>
      </c>
      <c r="B1162" s="5" t="s">
        <v>115</v>
      </c>
      <c r="C1162" s="5">
        <v>9</v>
      </c>
      <c r="D1162" s="5" t="s">
        <v>92</v>
      </c>
      <c r="E1162" s="5">
        <v>2022</v>
      </c>
      <c r="F1162" s="5">
        <v>2</v>
      </c>
      <c r="G1162" s="5" t="s">
        <v>35</v>
      </c>
      <c r="H1162" s="5">
        <v>1506462</v>
      </c>
      <c r="I1162" s="5">
        <v>1315060.03</v>
      </c>
      <c r="J1162" s="5">
        <v>29</v>
      </c>
      <c r="K1162" s="5">
        <v>155877</v>
      </c>
      <c r="L1162" s="5">
        <v>1656580</v>
      </c>
      <c r="M1162" s="5">
        <v>191401.97</v>
      </c>
      <c r="N1162" s="5">
        <v>0.12709999999999999</v>
      </c>
      <c r="O1162" s="5">
        <v>2</v>
      </c>
      <c r="P1162" s="5">
        <v>10674</v>
      </c>
    </row>
    <row r="1163" spans="1:16" x14ac:dyDescent="0.3">
      <c r="A1163" s="5">
        <v>80</v>
      </c>
      <c r="B1163" s="5" t="s">
        <v>115</v>
      </c>
      <c r="C1163" s="5">
        <v>9</v>
      </c>
      <c r="D1163" s="5" t="s">
        <v>92</v>
      </c>
      <c r="E1163" s="5">
        <v>2022</v>
      </c>
      <c r="F1163" s="5">
        <v>2</v>
      </c>
      <c r="G1163" s="5" t="s">
        <v>35</v>
      </c>
      <c r="H1163" s="5">
        <v>679682</v>
      </c>
      <c r="I1163" s="5">
        <v>613728.22</v>
      </c>
      <c r="J1163" s="5">
        <v>10</v>
      </c>
      <c r="K1163" s="5">
        <v>99471</v>
      </c>
      <c r="L1163" s="5">
        <v>778110</v>
      </c>
      <c r="M1163" s="5">
        <v>65953.78</v>
      </c>
      <c r="N1163" s="5">
        <v>9.7000000000000003E-2</v>
      </c>
      <c r="O1163" s="5">
        <v>0</v>
      </c>
      <c r="P1163" s="5">
        <v>0</v>
      </c>
    </row>
    <row r="1164" spans="1:16" x14ac:dyDescent="0.3">
      <c r="A1164" s="5">
        <v>14</v>
      </c>
      <c r="B1164" s="5" t="s">
        <v>115</v>
      </c>
      <c r="C1164" s="5">
        <v>9</v>
      </c>
      <c r="D1164" s="5" t="s">
        <v>92</v>
      </c>
      <c r="E1164" s="5">
        <v>2022</v>
      </c>
      <c r="F1164" s="5">
        <v>3</v>
      </c>
      <c r="G1164" s="5" t="s">
        <v>36</v>
      </c>
      <c r="H1164" s="5">
        <v>2164696</v>
      </c>
      <c r="I1164" s="5">
        <v>1793627.64</v>
      </c>
      <c r="J1164" s="5">
        <v>33</v>
      </c>
      <c r="K1164" s="5">
        <v>190267</v>
      </c>
      <c r="L1164" s="5">
        <v>2352060</v>
      </c>
      <c r="M1164" s="5">
        <v>371068.36</v>
      </c>
      <c r="N1164" s="5">
        <v>0.1714</v>
      </c>
      <c r="O1164" s="5">
        <v>4</v>
      </c>
      <c r="P1164" s="5">
        <v>13930</v>
      </c>
    </row>
    <row r="1165" spans="1:16" x14ac:dyDescent="0.3">
      <c r="A1165" s="5">
        <v>23</v>
      </c>
      <c r="B1165" s="5" t="s">
        <v>115</v>
      </c>
      <c r="C1165" s="5">
        <v>9</v>
      </c>
      <c r="D1165" s="5" t="s">
        <v>92</v>
      </c>
      <c r="E1165" s="5">
        <v>2022</v>
      </c>
      <c r="F1165" s="5">
        <v>3</v>
      </c>
      <c r="G1165" s="5" t="s">
        <v>36</v>
      </c>
      <c r="H1165" s="5">
        <v>4629822</v>
      </c>
      <c r="I1165" s="5">
        <v>4107070.91</v>
      </c>
      <c r="J1165" s="5">
        <v>80</v>
      </c>
      <c r="K1165" s="5">
        <v>640227</v>
      </c>
      <c r="L1165" s="5">
        <v>5253550</v>
      </c>
      <c r="M1165" s="5">
        <v>522751.09</v>
      </c>
      <c r="N1165" s="5">
        <v>0.1129</v>
      </c>
      <c r="O1165" s="5">
        <v>9</v>
      </c>
      <c r="P1165" s="5">
        <v>444154</v>
      </c>
    </row>
    <row r="1166" spans="1:16" x14ac:dyDescent="0.3">
      <c r="A1166" s="5">
        <v>55</v>
      </c>
      <c r="B1166" s="5" t="s">
        <v>115</v>
      </c>
      <c r="C1166" s="5">
        <v>9</v>
      </c>
      <c r="D1166" s="5" t="s">
        <v>92</v>
      </c>
      <c r="E1166" s="5">
        <v>2022</v>
      </c>
      <c r="F1166" s="5">
        <v>3</v>
      </c>
      <c r="G1166" s="5" t="s">
        <v>36</v>
      </c>
      <c r="H1166" s="5">
        <v>2588476</v>
      </c>
      <c r="I1166" s="5">
        <v>2133478.46</v>
      </c>
      <c r="J1166" s="5">
        <v>41</v>
      </c>
      <c r="K1166" s="5">
        <v>144720</v>
      </c>
      <c r="L1166" s="5">
        <v>2721320</v>
      </c>
      <c r="M1166" s="5">
        <v>454997.54</v>
      </c>
      <c r="N1166" s="5">
        <v>0.17580000000000001</v>
      </c>
      <c r="O1166" s="5">
        <v>7</v>
      </c>
      <c r="P1166" s="5">
        <v>98917</v>
      </c>
    </row>
    <row r="1167" spans="1:16" x14ac:dyDescent="0.3">
      <c r="A1167" s="5">
        <v>80</v>
      </c>
      <c r="B1167" s="5" t="s">
        <v>115</v>
      </c>
      <c r="C1167" s="5">
        <v>9</v>
      </c>
      <c r="D1167" s="5" t="s">
        <v>92</v>
      </c>
      <c r="E1167" s="5">
        <v>2022</v>
      </c>
      <c r="F1167" s="5">
        <v>3</v>
      </c>
      <c r="G1167" s="5" t="s">
        <v>36</v>
      </c>
      <c r="H1167" s="5">
        <v>1310310</v>
      </c>
      <c r="I1167" s="5">
        <v>1197641.92</v>
      </c>
      <c r="J1167" s="5">
        <v>15</v>
      </c>
      <c r="K1167" s="5">
        <v>225661</v>
      </c>
      <c r="L1167" s="5">
        <v>1533840</v>
      </c>
      <c r="M1167" s="5">
        <v>112668.08</v>
      </c>
      <c r="N1167" s="5">
        <v>8.5999999999999993E-2</v>
      </c>
      <c r="O1167" s="5">
        <v>1</v>
      </c>
      <c r="P1167" s="5">
        <v>5324</v>
      </c>
    </row>
    <row r="1168" spans="1:16" x14ac:dyDescent="0.3">
      <c r="A1168" s="5">
        <v>14</v>
      </c>
      <c r="B1168" s="5" t="s">
        <v>115</v>
      </c>
      <c r="C1168" s="5">
        <v>9</v>
      </c>
      <c r="D1168" s="5" t="s">
        <v>92</v>
      </c>
      <c r="E1168" s="5">
        <v>2022</v>
      </c>
      <c r="F1168" s="5">
        <v>4</v>
      </c>
      <c r="G1168" s="5" t="s">
        <v>37</v>
      </c>
      <c r="H1168" s="5">
        <v>3976689</v>
      </c>
      <c r="I1168" s="5">
        <v>3425868.88</v>
      </c>
      <c r="J1168" s="5">
        <v>51</v>
      </c>
      <c r="K1168" s="5">
        <v>465648</v>
      </c>
      <c r="L1168" s="5">
        <v>4432470</v>
      </c>
      <c r="M1168" s="5">
        <v>550820.12</v>
      </c>
      <c r="N1168" s="5">
        <v>0.13850000000000001</v>
      </c>
      <c r="O1168" s="5">
        <v>6</v>
      </c>
      <c r="P1168" s="5">
        <v>191817</v>
      </c>
    </row>
    <row r="1169" spans="1:16" x14ac:dyDescent="0.3">
      <c r="A1169" s="5">
        <v>23</v>
      </c>
      <c r="B1169" s="5" t="s">
        <v>115</v>
      </c>
      <c r="C1169" s="5">
        <v>9</v>
      </c>
      <c r="D1169" s="5" t="s">
        <v>92</v>
      </c>
      <c r="E1169" s="5">
        <v>2022</v>
      </c>
      <c r="F1169" s="5">
        <v>4</v>
      </c>
      <c r="G1169" s="5" t="s">
        <v>37</v>
      </c>
      <c r="H1169" s="5">
        <v>5982075</v>
      </c>
      <c r="I1169" s="5">
        <v>5380579.8200000003</v>
      </c>
      <c r="J1169" s="5">
        <v>84</v>
      </c>
      <c r="K1169" s="5">
        <v>906700</v>
      </c>
      <c r="L1169" s="5">
        <v>6866330</v>
      </c>
      <c r="M1169" s="5">
        <v>601495.18000000005</v>
      </c>
      <c r="N1169" s="5">
        <v>0.10050000000000001</v>
      </c>
      <c r="O1169" s="5">
        <v>8</v>
      </c>
      <c r="P1169" s="5">
        <v>492216</v>
      </c>
    </row>
    <row r="1170" spans="1:16" x14ac:dyDescent="0.3">
      <c r="A1170" s="5">
        <v>55</v>
      </c>
      <c r="B1170" s="5" t="s">
        <v>115</v>
      </c>
      <c r="C1170" s="5">
        <v>9</v>
      </c>
      <c r="D1170" s="5" t="s">
        <v>92</v>
      </c>
      <c r="E1170" s="5">
        <v>2022</v>
      </c>
      <c r="F1170" s="5">
        <v>4</v>
      </c>
      <c r="G1170" s="5" t="s">
        <v>37</v>
      </c>
      <c r="H1170" s="5">
        <v>1845009</v>
      </c>
      <c r="I1170" s="5">
        <v>1644112.61</v>
      </c>
      <c r="J1170" s="5">
        <v>29</v>
      </c>
      <c r="K1170" s="5">
        <v>279502</v>
      </c>
      <c r="L1170" s="5">
        <v>2117950</v>
      </c>
      <c r="M1170" s="5">
        <v>200896.39</v>
      </c>
      <c r="N1170" s="5">
        <v>0.1089</v>
      </c>
      <c r="O1170" s="5">
        <v>2</v>
      </c>
      <c r="P1170" s="5">
        <v>226118</v>
      </c>
    </row>
    <row r="1171" spans="1:16" x14ac:dyDescent="0.3">
      <c r="A1171" s="5">
        <v>80</v>
      </c>
      <c r="B1171" s="5" t="s">
        <v>115</v>
      </c>
      <c r="C1171" s="5">
        <v>9</v>
      </c>
      <c r="D1171" s="5" t="s">
        <v>92</v>
      </c>
      <c r="E1171" s="5">
        <v>2022</v>
      </c>
      <c r="F1171" s="5">
        <v>4</v>
      </c>
      <c r="G1171" s="5" t="s">
        <v>37</v>
      </c>
      <c r="H1171" s="5">
        <v>547660</v>
      </c>
      <c r="I1171" s="5">
        <v>442912.4</v>
      </c>
      <c r="J1171" s="5">
        <v>10</v>
      </c>
      <c r="K1171" s="5">
        <v>16564</v>
      </c>
      <c r="L1171" s="5">
        <v>560280</v>
      </c>
      <c r="M1171" s="5">
        <v>104747.6</v>
      </c>
      <c r="N1171" s="5">
        <v>0.1913</v>
      </c>
      <c r="O1171" s="5">
        <v>1</v>
      </c>
      <c r="P1171" s="5">
        <v>4868</v>
      </c>
    </row>
    <row r="1172" spans="1:16" x14ac:dyDescent="0.3">
      <c r="A1172" s="5">
        <v>14</v>
      </c>
      <c r="B1172" s="5" t="s">
        <v>115</v>
      </c>
      <c r="C1172" s="5">
        <v>9</v>
      </c>
      <c r="D1172" s="5" t="s">
        <v>92</v>
      </c>
      <c r="E1172" s="5">
        <v>2022</v>
      </c>
      <c r="F1172" s="5">
        <v>5</v>
      </c>
      <c r="G1172" s="5" t="s">
        <v>38</v>
      </c>
      <c r="H1172" s="5">
        <v>2757567</v>
      </c>
      <c r="I1172" s="5">
        <v>2339825.38</v>
      </c>
      <c r="J1172" s="5">
        <v>38</v>
      </c>
      <c r="K1172" s="5">
        <v>258520</v>
      </c>
      <c r="L1172" s="5">
        <v>3002900</v>
      </c>
      <c r="M1172" s="5">
        <v>417741.62</v>
      </c>
      <c r="N1172" s="5">
        <v>0.1515</v>
      </c>
      <c r="O1172" s="5">
        <v>2</v>
      </c>
      <c r="P1172" s="5">
        <v>45376</v>
      </c>
    </row>
    <row r="1173" spans="1:16" x14ac:dyDescent="0.3">
      <c r="A1173" s="5">
        <v>23</v>
      </c>
      <c r="B1173" s="5" t="s">
        <v>115</v>
      </c>
      <c r="C1173" s="5">
        <v>9</v>
      </c>
      <c r="D1173" s="5" t="s">
        <v>92</v>
      </c>
      <c r="E1173" s="5">
        <v>2022</v>
      </c>
      <c r="F1173" s="5">
        <v>5</v>
      </c>
      <c r="G1173" s="5" t="s">
        <v>38</v>
      </c>
      <c r="H1173" s="5">
        <v>6664289</v>
      </c>
      <c r="I1173" s="5">
        <v>5869966.3099999996</v>
      </c>
      <c r="J1173" s="5">
        <v>95</v>
      </c>
      <c r="K1173" s="5">
        <v>776580</v>
      </c>
      <c r="L1173" s="5">
        <v>7413170</v>
      </c>
      <c r="M1173" s="5">
        <v>794322.69</v>
      </c>
      <c r="N1173" s="5">
        <v>0.1192</v>
      </c>
      <c r="O1173" s="5">
        <v>15</v>
      </c>
      <c r="P1173" s="5">
        <v>228195</v>
      </c>
    </row>
    <row r="1174" spans="1:16" x14ac:dyDescent="0.3">
      <c r="A1174" s="5">
        <v>55</v>
      </c>
      <c r="B1174" s="5" t="s">
        <v>115</v>
      </c>
      <c r="C1174" s="5">
        <v>9</v>
      </c>
      <c r="D1174" s="5" t="s">
        <v>92</v>
      </c>
      <c r="E1174" s="5">
        <v>2022</v>
      </c>
      <c r="F1174" s="5">
        <v>5</v>
      </c>
      <c r="G1174" s="5" t="s">
        <v>38</v>
      </c>
      <c r="H1174" s="5">
        <v>2429159</v>
      </c>
      <c r="I1174" s="5">
        <v>2164219.83</v>
      </c>
      <c r="J1174" s="5">
        <v>30</v>
      </c>
      <c r="K1174" s="5">
        <v>401774</v>
      </c>
      <c r="L1174" s="5">
        <v>2825890</v>
      </c>
      <c r="M1174" s="5">
        <v>264939.17</v>
      </c>
      <c r="N1174" s="5">
        <v>0.1091</v>
      </c>
      <c r="O1174" s="5">
        <v>1</v>
      </c>
      <c r="P1174" s="5">
        <v>34409</v>
      </c>
    </row>
    <row r="1175" spans="1:16" x14ac:dyDescent="0.3">
      <c r="A1175" s="5">
        <v>80</v>
      </c>
      <c r="B1175" s="5" t="s">
        <v>115</v>
      </c>
      <c r="C1175" s="5">
        <v>9</v>
      </c>
      <c r="D1175" s="5" t="s">
        <v>92</v>
      </c>
      <c r="E1175" s="5">
        <v>2022</v>
      </c>
      <c r="F1175" s="5">
        <v>5</v>
      </c>
      <c r="G1175" s="5" t="s">
        <v>38</v>
      </c>
      <c r="H1175" s="5">
        <v>754293</v>
      </c>
      <c r="I1175" s="5">
        <v>653607.81000000006</v>
      </c>
      <c r="J1175" s="5">
        <v>10</v>
      </c>
      <c r="K1175" s="5">
        <v>94670</v>
      </c>
      <c r="L1175" s="5">
        <v>844890</v>
      </c>
      <c r="M1175" s="5">
        <v>100685.19</v>
      </c>
      <c r="N1175" s="5">
        <v>0.13350000000000001</v>
      </c>
      <c r="O1175" s="5">
        <v>3</v>
      </c>
      <c r="P1175" s="5">
        <v>123790</v>
      </c>
    </row>
    <row r="1176" spans="1:16" x14ac:dyDescent="0.3">
      <c r="A1176" s="5">
        <v>14</v>
      </c>
      <c r="B1176" s="5" t="s">
        <v>115</v>
      </c>
      <c r="C1176" s="5">
        <v>9</v>
      </c>
      <c r="D1176" s="5" t="s">
        <v>92</v>
      </c>
      <c r="E1176" s="5">
        <v>2022</v>
      </c>
      <c r="F1176" s="5">
        <v>6</v>
      </c>
      <c r="G1176" s="5" t="s">
        <v>39</v>
      </c>
      <c r="H1176" s="5">
        <v>2069423</v>
      </c>
      <c r="I1176" s="5">
        <v>1933148.31</v>
      </c>
      <c r="J1176" s="5">
        <v>43</v>
      </c>
      <c r="K1176" s="5">
        <v>371692</v>
      </c>
      <c r="L1176" s="5">
        <v>2433120</v>
      </c>
      <c r="M1176" s="5">
        <v>136274.69</v>
      </c>
      <c r="N1176" s="5">
        <v>6.59E-2</v>
      </c>
      <c r="O1176" s="5">
        <v>3</v>
      </c>
      <c r="P1176" s="5">
        <v>19505</v>
      </c>
    </row>
    <row r="1177" spans="1:16" x14ac:dyDescent="0.3">
      <c r="A1177" s="5">
        <v>23</v>
      </c>
      <c r="B1177" s="5" t="s">
        <v>115</v>
      </c>
      <c r="C1177" s="5">
        <v>9</v>
      </c>
      <c r="D1177" s="5" t="s">
        <v>92</v>
      </c>
      <c r="E1177" s="5">
        <v>2022</v>
      </c>
      <c r="F1177" s="5">
        <v>6</v>
      </c>
      <c r="G1177" s="5" t="s">
        <v>39</v>
      </c>
      <c r="H1177" s="5">
        <v>6808969</v>
      </c>
      <c r="I1177" s="5">
        <v>5696937.9500000002</v>
      </c>
      <c r="J1177" s="5">
        <v>99</v>
      </c>
      <c r="K1177" s="5">
        <v>707680</v>
      </c>
      <c r="L1177" s="5">
        <v>7495610</v>
      </c>
      <c r="M1177" s="5">
        <v>1112031.05</v>
      </c>
      <c r="N1177" s="5">
        <v>0.1633</v>
      </c>
      <c r="O1177" s="5">
        <v>12</v>
      </c>
      <c r="P1177" s="5">
        <v>210358</v>
      </c>
    </row>
    <row r="1178" spans="1:16" x14ac:dyDescent="0.3">
      <c r="A1178" s="5">
        <v>55</v>
      </c>
      <c r="B1178" s="5" t="s">
        <v>115</v>
      </c>
      <c r="C1178" s="5">
        <v>9</v>
      </c>
      <c r="D1178" s="5" t="s">
        <v>92</v>
      </c>
      <c r="E1178" s="5">
        <v>2022</v>
      </c>
      <c r="F1178" s="5">
        <v>6</v>
      </c>
      <c r="G1178" s="5" t="s">
        <v>39</v>
      </c>
      <c r="H1178" s="5">
        <v>2504677</v>
      </c>
      <c r="I1178" s="5">
        <v>2087271.25</v>
      </c>
      <c r="J1178" s="5">
        <v>42</v>
      </c>
      <c r="K1178" s="5">
        <v>248849</v>
      </c>
      <c r="L1178" s="5">
        <v>2748620</v>
      </c>
      <c r="M1178" s="5">
        <v>417405.75</v>
      </c>
      <c r="N1178" s="5">
        <v>0.16669999999999999</v>
      </c>
      <c r="O1178" s="5">
        <v>2</v>
      </c>
      <c r="P1178" s="5">
        <v>17929</v>
      </c>
    </row>
    <row r="1179" spans="1:16" x14ac:dyDescent="0.3">
      <c r="A1179" s="5">
        <v>80</v>
      </c>
      <c r="B1179" s="5" t="s">
        <v>115</v>
      </c>
      <c r="C1179" s="5">
        <v>9</v>
      </c>
      <c r="D1179" s="5" t="s">
        <v>92</v>
      </c>
      <c r="E1179" s="5">
        <v>2022</v>
      </c>
      <c r="F1179" s="5">
        <v>6</v>
      </c>
      <c r="G1179" s="5" t="s">
        <v>39</v>
      </c>
      <c r="H1179" s="5">
        <v>1241896</v>
      </c>
      <c r="I1179" s="5">
        <v>1149706.58</v>
      </c>
      <c r="J1179" s="5">
        <v>16</v>
      </c>
      <c r="K1179" s="5">
        <v>272249</v>
      </c>
      <c r="L1179" s="5">
        <v>1512000</v>
      </c>
      <c r="M1179" s="5">
        <v>92189.42</v>
      </c>
      <c r="N1179" s="5">
        <v>7.4200000000000002E-2</v>
      </c>
      <c r="O1179" s="5">
        <v>1</v>
      </c>
      <c r="P1179" s="5">
        <v>6396</v>
      </c>
    </row>
    <row r="1180" spans="1:16" x14ac:dyDescent="0.3">
      <c r="A1180" s="5">
        <v>14</v>
      </c>
      <c r="B1180" s="5" t="s">
        <v>115</v>
      </c>
      <c r="C1180" s="5">
        <v>9</v>
      </c>
      <c r="D1180" s="5" t="s">
        <v>92</v>
      </c>
      <c r="E1180" s="5">
        <v>2022</v>
      </c>
      <c r="F1180" s="5">
        <v>7</v>
      </c>
      <c r="G1180" s="5" t="s">
        <v>40</v>
      </c>
      <c r="H1180" s="5">
        <v>702724</v>
      </c>
      <c r="I1180" s="5">
        <v>562883.44999999995</v>
      </c>
      <c r="J1180" s="5">
        <v>28</v>
      </c>
      <c r="K1180" s="5">
        <v>89212</v>
      </c>
      <c r="L1180" s="5">
        <v>791060</v>
      </c>
      <c r="M1180" s="5">
        <v>139840.54999999999</v>
      </c>
      <c r="N1180" s="5">
        <v>0.19900000000000001</v>
      </c>
      <c r="O1180" s="5">
        <v>2</v>
      </c>
      <c r="P1180" s="5">
        <v>20824</v>
      </c>
    </row>
    <row r="1181" spans="1:16" x14ac:dyDescent="0.3">
      <c r="A1181" s="5">
        <v>23</v>
      </c>
      <c r="B1181" s="5" t="s">
        <v>115</v>
      </c>
      <c r="C1181" s="5">
        <v>9</v>
      </c>
      <c r="D1181" s="5" t="s">
        <v>92</v>
      </c>
      <c r="E1181" s="5">
        <v>2022</v>
      </c>
      <c r="F1181" s="5">
        <v>7</v>
      </c>
      <c r="G1181" s="5" t="s">
        <v>40</v>
      </c>
      <c r="H1181" s="5">
        <v>5559755</v>
      </c>
      <c r="I1181" s="5">
        <v>4904126.5</v>
      </c>
      <c r="J1181" s="5">
        <v>98</v>
      </c>
      <c r="K1181" s="5">
        <v>786710</v>
      </c>
      <c r="L1181" s="5">
        <v>6326480</v>
      </c>
      <c r="M1181" s="5">
        <v>655628.5</v>
      </c>
      <c r="N1181" s="5">
        <v>0.1179</v>
      </c>
      <c r="O1181" s="5">
        <v>6</v>
      </c>
      <c r="P1181" s="5">
        <v>73857</v>
      </c>
    </row>
    <row r="1182" spans="1:16" x14ac:dyDescent="0.3">
      <c r="A1182" s="5">
        <v>55</v>
      </c>
      <c r="B1182" s="5" t="s">
        <v>115</v>
      </c>
      <c r="C1182" s="5">
        <v>9</v>
      </c>
      <c r="D1182" s="5" t="s">
        <v>92</v>
      </c>
      <c r="E1182" s="5">
        <v>2022</v>
      </c>
      <c r="F1182" s="5">
        <v>7</v>
      </c>
      <c r="G1182" s="5" t="s">
        <v>40</v>
      </c>
      <c r="H1182" s="5">
        <v>2415224</v>
      </c>
      <c r="I1182" s="5">
        <v>2099043.2599999998</v>
      </c>
      <c r="J1182" s="5">
        <v>34</v>
      </c>
      <c r="K1182" s="5">
        <v>241010</v>
      </c>
      <c r="L1182" s="5">
        <v>2645220</v>
      </c>
      <c r="M1182" s="5">
        <v>316180.74</v>
      </c>
      <c r="N1182" s="5">
        <v>0.13089999999999999</v>
      </c>
      <c r="O1182" s="5">
        <v>1</v>
      </c>
      <c r="P1182" s="5">
        <v>118668</v>
      </c>
    </row>
    <row r="1183" spans="1:16" x14ac:dyDescent="0.3">
      <c r="A1183" s="5">
        <v>80</v>
      </c>
      <c r="B1183" s="5" t="s">
        <v>115</v>
      </c>
      <c r="C1183" s="5">
        <v>9</v>
      </c>
      <c r="D1183" s="5" t="s">
        <v>92</v>
      </c>
      <c r="E1183" s="5">
        <v>2022</v>
      </c>
      <c r="F1183" s="5">
        <v>7</v>
      </c>
      <c r="G1183" s="5" t="s">
        <v>40</v>
      </c>
      <c r="H1183" s="5">
        <v>699868</v>
      </c>
      <c r="I1183" s="5">
        <v>645985.05000000005</v>
      </c>
      <c r="J1183" s="5">
        <v>13</v>
      </c>
      <c r="K1183" s="5">
        <v>158892</v>
      </c>
      <c r="L1183" s="5">
        <v>856950</v>
      </c>
      <c r="M1183" s="5">
        <v>53882.95</v>
      </c>
      <c r="N1183" s="5">
        <v>7.6999999999999999E-2</v>
      </c>
      <c r="O1183" s="5">
        <v>2</v>
      </c>
      <c r="P1183" s="5">
        <v>76169</v>
      </c>
    </row>
    <row r="1184" spans="1:16" x14ac:dyDescent="0.3">
      <c r="A1184" s="5">
        <v>14</v>
      </c>
      <c r="B1184" s="5" t="s">
        <v>115</v>
      </c>
      <c r="C1184" s="5">
        <v>9</v>
      </c>
      <c r="D1184" s="5" t="s">
        <v>92</v>
      </c>
      <c r="E1184" s="5">
        <v>2022</v>
      </c>
      <c r="F1184" s="5">
        <v>8</v>
      </c>
      <c r="G1184" s="5" t="s">
        <v>41</v>
      </c>
      <c r="H1184" s="5">
        <v>2951678</v>
      </c>
      <c r="I1184" s="5">
        <v>2672990.4900000002</v>
      </c>
      <c r="J1184" s="5">
        <v>45</v>
      </c>
      <c r="K1184" s="5">
        <v>540152</v>
      </c>
      <c r="L1184" s="5">
        <v>3480870</v>
      </c>
      <c r="M1184" s="5">
        <v>278687.51</v>
      </c>
      <c r="N1184" s="5">
        <v>9.4399999999999998E-2</v>
      </c>
      <c r="O1184" s="5">
        <v>2</v>
      </c>
      <c r="P1184" s="5">
        <v>30297</v>
      </c>
    </row>
    <row r="1185" spans="1:16" x14ac:dyDescent="0.3">
      <c r="A1185" s="5">
        <v>23</v>
      </c>
      <c r="B1185" s="5" t="s">
        <v>115</v>
      </c>
      <c r="C1185" s="5">
        <v>9</v>
      </c>
      <c r="D1185" s="5" t="s">
        <v>92</v>
      </c>
      <c r="E1185" s="5">
        <v>2022</v>
      </c>
      <c r="F1185" s="5">
        <v>8</v>
      </c>
      <c r="G1185" s="5" t="s">
        <v>41</v>
      </c>
      <c r="H1185" s="5">
        <v>5994485</v>
      </c>
      <c r="I1185" s="5">
        <v>5413885.21</v>
      </c>
      <c r="J1185" s="5">
        <v>92</v>
      </c>
      <c r="K1185" s="5">
        <v>1042322</v>
      </c>
      <c r="L1185" s="5">
        <v>7011230</v>
      </c>
      <c r="M1185" s="5">
        <v>580599.79</v>
      </c>
      <c r="N1185" s="5">
        <v>9.69E-2</v>
      </c>
      <c r="O1185" s="5">
        <v>7</v>
      </c>
      <c r="P1185" s="5">
        <v>81497</v>
      </c>
    </row>
    <row r="1186" spans="1:16" x14ac:dyDescent="0.3">
      <c r="A1186" s="5">
        <v>55</v>
      </c>
      <c r="B1186" s="5" t="s">
        <v>115</v>
      </c>
      <c r="C1186" s="5">
        <v>9</v>
      </c>
      <c r="D1186" s="5" t="s">
        <v>92</v>
      </c>
      <c r="E1186" s="5">
        <v>2022</v>
      </c>
      <c r="F1186" s="5">
        <v>8</v>
      </c>
      <c r="G1186" s="5" t="s">
        <v>41</v>
      </c>
      <c r="H1186" s="5">
        <v>2195915</v>
      </c>
      <c r="I1186" s="5">
        <v>2341550.02</v>
      </c>
      <c r="J1186" s="5">
        <v>29</v>
      </c>
      <c r="K1186" s="5">
        <v>820448</v>
      </c>
      <c r="L1186" s="5">
        <v>3015620</v>
      </c>
      <c r="M1186" s="5">
        <v>-145635.01999999999</v>
      </c>
      <c r="N1186" s="5">
        <v>-6.6299999999999998E-2</v>
      </c>
      <c r="O1186" s="5">
        <v>1</v>
      </c>
      <c r="P1186" s="5">
        <v>4807</v>
      </c>
    </row>
    <row r="1187" spans="1:16" x14ac:dyDescent="0.3">
      <c r="A1187" s="5">
        <v>80</v>
      </c>
      <c r="B1187" s="5" t="s">
        <v>115</v>
      </c>
      <c r="C1187" s="5">
        <v>9</v>
      </c>
      <c r="D1187" s="5" t="s">
        <v>92</v>
      </c>
      <c r="E1187" s="5">
        <v>2022</v>
      </c>
      <c r="F1187" s="5">
        <v>8</v>
      </c>
      <c r="G1187" s="5" t="s">
        <v>41</v>
      </c>
      <c r="H1187" s="5">
        <v>1517564</v>
      </c>
      <c r="I1187" s="5">
        <v>1321316.77</v>
      </c>
      <c r="J1187" s="5">
        <v>15</v>
      </c>
      <c r="K1187" s="5">
        <v>139384</v>
      </c>
      <c r="L1187" s="5">
        <v>1651590</v>
      </c>
      <c r="M1187" s="5">
        <v>196247.23</v>
      </c>
      <c r="N1187" s="5">
        <v>0.1293</v>
      </c>
      <c r="O1187" s="5">
        <v>2</v>
      </c>
      <c r="P1187" s="5">
        <v>45510</v>
      </c>
    </row>
    <row r="1188" spans="1:16" x14ac:dyDescent="0.3">
      <c r="A1188" s="5">
        <v>14</v>
      </c>
      <c r="B1188" s="5" t="s">
        <v>115</v>
      </c>
      <c r="C1188" s="5">
        <v>9</v>
      </c>
      <c r="D1188" s="5" t="s">
        <v>92</v>
      </c>
      <c r="E1188" s="5">
        <v>2022</v>
      </c>
      <c r="F1188" s="5">
        <v>9</v>
      </c>
      <c r="G1188" s="5" t="s">
        <v>42</v>
      </c>
      <c r="H1188" s="5">
        <v>2301856</v>
      </c>
      <c r="I1188" s="5">
        <v>1939007.69</v>
      </c>
      <c r="J1188" s="5">
        <v>47</v>
      </c>
      <c r="K1188" s="5">
        <v>239919</v>
      </c>
      <c r="L1188" s="5">
        <v>2536370</v>
      </c>
      <c r="M1188" s="5">
        <v>362848.31</v>
      </c>
      <c r="N1188" s="5">
        <v>0.15759999999999999</v>
      </c>
      <c r="O1188" s="5">
        <v>4</v>
      </c>
      <c r="P1188" s="5">
        <v>143268</v>
      </c>
    </row>
    <row r="1189" spans="1:16" x14ac:dyDescent="0.3">
      <c r="A1189" s="5">
        <v>23</v>
      </c>
      <c r="B1189" s="5" t="s">
        <v>115</v>
      </c>
      <c r="C1189" s="5">
        <v>9</v>
      </c>
      <c r="D1189" s="5" t="s">
        <v>92</v>
      </c>
      <c r="E1189" s="5">
        <v>2022</v>
      </c>
      <c r="F1189" s="5">
        <v>9</v>
      </c>
      <c r="G1189" s="5" t="s">
        <v>42</v>
      </c>
      <c r="H1189" s="5">
        <v>4921658</v>
      </c>
      <c r="I1189" s="5">
        <v>4346102.3499999996</v>
      </c>
      <c r="J1189" s="5">
        <v>89</v>
      </c>
      <c r="K1189" s="5">
        <v>706688</v>
      </c>
      <c r="L1189" s="5">
        <v>5612520</v>
      </c>
      <c r="M1189" s="5">
        <v>575555.65</v>
      </c>
      <c r="N1189" s="5">
        <v>0.1169</v>
      </c>
      <c r="O1189" s="5">
        <v>10</v>
      </c>
      <c r="P1189" s="5">
        <v>230787</v>
      </c>
    </row>
    <row r="1190" spans="1:16" x14ac:dyDescent="0.3">
      <c r="A1190" s="5">
        <v>55</v>
      </c>
      <c r="B1190" s="5" t="s">
        <v>115</v>
      </c>
      <c r="C1190" s="5">
        <v>9</v>
      </c>
      <c r="D1190" s="5" t="s">
        <v>92</v>
      </c>
      <c r="E1190" s="5">
        <v>2022</v>
      </c>
      <c r="F1190" s="5">
        <v>9</v>
      </c>
      <c r="G1190" s="5" t="s">
        <v>42</v>
      </c>
      <c r="H1190" s="5">
        <v>2660931</v>
      </c>
      <c r="I1190" s="5">
        <v>2393981.85</v>
      </c>
      <c r="J1190" s="5">
        <v>41</v>
      </c>
      <c r="K1190" s="5">
        <v>398525</v>
      </c>
      <c r="L1190" s="5">
        <v>3054600</v>
      </c>
      <c r="M1190" s="5">
        <v>266949.15000000002</v>
      </c>
      <c r="N1190" s="5">
        <v>0.1003</v>
      </c>
      <c r="O1190" s="5">
        <v>5</v>
      </c>
      <c r="P1190" s="5">
        <v>61951</v>
      </c>
    </row>
    <row r="1191" spans="1:16" x14ac:dyDescent="0.3">
      <c r="A1191" s="5">
        <v>80</v>
      </c>
      <c r="B1191" s="5" t="s">
        <v>115</v>
      </c>
      <c r="C1191" s="5">
        <v>9</v>
      </c>
      <c r="D1191" s="5" t="s">
        <v>92</v>
      </c>
      <c r="E1191" s="5">
        <v>2022</v>
      </c>
      <c r="F1191" s="5">
        <v>9</v>
      </c>
      <c r="G1191" s="5" t="s">
        <v>42</v>
      </c>
      <c r="H1191" s="5">
        <v>1190150</v>
      </c>
      <c r="I1191" s="5">
        <v>1123210.21</v>
      </c>
      <c r="J1191" s="5">
        <v>13</v>
      </c>
      <c r="K1191" s="5">
        <v>225426</v>
      </c>
      <c r="L1191" s="5">
        <v>1415460</v>
      </c>
      <c r="M1191" s="5">
        <v>66939.789999999994</v>
      </c>
      <c r="N1191" s="5">
        <v>5.62E-2</v>
      </c>
      <c r="O1191" s="5">
        <v>3</v>
      </c>
      <c r="P1191" s="5">
        <v>16853</v>
      </c>
    </row>
    <row r="1192" spans="1:16" x14ac:dyDescent="0.3">
      <c r="A1192" s="5">
        <v>14</v>
      </c>
      <c r="B1192" s="5" t="s">
        <v>115</v>
      </c>
      <c r="C1192" s="5">
        <v>9</v>
      </c>
      <c r="D1192" s="5" t="s">
        <v>92</v>
      </c>
      <c r="E1192" s="5">
        <v>2022</v>
      </c>
      <c r="F1192" s="5">
        <v>10</v>
      </c>
      <c r="G1192" s="5" t="s">
        <v>43</v>
      </c>
      <c r="H1192" s="5">
        <v>3273708</v>
      </c>
      <c r="I1192" s="5">
        <v>3029716.48</v>
      </c>
      <c r="J1192" s="5">
        <v>56</v>
      </c>
      <c r="K1192" s="5">
        <v>612126</v>
      </c>
      <c r="L1192" s="5">
        <v>3873620</v>
      </c>
      <c r="M1192" s="5">
        <v>243991.52</v>
      </c>
      <c r="N1192" s="5">
        <v>7.4499999999999997E-2</v>
      </c>
      <c r="O1192" s="5">
        <v>2</v>
      </c>
      <c r="P1192" s="5">
        <v>23529</v>
      </c>
    </row>
    <row r="1193" spans="1:16" x14ac:dyDescent="0.3">
      <c r="A1193" s="5">
        <v>23</v>
      </c>
      <c r="B1193" s="5" t="s">
        <v>115</v>
      </c>
      <c r="C1193" s="5">
        <v>9</v>
      </c>
      <c r="D1193" s="5" t="s">
        <v>92</v>
      </c>
      <c r="E1193" s="5">
        <v>2022</v>
      </c>
      <c r="F1193" s="5">
        <v>10</v>
      </c>
      <c r="G1193" s="5" t="s">
        <v>43</v>
      </c>
      <c r="H1193" s="5">
        <v>7621302</v>
      </c>
      <c r="I1193" s="5">
        <v>6847727.4800000004</v>
      </c>
      <c r="J1193" s="5">
        <v>114</v>
      </c>
      <c r="K1193" s="5">
        <v>1231828</v>
      </c>
      <c r="L1193" s="5">
        <v>8830400</v>
      </c>
      <c r="M1193" s="5">
        <v>773574.52</v>
      </c>
      <c r="N1193" s="5">
        <v>0.10150000000000001</v>
      </c>
      <c r="O1193" s="5">
        <v>9</v>
      </c>
      <c r="P1193" s="5">
        <v>68936</v>
      </c>
    </row>
    <row r="1194" spans="1:16" x14ac:dyDescent="0.3">
      <c r="A1194" s="5">
        <v>55</v>
      </c>
      <c r="B1194" s="5" t="s">
        <v>115</v>
      </c>
      <c r="C1194" s="5">
        <v>9</v>
      </c>
      <c r="D1194" s="5" t="s">
        <v>92</v>
      </c>
      <c r="E1194" s="5">
        <v>2022</v>
      </c>
      <c r="F1194" s="5">
        <v>10</v>
      </c>
      <c r="G1194" s="5" t="s">
        <v>43</v>
      </c>
      <c r="H1194" s="5">
        <v>2770785</v>
      </c>
      <c r="I1194" s="5">
        <v>2355592.54</v>
      </c>
      <c r="J1194" s="5">
        <v>53</v>
      </c>
      <c r="K1194" s="5">
        <v>350464</v>
      </c>
      <c r="L1194" s="5">
        <v>3116330</v>
      </c>
      <c r="M1194" s="5">
        <v>415192.46</v>
      </c>
      <c r="N1194" s="5">
        <v>0.14979999999999999</v>
      </c>
      <c r="O1194" s="5">
        <v>2</v>
      </c>
      <c r="P1194" s="5">
        <v>7246</v>
      </c>
    </row>
    <row r="1195" spans="1:16" x14ac:dyDescent="0.3">
      <c r="A1195" s="5">
        <v>80</v>
      </c>
      <c r="B1195" s="5" t="s">
        <v>115</v>
      </c>
      <c r="C1195" s="5">
        <v>9</v>
      </c>
      <c r="D1195" s="5" t="s">
        <v>92</v>
      </c>
      <c r="E1195" s="5">
        <v>2022</v>
      </c>
      <c r="F1195" s="5">
        <v>10</v>
      </c>
      <c r="G1195" s="5" t="s">
        <v>43</v>
      </c>
      <c r="H1195" s="5">
        <v>1691288</v>
      </c>
      <c r="I1195" s="5">
        <v>1610381.65</v>
      </c>
      <c r="J1195" s="5">
        <v>12</v>
      </c>
      <c r="K1195" s="5">
        <v>368471</v>
      </c>
      <c r="L1195" s="5">
        <v>2058190</v>
      </c>
      <c r="M1195" s="5">
        <v>80906.350000000006</v>
      </c>
      <c r="N1195" s="5">
        <v>4.7800000000000002E-2</v>
      </c>
      <c r="O1195" s="5">
        <v>3</v>
      </c>
      <c r="P1195" s="5">
        <v>67733</v>
      </c>
    </row>
    <row r="1196" spans="1:16" x14ac:dyDescent="0.3">
      <c r="A1196" s="5">
        <v>14</v>
      </c>
      <c r="B1196" s="5" t="s">
        <v>115</v>
      </c>
      <c r="C1196" s="5">
        <v>9</v>
      </c>
      <c r="D1196" s="5" t="s">
        <v>92</v>
      </c>
      <c r="E1196" s="5">
        <v>2022</v>
      </c>
      <c r="F1196" s="5">
        <v>11</v>
      </c>
      <c r="G1196" s="5" t="s">
        <v>44</v>
      </c>
      <c r="H1196" s="5">
        <v>3040525</v>
      </c>
      <c r="I1196" s="5">
        <v>2491848.2999999998</v>
      </c>
      <c r="J1196" s="5">
        <v>44</v>
      </c>
      <c r="K1196" s="5">
        <v>298415</v>
      </c>
      <c r="L1196" s="5">
        <v>3318940</v>
      </c>
      <c r="M1196" s="5">
        <v>548676.69999999995</v>
      </c>
      <c r="N1196" s="5">
        <v>0.18049999999999999</v>
      </c>
      <c r="O1196" s="5">
        <v>3</v>
      </c>
      <c r="P1196" s="5">
        <v>29856</v>
      </c>
    </row>
    <row r="1197" spans="1:16" x14ac:dyDescent="0.3">
      <c r="A1197" s="5">
        <v>23</v>
      </c>
      <c r="B1197" s="5" t="s">
        <v>115</v>
      </c>
      <c r="C1197" s="5">
        <v>9</v>
      </c>
      <c r="D1197" s="5" t="s">
        <v>92</v>
      </c>
      <c r="E1197" s="5">
        <v>2022</v>
      </c>
      <c r="F1197" s="5">
        <v>11</v>
      </c>
      <c r="G1197" s="5" t="s">
        <v>44</v>
      </c>
      <c r="H1197" s="5">
        <v>8623902</v>
      </c>
      <c r="I1197" s="5">
        <v>7313655.2800000003</v>
      </c>
      <c r="J1197" s="5">
        <v>135</v>
      </c>
      <c r="K1197" s="5">
        <v>880679</v>
      </c>
      <c r="L1197" s="5">
        <v>9482140</v>
      </c>
      <c r="M1197" s="5">
        <v>1310246.72</v>
      </c>
      <c r="N1197" s="5">
        <v>0.15190000000000001</v>
      </c>
      <c r="O1197" s="5">
        <v>8</v>
      </c>
      <c r="P1197" s="5">
        <v>173896</v>
      </c>
    </row>
    <row r="1198" spans="1:16" x14ac:dyDescent="0.3">
      <c r="A1198" s="5">
        <v>55</v>
      </c>
      <c r="B1198" s="5" t="s">
        <v>115</v>
      </c>
      <c r="C1198" s="5">
        <v>9</v>
      </c>
      <c r="D1198" s="5" t="s">
        <v>92</v>
      </c>
      <c r="E1198" s="5">
        <v>2022</v>
      </c>
      <c r="F1198" s="5">
        <v>11</v>
      </c>
      <c r="G1198" s="5" t="s">
        <v>44</v>
      </c>
      <c r="H1198" s="5">
        <v>3775106</v>
      </c>
      <c r="I1198" s="5">
        <v>3250350.47</v>
      </c>
      <c r="J1198" s="5">
        <v>54</v>
      </c>
      <c r="K1198" s="5">
        <v>411829</v>
      </c>
      <c r="L1198" s="5">
        <v>4172960</v>
      </c>
      <c r="M1198" s="5">
        <v>524755.53</v>
      </c>
      <c r="N1198" s="5">
        <v>0.13900000000000001</v>
      </c>
      <c r="O1198" s="5">
        <v>3</v>
      </c>
      <c r="P1198" s="5">
        <v>89808</v>
      </c>
    </row>
    <row r="1199" spans="1:16" x14ac:dyDescent="0.3">
      <c r="A1199" s="5">
        <v>80</v>
      </c>
      <c r="B1199" s="5" t="s">
        <v>115</v>
      </c>
      <c r="C1199" s="5">
        <v>9</v>
      </c>
      <c r="D1199" s="5" t="s">
        <v>92</v>
      </c>
      <c r="E1199" s="5">
        <v>2022</v>
      </c>
      <c r="F1199" s="5">
        <v>11</v>
      </c>
      <c r="G1199" s="5" t="s">
        <v>44</v>
      </c>
      <c r="H1199" s="5">
        <v>1597014</v>
      </c>
      <c r="I1199" s="5">
        <v>1276621.43</v>
      </c>
      <c r="J1199" s="5">
        <v>25</v>
      </c>
      <c r="K1199" s="5">
        <v>104072</v>
      </c>
      <c r="L1199" s="5">
        <v>1697350</v>
      </c>
      <c r="M1199" s="5">
        <v>320392.57</v>
      </c>
      <c r="N1199" s="5">
        <v>0.2006</v>
      </c>
      <c r="O1199" s="5">
        <v>4</v>
      </c>
      <c r="P1199" s="5">
        <v>129941</v>
      </c>
    </row>
    <row r="1200" spans="1:16" x14ac:dyDescent="0.3">
      <c r="A1200" s="5">
        <v>14</v>
      </c>
      <c r="B1200" s="5" t="s">
        <v>115</v>
      </c>
      <c r="C1200" s="5">
        <v>9</v>
      </c>
      <c r="D1200" s="5" t="s">
        <v>92</v>
      </c>
      <c r="E1200" s="5">
        <v>2022</v>
      </c>
      <c r="F1200" s="5">
        <v>12</v>
      </c>
      <c r="G1200" s="5" t="s">
        <v>45</v>
      </c>
      <c r="H1200" s="5">
        <v>4428663</v>
      </c>
      <c r="I1200" s="5">
        <v>3597086.93</v>
      </c>
      <c r="J1200" s="5">
        <v>61</v>
      </c>
      <c r="K1200" s="5">
        <v>258298</v>
      </c>
      <c r="L1200" s="5">
        <v>4666460</v>
      </c>
      <c r="M1200" s="5">
        <v>831576.07</v>
      </c>
      <c r="N1200" s="5">
        <v>0.18779999999999999</v>
      </c>
      <c r="O1200" s="5">
        <v>2</v>
      </c>
      <c r="P1200" s="5">
        <v>41773</v>
      </c>
    </row>
    <row r="1201" spans="1:16" x14ac:dyDescent="0.3">
      <c r="A1201" s="5">
        <v>23</v>
      </c>
      <c r="B1201" s="5" t="s">
        <v>115</v>
      </c>
      <c r="C1201" s="5">
        <v>9</v>
      </c>
      <c r="D1201" s="5" t="s">
        <v>92</v>
      </c>
      <c r="E1201" s="5">
        <v>2022</v>
      </c>
      <c r="F1201" s="5">
        <v>12</v>
      </c>
      <c r="G1201" s="5" t="s">
        <v>45</v>
      </c>
      <c r="H1201" s="5">
        <v>9251771</v>
      </c>
      <c r="I1201" s="5">
        <v>7669365.79</v>
      </c>
      <c r="J1201" s="5">
        <v>142</v>
      </c>
      <c r="K1201" s="5">
        <v>677463</v>
      </c>
      <c r="L1201" s="5">
        <v>9900710</v>
      </c>
      <c r="M1201" s="5">
        <v>1582405.21</v>
      </c>
      <c r="N1201" s="5">
        <v>0.17100000000000001</v>
      </c>
      <c r="O1201" s="5">
        <v>12</v>
      </c>
      <c r="P1201" s="5">
        <v>573977</v>
      </c>
    </row>
    <row r="1202" spans="1:16" x14ac:dyDescent="0.3">
      <c r="A1202" s="5">
        <v>55</v>
      </c>
      <c r="B1202" s="5" t="s">
        <v>115</v>
      </c>
      <c r="C1202" s="5">
        <v>9</v>
      </c>
      <c r="D1202" s="5" t="s">
        <v>92</v>
      </c>
      <c r="E1202" s="5">
        <v>2022</v>
      </c>
      <c r="F1202" s="5">
        <v>12</v>
      </c>
      <c r="G1202" s="5" t="s">
        <v>45</v>
      </c>
      <c r="H1202" s="5">
        <v>3548214</v>
      </c>
      <c r="I1202" s="5">
        <v>2952269.18</v>
      </c>
      <c r="J1202" s="5">
        <v>53</v>
      </c>
      <c r="K1202" s="5">
        <v>273850</v>
      </c>
      <c r="L1202" s="5">
        <v>3815170</v>
      </c>
      <c r="M1202" s="5">
        <v>595944.81999999995</v>
      </c>
      <c r="N1202" s="5">
        <v>0.16800000000000001</v>
      </c>
      <c r="O1202" s="5">
        <v>2</v>
      </c>
      <c r="P1202" s="5">
        <v>58497</v>
      </c>
    </row>
    <row r="1203" spans="1:16" x14ac:dyDescent="0.3">
      <c r="A1203" s="5">
        <v>80</v>
      </c>
      <c r="B1203" s="5" t="s">
        <v>115</v>
      </c>
      <c r="C1203" s="5">
        <v>9</v>
      </c>
      <c r="D1203" s="5" t="s">
        <v>92</v>
      </c>
      <c r="E1203" s="5">
        <v>2022</v>
      </c>
      <c r="F1203" s="5">
        <v>12</v>
      </c>
      <c r="G1203" s="5" t="s">
        <v>45</v>
      </c>
      <c r="H1203" s="5">
        <v>1796756</v>
      </c>
      <c r="I1203" s="5">
        <v>1517115.74</v>
      </c>
      <c r="J1203" s="5">
        <v>25</v>
      </c>
      <c r="K1203" s="5">
        <v>174687</v>
      </c>
      <c r="L1203" s="5">
        <v>1967090</v>
      </c>
      <c r="M1203" s="5">
        <v>279640.26</v>
      </c>
      <c r="N1203" s="5">
        <v>0.15559999999999999</v>
      </c>
      <c r="O1203" s="5">
        <v>1</v>
      </c>
      <c r="P1203" s="5">
        <v>151741</v>
      </c>
    </row>
    <row r="1204" spans="1:16" x14ac:dyDescent="0.3">
      <c r="A1204" s="5">
        <v>14</v>
      </c>
      <c r="B1204" s="5" t="s">
        <v>115</v>
      </c>
      <c r="C1204" s="5">
        <v>9</v>
      </c>
      <c r="D1204" s="5" t="s">
        <v>92</v>
      </c>
      <c r="E1204" s="5">
        <v>2023</v>
      </c>
      <c r="F1204" s="5">
        <v>1</v>
      </c>
      <c r="G1204" s="5" t="s">
        <v>46</v>
      </c>
      <c r="H1204" s="5">
        <v>4078837</v>
      </c>
      <c r="I1204" s="5">
        <v>3513658.37</v>
      </c>
      <c r="J1204" s="5">
        <v>53</v>
      </c>
      <c r="K1204" s="5">
        <v>442241</v>
      </c>
      <c r="L1204" s="5">
        <v>4507330</v>
      </c>
      <c r="M1204" s="5">
        <v>565178.63</v>
      </c>
      <c r="N1204" s="5">
        <v>0.1386</v>
      </c>
      <c r="O1204" s="5">
        <v>5</v>
      </c>
      <c r="P1204" s="5">
        <v>260406</v>
      </c>
    </row>
    <row r="1205" spans="1:16" x14ac:dyDescent="0.3">
      <c r="A1205" s="5">
        <v>23</v>
      </c>
      <c r="B1205" s="5" t="s">
        <v>115</v>
      </c>
      <c r="C1205" s="5">
        <v>9</v>
      </c>
      <c r="D1205" s="5" t="s">
        <v>92</v>
      </c>
      <c r="E1205" s="5">
        <v>2023</v>
      </c>
      <c r="F1205" s="5">
        <v>1</v>
      </c>
      <c r="G1205" s="5" t="s">
        <v>46</v>
      </c>
      <c r="H1205" s="5">
        <v>6568046</v>
      </c>
      <c r="I1205" s="5">
        <v>6137737.7300000004</v>
      </c>
      <c r="J1205" s="5">
        <v>91</v>
      </c>
      <c r="K1205" s="5">
        <v>1339965</v>
      </c>
      <c r="L1205" s="5">
        <v>7888620</v>
      </c>
      <c r="M1205" s="5">
        <v>430308.27</v>
      </c>
      <c r="N1205" s="5">
        <v>6.5500000000000003E-2</v>
      </c>
      <c r="O1205" s="5">
        <v>7</v>
      </c>
      <c r="P1205" s="5">
        <v>97087</v>
      </c>
    </row>
    <row r="1206" spans="1:16" x14ac:dyDescent="0.3">
      <c r="A1206" s="5">
        <v>55</v>
      </c>
      <c r="B1206" s="5" t="s">
        <v>115</v>
      </c>
      <c r="C1206" s="5">
        <v>9</v>
      </c>
      <c r="D1206" s="5" t="s">
        <v>92</v>
      </c>
      <c r="E1206" s="5">
        <v>2023</v>
      </c>
      <c r="F1206" s="5">
        <v>1</v>
      </c>
      <c r="G1206" s="5" t="s">
        <v>46</v>
      </c>
      <c r="H1206" s="5">
        <v>1720260</v>
      </c>
      <c r="I1206" s="5">
        <v>1481003.44</v>
      </c>
      <c r="J1206" s="5">
        <v>37</v>
      </c>
      <c r="K1206" s="5">
        <v>211119</v>
      </c>
      <c r="L1206" s="5">
        <v>1927330</v>
      </c>
      <c r="M1206" s="5">
        <v>239256.56</v>
      </c>
      <c r="N1206" s="5">
        <v>0.1391</v>
      </c>
      <c r="O1206" s="5">
        <v>3</v>
      </c>
      <c r="P1206" s="5">
        <v>136065</v>
      </c>
    </row>
    <row r="1207" spans="1:16" x14ac:dyDescent="0.3">
      <c r="A1207" s="5">
        <v>80</v>
      </c>
      <c r="B1207" s="5" t="s">
        <v>115</v>
      </c>
      <c r="C1207" s="5">
        <v>9</v>
      </c>
      <c r="D1207" s="5" t="s">
        <v>92</v>
      </c>
      <c r="E1207" s="5">
        <v>2023</v>
      </c>
      <c r="F1207" s="5">
        <v>1</v>
      </c>
      <c r="G1207" s="5" t="s">
        <v>46</v>
      </c>
      <c r="H1207" s="5">
        <v>224321</v>
      </c>
      <c r="I1207" s="5">
        <v>195773.46</v>
      </c>
      <c r="J1207" s="5">
        <v>12</v>
      </c>
      <c r="K1207" s="5">
        <v>44124</v>
      </c>
      <c r="L1207" s="5">
        <v>268370</v>
      </c>
      <c r="M1207" s="5">
        <v>28547.54</v>
      </c>
      <c r="N1207" s="5">
        <v>0.1273</v>
      </c>
      <c r="O1207" s="5">
        <v>1</v>
      </c>
      <c r="P1207" s="5">
        <v>9679</v>
      </c>
    </row>
    <row r="1208" spans="1:16" x14ac:dyDescent="0.3">
      <c r="A1208" s="5">
        <v>14</v>
      </c>
      <c r="B1208" s="5" t="s">
        <v>115</v>
      </c>
      <c r="C1208" s="5">
        <v>9</v>
      </c>
      <c r="D1208" s="5" t="s">
        <v>92</v>
      </c>
      <c r="E1208" s="5">
        <v>2023</v>
      </c>
      <c r="F1208" s="5">
        <v>2</v>
      </c>
      <c r="G1208" s="5" t="s">
        <v>47</v>
      </c>
      <c r="H1208" s="5">
        <v>1283178</v>
      </c>
      <c r="I1208" s="5">
        <v>1059736.0900000001</v>
      </c>
      <c r="J1208" s="5">
        <v>31</v>
      </c>
      <c r="K1208" s="5">
        <v>81058</v>
      </c>
      <c r="L1208" s="5">
        <v>1356450</v>
      </c>
      <c r="M1208" s="5">
        <v>223441.91</v>
      </c>
      <c r="N1208" s="5">
        <v>0.1741</v>
      </c>
      <c r="O1208" s="5">
        <v>4</v>
      </c>
      <c r="P1208" s="5">
        <v>181067</v>
      </c>
    </row>
    <row r="1209" spans="1:16" x14ac:dyDescent="0.3">
      <c r="A1209" s="5">
        <v>23</v>
      </c>
      <c r="B1209" s="5" t="s">
        <v>115</v>
      </c>
      <c r="C1209" s="5">
        <v>9</v>
      </c>
      <c r="D1209" s="5" t="s">
        <v>92</v>
      </c>
      <c r="E1209" s="5">
        <v>2023</v>
      </c>
      <c r="F1209" s="5">
        <v>2</v>
      </c>
      <c r="G1209" s="5" t="s">
        <v>47</v>
      </c>
      <c r="H1209" s="5">
        <v>6522556</v>
      </c>
      <c r="I1209" s="5">
        <v>5553030.5899999999</v>
      </c>
      <c r="J1209" s="5">
        <v>87</v>
      </c>
      <c r="K1209" s="5">
        <v>665920</v>
      </c>
      <c r="L1209" s="5">
        <v>7164390</v>
      </c>
      <c r="M1209" s="5">
        <v>969525.41</v>
      </c>
      <c r="N1209" s="5">
        <v>0.14860000000000001</v>
      </c>
      <c r="O1209" s="5">
        <v>2</v>
      </c>
      <c r="P1209" s="5">
        <v>32058</v>
      </c>
    </row>
    <row r="1210" spans="1:16" x14ac:dyDescent="0.3">
      <c r="A1210" s="5">
        <v>55</v>
      </c>
      <c r="B1210" s="5" t="s">
        <v>115</v>
      </c>
      <c r="C1210" s="5">
        <v>9</v>
      </c>
      <c r="D1210" s="5" t="s">
        <v>92</v>
      </c>
      <c r="E1210" s="5">
        <v>2023</v>
      </c>
      <c r="F1210" s="5">
        <v>2</v>
      </c>
      <c r="G1210" s="5" t="s">
        <v>47</v>
      </c>
      <c r="H1210" s="5">
        <v>2471867</v>
      </c>
      <c r="I1210" s="5">
        <v>2075352.25</v>
      </c>
      <c r="J1210" s="5">
        <v>36</v>
      </c>
      <c r="K1210" s="5">
        <v>171055</v>
      </c>
      <c r="L1210" s="5">
        <v>2621130</v>
      </c>
      <c r="M1210" s="5">
        <v>396514.75</v>
      </c>
      <c r="N1210" s="5">
        <v>0.16039999999999999</v>
      </c>
      <c r="O1210" s="5">
        <v>4</v>
      </c>
      <c r="P1210" s="5">
        <v>129610</v>
      </c>
    </row>
    <row r="1211" spans="1:16" x14ac:dyDescent="0.3">
      <c r="A1211" s="5">
        <v>80</v>
      </c>
      <c r="B1211" s="5" t="s">
        <v>115</v>
      </c>
      <c r="C1211" s="5">
        <v>9</v>
      </c>
      <c r="D1211" s="5" t="s">
        <v>92</v>
      </c>
      <c r="E1211" s="5">
        <v>2023</v>
      </c>
      <c r="F1211" s="5">
        <v>2</v>
      </c>
      <c r="G1211" s="5" t="s">
        <v>47</v>
      </c>
      <c r="H1211" s="5">
        <v>512182</v>
      </c>
      <c r="I1211" s="5">
        <v>420359.65</v>
      </c>
      <c r="J1211" s="5">
        <v>8</v>
      </c>
      <c r="K1211" s="5">
        <v>44070</v>
      </c>
      <c r="L1211" s="5">
        <v>555690</v>
      </c>
      <c r="M1211" s="5">
        <v>91822.35</v>
      </c>
      <c r="N1211" s="5">
        <v>0.17929999999999999</v>
      </c>
      <c r="O1211" s="5">
        <v>0</v>
      </c>
      <c r="P1211" s="5">
        <v>0</v>
      </c>
    </row>
    <row r="1212" spans="1:16" x14ac:dyDescent="0.3">
      <c r="A1212" s="5">
        <v>14</v>
      </c>
      <c r="B1212" s="5" t="s">
        <v>115</v>
      </c>
      <c r="C1212" s="5">
        <v>9</v>
      </c>
      <c r="D1212" s="5" t="s">
        <v>92</v>
      </c>
      <c r="E1212" s="5">
        <v>2023</v>
      </c>
      <c r="F1212" s="5">
        <v>3</v>
      </c>
      <c r="G1212" s="5" t="s">
        <v>48</v>
      </c>
      <c r="H1212" s="5">
        <v>3363262</v>
      </c>
      <c r="I1212" s="5">
        <v>2902167.24</v>
      </c>
      <c r="J1212" s="5">
        <v>51</v>
      </c>
      <c r="K1212" s="5">
        <v>319124</v>
      </c>
      <c r="L1212" s="5">
        <v>3670950</v>
      </c>
      <c r="M1212" s="5">
        <v>461094.76</v>
      </c>
      <c r="N1212" s="5">
        <v>0.1371</v>
      </c>
      <c r="O1212" s="5">
        <v>6</v>
      </c>
      <c r="P1212" s="5">
        <v>110577</v>
      </c>
    </row>
    <row r="1213" spans="1:16" x14ac:dyDescent="0.3">
      <c r="A1213" s="5">
        <v>23</v>
      </c>
      <c r="B1213" s="5" t="s">
        <v>115</v>
      </c>
      <c r="C1213" s="5">
        <v>9</v>
      </c>
      <c r="D1213" s="5" t="s">
        <v>92</v>
      </c>
      <c r="E1213" s="5">
        <v>2023</v>
      </c>
      <c r="F1213" s="5">
        <v>3</v>
      </c>
      <c r="G1213" s="5" t="s">
        <v>48</v>
      </c>
      <c r="H1213" s="5">
        <v>8327369</v>
      </c>
      <c r="I1213" s="5">
        <v>7393569.3300000001</v>
      </c>
      <c r="J1213" s="5">
        <v>117</v>
      </c>
      <c r="K1213" s="5">
        <v>1232830</v>
      </c>
      <c r="L1213" s="5">
        <v>9540170</v>
      </c>
      <c r="M1213" s="5">
        <v>933799.67</v>
      </c>
      <c r="N1213" s="5">
        <v>0.11210000000000001</v>
      </c>
      <c r="O1213" s="5">
        <v>8</v>
      </c>
      <c r="P1213" s="5">
        <v>750789</v>
      </c>
    </row>
    <row r="1214" spans="1:16" x14ac:dyDescent="0.3">
      <c r="A1214" s="5">
        <v>55</v>
      </c>
      <c r="B1214" s="5" t="s">
        <v>115</v>
      </c>
      <c r="C1214" s="5">
        <v>9</v>
      </c>
      <c r="D1214" s="5" t="s">
        <v>92</v>
      </c>
      <c r="E1214" s="5">
        <v>2023</v>
      </c>
      <c r="F1214" s="5">
        <v>3</v>
      </c>
      <c r="G1214" s="5" t="s">
        <v>48</v>
      </c>
      <c r="H1214" s="5">
        <v>1730317</v>
      </c>
      <c r="I1214" s="5">
        <v>1510711.89</v>
      </c>
      <c r="J1214" s="5">
        <v>27</v>
      </c>
      <c r="K1214" s="5">
        <v>260046</v>
      </c>
      <c r="L1214" s="5">
        <v>1986430</v>
      </c>
      <c r="M1214" s="5">
        <v>219605.11</v>
      </c>
      <c r="N1214" s="5">
        <v>0.12690000000000001</v>
      </c>
      <c r="O1214" s="5">
        <v>2</v>
      </c>
      <c r="P1214" s="5">
        <v>60859</v>
      </c>
    </row>
    <row r="1215" spans="1:16" x14ac:dyDescent="0.3">
      <c r="A1215" s="5">
        <v>80</v>
      </c>
      <c r="B1215" s="5" t="s">
        <v>115</v>
      </c>
      <c r="C1215" s="5">
        <v>9</v>
      </c>
      <c r="D1215" s="5" t="s">
        <v>92</v>
      </c>
      <c r="E1215" s="5">
        <v>2023</v>
      </c>
      <c r="F1215" s="5">
        <v>3</v>
      </c>
      <c r="G1215" s="5" t="s">
        <v>48</v>
      </c>
      <c r="H1215" s="5">
        <v>800083</v>
      </c>
      <c r="I1215" s="5">
        <v>708175.51</v>
      </c>
      <c r="J1215" s="5">
        <v>16</v>
      </c>
      <c r="K1215" s="5">
        <v>116980</v>
      </c>
      <c r="L1215" s="5">
        <v>917020</v>
      </c>
      <c r="M1215" s="5">
        <v>91907.49</v>
      </c>
      <c r="N1215" s="5">
        <v>0.1149</v>
      </c>
      <c r="O1215" s="5">
        <v>0</v>
      </c>
      <c r="P1215" s="5">
        <v>0</v>
      </c>
    </row>
    <row r="1216" spans="1:16" x14ac:dyDescent="0.3">
      <c r="A1216" s="5">
        <v>14</v>
      </c>
      <c r="B1216" s="5" t="s">
        <v>115</v>
      </c>
      <c r="C1216" s="5">
        <v>9</v>
      </c>
      <c r="D1216" s="5" t="s">
        <v>92</v>
      </c>
      <c r="E1216" s="5">
        <v>2023</v>
      </c>
      <c r="F1216" s="5">
        <v>4</v>
      </c>
      <c r="G1216" s="5" t="s">
        <v>49</v>
      </c>
      <c r="H1216" s="5">
        <v>1912252</v>
      </c>
      <c r="I1216" s="5">
        <v>1628364.34</v>
      </c>
      <c r="J1216" s="5">
        <v>34</v>
      </c>
      <c r="K1216" s="5">
        <v>253604</v>
      </c>
      <c r="L1216" s="5">
        <v>2158870</v>
      </c>
      <c r="M1216" s="5">
        <v>283887.65999999997</v>
      </c>
      <c r="N1216" s="5">
        <v>0.14849999999999999</v>
      </c>
      <c r="O1216" s="5">
        <v>3</v>
      </c>
      <c r="P1216" s="5">
        <v>89610</v>
      </c>
    </row>
    <row r="1217" spans="1:16" x14ac:dyDescent="0.3">
      <c r="A1217" s="5">
        <v>23</v>
      </c>
      <c r="B1217" s="5" t="s">
        <v>115</v>
      </c>
      <c r="C1217" s="5">
        <v>9</v>
      </c>
      <c r="D1217" s="5" t="s">
        <v>92</v>
      </c>
      <c r="E1217" s="5">
        <v>2023</v>
      </c>
      <c r="F1217" s="5">
        <v>4</v>
      </c>
      <c r="G1217" s="5" t="s">
        <v>49</v>
      </c>
      <c r="H1217" s="5">
        <v>10007240</v>
      </c>
      <c r="I1217" s="5">
        <v>8707598.3900000006</v>
      </c>
      <c r="J1217" s="5">
        <v>137</v>
      </c>
      <c r="K1217" s="5">
        <v>1077223</v>
      </c>
      <c r="L1217" s="5">
        <v>11032230</v>
      </c>
      <c r="M1217" s="5">
        <v>1299641.6100000001</v>
      </c>
      <c r="N1217" s="5">
        <v>0.12989999999999999</v>
      </c>
      <c r="O1217" s="5">
        <v>10</v>
      </c>
      <c r="P1217" s="5">
        <v>365284</v>
      </c>
    </row>
    <row r="1218" spans="1:16" x14ac:dyDescent="0.3">
      <c r="A1218" s="5">
        <v>55</v>
      </c>
      <c r="B1218" s="5" t="s">
        <v>115</v>
      </c>
      <c r="C1218" s="5">
        <v>9</v>
      </c>
      <c r="D1218" s="5" t="s">
        <v>92</v>
      </c>
      <c r="E1218" s="5">
        <v>2023</v>
      </c>
      <c r="F1218" s="5">
        <v>4</v>
      </c>
      <c r="G1218" s="5" t="s">
        <v>49</v>
      </c>
      <c r="H1218" s="5">
        <v>4122255</v>
      </c>
      <c r="I1218" s="5">
        <v>3593905.26</v>
      </c>
      <c r="J1218" s="5">
        <v>49</v>
      </c>
      <c r="K1218" s="5">
        <v>436169</v>
      </c>
      <c r="L1218" s="5">
        <v>4538660</v>
      </c>
      <c r="M1218" s="5">
        <v>528349.74</v>
      </c>
      <c r="N1218" s="5">
        <v>0.12820000000000001</v>
      </c>
      <c r="O1218" s="5">
        <v>6</v>
      </c>
      <c r="P1218" s="5">
        <v>125601</v>
      </c>
    </row>
    <row r="1219" spans="1:16" x14ac:dyDescent="0.3">
      <c r="A1219" s="5">
        <v>80</v>
      </c>
      <c r="B1219" s="5" t="s">
        <v>115</v>
      </c>
      <c r="C1219" s="5">
        <v>9</v>
      </c>
      <c r="D1219" s="5" t="s">
        <v>92</v>
      </c>
      <c r="E1219" s="5">
        <v>2023</v>
      </c>
      <c r="F1219" s="5">
        <v>4</v>
      </c>
      <c r="G1219" s="5" t="s">
        <v>49</v>
      </c>
      <c r="H1219" s="5">
        <v>604162</v>
      </c>
      <c r="I1219" s="5">
        <v>485163.73</v>
      </c>
      <c r="J1219" s="5">
        <v>15</v>
      </c>
      <c r="K1219" s="5">
        <v>48711</v>
      </c>
      <c r="L1219" s="5">
        <v>650130</v>
      </c>
      <c r="M1219" s="5">
        <v>118998.27</v>
      </c>
      <c r="N1219" s="5">
        <v>0.19700000000000001</v>
      </c>
      <c r="O1219" s="5">
        <v>1</v>
      </c>
      <c r="P1219" s="5">
        <v>56084</v>
      </c>
    </row>
    <row r="1220" spans="1:16" x14ac:dyDescent="0.3">
      <c r="A1220" s="5">
        <v>14</v>
      </c>
      <c r="B1220" s="5" t="s">
        <v>115</v>
      </c>
      <c r="C1220" s="5">
        <v>9</v>
      </c>
      <c r="D1220" s="5" t="s">
        <v>92</v>
      </c>
      <c r="E1220" s="5">
        <v>2023</v>
      </c>
      <c r="F1220" s="5">
        <v>5</v>
      </c>
      <c r="G1220" s="5" t="s">
        <v>50</v>
      </c>
      <c r="H1220" s="5">
        <v>3512573</v>
      </c>
      <c r="I1220" s="5">
        <v>3048944.48</v>
      </c>
      <c r="J1220" s="5">
        <v>47</v>
      </c>
      <c r="K1220" s="5">
        <v>402861</v>
      </c>
      <c r="L1220" s="5">
        <v>3909200</v>
      </c>
      <c r="M1220" s="5">
        <v>463628.52</v>
      </c>
      <c r="N1220" s="5">
        <v>0.13200000000000001</v>
      </c>
      <c r="O1220" s="5">
        <v>7</v>
      </c>
      <c r="P1220" s="5">
        <v>320552</v>
      </c>
    </row>
    <row r="1221" spans="1:16" x14ac:dyDescent="0.3">
      <c r="A1221" s="5">
        <v>23</v>
      </c>
      <c r="B1221" s="5" t="s">
        <v>115</v>
      </c>
      <c r="C1221" s="5">
        <v>9</v>
      </c>
      <c r="D1221" s="5" t="s">
        <v>92</v>
      </c>
      <c r="E1221" s="5">
        <v>2023</v>
      </c>
      <c r="F1221" s="5">
        <v>5</v>
      </c>
      <c r="G1221" s="5" t="s">
        <v>50</v>
      </c>
      <c r="H1221" s="5">
        <v>9775606</v>
      </c>
      <c r="I1221" s="5">
        <v>8285103.5899999999</v>
      </c>
      <c r="J1221" s="5">
        <v>140</v>
      </c>
      <c r="K1221" s="5">
        <v>977261</v>
      </c>
      <c r="L1221" s="5">
        <v>10717800</v>
      </c>
      <c r="M1221" s="5">
        <v>1490502.41</v>
      </c>
      <c r="N1221" s="5">
        <v>0.1525</v>
      </c>
      <c r="O1221" s="5">
        <v>11</v>
      </c>
      <c r="P1221" s="5">
        <v>500163</v>
      </c>
    </row>
    <row r="1222" spans="1:16" x14ac:dyDescent="0.3">
      <c r="A1222" s="5">
        <v>55</v>
      </c>
      <c r="B1222" s="5" t="s">
        <v>115</v>
      </c>
      <c r="C1222" s="5">
        <v>9</v>
      </c>
      <c r="D1222" s="5" t="s">
        <v>92</v>
      </c>
      <c r="E1222" s="5">
        <v>2023</v>
      </c>
      <c r="F1222" s="5">
        <v>5</v>
      </c>
      <c r="G1222" s="5" t="s">
        <v>50</v>
      </c>
      <c r="H1222" s="5">
        <v>4197340</v>
      </c>
      <c r="I1222" s="5">
        <v>3733253.4</v>
      </c>
      <c r="J1222" s="5">
        <v>56</v>
      </c>
      <c r="K1222" s="5">
        <v>529362</v>
      </c>
      <c r="L1222" s="5">
        <v>4718740</v>
      </c>
      <c r="M1222" s="5">
        <v>464086.6</v>
      </c>
      <c r="N1222" s="5">
        <v>0.1106</v>
      </c>
      <c r="O1222" s="5">
        <v>4</v>
      </c>
      <c r="P1222" s="5">
        <v>194877</v>
      </c>
    </row>
    <row r="1223" spans="1:16" x14ac:dyDescent="0.3">
      <c r="A1223" s="5">
        <v>80</v>
      </c>
      <c r="B1223" s="5" t="s">
        <v>115</v>
      </c>
      <c r="C1223" s="5">
        <v>9</v>
      </c>
      <c r="D1223" s="5" t="s">
        <v>92</v>
      </c>
      <c r="E1223" s="5">
        <v>2023</v>
      </c>
      <c r="F1223" s="5">
        <v>5</v>
      </c>
      <c r="G1223" s="5" t="s">
        <v>50</v>
      </c>
      <c r="H1223" s="5">
        <v>1101350</v>
      </c>
      <c r="I1223" s="5">
        <v>971336.4</v>
      </c>
      <c r="J1223" s="5">
        <v>17</v>
      </c>
      <c r="K1223" s="5">
        <v>105955</v>
      </c>
      <c r="L1223" s="5">
        <v>1202920</v>
      </c>
      <c r="M1223" s="5">
        <v>130013.6</v>
      </c>
      <c r="N1223" s="5">
        <v>0.11799999999999999</v>
      </c>
      <c r="O1223" s="5">
        <v>1</v>
      </c>
      <c r="P1223" s="5">
        <v>4486</v>
      </c>
    </row>
    <row r="1224" spans="1:16" x14ac:dyDescent="0.3">
      <c r="A1224" s="5">
        <v>14</v>
      </c>
      <c r="B1224" s="5" t="s">
        <v>115</v>
      </c>
      <c r="C1224" s="5">
        <v>9</v>
      </c>
      <c r="D1224" s="5" t="s">
        <v>92</v>
      </c>
      <c r="E1224" s="5">
        <v>2023</v>
      </c>
      <c r="F1224" s="5">
        <v>6</v>
      </c>
      <c r="G1224" s="5" t="s">
        <v>51</v>
      </c>
      <c r="H1224" s="5">
        <v>2206596</v>
      </c>
      <c r="I1224" s="5">
        <v>1822361.72</v>
      </c>
      <c r="J1224" s="5">
        <v>46</v>
      </c>
      <c r="K1224" s="5">
        <v>196984</v>
      </c>
      <c r="L1224" s="5">
        <v>2392490</v>
      </c>
      <c r="M1224" s="5">
        <v>384234.28</v>
      </c>
      <c r="N1224" s="5">
        <v>0.1741</v>
      </c>
      <c r="O1224" s="5">
        <v>4</v>
      </c>
      <c r="P1224" s="5">
        <v>51283</v>
      </c>
    </row>
    <row r="1225" spans="1:16" x14ac:dyDescent="0.3">
      <c r="A1225" s="5">
        <v>23</v>
      </c>
      <c r="B1225" s="5" t="s">
        <v>115</v>
      </c>
      <c r="C1225" s="5">
        <v>9</v>
      </c>
      <c r="D1225" s="5" t="s">
        <v>92</v>
      </c>
      <c r="E1225" s="5">
        <v>2023</v>
      </c>
      <c r="F1225" s="5">
        <v>6</v>
      </c>
      <c r="G1225" s="5" t="s">
        <v>51</v>
      </c>
      <c r="H1225" s="5">
        <v>8942666</v>
      </c>
      <c r="I1225" s="5">
        <v>7468180.6900000004</v>
      </c>
      <c r="J1225" s="5">
        <v>124</v>
      </c>
      <c r="K1225" s="5">
        <v>750316</v>
      </c>
      <c r="L1225" s="5">
        <v>9648390</v>
      </c>
      <c r="M1225" s="5">
        <v>1474485.31</v>
      </c>
      <c r="N1225" s="5">
        <v>0.16489999999999999</v>
      </c>
      <c r="O1225" s="5">
        <v>8</v>
      </c>
      <c r="P1225" s="5">
        <v>192110</v>
      </c>
    </row>
    <row r="1226" spans="1:16" x14ac:dyDescent="0.3">
      <c r="A1226" s="5">
        <v>55</v>
      </c>
      <c r="B1226" s="5" t="s">
        <v>115</v>
      </c>
      <c r="C1226" s="5">
        <v>9</v>
      </c>
      <c r="D1226" s="5" t="s">
        <v>92</v>
      </c>
      <c r="E1226" s="5">
        <v>2023</v>
      </c>
      <c r="F1226" s="5">
        <v>6</v>
      </c>
      <c r="G1226" s="5" t="s">
        <v>51</v>
      </c>
      <c r="H1226" s="5">
        <v>3653789</v>
      </c>
      <c r="I1226" s="5">
        <v>3113511.29</v>
      </c>
      <c r="J1226" s="5">
        <v>60</v>
      </c>
      <c r="K1226" s="5">
        <v>402282</v>
      </c>
      <c r="L1226" s="5">
        <v>4037000</v>
      </c>
      <c r="M1226" s="5">
        <v>540277.71</v>
      </c>
      <c r="N1226" s="5">
        <v>0.1479</v>
      </c>
      <c r="O1226" s="5">
        <v>5</v>
      </c>
      <c r="P1226" s="5">
        <v>108924</v>
      </c>
    </row>
    <row r="1227" spans="1:16" x14ac:dyDescent="0.3">
      <c r="A1227" s="5">
        <v>80</v>
      </c>
      <c r="B1227" s="5" t="s">
        <v>115</v>
      </c>
      <c r="C1227" s="5">
        <v>9</v>
      </c>
      <c r="D1227" s="5" t="s">
        <v>92</v>
      </c>
      <c r="E1227" s="5">
        <v>2023</v>
      </c>
      <c r="F1227" s="5">
        <v>6</v>
      </c>
      <c r="G1227" s="5" t="s">
        <v>51</v>
      </c>
      <c r="H1227" s="5">
        <v>691091</v>
      </c>
      <c r="I1227" s="5">
        <v>547808.86</v>
      </c>
      <c r="J1227" s="5">
        <v>11</v>
      </c>
      <c r="K1227" s="5">
        <v>39271</v>
      </c>
      <c r="L1227" s="5">
        <v>725690</v>
      </c>
      <c r="M1227" s="5">
        <v>143282.14000000001</v>
      </c>
      <c r="N1227" s="5">
        <v>0.20730000000000001</v>
      </c>
      <c r="O1227" s="5">
        <v>1</v>
      </c>
      <c r="P1227" s="5">
        <v>18242</v>
      </c>
    </row>
    <row r="1228" spans="1:16" x14ac:dyDescent="0.3">
      <c r="A1228" s="5">
        <v>14</v>
      </c>
      <c r="B1228" s="5" t="s">
        <v>115</v>
      </c>
      <c r="C1228" s="5">
        <v>9</v>
      </c>
      <c r="D1228" s="5" t="s">
        <v>92</v>
      </c>
      <c r="E1228" s="5">
        <v>2023</v>
      </c>
      <c r="F1228" s="5">
        <v>7</v>
      </c>
      <c r="G1228" s="5" t="s">
        <v>52</v>
      </c>
      <c r="H1228" s="5">
        <v>2914199</v>
      </c>
      <c r="I1228" s="5">
        <v>2521135.67</v>
      </c>
      <c r="J1228" s="5">
        <v>41</v>
      </c>
      <c r="K1228" s="5">
        <v>388120</v>
      </c>
      <c r="L1228" s="5">
        <v>3290740</v>
      </c>
      <c r="M1228" s="5">
        <v>393063.33</v>
      </c>
      <c r="N1228" s="5">
        <v>0.13489999999999999</v>
      </c>
      <c r="O1228" s="5">
        <v>0</v>
      </c>
      <c r="P1228" s="5">
        <v>0</v>
      </c>
    </row>
    <row r="1229" spans="1:16" x14ac:dyDescent="0.3">
      <c r="A1229" s="5">
        <v>23</v>
      </c>
      <c r="B1229" s="5" t="s">
        <v>115</v>
      </c>
      <c r="C1229" s="5">
        <v>9</v>
      </c>
      <c r="D1229" s="5" t="s">
        <v>92</v>
      </c>
      <c r="E1229" s="5">
        <v>2023</v>
      </c>
      <c r="F1229" s="5">
        <v>7</v>
      </c>
      <c r="G1229" s="5" t="s">
        <v>52</v>
      </c>
      <c r="H1229" s="5">
        <v>5865621</v>
      </c>
      <c r="I1229" s="5">
        <v>5170662.12</v>
      </c>
      <c r="J1229" s="5">
        <v>108</v>
      </c>
      <c r="K1229" s="5">
        <v>840943</v>
      </c>
      <c r="L1229" s="5">
        <v>6685570</v>
      </c>
      <c r="M1229" s="5">
        <v>694958.88</v>
      </c>
      <c r="N1229" s="5">
        <v>0.11849999999999999</v>
      </c>
      <c r="O1229" s="5">
        <v>12</v>
      </c>
      <c r="P1229" s="5">
        <v>506269</v>
      </c>
    </row>
    <row r="1230" spans="1:16" x14ac:dyDescent="0.3">
      <c r="A1230" s="5">
        <v>55</v>
      </c>
      <c r="B1230" s="5" t="s">
        <v>115</v>
      </c>
      <c r="C1230" s="5">
        <v>9</v>
      </c>
      <c r="D1230" s="5" t="s">
        <v>92</v>
      </c>
      <c r="E1230" s="5">
        <v>2023</v>
      </c>
      <c r="F1230" s="5">
        <v>7</v>
      </c>
      <c r="G1230" s="5" t="s">
        <v>52</v>
      </c>
      <c r="H1230" s="5">
        <v>2782516</v>
      </c>
      <c r="I1230" s="5">
        <v>2426269.33</v>
      </c>
      <c r="J1230" s="5">
        <v>44</v>
      </c>
      <c r="K1230" s="5">
        <v>402381</v>
      </c>
      <c r="L1230" s="5">
        <v>3177680</v>
      </c>
      <c r="M1230" s="5">
        <v>356246.67</v>
      </c>
      <c r="N1230" s="5">
        <v>0.128</v>
      </c>
      <c r="O1230" s="5">
        <v>6</v>
      </c>
      <c r="P1230" s="5">
        <v>73287</v>
      </c>
    </row>
    <row r="1231" spans="1:16" x14ac:dyDescent="0.3">
      <c r="A1231" s="5">
        <v>80</v>
      </c>
      <c r="B1231" s="5" t="s">
        <v>115</v>
      </c>
      <c r="C1231" s="5">
        <v>9</v>
      </c>
      <c r="D1231" s="5" t="s">
        <v>92</v>
      </c>
      <c r="E1231" s="5">
        <v>2023</v>
      </c>
      <c r="F1231" s="5">
        <v>7</v>
      </c>
      <c r="G1231" s="5" t="s">
        <v>52</v>
      </c>
      <c r="H1231" s="5">
        <v>615576</v>
      </c>
      <c r="I1231" s="5">
        <v>489135.22</v>
      </c>
      <c r="J1231" s="5">
        <v>12</v>
      </c>
      <c r="K1231" s="5">
        <v>58624</v>
      </c>
      <c r="L1231" s="5">
        <v>672020</v>
      </c>
      <c r="M1231" s="5">
        <v>126440.78</v>
      </c>
      <c r="N1231" s="5">
        <v>0.2054</v>
      </c>
      <c r="O1231" s="5">
        <v>1</v>
      </c>
      <c r="P1231" s="5">
        <v>1888</v>
      </c>
    </row>
    <row r="1232" spans="1:16" x14ac:dyDescent="0.3">
      <c r="A1232" s="5">
        <v>14</v>
      </c>
      <c r="B1232" s="5" t="s">
        <v>115</v>
      </c>
      <c r="C1232" s="5">
        <v>9</v>
      </c>
      <c r="D1232" s="5" t="s">
        <v>92</v>
      </c>
      <c r="E1232" s="5">
        <v>2023</v>
      </c>
      <c r="F1232" s="5">
        <v>8</v>
      </c>
      <c r="G1232" s="5" t="s">
        <v>53</v>
      </c>
      <c r="H1232" s="5">
        <v>4425898</v>
      </c>
      <c r="I1232" s="5">
        <v>3978638.82</v>
      </c>
      <c r="J1232" s="5">
        <v>51</v>
      </c>
      <c r="K1232" s="5">
        <v>664073</v>
      </c>
      <c r="L1232" s="5">
        <v>5076570</v>
      </c>
      <c r="M1232" s="5">
        <v>447259.18</v>
      </c>
      <c r="N1232" s="5">
        <v>0.1011</v>
      </c>
      <c r="O1232" s="5">
        <v>7</v>
      </c>
      <c r="P1232" s="5">
        <v>199613</v>
      </c>
    </row>
    <row r="1233" spans="1:16" x14ac:dyDescent="0.3">
      <c r="A1233" s="5">
        <v>23</v>
      </c>
      <c r="B1233" s="5" t="s">
        <v>115</v>
      </c>
      <c r="C1233" s="5">
        <v>9</v>
      </c>
      <c r="D1233" s="5" t="s">
        <v>92</v>
      </c>
      <c r="E1233" s="5">
        <v>2023</v>
      </c>
      <c r="F1233" s="5">
        <v>8</v>
      </c>
      <c r="G1233" s="5" t="s">
        <v>53</v>
      </c>
      <c r="H1233" s="5">
        <v>6992365</v>
      </c>
      <c r="I1233" s="5">
        <v>6240329.4299999997</v>
      </c>
      <c r="J1233" s="5">
        <v>117</v>
      </c>
      <c r="K1233" s="5">
        <v>1110079</v>
      </c>
      <c r="L1233" s="5">
        <v>8083060</v>
      </c>
      <c r="M1233" s="5">
        <v>752035.57</v>
      </c>
      <c r="N1233" s="5">
        <v>0.1076</v>
      </c>
      <c r="O1233" s="5">
        <v>13</v>
      </c>
      <c r="P1233" s="5">
        <v>278079</v>
      </c>
    </row>
    <row r="1234" spans="1:16" x14ac:dyDescent="0.3">
      <c r="A1234" s="5">
        <v>55</v>
      </c>
      <c r="B1234" s="5" t="s">
        <v>115</v>
      </c>
      <c r="C1234" s="5">
        <v>9</v>
      </c>
      <c r="D1234" s="5" t="s">
        <v>92</v>
      </c>
      <c r="E1234" s="5">
        <v>2023</v>
      </c>
      <c r="F1234" s="5">
        <v>8</v>
      </c>
      <c r="G1234" s="5" t="s">
        <v>53</v>
      </c>
      <c r="H1234" s="5">
        <v>4437955</v>
      </c>
      <c r="I1234" s="5">
        <v>3712056.28</v>
      </c>
      <c r="J1234" s="5">
        <v>48</v>
      </c>
      <c r="K1234" s="5">
        <v>292309</v>
      </c>
      <c r="L1234" s="5">
        <v>4704510</v>
      </c>
      <c r="M1234" s="5">
        <v>725898.72</v>
      </c>
      <c r="N1234" s="5">
        <v>0.1636</v>
      </c>
      <c r="O1234" s="5">
        <v>2</v>
      </c>
      <c r="P1234" s="5">
        <v>197092</v>
      </c>
    </row>
    <row r="1235" spans="1:16" x14ac:dyDescent="0.3">
      <c r="A1235" s="5">
        <v>80</v>
      </c>
      <c r="B1235" s="5" t="s">
        <v>115</v>
      </c>
      <c r="C1235" s="5">
        <v>9</v>
      </c>
      <c r="D1235" s="5" t="s">
        <v>92</v>
      </c>
      <c r="E1235" s="5">
        <v>2023</v>
      </c>
      <c r="F1235" s="5">
        <v>8</v>
      </c>
      <c r="G1235" s="5" t="s">
        <v>53</v>
      </c>
      <c r="H1235" s="5">
        <v>1247793</v>
      </c>
      <c r="I1235" s="5">
        <v>1068334.8700000001</v>
      </c>
      <c r="J1235" s="5">
        <v>16</v>
      </c>
      <c r="K1235" s="5">
        <v>140212</v>
      </c>
      <c r="L1235" s="5">
        <v>1379120</v>
      </c>
      <c r="M1235" s="5">
        <v>179458.13</v>
      </c>
      <c r="N1235" s="5">
        <v>0.14380000000000001</v>
      </c>
      <c r="O1235" s="5">
        <v>1</v>
      </c>
      <c r="P1235" s="5">
        <v>5014</v>
      </c>
    </row>
    <row r="1236" spans="1:16" x14ac:dyDescent="0.3">
      <c r="A1236" s="5">
        <v>14</v>
      </c>
      <c r="B1236" s="5" t="s">
        <v>115</v>
      </c>
      <c r="C1236" s="5">
        <v>9</v>
      </c>
      <c r="D1236" s="5" t="s">
        <v>92</v>
      </c>
      <c r="E1236" s="5">
        <v>2023</v>
      </c>
      <c r="F1236" s="5">
        <v>9</v>
      </c>
      <c r="G1236" s="5" t="s">
        <v>54</v>
      </c>
      <c r="H1236" s="5">
        <v>3978486</v>
      </c>
      <c r="I1236" s="5">
        <v>3561155.7</v>
      </c>
      <c r="J1236" s="5">
        <v>49</v>
      </c>
      <c r="K1236" s="5">
        <v>596910</v>
      </c>
      <c r="L1236" s="5">
        <v>4562590</v>
      </c>
      <c r="M1236" s="5">
        <v>417330.3</v>
      </c>
      <c r="N1236" s="5">
        <v>0.10489999999999999</v>
      </c>
      <c r="O1236" s="5">
        <v>10</v>
      </c>
      <c r="P1236" s="5">
        <v>291456</v>
      </c>
    </row>
    <row r="1237" spans="1:16" x14ac:dyDescent="0.3">
      <c r="A1237" s="5">
        <v>23</v>
      </c>
      <c r="B1237" s="5" t="s">
        <v>115</v>
      </c>
      <c r="C1237" s="5">
        <v>9</v>
      </c>
      <c r="D1237" s="5" t="s">
        <v>92</v>
      </c>
      <c r="E1237" s="5">
        <v>2023</v>
      </c>
      <c r="F1237" s="5">
        <v>9</v>
      </c>
      <c r="G1237" s="5" t="s">
        <v>54</v>
      </c>
      <c r="H1237" s="5">
        <v>8501674</v>
      </c>
      <c r="I1237" s="5">
        <v>7641623.3099999996</v>
      </c>
      <c r="J1237" s="5">
        <v>130</v>
      </c>
      <c r="K1237" s="5">
        <v>1342239</v>
      </c>
      <c r="L1237" s="5">
        <v>9808720</v>
      </c>
      <c r="M1237" s="5">
        <v>860050.69</v>
      </c>
      <c r="N1237" s="5">
        <v>0.1012</v>
      </c>
      <c r="O1237" s="5">
        <v>12</v>
      </c>
      <c r="P1237" s="5">
        <v>544419</v>
      </c>
    </row>
    <row r="1238" spans="1:16" x14ac:dyDescent="0.3">
      <c r="A1238" s="5">
        <v>55</v>
      </c>
      <c r="B1238" s="5" t="s">
        <v>115</v>
      </c>
      <c r="C1238" s="5">
        <v>9</v>
      </c>
      <c r="D1238" s="5" t="s">
        <v>92</v>
      </c>
      <c r="E1238" s="5">
        <v>2023</v>
      </c>
      <c r="F1238" s="5">
        <v>9</v>
      </c>
      <c r="G1238" s="5" t="s">
        <v>54</v>
      </c>
      <c r="H1238" s="5">
        <v>4009898</v>
      </c>
      <c r="I1238" s="5">
        <v>3678847.2</v>
      </c>
      <c r="J1238" s="5">
        <v>48</v>
      </c>
      <c r="K1238" s="5">
        <v>647161</v>
      </c>
      <c r="L1238" s="5">
        <v>4640760</v>
      </c>
      <c r="M1238" s="5">
        <v>331050.8</v>
      </c>
      <c r="N1238" s="5">
        <v>8.2600000000000007E-2</v>
      </c>
      <c r="O1238" s="5">
        <v>3</v>
      </c>
      <c r="P1238" s="5">
        <v>187172</v>
      </c>
    </row>
    <row r="1239" spans="1:16" x14ac:dyDescent="0.3">
      <c r="A1239" s="5">
        <v>80</v>
      </c>
      <c r="B1239" s="5" t="s">
        <v>115</v>
      </c>
      <c r="C1239" s="5">
        <v>9</v>
      </c>
      <c r="D1239" s="5" t="s">
        <v>92</v>
      </c>
      <c r="E1239" s="5">
        <v>2023</v>
      </c>
      <c r="F1239" s="5">
        <v>9</v>
      </c>
      <c r="G1239" s="5" t="s">
        <v>54</v>
      </c>
      <c r="H1239" s="5">
        <v>1117132</v>
      </c>
      <c r="I1239" s="5">
        <v>1048812.98</v>
      </c>
      <c r="J1239" s="5">
        <v>23</v>
      </c>
      <c r="K1239" s="5">
        <v>202269</v>
      </c>
      <c r="L1239" s="5">
        <v>1318290</v>
      </c>
      <c r="M1239" s="5">
        <v>68319.02</v>
      </c>
      <c r="N1239" s="5">
        <v>6.1199999999999997E-2</v>
      </c>
      <c r="O1239" s="5">
        <v>1</v>
      </c>
      <c r="P1239" s="5">
        <v>3898</v>
      </c>
    </row>
    <row r="1240" spans="1:16" x14ac:dyDescent="0.3">
      <c r="A1240" s="5">
        <v>14</v>
      </c>
      <c r="B1240" s="5" t="s">
        <v>115</v>
      </c>
      <c r="C1240" s="5">
        <v>9</v>
      </c>
      <c r="D1240" s="5" t="s">
        <v>92</v>
      </c>
      <c r="E1240" s="5">
        <v>2023</v>
      </c>
      <c r="F1240" s="5">
        <v>10</v>
      </c>
      <c r="G1240" s="5" t="s">
        <v>55</v>
      </c>
      <c r="H1240" s="5">
        <v>3714678</v>
      </c>
      <c r="I1240" s="5">
        <v>3204285.38</v>
      </c>
      <c r="J1240" s="5">
        <v>65</v>
      </c>
      <c r="K1240" s="5">
        <v>483638</v>
      </c>
      <c r="L1240" s="5">
        <v>4187080</v>
      </c>
      <c r="M1240" s="5">
        <v>510392.62</v>
      </c>
      <c r="N1240" s="5">
        <v>0.13739999999999999</v>
      </c>
      <c r="O1240" s="5">
        <v>7</v>
      </c>
      <c r="P1240" s="5">
        <v>171764</v>
      </c>
    </row>
    <row r="1241" spans="1:16" x14ac:dyDescent="0.3">
      <c r="A1241" s="5">
        <v>23</v>
      </c>
      <c r="B1241" s="5" t="s">
        <v>115</v>
      </c>
      <c r="C1241" s="5">
        <v>9</v>
      </c>
      <c r="D1241" s="5" t="s">
        <v>92</v>
      </c>
      <c r="E1241" s="5">
        <v>2023</v>
      </c>
      <c r="F1241" s="5">
        <v>10</v>
      </c>
      <c r="G1241" s="5" t="s">
        <v>55</v>
      </c>
      <c r="H1241" s="5">
        <v>11532069</v>
      </c>
      <c r="I1241" s="5">
        <v>9931827.4800000004</v>
      </c>
      <c r="J1241" s="5">
        <v>172</v>
      </c>
      <c r="K1241" s="5">
        <v>1286964</v>
      </c>
      <c r="L1241" s="5">
        <v>12782470</v>
      </c>
      <c r="M1241" s="5">
        <v>1600241.52</v>
      </c>
      <c r="N1241" s="5">
        <v>0.13880000000000001</v>
      </c>
      <c r="O1241" s="5">
        <v>15</v>
      </c>
      <c r="P1241" s="5">
        <v>395976</v>
      </c>
    </row>
    <row r="1242" spans="1:16" x14ac:dyDescent="0.3">
      <c r="A1242" s="5">
        <v>55</v>
      </c>
      <c r="B1242" s="5" t="s">
        <v>115</v>
      </c>
      <c r="C1242" s="5">
        <v>9</v>
      </c>
      <c r="D1242" s="5" t="s">
        <v>92</v>
      </c>
      <c r="E1242" s="5">
        <v>2023</v>
      </c>
      <c r="F1242" s="5">
        <v>10</v>
      </c>
      <c r="G1242" s="5" t="s">
        <v>55</v>
      </c>
      <c r="H1242" s="5">
        <v>4748783</v>
      </c>
      <c r="I1242" s="5">
        <v>4105116.92</v>
      </c>
      <c r="J1242" s="5">
        <v>69</v>
      </c>
      <c r="K1242" s="5">
        <v>514818</v>
      </c>
      <c r="L1242" s="5">
        <v>5241990</v>
      </c>
      <c r="M1242" s="5">
        <v>643666.07999999996</v>
      </c>
      <c r="N1242" s="5">
        <v>0.13550000000000001</v>
      </c>
      <c r="O1242" s="5">
        <v>9</v>
      </c>
      <c r="P1242" s="5">
        <v>327769</v>
      </c>
    </row>
    <row r="1243" spans="1:16" x14ac:dyDescent="0.3">
      <c r="A1243" s="5">
        <v>80</v>
      </c>
      <c r="B1243" s="5" t="s">
        <v>115</v>
      </c>
      <c r="C1243" s="5">
        <v>9</v>
      </c>
      <c r="D1243" s="5" t="s">
        <v>92</v>
      </c>
      <c r="E1243" s="5">
        <v>2023</v>
      </c>
      <c r="F1243" s="5">
        <v>10</v>
      </c>
      <c r="G1243" s="5" t="s">
        <v>55</v>
      </c>
      <c r="H1243" s="5">
        <v>2631532</v>
      </c>
      <c r="I1243" s="5">
        <v>2408149.8199999998</v>
      </c>
      <c r="J1243" s="5">
        <v>22</v>
      </c>
      <c r="K1243" s="5">
        <v>388314</v>
      </c>
      <c r="L1243" s="5">
        <v>3018520</v>
      </c>
      <c r="M1243" s="5">
        <v>223382.18</v>
      </c>
      <c r="N1243" s="5">
        <v>8.4900000000000003E-2</v>
      </c>
      <c r="O1243" s="5">
        <v>2</v>
      </c>
      <c r="P1243" s="5">
        <v>4561</v>
      </c>
    </row>
    <row r="1244" spans="1:16" x14ac:dyDescent="0.3">
      <c r="A1244" s="5">
        <v>14</v>
      </c>
      <c r="B1244" s="5" t="s">
        <v>115</v>
      </c>
      <c r="C1244" s="5">
        <v>9</v>
      </c>
      <c r="D1244" s="5" t="s">
        <v>92</v>
      </c>
      <c r="E1244" s="5">
        <v>2023</v>
      </c>
      <c r="F1244" s="5">
        <v>11</v>
      </c>
      <c r="G1244" s="5" t="s">
        <v>56</v>
      </c>
      <c r="H1244" s="5">
        <v>5535685</v>
      </c>
      <c r="I1244" s="5">
        <v>4745639.55</v>
      </c>
      <c r="J1244" s="5">
        <v>84</v>
      </c>
      <c r="K1244" s="5">
        <v>523346</v>
      </c>
      <c r="L1244" s="5">
        <v>6037220</v>
      </c>
      <c r="M1244" s="5">
        <v>790045.45</v>
      </c>
      <c r="N1244" s="5">
        <v>0.14269999999999999</v>
      </c>
      <c r="O1244" s="5">
        <v>13</v>
      </c>
      <c r="P1244" s="5">
        <v>336574</v>
      </c>
    </row>
    <row r="1245" spans="1:16" x14ac:dyDescent="0.3">
      <c r="A1245" s="5">
        <v>23</v>
      </c>
      <c r="B1245" s="5" t="s">
        <v>115</v>
      </c>
      <c r="C1245" s="5">
        <v>9</v>
      </c>
      <c r="D1245" s="5" t="s">
        <v>92</v>
      </c>
      <c r="E1245" s="5">
        <v>2023</v>
      </c>
      <c r="F1245" s="5">
        <v>11</v>
      </c>
      <c r="G1245" s="5" t="s">
        <v>56</v>
      </c>
      <c r="H1245" s="5">
        <v>9137117</v>
      </c>
      <c r="I1245" s="5">
        <v>8005074.8099999996</v>
      </c>
      <c r="J1245" s="5">
        <v>155</v>
      </c>
      <c r="K1245" s="5">
        <v>1294793</v>
      </c>
      <c r="L1245" s="5">
        <v>10386490</v>
      </c>
      <c r="M1245" s="5">
        <v>1132042.19</v>
      </c>
      <c r="N1245" s="5">
        <v>0.1239</v>
      </c>
      <c r="O1245" s="5">
        <v>11</v>
      </c>
      <c r="P1245" s="5">
        <v>199980</v>
      </c>
    </row>
    <row r="1246" spans="1:16" x14ac:dyDescent="0.3">
      <c r="A1246" s="5">
        <v>55</v>
      </c>
      <c r="B1246" s="5" t="s">
        <v>115</v>
      </c>
      <c r="C1246" s="5">
        <v>9</v>
      </c>
      <c r="D1246" s="5" t="s">
        <v>92</v>
      </c>
      <c r="E1246" s="5">
        <v>2023</v>
      </c>
      <c r="F1246" s="5">
        <v>11</v>
      </c>
      <c r="G1246" s="5" t="s">
        <v>56</v>
      </c>
      <c r="H1246" s="5">
        <v>3662110</v>
      </c>
      <c r="I1246" s="5">
        <v>3150966.03</v>
      </c>
      <c r="J1246" s="5">
        <v>62</v>
      </c>
      <c r="K1246" s="5">
        <v>425539</v>
      </c>
      <c r="L1246" s="5">
        <v>4069490</v>
      </c>
      <c r="M1246" s="5">
        <v>511143.97</v>
      </c>
      <c r="N1246" s="5">
        <v>0.1396</v>
      </c>
      <c r="O1246" s="5">
        <v>4</v>
      </c>
      <c r="P1246" s="5">
        <v>158220</v>
      </c>
    </row>
    <row r="1247" spans="1:16" x14ac:dyDescent="0.3">
      <c r="A1247" s="5">
        <v>80</v>
      </c>
      <c r="B1247" s="5" t="s">
        <v>115</v>
      </c>
      <c r="C1247" s="5">
        <v>9</v>
      </c>
      <c r="D1247" s="5" t="s">
        <v>92</v>
      </c>
      <c r="E1247" s="5">
        <v>2023</v>
      </c>
      <c r="F1247" s="5">
        <v>11</v>
      </c>
      <c r="G1247" s="5" t="s">
        <v>56</v>
      </c>
      <c r="H1247" s="5">
        <v>1555515</v>
      </c>
      <c r="I1247" s="5">
        <v>1458653.92</v>
      </c>
      <c r="J1247" s="5">
        <v>20</v>
      </c>
      <c r="K1247" s="5">
        <v>362341</v>
      </c>
      <c r="L1247" s="5">
        <v>1911160</v>
      </c>
      <c r="M1247" s="5">
        <v>96861.08</v>
      </c>
      <c r="N1247" s="5">
        <v>6.2300000000000001E-2</v>
      </c>
      <c r="O1247" s="5">
        <v>0</v>
      </c>
      <c r="P1247" s="5">
        <v>0</v>
      </c>
    </row>
    <row r="1248" spans="1:16" x14ac:dyDescent="0.3">
      <c r="A1248" s="5">
        <v>14</v>
      </c>
      <c r="B1248" s="5" t="s">
        <v>115</v>
      </c>
      <c r="C1248" s="5">
        <v>9</v>
      </c>
      <c r="D1248" s="5" t="s">
        <v>92</v>
      </c>
      <c r="E1248" s="5">
        <v>2023</v>
      </c>
      <c r="F1248" s="5">
        <v>12</v>
      </c>
      <c r="G1248" s="5" t="s">
        <v>57</v>
      </c>
      <c r="H1248" s="5">
        <v>4220035</v>
      </c>
      <c r="I1248" s="5">
        <v>3731882.09</v>
      </c>
      <c r="J1248" s="5">
        <v>69</v>
      </c>
      <c r="K1248" s="5">
        <v>652945</v>
      </c>
      <c r="L1248" s="5">
        <v>4862330</v>
      </c>
      <c r="M1248" s="5">
        <v>488152.91</v>
      </c>
      <c r="N1248" s="5">
        <v>0.1157</v>
      </c>
      <c r="O1248" s="5">
        <v>8</v>
      </c>
      <c r="P1248" s="5">
        <v>200711</v>
      </c>
    </row>
    <row r="1249" spans="1:16" x14ac:dyDescent="0.3">
      <c r="A1249" s="5">
        <v>23</v>
      </c>
      <c r="B1249" s="5" t="s">
        <v>115</v>
      </c>
      <c r="C1249" s="5">
        <v>9</v>
      </c>
      <c r="D1249" s="5" t="s">
        <v>92</v>
      </c>
      <c r="E1249" s="5">
        <v>2023</v>
      </c>
      <c r="F1249" s="5">
        <v>12</v>
      </c>
      <c r="G1249" s="5" t="s">
        <v>57</v>
      </c>
      <c r="H1249" s="5">
        <v>11202675</v>
      </c>
      <c r="I1249" s="5">
        <v>9644743.9800000004</v>
      </c>
      <c r="J1249" s="5">
        <v>188</v>
      </c>
      <c r="K1249" s="5">
        <v>1396440</v>
      </c>
      <c r="L1249" s="5">
        <v>12569310</v>
      </c>
      <c r="M1249" s="5">
        <v>1557931.02</v>
      </c>
      <c r="N1249" s="5">
        <v>0.1391</v>
      </c>
      <c r="O1249" s="5">
        <v>16</v>
      </c>
      <c r="P1249" s="5">
        <v>627238</v>
      </c>
    </row>
    <row r="1250" spans="1:16" x14ac:dyDescent="0.3">
      <c r="A1250" s="5">
        <v>55</v>
      </c>
      <c r="B1250" s="5" t="s">
        <v>115</v>
      </c>
      <c r="C1250" s="5">
        <v>9</v>
      </c>
      <c r="D1250" s="5" t="s">
        <v>92</v>
      </c>
      <c r="E1250" s="5">
        <v>2023</v>
      </c>
      <c r="F1250" s="5">
        <v>12</v>
      </c>
      <c r="G1250" s="5" t="s">
        <v>57</v>
      </c>
      <c r="H1250" s="5">
        <v>5824485</v>
      </c>
      <c r="I1250" s="5">
        <v>5216439.62</v>
      </c>
      <c r="J1250" s="5">
        <v>99</v>
      </c>
      <c r="K1250" s="5">
        <v>997005</v>
      </c>
      <c r="L1250" s="5">
        <v>6801420</v>
      </c>
      <c r="M1250" s="5">
        <v>608045.38</v>
      </c>
      <c r="N1250" s="5">
        <v>0.10440000000000001</v>
      </c>
      <c r="O1250" s="5">
        <v>5</v>
      </c>
      <c r="P1250" s="5">
        <v>92155</v>
      </c>
    </row>
    <row r="1251" spans="1:16" x14ac:dyDescent="0.3">
      <c r="A1251" s="5">
        <v>80</v>
      </c>
      <c r="B1251" s="5" t="s">
        <v>115</v>
      </c>
      <c r="C1251" s="5">
        <v>9</v>
      </c>
      <c r="D1251" s="5" t="s">
        <v>92</v>
      </c>
      <c r="E1251" s="5">
        <v>2023</v>
      </c>
      <c r="F1251" s="5">
        <v>12</v>
      </c>
      <c r="G1251" s="5" t="s">
        <v>57</v>
      </c>
      <c r="H1251" s="5">
        <v>1479740</v>
      </c>
      <c r="I1251" s="5">
        <v>1395200.69</v>
      </c>
      <c r="J1251" s="5">
        <v>25</v>
      </c>
      <c r="K1251" s="5">
        <v>307753</v>
      </c>
      <c r="L1251" s="5">
        <v>1782170</v>
      </c>
      <c r="M1251" s="5">
        <v>84539.31</v>
      </c>
      <c r="N1251" s="5">
        <v>5.7099999999999998E-2</v>
      </c>
      <c r="O1251" s="5">
        <v>3</v>
      </c>
      <c r="P1251" s="5">
        <v>6099</v>
      </c>
    </row>
    <row r="1252" spans="1:16" x14ac:dyDescent="0.3">
      <c r="A1252" s="5">
        <v>14</v>
      </c>
      <c r="B1252" s="5" t="s">
        <v>115</v>
      </c>
      <c r="C1252" s="5">
        <v>9</v>
      </c>
      <c r="D1252" s="5" t="s">
        <v>92</v>
      </c>
      <c r="E1252" s="5">
        <v>2024</v>
      </c>
      <c r="F1252" s="5">
        <v>1</v>
      </c>
      <c r="G1252" s="5" t="s">
        <v>58</v>
      </c>
      <c r="H1252" s="5">
        <v>3220119</v>
      </c>
      <c r="I1252" s="5">
        <v>2989695.1</v>
      </c>
      <c r="J1252" s="5">
        <v>40</v>
      </c>
      <c r="K1252" s="5">
        <v>551245</v>
      </c>
      <c r="L1252" s="5">
        <v>3763480</v>
      </c>
      <c r="M1252" s="5">
        <v>230423.9</v>
      </c>
      <c r="N1252" s="5">
        <v>7.1599999999999997E-2</v>
      </c>
      <c r="O1252" s="5">
        <v>4</v>
      </c>
      <c r="P1252" s="5">
        <v>35947</v>
      </c>
    </row>
    <row r="1253" spans="1:16" x14ac:dyDescent="0.3">
      <c r="A1253" s="5">
        <v>23</v>
      </c>
      <c r="B1253" s="5" t="s">
        <v>115</v>
      </c>
      <c r="C1253" s="5">
        <v>9</v>
      </c>
      <c r="D1253" s="5" t="s">
        <v>92</v>
      </c>
      <c r="E1253" s="5">
        <v>2024</v>
      </c>
      <c r="F1253" s="5">
        <v>1</v>
      </c>
      <c r="G1253" s="5" t="s">
        <v>58</v>
      </c>
      <c r="H1253" s="5">
        <v>7366929</v>
      </c>
      <c r="I1253" s="5">
        <v>6526103.75</v>
      </c>
      <c r="J1253" s="5">
        <v>116</v>
      </c>
      <c r="K1253" s="5">
        <v>1085424</v>
      </c>
      <c r="L1253" s="5">
        <v>8427200</v>
      </c>
      <c r="M1253" s="5">
        <v>840825.25</v>
      </c>
      <c r="N1253" s="5">
        <v>0.11409999999999999</v>
      </c>
      <c r="O1253" s="5">
        <v>6</v>
      </c>
      <c r="P1253" s="5">
        <v>158479</v>
      </c>
    </row>
    <row r="1254" spans="1:16" x14ac:dyDescent="0.3">
      <c r="A1254" s="5">
        <v>55</v>
      </c>
      <c r="B1254" s="5" t="s">
        <v>115</v>
      </c>
      <c r="C1254" s="5">
        <v>9</v>
      </c>
      <c r="D1254" s="5" t="s">
        <v>92</v>
      </c>
      <c r="E1254" s="5">
        <v>2024</v>
      </c>
      <c r="F1254" s="5">
        <v>1</v>
      </c>
      <c r="G1254" s="5" t="s">
        <v>58</v>
      </c>
      <c r="H1254" s="5">
        <v>2473795</v>
      </c>
      <c r="I1254" s="5">
        <v>2149773.46</v>
      </c>
      <c r="J1254" s="5">
        <v>44</v>
      </c>
      <c r="K1254" s="5">
        <v>358898</v>
      </c>
      <c r="L1254" s="5">
        <v>2823340</v>
      </c>
      <c r="M1254" s="5">
        <v>324021.53999999998</v>
      </c>
      <c r="N1254" s="5">
        <v>0.13100000000000001</v>
      </c>
      <c r="O1254" s="5">
        <v>0</v>
      </c>
      <c r="P1254" s="5">
        <v>0</v>
      </c>
    </row>
    <row r="1255" spans="1:16" x14ac:dyDescent="0.3">
      <c r="A1255" s="5">
        <v>80</v>
      </c>
      <c r="B1255" s="5" t="s">
        <v>115</v>
      </c>
      <c r="C1255" s="5">
        <v>9</v>
      </c>
      <c r="D1255" s="5" t="s">
        <v>92</v>
      </c>
      <c r="E1255" s="5">
        <v>2024</v>
      </c>
      <c r="F1255" s="5">
        <v>1</v>
      </c>
      <c r="G1255" s="5" t="s">
        <v>58</v>
      </c>
      <c r="H1255" s="5">
        <v>1422843</v>
      </c>
      <c r="I1255" s="5">
        <v>1257808.99</v>
      </c>
      <c r="J1255" s="5">
        <v>15</v>
      </c>
      <c r="K1255" s="5">
        <v>216856</v>
      </c>
      <c r="L1255" s="5">
        <v>1637080</v>
      </c>
      <c r="M1255" s="5">
        <v>165034.01</v>
      </c>
      <c r="N1255" s="5">
        <v>0.11600000000000001</v>
      </c>
      <c r="O1255" s="5">
        <v>1</v>
      </c>
      <c r="P1255" s="5">
        <v>30985</v>
      </c>
    </row>
    <row r="1256" spans="1:16" x14ac:dyDescent="0.3">
      <c r="A1256" s="5">
        <v>14</v>
      </c>
      <c r="B1256" s="5" t="s">
        <v>115</v>
      </c>
      <c r="C1256" s="5">
        <v>9</v>
      </c>
      <c r="D1256" s="5" t="s">
        <v>92</v>
      </c>
      <c r="E1256" s="5">
        <v>2024</v>
      </c>
      <c r="F1256" s="5">
        <v>2</v>
      </c>
      <c r="G1256" s="5" t="s">
        <v>59</v>
      </c>
      <c r="H1256" s="5">
        <v>3145733</v>
      </c>
      <c r="I1256" s="5">
        <v>2516394.9</v>
      </c>
      <c r="J1256" s="5">
        <v>42</v>
      </c>
      <c r="K1256" s="5">
        <v>187949</v>
      </c>
      <c r="L1256" s="5">
        <v>3317870</v>
      </c>
      <c r="M1256" s="5">
        <v>629338.1</v>
      </c>
      <c r="N1256" s="5">
        <v>0.2001</v>
      </c>
      <c r="O1256" s="5">
        <v>5</v>
      </c>
      <c r="P1256" s="5">
        <v>283619</v>
      </c>
    </row>
    <row r="1257" spans="1:16" x14ac:dyDescent="0.3">
      <c r="A1257" s="5">
        <v>23</v>
      </c>
      <c r="B1257" s="5" t="s">
        <v>115</v>
      </c>
      <c r="C1257" s="5">
        <v>9</v>
      </c>
      <c r="D1257" s="5" t="s">
        <v>92</v>
      </c>
      <c r="E1257" s="5">
        <v>2024</v>
      </c>
      <c r="F1257" s="5">
        <v>2</v>
      </c>
      <c r="G1257" s="5" t="s">
        <v>59</v>
      </c>
      <c r="H1257" s="5">
        <v>8784352</v>
      </c>
      <c r="I1257" s="5">
        <v>7530895.4800000004</v>
      </c>
      <c r="J1257" s="5">
        <v>127</v>
      </c>
      <c r="K1257" s="5">
        <v>972416</v>
      </c>
      <c r="L1257" s="5">
        <v>9726750</v>
      </c>
      <c r="M1257" s="5">
        <v>1253456.52</v>
      </c>
      <c r="N1257" s="5">
        <v>0.14269999999999999</v>
      </c>
      <c r="O1257" s="5">
        <v>12</v>
      </c>
      <c r="P1257" s="5">
        <v>444296</v>
      </c>
    </row>
    <row r="1258" spans="1:16" x14ac:dyDescent="0.3">
      <c r="A1258" s="5">
        <v>55</v>
      </c>
      <c r="B1258" s="5" t="s">
        <v>115</v>
      </c>
      <c r="C1258" s="5">
        <v>9</v>
      </c>
      <c r="D1258" s="5" t="s">
        <v>92</v>
      </c>
      <c r="E1258" s="5">
        <v>2024</v>
      </c>
      <c r="F1258" s="5">
        <v>2</v>
      </c>
      <c r="G1258" s="5" t="s">
        <v>59</v>
      </c>
      <c r="H1258" s="5">
        <v>1857890</v>
      </c>
      <c r="I1258" s="5">
        <v>1559447.07</v>
      </c>
      <c r="J1258" s="5">
        <v>43</v>
      </c>
      <c r="K1258" s="5">
        <v>176237</v>
      </c>
      <c r="L1258" s="5">
        <v>2030590</v>
      </c>
      <c r="M1258" s="5">
        <v>298442.93</v>
      </c>
      <c r="N1258" s="5">
        <v>0.16059999999999999</v>
      </c>
      <c r="O1258" s="5">
        <v>4</v>
      </c>
      <c r="P1258" s="5">
        <v>26249</v>
      </c>
    </row>
    <row r="1259" spans="1:16" x14ac:dyDescent="0.3">
      <c r="A1259" s="5">
        <v>80</v>
      </c>
      <c r="B1259" s="5" t="s">
        <v>115</v>
      </c>
      <c r="C1259" s="5">
        <v>9</v>
      </c>
      <c r="D1259" s="5" t="s">
        <v>92</v>
      </c>
      <c r="E1259" s="5">
        <v>2024</v>
      </c>
      <c r="F1259" s="5">
        <v>2</v>
      </c>
      <c r="G1259" s="5" t="s">
        <v>59</v>
      </c>
      <c r="H1259" s="5">
        <v>866354</v>
      </c>
      <c r="I1259" s="5">
        <v>683908.28</v>
      </c>
      <c r="J1259" s="5">
        <v>11</v>
      </c>
      <c r="K1259" s="5">
        <v>31119</v>
      </c>
      <c r="L1259" s="5">
        <v>894260</v>
      </c>
      <c r="M1259" s="5">
        <v>182445.72</v>
      </c>
      <c r="N1259" s="5">
        <v>0.21060000000000001</v>
      </c>
      <c r="O1259" s="5">
        <v>0</v>
      </c>
      <c r="P1259" s="5">
        <v>0</v>
      </c>
    </row>
    <row r="1260" spans="1:16" x14ac:dyDescent="0.3">
      <c r="A1260" s="5">
        <v>14</v>
      </c>
      <c r="B1260" s="5" t="s">
        <v>115</v>
      </c>
      <c r="C1260" s="5">
        <v>9</v>
      </c>
      <c r="D1260" s="5" t="s">
        <v>92</v>
      </c>
      <c r="E1260" s="5">
        <v>2024</v>
      </c>
      <c r="F1260" s="5">
        <v>3</v>
      </c>
      <c r="G1260" s="5" t="s">
        <v>60</v>
      </c>
      <c r="H1260" s="5">
        <v>3366587</v>
      </c>
      <c r="I1260" s="5">
        <v>2802099.96</v>
      </c>
      <c r="J1260" s="5">
        <v>53</v>
      </c>
      <c r="K1260" s="5">
        <v>285011</v>
      </c>
      <c r="L1260" s="5">
        <v>3638630</v>
      </c>
      <c r="M1260" s="5">
        <v>564487.04</v>
      </c>
      <c r="N1260" s="5">
        <v>0.16769999999999999</v>
      </c>
      <c r="O1260" s="5">
        <v>3</v>
      </c>
      <c r="P1260" s="5">
        <v>158979</v>
      </c>
    </row>
    <row r="1261" spans="1:16" x14ac:dyDescent="0.3">
      <c r="A1261" s="5">
        <v>23</v>
      </c>
      <c r="B1261" s="5" t="s">
        <v>115</v>
      </c>
      <c r="C1261" s="5">
        <v>9</v>
      </c>
      <c r="D1261" s="5" t="s">
        <v>92</v>
      </c>
      <c r="E1261" s="5">
        <v>2024</v>
      </c>
      <c r="F1261" s="5">
        <v>3</v>
      </c>
      <c r="G1261" s="5" t="s">
        <v>60</v>
      </c>
      <c r="H1261" s="5">
        <v>7851513</v>
      </c>
      <c r="I1261" s="5">
        <v>6914810.04</v>
      </c>
      <c r="J1261" s="5">
        <v>112</v>
      </c>
      <c r="K1261" s="5">
        <v>1068863</v>
      </c>
      <c r="L1261" s="5">
        <v>8899520</v>
      </c>
      <c r="M1261" s="5">
        <v>936702.96</v>
      </c>
      <c r="N1261" s="5">
        <v>0.1193</v>
      </c>
      <c r="O1261" s="5">
        <v>4</v>
      </c>
      <c r="P1261" s="5">
        <v>78064</v>
      </c>
    </row>
    <row r="1262" spans="1:16" x14ac:dyDescent="0.3">
      <c r="A1262" s="5">
        <v>55</v>
      </c>
      <c r="B1262" s="5" t="s">
        <v>115</v>
      </c>
      <c r="C1262" s="5">
        <v>9</v>
      </c>
      <c r="D1262" s="5" t="s">
        <v>92</v>
      </c>
      <c r="E1262" s="5">
        <v>2024</v>
      </c>
      <c r="F1262" s="5">
        <v>3</v>
      </c>
      <c r="G1262" s="5" t="s">
        <v>60</v>
      </c>
      <c r="H1262" s="5">
        <v>2349792</v>
      </c>
      <c r="I1262" s="5">
        <v>1968773.79</v>
      </c>
      <c r="J1262" s="5">
        <v>42</v>
      </c>
      <c r="K1262" s="5">
        <v>179338</v>
      </c>
      <c r="L1262" s="5">
        <v>2519300</v>
      </c>
      <c r="M1262" s="5">
        <v>381018.21</v>
      </c>
      <c r="N1262" s="5">
        <v>0.16209999999999999</v>
      </c>
      <c r="O1262" s="5">
        <v>1</v>
      </c>
      <c r="P1262" s="5">
        <v>574</v>
      </c>
    </row>
    <row r="1263" spans="1:16" x14ac:dyDescent="0.3">
      <c r="A1263" s="5">
        <v>80</v>
      </c>
      <c r="B1263" s="5" t="s">
        <v>115</v>
      </c>
      <c r="C1263" s="5">
        <v>9</v>
      </c>
      <c r="D1263" s="5" t="s">
        <v>92</v>
      </c>
      <c r="E1263" s="5">
        <v>2024</v>
      </c>
      <c r="F1263" s="5">
        <v>3</v>
      </c>
      <c r="G1263" s="5" t="s">
        <v>60</v>
      </c>
      <c r="H1263" s="5">
        <v>1231905</v>
      </c>
      <c r="I1263" s="5">
        <v>1070122.23</v>
      </c>
      <c r="J1263" s="5">
        <v>18</v>
      </c>
      <c r="K1263" s="5">
        <v>142492</v>
      </c>
      <c r="L1263" s="5">
        <v>1373650</v>
      </c>
      <c r="M1263" s="5">
        <v>161782.76999999999</v>
      </c>
      <c r="N1263" s="5">
        <v>0.1313</v>
      </c>
      <c r="O1263" s="5">
        <v>1</v>
      </c>
      <c r="P1263" s="5">
        <v>4102</v>
      </c>
    </row>
    <row r="1264" spans="1:16" x14ac:dyDescent="0.3">
      <c r="A1264" s="5">
        <v>14</v>
      </c>
      <c r="B1264" s="5" t="s">
        <v>115</v>
      </c>
      <c r="C1264" s="5">
        <v>9</v>
      </c>
      <c r="D1264" s="5" t="s">
        <v>92</v>
      </c>
      <c r="E1264" s="5">
        <v>2024</v>
      </c>
      <c r="F1264" s="5">
        <v>4</v>
      </c>
      <c r="G1264" s="5" t="s">
        <v>61</v>
      </c>
      <c r="H1264" s="5">
        <v>3586838</v>
      </c>
      <c r="I1264" s="5">
        <v>2995671.42</v>
      </c>
      <c r="J1264" s="5">
        <v>59</v>
      </c>
      <c r="K1264" s="5">
        <v>251656</v>
      </c>
      <c r="L1264" s="5">
        <v>3807450</v>
      </c>
      <c r="M1264" s="5">
        <v>591166.57999999996</v>
      </c>
      <c r="N1264" s="5">
        <v>0.1648</v>
      </c>
      <c r="O1264" s="5">
        <v>1</v>
      </c>
      <c r="P1264" s="5">
        <v>70673</v>
      </c>
    </row>
    <row r="1265" spans="1:16" x14ac:dyDescent="0.3">
      <c r="A1265" s="5">
        <v>23</v>
      </c>
      <c r="B1265" s="5" t="s">
        <v>115</v>
      </c>
      <c r="C1265" s="5">
        <v>9</v>
      </c>
      <c r="D1265" s="5" t="s">
        <v>92</v>
      </c>
      <c r="E1265" s="5">
        <v>2024</v>
      </c>
      <c r="F1265" s="5">
        <v>4</v>
      </c>
      <c r="G1265" s="5" t="s">
        <v>61</v>
      </c>
      <c r="H1265" s="5">
        <v>8913739</v>
      </c>
      <c r="I1265" s="5">
        <v>7727000.5499999998</v>
      </c>
      <c r="J1265" s="5">
        <v>128</v>
      </c>
      <c r="K1265" s="5">
        <v>1003734</v>
      </c>
      <c r="L1265" s="5">
        <v>9891260</v>
      </c>
      <c r="M1265" s="5">
        <v>1186738.45</v>
      </c>
      <c r="N1265" s="5">
        <v>0.1331</v>
      </c>
      <c r="O1265" s="5">
        <v>6</v>
      </c>
      <c r="P1265" s="5">
        <v>121843</v>
      </c>
    </row>
    <row r="1266" spans="1:16" x14ac:dyDescent="0.3">
      <c r="A1266" s="5">
        <v>55</v>
      </c>
      <c r="B1266" s="5" t="s">
        <v>115</v>
      </c>
      <c r="C1266" s="5">
        <v>9</v>
      </c>
      <c r="D1266" s="5" t="s">
        <v>92</v>
      </c>
      <c r="E1266" s="5">
        <v>2024</v>
      </c>
      <c r="F1266" s="5">
        <v>4</v>
      </c>
      <c r="G1266" s="5" t="s">
        <v>61</v>
      </c>
      <c r="H1266" s="5">
        <v>3436585</v>
      </c>
      <c r="I1266" s="5">
        <v>3013742.23</v>
      </c>
      <c r="J1266" s="5">
        <v>51</v>
      </c>
      <c r="K1266" s="5">
        <v>499152</v>
      </c>
      <c r="L1266" s="5">
        <v>3932550</v>
      </c>
      <c r="M1266" s="5">
        <v>422842.77</v>
      </c>
      <c r="N1266" s="5">
        <v>0.123</v>
      </c>
      <c r="O1266" s="5">
        <v>6</v>
      </c>
      <c r="P1266" s="5">
        <v>216693</v>
      </c>
    </row>
    <row r="1267" spans="1:16" x14ac:dyDescent="0.3">
      <c r="A1267" s="5">
        <v>80</v>
      </c>
      <c r="B1267" s="5" t="s">
        <v>115</v>
      </c>
      <c r="C1267" s="5">
        <v>9</v>
      </c>
      <c r="D1267" s="5" t="s">
        <v>92</v>
      </c>
      <c r="E1267" s="5">
        <v>2024</v>
      </c>
      <c r="F1267" s="5">
        <v>4</v>
      </c>
      <c r="G1267" s="5" t="s">
        <v>61</v>
      </c>
      <c r="H1267" s="5">
        <v>1914547</v>
      </c>
      <c r="I1267" s="5">
        <v>1765449.68</v>
      </c>
      <c r="J1267" s="5">
        <v>21</v>
      </c>
      <c r="K1267" s="5">
        <v>344125</v>
      </c>
      <c r="L1267" s="5">
        <v>2258110</v>
      </c>
      <c r="M1267" s="5">
        <v>149097.32</v>
      </c>
      <c r="N1267" s="5">
        <v>7.7899999999999997E-2</v>
      </c>
      <c r="O1267" s="5">
        <v>4</v>
      </c>
      <c r="P1267" s="5">
        <v>81988</v>
      </c>
    </row>
    <row r="1268" spans="1:16" x14ac:dyDescent="0.3">
      <c r="A1268" s="5">
        <v>14</v>
      </c>
      <c r="B1268" s="5" t="s">
        <v>115</v>
      </c>
      <c r="C1268" s="5">
        <v>9</v>
      </c>
      <c r="D1268" s="5" t="s">
        <v>92</v>
      </c>
      <c r="E1268" s="5">
        <v>2024</v>
      </c>
      <c r="F1268" s="5">
        <v>5</v>
      </c>
      <c r="G1268" s="5" t="s">
        <v>62</v>
      </c>
      <c r="H1268" s="5">
        <v>2359242</v>
      </c>
      <c r="I1268" s="5">
        <v>2111180.21</v>
      </c>
      <c r="J1268" s="5">
        <v>50</v>
      </c>
      <c r="K1268" s="5">
        <v>407594</v>
      </c>
      <c r="L1268" s="5">
        <v>2762840</v>
      </c>
      <c r="M1268" s="5">
        <v>248061.79</v>
      </c>
      <c r="N1268" s="5">
        <v>0.1051</v>
      </c>
      <c r="O1268" s="5">
        <v>3</v>
      </c>
      <c r="P1268" s="5">
        <v>73660</v>
      </c>
    </row>
    <row r="1269" spans="1:16" x14ac:dyDescent="0.3">
      <c r="A1269" s="5">
        <v>23</v>
      </c>
      <c r="B1269" s="5" t="s">
        <v>115</v>
      </c>
      <c r="C1269" s="5">
        <v>9</v>
      </c>
      <c r="D1269" s="5" t="s">
        <v>92</v>
      </c>
      <c r="E1269" s="5">
        <v>2024</v>
      </c>
      <c r="F1269" s="5">
        <v>5</v>
      </c>
      <c r="G1269" s="5" t="s">
        <v>62</v>
      </c>
      <c r="H1269" s="5">
        <v>8617404</v>
      </c>
      <c r="I1269" s="5">
        <v>7549515.5999999996</v>
      </c>
      <c r="J1269" s="5">
        <v>138</v>
      </c>
      <c r="K1269" s="5">
        <v>1202461</v>
      </c>
      <c r="L1269" s="5">
        <v>9786070</v>
      </c>
      <c r="M1269" s="5">
        <v>1067888.3999999999</v>
      </c>
      <c r="N1269" s="5">
        <v>0.1239</v>
      </c>
      <c r="O1269" s="5">
        <v>8</v>
      </c>
      <c r="P1269" s="5">
        <v>183382</v>
      </c>
    </row>
    <row r="1270" spans="1:16" x14ac:dyDescent="0.3">
      <c r="A1270" s="5">
        <v>55</v>
      </c>
      <c r="B1270" s="5" t="s">
        <v>115</v>
      </c>
      <c r="C1270" s="5">
        <v>9</v>
      </c>
      <c r="D1270" s="5" t="s">
        <v>92</v>
      </c>
      <c r="E1270" s="5">
        <v>2024</v>
      </c>
      <c r="F1270" s="5">
        <v>5</v>
      </c>
      <c r="G1270" s="5" t="s">
        <v>62</v>
      </c>
      <c r="H1270" s="5">
        <v>3222243</v>
      </c>
      <c r="I1270" s="5">
        <v>2690823.46</v>
      </c>
      <c r="J1270" s="5">
        <v>50</v>
      </c>
      <c r="K1270" s="5">
        <v>311057</v>
      </c>
      <c r="L1270" s="5">
        <v>3516990</v>
      </c>
      <c r="M1270" s="5">
        <v>531419.54</v>
      </c>
      <c r="N1270" s="5">
        <v>0.16489999999999999</v>
      </c>
      <c r="O1270" s="5">
        <v>8</v>
      </c>
      <c r="P1270" s="5">
        <v>195575</v>
      </c>
    </row>
    <row r="1271" spans="1:16" x14ac:dyDescent="0.3">
      <c r="A1271" s="5">
        <v>80</v>
      </c>
      <c r="B1271" s="5" t="s">
        <v>115</v>
      </c>
      <c r="C1271" s="5">
        <v>9</v>
      </c>
      <c r="D1271" s="5" t="s">
        <v>92</v>
      </c>
      <c r="E1271" s="5">
        <v>2024</v>
      </c>
      <c r="F1271" s="5">
        <v>5</v>
      </c>
      <c r="G1271" s="5" t="s">
        <v>62</v>
      </c>
      <c r="H1271" s="5">
        <v>2516391</v>
      </c>
      <c r="I1271" s="5">
        <v>2311048.2599999998</v>
      </c>
      <c r="J1271" s="5">
        <v>23</v>
      </c>
      <c r="K1271" s="5">
        <v>388142</v>
      </c>
      <c r="L1271" s="5">
        <v>2888940</v>
      </c>
      <c r="M1271" s="5">
        <v>205342.74</v>
      </c>
      <c r="N1271" s="5">
        <v>8.1600000000000006E-2</v>
      </c>
      <c r="O1271" s="5">
        <v>0</v>
      </c>
      <c r="P1271" s="5">
        <v>0</v>
      </c>
    </row>
    <row r="1272" spans="1:16" x14ac:dyDescent="0.3">
      <c r="A1272" s="5">
        <v>14</v>
      </c>
      <c r="B1272" s="5" t="s">
        <v>115</v>
      </c>
      <c r="C1272" s="5">
        <v>9</v>
      </c>
      <c r="D1272" s="5" t="s">
        <v>92</v>
      </c>
      <c r="E1272" s="5">
        <v>2024</v>
      </c>
      <c r="F1272" s="5">
        <v>6</v>
      </c>
      <c r="G1272" s="5" t="s">
        <v>63</v>
      </c>
      <c r="H1272" s="5">
        <v>3909073</v>
      </c>
      <c r="I1272" s="5">
        <v>3193258.12</v>
      </c>
      <c r="J1272" s="5">
        <v>49</v>
      </c>
      <c r="K1272" s="5">
        <v>238555</v>
      </c>
      <c r="L1272" s="5">
        <v>4138940</v>
      </c>
      <c r="M1272" s="5">
        <v>715814.88</v>
      </c>
      <c r="N1272" s="5">
        <v>0.18310000000000001</v>
      </c>
      <c r="O1272" s="5">
        <v>1</v>
      </c>
      <c r="P1272" s="5">
        <v>17592</v>
      </c>
    </row>
    <row r="1273" spans="1:16" x14ac:dyDescent="0.3">
      <c r="A1273" s="5">
        <v>23</v>
      </c>
      <c r="B1273" s="5" t="s">
        <v>115</v>
      </c>
      <c r="C1273" s="5">
        <v>9</v>
      </c>
      <c r="D1273" s="5" t="s">
        <v>92</v>
      </c>
      <c r="E1273" s="5">
        <v>2024</v>
      </c>
      <c r="F1273" s="5">
        <v>6</v>
      </c>
      <c r="G1273" s="5" t="s">
        <v>63</v>
      </c>
      <c r="H1273" s="5">
        <v>7759900</v>
      </c>
      <c r="I1273" s="5">
        <v>6460452.1500000004</v>
      </c>
      <c r="J1273" s="5">
        <v>147</v>
      </c>
      <c r="K1273" s="5">
        <v>593328</v>
      </c>
      <c r="L1273" s="5">
        <v>8326910</v>
      </c>
      <c r="M1273" s="5">
        <v>1299447.8500000001</v>
      </c>
      <c r="N1273" s="5">
        <v>0.16750000000000001</v>
      </c>
      <c r="O1273" s="5">
        <v>10</v>
      </c>
      <c r="P1273" s="5">
        <v>266141</v>
      </c>
    </row>
    <row r="1274" spans="1:16" x14ac:dyDescent="0.3">
      <c r="A1274" s="5">
        <v>55</v>
      </c>
      <c r="B1274" s="5" t="s">
        <v>115</v>
      </c>
      <c r="C1274" s="5">
        <v>9</v>
      </c>
      <c r="D1274" s="5" t="s">
        <v>92</v>
      </c>
      <c r="E1274" s="5">
        <v>2024</v>
      </c>
      <c r="F1274" s="5">
        <v>6</v>
      </c>
      <c r="G1274" s="5" t="s">
        <v>63</v>
      </c>
      <c r="H1274" s="5">
        <v>3532693</v>
      </c>
      <c r="I1274" s="5">
        <v>2997592.39</v>
      </c>
      <c r="J1274" s="5">
        <v>54</v>
      </c>
      <c r="K1274" s="5">
        <v>287389</v>
      </c>
      <c r="L1274" s="5">
        <v>3817290</v>
      </c>
      <c r="M1274" s="5">
        <v>535100.61</v>
      </c>
      <c r="N1274" s="5">
        <v>0.1515</v>
      </c>
      <c r="O1274" s="5">
        <v>6</v>
      </c>
      <c r="P1274" s="5">
        <v>205956</v>
      </c>
    </row>
    <row r="1275" spans="1:16" x14ac:dyDescent="0.3">
      <c r="A1275" s="5">
        <v>80</v>
      </c>
      <c r="B1275" s="5" t="s">
        <v>115</v>
      </c>
      <c r="C1275" s="5">
        <v>9</v>
      </c>
      <c r="D1275" s="5" t="s">
        <v>92</v>
      </c>
      <c r="E1275" s="5">
        <v>2024</v>
      </c>
      <c r="F1275" s="5">
        <v>6</v>
      </c>
      <c r="G1275" s="5" t="s">
        <v>63</v>
      </c>
      <c r="H1275" s="5">
        <v>450458</v>
      </c>
      <c r="I1275" s="5">
        <v>349840.1</v>
      </c>
      <c r="J1275" s="5">
        <v>15</v>
      </c>
      <c r="K1275" s="5">
        <v>25047</v>
      </c>
      <c r="L1275" s="5">
        <v>473310</v>
      </c>
      <c r="M1275" s="5">
        <v>100617.9</v>
      </c>
      <c r="N1275" s="5">
        <v>0.22339999999999999</v>
      </c>
      <c r="O1275" s="5">
        <v>0</v>
      </c>
      <c r="P1275" s="5">
        <v>0</v>
      </c>
    </row>
    <row r="1276" spans="1:16" x14ac:dyDescent="0.3">
      <c r="A1276" s="5">
        <v>14</v>
      </c>
      <c r="B1276" s="5" t="s">
        <v>115</v>
      </c>
      <c r="C1276" s="5">
        <v>9</v>
      </c>
      <c r="D1276" s="5" t="s">
        <v>92</v>
      </c>
      <c r="E1276" s="5">
        <v>2024</v>
      </c>
      <c r="F1276" s="5">
        <v>7</v>
      </c>
      <c r="G1276" s="5" t="s">
        <v>64</v>
      </c>
      <c r="H1276" s="5">
        <v>4855134</v>
      </c>
      <c r="I1276" s="5">
        <v>4178638.6</v>
      </c>
      <c r="J1276" s="5">
        <v>56</v>
      </c>
      <c r="K1276" s="5">
        <v>568232</v>
      </c>
      <c r="L1276" s="5">
        <v>5400520</v>
      </c>
      <c r="M1276" s="5">
        <v>676495.4</v>
      </c>
      <c r="N1276" s="5">
        <v>0.13930000000000001</v>
      </c>
      <c r="O1276" s="5">
        <v>4</v>
      </c>
      <c r="P1276" s="5">
        <v>122172</v>
      </c>
    </row>
    <row r="1277" spans="1:16" x14ac:dyDescent="0.3">
      <c r="A1277" s="5">
        <v>23</v>
      </c>
      <c r="B1277" s="5" t="s">
        <v>115</v>
      </c>
      <c r="C1277" s="5">
        <v>9</v>
      </c>
      <c r="D1277" s="5" t="s">
        <v>92</v>
      </c>
      <c r="E1277" s="5">
        <v>2024</v>
      </c>
      <c r="F1277" s="5">
        <v>7</v>
      </c>
      <c r="G1277" s="5" t="s">
        <v>64</v>
      </c>
      <c r="H1277" s="5">
        <v>10428063</v>
      </c>
      <c r="I1277" s="5">
        <v>8785300.3499999996</v>
      </c>
      <c r="J1277" s="5">
        <v>135</v>
      </c>
      <c r="K1277" s="5">
        <v>911467</v>
      </c>
      <c r="L1277" s="5">
        <v>11308650</v>
      </c>
      <c r="M1277" s="5">
        <v>1642762.65</v>
      </c>
      <c r="N1277" s="5">
        <v>0.1575</v>
      </c>
      <c r="O1277" s="5">
        <v>6</v>
      </c>
      <c r="P1277" s="5">
        <v>312326</v>
      </c>
    </row>
    <row r="1278" spans="1:16" x14ac:dyDescent="0.3">
      <c r="A1278" s="5">
        <v>55</v>
      </c>
      <c r="B1278" s="5" t="s">
        <v>115</v>
      </c>
      <c r="C1278" s="5">
        <v>9</v>
      </c>
      <c r="D1278" s="5" t="s">
        <v>92</v>
      </c>
      <c r="E1278" s="5">
        <v>2024</v>
      </c>
      <c r="F1278" s="5">
        <v>7</v>
      </c>
      <c r="G1278" s="5" t="s">
        <v>64</v>
      </c>
      <c r="H1278" s="5">
        <v>3713102</v>
      </c>
      <c r="I1278" s="5">
        <v>3181031.79</v>
      </c>
      <c r="J1278" s="5">
        <v>38</v>
      </c>
      <c r="K1278" s="5">
        <v>388674</v>
      </c>
      <c r="L1278" s="5">
        <v>4088260</v>
      </c>
      <c r="M1278" s="5">
        <v>532070.21</v>
      </c>
      <c r="N1278" s="5">
        <v>0.14330000000000001</v>
      </c>
      <c r="O1278" s="5">
        <v>4</v>
      </c>
      <c r="P1278" s="5">
        <v>31705</v>
      </c>
    </row>
    <row r="1279" spans="1:16" x14ac:dyDescent="0.3">
      <c r="A1279" s="5">
        <v>80</v>
      </c>
      <c r="B1279" s="5" t="s">
        <v>115</v>
      </c>
      <c r="C1279" s="5">
        <v>9</v>
      </c>
      <c r="D1279" s="5" t="s">
        <v>92</v>
      </c>
      <c r="E1279" s="5">
        <v>2024</v>
      </c>
      <c r="F1279" s="5">
        <v>7</v>
      </c>
      <c r="G1279" s="5" t="s">
        <v>64</v>
      </c>
      <c r="H1279" s="5">
        <v>774088</v>
      </c>
      <c r="I1279" s="5">
        <v>651999.03</v>
      </c>
      <c r="J1279" s="5">
        <v>15</v>
      </c>
      <c r="K1279" s="5">
        <v>109515</v>
      </c>
      <c r="L1279" s="5">
        <v>882250</v>
      </c>
      <c r="M1279" s="5">
        <v>122088.97</v>
      </c>
      <c r="N1279" s="5">
        <v>0.15770000000000001</v>
      </c>
      <c r="O1279" s="5">
        <v>0</v>
      </c>
      <c r="P1279" s="5">
        <v>0</v>
      </c>
    </row>
    <row r="1280" spans="1:16" x14ac:dyDescent="0.3">
      <c r="A1280" s="5">
        <v>14</v>
      </c>
      <c r="B1280" s="5" t="s">
        <v>115</v>
      </c>
      <c r="C1280" s="5">
        <v>9</v>
      </c>
      <c r="D1280" s="5" t="s">
        <v>92</v>
      </c>
      <c r="E1280" s="5">
        <v>2024</v>
      </c>
      <c r="F1280" s="5">
        <v>8</v>
      </c>
      <c r="G1280" s="5" t="s">
        <v>65</v>
      </c>
      <c r="H1280" s="5">
        <v>4200780</v>
      </c>
      <c r="I1280" s="5">
        <v>3685094.96</v>
      </c>
      <c r="J1280" s="5">
        <v>57</v>
      </c>
      <c r="K1280" s="5">
        <v>496402</v>
      </c>
      <c r="L1280" s="5">
        <v>4691570</v>
      </c>
      <c r="M1280" s="5">
        <v>515685.04</v>
      </c>
      <c r="N1280" s="5">
        <v>0.12280000000000001</v>
      </c>
      <c r="O1280" s="5">
        <v>3</v>
      </c>
      <c r="P1280" s="5">
        <v>78022</v>
      </c>
    </row>
    <row r="1281" spans="1:16" x14ac:dyDescent="0.3">
      <c r="A1281" s="5">
        <v>23</v>
      </c>
      <c r="B1281" s="5" t="s">
        <v>115</v>
      </c>
      <c r="C1281" s="5">
        <v>9</v>
      </c>
      <c r="D1281" s="5" t="s">
        <v>92</v>
      </c>
      <c r="E1281" s="5">
        <v>2024</v>
      </c>
      <c r="F1281" s="5">
        <v>8</v>
      </c>
      <c r="G1281" s="5" t="s">
        <v>65</v>
      </c>
      <c r="H1281" s="5">
        <v>8739808</v>
      </c>
      <c r="I1281" s="5">
        <v>7547614.6399999997</v>
      </c>
      <c r="J1281" s="5">
        <v>130</v>
      </c>
      <c r="K1281" s="5">
        <v>912176</v>
      </c>
      <c r="L1281" s="5">
        <v>9632650</v>
      </c>
      <c r="M1281" s="5">
        <v>1192193.3600000001</v>
      </c>
      <c r="N1281" s="5">
        <v>0.13639999999999999</v>
      </c>
      <c r="O1281" s="5">
        <v>13</v>
      </c>
      <c r="P1281" s="5">
        <v>282667</v>
      </c>
    </row>
    <row r="1282" spans="1:16" x14ac:dyDescent="0.3">
      <c r="A1282" s="5">
        <v>55</v>
      </c>
      <c r="B1282" s="5" t="s">
        <v>115</v>
      </c>
      <c r="C1282" s="5">
        <v>9</v>
      </c>
      <c r="D1282" s="5" t="s">
        <v>92</v>
      </c>
      <c r="E1282" s="5">
        <v>2024</v>
      </c>
      <c r="F1282" s="5">
        <v>8</v>
      </c>
      <c r="G1282" s="5" t="s">
        <v>65</v>
      </c>
      <c r="H1282" s="5">
        <v>3715167</v>
      </c>
      <c r="I1282" s="5">
        <v>3026997.77</v>
      </c>
      <c r="J1282" s="5">
        <v>61</v>
      </c>
      <c r="K1282" s="5">
        <v>228079</v>
      </c>
      <c r="L1282" s="5">
        <v>3930960</v>
      </c>
      <c r="M1282" s="5">
        <v>688169.23</v>
      </c>
      <c r="N1282" s="5">
        <v>0.1852</v>
      </c>
      <c r="O1282" s="5">
        <v>7</v>
      </c>
      <c r="P1282" s="5">
        <v>303892</v>
      </c>
    </row>
    <row r="1283" spans="1:16" x14ac:dyDescent="0.3">
      <c r="A1283" s="5">
        <v>80</v>
      </c>
      <c r="B1283" s="5" t="s">
        <v>115</v>
      </c>
      <c r="C1283" s="5">
        <v>9</v>
      </c>
      <c r="D1283" s="5" t="s">
        <v>92</v>
      </c>
      <c r="E1283" s="5">
        <v>2024</v>
      </c>
      <c r="F1283" s="5">
        <v>8</v>
      </c>
      <c r="G1283" s="5" t="s">
        <v>65</v>
      </c>
      <c r="H1283" s="5">
        <v>851672</v>
      </c>
      <c r="I1283" s="5">
        <v>685649.38</v>
      </c>
      <c r="J1283" s="5">
        <v>14</v>
      </c>
      <c r="K1283" s="5">
        <v>76332</v>
      </c>
      <c r="L1283" s="5">
        <v>925800</v>
      </c>
      <c r="M1283" s="5">
        <v>166022.62</v>
      </c>
      <c r="N1283" s="5">
        <v>0.19489999999999999</v>
      </c>
      <c r="O1283" s="5">
        <v>1</v>
      </c>
      <c r="P1283" s="5">
        <v>783</v>
      </c>
    </row>
    <row r="1284" spans="1:16" x14ac:dyDescent="0.3">
      <c r="A1284" s="5">
        <v>14</v>
      </c>
      <c r="B1284" s="5" t="s">
        <v>115</v>
      </c>
      <c r="C1284" s="5">
        <v>9</v>
      </c>
      <c r="D1284" s="5" t="s">
        <v>92</v>
      </c>
      <c r="E1284" s="5">
        <v>2024</v>
      </c>
      <c r="F1284" s="5">
        <v>9</v>
      </c>
      <c r="G1284" s="5" t="s">
        <v>66</v>
      </c>
      <c r="H1284" s="5">
        <v>4434248</v>
      </c>
      <c r="I1284" s="5">
        <v>3600369.04</v>
      </c>
      <c r="J1284" s="5">
        <v>51</v>
      </c>
      <c r="K1284" s="5">
        <v>224849</v>
      </c>
      <c r="L1284" s="5">
        <v>4644170</v>
      </c>
      <c r="M1284" s="5">
        <v>833878.96</v>
      </c>
      <c r="N1284" s="5">
        <v>0.18809999999999999</v>
      </c>
      <c r="O1284" s="5">
        <v>3</v>
      </c>
      <c r="P1284" s="5">
        <v>26354</v>
      </c>
    </row>
    <row r="1285" spans="1:16" x14ac:dyDescent="0.3">
      <c r="A1285" s="5">
        <v>23</v>
      </c>
      <c r="B1285" s="5" t="s">
        <v>115</v>
      </c>
      <c r="C1285" s="5">
        <v>9</v>
      </c>
      <c r="D1285" s="5" t="s">
        <v>92</v>
      </c>
      <c r="E1285" s="5">
        <v>2024</v>
      </c>
      <c r="F1285" s="5">
        <v>9</v>
      </c>
      <c r="G1285" s="5" t="s">
        <v>66</v>
      </c>
      <c r="H1285" s="5">
        <v>10471335</v>
      </c>
      <c r="I1285" s="5">
        <v>8728541.5999999996</v>
      </c>
      <c r="J1285" s="5">
        <v>142</v>
      </c>
      <c r="K1285" s="5">
        <v>659514</v>
      </c>
      <c r="L1285" s="5">
        <v>11100740</v>
      </c>
      <c r="M1285" s="5">
        <v>1742793.4</v>
      </c>
      <c r="N1285" s="5">
        <v>0.16639999999999999</v>
      </c>
      <c r="O1285" s="5">
        <v>10</v>
      </c>
      <c r="P1285" s="5">
        <v>314361</v>
      </c>
    </row>
    <row r="1286" spans="1:16" x14ac:dyDescent="0.3">
      <c r="A1286" s="5">
        <v>55</v>
      </c>
      <c r="B1286" s="5" t="s">
        <v>115</v>
      </c>
      <c r="C1286" s="5">
        <v>9</v>
      </c>
      <c r="D1286" s="5" t="s">
        <v>92</v>
      </c>
      <c r="E1286" s="5">
        <v>2024</v>
      </c>
      <c r="F1286" s="5">
        <v>9</v>
      </c>
      <c r="G1286" s="5" t="s">
        <v>66</v>
      </c>
      <c r="H1286" s="5">
        <v>5393160</v>
      </c>
      <c r="I1286" s="5">
        <v>4392138.79</v>
      </c>
      <c r="J1286" s="5">
        <v>61</v>
      </c>
      <c r="K1286" s="5">
        <v>348860</v>
      </c>
      <c r="L1286" s="5">
        <v>5728510</v>
      </c>
      <c r="M1286" s="5">
        <v>1001021.21</v>
      </c>
      <c r="N1286" s="5">
        <v>0.18559999999999999</v>
      </c>
      <c r="O1286" s="5">
        <v>2</v>
      </c>
      <c r="P1286" s="5">
        <v>31182</v>
      </c>
    </row>
    <row r="1287" spans="1:16" x14ac:dyDescent="0.3">
      <c r="A1287" s="5">
        <v>80</v>
      </c>
      <c r="B1287" s="5" t="s">
        <v>115</v>
      </c>
      <c r="C1287" s="5">
        <v>9</v>
      </c>
      <c r="D1287" s="5" t="s">
        <v>92</v>
      </c>
      <c r="E1287" s="5">
        <v>2024</v>
      </c>
      <c r="F1287" s="5">
        <v>9</v>
      </c>
      <c r="G1287" s="5" t="s">
        <v>66</v>
      </c>
      <c r="H1287" s="5">
        <v>1173696</v>
      </c>
      <c r="I1287" s="5">
        <v>993399.04</v>
      </c>
      <c r="J1287" s="5">
        <v>21</v>
      </c>
      <c r="K1287" s="5">
        <v>89149</v>
      </c>
      <c r="L1287" s="5">
        <v>1260370</v>
      </c>
      <c r="M1287" s="5">
        <v>180296.95999999999</v>
      </c>
      <c r="N1287" s="5">
        <v>0.15359999999999999</v>
      </c>
      <c r="O1287" s="5">
        <v>4</v>
      </c>
      <c r="P1287" s="5">
        <v>46164</v>
      </c>
    </row>
    <row r="1288" spans="1:16" x14ac:dyDescent="0.3">
      <c r="A1288" s="5">
        <v>14</v>
      </c>
      <c r="B1288" s="5" t="s">
        <v>115</v>
      </c>
      <c r="C1288" s="5">
        <v>9</v>
      </c>
      <c r="D1288" s="5" t="s">
        <v>92</v>
      </c>
      <c r="E1288" s="5">
        <v>2024</v>
      </c>
      <c r="F1288" s="5">
        <v>10</v>
      </c>
      <c r="G1288" s="5" t="s">
        <v>67</v>
      </c>
      <c r="H1288" s="5">
        <v>5759048</v>
      </c>
      <c r="I1288" s="5">
        <v>4640907.88</v>
      </c>
      <c r="J1288" s="5">
        <v>66</v>
      </c>
      <c r="K1288" s="5">
        <v>199288</v>
      </c>
      <c r="L1288" s="5">
        <v>5941180</v>
      </c>
      <c r="M1288" s="5">
        <v>1118140.1200000001</v>
      </c>
      <c r="N1288" s="5">
        <v>0.19420000000000001</v>
      </c>
      <c r="O1288" s="5">
        <v>7</v>
      </c>
      <c r="P1288" s="5">
        <v>211154</v>
      </c>
    </row>
    <row r="1289" spans="1:16" x14ac:dyDescent="0.3">
      <c r="A1289" s="5">
        <v>23</v>
      </c>
      <c r="B1289" s="5" t="s">
        <v>115</v>
      </c>
      <c r="C1289" s="5">
        <v>9</v>
      </c>
      <c r="D1289" s="5" t="s">
        <v>92</v>
      </c>
      <c r="E1289" s="5">
        <v>2024</v>
      </c>
      <c r="F1289" s="5">
        <v>10</v>
      </c>
      <c r="G1289" s="5" t="s">
        <v>67</v>
      </c>
      <c r="H1289" s="5">
        <v>14536256</v>
      </c>
      <c r="I1289" s="5">
        <v>11749471.23</v>
      </c>
      <c r="J1289" s="5">
        <v>186</v>
      </c>
      <c r="K1289" s="5">
        <v>552218</v>
      </c>
      <c r="L1289" s="5">
        <v>15051560</v>
      </c>
      <c r="M1289" s="5">
        <v>2786784.77</v>
      </c>
      <c r="N1289" s="5">
        <v>0.19170000000000001</v>
      </c>
      <c r="O1289" s="5">
        <v>16</v>
      </c>
      <c r="P1289" s="5">
        <v>455144</v>
      </c>
    </row>
    <row r="1290" spans="1:16" x14ac:dyDescent="0.3">
      <c r="A1290" s="5">
        <v>55</v>
      </c>
      <c r="B1290" s="5" t="s">
        <v>115</v>
      </c>
      <c r="C1290" s="5">
        <v>9</v>
      </c>
      <c r="D1290" s="5" t="s">
        <v>92</v>
      </c>
      <c r="E1290" s="5">
        <v>2024</v>
      </c>
      <c r="F1290" s="5">
        <v>10</v>
      </c>
      <c r="G1290" s="5" t="s">
        <v>67</v>
      </c>
      <c r="H1290" s="5">
        <v>4720731</v>
      </c>
      <c r="I1290" s="5">
        <v>3815936.07</v>
      </c>
      <c r="J1290" s="5">
        <v>72</v>
      </c>
      <c r="K1290" s="5">
        <v>175389</v>
      </c>
      <c r="L1290" s="5">
        <v>4887020</v>
      </c>
      <c r="M1290" s="5">
        <v>904794.93</v>
      </c>
      <c r="N1290" s="5">
        <v>0.19170000000000001</v>
      </c>
      <c r="O1290" s="5">
        <v>3</v>
      </c>
      <c r="P1290" s="5">
        <v>12306</v>
      </c>
    </row>
    <row r="1291" spans="1:16" x14ac:dyDescent="0.3">
      <c r="A1291" s="5">
        <v>80</v>
      </c>
      <c r="B1291" s="5" t="s">
        <v>115</v>
      </c>
      <c r="C1291" s="5">
        <v>9</v>
      </c>
      <c r="D1291" s="5" t="s">
        <v>92</v>
      </c>
      <c r="E1291" s="5">
        <v>2024</v>
      </c>
      <c r="F1291" s="5">
        <v>10</v>
      </c>
      <c r="G1291" s="5" t="s">
        <v>67</v>
      </c>
      <c r="H1291" s="5">
        <v>1621509</v>
      </c>
      <c r="I1291" s="5">
        <v>1310960.8700000001</v>
      </c>
      <c r="J1291" s="5">
        <v>28</v>
      </c>
      <c r="K1291" s="5">
        <v>62752</v>
      </c>
      <c r="L1291" s="5">
        <v>1679430</v>
      </c>
      <c r="M1291" s="5">
        <v>310548.13</v>
      </c>
      <c r="N1291" s="5">
        <v>0.1915</v>
      </c>
      <c r="O1291" s="5">
        <v>5</v>
      </c>
      <c r="P1291" s="5">
        <v>170742</v>
      </c>
    </row>
    <row r="1292" spans="1:16" x14ac:dyDescent="0.3">
      <c r="A1292" s="5">
        <v>14</v>
      </c>
      <c r="B1292" s="5" t="s">
        <v>115</v>
      </c>
      <c r="C1292" s="5">
        <v>9</v>
      </c>
      <c r="D1292" s="5" t="s">
        <v>92</v>
      </c>
      <c r="E1292" s="5">
        <v>2024</v>
      </c>
      <c r="F1292" s="5">
        <v>11</v>
      </c>
      <c r="G1292" s="5" t="s">
        <v>68</v>
      </c>
      <c r="H1292" s="5">
        <v>5449136</v>
      </c>
      <c r="I1292" s="5">
        <v>4497087.6500000004</v>
      </c>
      <c r="J1292" s="5">
        <v>71</v>
      </c>
      <c r="K1292" s="5">
        <v>314860</v>
      </c>
      <c r="L1292" s="5">
        <v>5741020</v>
      </c>
      <c r="M1292" s="5">
        <v>952048.35</v>
      </c>
      <c r="N1292" s="5">
        <v>0.17469999999999999</v>
      </c>
      <c r="O1292" s="5">
        <v>4</v>
      </c>
      <c r="P1292" s="5">
        <v>131389</v>
      </c>
    </row>
    <row r="1293" spans="1:16" x14ac:dyDescent="0.3">
      <c r="A1293" s="5">
        <v>23</v>
      </c>
      <c r="B1293" s="5" t="s">
        <v>115</v>
      </c>
      <c r="C1293" s="5">
        <v>9</v>
      </c>
      <c r="D1293" s="5" t="s">
        <v>92</v>
      </c>
      <c r="E1293" s="5">
        <v>2024</v>
      </c>
      <c r="F1293" s="5">
        <v>11</v>
      </c>
      <c r="G1293" s="5" t="s">
        <v>68</v>
      </c>
      <c r="H1293" s="5">
        <v>15524283</v>
      </c>
      <c r="I1293" s="5">
        <v>13042826.91</v>
      </c>
      <c r="J1293" s="5">
        <v>199</v>
      </c>
      <c r="K1293" s="5">
        <v>1156115</v>
      </c>
      <c r="L1293" s="5">
        <v>16618540</v>
      </c>
      <c r="M1293" s="5">
        <v>2481456.09</v>
      </c>
      <c r="N1293" s="5">
        <v>0.1598</v>
      </c>
      <c r="O1293" s="5">
        <v>20</v>
      </c>
      <c r="P1293" s="5">
        <v>673418</v>
      </c>
    </row>
    <row r="1294" spans="1:16" x14ac:dyDescent="0.3">
      <c r="A1294" s="5">
        <v>55</v>
      </c>
      <c r="B1294" s="5" t="s">
        <v>115</v>
      </c>
      <c r="C1294" s="5">
        <v>9</v>
      </c>
      <c r="D1294" s="5" t="s">
        <v>92</v>
      </c>
      <c r="E1294" s="5">
        <v>2024</v>
      </c>
      <c r="F1294" s="5">
        <v>11</v>
      </c>
      <c r="G1294" s="5" t="s">
        <v>68</v>
      </c>
      <c r="H1294" s="5">
        <v>4435847</v>
      </c>
      <c r="I1294" s="5">
        <v>3717948.53</v>
      </c>
      <c r="J1294" s="5">
        <v>76</v>
      </c>
      <c r="K1294" s="5">
        <v>362865</v>
      </c>
      <c r="L1294" s="5">
        <v>4787360</v>
      </c>
      <c r="M1294" s="5">
        <v>717898.47</v>
      </c>
      <c r="N1294" s="5">
        <v>0.1618</v>
      </c>
      <c r="O1294" s="5">
        <v>7</v>
      </c>
      <c r="P1294" s="5">
        <v>154138</v>
      </c>
    </row>
    <row r="1295" spans="1:16" x14ac:dyDescent="0.3">
      <c r="A1295" s="5">
        <v>80</v>
      </c>
      <c r="B1295" s="5" t="s">
        <v>115</v>
      </c>
      <c r="C1295" s="5">
        <v>9</v>
      </c>
      <c r="D1295" s="5" t="s">
        <v>92</v>
      </c>
      <c r="E1295" s="5">
        <v>2024</v>
      </c>
      <c r="F1295" s="5">
        <v>11</v>
      </c>
      <c r="G1295" s="5" t="s">
        <v>68</v>
      </c>
      <c r="H1295" s="5">
        <v>2408137</v>
      </c>
      <c r="I1295" s="5">
        <v>2173997.9500000002</v>
      </c>
      <c r="J1295" s="5">
        <v>25</v>
      </c>
      <c r="K1295" s="5">
        <v>349756</v>
      </c>
      <c r="L1295" s="5">
        <v>2755340</v>
      </c>
      <c r="M1295" s="5">
        <v>234139.05</v>
      </c>
      <c r="N1295" s="5">
        <v>9.7199999999999995E-2</v>
      </c>
      <c r="O1295" s="5">
        <v>2</v>
      </c>
      <c r="P1295" s="5">
        <v>55203</v>
      </c>
    </row>
    <row r="1296" spans="1:16" x14ac:dyDescent="0.3">
      <c r="A1296" s="5">
        <v>14</v>
      </c>
      <c r="B1296" s="5" t="s">
        <v>115</v>
      </c>
      <c r="C1296" s="5">
        <v>9</v>
      </c>
      <c r="D1296" s="5" t="s">
        <v>92</v>
      </c>
      <c r="E1296" s="5">
        <v>2024</v>
      </c>
      <c r="F1296" s="5">
        <v>12</v>
      </c>
      <c r="G1296" s="5" t="s">
        <v>69</v>
      </c>
      <c r="H1296" s="5">
        <v>6408104</v>
      </c>
      <c r="I1296" s="5">
        <v>5173554.0999999996</v>
      </c>
      <c r="J1296" s="5">
        <v>71</v>
      </c>
      <c r="K1296" s="5">
        <v>246397</v>
      </c>
      <c r="L1296" s="5">
        <v>6637700</v>
      </c>
      <c r="M1296" s="5">
        <v>1234549.8999999999</v>
      </c>
      <c r="N1296" s="5">
        <v>0.19270000000000001</v>
      </c>
      <c r="O1296" s="5">
        <v>0</v>
      </c>
      <c r="P1296" s="5">
        <v>0</v>
      </c>
    </row>
    <row r="1297" spans="1:16" x14ac:dyDescent="0.3">
      <c r="A1297" s="5">
        <v>23</v>
      </c>
      <c r="B1297" s="5" t="s">
        <v>115</v>
      </c>
      <c r="C1297" s="5">
        <v>9</v>
      </c>
      <c r="D1297" s="5" t="s">
        <v>92</v>
      </c>
      <c r="E1297" s="5">
        <v>2024</v>
      </c>
      <c r="F1297" s="5">
        <v>12</v>
      </c>
      <c r="G1297" s="5" t="s">
        <v>69</v>
      </c>
      <c r="H1297" s="5">
        <v>14100360</v>
      </c>
      <c r="I1297" s="5">
        <v>11351346.68</v>
      </c>
      <c r="J1297" s="5">
        <v>189</v>
      </c>
      <c r="K1297" s="5">
        <v>569872</v>
      </c>
      <c r="L1297" s="5">
        <v>14644360</v>
      </c>
      <c r="M1297" s="5">
        <v>2749013.32</v>
      </c>
      <c r="N1297" s="5">
        <v>0.19500000000000001</v>
      </c>
      <c r="O1297" s="5">
        <v>11</v>
      </c>
      <c r="P1297" s="5">
        <v>226724</v>
      </c>
    </row>
    <row r="1298" spans="1:16" x14ac:dyDescent="0.3">
      <c r="A1298" s="5">
        <v>55</v>
      </c>
      <c r="B1298" s="5" t="s">
        <v>115</v>
      </c>
      <c r="C1298" s="5">
        <v>9</v>
      </c>
      <c r="D1298" s="5" t="s">
        <v>92</v>
      </c>
      <c r="E1298" s="5">
        <v>2024</v>
      </c>
      <c r="F1298" s="5">
        <v>12</v>
      </c>
      <c r="G1298" s="5" t="s">
        <v>69</v>
      </c>
      <c r="H1298" s="5">
        <v>5627261</v>
      </c>
      <c r="I1298" s="5">
        <v>4444811.47</v>
      </c>
      <c r="J1298" s="5">
        <v>75</v>
      </c>
      <c r="K1298" s="5">
        <v>176267</v>
      </c>
      <c r="L1298" s="5">
        <v>5783590</v>
      </c>
      <c r="M1298" s="5">
        <v>1182449.53</v>
      </c>
      <c r="N1298" s="5">
        <v>0.21010000000000001</v>
      </c>
      <c r="O1298" s="5">
        <v>3</v>
      </c>
      <c r="P1298" s="5">
        <v>91439</v>
      </c>
    </row>
    <row r="1299" spans="1:16" x14ac:dyDescent="0.3">
      <c r="A1299" s="5">
        <v>80</v>
      </c>
      <c r="B1299" s="5" t="s">
        <v>115</v>
      </c>
      <c r="C1299" s="5">
        <v>9</v>
      </c>
      <c r="D1299" s="5" t="s">
        <v>92</v>
      </c>
      <c r="E1299" s="5">
        <v>2024</v>
      </c>
      <c r="F1299" s="5">
        <v>12</v>
      </c>
      <c r="G1299" s="5" t="s">
        <v>69</v>
      </c>
      <c r="H1299" s="5">
        <v>1929797</v>
      </c>
      <c r="I1299" s="5">
        <v>1546917.22</v>
      </c>
      <c r="J1299" s="5">
        <v>29</v>
      </c>
      <c r="K1299" s="5">
        <v>53942</v>
      </c>
      <c r="L1299" s="5">
        <v>1976700</v>
      </c>
      <c r="M1299" s="5">
        <v>382879.78</v>
      </c>
      <c r="N1299" s="5">
        <v>0.19839999999999999</v>
      </c>
      <c r="O1299" s="5">
        <v>2</v>
      </c>
      <c r="P1299" s="5">
        <v>7121</v>
      </c>
    </row>
    <row r="1300" spans="1:16" x14ac:dyDescent="0.3">
      <c r="A1300" s="5">
        <v>99</v>
      </c>
      <c r="B1300" s="5" t="s">
        <v>116</v>
      </c>
      <c r="C1300" s="5">
        <v>1</v>
      </c>
      <c r="D1300" s="5" t="s">
        <v>76</v>
      </c>
      <c r="E1300" s="5">
        <v>2021</v>
      </c>
      <c r="F1300" s="5">
        <v>1</v>
      </c>
      <c r="G1300" s="5" t="s">
        <v>22</v>
      </c>
      <c r="H1300" s="5">
        <v>870310</v>
      </c>
      <c r="I1300" s="5">
        <v>846766.54</v>
      </c>
      <c r="J1300" s="5">
        <v>24</v>
      </c>
      <c r="K1300" s="5">
        <v>227012</v>
      </c>
      <c r="L1300" s="5">
        <v>1095290</v>
      </c>
      <c r="M1300" s="5">
        <v>23543.46</v>
      </c>
      <c r="N1300" s="5">
        <v>2.7099999999999999E-2</v>
      </c>
      <c r="O1300" s="5">
        <v>3</v>
      </c>
      <c r="P1300" s="5">
        <v>3855</v>
      </c>
    </row>
    <row r="1301" spans="1:16" x14ac:dyDescent="0.3">
      <c r="A1301" s="5">
        <v>99</v>
      </c>
      <c r="B1301" s="5" t="s">
        <v>116</v>
      </c>
      <c r="C1301" s="5">
        <v>1</v>
      </c>
      <c r="D1301" s="5" t="s">
        <v>76</v>
      </c>
      <c r="E1301" s="5">
        <v>2021</v>
      </c>
      <c r="F1301" s="5">
        <v>2</v>
      </c>
      <c r="G1301" s="5" t="s">
        <v>23</v>
      </c>
      <c r="H1301" s="5">
        <v>842429</v>
      </c>
      <c r="I1301" s="5">
        <v>741773.64</v>
      </c>
      <c r="J1301" s="5">
        <v>16</v>
      </c>
      <c r="K1301" s="5">
        <v>133900</v>
      </c>
      <c r="L1301" s="5">
        <v>975500</v>
      </c>
      <c r="M1301" s="5">
        <v>100655.36</v>
      </c>
      <c r="N1301" s="5">
        <v>0.1195</v>
      </c>
      <c r="O1301" s="5">
        <v>2</v>
      </c>
      <c r="P1301" s="5">
        <v>27504</v>
      </c>
    </row>
    <row r="1302" spans="1:16" x14ac:dyDescent="0.3">
      <c r="A1302" s="5">
        <v>99</v>
      </c>
      <c r="B1302" s="5" t="s">
        <v>116</v>
      </c>
      <c r="C1302" s="5">
        <v>1</v>
      </c>
      <c r="D1302" s="5" t="s">
        <v>76</v>
      </c>
      <c r="E1302" s="5">
        <v>2021</v>
      </c>
      <c r="F1302" s="5">
        <v>3</v>
      </c>
      <c r="G1302" s="5" t="s">
        <v>24</v>
      </c>
      <c r="H1302" s="5">
        <v>1409219</v>
      </c>
      <c r="I1302" s="5">
        <v>1173265.9099999999</v>
      </c>
      <c r="J1302" s="5">
        <v>23</v>
      </c>
      <c r="K1302" s="5">
        <v>118540</v>
      </c>
      <c r="L1302" s="5">
        <v>1524090</v>
      </c>
      <c r="M1302" s="5">
        <v>235953.09</v>
      </c>
      <c r="N1302" s="5">
        <v>0.16739999999999999</v>
      </c>
      <c r="O1302" s="5">
        <v>1</v>
      </c>
      <c r="P1302" s="5">
        <v>2706</v>
      </c>
    </row>
    <row r="1303" spans="1:16" x14ac:dyDescent="0.3">
      <c r="A1303" s="5">
        <v>99</v>
      </c>
      <c r="B1303" s="5" t="s">
        <v>116</v>
      </c>
      <c r="C1303" s="5">
        <v>1</v>
      </c>
      <c r="D1303" s="5" t="s">
        <v>76</v>
      </c>
      <c r="E1303" s="5">
        <v>2021</v>
      </c>
      <c r="F1303" s="5">
        <v>4</v>
      </c>
      <c r="G1303" s="5" t="s">
        <v>25</v>
      </c>
      <c r="H1303" s="5">
        <v>1176707</v>
      </c>
      <c r="I1303" s="5">
        <v>1065776.44</v>
      </c>
      <c r="J1303" s="5">
        <v>24</v>
      </c>
      <c r="K1303" s="5">
        <v>195234</v>
      </c>
      <c r="L1303" s="5">
        <v>1366920</v>
      </c>
      <c r="M1303" s="5">
        <v>110930.56</v>
      </c>
      <c r="N1303" s="5">
        <v>9.4299999999999995E-2</v>
      </c>
      <c r="O1303" s="5">
        <v>2</v>
      </c>
      <c r="P1303" s="5">
        <v>97282</v>
      </c>
    </row>
    <row r="1304" spans="1:16" x14ac:dyDescent="0.3">
      <c r="A1304" s="5">
        <v>99</v>
      </c>
      <c r="B1304" s="5" t="s">
        <v>116</v>
      </c>
      <c r="C1304" s="5">
        <v>1</v>
      </c>
      <c r="D1304" s="5" t="s">
        <v>76</v>
      </c>
      <c r="E1304" s="5">
        <v>2021</v>
      </c>
      <c r="F1304" s="5">
        <v>5</v>
      </c>
      <c r="G1304" s="5" t="s">
        <v>26</v>
      </c>
      <c r="H1304" s="5">
        <v>2223064</v>
      </c>
      <c r="I1304" s="5">
        <v>1819542.99</v>
      </c>
      <c r="J1304" s="5">
        <v>26</v>
      </c>
      <c r="K1304" s="5">
        <v>125182</v>
      </c>
      <c r="L1304" s="5">
        <v>2344660</v>
      </c>
      <c r="M1304" s="5">
        <v>403521.01</v>
      </c>
      <c r="N1304" s="5">
        <v>0.18149999999999999</v>
      </c>
      <c r="O1304" s="5">
        <v>4</v>
      </c>
      <c r="P1304" s="5">
        <v>41158</v>
      </c>
    </row>
    <row r="1305" spans="1:16" x14ac:dyDescent="0.3">
      <c r="A1305" s="5">
        <v>99</v>
      </c>
      <c r="B1305" s="5" t="s">
        <v>116</v>
      </c>
      <c r="C1305" s="5">
        <v>1</v>
      </c>
      <c r="D1305" s="5" t="s">
        <v>76</v>
      </c>
      <c r="E1305" s="5">
        <v>2021</v>
      </c>
      <c r="F1305" s="5">
        <v>6</v>
      </c>
      <c r="G1305" s="5" t="s">
        <v>27</v>
      </c>
      <c r="H1305" s="5">
        <v>1646342</v>
      </c>
      <c r="I1305" s="5">
        <v>1387698.02</v>
      </c>
      <c r="J1305" s="5">
        <v>28</v>
      </c>
      <c r="K1305" s="5">
        <v>181273</v>
      </c>
      <c r="L1305" s="5">
        <v>1818340</v>
      </c>
      <c r="M1305" s="5">
        <v>258643.98</v>
      </c>
      <c r="N1305" s="5">
        <v>0.15709999999999999</v>
      </c>
      <c r="O1305" s="5">
        <v>3</v>
      </c>
      <c r="P1305" s="5">
        <v>66064</v>
      </c>
    </row>
    <row r="1306" spans="1:16" x14ac:dyDescent="0.3">
      <c r="A1306" s="5">
        <v>99</v>
      </c>
      <c r="B1306" s="5" t="s">
        <v>116</v>
      </c>
      <c r="C1306" s="5">
        <v>1</v>
      </c>
      <c r="D1306" s="5" t="s">
        <v>76</v>
      </c>
      <c r="E1306" s="5">
        <v>2021</v>
      </c>
      <c r="F1306" s="5">
        <v>7</v>
      </c>
      <c r="G1306" s="5" t="s">
        <v>28</v>
      </c>
      <c r="H1306" s="5">
        <v>1689639</v>
      </c>
      <c r="I1306" s="5">
        <v>1407771.01</v>
      </c>
      <c r="J1306" s="5">
        <v>29</v>
      </c>
      <c r="K1306" s="5">
        <v>176418</v>
      </c>
      <c r="L1306" s="5">
        <v>1862020</v>
      </c>
      <c r="M1306" s="5">
        <v>281867.99</v>
      </c>
      <c r="N1306" s="5">
        <v>0.1668</v>
      </c>
      <c r="O1306" s="5">
        <v>3</v>
      </c>
      <c r="P1306" s="5">
        <v>41016</v>
      </c>
    </row>
    <row r="1307" spans="1:16" x14ac:dyDescent="0.3">
      <c r="A1307" s="5">
        <v>99</v>
      </c>
      <c r="B1307" s="5" t="s">
        <v>116</v>
      </c>
      <c r="C1307" s="5">
        <v>1</v>
      </c>
      <c r="D1307" s="5" t="s">
        <v>76</v>
      </c>
      <c r="E1307" s="5">
        <v>2021</v>
      </c>
      <c r="F1307" s="5">
        <v>8</v>
      </c>
      <c r="G1307" s="5" t="s">
        <v>29</v>
      </c>
      <c r="H1307" s="5">
        <v>1492580</v>
      </c>
      <c r="I1307" s="5">
        <v>1257361.3400000001</v>
      </c>
      <c r="J1307" s="5">
        <v>28</v>
      </c>
      <c r="K1307" s="5">
        <v>138802</v>
      </c>
      <c r="L1307" s="5">
        <v>1628200</v>
      </c>
      <c r="M1307" s="5">
        <v>235218.66</v>
      </c>
      <c r="N1307" s="5">
        <v>0.15759999999999999</v>
      </c>
      <c r="O1307" s="5">
        <v>2</v>
      </c>
      <c r="P1307" s="5">
        <v>36143</v>
      </c>
    </row>
    <row r="1308" spans="1:16" x14ac:dyDescent="0.3">
      <c r="A1308" s="5">
        <v>99</v>
      </c>
      <c r="B1308" s="5" t="s">
        <v>116</v>
      </c>
      <c r="C1308" s="5">
        <v>1</v>
      </c>
      <c r="D1308" s="5" t="s">
        <v>76</v>
      </c>
      <c r="E1308" s="5">
        <v>2021</v>
      </c>
      <c r="F1308" s="5">
        <v>9</v>
      </c>
      <c r="G1308" s="5" t="s">
        <v>30</v>
      </c>
      <c r="H1308" s="5">
        <v>2011840</v>
      </c>
      <c r="I1308" s="5">
        <v>1713116.35</v>
      </c>
      <c r="J1308" s="5">
        <v>30</v>
      </c>
      <c r="K1308" s="5">
        <v>193580</v>
      </c>
      <c r="L1308" s="5">
        <v>2198570</v>
      </c>
      <c r="M1308" s="5">
        <v>298723.65000000002</v>
      </c>
      <c r="N1308" s="5">
        <v>0.14849999999999999</v>
      </c>
      <c r="O1308" s="5">
        <v>1</v>
      </c>
      <c r="P1308" s="5">
        <v>108641</v>
      </c>
    </row>
    <row r="1309" spans="1:16" x14ac:dyDescent="0.3">
      <c r="A1309" s="5">
        <v>99</v>
      </c>
      <c r="B1309" s="5" t="s">
        <v>116</v>
      </c>
      <c r="C1309" s="5">
        <v>1</v>
      </c>
      <c r="D1309" s="5" t="s">
        <v>76</v>
      </c>
      <c r="E1309" s="5">
        <v>2021</v>
      </c>
      <c r="F1309" s="5">
        <v>10</v>
      </c>
      <c r="G1309" s="5" t="s">
        <v>31</v>
      </c>
      <c r="H1309" s="5">
        <v>2543394</v>
      </c>
      <c r="I1309" s="5">
        <v>2173376.12</v>
      </c>
      <c r="J1309" s="5">
        <v>37</v>
      </c>
      <c r="K1309" s="5">
        <v>242987</v>
      </c>
      <c r="L1309" s="5">
        <v>2779880</v>
      </c>
      <c r="M1309" s="5">
        <v>370017.88</v>
      </c>
      <c r="N1309" s="5">
        <v>0.14549999999999999</v>
      </c>
      <c r="O1309" s="5">
        <v>3</v>
      </c>
      <c r="P1309" s="5">
        <v>310566</v>
      </c>
    </row>
    <row r="1310" spans="1:16" x14ac:dyDescent="0.3">
      <c r="A1310" s="5">
        <v>99</v>
      </c>
      <c r="B1310" s="5" t="s">
        <v>116</v>
      </c>
      <c r="C1310" s="5">
        <v>1</v>
      </c>
      <c r="D1310" s="5" t="s">
        <v>76</v>
      </c>
      <c r="E1310" s="5">
        <v>2021</v>
      </c>
      <c r="F1310" s="5">
        <v>11</v>
      </c>
      <c r="G1310" s="5" t="s">
        <v>32</v>
      </c>
      <c r="H1310" s="5">
        <v>2975073</v>
      </c>
      <c r="I1310" s="5">
        <v>2466287.2400000002</v>
      </c>
      <c r="J1310" s="5">
        <v>43</v>
      </c>
      <c r="K1310" s="5">
        <v>239998</v>
      </c>
      <c r="L1310" s="5">
        <v>3203820</v>
      </c>
      <c r="M1310" s="5">
        <v>508785.76</v>
      </c>
      <c r="N1310" s="5">
        <v>0.17100000000000001</v>
      </c>
      <c r="O1310" s="5">
        <v>1</v>
      </c>
      <c r="P1310" s="5">
        <v>9348</v>
      </c>
    </row>
    <row r="1311" spans="1:16" x14ac:dyDescent="0.3">
      <c r="A1311" s="5">
        <v>99</v>
      </c>
      <c r="B1311" s="5" t="s">
        <v>116</v>
      </c>
      <c r="C1311" s="5">
        <v>1</v>
      </c>
      <c r="D1311" s="5" t="s">
        <v>76</v>
      </c>
      <c r="E1311" s="5">
        <v>2021</v>
      </c>
      <c r="F1311" s="5">
        <v>12</v>
      </c>
      <c r="G1311" s="5" t="s">
        <v>33</v>
      </c>
      <c r="H1311" s="5">
        <v>3169952</v>
      </c>
      <c r="I1311" s="5">
        <v>2702713.82</v>
      </c>
      <c r="J1311" s="5">
        <v>40</v>
      </c>
      <c r="K1311" s="5">
        <v>384126</v>
      </c>
      <c r="L1311" s="5">
        <v>3544950</v>
      </c>
      <c r="M1311" s="5">
        <v>467238.18</v>
      </c>
      <c r="N1311" s="5">
        <v>0.1474</v>
      </c>
      <c r="O1311" s="5">
        <v>7</v>
      </c>
      <c r="P1311" s="5">
        <v>342424</v>
      </c>
    </row>
    <row r="1312" spans="1:16" x14ac:dyDescent="0.3">
      <c r="A1312" s="5">
        <v>99</v>
      </c>
      <c r="B1312" s="5" t="s">
        <v>116</v>
      </c>
      <c r="C1312" s="5">
        <v>1</v>
      </c>
      <c r="D1312" s="5" t="s">
        <v>76</v>
      </c>
      <c r="E1312" s="5">
        <v>2022</v>
      </c>
      <c r="F1312" s="5">
        <v>1</v>
      </c>
      <c r="G1312" s="5" t="s">
        <v>34</v>
      </c>
      <c r="H1312" s="5">
        <v>2915990</v>
      </c>
      <c r="I1312" s="5">
        <v>2453950.0499999998</v>
      </c>
      <c r="J1312" s="5">
        <v>29</v>
      </c>
      <c r="K1312" s="5">
        <v>184600</v>
      </c>
      <c r="L1312" s="5">
        <v>3087280</v>
      </c>
      <c r="M1312" s="5">
        <v>462039.95</v>
      </c>
      <c r="N1312" s="5">
        <v>0.1585</v>
      </c>
      <c r="O1312" s="5">
        <v>0</v>
      </c>
      <c r="P1312" s="5">
        <v>0</v>
      </c>
    </row>
    <row r="1313" spans="1:16" x14ac:dyDescent="0.3">
      <c r="A1313" s="5">
        <v>99</v>
      </c>
      <c r="B1313" s="5" t="s">
        <v>116</v>
      </c>
      <c r="C1313" s="5">
        <v>1</v>
      </c>
      <c r="D1313" s="5" t="s">
        <v>76</v>
      </c>
      <c r="E1313" s="5">
        <v>2022</v>
      </c>
      <c r="F1313" s="5">
        <v>2</v>
      </c>
      <c r="G1313" s="5" t="s">
        <v>35</v>
      </c>
      <c r="H1313" s="5">
        <v>2244908</v>
      </c>
      <c r="I1313" s="5">
        <v>1881600.1</v>
      </c>
      <c r="J1313" s="5">
        <v>34</v>
      </c>
      <c r="K1313" s="5">
        <v>170228</v>
      </c>
      <c r="L1313" s="5">
        <v>2410850</v>
      </c>
      <c r="M1313" s="5">
        <v>363307.9</v>
      </c>
      <c r="N1313" s="5">
        <v>0.1618</v>
      </c>
      <c r="O1313" s="5">
        <v>2</v>
      </c>
      <c r="P1313" s="5">
        <v>112736</v>
      </c>
    </row>
    <row r="1314" spans="1:16" x14ac:dyDescent="0.3">
      <c r="A1314" s="5">
        <v>99</v>
      </c>
      <c r="B1314" s="5" t="s">
        <v>116</v>
      </c>
      <c r="C1314" s="5">
        <v>1</v>
      </c>
      <c r="D1314" s="5" t="s">
        <v>76</v>
      </c>
      <c r="E1314" s="5">
        <v>2022</v>
      </c>
      <c r="F1314" s="5">
        <v>3</v>
      </c>
      <c r="G1314" s="5" t="s">
        <v>36</v>
      </c>
      <c r="H1314" s="5">
        <v>2136387</v>
      </c>
      <c r="I1314" s="5">
        <v>1834211.55</v>
      </c>
      <c r="J1314" s="5">
        <v>28</v>
      </c>
      <c r="K1314" s="5">
        <v>189919</v>
      </c>
      <c r="L1314" s="5">
        <v>2313870</v>
      </c>
      <c r="M1314" s="5">
        <v>302175.45</v>
      </c>
      <c r="N1314" s="5">
        <v>0.1414</v>
      </c>
      <c r="O1314" s="5">
        <v>3</v>
      </c>
      <c r="P1314" s="5">
        <v>4454</v>
      </c>
    </row>
    <row r="1315" spans="1:16" x14ac:dyDescent="0.3">
      <c r="A1315" s="5">
        <v>99</v>
      </c>
      <c r="B1315" s="5" t="s">
        <v>116</v>
      </c>
      <c r="C1315" s="5">
        <v>1</v>
      </c>
      <c r="D1315" s="5" t="s">
        <v>76</v>
      </c>
      <c r="E1315" s="5">
        <v>2022</v>
      </c>
      <c r="F1315" s="5">
        <v>4</v>
      </c>
      <c r="G1315" s="5" t="s">
        <v>37</v>
      </c>
      <c r="H1315" s="5">
        <v>2324599</v>
      </c>
      <c r="I1315" s="5">
        <v>1950579.34</v>
      </c>
      <c r="J1315" s="5">
        <v>53</v>
      </c>
      <c r="K1315" s="5">
        <v>252801</v>
      </c>
      <c r="L1315" s="5">
        <v>2572450</v>
      </c>
      <c r="M1315" s="5">
        <v>374019.66</v>
      </c>
      <c r="N1315" s="5">
        <v>0.16089999999999999</v>
      </c>
      <c r="O1315" s="5">
        <v>5</v>
      </c>
      <c r="P1315" s="5">
        <v>28355</v>
      </c>
    </row>
    <row r="1316" spans="1:16" x14ac:dyDescent="0.3">
      <c r="A1316" s="5">
        <v>99</v>
      </c>
      <c r="B1316" s="5" t="s">
        <v>116</v>
      </c>
      <c r="C1316" s="5">
        <v>1</v>
      </c>
      <c r="D1316" s="5" t="s">
        <v>76</v>
      </c>
      <c r="E1316" s="5">
        <v>2022</v>
      </c>
      <c r="F1316" s="5">
        <v>5</v>
      </c>
      <c r="G1316" s="5" t="s">
        <v>38</v>
      </c>
      <c r="H1316" s="5">
        <v>2579688</v>
      </c>
      <c r="I1316" s="5">
        <v>2367680.36</v>
      </c>
      <c r="J1316" s="5">
        <v>37</v>
      </c>
      <c r="K1316" s="5">
        <v>367430</v>
      </c>
      <c r="L1316" s="5">
        <v>2935350</v>
      </c>
      <c r="M1316" s="5">
        <v>212007.64</v>
      </c>
      <c r="N1316" s="5">
        <v>8.2199999999999995E-2</v>
      </c>
      <c r="O1316" s="5">
        <v>4</v>
      </c>
      <c r="P1316" s="5">
        <v>180319</v>
      </c>
    </row>
    <row r="1317" spans="1:16" x14ac:dyDescent="0.3">
      <c r="A1317" s="5">
        <v>99</v>
      </c>
      <c r="B1317" s="5" t="s">
        <v>116</v>
      </c>
      <c r="C1317" s="5">
        <v>1</v>
      </c>
      <c r="D1317" s="5" t="s">
        <v>76</v>
      </c>
      <c r="E1317" s="5">
        <v>2022</v>
      </c>
      <c r="F1317" s="5">
        <v>6</v>
      </c>
      <c r="G1317" s="5" t="s">
        <v>39</v>
      </c>
      <c r="H1317" s="5">
        <v>1968009</v>
      </c>
      <c r="I1317" s="5">
        <v>1631887.62</v>
      </c>
      <c r="J1317" s="5">
        <v>26</v>
      </c>
      <c r="K1317" s="5">
        <v>134799</v>
      </c>
      <c r="L1317" s="5">
        <v>2090790</v>
      </c>
      <c r="M1317" s="5">
        <v>336121.38</v>
      </c>
      <c r="N1317" s="5">
        <v>0.17080000000000001</v>
      </c>
      <c r="O1317" s="5">
        <v>4</v>
      </c>
      <c r="P1317" s="5">
        <v>51858</v>
      </c>
    </row>
    <row r="1318" spans="1:16" x14ac:dyDescent="0.3">
      <c r="A1318" s="5">
        <v>99</v>
      </c>
      <c r="B1318" s="5" t="s">
        <v>116</v>
      </c>
      <c r="C1318" s="5">
        <v>1</v>
      </c>
      <c r="D1318" s="5" t="s">
        <v>76</v>
      </c>
      <c r="E1318" s="5">
        <v>2022</v>
      </c>
      <c r="F1318" s="5">
        <v>7</v>
      </c>
      <c r="G1318" s="5" t="s">
        <v>40</v>
      </c>
      <c r="H1318" s="5">
        <v>2140152</v>
      </c>
      <c r="I1318" s="5">
        <v>2046787.17</v>
      </c>
      <c r="J1318" s="5">
        <v>30</v>
      </c>
      <c r="K1318" s="5">
        <v>473670</v>
      </c>
      <c r="L1318" s="5">
        <v>2608360</v>
      </c>
      <c r="M1318" s="5">
        <v>93364.83</v>
      </c>
      <c r="N1318" s="5">
        <v>4.36E-2</v>
      </c>
      <c r="O1318" s="5">
        <v>2</v>
      </c>
      <c r="P1318" s="5">
        <v>99232</v>
      </c>
    </row>
    <row r="1319" spans="1:16" x14ac:dyDescent="0.3">
      <c r="A1319" s="5">
        <v>99</v>
      </c>
      <c r="B1319" s="5" t="s">
        <v>116</v>
      </c>
      <c r="C1319" s="5">
        <v>1</v>
      </c>
      <c r="D1319" s="5" t="s">
        <v>76</v>
      </c>
      <c r="E1319" s="5">
        <v>2022</v>
      </c>
      <c r="F1319" s="5">
        <v>8</v>
      </c>
      <c r="G1319" s="5" t="s">
        <v>41</v>
      </c>
      <c r="H1319" s="5">
        <v>3036599</v>
      </c>
      <c r="I1319" s="5">
        <v>2848798.22</v>
      </c>
      <c r="J1319" s="5">
        <v>44</v>
      </c>
      <c r="K1319" s="5">
        <v>685331</v>
      </c>
      <c r="L1319" s="5">
        <v>3701190</v>
      </c>
      <c r="M1319" s="5">
        <v>187800.78</v>
      </c>
      <c r="N1319" s="5">
        <v>6.1800000000000001E-2</v>
      </c>
      <c r="O1319" s="5">
        <v>2</v>
      </c>
      <c r="P1319" s="5">
        <v>96840</v>
      </c>
    </row>
    <row r="1320" spans="1:16" x14ac:dyDescent="0.3">
      <c r="A1320" s="5">
        <v>99</v>
      </c>
      <c r="B1320" s="5" t="s">
        <v>116</v>
      </c>
      <c r="C1320" s="5">
        <v>1</v>
      </c>
      <c r="D1320" s="5" t="s">
        <v>76</v>
      </c>
      <c r="E1320" s="5">
        <v>2022</v>
      </c>
      <c r="F1320" s="5">
        <v>9</v>
      </c>
      <c r="G1320" s="5" t="s">
        <v>42</v>
      </c>
      <c r="H1320" s="5">
        <v>3201889</v>
      </c>
      <c r="I1320" s="5">
        <v>2707995.99</v>
      </c>
      <c r="J1320" s="5">
        <v>47</v>
      </c>
      <c r="K1320" s="5">
        <v>344572</v>
      </c>
      <c r="L1320" s="5">
        <v>3537500</v>
      </c>
      <c r="M1320" s="5">
        <v>493893.01</v>
      </c>
      <c r="N1320" s="5">
        <v>0.15429999999999999</v>
      </c>
      <c r="O1320" s="5">
        <v>2</v>
      </c>
      <c r="P1320" s="5">
        <v>82707</v>
      </c>
    </row>
    <row r="1321" spans="1:16" x14ac:dyDescent="0.3">
      <c r="A1321" s="5">
        <v>99</v>
      </c>
      <c r="B1321" s="5" t="s">
        <v>116</v>
      </c>
      <c r="C1321" s="5">
        <v>1</v>
      </c>
      <c r="D1321" s="5" t="s">
        <v>76</v>
      </c>
      <c r="E1321" s="5">
        <v>2022</v>
      </c>
      <c r="F1321" s="5">
        <v>10</v>
      </c>
      <c r="G1321" s="5" t="s">
        <v>43</v>
      </c>
      <c r="H1321" s="5">
        <v>3945861</v>
      </c>
      <c r="I1321" s="5">
        <v>3435088.5</v>
      </c>
      <c r="J1321" s="5">
        <v>61</v>
      </c>
      <c r="K1321" s="5">
        <v>535087</v>
      </c>
      <c r="L1321" s="5">
        <v>4465460</v>
      </c>
      <c r="M1321" s="5">
        <v>510772.5</v>
      </c>
      <c r="N1321" s="5">
        <v>0.12939999999999999</v>
      </c>
      <c r="O1321" s="5">
        <v>7</v>
      </c>
      <c r="P1321" s="5">
        <v>188660</v>
      </c>
    </row>
    <row r="1322" spans="1:16" x14ac:dyDescent="0.3">
      <c r="A1322" s="5">
        <v>99</v>
      </c>
      <c r="B1322" s="5" t="s">
        <v>116</v>
      </c>
      <c r="C1322" s="5">
        <v>1</v>
      </c>
      <c r="D1322" s="5" t="s">
        <v>76</v>
      </c>
      <c r="E1322" s="5">
        <v>2022</v>
      </c>
      <c r="F1322" s="5">
        <v>11</v>
      </c>
      <c r="G1322" s="5" t="s">
        <v>44</v>
      </c>
      <c r="H1322" s="5">
        <v>3179553</v>
      </c>
      <c r="I1322" s="5">
        <v>2698671.1</v>
      </c>
      <c r="J1322" s="5">
        <v>46</v>
      </c>
      <c r="K1322" s="5">
        <v>279926</v>
      </c>
      <c r="L1322" s="5">
        <v>3454450</v>
      </c>
      <c r="M1322" s="5">
        <v>480881.9</v>
      </c>
      <c r="N1322" s="5">
        <v>0.1512</v>
      </c>
      <c r="O1322" s="5">
        <v>0</v>
      </c>
      <c r="P1322" s="5">
        <v>0</v>
      </c>
    </row>
    <row r="1323" spans="1:16" x14ac:dyDescent="0.3">
      <c r="A1323" s="5">
        <v>99</v>
      </c>
      <c r="B1323" s="5" t="s">
        <v>116</v>
      </c>
      <c r="C1323" s="5">
        <v>1</v>
      </c>
      <c r="D1323" s="5" t="s">
        <v>76</v>
      </c>
      <c r="E1323" s="5">
        <v>2022</v>
      </c>
      <c r="F1323" s="5">
        <v>12</v>
      </c>
      <c r="G1323" s="5" t="s">
        <v>45</v>
      </c>
      <c r="H1323" s="5">
        <v>2416513</v>
      </c>
      <c r="I1323" s="5">
        <v>2011333.86</v>
      </c>
      <c r="J1323" s="5">
        <v>49</v>
      </c>
      <c r="K1323" s="5">
        <v>186444</v>
      </c>
      <c r="L1323" s="5">
        <v>2594290</v>
      </c>
      <c r="M1323" s="5">
        <v>405179.14</v>
      </c>
      <c r="N1323" s="5">
        <v>0.16769999999999999</v>
      </c>
      <c r="O1323" s="5">
        <v>6</v>
      </c>
      <c r="P1323" s="5">
        <v>55773</v>
      </c>
    </row>
    <row r="1324" spans="1:16" x14ac:dyDescent="0.3">
      <c r="A1324" s="5">
        <v>99</v>
      </c>
      <c r="B1324" s="5" t="s">
        <v>116</v>
      </c>
      <c r="C1324" s="5">
        <v>1</v>
      </c>
      <c r="D1324" s="5" t="s">
        <v>76</v>
      </c>
      <c r="E1324" s="5">
        <v>2023</v>
      </c>
      <c r="F1324" s="5">
        <v>1</v>
      </c>
      <c r="G1324" s="5" t="s">
        <v>46</v>
      </c>
      <c r="H1324" s="5">
        <v>2101711</v>
      </c>
      <c r="I1324" s="5">
        <v>1927674.98</v>
      </c>
      <c r="J1324" s="5">
        <v>28</v>
      </c>
      <c r="K1324" s="5">
        <v>368553</v>
      </c>
      <c r="L1324" s="5">
        <v>2464980</v>
      </c>
      <c r="M1324" s="5">
        <v>174036.02</v>
      </c>
      <c r="N1324" s="5">
        <v>8.2799999999999999E-2</v>
      </c>
      <c r="O1324" s="5">
        <v>1</v>
      </c>
      <c r="P1324" s="5">
        <v>14362</v>
      </c>
    </row>
    <row r="1325" spans="1:16" x14ac:dyDescent="0.3">
      <c r="A1325" s="5">
        <v>99</v>
      </c>
      <c r="B1325" s="5" t="s">
        <v>116</v>
      </c>
      <c r="C1325" s="5">
        <v>1</v>
      </c>
      <c r="D1325" s="5" t="s">
        <v>76</v>
      </c>
      <c r="E1325" s="5">
        <v>2023</v>
      </c>
      <c r="F1325" s="5">
        <v>2</v>
      </c>
      <c r="G1325" s="5" t="s">
        <v>47</v>
      </c>
      <c r="H1325" s="5">
        <v>1324009</v>
      </c>
      <c r="I1325" s="5">
        <v>1114813.6100000001</v>
      </c>
      <c r="J1325" s="5">
        <v>28</v>
      </c>
      <c r="K1325" s="5">
        <v>156733</v>
      </c>
      <c r="L1325" s="5">
        <v>1476680</v>
      </c>
      <c r="M1325" s="5">
        <v>209195.39</v>
      </c>
      <c r="N1325" s="5">
        <v>0.158</v>
      </c>
      <c r="O1325" s="5">
        <v>1</v>
      </c>
      <c r="P1325" s="5">
        <v>1722</v>
      </c>
    </row>
    <row r="1326" spans="1:16" x14ac:dyDescent="0.3">
      <c r="A1326" s="5">
        <v>99</v>
      </c>
      <c r="B1326" s="5" t="s">
        <v>116</v>
      </c>
      <c r="C1326" s="5">
        <v>1</v>
      </c>
      <c r="D1326" s="5" t="s">
        <v>76</v>
      </c>
      <c r="E1326" s="5">
        <v>2023</v>
      </c>
      <c r="F1326" s="5">
        <v>3</v>
      </c>
      <c r="G1326" s="5" t="s">
        <v>48</v>
      </c>
      <c r="H1326" s="5">
        <v>2890802</v>
      </c>
      <c r="I1326" s="5">
        <v>2463385.31</v>
      </c>
      <c r="J1326" s="5">
        <v>38</v>
      </c>
      <c r="K1326" s="5">
        <v>293000</v>
      </c>
      <c r="L1326" s="5">
        <v>3172290</v>
      </c>
      <c r="M1326" s="5">
        <v>427416.69</v>
      </c>
      <c r="N1326" s="5">
        <v>0.1479</v>
      </c>
      <c r="O1326" s="5">
        <v>2</v>
      </c>
      <c r="P1326" s="5">
        <v>48845</v>
      </c>
    </row>
    <row r="1327" spans="1:16" x14ac:dyDescent="0.3">
      <c r="A1327" s="5">
        <v>99</v>
      </c>
      <c r="B1327" s="5" t="s">
        <v>116</v>
      </c>
      <c r="C1327" s="5">
        <v>1</v>
      </c>
      <c r="D1327" s="5" t="s">
        <v>76</v>
      </c>
      <c r="E1327" s="5">
        <v>2023</v>
      </c>
      <c r="F1327" s="5">
        <v>4</v>
      </c>
      <c r="G1327" s="5" t="s">
        <v>49</v>
      </c>
      <c r="H1327" s="5">
        <v>3078667</v>
      </c>
      <c r="I1327" s="5">
        <v>2623771.5299999998</v>
      </c>
      <c r="J1327" s="5">
        <v>45</v>
      </c>
      <c r="K1327" s="5">
        <v>425282</v>
      </c>
      <c r="L1327" s="5">
        <v>3494550</v>
      </c>
      <c r="M1327" s="5">
        <v>454895.47</v>
      </c>
      <c r="N1327" s="5">
        <v>0.14779999999999999</v>
      </c>
      <c r="O1327" s="5">
        <v>1</v>
      </c>
      <c r="P1327" s="5">
        <v>2399</v>
      </c>
    </row>
    <row r="1328" spans="1:16" x14ac:dyDescent="0.3">
      <c r="A1328" s="5">
        <v>99</v>
      </c>
      <c r="B1328" s="5" t="s">
        <v>116</v>
      </c>
      <c r="C1328" s="5">
        <v>1</v>
      </c>
      <c r="D1328" s="5" t="s">
        <v>76</v>
      </c>
      <c r="E1328" s="5">
        <v>2023</v>
      </c>
      <c r="F1328" s="5">
        <v>5</v>
      </c>
      <c r="G1328" s="5" t="s">
        <v>50</v>
      </c>
      <c r="H1328" s="5">
        <v>3282189</v>
      </c>
      <c r="I1328" s="5">
        <v>3058051.04</v>
      </c>
      <c r="J1328" s="5">
        <v>49</v>
      </c>
      <c r="K1328" s="5">
        <v>590361</v>
      </c>
      <c r="L1328" s="5">
        <v>3867560</v>
      </c>
      <c r="M1328" s="5">
        <v>224137.96</v>
      </c>
      <c r="N1328" s="5">
        <v>6.83E-2</v>
      </c>
      <c r="O1328" s="5">
        <v>4</v>
      </c>
      <c r="P1328" s="5">
        <v>164243</v>
      </c>
    </row>
    <row r="1329" spans="1:16" x14ac:dyDescent="0.3">
      <c r="A1329" s="5">
        <v>99</v>
      </c>
      <c r="B1329" s="5" t="s">
        <v>116</v>
      </c>
      <c r="C1329" s="5">
        <v>1</v>
      </c>
      <c r="D1329" s="5" t="s">
        <v>76</v>
      </c>
      <c r="E1329" s="5">
        <v>2023</v>
      </c>
      <c r="F1329" s="5">
        <v>6</v>
      </c>
      <c r="G1329" s="5" t="s">
        <v>51</v>
      </c>
      <c r="H1329" s="5">
        <v>3494458</v>
      </c>
      <c r="I1329" s="5">
        <v>2990445.67</v>
      </c>
      <c r="J1329" s="5">
        <v>53</v>
      </c>
      <c r="K1329" s="5">
        <v>305235</v>
      </c>
      <c r="L1329" s="5">
        <v>3791910</v>
      </c>
      <c r="M1329" s="5">
        <v>504012.33</v>
      </c>
      <c r="N1329" s="5">
        <v>0.14419999999999999</v>
      </c>
      <c r="O1329" s="5">
        <v>4</v>
      </c>
      <c r="P1329" s="5">
        <v>66294</v>
      </c>
    </row>
    <row r="1330" spans="1:16" x14ac:dyDescent="0.3">
      <c r="A1330" s="5">
        <v>99</v>
      </c>
      <c r="B1330" s="5" t="s">
        <v>116</v>
      </c>
      <c r="C1330" s="5">
        <v>1</v>
      </c>
      <c r="D1330" s="5" t="s">
        <v>76</v>
      </c>
      <c r="E1330" s="5">
        <v>2023</v>
      </c>
      <c r="F1330" s="5">
        <v>7</v>
      </c>
      <c r="G1330" s="5" t="s">
        <v>52</v>
      </c>
      <c r="H1330" s="5">
        <v>3348661</v>
      </c>
      <c r="I1330" s="5">
        <v>2981937.06</v>
      </c>
      <c r="J1330" s="5">
        <v>41</v>
      </c>
      <c r="K1330" s="5">
        <v>465558</v>
      </c>
      <c r="L1330" s="5">
        <v>3805260</v>
      </c>
      <c r="M1330" s="5">
        <v>366723.94</v>
      </c>
      <c r="N1330" s="5">
        <v>0.1095</v>
      </c>
      <c r="O1330" s="5">
        <v>3</v>
      </c>
      <c r="P1330" s="5">
        <v>38333</v>
      </c>
    </row>
    <row r="1331" spans="1:16" x14ac:dyDescent="0.3">
      <c r="A1331" s="5">
        <v>99</v>
      </c>
      <c r="B1331" s="5" t="s">
        <v>116</v>
      </c>
      <c r="C1331" s="5">
        <v>1</v>
      </c>
      <c r="D1331" s="5" t="s">
        <v>76</v>
      </c>
      <c r="E1331" s="5">
        <v>2023</v>
      </c>
      <c r="F1331" s="5">
        <v>8</v>
      </c>
      <c r="G1331" s="5" t="s">
        <v>53</v>
      </c>
      <c r="H1331" s="5">
        <v>1894591</v>
      </c>
      <c r="I1331" s="5">
        <v>1575443.03</v>
      </c>
      <c r="J1331" s="5">
        <v>40</v>
      </c>
      <c r="K1331" s="5">
        <v>214280</v>
      </c>
      <c r="L1331" s="5">
        <v>2103670</v>
      </c>
      <c r="M1331" s="5">
        <v>319147.96999999997</v>
      </c>
      <c r="N1331" s="5">
        <v>0.16850000000000001</v>
      </c>
      <c r="O1331" s="5">
        <v>3</v>
      </c>
      <c r="P1331" s="5">
        <v>41917</v>
      </c>
    </row>
    <row r="1332" spans="1:16" x14ac:dyDescent="0.3">
      <c r="A1332" s="5">
        <v>99</v>
      </c>
      <c r="B1332" s="5" t="s">
        <v>116</v>
      </c>
      <c r="C1332" s="5">
        <v>1</v>
      </c>
      <c r="D1332" s="5" t="s">
        <v>76</v>
      </c>
      <c r="E1332" s="5">
        <v>2023</v>
      </c>
      <c r="F1332" s="5">
        <v>9</v>
      </c>
      <c r="G1332" s="5" t="s">
        <v>54</v>
      </c>
      <c r="H1332" s="5">
        <v>3965656</v>
      </c>
      <c r="I1332" s="5">
        <v>3612678.63</v>
      </c>
      <c r="J1332" s="5">
        <v>59</v>
      </c>
      <c r="K1332" s="5">
        <v>706566</v>
      </c>
      <c r="L1332" s="5">
        <v>4657420</v>
      </c>
      <c r="M1332" s="5">
        <v>352977.37</v>
      </c>
      <c r="N1332" s="5">
        <v>8.8999999999999996E-2</v>
      </c>
      <c r="O1332" s="5">
        <v>7</v>
      </c>
      <c r="P1332" s="5">
        <v>134385</v>
      </c>
    </row>
    <row r="1333" spans="1:16" x14ac:dyDescent="0.3">
      <c r="A1333" s="5">
        <v>99</v>
      </c>
      <c r="B1333" s="5" t="s">
        <v>116</v>
      </c>
      <c r="C1333" s="5">
        <v>1</v>
      </c>
      <c r="D1333" s="5" t="s">
        <v>76</v>
      </c>
      <c r="E1333" s="5">
        <v>2023</v>
      </c>
      <c r="F1333" s="5">
        <v>10</v>
      </c>
      <c r="G1333" s="5" t="s">
        <v>55</v>
      </c>
      <c r="H1333" s="5">
        <v>3198228</v>
      </c>
      <c r="I1333" s="5">
        <v>2768147.33</v>
      </c>
      <c r="J1333" s="5">
        <v>55</v>
      </c>
      <c r="K1333" s="5">
        <v>387621</v>
      </c>
      <c r="L1333" s="5">
        <v>3574660</v>
      </c>
      <c r="M1333" s="5">
        <v>430080.67</v>
      </c>
      <c r="N1333" s="5">
        <v>0.13450000000000001</v>
      </c>
      <c r="O1333" s="5">
        <v>8</v>
      </c>
      <c r="P1333" s="5">
        <v>416109</v>
      </c>
    </row>
    <row r="1334" spans="1:16" x14ac:dyDescent="0.3">
      <c r="A1334" s="5">
        <v>99</v>
      </c>
      <c r="B1334" s="5" t="s">
        <v>116</v>
      </c>
      <c r="C1334" s="5">
        <v>1</v>
      </c>
      <c r="D1334" s="5" t="s">
        <v>76</v>
      </c>
      <c r="E1334" s="5">
        <v>2023</v>
      </c>
      <c r="F1334" s="5">
        <v>11</v>
      </c>
      <c r="G1334" s="5" t="s">
        <v>56</v>
      </c>
      <c r="H1334" s="5">
        <v>4138687</v>
      </c>
      <c r="I1334" s="5">
        <v>3816743.32</v>
      </c>
      <c r="J1334" s="5">
        <v>73</v>
      </c>
      <c r="K1334" s="5">
        <v>795773</v>
      </c>
      <c r="L1334" s="5">
        <v>4926210</v>
      </c>
      <c r="M1334" s="5">
        <v>321943.67999999999</v>
      </c>
      <c r="N1334" s="5">
        <v>7.7799999999999994E-2</v>
      </c>
      <c r="O1334" s="5">
        <v>7</v>
      </c>
      <c r="P1334" s="5">
        <v>69300</v>
      </c>
    </row>
    <row r="1335" spans="1:16" x14ac:dyDescent="0.3">
      <c r="A1335" s="5">
        <v>99</v>
      </c>
      <c r="B1335" s="5" t="s">
        <v>116</v>
      </c>
      <c r="C1335" s="5">
        <v>1</v>
      </c>
      <c r="D1335" s="5" t="s">
        <v>76</v>
      </c>
      <c r="E1335" s="5">
        <v>2023</v>
      </c>
      <c r="F1335" s="5">
        <v>12</v>
      </c>
      <c r="G1335" s="5" t="s">
        <v>57</v>
      </c>
      <c r="H1335" s="5">
        <v>5777587</v>
      </c>
      <c r="I1335" s="5">
        <v>5259710.16</v>
      </c>
      <c r="J1335" s="5">
        <v>71</v>
      </c>
      <c r="K1335" s="5">
        <v>936053</v>
      </c>
      <c r="L1335" s="5">
        <v>6705780</v>
      </c>
      <c r="M1335" s="5">
        <v>517876.84</v>
      </c>
      <c r="N1335" s="5">
        <v>8.9599999999999999E-2</v>
      </c>
      <c r="O1335" s="5">
        <v>1</v>
      </c>
      <c r="P1335" s="5">
        <v>322</v>
      </c>
    </row>
    <row r="1336" spans="1:16" x14ac:dyDescent="0.3">
      <c r="A1336" s="5">
        <v>99</v>
      </c>
      <c r="B1336" s="5" t="s">
        <v>116</v>
      </c>
      <c r="C1336" s="5">
        <v>1</v>
      </c>
      <c r="D1336" s="5" t="s">
        <v>76</v>
      </c>
      <c r="E1336" s="5">
        <v>2024</v>
      </c>
      <c r="F1336" s="5">
        <v>1</v>
      </c>
      <c r="G1336" s="5" t="s">
        <v>58</v>
      </c>
      <c r="H1336" s="5">
        <v>2732690</v>
      </c>
      <c r="I1336" s="5">
        <v>2351280.75</v>
      </c>
      <c r="J1336" s="5">
        <v>41</v>
      </c>
      <c r="K1336" s="5">
        <v>228384</v>
      </c>
      <c r="L1336" s="5">
        <v>2947100</v>
      </c>
      <c r="M1336" s="5">
        <v>381409.25</v>
      </c>
      <c r="N1336" s="5">
        <v>0.1396</v>
      </c>
      <c r="O1336" s="5">
        <v>3</v>
      </c>
      <c r="P1336" s="5">
        <v>187165</v>
      </c>
    </row>
    <row r="1337" spans="1:16" x14ac:dyDescent="0.3">
      <c r="A1337" s="5">
        <v>99</v>
      </c>
      <c r="B1337" s="5" t="s">
        <v>116</v>
      </c>
      <c r="C1337" s="5">
        <v>1</v>
      </c>
      <c r="D1337" s="5" t="s">
        <v>76</v>
      </c>
      <c r="E1337" s="5">
        <v>2024</v>
      </c>
      <c r="F1337" s="5">
        <v>2</v>
      </c>
      <c r="G1337" s="5" t="s">
        <v>59</v>
      </c>
      <c r="H1337" s="5">
        <v>3080622</v>
      </c>
      <c r="I1337" s="5">
        <v>2654047.7200000002</v>
      </c>
      <c r="J1337" s="5">
        <v>39</v>
      </c>
      <c r="K1337" s="5">
        <v>321808</v>
      </c>
      <c r="L1337" s="5">
        <v>3396070</v>
      </c>
      <c r="M1337" s="5">
        <v>426574.28</v>
      </c>
      <c r="N1337" s="5">
        <v>0.13850000000000001</v>
      </c>
      <c r="O1337" s="5">
        <v>2</v>
      </c>
      <c r="P1337" s="5">
        <v>75805</v>
      </c>
    </row>
    <row r="1338" spans="1:16" x14ac:dyDescent="0.3">
      <c r="A1338" s="5">
        <v>99</v>
      </c>
      <c r="B1338" s="5" t="s">
        <v>116</v>
      </c>
      <c r="C1338" s="5">
        <v>1</v>
      </c>
      <c r="D1338" s="5" t="s">
        <v>76</v>
      </c>
      <c r="E1338" s="5">
        <v>2024</v>
      </c>
      <c r="F1338" s="5">
        <v>3</v>
      </c>
      <c r="G1338" s="5" t="s">
        <v>60</v>
      </c>
      <c r="H1338" s="5">
        <v>3058912</v>
      </c>
      <c r="I1338" s="5">
        <v>2588343.7400000002</v>
      </c>
      <c r="J1338" s="5">
        <v>37</v>
      </c>
      <c r="K1338" s="5">
        <v>320259</v>
      </c>
      <c r="L1338" s="5">
        <v>3363980</v>
      </c>
      <c r="M1338" s="5">
        <v>470568.26</v>
      </c>
      <c r="N1338" s="5">
        <v>0.15379999999999999</v>
      </c>
      <c r="O1338" s="5">
        <v>6</v>
      </c>
      <c r="P1338" s="5">
        <v>117916</v>
      </c>
    </row>
    <row r="1339" spans="1:16" x14ac:dyDescent="0.3">
      <c r="A1339" s="5">
        <v>99</v>
      </c>
      <c r="B1339" s="5" t="s">
        <v>116</v>
      </c>
      <c r="C1339" s="5">
        <v>1</v>
      </c>
      <c r="D1339" s="5" t="s">
        <v>76</v>
      </c>
      <c r="E1339" s="5">
        <v>2024</v>
      </c>
      <c r="F1339" s="5">
        <v>4</v>
      </c>
      <c r="G1339" s="5" t="s">
        <v>61</v>
      </c>
      <c r="H1339" s="5">
        <v>2711886</v>
      </c>
      <c r="I1339" s="5">
        <v>2259033.0099999998</v>
      </c>
      <c r="J1339" s="5">
        <v>52</v>
      </c>
      <c r="K1339" s="5">
        <v>260750</v>
      </c>
      <c r="L1339" s="5">
        <v>2965850</v>
      </c>
      <c r="M1339" s="5">
        <v>452852.99</v>
      </c>
      <c r="N1339" s="5">
        <v>0.16700000000000001</v>
      </c>
      <c r="O1339" s="5">
        <v>5</v>
      </c>
      <c r="P1339" s="5">
        <v>61904</v>
      </c>
    </row>
    <row r="1340" spans="1:16" x14ac:dyDescent="0.3">
      <c r="A1340" s="5">
        <v>99</v>
      </c>
      <c r="B1340" s="5" t="s">
        <v>116</v>
      </c>
      <c r="C1340" s="5">
        <v>1</v>
      </c>
      <c r="D1340" s="5" t="s">
        <v>76</v>
      </c>
      <c r="E1340" s="5">
        <v>2024</v>
      </c>
      <c r="F1340" s="5">
        <v>5</v>
      </c>
      <c r="G1340" s="5" t="s">
        <v>62</v>
      </c>
      <c r="H1340" s="5">
        <v>4070765</v>
      </c>
      <c r="I1340" s="5">
        <v>3544772.33</v>
      </c>
      <c r="J1340" s="5">
        <v>63</v>
      </c>
      <c r="K1340" s="5">
        <v>499117</v>
      </c>
      <c r="L1340" s="5">
        <v>4557290</v>
      </c>
      <c r="M1340" s="5">
        <v>525992.67000000004</v>
      </c>
      <c r="N1340" s="5">
        <v>0.12920000000000001</v>
      </c>
      <c r="O1340" s="5">
        <v>6</v>
      </c>
      <c r="P1340" s="5">
        <v>232108</v>
      </c>
    </row>
    <row r="1341" spans="1:16" x14ac:dyDescent="0.3">
      <c r="A1341" s="5">
        <v>99</v>
      </c>
      <c r="B1341" s="5" t="s">
        <v>116</v>
      </c>
      <c r="C1341" s="5">
        <v>1</v>
      </c>
      <c r="D1341" s="5" t="s">
        <v>76</v>
      </c>
      <c r="E1341" s="5">
        <v>2024</v>
      </c>
      <c r="F1341" s="5">
        <v>6</v>
      </c>
      <c r="G1341" s="5" t="s">
        <v>63</v>
      </c>
      <c r="H1341" s="5">
        <v>3603593</v>
      </c>
      <c r="I1341" s="5">
        <v>3023763.91</v>
      </c>
      <c r="J1341" s="5">
        <v>47</v>
      </c>
      <c r="K1341" s="5">
        <v>275409</v>
      </c>
      <c r="L1341" s="5">
        <v>3865510</v>
      </c>
      <c r="M1341" s="5">
        <v>579829.09</v>
      </c>
      <c r="N1341" s="5">
        <v>0.16089999999999999</v>
      </c>
      <c r="O1341" s="5">
        <v>5</v>
      </c>
      <c r="P1341" s="5">
        <v>201908</v>
      </c>
    </row>
    <row r="1342" spans="1:16" x14ac:dyDescent="0.3">
      <c r="A1342" s="5">
        <v>99</v>
      </c>
      <c r="B1342" s="5" t="s">
        <v>116</v>
      </c>
      <c r="C1342" s="5">
        <v>1</v>
      </c>
      <c r="D1342" s="5" t="s">
        <v>76</v>
      </c>
      <c r="E1342" s="5">
        <v>2024</v>
      </c>
      <c r="F1342" s="5">
        <v>7</v>
      </c>
      <c r="G1342" s="5" t="s">
        <v>64</v>
      </c>
      <c r="H1342" s="5">
        <v>4326842</v>
      </c>
      <c r="I1342" s="5">
        <v>3781926.97</v>
      </c>
      <c r="J1342" s="5">
        <v>56</v>
      </c>
      <c r="K1342" s="5">
        <v>464299</v>
      </c>
      <c r="L1342" s="5">
        <v>4785950</v>
      </c>
      <c r="M1342" s="5">
        <v>544915.03</v>
      </c>
      <c r="N1342" s="5">
        <v>0.12590000000000001</v>
      </c>
      <c r="O1342" s="5">
        <v>5</v>
      </c>
      <c r="P1342" s="5">
        <v>95970</v>
      </c>
    </row>
    <row r="1343" spans="1:16" x14ac:dyDescent="0.3">
      <c r="A1343" s="5">
        <v>99</v>
      </c>
      <c r="B1343" s="5" t="s">
        <v>116</v>
      </c>
      <c r="C1343" s="5">
        <v>1</v>
      </c>
      <c r="D1343" s="5" t="s">
        <v>76</v>
      </c>
      <c r="E1343" s="5">
        <v>2024</v>
      </c>
      <c r="F1343" s="5">
        <v>8</v>
      </c>
      <c r="G1343" s="5" t="s">
        <v>65</v>
      </c>
      <c r="H1343" s="5">
        <v>3463063</v>
      </c>
      <c r="I1343" s="5">
        <v>2787967.74</v>
      </c>
      <c r="J1343" s="5">
        <v>58</v>
      </c>
      <c r="K1343" s="5">
        <v>192502</v>
      </c>
      <c r="L1343" s="5">
        <v>3630090</v>
      </c>
      <c r="M1343" s="5">
        <v>675095.26</v>
      </c>
      <c r="N1343" s="5">
        <v>0.19489999999999999</v>
      </c>
      <c r="O1343" s="5">
        <v>7</v>
      </c>
      <c r="P1343" s="5">
        <v>151443</v>
      </c>
    </row>
    <row r="1344" spans="1:16" x14ac:dyDescent="0.3">
      <c r="A1344" s="5">
        <v>99</v>
      </c>
      <c r="B1344" s="5" t="s">
        <v>116</v>
      </c>
      <c r="C1344" s="5">
        <v>1</v>
      </c>
      <c r="D1344" s="5" t="s">
        <v>76</v>
      </c>
      <c r="E1344" s="5">
        <v>2024</v>
      </c>
      <c r="F1344" s="5">
        <v>9</v>
      </c>
      <c r="G1344" s="5" t="s">
        <v>66</v>
      </c>
      <c r="H1344" s="5">
        <v>3633085</v>
      </c>
      <c r="I1344" s="5">
        <v>3016928.86</v>
      </c>
      <c r="J1344" s="5">
        <v>58</v>
      </c>
      <c r="K1344" s="5">
        <v>221975</v>
      </c>
      <c r="L1344" s="5">
        <v>3839280</v>
      </c>
      <c r="M1344" s="5">
        <v>616156.14</v>
      </c>
      <c r="N1344" s="5">
        <v>0.1696</v>
      </c>
      <c r="O1344" s="5">
        <v>5</v>
      </c>
      <c r="P1344" s="5">
        <v>206371</v>
      </c>
    </row>
    <row r="1345" spans="1:16" x14ac:dyDescent="0.3">
      <c r="A1345" s="5">
        <v>99</v>
      </c>
      <c r="B1345" s="5" t="s">
        <v>116</v>
      </c>
      <c r="C1345" s="5">
        <v>1</v>
      </c>
      <c r="D1345" s="5" t="s">
        <v>76</v>
      </c>
      <c r="E1345" s="5">
        <v>2024</v>
      </c>
      <c r="F1345" s="5">
        <v>10</v>
      </c>
      <c r="G1345" s="5" t="s">
        <v>67</v>
      </c>
      <c r="H1345" s="5">
        <v>4480622</v>
      </c>
      <c r="I1345" s="5">
        <v>3551478.44</v>
      </c>
      <c r="J1345" s="5">
        <v>79</v>
      </c>
      <c r="K1345" s="5">
        <v>172920</v>
      </c>
      <c r="L1345" s="5">
        <v>4645820</v>
      </c>
      <c r="M1345" s="5">
        <v>929143.56</v>
      </c>
      <c r="N1345" s="5">
        <v>0.2074</v>
      </c>
      <c r="O1345" s="5">
        <v>7</v>
      </c>
      <c r="P1345" s="5">
        <v>284439</v>
      </c>
    </row>
    <row r="1346" spans="1:16" x14ac:dyDescent="0.3">
      <c r="A1346" s="5">
        <v>99</v>
      </c>
      <c r="B1346" s="5" t="s">
        <v>116</v>
      </c>
      <c r="C1346" s="5">
        <v>1</v>
      </c>
      <c r="D1346" s="5" t="s">
        <v>76</v>
      </c>
      <c r="E1346" s="5">
        <v>2024</v>
      </c>
      <c r="F1346" s="5">
        <v>11</v>
      </c>
      <c r="G1346" s="5" t="s">
        <v>68</v>
      </c>
      <c r="H1346" s="5">
        <v>5366433</v>
      </c>
      <c r="I1346" s="5">
        <v>4454385.2</v>
      </c>
      <c r="J1346" s="5">
        <v>82</v>
      </c>
      <c r="K1346" s="5">
        <v>432880</v>
      </c>
      <c r="L1346" s="5">
        <v>5780000</v>
      </c>
      <c r="M1346" s="5">
        <v>912047.8</v>
      </c>
      <c r="N1346" s="5">
        <v>0.17</v>
      </c>
      <c r="O1346" s="5">
        <v>7</v>
      </c>
      <c r="P1346" s="5">
        <v>185840</v>
      </c>
    </row>
    <row r="1347" spans="1:16" x14ac:dyDescent="0.3">
      <c r="A1347" s="5">
        <v>99</v>
      </c>
      <c r="B1347" s="5" t="s">
        <v>116</v>
      </c>
      <c r="C1347" s="5">
        <v>1</v>
      </c>
      <c r="D1347" s="5" t="s">
        <v>76</v>
      </c>
      <c r="E1347" s="5">
        <v>2024</v>
      </c>
      <c r="F1347" s="5">
        <v>12</v>
      </c>
      <c r="G1347" s="5" t="s">
        <v>69</v>
      </c>
      <c r="H1347" s="5">
        <v>5515949</v>
      </c>
      <c r="I1347" s="5">
        <v>4452345</v>
      </c>
      <c r="J1347" s="5">
        <v>71</v>
      </c>
      <c r="K1347" s="5">
        <v>200360</v>
      </c>
      <c r="L1347" s="5">
        <v>5701230</v>
      </c>
      <c r="M1347" s="5">
        <v>1063604</v>
      </c>
      <c r="N1347" s="5">
        <v>0.1928</v>
      </c>
      <c r="O1347" s="5">
        <v>6</v>
      </c>
      <c r="P1347" s="5">
        <v>156494</v>
      </c>
    </row>
    <row r="1348" spans="1:16" x14ac:dyDescent="0.3">
      <c r="A1348" s="5">
        <v>43</v>
      </c>
      <c r="B1348" s="5" t="s">
        <v>117</v>
      </c>
      <c r="C1348" s="5">
        <v>1</v>
      </c>
      <c r="D1348" s="5" t="s">
        <v>76</v>
      </c>
      <c r="E1348" s="5">
        <v>2021</v>
      </c>
      <c r="F1348" s="5">
        <v>1</v>
      </c>
      <c r="G1348" s="5" t="s">
        <v>22</v>
      </c>
      <c r="H1348" s="5">
        <v>1582491</v>
      </c>
      <c r="I1348" s="5">
        <v>1471230.16</v>
      </c>
      <c r="J1348" s="5">
        <v>13</v>
      </c>
      <c r="K1348" s="5">
        <v>302258</v>
      </c>
      <c r="L1348" s="5">
        <v>1881140</v>
      </c>
      <c r="M1348" s="5">
        <v>111260.84</v>
      </c>
      <c r="N1348" s="5">
        <v>7.0300000000000001E-2</v>
      </c>
      <c r="O1348" s="5">
        <v>3</v>
      </c>
      <c r="P1348" s="5">
        <v>98193</v>
      </c>
    </row>
    <row r="1349" spans="1:16" x14ac:dyDescent="0.3">
      <c r="A1349" s="5">
        <v>43</v>
      </c>
      <c r="B1349" s="5" t="s">
        <v>117</v>
      </c>
      <c r="C1349" s="5">
        <v>1</v>
      </c>
      <c r="D1349" s="5" t="s">
        <v>76</v>
      </c>
      <c r="E1349" s="5">
        <v>2021</v>
      </c>
      <c r="F1349" s="5">
        <v>2</v>
      </c>
      <c r="G1349" s="5" t="s">
        <v>23</v>
      </c>
      <c r="H1349" s="5">
        <v>35268</v>
      </c>
      <c r="I1349" s="5">
        <v>27676.1</v>
      </c>
      <c r="J1349" s="5">
        <v>6</v>
      </c>
      <c r="K1349" s="5">
        <v>7715</v>
      </c>
      <c r="L1349" s="5">
        <v>42940</v>
      </c>
      <c r="M1349" s="5">
        <v>7591.9</v>
      </c>
      <c r="N1349" s="5">
        <v>0.21529999999999999</v>
      </c>
      <c r="O1349" s="5">
        <v>1</v>
      </c>
      <c r="P1349" s="5">
        <v>6497</v>
      </c>
    </row>
    <row r="1350" spans="1:16" x14ac:dyDescent="0.3">
      <c r="A1350" s="5">
        <v>43</v>
      </c>
      <c r="B1350" s="5" t="s">
        <v>117</v>
      </c>
      <c r="C1350" s="5">
        <v>1</v>
      </c>
      <c r="D1350" s="5" t="s">
        <v>76</v>
      </c>
      <c r="E1350" s="5">
        <v>2021</v>
      </c>
      <c r="F1350" s="5">
        <v>3</v>
      </c>
      <c r="G1350" s="5" t="s">
        <v>24</v>
      </c>
      <c r="H1350" s="5">
        <v>730671</v>
      </c>
      <c r="I1350" s="5">
        <v>541424.82999999996</v>
      </c>
      <c r="J1350" s="5">
        <v>11</v>
      </c>
      <c r="K1350" s="5">
        <v>25540</v>
      </c>
      <c r="L1350" s="5">
        <v>745010</v>
      </c>
      <c r="M1350" s="5">
        <v>189246.17</v>
      </c>
      <c r="N1350" s="5">
        <v>0.25900000000000001</v>
      </c>
      <c r="O1350" s="5">
        <v>0</v>
      </c>
      <c r="P1350" s="5">
        <v>0</v>
      </c>
    </row>
    <row r="1351" spans="1:16" x14ac:dyDescent="0.3">
      <c r="A1351" s="5">
        <v>43</v>
      </c>
      <c r="B1351" s="5" t="s">
        <v>117</v>
      </c>
      <c r="C1351" s="5">
        <v>1</v>
      </c>
      <c r="D1351" s="5" t="s">
        <v>76</v>
      </c>
      <c r="E1351" s="5">
        <v>2021</v>
      </c>
      <c r="F1351" s="5">
        <v>4</v>
      </c>
      <c r="G1351" s="5" t="s">
        <v>25</v>
      </c>
      <c r="H1351" s="5">
        <v>602680</v>
      </c>
      <c r="I1351" s="5">
        <v>545260.9</v>
      </c>
      <c r="J1351" s="5">
        <v>10</v>
      </c>
      <c r="K1351" s="5">
        <v>109763</v>
      </c>
      <c r="L1351" s="5">
        <v>711110</v>
      </c>
      <c r="M1351" s="5">
        <v>57419.1</v>
      </c>
      <c r="N1351" s="5">
        <v>9.5299999999999996E-2</v>
      </c>
      <c r="O1351" s="5">
        <v>1</v>
      </c>
      <c r="P1351" s="5">
        <v>19830</v>
      </c>
    </row>
    <row r="1352" spans="1:16" x14ac:dyDescent="0.3">
      <c r="A1352" s="5">
        <v>43</v>
      </c>
      <c r="B1352" s="5" t="s">
        <v>117</v>
      </c>
      <c r="C1352" s="5">
        <v>1</v>
      </c>
      <c r="D1352" s="5" t="s">
        <v>76</v>
      </c>
      <c r="E1352" s="5">
        <v>2021</v>
      </c>
      <c r="F1352" s="5">
        <v>5</v>
      </c>
      <c r="G1352" s="5" t="s">
        <v>26</v>
      </c>
      <c r="H1352" s="5">
        <v>1630608</v>
      </c>
      <c r="I1352" s="5">
        <v>1417418.43</v>
      </c>
      <c r="J1352" s="5">
        <v>24</v>
      </c>
      <c r="K1352" s="5">
        <v>146801</v>
      </c>
      <c r="L1352" s="5">
        <v>1767800</v>
      </c>
      <c r="M1352" s="5">
        <v>213189.57</v>
      </c>
      <c r="N1352" s="5">
        <v>0.13070000000000001</v>
      </c>
      <c r="O1352" s="5">
        <v>1</v>
      </c>
      <c r="P1352" s="5">
        <v>1716</v>
      </c>
    </row>
    <row r="1353" spans="1:16" x14ac:dyDescent="0.3">
      <c r="A1353" s="5">
        <v>43</v>
      </c>
      <c r="B1353" s="5" t="s">
        <v>117</v>
      </c>
      <c r="C1353" s="5">
        <v>1</v>
      </c>
      <c r="D1353" s="5" t="s">
        <v>76</v>
      </c>
      <c r="E1353" s="5">
        <v>2021</v>
      </c>
      <c r="F1353" s="5">
        <v>6</v>
      </c>
      <c r="G1353" s="5" t="s">
        <v>27</v>
      </c>
      <c r="H1353" s="5">
        <v>704424</v>
      </c>
      <c r="I1353" s="5">
        <v>628552.93000000005</v>
      </c>
      <c r="J1353" s="5">
        <v>12</v>
      </c>
      <c r="K1353" s="5">
        <v>69863</v>
      </c>
      <c r="L1353" s="5">
        <v>773900</v>
      </c>
      <c r="M1353" s="5">
        <v>75871.070000000007</v>
      </c>
      <c r="N1353" s="5">
        <v>0.1077</v>
      </c>
      <c r="O1353" s="5">
        <v>2</v>
      </c>
      <c r="P1353" s="5">
        <v>3338</v>
      </c>
    </row>
    <row r="1354" spans="1:16" x14ac:dyDescent="0.3">
      <c r="A1354" s="5">
        <v>43</v>
      </c>
      <c r="B1354" s="5" t="s">
        <v>117</v>
      </c>
      <c r="C1354" s="5">
        <v>1</v>
      </c>
      <c r="D1354" s="5" t="s">
        <v>76</v>
      </c>
      <c r="E1354" s="5">
        <v>2021</v>
      </c>
      <c r="F1354" s="5">
        <v>7</v>
      </c>
      <c r="G1354" s="5" t="s">
        <v>28</v>
      </c>
      <c r="H1354" s="5">
        <v>1410370</v>
      </c>
      <c r="I1354" s="5">
        <v>1153133.2</v>
      </c>
      <c r="J1354" s="5">
        <v>20</v>
      </c>
      <c r="K1354" s="5">
        <v>92953</v>
      </c>
      <c r="L1354" s="5">
        <v>1500320</v>
      </c>
      <c r="M1354" s="5">
        <v>257236.8</v>
      </c>
      <c r="N1354" s="5">
        <v>0.18240000000000001</v>
      </c>
      <c r="O1354" s="5">
        <v>2</v>
      </c>
      <c r="P1354" s="5">
        <v>1755</v>
      </c>
    </row>
    <row r="1355" spans="1:16" x14ac:dyDescent="0.3">
      <c r="A1355" s="5">
        <v>43</v>
      </c>
      <c r="B1355" s="5" t="s">
        <v>117</v>
      </c>
      <c r="C1355" s="5">
        <v>1</v>
      </c>
      <c r="D1355" s="5" t="s">
        <v>76</v>
      </c>
      <c r="E1355" s="5">
        <v>2021</v>
      </c>
      <c r="F1355" s="5">
        <v>8</v>
      </c>
      <c r="G1355" s="5" t="s">
        <v>29</v>
      </c>
      <c r="H1355" s="5">
        <v>779220</v>
      </c>
      <c r="I1355" s="5">
        <v>686739.43</v>
      </c>
      <c r="J1355" s="5">
        <v>15</v>
      </c>
      <c r="K1355" s="5">
        <v>79803</v>
      </c>
      <c r="L1355" s="5">
        <v>858640</v>
      </c>
      <c r="M1355" s="5">
        <v>92480.57</v>
      </c>
      <c r="N1355" s="5">
        <v>0.1187</v>
      </c>
      <c r="O1355" s="5">
        <v>3</v>
      </c>
      <c r="P1355" s="5">
        <v>60691</v>
      </c>
    </row>
    <row r="1356" spans="1:16" x14ac:dyDescent="0.3">
      <c r="A1356" s="5">
        <v>43</v>
      </c>
      <c r="B1356" s="5" t="s">
        <v>117</v>
      </c>
      <c r="C1356" s="5">
        <v>1</v>
      </c>
      <c r="D1356" s="5" t="s">
        <v>76</v>
      </c>
      <c r="E1356" s="5">
        <v>2021</v>
      </c>
      <c r="F1356" s="5">
        <v>9</v>
      </c>
      <c r="G1356" s="5" t="s">
        <v>30</v>
      </c>
      <c r="H1356" s="5">
        <v>563737</v>
      </c>
      <c r="I1356" s="5">
        <v>502300.54</v>
      </c>
      <c r="J1356" s="5">
        <v>8</v>
      </c>
      <c r="K1356" s="5">
        <v>50419</v>
      </c>
      <c r="L1356" s="5">
        <v>613950</v>
      </c>
      <c r="M1356" s="5">
        <v>61436.46</v>
      </c>
      <c r="N1356" s="5">
        <v>0.109</v>
      </c>
      <c r="O1356" s="5">
        <v>0</v>
      </c>
      <c r="P1356" s="5">
        <v>0</v>
      </c>
    </row>
    <row r="1357" spans="1:16" x14ac:dyDescent="0.3">
      <c r="A1357" s="5">
        <v>43</v>
      </c>
      <c r="B1357" s="5" t="s">
        <v>117</v>
      </c>
      <c r="C1357" s="5">
        <v>1</v>
      </c>
      <c r="D1357" s="5" t="s">
        <v>76</v>
      </c>
      <c r="E1357" s="5">
        <v>2021</v>
      </c>
      <c r="F1357" s="5">
        <v>10</v>
      </c>
      <c r="G1357" s="5" t="s">
        <v>31</v>
      </c>
      <c r="H1357" s="5">
        <v>852477</v>
      </c>
      <c r="I1357" s="5">
        <v>698908.75</v>
      </c>
      <c r="J1357" s="5">
        <v>11</v>
      </c>
      <c r="K1357" s="5">
        <v>31097</v>
      </c>
      <c r="L1357" s="5">
        <v>880980</v>
      </c>
      <c r="M1357" s="5">
        <v>153568.25</v>
      </c>
      <c r="N1357" s="5">
        <v>0.18010000000000001</v>
      </c>
      <c r="O1357" s="5">
        <v>1</v>
      </c>
      <c r="P1357" s="5">
        <v>25594</v>
      </c>
    </row>
    <row r="1358" spans="1:16" x14ac:dyDescent="0.3">
      <c r="A1358" s="5">
        <v>43</v>
      </c>
      <c r="B1358" s="5" t="s">
        <v>117</v>
      </c>
      <c r="C1358" s="5">
        <v>1</v>
      </c>
      <c r="D1358" s="5" t="s">
        <v>76</v>
      </c>
      <c r="E1358" s="5">
        <v>2021</v>
      </c>
      <c r="F1358" s="5">
        <v>11</v>
      </c>
      <c r="G1358" s="5" t="s">
        <v>32</v>
      </c>
      <c r="H1358" s="5">
        <v>1541101</v>
      </c>
      <c r="I1358" s="5">
        <v>1258098.26</v>
      </c>
      <c r="J1358" s="5">
        <v>16</v>
      </c>
      <c r="K1358" s="5">
        <v>67326</v>
      </c>
      <c r="L1358" s="5">
        <v>1597460</v>
      </c>
      <c r="M1358" s="5">
        <v>283002.74</v>
      </c>
      <c r="N1358" s="5">
        <v>0.18360000000000001</v>
      </c>
      <c r="O1358" s="5">
        <v>1</v>
      </c>
      <c r="P1358" s="5">
        <v>59481</v>
      </c>
    </row>
    <row r="1359" spans="1:16" x14ac:dyDescent="0.3">
      <c r="A1359" s="5">
        <v>43</v>
      </c>
      <c r="B1359" s="5" t="s">
        <v>117</v>
      </c>
      <c r="C1359" s="5">
        <v>1</v>
      </c>
      <c r="D1359" s="5" t="s">
        <v>76</v>
      </c>
      <c r="E1359" s="5">
        <v>2021</v>
      </c>
      <c r="F1359" s="5">
        <v>12</v>
      </c>
      <c r="G1359" s="5" t="s">
        <v>33</v>
      </c>
      <c r="H1359" s="5">
        <v>1508950</v>
      </c>
      <c r="I1359" s="5">
        <v>1498817.86</v>
      </c>
      <c r="J1359" s="5">
        <v>12</v>
      </c>
      <c r="K1359" s="5">
        <v>402309</v>
      </c>
      <c r="L1359" s="5">
        <v>1909690</v>
      </c>
      <c r="M1359" s="5">
        <v>10132.14</v>
      </c>
      <c r="N1359" s="5">
        <v>6.7000000000000002E-3</v>
      </c>
      <c r="O1359" s="5">
        <v>1</v>
      </c>
      <c r="P1359" s="5">
        <v>22483</v>
      </c>
    </row>
    <row r="1360" spans="1:16" x14ac:dyDescent="0.3">
      <c r="A1360" s="5">
        <v>43</v>
      </c>
      <c r="B1360" s="5" t="s">
        <v>117</v>
      </c>
      <c r="C1360" s="5">
        <v>1</v>
      </c>
      <c r="D1360" s="5" t="s">
        <v>76</v>
      </c>
      <c r="E1360" s="5">
        <v>2022</v>
      </c>
      <c r="F1360" s="5">
        <v>1</v>
      </c>
      <c r="G1360" s="5" t="s">
        <v>34</v>
      </c>
      <c r="H1360" s="5">
        <v>920298</v>
      </c>
      <c r="I1360" s="5">
        <v>747358.19</v>
      </c>
      <c r="J1360" s="5">
        <v>14</v>
      </c>
      <c r="K1360" s="5">
        <v>23749</v>
      </c>
      <c r="L1360" s="5">
        <v>941190</v>
      </c>
      <c r="M1360" s="5">
        <v>172939.81</v>
      </c>
      <c r="N1360" s="5">
        <v>0.18790000000000001</v>
      </c>
      <c r="O1360" s="5">
        <v>2</v>
      </c>
      <c r="P1360" s="5">
        <v>191709</v>
      </c>
    </row>
    <row r="1361" spans="1:16" x14ac:dyDescent="0.3">
      <c r="A1361" s="5">
        <v>43</v>
      </c>
      <c r="B1361" s="5" t="s">
        <v>117</v>
      </c>
      <c r="C1361" s="5">
        <v>1</v>
      </c>
      <c r="D1361" s="5" t="s">
        <v>76</v>
      </c>
      <c r="E1361" s="5">
        <v>2022</v>
      </c>
      <c r="F1361" s="5">
        <v>2</v>
      </c>
      <c r="G1361" s="5" t="s">
        <v>35</v>
      </c>
      <c r="H1361" s="5">
        <v>861897</v>
      </c>
      <c r="I1361" s="5">
        <v>687285.22</v>
      </c>
      <c r="J1361" s="5">
        <v>13</v>
      </c>
      <c r="K1361" s="5">
        <v>36487</v>
      </c>
      <c r="L1361" s="5">
        <v>894990</v>
      </c>
      <c r="M1361" s="5">
        <v>174611.78</v>
      </c>
      <c r="N1361" s="5">
        <v>0.2026</v>
      </c>
      <c r="O1361" s="5">
        <v>0</v>
      </c>
      <c r="P1361" s="5">
        <v>0</v>
      </c>
    </row>
    <row r="1362" spans="1:16" x14ac:dyDescent="0.3">
      <c r="A1362" s="5">
        <v>43</v>
      </c>
      <c r="B1362" s="5" t="s">
        <v>117</v>
      </c>
      <c r="C1362" s="5">
        <v>1</v>
      </c>
      <c r="D1362" s="5" t="s">
        <v>76</v>
      </c>
      <c r="E1362" s="5">
        <v>2022</v>
      </c>
      <c r="F1362" s="5">
        <v>3</v>
      </c>
      <c r="G1362" s="5" t="s">
        <v>36</v>
      </c>
      <c r="H1362" s="5">
        <v>1567611</v>
      </c>
      <c r="I1362" s="5">
        <v>1402875.41</v>
      </c>
      <c r="J1362" s="5">
        <v>22</v>
      </c>
      <c r="K1362" s="5">
        <v>238626</v>
      </c>
      <c r="L1362" s="5">
        <v>1805880</v>
      </c>
      <c r="M1362" s="5">
        <v>164735.59</v>
      </c>
      <c r="N1362" s="5">
        <v>0.1051</v>
      </c>
      <c r="O1362" s="5">
        <v>2</v>
      </c>
      <c r="P1362" s="5">
        <v>7720</v>
      </c>
    </row>
    <row r="1363" spans="1:16" x14ac:dyDescent="0.3">
      <c r="A1363" s="5">
        <v>43</v>
      </c>
      <c r="B1363" s="5" t="s">
        <v>117</v>
      </c>
      <c r="C1363" s="5">
        <v>1</v>
      </c>
      <c r="D1363" s="5" t="s">
        <v>76</v>
      </c>
      <c r="E1363" s="5">
        <v>2022</v>
      </c>
      <c r="F1363" s="5">
        <v>4</v>
      </c>
      <c r="G1363" s="5" t="s">
        <v>37</v>
      </c>
      <c r="H1363" s="5">
        <v>1089900</v>
      </c>
      <c r="I1363" s="5">
        <v>955837.7</v>
      </c>
      <c r="J1363" s="5">
        <v>18</v>
      </c>
      <c r="K1363" s="5">
        <v>138170</v>
      </c>
      <c r="L1363" s="5">
        <v>1226110</v>
      </c>
      <c r="M1363" s="5">
        <v>134062.29999999999</v>
      </c>
      <c r="N1363" s="5">
        <v>0.123</v>
      </c>
      <c r="O1363" s="5">
        <v>2</v>
      </c>
      <c r="P1363" s="5">
        <v>6486</v>
      </c>
    </row>
    <row r="1364" spans="1:16" x14ac:dyDescent="0.3">
      <c r="A1364" s="5">
        <v>43</v>
      </c>
      <c r="B1364" s="5" t="s">
        <v>117</v>
      </c>
      <c r="C1364" s="5">
        <v>1</v>
      </c>
      <c r="D1364" s="5" t="s">
        <v>76</v>
      </c>
      <c r="E1364" s="5">
        <v>2022</v>
      </c>
      <c r="F1364" s="5">
        <v>5</v>
      </c>
      <c r="G1364" s="5" t="s">
        <v>38</v>
      </c>
      <c r="H1364" s="5">
        <v>767518</v>
      </c>
      <c r="I1364" s="5">
        <v>675662.96</v>
      </c>
      <c r="J1364" s="5">
        <v>17</v>
      </c>
      <c r="K1364" s="5">
        <v>101405</v>
      </c>
      <c r="L1364" s="5">
        <v>863980</v>
      </c>
      <c r="M1364" s="5">
        <v>91855.039999999994</v>
      </c>
      <c r="N1364" s="5">
        <v>0.1197</v>
      </c>
      <c r="O1364" s="5">
        <v>2</v>
      </c>
      <c r="P1364" s="5">
        <v>31607</v>
      </c>
    </row>
    <row r="1365" spans="1:16" x14ac:dyDescent="0.3">
      <c r="A1365" s="5">
        <v>43</v>
      </c>
      <c r="B1365" s="5" t="s">
        <v>117</v>
      </c>
      <c r="C1365" s="5">
        <v>1</v>
      </c>
      <c r="D1365" s="5" t="s">
        <v>76</v>
      </c>
      <c r="E1365" s="5">
        <v>2022</v>
      </c>
      <c r="F1365" s="5">
        <v>6</v>
      </c>
      <c r="G1365" s="5" t="s">
        <v>39</v>
      </c>
      <c r="H1365" s="5">
        <v>891883</v>
      </c>
      <c r="I1365" s="5">
        <v>674274.33</v>
      </c>
      <c r="J1365" s="5">
        <v>19</v>
      </c>
      <c r="K1365" s="5">
        <v>32100</v>
      </c>
      <c r="L1365" s="5">
        <v>919410</v>
      </c>
      <c r="M1365" s="5">
        <v>217608.67</v>
      </c>
      <c r="N1365" s="5">
        <v>0.24399999999999999</v>
      </c>
      <c r="O1365" s="5">
        <v>1</v>
      </c>
      <c r="P1365" s="5">
        <v>11829</v>
      </c>
    </row>
    <row r="1366" spans="1:16" x14ac:dyDescent="0.3">
      <c r="A1366" s="5">
        <v>43</v>
      </c>
      <c r="B1366" s="5" t="s">
        <v>117</v>
      </c>
      <c r="C1366" s="5">
        <v>1</v>
      </c>
      <c r="D1366" s="5" t="s">
        <v>76</v>
      </c>
      <c r="E1366" s="5">
        <v>2022</v>
      </c>
      <c r="F1366" s="5">
        <v>7</v>
      </c>
      <c r="G1366" s="5" t="s">
        <v>40</v>
      </c>
      <c r="H1366" s="5">
        <v>1482206</v>
      </c>
      <c r="I1366" s="5">
        <v>1430249.33</v>
      </c>
      <c r="J1366" s="5">
        <v>20</v>
      </c>
      <c r="K1366" s="5">
        <v>265131</v>
      </c>
      <c r="L1366" s="5">
        <v>1742910</v>
      </c>
      <c r="M1366" s="5">
        <v>51956.67</v>
      </c>
      <c r="N1366" s="5">
        <v>3.5099999999999999E-2</v>
      </c>
      <c r="O1366" s="5">
        <v>1</v>
      </c>
      <c r="P1366" s="5">
        <v>191345</v>
      </c>
    </row>
    <row r="1367" spans="1:16" x14ac:dyDescent="0.3">
      <c r="A1367" s="5">
        <v>43</v>
      </c>
      <c r="B1367" s="5" t="s">
        <v>117</v>
      </c>
      <c r="C1367" s="5">
        <v>1</v>
      </c>
      <c r="D1367" s="5" t="s">
        <v>76</v>
      </c>
      <c r="E1367" s="5">
        <v>2022</v>
      </c>
      <c r="F1367" s="5">
        <v>8</v>
      </c>
      <c r="G1367" s="5" t="s">
        <v>41</v>
      </c>
      <c r="H1367" s="5">
        <v>1234937</v>
      </c>
      <c r="I1367" s="5">
        <v>1124884.75</v>
      </c>
      <c r="J1367" s="5">
        <v>21</v>
      </c>
      <c r="K1367" s="5">
        <v>214288</v>
      </c>
      <c r="L1367" s="5">
        <v>1444130</v>
      </c>
      <c r="M1367" s="5">
        <v>110052.25</v>
      </c>
      <c r="N1367" s="5">
        <v>8.9099999999999999E-2</v>
      </c>
      <c r="O1367" s="5">
        <v>1</v>
      </c>
      <c r="P1367" s="5">
        <v>966</v>
      </c>
    </row>
    <row r="1368" spans="1:16" x14ac:dyDescent="0.3">
      <c r="A1368" s="5">
        <v>43</v>
      </c>
      <c r="B1368" s="5" t="s">
        <v>117</v>
      </c>
      <c r="C1368" s="5">
        <v>1</v>
      </c>
      <c r="D1368" s="5" t="s">
        <v>76</v>
      </c>
      <c r="E1368" s="5">
        <v>2022</v>
      </c>
      <c r="F1368" s="5">
        <v>9</v>
      </c>
      <c r="G1368" s="5" t="s">
        <v>42</v>
      </c>
      <c r="H1368" s="5">
        <v>1238712</v>
      </c>
      <c r="I1368" s="5">
        <v>1017010.88</v>
      </c>
      <c r="J1368" s="5">
        <v>23</v>
      </c>
      <c r="K1368" s="5">
        <v>96679</v>
      </c>
      <c r="L1368" s="5">
        <v>1330370</v>
      </c>
      <c r="M1368" s="5">
        <v>221701.12</v>
      </c>
      <c r="N1368" s="5">
        <v>0.17899999999999999</v>
      </c>
      <c r="O1368" s="5">
        <v>0</v>
      </c>
      <c r="P1368" s="5">
        <v>0</v>
      </c>
    </row>
    <row r="1369" spans="1:16" x14ac:dyDescent="0.3">
      <c r="A1369" s="5">
        <v>43</v>
      </c>
      <c r="B1369" s="5" t="s">
        <v>117</v>
      </c>
      <c r="C1369" s="5">
        <v>1</v>
      </c>
      <c r="D1369" s="5" t="s">
        <v>76</v>
      </c>
      <c r="E1369" s="5">
        <v>2022</v>
      </c>
      <c r="F1369" s="5">
        <v>10</v>
      </c>
      <c r="G1369" s="5" t="s">
        <v>43</v>
      </c>
      <c r="H1369" s="5">
        <v>1295336</v>
      </c>
      <c r="I1369" s="5">
        <v>1140416.6399999999</v>
      </c>
      <c r="J1369" s="5">
        <v>23</v>
      </c>
      <c r="K1369" s="5">
        <v>199016</v>
      </c>
      <c r="L1369" s="5">
        <v>1490370</v>
      </c>
      <c r="M1369" s="5">
        <v>154919.35999999999</v>
      </c>
      <c r="N1369" s="5">
        <v>0.1196</v>
      </c>
      <c r="O1369" s="5">
        <v>2</v>
      </c>
      <c r="P1369" s="5">
        <v>12120</v>
      </c>
    </row>
    <row r="1370" spans="1:16" x14ac:dyDescent="0.3">
      <c r="A1370" s="5">
        <v>43</v>
      </c>
      <c r="B1370" s="5" t="s">
        <v>117</v>
      </c>
      <c r="C1370" s="5">
        <v>1</v>
      </c>
      <c r="D1370" s="5" t="s">
        <v>76</v>
      </c>
      <c r="E1370" s="5">
        <v>2022</v>
      </c>
      <c r="F1370" s="5">
        <v>11</v>
      </c>
      <c r="G1370" s="5" t="s">
        <v>44</v>
      </c>
      <c r="H1370" s="5">
        <v>1369258</v>
      </c>
      <c r="I1370" s="5">
        <v>1153718.3600000001</v>
      </c>
      <c r="J1370" s="5">
        <v>28</v>
      </c>
      <c r="K1370" s="5">
        <v>148601</v>
      </c>
      <c r="L1370" s="5">
        <v>1513140</v>
      </c>
      <c r="M1370" s="5">
        <v>215539.64</v>
      </c>
      <c r="N1370" s="5">
        <v>0.15740000000000001</v>
      </c>
      <c r="O1370" s="5">
        <v>2</v>
      </c>
      <c r="P1370" s="5">
        <v>103935</v>
      </c>
    </row>
    <row r="1371" spans="1:16" x14ac:dyDescent="0.3">
      <c r="A1371" s="5">
        <v>43</v>
      </c>
      <c r="B1371" s="5" t="s">
        <v>117</v>
      </c>
      <c r="C1371" s="5">
        <v>1</v>
      </c>
      <c r="D1371" s="5" t="s">
        <v>76</v>
      </c>
      <c r="E1371" s="5">
        <v>2022</v>
      </c>
      <c r="F1371" s="5">
        <v>12</v>
      </c>
      <c r="G1371" s="5" t="s">
        <v>45</v>
      </c>
      <c r="H1371" s="5">
        <v>982158</v>
      </c>
      <c r="I1371" s="5">
        <v>772037.23</v>
      </c>
      <c r="J1371" s="5">
        <v>21</v>
      </c>
      <c r="K1371" s="5">
        <v>23231</v>
      </c>
      <c r="L1371" s="5">
        <v>1001270</v>
      </c>
      <c r="M1371" s="5">
        <v>210120.77</v>
      </c>
      <c r="N1371" s="5">
        <v>0.21390000000000001</v>
      </c>
      <c r="O1371" s="5">
        <v>3</v>
      </c>
      <c r="P1371" s="5">
        <v>135956</v>
      </c>
    </row>
    <row r="1372" spans="1:16" x14ac:dyDescent="0.3">
      <c r="A1372" s="5">
        <v>43</v>
      </c>
      <c r="B1372" s="5" t="s">
        <v>117</v>
      </c>
      <c r="C1372" s="5">
        <v>1</v>
      </c>
      <c r="D1372" s="5" t="s">
        <v>76</v>
      </c>
      <c r="E1372" s="5">
        <v>2023</v>
      </c>
      <c r="F1372" s="5">
        <v>1</v>
      </c>
      <c r="G1372" s="5" t="s">
        <v>46</v>
      </c>
      <c r="H1372" s="5">
        <v>1704212</v>
      </c>
      <c r="I1372" s="5">
        <v>1419765.61</v>
      </c>
      <c r="J1372" s="5">
        <v>21</v>
      </c>
      <c r="K1372" s="5">
        <v>174589</v>
      </c>
      <c r="L1372" s="5">
        <v>1873690</v>
      </c>
      <c r="M1372" s="5">
        <v>284446.39</v>
      </c>
      <c r="N1372" s="5">
        <v>0.16689999999999999</v>
      </c>
      <c r="O1372" s="5">
        <v>3</v>
      </c>
      <c r="P1372" s="5">
        <v>36670</v>
      </c>
    </row>
    <row r="1373" spans="1:16" x14ac:dyDescent="0.3">
      <c r="A1373" s="5">
        <v>43</v>
      </c>
      <c r="B1373" s="5" t="s">
        <v>117</v>
      </c>
      <c r="C1373" s="5">
        <v>1</v>
      </c>
      <c r="D1373" s="5" t="s">
        <v>76</v>
      </c>
      <c r="E1373" s="5">
        <v>2023</v>
      </c>
      <c r="F1373" s="5">
        <v>2</v>
      </c>
      <c r="G1373" s="5" t="s">
        <v>47</v>
      </c>
      <c r="H1373" s="5">
        <v>1249428</v>
      </c>
      <c r="I1373" s="5">
        <v>1095890.08</v>
      </c>
      <c r="J1373" s="5">
        <v>21</v>
      </c>
      <c r="K1373" s="5">
        <v>149655</v>
      </c>
      <c r="L1373" s="5">
        <v>1398340</v>
      </c>
      <c r="M1373" s="5">
        <v>153537.92000000001</v>
      </c>
      <c r="N1373" s="5">
        <v>0.1229</v>
      </c>
      <c r="O1373" s="5">
        <v>0</v>
      </c>
      <c r="P1373" s="5">
        <v>0</v>
      </c>
    </row>
    <row r="1374" spans="1:16" x14ac:dyDescent="0.3">
      <c r="A1374" s="5">
        <v>43</v>
      </c>
      <c r="B1374" s="5" t="s">
        <v>117</v>
      </c>
      <c r="C1374" s="5">
        <v>1</v>
      </c>
      <c r="D1374" s="5" t="s">
        <v>76</v>
      </c>
      <c r="E1374" s="5">
        <v>2023</v>
      </c>
      <c r="F1374" s="5">
        <v>3</v>
      </c>
      <c r="G1374" s="5" t="s">
        <v>48</v>
      </c>
      <c r="H1374" s="5">
        <v>1096787</v>
      </c>
      <c r="I1374" s="5">
        <v>970269.08</v>
      </c>
      <c r="J1374" s="5">
        <v>20</v>
      </c>
      <c r="K1374" s="5">
        <v>126164</v>
      </c>
      <c r="L1374" s="5">
        <v>1218600</v>
      </c>
      <c r="M1374" s="5">
        <v>126517.92</v>
      </c>
      <c r="N1374" s="5">
        <v>0.1154</v>
      </c>
      <c r="O1374" s="5">
        <v>1</v>
      </c>
      <c r="P1374" s="5">
        <v>3962</v>
      </c>
    </row>
    <row r="1375" spans="1:16" x14ac:dyDescent="0.3">
      <c r="A1375" s="5">
        <v>43</v>
      </c>
      <c r="B1375" s="5" t="s">
        <v>117</v>
      </c>
      <c r="C1375" s="5">
        <v>1</v>
      </c>
      <c r="D1375" s="5" t="s">
        <v>76</v>
      </c>
      <c r="E1375" s="5">
        <v>2023</v>
      </c>
      <c r="F1375" s="5">
        <v>4</v>
      </c>
      <c r="G1375" s="5" t="s">
        <v>49</v>
      </c>
      <c r="H1375" s="5">
        <v>1953326</v>
      </c>
      <c r="I1375" s="5">
        <v>1610616.03</v>
      </c>
      <c r="J1375" s="5">
        <v>31</v>
      </c>
      <c r="K1375" s="5">
        <v>185458</v>
      </c>
      <c r="L1375" s="5">
        <v>2131720</v>
      </c>
      <c r="M1375" s="5">
        <v>342709.97</v>
      </c>
      <c r="N1375" s="5">
        <v>0.1754</v>
      </c>
      <c r="O1375" s="5">
        <v>0</v>
      </c>
      <c r="P1375" s="5">
        <v>0</v>
      </c>
    </row>
    <row r="1376" spans="1:16" x14ac:dyDescent="0.3">
      <c r="A1376" s="5">
        <v>43</v>
      </c>
      <c r="B1376" s="5" t="s">
        <v>117</v>
      </c>
      <c r="C1376" s="5">
        <v>1</v>
      </c>
      <c r="D1376" s="5" t="s">
        <v>76</v>
      </c>
      <c r="E1376" s="5">
        <v>2023</v>
      </c>
      <c r="F1376" s="5">
        <v>5</v>
      </c>
      <c r="G1376" s="5" t="s">
        <v>50</v>
      </c>
      <c r="H1376" s="5">
        <v>1213634</v>
      </c>
      <c r="I1376" s="5">
        <v>1017529.59</v>
      </c>
      <c r="J1376" s="5">
        <v>25</v>
      </c>
      <c r="K1376" s="5">
        <v>141161</v>
      </c>
      <c r="L1376" s="5">
        <v>1352910</v>
      </c>
      <c r="M1376" s="5">
        <v>196104.41</v>
      </c>
      <c r="N1376" s="5">
        <v>0.16159999999999999</v>
      </c>
      <c r="O1376" s="5">
        <v>3</v>
      </c>
      <c r="P1376" s="5">
        <v>72564</v>
      </c>
    </row>
    <row r="1377" spans="1:16" x14ac:dyDescent="0.3">
      <c r="A1377" s="5">
        <v>43</v>
      </c>
      <c r="B1377" s="5" t="s">
        <v>117</v>
      </c>
      <c r="C1377" s="5">
        <v>1</v>
      </c>
      <c r="D1377" s="5" t="s">
        <v>76</v>
      </c>
      <c r="E1377" s="5">
        <v>2023</v>
      </c>
      <c r="F1377" s="5">
        <v>6</v>
      </c>
      <c r="G1377" s="5" t="s">
        <v>51</v>
      </c>
      <c r="H1377" s="5">
        <v>1241660</v>
      </c>
      <c r="I1377" s="5">
        <v>960237.6</v>
      </c>
      <c r="J1377" s="5">
        <v>28</v>
      </c>
      <c r="K1377" s="5">
        <v>53930</v>
      </c>
      <c r="L1377" s="5">
        <v>1292800</v>
      </c>
      <c r="M1377" s="5">
        <v>281422.40000000002</v>
      </c>
      <c r="N1377" s="5">
        <v>0.22670000000000001</v>
      </c>
      <c r="O1377" s="5">
        <v>0</v>
      </c>
      <c r="P1377" s="5">
        <v>0</v>
      </c>
    </row>
    <row r="1378" spans="1:16" x14ac:dyDescent="0.3">
      <c r="A1378" s="5">
        <v>43</v>
      </c>
      <c r="B1378" s="5" t="s">
        <v>117</v>
      </c>
      <c r="C1378" s="5">
        <v>1</v>
      </c>
      <c r="D1378" s="5" t="s">
        <v>76</v>
      </c>
      <c r="E1378" s="5">
        <v>2023</v>
      </c>
      <c r="F1378" s="5">
        <v>7</v>
      </c>
      <c r="G1378" s="5" t="s">
        <v>52</v>
      </c>
      <c r="H1378" s="5">
        <v>751446</v>
      </c>
      <c r="I1378" s="5">
        <v>639269.22</v>
      </c>
      <c r="J1378" s="5">
        <v>20</v>
      </c>
      <c r="K1378" s="5">
        <v>108535</v>
      </c>
      <c r="L1378" s="5">
        <v>856670</v>
      </c>
      <c r="M1378" s="5">
        <v>112176.78</v>
      </c>
      <c r="N1378" s="5">
        <v>0.14929999999999999</v>
      </c>
      <c r="O1378" s="5">
        <v>4</v>
      </c>
      <c r="P1378" s="5">
        <v>62381</v>
      </c>
    </row>
    <row r="1379" spans="1:16" x14ac:dyDescent="0.3">
      <c r="A1379" s="5">
        <v>43</v>
      </c>
      <c r="B1379" s="5" t="s">
        <v>117</v>
      </c>
      <c r="C1379" s="5">
        <v>1</v>
      </c>
      <c r="D1379" s="5" t="s">
        <v>76</v>
      </c>
      <c r="E1379" s="5">
        <v>2023</v>
      </c>
      <c r="F1379" s="5">
        <v>8</v>
      </c>
      <c r="G1379" s="5" t="s">
        <v>53</v>
      </c>
      <c r="H1379" s="5">
        <v>1980684</v>
      </c>
      <c r="I1379" s="5">
        <v>1673601.08</v>
      </c>
      <c r="J1379" s="5">
        <v>24</v>
      </c>
      <c r="K1379" s="5">
        <v>222928</v>
      </c>
      <c r="L1379" s="5">
        <v>2195530</v>
      </c>
      <c r="M1379" s="5">
        <v>307082.92</v>
      </c>
      <c r="N1379" s="5">
        <v>0.155</v>
      </c>
      <c r="O1379" s="5">
        <v>4</v>
      </c>
      <c r="P1379" s="5">
        <v>117868</v>
      </c>
    </row>
    <row r="1380" spans="1:16" x14ac:dyDescent="0.3">
      <c r="A1380" s="5">
        <v>43</v>
      </c>
      <c r="B1380" s="5" t="s">
        <v>117</v>
      </c>
      <c r="C1380" s="5">
        <v>1</v>
      </c>
      <c r="D1380" s="5" t="s">
        <v>76</v>
      </c>
      <c r="E1380" s="5">
        <v>2023</v>
      </c>
      <c r="F1380" s="5">
        <v>9</v>
      </c>
      <c r="G1380" s="5" t="s">
        <v>54</v>
      </c>
      <c r="H1380" s="5">
        <v>1837002</v>
      </c>
      <c r="I1380" s="5">
        <v>1727579.86</v>
      </c>
      <c r="J1380" s="5">
        <v>24</v>
      </c>
      <c r="K1380" s="5">
        <v>391341</v>
      </c>
      <c r="L1380" s="5">
        <v>2227210</v>
      </c>
      <c r="M1380" s="5">
        <v>109422.14</v>
      </c>
      <c r="N1380" s="5">
        <v>5.96E-2</v>
      </c>
      <c r="O1380" s="5">
        <v>0</v>
      </c>
      <c r="P1380" s="5">
        <v>0</v>
      </c>
    </row>
    <row r="1381" spans="1:16" x14ac:dyDescent="0.3">
      <c r="A1381" s="5">
        <v>43</v>
      </c>
      <c r="B1381" s="5" t="s">
        <v>117</v>
      </c>
      <c r="C1381" s="5">
        <v>1</v>
      </c>
      <c r="D1381" s="5" t="s">
        <v>76</v>
      </c>
      <c r="E1381" s="5">
        <v>2023</v>
      </c>
      <c r="F1381" s="5">
        <v>10</v>
      </c>
      <c r="G1381" s="5" t="s">
        <v>55</v>
      </c>
      <c r="H1381" s="5">
        <v>1853062</v>
      </c>
      <c r="I1381" s="5">
        <v>1594181.2</v>
      </c>
      <c r="J1381" s="5">
        <v>33</v>
      </c>
      <c r="K1381" s="5">
        <v>228220</v>
      </c>
      <c r="L1381" s="5">
        <v>2076110</v>
      </c>
      <c r="M1381" s="5">
        <v>258880.8</v>
      </c>
      <c r="N1381" s="5">
        <v>0.13969999999999999</v>
      </c>
      <c r="O1381" s="5">
        <v>4</v>
      </c>
      <c r="P1381" s="5">
        <v>83904</v>
      </c>
    </row>
    <row r="1382" spans="1:16" x14ac:dyDescent="0.3">
      <c r="A1382" s="5">
        <v>43</v>
      </c>
      <c r="B1382" s="5" t="s">
        <v>117</v>
      </c>
      <c r="C1382" s="5">
        <v>1</v>
      </c>
      <c r="D1382" s="5" t="s">
        <v>76</v>
      </c>
      <c r="E1382" s="5">
        <v>2023</v>
      </c>
      <c r="F1382" s="5">
        <v>11</v>
      </c>
      <c r="G1382" s="5" t="s">
        <v>56</v>
      </c>
      <c r="H1382" s="5">
        <v>1789804</v>
      </c>
      <c r="I1382" s="5">
        <v>1673211.06</v>
      </c>
      <c r="J1382" s="5">
        <v>31</v>
      </c>
      <c r="K1382" s="5">
        <v>355710</v>
      </c>
      <c r="L1382" s="5">
        <v>2138130</v>
      </c>
      <c r="M1382" s="5">
        <v>116592.94</v>
      </c>
      <c r="N1382" s="5">
        <v>6.5100000000000005E-2</v>
      </c>
      <c r="O1382" s="5">
        <v>2</v>
      </c>
      <c r="P1382" s="5">
        <v>21685</v>
      </c>
    </row>
    <row r="1383" spans="1:16" x14ac:dyDescent="0.3">
      <c r="A1383" s="5">
        <v>43</v>
      </c>
      <c r="B1383" s="5" t="s">
        <v>117</v>
      </c>
      <c r="C1383" s="5">
        <v>1</v>
      </c>
      <c r="D1383" s="5" t="s">
        <v>76</v>
      </c>
      <c r="E1383" s="5">
        <v>2023</v>
      </c>
      <c r="F1383" s="5">
        <v>12</v>
      </c>
      <c r="G1383" s="5" t="s">
        <v>57</v>
      </c>
      <c r="H1383" s="5">
        <v>1404582</v>
      </c>
      <c r="I1383" s="5">
        <v>1200662.03</v>
      </c>
      <c r="J1383" s="5">
        <v>32</v>
      </c>
      <c r="K1383" s="5">
        <v>199906</v>
      </c>
      <c r="L1383" s="5">
        <v>1594190</v>
      </c>
      <c r="M1383" s="5">
        <v>203919.97</v>
      </c>
      <c r="N1383" s="5">
        <v>0.1452</v>
      </c>
      <c r="O1383" s="5">
        <v>4</v>
      </c>
      <c r="P1383" s="5">
        <v>73066</v>
      </c>
    </row>
    <row r="1384" spans="1:16" x14ac:dyDescent="0.3">
      <c r="A1384" s="5">
        <v>43</v>
      </c>
      <c r="B1384" s="5" t="s">
        <v>117</v>
      </c>
      <c r="C1384" s="5">
        <v>1</v>
      </c>
      <c r="D1384" s="5" t="s">
        <v>76</v>
      </c>
      <c r="E1384" s="5">
        <v>2024</v>
      </c>
      <c r="F1384" s="5">
        <v>1</v>
      </c>
      <c r="G1384" s="5" t="s">
        <v>58</v>
      </c>
      <c r="H1384" s="5">
        <v>1104126</v>
      </c>
      <c r="I1384" s="5">
        <v>942954.87</v>
      </c>
      <c r="J1384" s="5">
        <v>16</v>
      </c>
      <c r="K1384" s="5">
        <v>120646</v>
      </c>
      <c r="L1384" s="5">
        <v>1222270</v>
      </c>
      <c r="M1384" s="5">
        <v>161171.13</v>
      </c>
      <c r="N1384" s="5">
        <v>0.14599999999999999</v>
      </c>
      <c r="O1384" s="5">
        <v>1</v>
      </c>
      <c r="P1384" s="5">
        <v>5014</v>
      </c>
    </row>
    <row r="1385" spans="1:16" x14ac:dyDescent="0.3">
      <c r="A1385" s="5">
        <v>43</v>
      </c>
      <c r="B1385" s="5" t="s">
        <v>117</v>
      </c>
      <c r="C1385" s="5">
        <v>1</v>
      </c>
      <c r="D1385" s="5" t="s">
        <v>76</v>
      </c>
      <c r="E1385" s="5">
        <v>2024</v>
      </c>
      <c r="F1385" s="5">
        <v>2</v>
      </c>
      <c r="G1385" s="5" t="s">
        <v>59</v>
      </c>
      <c r="H1385" s="5">
        <v>1250295</v>
      </c>
      <c r="I1385" s="5">
        <v>1066095.28</v>
      </c>
      <c r="J1385" s="5">
        <v>18</v>
      </c>
      <c r="K1385" s="5">
        <v>102198</v>
      </c>
      <c r="L1385" s="5">
        <v>1352140</v>
      </c>
      <c r="M1385" s="5">
        <v>184199.72</v>
      </c>
      <c r="N1385" s="5">
        <v>0.14729999999999999</v>
      </c>
      <c r="O1385" s="5">
        <v>0</v>
      </c>
      <c r="P1385" s="5">
        <v>0</v>
      </c>
    </row>
    <row r="1386" spans="1:16" x14ac:dyDescent="0.3">
      <c r="A1386" s="5">
        <v>43</v>
      </c>
      <c r="B1386" s="5" t="s">
        <v>117</v>
      </c>
      <c r="C1386" s="5">
        <v>1</v>
      </c>
      <c r="D1386" s="5" t="s">
        <v>76</v>
      </c>
      <c r="E1386" s="5">
        <v>2024</v>
      </c>
      <c r="F1386" s="5">
        <v>3</v>
      </c>
      <c r="G1386" s="5" t="s">
        <v>60</v>
      </c>
      <c r="H1386" s="5">
        <v>1542158</v>
      </c>
      <c r="I1386" s="5">
        <v>1364934.98</v>
      </c>
      <c r="J1386" s="5">
        <v>23</v>
      </c>
      <c r="K1386" s="5">
        <v>205450</v>
      </c>
      <c r="L1386" s="5">
        <v>1746280</v>
      </c>
      <c r="M1386" s="5">
        <v>177223.02</v>
      </c>
      <c r="N1386" s="5">
        <v>0.1149</v>
      </c>
      <c r="O1386" s="5">
        <v>2</v>
      </c>
      <c r="P1386" s="5">
        <v>2926</v>
      </c>
    </row>
    <row r="1387" spans="1:16" x14ac:dyDescent="0.3">
      <c r="A1387" s="5">
        <v>43</v>
      </c>
      <c r="B1387" s="5" t="s">
        <v>117</v>
      </c>
      <c r="C1387" s="5">
        <v>1</v>
      </c>
      <c r="D1387" s="5" t="s">
        <v>76</v>
      </c>
      <c r="E1387" s="5">
        <v>2024</v>
      </c>
      <c r="F1387" s="5">
        <v>4</v>
      </c>
      <c r="G1387" s="5" t="s">
        <v>61</v>
      </c>
      <c r="H1387" s="5">
        <v>963007</v>
      </c>
      <c r="I1387" s="5">
        <v>818700.13</v>
      </c>
      <c r="J1387" s="5">
        <v>18</v>
      </c>
      <c r="K1387" s="5">
        <v>120272</v>
      </c>
      <c r="L1387" s="5">
        <v>1082630</v>
      </c>
      <c r="M1387" s="5">
        <v>144306.87</v>
      </c>
      <c r="N1387" s="5">
        <v>0.14990000000000001</v>
      </c>
      <c r="O1387" s="5">
        <v>0</v>
      </c>
      <c r="P1387" s="5">
        <v>0</v>
      </c>
    </row>
    <row r="1388" spans="1:16" x14ac:dyDescent="0.3">
      <c r="A1388" s="5">
        <v>43</v>
      </c>
      <c r="B1388" s="5" t="s">
        <v>117</v>
      </c>
      <c r="C1388" s="5">
        <v>1</v>
      </c>
      <c r="D1388" s="5" t="s">
        <v>76</v>
      </c>
      <c r="E1388" s="5">
        <v>2024</v>
      </c>
      <c r="F1388" s="5">
        <v>5</v>
      </c>
      <c r="G1388" s="5" t="s">
        <v>62</v>
      </c>
      <c r="H1388" s="5">
        <v>2155042</v>
      </c>
      <c r="I1388" s="5">
        <v>1888182.82</v>
      </c>
      <c r="J1388" s="5">
        <v>36</v>
      </c>
      <c r="K1388" s="5">
        <v>328242</v>
      </c>
      <c r="L1388" s="5">
        <v>2478570</v>
      </c>
      <c r="M1388" s="5">
        <v>266859.18</v>
      </c>
      <c r="N1388" s="5">
        <v>0.12379999999999999</v>
      </c>
      <c r="O1388" s="5">
        <v>1</v>
      </c>
      <c r="P1388" s="5">
        <v>39904</v>
      </c>
    </row>
    <row r="1389" spans="1:16" x14ac:dyDescent="0.3">
      <c r="A1389" s="5">
        <v>43</v>
      </c>
      <c r="B1389" s="5" t="s">
        <v>117</v>
      </c>
      <c r="C1389" s="5">
        <v>1</v>
      </c>
      <c r="D1389" s="5" t="s">
        <v>76</v>
      </c>
      <c r="E1389" s="5">
        <v>2024</v>
      </c>
      <c r="F1389" s="5">
        <v>6</v>
      </c>
      <c r="G1389" s="5" t="s">
        <v>63</v>
      </c>
      <c r="H1389" s="5">
        <v>1484687</v>
      </c>
      <c r="I1389" s="5">
        <v>1192976.17</v>
      </c>
      <c r="J1389" s="5">
        <v>22</v>
      </c>
      <c r="K1389" s="5">
        <v>67793</v>
      </c>
      <c r="L1389" s="5">
        <v>1548250</v>
      </c>
      <c r="M1389" s="5">
        <v>291710.83</v>
      </c>
      <c r="N1389" s="5">
        <v>0.19650000000000001</v>
      </c>
      <c r="O1389" s="5">
        <v>4</v>
      </c>
      <c r="P1389" s="5">
        <v>183143</v>
      </c>
    </row>
    <row r="1390" spans="1:16" x14ac:dyDescent="0.3">
      <c r="A1390" s="5">
        <v>43</v>
      </c>
      <c r="B1390" s="5" t="s">
        <v>117</v>
      </c>
      <c r="C1390" s="5">
        <v>1</v>
      </c>
      <c r="D1390" s="5" t="s">
        <v>76</v>
      </c>
      <c r="E1390" s="5">
        <v>2024</v>
      </c>
      <c r="F1390" s="5">
        <v>7</v>
      </c>
      <c r="G1390" s="5" t="s">
        <v>64</v>
      </c>
      <c r="H1390" s="5">
        <v>2078060</v>
      </c>
      <c r="I1390" s="5">
        <v>1745163.44</v>
      </c>
      <c r="J1390" s="5">
        <v>23</v>
      </c>
      <c r="K1390" s="5">
        <v>186666</v>
      </c>
      <c r="L1390" s="5">
        <v>2259350</v>
      </c>
      <c r="M1390" s="5">
        <v>332896.56</v>
      </c>
      <c r="N1390" s="5">
        <v>0.16020000000000001</v>
      </c>
      <c r="O1390" s="5">
        <v>5</v>
      </c>
      <c r="P1390" s="5">
        <v>15295</v>
      </c>
    </row>
    <row r="1391" spans="1:16" x14ac:dyDescent="0.3">
      <c r="A1391" s="5">
        <v>43</v>
      </c>
      <c r="B1391" s="5" t="s">
        <v>117</v>
      </c>
      <c r="C1391" s="5">
        <v>1</v>
      </c>
      <c r="D1391" s="5" t="s">
        <v>76</v>
      </c>
      <c r="E1391" s="5">
        <v>2024</v>
      </c>
      <c r="F1391" s="5">
        <v>8</v>
      </c>
      <c r="G1391" s="5" t="s">
        <v>65</v>
      </c>
      <c r="H1391" s="5">
        <v>1456907</v>
      </c>
      <c r="I1391" s="5">
        <v>1226924.83</v>
      </c>
      <c r="J1391" s="5">
        <v>27</v>
      </c>
      <c r="K1391" s="5">
        <v>202336</v>
      </c>
      <c r="L1391" s="5">
        <v>1655680</v>
      </c>
      <c r="M1391" s="5">
        <v>229982.17</v>
      </c>
      <c r="N1391" s="5">
        <v>0.15790000000000001</v>
      </c>
      <c r="O1391" s="5">
        <v>1</v>
      </c>
      <c r="P1391" s="5">
        <v>34267</v>
      </c>
    </row>
    <row r="1392" spans="1:16" x14ac:dyDescent="0.3">
      <c r="A1392" s="5">
        <v>43</v>
      </c>
      <c r="B1392" s="5" t="s">
        <v>117</v>
      </c>
      <c r="C1392" s="5">
        <v>1</v>
      </c>
      <c r="D1392" s="5" t="s">
        <v>76</v>
      </c>
      <c r="E1392" s="5">
        <v>2024</v>
      </c>
      <c r="F1392" s="5">
        <v>9</v>
      </c>
      <c r="G1392" s="5" t="s">
        <v>66</v>
      </c>
      <c r="H1392" s="5">
        <v>2207114</v>
      </c>
      <c r="I1392" s="5">
        <v>1757717.73</v>
      </c>
      <c r="J1392" s="5">
        <v>32</v>
      </c>
      <c r="K1392" s="5">
        <v>123432</v>
      </c>
      <c r="L1392" s="5">
        <v>2323580</v>
      </c>
      <c r="M1392" s="5">
        <v>449396.27</v>
      </c>
      <c r="N1392" s="5">
        <v>0.2036</v>
      </c>
      <c r="O1392" s="5">
        <v>2</v>
      </c>
      <c r="P1392" s="5">
        <v>38567</v>
      </c>
    </row>
    <row r="1393" spans="1:16" x14ac:dyDescent="0.3">
      <c r="A1393" s="5">
        <v>43</v>
      </c>
      <c r="B1393" s="5" t="s">
        <v>117</v>
      </c>
      <c r="C1393" s="5">
        <v>1</v>
      </c>
      <c r="D1393" s="5" t="s">
        <v>76</v>
      </c>
      <c r="E1393" s="5">
        <v>2024</v>
      </c>
      <c r="F1393" s="5">
        <v>10</v>
      </c>
      <c r="G1393" s="5" t="s">
        <v>67</v>
      </c>
      <c r="H1393" s="5">
        <v>3095040</v>
      </c>
      <c r="I1393" s="5">
        <v>2492541.4900000002</v>
      </c>
      <c r="J1393" s="5">
        <v>40</v>
      </c>
      <c r="K1393" s="5">
        <v>136815</v>
      </c>
      <c r="L1393" s="5">
        <v>3227570</v>
      </c>
      <c r="M1393" s="5">
        <v>602498.51</v>
      </c>
      <c r="N1393" s="5">
        <v>0.19470000000000001</v>
      </c>
      <c r="O1393" s="5">
        <v>2</v>
      </c>
      <c r="P1393" s="5">
        <v>83846</v>
      </c>
    </row>
    <row r="1394" spans="1:16" x14ac:dyDescent="0.3">
      <c r="A1394" s="5">
        <v>43</v>
      </c>
      <c r="B1394" s="5" t="s">
        <v>117</v>
      </c>
      <c r="C1394" s="5">
        <v>1</v>
      </c>
      <c r="D1394" s="5" t="s">
        <v>76</v>
      </c>
      <c r="E1394" s="5">
        <v>2024</v>
      </c>
      <c r="F1394" s="5">
        <v>11</v>
      </c>
      <c r="G1394" s="5" t="s">
        <v>68</v>
      </c>
      <c r="H1394" s="5">
        <v>2710178</v>
      </c>
      <c r="I1394" s="5">
        <v>2174814.4</v>
      </c>
      <c r="J1394" s="5">
        <v>39</v>
      </c>
      <c r="K1394" s="5">
        <v>114488</v>
      </c>
      <c r="L1394" s="5">
        <v>2808870</v>
      </c>
      <c r="M1394" s="5">
        <v>535363.6</v>
      </c>
      <c r="N1394" s="5">
        <v>0.19750000000000001</v>
      </c>
      <c r="O1394" s="5">
        <v>3</v>
      </c>
      <c r="P1394" s="5">
        <v>12240</v>
      </c>
    </row>
    <row r="1395" spans="1:16" x14ac:dyDescent="0.3">
      <c r="A1395" s="5">
        <v>43</v>
      </c>
      <c r="B1395" s="5" t="s">
        <v>117</v>
      </c>
      <c r="C1395" s="5">
        <v>1</v>
      </c>
      <c r="D1395" s="5" t="s">
        <v>76</v>
      </c>
      <c r="E1395" s="5">
        <v>2024</v>
      </c>
      <c r="F1395" s="5">
        <v>12</v>
      </c>
      <c r="G1395" s="5" t="s">
        <v>69</v>
      </c>
      <c r="H1395" s="5">
        <v>2075212</v>
      </c>
      <c r="I1395" s="5">
        <v>1661304.92</v>
      </c>
      <c r="J1395" s="5">
        <v>30</v>
      </c>
      <c r="K1395" s="5">
        <v>58325</v>
      </c>
      <c r="L1395" s="5">
        <v>2126720</v>
      </c>
      <c r="M1395" s="5">
        <v>413907.08</v>
      </c>
      <c r="N1395" s="5">
        <v>0.19950000000000001</v>
      </c>
      <c r="O1395" s="5">
        <v>0</v>
      </c>
      <c r="P1395" s="5">
        <v>0</v>
      </c>
    </row>
    <row r="1396" spans="1:16" x14ac:dyDescent="0.3">
      <c r="A1396" s="5">
        <v>26</v>
      </c>
      <c r="B1396" s="5" t="s">
        <v>118</v>
      </c>
      <c r="C1396" s="5">
        <v>1</v>
      </c>
      <c r="D1396" s="5" t="s">
        <v>76</v>
      </c>
      <c r="E1396" s="5">
        <v>2021</v>
      </c>
      <c r="F1396" s="5">
        <v>1</v>
      </c>
      <c r="G1396" s="5" t="s">
        <v>22</v>
      </c>
      <c r="H1396" s="5">
        <v>794387</v>
      </c>
      <c r="I1396" s="5">
        <v>672938.89</v>
      </c>
      <c r="J1396" s="5">
        <v>12</v>
      </c>
      <c r="K1396" s="5">
        <v>45052</v>
      </c>
      <c r="L1396" s="5">
        <v>837360</v>
      </c>
      <c r="M1396" s="5">
        <v>121448.11</v>
      </c>
      <c r="N1396" s="5">
        <v>0.15290000000000001</v>
      </c>
      <c r="O1396" s="5">
        <v>0</v>
      </c>
      <c r="P1396" s="5">
        <v>0</v>
      </c>
    </row>
    <row r="1397" spans="1:16" x14ac:dyDescent="0.3">
      <c r="A1397" s="5">
        <v>49</v>
      </c>
      <c r="B1397" s="5" t="s">
        <v>118</v>
      </c>
      <c r="C1397" s="5">
        <v>1</v>
      </c>
      <c r="D1397" s="5" t="s">
        <v>76</v>
      </c>
      <c r="E1397" s="5">
        <v>2021</v>
      </c>
      <c r="F1397" s="5">
        <v>1</v>
      </c>
      <c r="G1397" s="5" t="s">
        <v>22</v>
      </c>
      <c r="H1397" s="5">
        <v>1804399</v>
      </c>
      <c r="I1397" s="5">
        <v>1530654.88</v>
      </c>
      <c r="J1397" s="5">
        <v>32</v>
      </c>
      <c r="K1397" s="5">
        <v>198466</v>
      </c>
      <c r="L1397" s="5">
        <v>1992320</v>
      </c>
      <c r="M1397" s="5">
        <v>273744.12</v>
      </c>
      <c r="N1397" s="5">
        <v>0.1517</v>
      </c>
      <c r="O1397" s="5">
        <v>1</v>
      </c>
      <c r="P1397" s="5">
        <v>13566</v>
      </c>
    </row>
    <row r="1398" spans="1:16" x14ac:dyDescent="0.3">
      <c r="A1398" s="5">
        <v>59</v>
      </c>
      <c r="B1398" s="5" t="s">
        <v>118</v>
      </c>
      <c r="C1398" s="5">
        <v>1</v>
      </c>
      <c r="D1398" s="5" t="s">
        <v>76</v>
      </c>
      <c r="E1398" s="5">
        <v>2021</v>
      </c>
      <c r="F1398" s="5">
        <v>1</v>
      </c>
      <c r="G1398" s="5" t="s">
        <v>22</v>
      </c>
      <c r="H1398" s="5">
        <v>2807817</v>
      </c>
      <c r="I1398" s="5">
        <v>2445793.2400000002</v>
      </c>
      <c r="J1398" s="5">
        <v>49</v>
      </c>
      <c r="K1398" s="5">
        <v>358690</v>
      </c>
      <c r="L1398" s="5">
        <v>3152210</v>
      </c>
      <c r="M1398" s="5">
        <v>362023.76</v>
      </c>
      <c r="N1398" s="5">
        <v>0.12889999999999999</v>
      </c>
      <c r="O1398" s="5">
        <v>2</v>
      </c>
      <c r="P1398" s="5">
        <v>11466</v>
      </c>
    </row>
    <row r="1399" spans="1:16" x14ac:dyDescent="0.3">
      <c r="A1399" s="5">
        <v>26</v>
      </c>
      <c r="B1399" s="5" t="s">
        <v>118</v>
      </c>
      <c r="C1399" s="5">
        <v>1</v>
      </c>
      <c r="D1399" s="5" t="s">
        <v>76</v>
      </c>
      <c r="E1399" s="5">
        <v>2021</v>
      </c>
      <c r="F1399" s="5">
        <v>2</v>
      </c>
      <c r="G1399" s="5" t="s">
        <v>23</v>
      </c>
      <c r="H1399" s="5">
        <v>258326</v>
      </c>
      <c r="I1399" s="5">
        <v>220861.59</v>
      </c>
      <c r="J1399" s="5">
        <v>6</v>
      </c>
      <c r="K1399" s="5">
        <v>60927</v>
      </c>
      <c r="L1399" s="5">
        <v>318890</v>
      </c>
      <c r="M1399" s="5">
        <v>37464.410000000003</v>
      </c>
      <c r="N1399" s="5">
        <v>0.14499999999999999</v>
      </c>
      <c r="O1399" s="5">
        <v>0</v>
      </c>
      <c r="P1399" s="5">
        <v>0</v>
      </c>
    </row>
    <row r="1400" spans="1:16" x14ac:dyDescent="0.3">
      <c r="A1400" s="5">
        <v>49</v>
      </c>
      <c r="B1400" s="5" t="s">
        <v>118</v>
      </c>
      <c r="C1400" s="5">
        <v>1</v>
      </c>
      <c r="D1400" s="5" t="s">
        <v>76</v>
      </c>
      <c r="E1400" s="5">
        <v>2021</v>
      </c>
      <c r="F1400" s="5">
        <v>2</v>
      </c>
      <c r="G1400" s="5" t="s">
        <v>23</v>
      </c>
      <c r="H1400" s="5">
        <v>1847471</v>
      </c>
      <c r="I1400" s="5">
        <v>1635002.5</v>
      </c>
      <c r="J1400" s="5">
        <v>23</v>
      </c>
      <c r="K1400" s="5">
        <v>257046</v>
      </c>
      <c r="L1400" s="5">
        <v>2098090</v>
      </c>
      <c r="M1400" s="5">
        <v>212468.5</v>
      </c>
      <c r="N1400" s="5">
        <v>0.115</v>
      </c>
      <c r="O1400" s="5">
        <v>5</v>
      </c>
      <c r="P1400" s="5">
        <v>106639</v>
      </c>
    </row>
    <row r="1401" spans="1:16" x14ac:dyDescent="0.3">
      <c r="A1401" s="5">
        <v>59</v>
      </c>
      <c r="B1401" s="5" t="s">
        <v>118</v>
      </c>
      <c r="C1401" s="5">
        <v>1</v>
      </c>
      <c r="D1401" s="5" t="s">
        <v>76</v>
      </c>
      <c r="E1401" s="5">
        <v>2021</v>
      </c>
      <c r="F1401" s="5">
        <v>2</v>
      </c>
      <c r="G1401" s="5" t="s">
        <v>23</v>
      </c>
      <c r="H1401" s="5">
        <v>2632042</v>
      </c>
      <c r="I1401" s="5">
        <v>2349175.54</v>
      </c>
      <c r="J1401" s="5">
        <v>44</v>
      </c>
      <c r="K1401" s="5">
        <v>396783</v>
      </c>
      <c r="L1401" s="5">
        <v>3022990</v>
      </c>
      <c r="M1401" s="5">
        <v>282866.46000000002</v>
      </c>
      <c r="N1401" s="5">
        <v>0.1075</v>
      </c>
      <c r="O1401" s="5">
        <v>3</v>
      </c>
      <c r="P1401" s="5">
        <v>33658</v>
      </c>
    </row>
    <row r="1402" spans="1:16" x14ac:dyDescent="0.3">
      <c r="A1402" s="5">
        <v>26</v>
      </c>
      <c r="B1402" s="5" t="s">
        <v>118</v>
      </c>
      <c r="C1402" s="5">
        <v>1</v>
      </c>
      <c r="D1402" s="5" t="s">
        <v>76</v>
      </c>
      <c r="E1402" s="5">
        <v>2021</v>
      </c>
      <c r="F1402" s="5">
        <v>3</v>
      </c>
      <c r="G1402" s="5" t="s">
        <v>24</v>
      </c>
      <c r="H1402" s="5">
        <v>745706</v>
      </c>
      <c r="I1402" s="5">
        <v>651161.55000000005</v>
      </c>
      <c r="J1402" s="5">
        <v>10</v>
      </c>
      <c r="K1402" s="5">
        <v>104949</v>
      </c>
      <c r="L1402" s="5">
        <v>849020</v>
      </c>
      <c r="M1402" s="5">
        <v>94544.45</v>
      </c>
      <c r="N1402" s="5">
        <v>0.1268</v>
      </c>
      <c r="O1402" s="5">
        <v>1</v>
      </c>
      <c r="P1402" s="5">
        <v>6078</v>
      </c>
    </row>
    <row r="1403" spans="1:16" x14ac:dyDescent="0.3">
      <c r="A1403" s="5">
        <v>49</v>
      </c>
      <c r="B1403" s="5" t="s">
        <v>118</v>
      </c>
      <c r="C1403" s="5">
        <v>1</v>
      </c>
      <c r="D1403" s="5" t="s">
        <v>76</v>
      </c>
      <c r="E1403" s="5">
        <v>2021</v>
      </c>
      <c r="F1403" s="5">
        <v>3</v>
      </c>
      <c r="G1403" s="5" t="s">
        <v>24</v>
      </c>
      <c r="H1403" s="5">
        <v>3327580</v>
      </c>
      <c r="I1403" s="5">
        <v>2769343.54</v>
      </c>
      <c r="J1403" s="5">
        <v>40</v>
      </c>
      <c r="K1403" s="5">
        <v>247548</v>
      </c>
      <c r="L1403" s="5">
        <v>3569700</v>
      </c>
      <c r="M1403" s="5">
        <v>558236.46</v>
      </c>
      <c r="N1403" s="5">
        <v>0.1678</v>
      </c>
      <c r="O1403" s="5">
        <v>4</v>
      </c>
      <c r="P1403" s="5">
        <v>69305</v>
      </c>
    </row>
    <row r="1404" spans="1:16" x14ac:dyDescent="0.3">
      <c r="A1404" s="5">
        <v>59</v>
      </c>
      <c r="B1404" s="5" t="s">
        <v>118</v>
      </c>
      <c r="C1404" s="5">
        <v>1</v>
      </c>
      <c r="D1404" s="5" t="s">
        <v>76</v>
      </c>
      <c r="E1404" s="5">
        <v>2021</v>
      </c>
      <c r="F1404" s="5">
        <v>3</v>
      </c>
      <c r="G1404" s="5" t="s">
        <v>24</v>
      </c>
      <c r="H1404" s="5">
        <v>4120729</v>
      </c>
      <c r="I1404" s="5">
        <v>3292091.44</v>
      </c>
      <c r="J1404" s="5">
        <v>59</v>
      </c>
      <c r="K1404" s="5">
        <v>224238</v>
      </c>
      <c r="L1404" s="5">
        <v>4323740</v>
      </c>
      <c r="M1404" s="5">
        <v>828637.56</v>
      </c>
      <c r="N1404" s="5">
        <v>0.2011</v>
      </c>
      <c r="O1404" s="5">
        <v>11</v>
      </c>
      <c r="P1404" s="5">
        <v>582304</v>
      </c>
    </row>
    <row r="1405" spans="1:16" x14ac:dyDescent="0.3">
      <c r="A1405" s="5">
        <v>26</v>
      </c>
      <c r="B1405" s="5" t="s">
        <v>118</v>
      </c>
      <c r="C1405" s="5">
        <v>1</v>
      </c>
      <c r="D1405" s="5" t="s">
        <v>76</v>
      </c>
      <c r="E1405" s="5">
        <v>2021</v>
      </c>
      <c r="F1405" s="5">
        <v>4</v>
      </c>
      <c r="G1405" s="5" t="s">
        <v>25</v>
      </c>
      <c r="H1405" s="5">
        <v>873593</v>
      </c>
      <c r="I1405" s="5">
        <v>734387.15</v>
      </c>
      <c r="J1405" s="5">
        <v>8</v>
      </c>
      <c r="K1405" s="5">
        <v>63219</v>
      </c>
      <c r="L1405" s="5">
        <v>930690</v>
      </c>
      <c r="M1405" s="5">
        <v>139205.85</v>
      </c>
      <c r="N1405" s="5">
        <v>0.1593</v>
      </c>
      <c r="O1405" s="5">
        <v>0</v>
      </c>
      <c r="P1405" s="5">
        <v>0</v>
      </c>
    </row>
    <row r="1406" spans="1:16" x14ac:dyDescent="0.3">
      <c r="A1406" s="5">
        <v>49</v>
      </c>
      <c r="B1406" s="5" t="s">
        <v>118</v>
      </c>
      <c r="C1406" s="5">
        <v>1</v>
      </c>
      <c r="D1406" s="5" t="s">
        <v>76</v>
      </c>
      <c r="E1406" s="5">
        <v>2021</v>
      </c>
      <c r="F1406" s="5">
        <v>4</v>
      </c>
      <c r="G1406" s="5" t="s">
        <v>25</v>
      </c>
      <c r="H1406" s="5">
        <v>3357255</v>
      </c>
      <c r="I1406" s="5">
        <v>3124277.22</v>
      </c>
      <c r="J1406" s="5">
        <v>47</v>
      </c>
      <c r="K1406" s="5">
        <v>644488</v>
      </c>
      <c r="L1406" s="5">
        <v>3996640</v>
      </c>
      <c r="M1406" s="5">
        <v>232977.78</v>
      </c>
      <c r="N1406" s="5">
        <v>6.9400000000000003E-2</v>
      </c>
      <c r="O1406" s="5">
        <v>4</v>
      </c>
      <c r="P1406" s="5">
        <v>124436</v>
      </c>
    </row>
    <row r="1407" spans="1:16" x14ac:dyDescent="0.3">
      <c r="A1407" s="5">
        <v>59</v>
      </c>
      <c r="B1407" s="5" t="s">
        <v>118</v>
      </c>
      <c r="C1407" s="5">
        <v>1</v>
      </c>
      <c r="D1407" s="5" t="s">
        <v>76</v>
      </c>
      <c r="E1407" s="5">
        <v>2021</v>
      </c>
      <c r="F1407" s="5">
        <v>4</v>
      </c>
      <c r="G1407" s="5" t="s">
        <v>25</v>
      </c>
      <c r="H1407" s="5">
        <v>4646413</v>
      </c>
      <c r="I1407" s="5">
        <v>4264764.84</v>
      </c>
      <c r="J1407" s="5">
        <v>74</v>
      </c>
      <c r="K1407" s="5">
        <v>782427</v>
      </c>
      <c r="L1407" s="5">
        <v>5418090</v>
      </c>
      <c r="M1407" s="5">
        <v>381648.16</v>
      </c>
      <c r="N1407" s="5">
        <v>8.2100000000000006E-2</v>
      </c>
      <c r="O1407" s="5">
        <v>5</v>
      </c>
      <c r="P1407" s="5">
        <v>144507</v>
      </c>
    </row>
    <row r="1408" spans="1:16" x14ac:dyDescent="0.3">
      <c r="A1408" s="5">
        <v>26</v>
      </c>
      <c r="B1408" s="5" t="s">
        <v>118</v>
      </c>
      <c r="C1408" s="5">
        <v>1</v>
      </c>
      <c r="D1408" s="5" t="s">
        <v>76</v>
      </c>
      <c r="E1408" s="5">
        <v>2021</v>
      </c>
      <c r="F1408" s="5">
        <v>5</v>
      </c>
      <c r="G1408" s="5" t="s">
        <v>26</v>
      </c>
      <c r="H1408" s="5">
        <v>962599</v>
      </c>
      <c r="I1408" s="5">
        <v>794453.64</v>
      </c>
      <c r="J1408" s="5">
        <v>18</v>
      </c>
      <c r="K1408" s="5">
        <v>57877</v>
      </c>
      <c r="L1408" s="5">
        <v>1013570</v>
      </c>
      <c r="M1408" s="5">
        <v>168145.36</v>
      </c>
      <c r="N1408" s="5">
        <v>0.17469999999999999</v>
      </c>
      <c r="O1408" s="5">
        <v>0</v>
      </c>
      <c r="P1408" s="5">
        <v>0</v>
      </c>
    </row>
    <row r="1409" spans="1:16" x14ac:dyDescent="0.3">
      <c r="A1409" s="5">
        <v>49</v>
      </c>
      <c r="B1409" s="5" t="s">
        <v>118</v>
      </c>
      <c r="C1409" s="5">
        <v>1</v>
      </c>
      <c r="D1409" s="5" t="s">
        <v>76</v>
      </c>
      <c r="E1409" s="5">
        <v>2021</v>
      </c>
      <c r="F1409" s="5">
        <v>5</v>
      </c>
      <c r="G1409" s="5" t="s">
        <v>26</v>
      </c>
      <c r="H1409" s="5">
        <v>1770773</v>
      </c>
      <c r="I1409" s="5">
        <v>1498171.69</v>
      </c>
      <c r="J1409" s="5">
        <v>35</v>
      </c>
      <c r="K1409" s="5">
        <v>201635</v>
      </c>
      <c r="L1409" s="5">
        <v>1966130</v>
      </c>
      <c r="M1409" s="5">
        <v>272601.31</v>
      </c>
      <c r="N1409" s="5">
        <v>0.15390000000000001</v>
      </c>
      <c r="O1409" s="5">
        <v>3</v>
      </c>
      <c r="P1409" s="5">
        <v>120404</v>
      </c>
    </row>
    <row r="1410" spans="1:16" x14ac:dyDescent="0.3">
      <c r="A1410" s="5">
        <v>59</v>
      </c>
      <c r="B1410" s="5" t="s">
        <v>118</v>
      </c>
      <c r="C1410" s="5">
        <v>1</v>
      </c>
      <c r="D1410" s="5" t="s">
        <v>76</v>
      </c>
      <c r="E1410" s="5">
        <v>2021</v>
      </c>
      <c r="F1410" s="5">
        <v>5</v>
      </c>
      <c r="G1410" s="5" t="s">
        <v>26</v>
      </c>
      <c r="H1410" s="5">
        <v>4061818</v>
      </c>
      <c r="I1410" s="5">
        <v>3541451.73</v>
      </c>
      <c r="J1410" s="5">
        <v>54</v>
      </c>
      <c r="K1410" s="5">
        <v>523120</v>
      </c>
      <c r="L1410" s="5">
        <v>4569580</v>
      </c>
      <c r="M1410" s="5">
        <v>520366.27</v>
      </c>
      <c r="N1410" s="5">
        <v>0.12809999999999999</v>
      </c>
      <c r="O1410" s="5">
        <v>5</v>
      </c>
      <c r="P1410" s="5">
        <v>141102</v>
      </c>
    </row>
    <row r="1411" spans="1:16" x14ac:dyDescent="0.3">
      <c r="A1411" s="5">
        <v>26</v>
      </c>
      <c r="B1411" s="5" t="s">
        <v>118</v>
      </c>
      <c r="C1411" s="5">
        <v>1</v>
      </c>
      <c r="D1411" s="5" t="s">
        <v>76</v>
      </c>
      <c r="E1411" s="5">
        <v>2021</v>
      </c>
      <c r="F1411" s="5">
        <v>6</v>
      </c>
      <c r="G1411" s="5" t="s">
        <v>27</v>
      </c>
      <c r="H1411" s="5">
        <v>747307</v>
      </c>
      <c r="I1411" s="5">
        <v>604195.22</v>
      </c>
      <c r="J1411" s="5">
        <v>19</v>
      </c>
      <c r="K1411" s="5">
        <v>72278</v>
      </c>
      <c r="L1411" s="5">
        <v>815870</v>
      </c>
      <c r="M1411" s="5">
        <v>143111.78</v>
      </c>
      <c r="N1411" s="5">
        <v>0.1915</v>
      </c>
      <c r="O1411" s="5">
        <v>0</v>
      </c>
      <c r="P1411" s="5">
        <v>0</v>
      </c>
    </row>
    <row r="1412" spans="1:16" x14ac:dyDescent="0.3">
      <c r="A1412" s="5">
        <v>49</v>
      </c>
      <c r="B1412" s="5" t="s">
        <v>118</v>
      </c>
      <c r="C1412" s="5">
        <v>1</v>
      </c>
      <c r="D1412" s="5" t="s">
        <v>76</v>
      </c>
      <c r="E1412" s="5">
        <v>2021</v>
      </c>
      <c r="F1412" s="5">
        <v>6</v>
      </c>
      <c r="G1412" s="5" t="s">
        <v>27</v>
      </c>
      <c r="H1412" s="5">
        <v>2781548</v>
      </c>
      <c r="I1412" s="5">
        <v>2401736.89</v>
      </c>
      <c r="J1412" s="5">
        <v>38</v>
      </c>
      <c r="K1412" s="5">
        <v>288823</v>
      </c>
      <c r="L1412" s="5">
        <v>3054800</v>
      </c>
      <c r="M1412" s="5">
        <v>379811.11</v>
      </c>
      <c r="N1412" s="5">
        <v>0.13650000000000001</v>
      </c>
      <c r="O1412" s="5">
        <v>5</v>
      </c>
      <c r="P1412" s="5">
        <v>168480</v>
      </c>
    </row>
    <row r="1413" spans="1:16" x14ac:dyDescent="0.3">
      <c r="A1413" s="5">
        <v>59</v>
      </c>
      <c r="B1413" s="5" t="s">
        <v>118</v>
      </c>
      <c r="C1413" s="5">
        <v>1</v>
      </c>
      <c r="D1413" s="5" t="s">
        <v>76</v>
      </c>
      <c r="E1413" s="5">
        <v>2021</v>
      </c>
      <c r="F1413" s="5">
        <v>6</v>
      </c>
      <c r="G1413" s="5" t="s">
        <v>27</v>
      </c>
      <c r="H1413" s="5">
        <v>3027253</v>
      </c>
      <c r="I1413" s="5">
        <v>2603291.56</v>
      </c>
      <c r="J1413" s="5">
        <v>56</v>
      </c>
      <c r="K1413" s="5">
        <v>410026</v>
      </c>
      <c r="L1413" s="5">
        <v>3428740</v>
      </c>
      <c r="M1413" s="5">
        <v>423961.44</v>
      </c>
      <c r="N1413" s="5">
        <v>0.14000000000000001</v>
      </c>
      <c r="O1413" s="5">
        <v>6</v>
      </c>
      <c r="P1413" s="5">
        <v>86144</v>
      </c>
    </row>
    <row r="1414" spans="1:16" x14ac:dyDescent="0.3">
      <c r="A1414" s="5">
        <v>26</v>
      </c>
      <c r="B1414" s="5" t="s">
        <v>118</v>
      </c>
      <c r="C1414" s="5">
        <v>1</v>
      </c>
      <c r="D1414" s="5" t="s">
        <v>76</v>
      </c>
      <c r="E1414" s="5">
        <v>2021</v>
      </c>
      <c r="F1414" s="5">
        <v>7</v>
      </c>
      <c r="G1414" s="5" t="s">
        <v>28</v>
      </c>
      <c r="H1414" s="5">
        <v>1377854</v>
      </c>
      <c r="I1414" s="5">
        <v>1270712.58</v>
      </c>
      <c r="J1414" s="5">
        <v>15</v>
      </c>
      <c r="K1414" s="5">
        <v>183639</v>
      </c>
      <c r="L1414" s="5">
        <v>1559180</v>
      </c>
      <c r="M1414" s="5">
        <v>107141.42</v>
      </c>
      <c r="N1414" s="5">
        <v>7.7799999999999994E-2</v>
      </c>
      <c r="O1414" s="5">
        <v>1</v>
      </c>
      <c r="P1414" s="5">
        <v>1156</v>
      </c>
    </row>
    <row r="1415" spans="1:16" x14ac:dyDescent="0.3">
      <c r="A1415" s="5">
        <v>49</v>
      </c>
      <c r="B1415" s="5" t="s">
        <v>118</v>
      </c>
      <c r="C1415" s="5">
        <v>1</v>
      </c>
      <c r="D1415" s="5" t="s">
        <v>76</v>
      </c>
      <c r="E1415" s="5">
        <v>2021</v>
      </c>
      <c r="F1415" s="5">
        <v>7</v>
      </c>
      <c r="G1415" s="5" t="s">
        <v>28</v>
      </c>
      <c r="H1415" s="5">
        <v>1526068</v>
      </c>
      <c r="I1415" s="5">
        <v>1336179.93</v>
      </c>
      <c r="J1415" s="5">
        <v>37</v>
      </c>
      <c r="K1415" s="5">
        <v>219268</v>
      </c>
      <c r="L1415" s="5">
        <v>1739990</v>
      </c>
      <c r="M1415" s="5">
        <v>189888.07</v>
      </c>
      <c r="N1415" s="5">
        <v>0.1244</v>
      </c>
      <c r="O1415" s="5">
        <v>6</v>
      </c>
      <c r="P1415" s="5">
        <v>23391</v>
      </c>
    </row>
    <row r="1416" spans="1:16" x14ac:dyDescent="0.3">
      <c r="A1416" s="5">
        <v>59</v>
      </c>
      <c r="B1416" s="5" t="s">
        <v>118</v>
      </c>
      <c r="C1416" s="5">
        <v>1</v>
      </c>
      <c r="D1416" s="5" t="s">
        <v>76</v>
      </c>
      <c r="E1416" s="5">
        <v>2021</v>
      </c>
      <c r="F1416" s="5">
        <v>7</v>
      </c>
      <c r="G1416" s="5" t="s">
        <v>28</v>
      </c>
      <c r="H1416" s="5">
        <v>4784783</v>
      </c>
      <c r="I1416" s="5">
        <v>4111747.2</v>
      </c>
      <c r="J1416" s="5">
        <v>63</v>
      </c>
      <c r="K1416" s="5">
        <v>508735</v>
      </c>
      <c r="L1416" s="5">
        <v>5281510</v>
      </c>
      <c r="M1416" s="5">
        <v>673035.8</v>
      </c>
      <c r="N1416" s="5">
        <v>0.14069999999999999</v>
      </c>
      <c r="O1416" s="5">
        <v>6</v>
      </c>
      <c r="P1416" s="5">
        <v>143190</v>
      </c>
    </row>
    <row r="1417" spans="1:16" x14ac:dyDescent="0.3">
      <c r="A1417" s="5">
        <v>26</v>
      </c>
      <c r="B1417" s="5" t="s">
        <v>118</v>
      </c>
      <c r="C1417" s="5">
        <v>1</v>
      </c>
      <c r="D1417" s="5" t="s">
        <v>76</v>
      </c>
      <c r="E1417" s="5">
        <v>2021</v>
      </c>
      <c r="F1417" s="5">
        <v>8</v>
      </c>
      <c r="G1417" s="5" t="s">
        <v>29</v>
      </c>
      <c r="H1417" s="5">
        <v>628105</v>
      </c>
      <c r="I1417" s="5">
        <v>528392.18999999994</v>
      </c>
      <c r="J1417" s="5">
        <v>10</v>
      </c>
      <c r="K1417" s="5">
        <v>64733</v>
      </c>
      <c r="L1417" s="5">
        <v>691840</v>
      </c>
      <c r="M1417" s="5">
        <v>99712.81</v>
      </c>
      <c r="N1417" s="5">
        <v>0.1588</v>
      </c>
      <c r="O1417" s="5">
        <v>2</v>
      </c>
      <c r="P1417" s="5">
        <v>99922</v>
      </c>
    </row>
    <row r="1418" spans="1:16" x14ac:dyDescent="0.3">
      <c r="A1418" s="5">
        <v>49</v>
      </c>
      <c r="B1418" s="5" t="s">
        <v>118</v>
      </c>
      <c r="C1418" s="5">
        <v>1</v>
      </c>
      <c r="D1418" s="5" t="s">
        <v>76</v>
      </c>
      <c r="E1418" s="5">
        <v>2021</v>
      </c>
      <c r="F1418" s="5">
        <v>8</v>
      </c>
      <c r="G1418" s="5" t="s">
        <v>29</v>
      </c>
      <c r="H1418" s="5">
        <v>2346959</v>
      </c>
      <c r="I1418" s="5">
        <v>1989196.19</v>
      </c>
      <c r="J1418" s="5">
        <v>40</v>
      </c>
      <c r="K1418" s="5">
        <v>200694</v>
      </c>
      <c r="L1418" s="5">
        <v>2537130</v>
      </c>
      <c r="M1418" s="5">
        <v>357762.81</v>
      </c>
      <c r="N1418" s="5">
        <v>0.15240000000000001</v>
      </c>
      <c r="O1418" s="5">
        <v>4</v>
      </c>
      <c r="P1418" s="5">
        <v>20263</v>
      </c>
    </row>
    <row r="1419" spans="1:16" x14ac:dyDescent="0.3">
      <c r="A1419" s="5">
        <v>59</v>
      </c>
      <c r="B1419" s="5" t="s">
        <v>118</v>
      </c>
      <c r="C1419" s="5">
        <v>1</v>
      </c>
      <c r="D1419" s="5" t="s">
        <v>76</v>
      </c>
      <c r="E1419" s="5">
        <v>2021</v>
      </c>
      <c r="F1419" s="5">
        <v>8</v>
      </c>
      <c r="G1419" s="5" t="s">
        <v>29</v>
      </c>
      <c r="H1419" s="5">
        <v>3912586</v>
      </c>
      <c r="I1419" s="5">
        <v>3356235.48</v>
      </c>
      <c r="J1419" s="5">
        <v>62</v>
      </c>
      <c r="K1419" s="5">
        <v>405408</v>
      </c>
      <c r="L1419" s="5">
        <v>4303760</v>
      </c>
      <c r="M1419" s="5">
        <v>556350.52</v>
      </c>
      <c r="N1419" s="5">
        <v>0.14219999999999999</v>
      </c>
      <c r="O1419" s="5">
        <v>6</v>
      </c>
      <c r="P1419" s="5">
        <v>168549</v>
      </c>
    </row>
    <row r="1420" spans="1:16" x14ac:dyDescent="0.3">
      <c r="A1420" s="5">
        <v>26</v>
      </c>
      <c r="B1420" s="5" t="s">
        <v>118</v>
      </c>
      <c r="C1420" s="5">
        <v>1</v>
      </c>
      <c r="D1420" s="5" t="s">
        <v>76</v>
      </c>
      <c r="E1420" s="5">
        <v>2021</v>
      </c>
      <c r="F1420" s="5">
        <v>9</v>
      </c>
      <c r="G1420" s="5" t="s">
        <v>30</v>
      </c>
      <c r="H1420" s="5">
        <v>264203</v>
      </c>
      <c r="I1420" s="5">
        <v>224966.64</v>
      </c>
      <c r="J1420" s="5">
        <v>7</v>
      </c>
      <c r="K1420" s="5">
        <v>50265</v>
      </c>
      <c r="L1420" s="5">
        <v>314240</v>
      </c>
      <c r="M1420" s="5">
        <v>39236.36</v>
      </c>
      <c r="N1420" s="5">
        <v>0.14849999999999999</v>
      </c>
      <c r="O1420" s="5">
        <v>2</v>
      </c>
      <c r="P1420" s="5">
        <v>93055</v>
      </c>
    </row>
    <row r="1421" spans="1:16" x14ac:dyDescent="0.3">
      <c r="A1421" s="5">
        <v>49</v>
      </c>
      <c r="B1421" s="5" t="s">
        <v>118</v>
      </c>
      <c r="C1421" s="5">
        <v>1</v>
      </c>
      <c r="D1421" s="5" t="s">
        <v>76</v>
      </c>
      <c r="E1421" s="5">
        <v>2021</v>
      </c>
      <c r="F1421" s="5">
        <v>9</v>
      </c>
      <c r="G1421" s="5" t="s">
        <v>30</v>
      </c>
      <c r="H1421" s="5">
        <v>3004970</v>
      </c>
      <c r="I1421" s="5">
        <v>2692444.24</v>
      </c>
      <c r="J1421" s="5">
        <v>41</v>
      </c>
      <c r="K1421" s="5">
        <v>427664</v>
      </c>
      <c r="L1421" s="5">
        <v>3423780</v>
      </c>
      <c r="M1421" s="5">
        <v>312525.76</v>
      </c>
      <c r="N1421" s="5">
        <v>0.104</v>
      </c>
      <c r="O1421" s="5">
        <v>6</v>
      </c>
      <c r="P1421" s="5">
        <v>135056</v>
      </c>
    </row>
    <row r="1422" spans="1:16" x14ac:dyDescent="0.3">
      <c r="A1422" s="5">
        <v>59</v>
      </c>
      <c r="B1422" s="5" t="s">
        <v>118</v>
      </c>
      <c r="C1422" s="5">
        <v>1</v>
      </c>
      <c r="D1422" s="5" t="s">
        <v>76</v>
      </c>
      <c r="E1422" s="5">
        <v>2021</v>
      </c>
      <c r="F1422" s="5">
        <v>9</v>
      </c>
      <c r="G1422" s="5" t="s">
        <v>30</v>
      </c>
      <c r="H1422" s="5">
        <v>4822676</v>
      </c>
      <c r="I1422" s="5">
        <v>4206072.83</v>
      </c>
      <c r="J1422" s="5">
        <v>69</v>
      </c>
      <c r="K1422" s="5">
        <v>586648</v>
      </c>
      <c r="L1422" s="5">
        <v>5392370</v>
      </c>
      <c r="M1422" s="5">
        <v>616603.17000000004</v>
      </c>
      <c r="N1422" s="5">
        <v>0.12790000000000001</v>
      </c>
      <c r="O1422" s="5">
        <v>6</v>
      </c>
      <c r="P1422" s="5">
        <v>119533</v>
      </c>
    </row>
    <row r="1423" spans="1:16" x14ac:dyDescent="0.3">
      <c r="A1423" s="5">
        <v>26</v>
      </c>
      <c r="B1423" s="5" t="s">
        <v>118</v>
      </c>
      <c r="C1423" s="5">
        <v>1</v>
      </c>
      <c r="D1423" s="5" t="s">
        <v>76</v>
      </c>
      <c r="E1423" s="5">
        <v>2021</v>
      </c>
      <c r="F1423" s="5">
        <v>10</v>
      </c>
      <c r="G1423" s="5" t="s">
        <v>31</v>
      </c>
      <c r="H1423" s="5">
        <v>1286949</v>
      </c>
      <c r="I1423" s="5">
        <v>1141795.2</v>
      </c>
      <c r="J1423" s="5">
        <v>14</v>
      </c>
      <c r="K1423" s="5">
        <v>122148</v>
      </c>
      <c r="L1423" s="5">
        <v>1402220</v>
      </c>
      <c r="M1423" s="5">
        <v>145153.79999999999</v>
      </c>
      <c r="N1423" s="5">
        <v>0.1128</v>
      </c>
      <c r="O1423" s="5">
        <v>0</v>
      </c>
      <c r="P1423" s="5">
        <v>0</v>
      </c>
    </row>
    <row r="1424" spans="1:16" x14ac:dyDescent="0.3">
      <c r="A1424" s="5">
        <v>49</v>
      </c>
      <c r="B1424" s="5" t="s">
        <v>118</v>
      </c>
      <c r="C1424" s="5">
        <v>1</v>
      </c>
      <c r="D1424" s="5" t="s">
        <v>76</v>
      </c>
      <c r="E1424" s="5">
        <v>2021</v>
      </c>
      <c r="F1424" s="5">
        <v>10</v>
      </c>
      <c r="G1424" s="5" t="s">
        <v>31</v>
      </c>
      <c r="H1424" s="5">
        <v>5601913</v>
      </c>
      <c r="I1424" s="5">
        <v>4708119.0199999996</v>
      </c>
      <c r="J1424" s="5">
        <v>73</v>
      </c>
      <c r="K1424" s="5">
        <v>364173</v>
      </c>
      <c r="L1424" s="5">
        <v>5945000</v>
      </c>
      <c r="M1424" s="5">
        <v>893793.98</v>
      </c>
      <c r="N1424" s="5">
        <v>0.15959999999999999</v>
      </c>
      <c r="O1424" s="5">
        <v>4</v>
      </c>
      <c r="P1424" s="5">
        <v>70458</v>
      </c>
    </row>
    <row r="1425" spans="1:16" x14ac:dyDescent="0.3">
      <c r="A1425" s="5">
        <v>59</v>
      </c>
      <c r="B1425" s="5" t="s">
        <v>118</v>
      </c>
      <c r="C1425" s="5">
        <v>1</v>
      </c>
      <c r="D1425" s="5" t="s">
        <v>76</v>
      </c>
      <c r="E1425" s="5">
        <v>2021</v>
      </c>
      <c r="F1425" s="5">
        <v>10</v>
      </c>
      <c r="G1425" s="5" t="s">
        <v>31</v>
      </c>
      <c r="H1425" s="5">
        <v>6297865</v>
      </c>
      <c r="I1425" s="5">
        <v>5254438.91</v>
      </c>
      <c r="J1425" s="5">
        <v>98</v>
      </c>
      <c r="K1425" s="5">
        <v>507596</v>
      </c>
      <c r="L1425" s="5">
        <v>6772510</v>
      </c>
      <c r="M1425" s="5">
        <v>1043426.09</v>
      </c>
      <c r="N1425" s="5">
        <v>0.16569999999999999</v>
      </c>
      <c r="O1425" s="5">
        <v>6</v>
      </c>
      <c r="P1425" s="5">
        <v>233734</v>
      </c>
    </row>
    <row r="1426" spans="1:16" x14ac:dyDescent="0.3">
      <c r="A1426" s="5">
        <v>26</v>
      </c>
      <c r="B1426" s="5" t="s">
        <v>118</v>
      </c>
      <c r="C1426" s="5">
        <v>1</v>
      </c>
      <c r="D1426" s="5" t="s">
        <v>76</v>
      </c>
      <c r="E1426" s="5">
        <v>2021</v>
      </c>
      <c r="F1426" s="5">
        <v>11</v>
      </c>
      <c r="G1426" s="5" t="s">
        <v>32</v>
      </c>
      <c r="H1426" s="5">
        <v>1202453</v>
      </c>
      <c r="I1426" s="5">
        <v>932814.38</v>
      </c>
      <c r="J1426" s="5">
        <v>24</v>
      </c>
      <c r="K1426" s="5">
        <v>52769</v>
      </c>
      <c r="L1426" s="5">
        <v>1247220</v>
      </c>
      <c r="M1426" s="5">
        <v>269638.62</v>
      </c>
      <c r="N1426" s="5">
        <v>0.22420000000000001</v>
      </c>
      <c r="O1426" s="5">
        <v>4</v>
      </c>
      <c r="P1426" s="5">
        <v>72776</v>
      </c>
    </row>
    <row r="1427" spans="1:16" x14ac:dyDescent="0.3">
      <c r="A1427" s="5">
        <v>49</v>
      </c>
      <c r="B1427" s="5" t="s">
        <v>118</v>
      </c>
      <c r="C1427" s="5">
        <v>1</v>
      </c>
      <c r="D1427" s="5" t="s">
        <v>76</v>
      </c>
      <c r="E1427" s="5">
        <v>2021</v>
      </c>
      <c r="F1427" s="5">
        <v>11</v>
      </c>
      <c r="G1427" s="5" t="s">
        <v>32</v>
      </c>
      <c r="H1427" s="5">
        <v>4314505</v>
      </c>
      <c r="I1427" s="5">
        <v>3579284.34</v>
      </c>
      <c r="J1427" s="5">
        <v>64</v>
      </c>
      <c r="K1427" s="5">
        <v>321867</v>
      </c>
      <c r="L1427" s="5">
        <v>4623270</v>
      </c>
      <c r="M1427" s="5">
        <v>735220.66</v>
      </c>
      <c r="N1427" s="5">
        <v>0.1704</v>
      </c>
      <c r="O1427" s="5">
        <v>1</v>
      </c>
      <c r="P1427" s="5">
        <v>10715</v>
      </c>
    </row>
    <row r="1428" spans="1:16" x14ac:dyDescent="0.3">
      <c r="A1428" s="5">
        <v>59</v>
      </c>
      <c r="B1428" s="5" t="s">
        <v>118</v>
      </c>
      <c r="C1428" s="5">
        <v>1</v>
      </c>
      <c r="D1428" s="5" t="s">
        <v>76</v>
      </c>
      <c r="E1428" s="5">
        <v>2021</v>
      </c>
      <c r="F1428" s="5">
        <v>11</v>
      </c>
      <c r="G1428" s="5" t="s">
        <v>32</v>
      </c>
      <c r="H1428" s="5">
        <v>5160778</v>
      </c>
      <c r="I1428" s="5">
        <v>4321728.12</v>
      </c>
      <c r="J1428" s="5">
        <v>81</v>
      </c>
      <c r="K1428" s="5">
        <v>430232</v>
      </c>
      <c r="L1428" s="5">
        <v>5574360</v>
      </c>
      <c r="M1428" s="5">
        <v>839049.88</v>
      </c>
      <c r="N1428" s="5">
        <v>0.16259999999999999</v>
      </c>
      <c r="O1428" s="5">
        <v>4</v>
      </c>
      <c r="P1428" s="5">
        <v>199818</v>
      </c>
    </row>
    <row r="1429" spans="1:16" x14ac:dyDescent="0.3">
      <c r="A1429" s="5">
        <v>26</v>
      </c>
      <c r="B1429" s="5" t="s">
        <v>118</v>
      </c>
      <c r="C1429" s="5">
        <v>1</v>
      </c>
      <c r="D1429" s="5" t="s">
        <v>76</v>
      </c>
      <c r="E1429" s="5">
        <v>2021</v>
      </c>
      <c r="F1429" s="5">
        <v>12</v>
      </c>
      <c r="G1429" s="5" t="s">
        <v>33</v>
      </c>
      <c r="H1429" s="5">
        <v>1157639</v>
      </c>
      <c r="I1429" s="5">
        <v>926755.04</v>
      </c>
      <c r="J1429" s="5">
        <v>20</v>
      </c>
      <c r="K1429" s="5">
        <v>44471</v>
      </c>
      <c r="L1429" s="5">
        <v>1201500</v>
      </c>
      <c r="M1429" s="5">
        <v>230883.96</v>
      </c>
      <c r="N1429" s="5">
        <v>0.19939999999999999</v>
      </c>
      <c r="O1429" s="5">
        <v>0</v>
      </c>
      <c r="P1429" s="5">
        <v>0</v>
      </c>
    </row>
    <row r="1430" spans="1:16" x14ac:dyDescent="0.3">
      <c r="A1430" s="5">
        <v>49</v>
      </c>
      <c r="B1430" s="5" t="s">
        <v>118</v>
      </c>
      <c r="C1430" s="5">
        <v>1</v>
      </c>
      <c r="D1430" s="5" t="s">
        <v>76</v>
      </c>
      <c r="E1430" s="5">
        <v>2021</v>
      </c>
      <c r="F1430" s="5">
        <v>12</v>
      </c>
      <c r="G1430" s="5" t="s">
        <v>33</v>
      </c>
      <c r="H1430" s="5">
        <v>3922331</v>
      </c>
      <c r="I1430" s="5">
        <v>3185113.85</v>
      </c>
      <c r="J1430" s="5">
        <v>52</v>
      </c>
      <c r="K1430" s="5">
        <v>138299</v>
      </c>
      <c r="L1430" s="5">
        <v>4049820</v>
      </c>
      <c r="M1430" s="5">
        <v>737217.15</v>
      </c>
      <c r="N1430" s="5">
        <v>0.188</v>
      </c>
      <c r="O1430" s="5">
        <v>6</v>
      </c>
      <c r="P1430" s="5">
        <v>181290</v>
      </c>
    </row>
    <row r="1431" spans="1:16" x14ac:dyDescent="0.3">
      <c r="A1431" s="5">
        <v>59</v>
      </c>
      <c r="B1431" s="5" t="s">
        <v>118</v>
      </c>
      <c r="C1431" s="5">
        <v>1</v>
      </c>
      <c r="D1431" s="5" t="s">
        <v>76</v>
      </c>
      <c r="E1431" s="5">
        <v>2021</v>
      </c>
      <c r="F1431" s="5">
        <v>12</v>
      </c>
      <c r="G1431" s="5" t="s">
        <v>33</v>
      </c>
      <c r="H1431" s="5">
        <v>7450835</v>
      </c>
      <c r="I1431" s="5">
        <v>6265764.21</v>
      </c>
      <c r="J1431" s="5">
        <v>95</v>
      </c>
      <c r="K1431" s="5">
        <v>537001</v>
      </c>
      <c r="L1431" s="5">
        <v>7960440</v>
      </c>
      <c r="M1431" s="5">
        <v>1185070.79</v>
      </c>
      <c r="N1431" s="5">
        <v>0.15909999999999999</v>
      </c>
      <c r="O1431" s="5">
        <v>5</v>
      </c>
      <c r="P1431" s="5">
        <v>266532</v>
      </c>
    </row>
    <row r="1432" spans="1:16" x14ac:dyDescent="0.3">
      <c r="A1432" s="5">
        <v>26</v>
      </c>
      <c r="B1432" s="5" t="s">
        <v>118</v>
      </c>
      <c r="C1432" s="5">
        <v>1</v>
      </c>
      <c r="D1432" s="5" t="s">
        <v>76</v>
      </c>
      <c r="E1432" s="5">
        <v>2022</v>
      </c>
      <c r="F1432" s="5">
        <v>1</v>
      </c>
      <c r="G1432" s="5" t="s">
        <v>34</v>
      </c>
      <c r="H1432" s="5">
        <v>836615</v>
      </c>
      <c r="I1432" s="5">
        <v>706727.31</v>
      </c>
      <c r="J1432" s="5">
        <v>18</v>
      </c>
      <c r="K1432" s="5">
        <v>91217</v>
      </c>
      <c r="L1432" s="5">
        <v>925930</v>
      </c>
      <c r="M1432" s="5">
        <v>129887.69</v>
      </c>
      <c r="N1432" s="5">
        <v>0.15529999999999999</v>
      </c>
      <c r="O1432" s="5">
        <v>0</v>
      </c>
      <c r="P1432" s="5">
        <v>0</v>
      </c>
    </row>
    <row r="1433" spans="1:16" x14ac:dyDescent="0.3">
      <c r="A1433" s="5">
        <v>49</v>
      </c>
      <c r="B1433" s="5" t="s">
        <v>118</v>
      </c>
      <c r="C1433" s="5">
        <v>1</v>
      </c>
      <c r="D1433" s="5" t="s">
        <v>76</v>
      </c>
      <c r="E1433" s="5">
        <v>2022</v>
      </c>
      <c r="F1433" s="5">
        <v>1</v>
      </c>
      <c r="G1433" s="5" t="s">
        <v>34</v>
      </c>
      <c r="H1433" s="5">
        <v>4593991</v>
      </c>
      <c r="I1433" s="5">
        <v>3951579.62</v>
      </c>
      <c r="J1433" s="5">
        <v>55</v>
      </c>
      <c r="K1433" s="5">
        <v>385783</v>
      </c>
      <c r="L1433" s="5">
        <v>4964440</v>
      </c>
      <c r="M1433" s="5">
        <v>642411.38</v>
      </c>
      <c r="N1433" s="5">
        <v>0.13980000000000001</v>
      </c>
      <c r="O1433" s="5">
        <v>8</v>
      </c>
      <c r="P1433" s="5">
        <v>385643</v>
      </c>
    </row>
    <row r="1434" spans="1:16" x14ac:dyDescent="0.3">
      <c r="A1434" s="5">
        <v>59</v>
      </c>
      <c r="B1434" s="5" t="s">
        <v>118</v>
      </c>
      <c r="C1434" s="5">
        <v>1</v>
      </c>
      <c r="D1434" s="5" t="s">
        <v>76</v>
      </c>
      <c r="E1434" s="5">
        <v>2022</v>
      </c>
      <c r="F1434" s="5">
        <v>1</v>
      </c>
      <c r="G1434" s="5" t="s">
        <v>34</v>
      </c>
      <c r="H1434" s="5">
        <v>3704945</v>
      </c>
      <c r="I1434" s="5">
        <v>3078174.52</v>
      </c>
      <c r="J1434" s="5">
        <v>73</v>
      </c>
      <c r="K1434" s="5">
        <v>335929</v>
      </c>
      <c r="L1434" s="5">
        <v>4025060</v>
      </c>
      <c r="M1434" s="5">
        <v>626770.48</v>
      </c>
      <c r="N1434" s="5">
        <v>0.16919999999999999</v>
      </c>
      <c r="O1434" s="5">
        <v>3</v>
      </c>
      <c r="P1434" s="5">
        <v>14136</v>
      </c>
    </row>
    <row r="1435" spans="1:16" x14ac:dyDescent="0.3">
      <c r="A1435" s="5">
        <v>26</v>
      </c>
      <c r="B1435" s="5" t="s">
        <v>118</v>
      </c>
      <c r="C1435" s="5">
        <v>1</v>
      </c>
      <c r="D1435" s="5" t="s">
        <v>76</v>
      </c>
      <c r="E1435" s="5">
        <v>2022</v>
      </c>
      <c r="F1435" s="5">
        <v>2</v>
      </c>
      <c r="G1435" s="5" t="s">
        <v>35</v>
      </c>
      <c r="H1435" s="5">
        <v>1311297</v>
      </c>
      <c r="I1435" s="5">
        <v>1127518.97</v>
      </c>
      <c r="J1435" s="5">
        <v>19</v>
      </c>
      <c r="K1435" s="5">
        <v>160177</v>
      </c>
      <c r="L1435" s="5">
        <v>1466900</v>
      </c>
      <c r="M1435" s="5">
        <v>183778.03</v>
      </c>
      <c r="N1435" s="5">
        <v>0.1401</v>
      </c>
      <c r="O1435" s="5">
        <v>0</v>
      </c>
      <c r="P1435" s="5">
        <v>0</v>
      </c>
    </row>
    <row r="1436" spans="1:16" x14ac:dyDescent="0.3">
      <c r="A1436" s="5">
        <v>49</v>
      </c>
      <c r="B1436" s="5" t="s">
        <v>118</v>
      </c>
      <c r="C1436" s="5">
        <v>1</v>
      </c>
      <c r="D1436" s="5" t="s">
        <v>76</v>
      </c>
      <c r="E1436" s="5">
        <v>2022</v>
      </c>
      <c r="F1436" s="5">
        <v>2</v>
      </c>
      <c r="G1436" s="5" t="s">
        <v>35</v>
      </c>
      <c r="H1436" s="5">
        <v>2867970</v>
      </c>
      <c r="I1436" s="5">
        <v>2331878.84</v>
      </c>
      <c r="J1436" s="5">
        <v>45</v>
      </c>
      <c r="K1436" s="5">
        <v>130334</v>
      </c>
      <c r="L1436" s="5">
        <v>2989850</v>
      </c>
      <c r="M1436" s="5">
        <v>536091.16</v>
      </c>
      <c r="N1436" s="5">
        <v>0.18690000000000001</v>
      </c>
      <c r="O1436" s="5">
        <v>3</v>
      </c>
      <c r="P1436" s="5">
        <v>109295</v>
      </c>
    </row>
    <row r="1437" spans="1:16" x14ac:dyDescent="0.3">
      <c r="A1437" s="5">
        <v>59</v>
      </c>
      <c r="B1437" s="5" t="s">
        <v>118</v>
      </c>
      <c r="C1437" s="5">
        <v>1</v>
      </c>
      <c r="D1437" s="5" t="s">
        <v>76</v>
      </c>
      <c r="E1437" s="5">
        <v>2022</v>
      </c>
      <c r="F1437" s="5">
        <v>2</v>
      </c>
      <c r="G1437" s="5" t="s">
        <v>35</v>
      </c>
      <c r="H1437" s="5">
        <v>6194032</v>
      </c>
      <c r="I1437" s="5">
        <v>5146119.83</v>
      </c>
      <c r="J1437" s="5">
        <v>71</v>
      </c>
      <c r="K1437" s="5">
        <v>355851</v>
      </c>
      <c r="L1437" s="5">
        <v>6518250</v>
      </c>
      <c r="M1437" s="5">
        <v>1047912.17</v>
      </c>
      <c r="N1437" s="5">
        <v>0.16919999999999999</v>
      </c>
      <c r="O1437" s="5">
        <v>8</v>
      </c>
      <c r="P1437" s="5">
        <v>138507</v>
      </c>
    </row>
    <row r="1438" spans="1:16" x14ac:dyDescent="0.3">
      <c r="A1438" s="5">
        <v>26</v>
      </c>
      <c r="B1438" s="5" t="s">
        <v>118</v>
      </c>
      <c r="C1438" s="5">
        <v>1</v>
      </c>
      <c r="D1438" s="5" t="s">
        <v>76</v>
      </c>
      <c r="E1438" s="5">
        <v>2022</v>
      </c>
      <c r="F1438" s="5">
        <v>3</v>
      </c>
      <c r="G1438" s="5" t="s">
        <v>36</v>
      </c>
      <c r="H1438" s="5">
        <v>1515038</v>
      </c>
      <c r="I1438" s="5">
        <v>1242879.6499999999</v>
      </c>
      <c r="J1438" s="5">
        <v>17</v>
      </c>
      <c r="K1438" s="5">
        <v>68277</v>
      </c>
      <c r="L1438" s="5">
        <v>1579280</v>
      </c>
      <c r="M1438" s="5">
        <v>272158.34999999998</v>
      </c>
      <c r="N1438" s="5">
        <v>0.17960000000000001</v>
      </c>
      <c r="O1438" s="5">
        <v>0</v>
      </c>
      <c r="P1438" s="5">
        <v>0</v>
      </c>
    </row>
    <row r="1439" spans="1:16" x14ac:dyDescent="0.3">
      <c r="A1439" s="5">
        <v>49</v>
      </c>
      <c r="B1439" s="5" t="s">
        <v>118</v>
      </c>
      <c r="C1439" s="5">
        <v>1</v>
      </c>
      <c r="D1439" s="5" t="s">
        <v>76</v>
      </c>
      <c r="E1439" s="5">
        <v>2022</v>
      </c>
      <c r="F1439" s="5">
        <v>3</v>
      </c>
      <c r="G1439" s="5" t="s">
        <v>36</v>
      </c>
      <c r="H1439" s="5">
        <v>4703026</v>
      </c>
      <c r="I1439" s="5">
        <v>4032976.73</v>
      </c>
      <c r="J1439" s="5">
        <v>63</v>
      </c>
      <c r="K1439" s="5">
        <v>538353</v>
      </c>
      <c r="L1439" s="5">
        <v>5232730</v>
      </c>
      <c r="M1439" s="5">
        <v>670049.27</v>
      </c>
      <c r="N1439" s="5">
        <v>0.14249999999999999</v>
      </c>
      <c r="O1439" s="5">
        <v>2</v>
      </c>
      <c r="P1439" s="5">
        <v>37633</v>
      </c>
    </row>
    <row r="1440" spans="1:16" x14ac:dyDescent="0.3">
      <c r="A1440" s="5">
        <v>59</v>
      </c>
      <c r="B1440" s="5" t="s">
        <v>118</v>
      </c>
      <c r="C1440" s="5">
        <v>1</v>
      </c>
      <c r="D1440" s="5" t="s">
        <v>76</v>
      </c>
      <c r="E1440" s="5">
        <v>2022</v>
      </c>
      <c r="F1440" s="5">
        <v>3</v>
      </c>
      <c r="G1440" s="5" t="s">
        <v>36</v>
      </c>
      <c r="H1440" s="5">
        <v>5283011</v>
      </c>
      <c r="I1440" s="5">
        <v>4688087.3899999997</v>
      </c>
      <c r="J1440" s="5">
        <v>80</v>
      </c>
      <c r="K1440" s="5">
        <v>753923</v>
      </c>
      <c r="L1440" s="5">
        <v>6023240</v>
      </c>
      <c r="M1440" s="5">
        <v>594923.61</v>
      </c>
      <c r="N1440" s="5">
        <v>0.11260000000000001</v>
      </c>
      <c r="O1440" s="5">
        <v>8</v>
      </c>
      <c r="P1440" s="5">
        <v>245904</v>
      </c>
    </row>
    <row r="1441" spans="1:16" x14ac:dyDescent="0.3">
      <c r="A1441" s="5">
        <v>26</v>
      </c>
      <c r="B1441" s="5" t="s">
        <v>118</v>
      </c>
      <c r="C1441" s="5">
        <v>1</v>
      </c>
      <c r="D1441" s="5" t="s">
        <v>76</v>
      </c>
      <c r="E1441" s="5">
        <v>2022</v>
      </c>
      <c r="F1441" s="5">
        <v>4</v>
      </c>
      <c r="G1441" s="5" t="s">
        <v>37</v>
      </c>
      <c r="H1441" s="5">
        <v>1188927</v>
      </c>
      <c r="I1441" s="5">
        <v>1096216.77</v>
      </c>
      <c r="J1441" s="5">
        <v>19</v>
      </c>
      <c r="K1441" s="5">
        <v>226963</v>
      </c>
      <c r="L1441" s="5">
        <v>1413720</v>
      </c>
      <c r="M1441" s="5">
        <v>92710.23</v>
      </c>
      <c r="N1441" s="5">
        <v>7.8E-2</v>
      </c>
      <c r="O1441" s="5">
        <v>2</v>
      </c>
      <c r="P1441" s="5">
        <v>39774</v>
      </c>
    </row>
    <row r="1442" spans="1:16" x14ac:dyDescent="0.3">
      <c r="A1442" s="5">
        <v>49</v>
      </c>
      <c r="B1442" s="5" t="s">
        <v>118</v>
      </c>
      <c r="C1442" s="5">
        <v>1</v>
      </c>
      <c r="D1442" s="5" t="s">
        <v>76</v>
      </c>
      <c r="E1442" s="5">
        <v>2022</v>
      </c>
      <c r="F1442" s="5">
        <v>4</v>
      </c>
      <c r="G1442" s="5" t="s">
        <v>37</v>
      </c>
      <c r="H1442" s="5">
        <v>4973327</v>
      </c>
      <c r="I1442" s="5">
        <v>4223837.3</v>
      </c>
      <c r="J1442" s="5">
        <v>65</v>
      </c>
      <c r="K1442" s="5">
        <v>429076</v>
      </c>
      <c r="L1442" s="5">
        <v>5383740</v>
      </c>
      <c r="M1442" s="5">
        <v>749489.7</v>
      </c>
      <c r="N1442" s="5">
        <v>0.1507</v>
      </c>
      <c r="O1442" s="5">
        <v>4</v>
      </c>
      <c r="P1442" s="5">
        <v>161726</v>
      </c>
    </row>
    <row r="1443" spans="1:16" x14ac:dyDescent="0.3">
      <c r="A1443" s="5">
        <v>59</v>
      </c>
      <c r="B1443" s="5" t="s">
        <v>118</v>
      </c>
      <c r="C1443" s="5">
        <v>1</v>
      </c>
      <c r="D1443" s="5" t="s">
        <v>76</v>
      </c>
      <c r="E1443" s="5">
        <v>2022</v>
      </c>
      <c r="F1443" s="5">
        <v>4</v>
      </c>
      <c r="G1443" s="5" t="s">
        <v>37</v>
      </c>
      <c r="H1443" s="5">
        <v>6238892</v>
      </c>
      <c r="I1443" s="5">
        <v>5379865.3200000003</v>
      </c>
      <c r="J1443" s="5">
        <v>88</v>
      </c>
      <c r="K1443" s="5">
        <v>745663</v>
      </c>
      <c r="L1443" s="5">
        <v>6956680</v>
      </c>
      <c r="M1443" s="5">
        <v>859026.68</v>
      </c>
      <c r="N1443" s="5">
        <v>0.13769999999999999</v>
      </c>
      <c r="O1443" s="5">
        <v>9</v>
      </c>
      <c r="P1443" s="5">
        <v>220467</v>
      </c>
    </row>
    <row r="1444" spans="1:16" x14ac:dyDescent="0.3">
      <c r="A1444" s="5">
        <v>26</v>
      </c>
      <c r="B1444" s="5" t="s">
        <v>118</v>
      </c>
      <c r="C1444" s="5">
        <v>1</v>
      </c>
      <c r="D1444" s="5" t="s">
        <v>76</v>
      </c>
      <c r="E1444" s="5">
        <v>2022</v>
      </c>
      <c r="F1444" s="5">
        <v>5</v>
      </c>
      <c r="G1444" s="5" t="s">
        <v>38</v>
      </c>
      <c r="H1444" s="5">
        <v>1216879</v>
      </c>
      <c r="I1444" s="5">
        <v>1151886.56</v>
      </c>
      <c r="J1444" s="5">
        <v>20</v>
      </c>
      <c r="K1444" s="5">
        <v>232503</v>
      </c>
      <c r="L1444" s="5">
        <v>1441600</v>
      </c>
      <c r="M1444" s="5">
        <v>64992.44</v>
      </c>
      <c r="N1444" s="5">
        <v>5.3400000000000003E-2</v>
      </c>
      <c r="O1444" s="5">
        <v>2</v>
      </c>
      <c r="P1444" s="5">
        <v>55191</v>
      </c>
    </row>
    <row r="1445" spans="1:16" x14ac:dyDescent="0.3">
      <c r="A1445" s="5">
        <v>49</v>
      </c>
      <c r="B1445" s="5" t="s">
        <v>118</v>
      </c>
      <c r="C1445" s="5">
        <v>1</v>
      </c>
      <c r="D1445" s="5" t="s">
        <v>76</v>
      </c>
      <c r="E1445" s="5">
        <v>2022</v>
      </c>
      <c r="F1445" s="5">
        <v>5</v>
      </c>
      <c r="G1445" s="5" t="s">
        <v>38</v>
      </c>
      <c r="H1445" s="5">
        <v>2942015</v>
      </c>
      <c r="I1445" s="5">
        <v>2570208.4300000002</v>
      </c>
      <c r="J1445" s="5">
        <v>48</v>
      </c>
      <c r="K1445" s="5">
        <v>366191</v>
      </c>
      <c r="L1445" s="5">
        <v>3299210</v>
      </c>
      <c r="M1445" s="5">
        <v>371806.57</v>
      </c>
      <c r="N1445" s="5">
        <v>0.12640000000000001</v>
      </c>
      <c r="O1445" s="5">
        <v>3</v>
      </c>
      <c r="P1445" s="5">
        <v>56772</v>
      </c>
    </row>
    <row r="1446" spans="1:16" x14ac:dyDescent="0.3">
      <c r="A1446" s="5">
        <v>59</v>
      </c>
      <c r="B1446" s="5" t="s">
        <v>118</v>
      </c>
      <c r="C1446" s="5">
        <v>1</v>
      </c>
      <c r="D1446" s="5" t="s">
        <v>76</v>
      </c>
      <c r="E1446" s="5">
        <v>2022</v>
      </c>
      <c r="F1446" s="5">
        <v>5</v>
      </c>
      <c r="G1446" s="5" t="s">
        <v>38</v>
      </c>
      <c r="H1446" s="5">
        <v>6202164</v>
      </c>
      <c r="I1446" s="5">
        <v>5425374.2000000002</v>
      </c>
      <c r="J1446" s="5">
        <v>99</v>
      </c>
      <c r="K1446" s="5">
        <v>787414</v>
      </c>
      <c r="L1446" s="5">
        <v>6969530</v>
      </c>
      <c r="M1446" s="5">
        <v>776789.8</v>
      </c>
      <c r="N1446" s="5">
        <v>0.12520000000000001</v>
      </c>
      <c r="O1446" s="5">
        <v>9</v>
      </c>
      <c r="P1446" s="5">
        <v>514584</v>
      </c>
    </row>
    <row r="1447" spans="1:16" x14ac:dyDescent="0.3">
      <c r="A1447" s="5">
        <v>26</v>
      </c>
      <c r="B1447" s="5" t="s">
        <v>118</v>
      </c>
      <c r="C1447" s="5">
        <v>1</v>
      </c>
      <c r="D1447" s="5" t="s">
        <v>76</v>
      </c>
      <c r="E1447" s="5">
        <v>2022</v>
      </c>
      <c r="F1447" s="5">
        <v>6</v>
      </c>
      <c r="G1447" s="5" t="s">
        <v>39</v>
      </c>
      <c r="H1447" s="5">
        <v>2222028</v>
      </c>
      <c r="I1447" s="5">
        <v>1862563.81</v>
      </c>
      <c r="J1447" s="5">
        <v>29</v>
      </c>
      <c r="K1447" s="5">
        <v>147913</v>
      </c>
      <c r="L1447" s="5">
        <v>2363310</v>
      </c>
      <c r="M1447" s="5">
        <v>359464.19</v>
      </c>
      <c r="N1447" s="5">
        <v>0.1618</v>
      </c>
      <c r="O1447" s="5">
        <v>4</v>
      </c>
      <c r="P1447" s="5">
        <v>90125</v>
      </c>
    </row>
    <row r="1448" spans="1:16" x14ac:dyDescent="0.3">
      <c r="A1448" s="5">
        <v>49</v>
      </c>
      <c r="B1448" s="5" t="s">
        <v>118</v>
      </c>
      <c r="C1448" s="5">
        <v>1</v>
      </c>
      <c r="D1448" s="5" t="s">
        <v>76</v>
      </c>
      <c r="E1448" s="5">
        <v>2022</v>
      </c>
      <c r="F1448" s="5">
        <v>6</v>
      </c>
      <c r="G1448" s="5" t="s">
        <v>39</v>
      </c>
      <c r="H1448" s="5">
        <v>4016222</v>
      </c>
      <c r="I1448" s="5">
        <v>3376472.07</v>
      </c>
      <c r="J1448" s="5">
        <v>57</v>
      </c>
      <c r="K1448" s="5">
        <v>412248</v>
      </c>
      <c r="L1448" s="5">
        <v>4416750</v>
      </c>
      <c r="M1448" s="5">
        <v>639749.93000000005</v>
      </c>
      <c r="N1448" s="5">
        <v>0.1593</v>
      </c>
      <c r="O1448" s="5">
        <v>5</v>
      </c>
      <c r="P1448" s="5">
        <v>134305</v>
      </c>
    </row>
    <row r="1449" spans="1:16" x14ac:dyDescent="0.3">
      <c r="A1449" s="5">
        <v>59</v>
      </c>
      <c r="B1449" s="5" t="s">
        <v>118</v>
      </c>
      <c r="C1449" s="5">
        <v>1</v>
      </c>
      <c r="D1449" s="5" t="s">
        <v>76</v>
      </c>
      <c r="E1449" s="5">
        <v>2022</v>
      </c>
      <c r="F1449" s="5">
        <v>6</v>
      </c>
      <c r="G1449" s="5" t="s">
        <v>39</v>
      </c>
      <c r="H1449" s="5">
        <v>5621332</v>
      </c>
      <c r="I1449" s="5">
        <v>4730822.55</v>
      </c>
      <c r="J1449" s="5">
        <v>96</v>
      </c>
      <c r="K1449" s="5">
        <v>510407</v>
      </c>
      <c r="L1449" s="5">
        <v>6106050</v>
      </c>
      <c r="M1449" s="5">
        <v>890509.45</v>
      </c>
      <c r="N1449" s="5">
        <v>0.15840000000000001</v>
      </c>
      <c r="O1449" s="5">
        <v>6</v>
      </c>
      <c r="P1449" s="5">
        <v>115256</v>
      </c>
    </row>
    <row r="1450" spans="1:16" x14ac:dyDescent="0.3">
      <c r="A1450" s="5">
        <v>26</v>
      </c>
      <c r="B1450" s="5" t="s">
        <v>118</v>
      </c>
      <c r="C1450" s="5">
        <v>1</v>
      </c>
      <c r="D1450" s="5" t="s">
        <v>76</v>
      </c>
      <c r="E1450" s="5">
        <v>2022</v>
      </c>
      <c r="F1450" s="5">
        <v>7</v>
      </c>
      <c r="G1450" s="5" t="s">
        <v>40</v>
      </c>
      <c r="H1450" s="5">
        <v>1586449</v>
      </c>
      <c r="I1450" s="5">
        <v>1352139.22</v>
      </c>
      <c r="J1450" s="5">
        <v>20</v>
      </c>
      <c r="K1450" s="5">
        <v>126884</v>
      </c>
      <c r="L1450" s="5">
        <v>1705240</v>
      </c>
      <c r="M1450" s="5">
        <v>234309.78</v>
      </c>
      <c r="N1450" s="5">
        <v>0.1477</v>
      </c>
      <c r="O1450" s="5">
        <v>0</v>
      </c>
      <c r="P1450" s="5">
        <v>0</v>
      </c>
    </row>
    <row r="1451" spans="1:16" x14ac:dyDescent="0.3">
      <c r="A1451" s="5">
        <v>49</v>
      </c>
      <c r="B1451" s="5" t="s">
        <v>118</v>
      </c>
      <c r="C1451" s="5">
        <v>1</v>
      </c>
      <c r="D1451" s="5" t="s">
        <v>76</v>
      </c>
      <c r="E1451" s="5">
        <v>2022</v>
      </c>
      <c r="F1451" s="5">
        <v>7</v>
      </c>
      <c r="G1451" s="5" t="s">
        <v>40</v>
      </c>
      <c r="H1451" s="5">
        <v>3670999</v>
      </c>
      <c r="I1451" s="5">
        <v>3338320.62</v>
      </c>
      <c r="J1451" s="5">
        <v>70</v>
      </c>
      <c r="K1451" s="5">
        <v>624239</v>
      </c>
      <c r="L1451" s="5">
        <v>4288060</v>
      </c>
      <c r="M1451" s="5">
        <v>332678.38</v>
      </c>
      <c r="N1451" s="5">
        <v>9.06E-2</v>
      </c>
      <c r="O1451" s="5">
        <v>4</v>
      </c>
      <c r="P1451" s="5">
        <v>72051</v>
      </c>
    </row>
    <row r="1452" spans="1:16" x14ac:dyDescent="0.3">
      <c r="A1452" s="5">
        <v>59</v>
      </c>
      <c r="B1452" s="5" t="s">
        <v>118</v>
      </c>
      <c r="C1452" s="5">
        <v>1</v>
      </c>
      <c r="D1452" s="5" t="s">
        <v>76</v>
      </c>
      <c r="E1452" s="5">
        <v>2022</v>
      </c>
      <c r="F1452" s="5">
        <v>7</v>
      </c>
      <c r="G1452" s="5" t="s">
        <v>40</v>
      </c>
      <c r="H1452" s="5">
        <v>6956555</v>
      </c>
      <c r="I1452" s="5">
        <v>6025088.3899999997</v>
      </c>
      <c r="J1452" s="5">
        <v>108</v>
      </c>
      <c r="K1452" s="5">
        <v>875663</v>
      </c>
      <c r="L1452" s="5">
        <v>7802210</v>
      </c>
      <c r="M1452" s="5">
        <v>931466.61</v>
      </c>
      <c r="N1452" s="5">
        <v>0.13389999999999999</v>
      </c>
      <c r="O1452" s="5">
        <v>9</v>
      </c>
      <c r="P1452" s="5">
        <v>266347</v>
      </c>
    </row>
    <row r="1453" spans="1:16" x14ac:dyDescent="0.3">
      <c r="A1453" s="5">
        <v>26</v>
      </c>
      <c r="B1453" s="5" t="s">
        <v>118</v>
      </c>
      <c r="C1453" s="5">
        <v>1</v>
      </c>
      <c r="D1453" s="5" t="s">
        <v>76</v>
      </c>
      <c r="E1453" s="5">
        <v>2022</v>
      </c>
      <c r="F1453" s="5">
        <v>8</v>
      </c>
      <c r="G1453" s="5" t="s">
        <v>41</v>
      </c>
      <c r="H1453" s="5">
        <v>790482</v>
      </c>
      <c r="I1453" s="5">
        <v>716271.38</v>
      </c>
      <c r="J1453" s="5">
        <v>14</v>
      </c>
      <c r="K1453" s="5">
        <v>168500</v>
      </c>
      <c r="L1453" s="5">
        <v>955700</v>
      </c>
      <c r="M1453" s="5">
        <v>74210.62</v>
      </c>
      <c r="N1453" s="5">
        <v>9.3899999999999997E-2</v>
      </c>
      <c r="O1453" s="5">
        <v>0</v>
      </c>
      <c r="P1453" s="5">
        <v>0</v>
      </c>
    </row>
    <row r="1454" spans="1:16" x14ac:dyDescent="0.3">
      <c r="A1454" s="5">
        <v>49</v>
      </c>
      <c r="B1454" s="5" t="s">
        <v>118</v>
      </c>
      <c r="C1454" s="5">
        <v>1</v>
      </c>
      <c r="D1454" s="5" t="s">
        <v>76</v>
      </c>
      <c r="E1454" s="5">
        <v>2022</v>
      </c>
      <c r="F1454" s="5">
        <v>8</v>
      </c>
      <c r="G1454" s="5" t="s">
        <v>41</v>
      </c>
      <c r="H1454" s="5">
        <v>4414515</v>
      </c>
      <c r="I1454" s="5">
        <v>4122234.95</v>
      </c>
      <c r="J1454" s="5">
        <v>58</v>
      </c>
      <c r="K1454" s="5">
        <v>834053</v>
      </c>
      <c r="L1454" s="5">
        <v>5232800</v>
      </c>
      <c r="M1454" s="5">
        <v>292280.05</v>
      </c>
      <c r="N1454" s="5">
        <v>6.6199999999999995E-2</v>
      </c>
      <c r="O1454" s="5">
        <v>5</v>
      </c>
      <c r="P1454" s="5">
        <v>218849</v>
      </c>
    </row>
    <row r="1455" spans="1:16" x14ac:dyDescent="0.3">
      <c r="A1455" s="5">
        <v>59</v>
      </c>
      <c r="B1455" s="5" t="s">
        <v>118</v>
      </c>
      <c r="C1455" s="5">
        <v>1</v>
      </c>
      <c r="D1455" s="5" t="s">
        <v>76</v>
      </c>
      <c r="E1455" s="5">
        <v>2022</v>
      </c>
      <c r="F1455" s="5">
        <v>8</v>
      </c>
      <c r="G1455" s="5" t="s">
        <v>41</v>
      </c>
      <c r="H1455" s="5">
        <v>4646900</v>
      </c>
      <c r="I1455" s="5">
        <v>4320145.29</v>
      </c>
      <c r="J1455" s="5">
        <v>81</v>
      </c>
      <c r="K1455" s="5">
        <v>981972</v>
      </c>
      <c r="L1455" s="5">
        <v>5617730</v>
      </c>
      <c r="M1455" s="5">
        <v>326754.71000000002</v>
      </c>
      <c r="N1455" s="5">
        <v>7.0300000000000001E-2</v>
      </c>
      <c r="O1455" s="5">
        <v>11</v>
      </c>
      <c r="P1455" s="5">
        <v>96436</v>
      </c>
    </row>
    <row r="1456" spans="1:16" x14ac:dyDescent="0.3">
      <c r="A1456" s="5">
        <v>26</v>
      </c>
      <c r="B1456" s="5" t="s">
        <v>118</v>
      </c>
      <c r="C1456" s="5">
        <v>1</v>
      </c>
      <c r="D1456" s="5" t="s">
        <v>76</v>
      </c>
      <c r="E1456" s="5">
        <v>2022</v>
      </c>
      <c r="F1456" s="5">
        <v>9</v>
      </c>
      <c r="G1456" s="5" t="s">
        <v>42</v>
      </c>
      <c r="H1456" s="5">
        <v>1295259</v>
      </c>
      <c r="I1456" s="5">
        <v>1145937.6599999999</v>
      </c>
      <c r="J1456" s="5">
        <v>21</v>
      </c>
      <c r="K1456" s="5">
        <v>169075</v>
      </c>
      <c r="L1456" s="5">
        <v>1463720</v>
      </c>
      <c r="M1456" s="5">
        <v>149321.34</v>
      </c>
      <c r="N1456" s="5">
        <v>0.1153</v>
      </c>
      <c r="O1456" s="5">
        <v>1</v>
      </c>
      <c r="P1456" s="5">
        <v>4222</v>
      </c>
    </row>
    <row r="1457" spans="1:16" x14ac:dyDescent="0.3">
      <c r="A1457" s="5">
        <v>49</v>
      </c>
      <c r="B1457" s="5" t="s">
        <v>118</v>
      </c>
      <c r="C1457" s="5">
        <v>1</v>
      </c>
      <c r="D1457" s="5" t="s">
        <v>76</v>
      </c>
      <c r="E1457" s="5">
        <v>2022</v>
      </c>
      <c r="F1457" s="5">
        <v>9</v>
      </c>
      <c r="G1457" s="5" t="s">
        <v>42</v>
      </c>
      <c r="H1457" s="5">
        <v>4614096</v>
      </c>
      <c r="I1457" s="5">
        <v>4202189.1900000004</v>
      </c>
      <c r="J1457" s="5">
        <v>57</v>
      </c>
      <c r="K1457" s="5">
        <v>684948</v>
      </c>
      <c r="L1457" s="5">
        <v>5284910</v>
      </c>
      <c r="M1457" s="5">
        <v>411906.81</v>
      </c>
      <c r="N1457" s="5">
        <v>8.9300000000000004E-2</v>
      </c>
      <c r="O1457" s="5">
        <v>9</v>
      </c>
      <c r="P1457" s="5">
        <v>382138</v>
      </c>
    </row>
    <row r="1458" spans="1:16" x14ac:dyDescent="0.3">
      <c r="A1458" s="5">
        <v>59</v>
      </c>
      <c r="B1458" s="5" t="s">
        <v>118</v>
      </c>
      <c r="C1458" s="5">
        <v>1</v>
      </c>
      <c r="D1458" s="5" t="s">
        <v>76</v>
      </c>
      <c r="E1458" s="5">
        <v>2022</v>
      </c>
      <c r="F1458" s="5">
        <v>9</v>
      </c>
      <c r="G1458" s="5" t="s">
        <v>42</v>
      </c>
      <c r="H1458" s="5">
        <v>5182612</v>
      </c>
      <c r="I1458" s="5">
        <v>4575165.79</v>
      </c>
      <c r="J1458" s="5">
        <v>86</v>
      </c>
      <c r="K1458" s="5">
        <v>688796</v>
      </c>
      <c r="L1458" s="5">
        <v>5852880</v>
      </c>
      <c r="M1458" s="5">
        <v>607446.21</v>
      </c>
      <c r="N1458" s="5">
        <v>0.1172</v>
      </c>
      <c r="O1458" s="5">
        <v>8</v>
      </c>
      <c r="P1458" s="5">
        <v>382719</v>
      </c>
    </row>
    <row r="1459" spans="1:16" x14ac:dyDescent="0.3">
      <c r="A1459" s="5">
        <v>26</v>
      </c>
      <c r="B1459" s="5" t="s">
        <v>118</v>
      </c>
      <c r="C1459" s="5">
        <v>1</v>
      </c>
      <c r="D1459" s="5" t="s">
        <v>76</v>
      </c>
      <c r="E1459" s="5">
        <v>2022</v>
      </c>
      <c r="F1459" s="5">
        <v>10</v>
      </c>
      <c r="G1459" s="5" t="s">
        <v>43</v>
      </c>
      <c r="H1459" s="5">
        <v>2883358</v>
      </c>
      <c r="I1459" s="5">
        <v>2611301.64</v>
      </c>
      <c r="J1459" s="5">
        <v>41</v>
      </c>
      <c r="K1459" s="5">
        <v>457961</v>
      </c>
      <c r="L1459" s="5">
        <v>3327400</v>
      </c>
      <c r="M1459" s="5">
        <v>272056.36</v>
      </c>
      <c r="N1459" s="5">
        <v>9.4399999999999998E-2</v>
      </c>
      <c r="O1459" s="5">
        <v>1</v>
      </c>
      <c r="P1459" s="5">
        <v>12704</v>
      </c>
    </row>
    <row r="1460" spans="1:16" x14ac:dyDescent="0.3">
      <c r="A1460" s="5">
        <v>49</v>
      </c>
      <c r="B1460" s="5" t="s">
        <v>118</v>
      </c>
      <c r="C1460" s="5">
        <v>1</v>
      </c>
      <c r="D1460" s="5" t="s">
        <v>76</v>
      </c>
      <c r="E1460" s="5">
        <v>2022</v>
      </c>
      <c r="F1460" s="5">
        <v>10</v>
      </c>
      <c r="G1460" s="5" t="s">
        <v>43</v>
      </c>
      <c r="H1460" s="5">
        <v>4532363</v>
      </c>
      <c r="I1460" s="5">
        <v>4119773.71</v>
      </c>
      <c r="J1460" s="5">
        <v>71</v>
      </c>
      <c r="K1460" s="5">
        <v>784050</v>
      </c>
      <c r="L1460" s="5">
        <v>5307200</v>
      </c>
      <c r="M1460" s="5">
        <v>412589.29</v>
      </c>
      <c r="N1460" s="5">
        <v>9.0999999999999998E-2</v>
      </c>
      <c r="O1460" s="5">
        <v>4</v>
      </c>
      <c r="P1460" s="5">
        <v>127285</v>
      </c>
    </row>
    <row r="1461" spans="1:16" x14ac:dyDescent="0.3">
      <c r="A1461" s="5">
        <v>59</v>
      </c>
      <c r="B1461" s="5" t="s">
        <v>118</v>
      </c>
      <c r="C1461" s="5">
        <v>1</v>
      </c>
      <c r="D1461" s="5" t="s">
        <v>76</v>
      </c>
      <c r="E1461" s="5">
        <v>2022</v>
      </c>
      <c r="F1461" s="5">
        <v>10</v>
      </c>
      <c r="G1461" s="5" t="s">
        <v>43</v>
      </c>
      <c r="H1461" s="5">
        <v>6933234</v>
      </c>
      <c r="I1461" s="5">
        <v>6333105.9800000004</v>
      </c>
      <c r="J1461" s="5">
        <v>129</v>
      </c>
      <c r="K1461" s="5">
        <v>1176374</v>
      </c>
      <c r="L1461" s="5">
        <v>8074530</v>
      </c>
      <c r="M1461" s="5">
        <v>600128.02</v>
      </c>
      <c r="N1461" s="5">
        <v>8.6599999999999996E-2</v>
      </c>
      <c r="O1461" s="5">
        <v>14</v>
      </c>
      <c r="P1461" s="5">
        <v>212054</v>
      </c>
    </row>
    <row r="1462" spans="1:16" x14ac:dyDescent="0.3">
      <c r="A1462" s="5">
        <v>26</v>
      </c>
      <c r="B1462" s="5" t="s">
        <v>118</v>
      </c>
      <c r="C1462" s="5">
        <v>1</v>
      </c>
      <c r="D1462" s="5" t="s">
        <v>76</v>
      </c>
      <c r="E1462" s="5">
        <v>2022</v>
      </c>
      <c r="F1462" s="5">
        <v>11</v>
      </c>
      <c r="G1462" s="5" t="s">
        <v>44</v>
      </c>
      <c r="H1462" s="5">
        <v>815093</v>
      </c>
      <c r="I1462" s="5">
        <v>652689.27</v>
      </c>
      <c r="J1462" s="5">
        <v>16</v>
      </c>
      <c r="K1462" s="5">
        <v>23909</v>
      </c>
      <c r="L1462" s="5">
        <v>838490</v>
      </c>
      <c r="M1462" s="5">
        <v>162403.73000000001</v>
      </c>
      <c r="N1462" s="5">
        <v>0.19919999999999999</v>
      </c>
      <c r="O1462" s="5">
        <v>1</v>
      </c>
      <c r="P1462" s="5">
        <v>8642</v>
      </c>
    </row>
    <row r="1463" spans="1:16" x14ac:dyDescent="0.3">
      <c r="A1463" s="5">
        <v>49</v>
      </c>
      <c r="B1463" s="5" t="s">
        <v>118</v>
      </c>
      <c r="C1463" s="5">
        <v>1</v>
      </c>
      <c r="D1463" s="5" t="s">
        <v>76</v>
      </c>
      <c r="E1463" s="5">
        <v>2022</v>
      </c>
      <c r="F1463" s="5">
        <v>11</v>
      </c>
      <c r="G1463" s="5" t="s">
        <v>44</v>
      </c>
      <c r="H1463" s="5">
        <v>7365081</v>
      </c>
      <c r="I1463" s="5">
        <v>6162819.6200000001</v>
      </c>
      <c r="J1463" s="5">
        <v>81</v>
      </c>
      <c r="K1463" s="5">
        <v>540573</v>
      </c>
      <c r="L1463" s="5">
        <v>7881470</v>
      </c>
      <c r="M1463" s="5">
        <v>1202261.3799999999</v>
      </c>
      <c r="N1463" s="5">
        <v>0.16320000000000001</v>
      </c>
      <c r="O1463" s="5">
        <v>6</v>
      </c>
      <c r="P1463" s="5">
        <v>121617</v>
      </c>
    </row>
    <row r="1464" spans="1:16" x14ac:dyDescent="0.3">
      <c r="A1464" s="5">
        <v>59</v>
      </c>
      <c r="B1464" s="5" t="s">
        <v>118</v>
      </c>
      <c r="C1464" s="5">
        <v>1</v>
      </c>
      <c r="D1464" s="5" t="s">
        <v>76</v>
      </c>
      <c r="E1464" s="5">
        <v>2022</v>
      </c>
      <c r="F1464" s="5">
        <v>11</v>
      </c>
      <c r="G1464" s="5" t="s">
        <v>44</v>
      </c>
      <c r="H1464" s="5">
        <v>7842139</v>
      </c>
      <c r="I1464" s="5">
        <v>6911039.3399999999</v>
      </c>
      <c r="J1464" s="5">
        <v>112</v>
      </c>
      <c r="K1464" s="5">
        <v>1001433</v>
      </c>
      <c r="L1464" s="5">
        <v>8832970</v>
      </c>
      <c r="M1464" s="5">
        <v>931099.66</v>
      </c>
      <c r="N1464" s="5">
        <v>0.1187</v>
      </c>
      <c r="O1464" s="5">
        <v>9</v>
      </c>
      <c r="P1464" s="5">
        <v>198505</v>
      </c>
    </row>
    <row r="1465" spans="1:16" x14ac:dyDescent="0.3">
      <c r="A1465" s="5">
        <v>26</v>
      </c>
      <c r="B1465" s="5" t="s">
        <v>118</v>
      </c>
      <c r="C1465" s="5">
        <v>1</v>
      </c>
      <c r="D1465" s="5" t="s">
        <v>76</v>
      </c>
      <c r="E1465" s="5">
        <v>2022</v>
      </c>
      <c r="F1465" s="5">
        <v>12</v>
      </c>
      <c r="G1465" s="5" t="s">
        <v>45</v>
      </c>
      <c r="H1465" s="5">
        <v>1848611</v>
      </c>
      <c r="I1465" s="5">
        <v>1607678.93</v>
      </c>
      <c r="J1465" s="5">
        <v>32</v>
      </c>
      <c r="K1465" s="5">
        <v>192344</v>
      </c>
      <c r="L1465" s="5">
        <v>2040230</v>
      </c>
      <c r="M1465" s="5">
        <v>240932.07</v>
      </c>
      <c r="N1465" s="5">
        <v>0.1303</v>
      </c>
      <c r="O1465" s="5">
        <v>3</v>
      </c>
      <c r="P1465" s="5">
        <v>140311</v>
      </c>
    </row>
    <row r="1466" spans="1:16" x14ac:dyDescent="0.3">
      <c r="A1466" s="5">
        <v>49</v>
      </c>
      <c r="B1466" s="5" t="s">
        <v>118</v>
      </c>
      <c r="C1466" s="5">
        <v>1</v>
      </c>
      <c r="D1466" s="5" t="s">
        <v>76</v>
      </c>
      <c r="E1466" s="5">
        <v>2022</v>
      </c>
      <c r="F1466" s="5">
        <v>12</v>
      </c>
      <c r="G1466" s="5" t="s">
        <v>45</v>
      </c>
      <c r="H1466" s="5">
        <v>6716903</v>
      </c>
      <c r="I1466" s="5">
        <v>5614394.8300000001</v>
      </c>
      <c r="J1466" s="5">
        <v>85</v>
      </c>
      <c r="K1466" s="5">
        <v>528847</v>
      </c>
      <c r="L1466" s="5">
        <v>7213880</v>
      </c>
      <c r="M1466" s="5">
        <v>1102508.17</v>
      </c>
      <c r="N1466" s="5">
        <v>0.1641</v>
      </c>
      <c r="O1466" s="5">
        <v>8</v>
      </c>
      <c r="P1466" s="5">
        <v>82290</v>
      </c>
    </row>
    <row r="1467" spans="1:16" x14ac:dyDescent="0.3">
      <c r="A1467" s="5">
        <v>59</v>
      </c>
      <c r="B1467" s="5" t="s">
        <v>118</v>
      </c>
      <c r="C1467" s="5">
        <v>1</v>
      </c>
      <c r="D1467" s="5" t="s">
        <v>76</v>
      </c>
      <c r="E1467" s="5">
        <v>2022</v>
      </c>
      <c r="F1467" s="5">
        <v>12</v>
      </c>
      <c r="G1467" s="5" t="s">
        <v>45</v>
      </c>
      <c r="H1467" s="5">
        <v>7887039</v>
      </c>
      <c r="I1467" s="5">
        <v>6473795.2699999996</v>
      </c>
      <c r="J1467" s="5">
        <v>121</v>
      </c>
      <c r="K1467" s="5">
        <v>558432</v>
      </c>
      <c r="L1467" s="5">
        <v>8412850</v>
      </c>
      <c r="M1467" s="5">
        <v>1413243.73</v>
      </c>
      <c r="N1467" s="5">
        <v>0.1792</v>
      </c>
      <c r="O1467" s="5">
        <v>4</v>
      </c>
      <c r="P1467" s="5">
        <v>180819</v>
      </c>
    </row>
    <row r="1468" spans="1:16" x14ac:dyDescent="0.3">
      <c r="A1468" s="5">
        <v>26</v>
      </c>
      <c r="B1468" s="5" t="s">
        <v>118</v>
      </c>
      <c r="C1468" s="5">
        <v>1</v>
      </c>
      <c r="D1468" s="5" t="s">
        <v>76</v>
      </c>
      <c r="E1468" s="5">
        <v>2023</v>
      </c>
      <c r="F1468" s="5">
        <v>1</v>
      </c>
      <c r="G1468" s="5" t="s">
        <v>46</v>
      </c>
      <c r="H1468" s="5">
        <v>1809385</v>
      </c>
      <c r="I1468" s="5">
        <v>1475215.62</v>
      </c>
      <c r="J1468" s="5">
        <v>24</v>
      </c>
      <c r="K1468" s="5">
        <v>114312</v>
      </c>
      <c r="L1468" s="5">
        <v>1912420</v>
      </c>
      <c r="M1468" s="5">
        <v>334169.38</v>
      </c>
      <c r="N1468" s="5">
        <v>0.1847</v>
      </c>
      <c r="O1468" s="5">
        <v>2</v>
      </c>
      <c r="P1468" s="5">
        <v>69988</v>
      </c>
    </row>
    <row r="1469" spans="1:16" x14ac:dyDescent="0.3">
      <c r="A1469" s="5">
        <v>49</v>
      </c>
      <c r="B1469" s="5" t="s">
        <v>118</v>
      </c>
      <c r="C1469" s="5">
        <v>1</v>
      </c>
      <c r="D1469" s="5" t="s">
        <v>76</v>
      </c>
      <c r="E1469" s="5">
        <v>2023</v>
      </c>
      <c r="F1469" s="5">
        <v>1</v>
      </c>
      <c r="G1469" s="5" t="s">
        <v>46</v>
      </c>
      <c r="H1469" s="5">
        <v>4353558</v>
      </c>
      <c r="I1469" s="5">
        <v>3671579.79</v>
      </c>
      <c r="J1469" s="5">
        <v>72</v>
      </c>
      <c r="K1469" s="5">
        <v>379620</v>
      </c>
      <c r="L1469" s="5">
        <v>4718950</v>
      </c>
      <c r="M1469" s="5">
        <v>681978.21</v>
      </c>
      <c r="N1469" s="5">
        <v>0.15659999999999999</v>
      </c>
      <c r="O1469" s="5">
        <v>5</v>
      </c>
      <c r="P1469" s="5">
        <v>430066</v>
      </c>
    </row>
    <row r="1470" spans="1:16" x14ac:dyDescent="0.3">
      <c r="A1470" s="5">
        <v>59</v>
      </c>
      <c r="B1470" s="5" t="s">
        <v>118</v>
      </c>
      <c r="C1470" s="5">
        <v>1</v>
      </c>
      <c r="D1470" s="5" t="s">
        <v>76</v>
      </c>
      <c r="E1470" s="5">
        <v>2023</v>
      </c>
      <c r="F1470" s="5">
        <v>1</v>
      </c>
      <c r="G1470" s="5" t="s">
        <v>46</v>
      </c>
      <c r="H1470" s="5">
        <v>7055461</v>
      </c>
      <c r="I1470" s="5">
        <v>5964633.9400000004</v>
      </c>
      <c r="J1470" s="5">
        <v>107</v>
      </c>
      <c r="K1470" s="5">
        <v>685655</v>
      </c>
      <c r="L1470" s="5">
        <v>7706170</v>
      </c>
      <c r="M1470" s="5">
        <v>1090827.06</v>
      </c>
      <c r="N1470" s="5">
        <v>0.15459999999999999</v>
      </c>
      <c r="O1470" s="5">
        <v>7</v>
      </c>
      <c r="P1470" s="5">
        <v>186767</v>
      </c>
    </row>
    <row r="1471" spans="1:16" x14ac:dyDescent="0.3">
      <c r="A1471" s="5">
        <v>26</v>
      </c>
      <c r="B1471" s="5" t="s">
        <v>118</v>
      </c>
      <c r="C1471" s="5">
        <v>1</v>
      </c>
      <c r="D1471" s="5" t="s">
        <v>76</v>
      </c>
      <c r="E1471" s="5">
        <v>2023</v>
      </c>
      <c r="F1471" s="5">
        <v>2</v>
      </c>
      <c r="G1471" s="5" t="s">
        <v>47</v>
      </c>
      <c r="H1471" s="5">
        <v>2363197</v>
      </c>
      <c r="I1471" s="5">
        <v>1977340.18</v>
      </c>
      <c r="J1471" s="5">
        <v>27</v>
      </c>
      <c r="K1471" s="5">
        <v>211096</v>
      </c>
      <c r="L1471" s="5">
        <v>2567820</v>
      </c>
      <c r="M1471" s="5">
        <v>385856.82</v>
      </c>
      <c r="N1471" s="5">
        <v>0.1633</v>
      </c>
      <c r="O1471" s="5">
        <v>1</v>
      </c>
      <c r="P1471" s="5">
        <v>424</v>
      </c>
    </row>
    <row r="1472" spans="1:16" x14ac:dyDescent="0.3">
      <c r="A1472" s="5">
        <v>49</v>
      </c>
      <c r="B1472" s="5" t="s">
        <v>118</v>
      </c>
      <c r="C1472" s="5">
        <v>1</v>
      </c>
      <c r="D1472" s="5" t="s">
        <v>76</v>
      </c>
      <c r="E1472" s="5">
        <v>2023</v>
      </c>
      <c r="F1472" s="5">
        <v>2</v>
      </c>
      <c r="G1472" s="5" t="s">
        <v>47</v>
      </c>
      <c r="H1472" s="5">
        <v>5895827</v>
      </c>
      <c r="I1472" s="5">
        <v>4902646.91</v>
      </c>
      <c r="J1472" s="5">
        <v>72</v>
      </c>
      <c r="K1472" s="5">
        <v>408684</v>
      </c>
      <c r="L1472" s="5">
        <v>6274400</v>
      </c>
      <c r="M1472" s="5">
        <v>993180.09</v>
      </c>
      <c r="N1472" s="5">
        <v>0.16850000000000001</v>
      </c>
      <c r="O1472" s="5">
        <v>4</v>
      </c>
      <c r="P1472" s="5">
        <v>92151</v>
      </c>
    </row>
    <row r="1473" spans="1:16" x14ac:dyDescent="0.3">
      <c r="A1473" s="5">
        <v>59</v>
      </c>
      <c r="B1473" s="5" t="s">
        <v>118</v>
      </c>
      <c r="C1473" s="5">
        <v>1</v>
      </c>
      <c r="D1473" s="5" t="s">
        <v>76</v>
      </c>
      <c r="E1473" s="5">
        <v>2023</v>
      </c>
      <c r="F1473" s="5">
        <v>2</v>
      </c>
      <c r="G1473" s="5" t="s">
        <v>47</v>
      </c>
      <c r="H1473" s="5">
        <v>5540528</v>
      </c>
      <c r="I1473" s="5">
        <v>4805305.6900000004</v>
      </c>
      <c r="J1473" s="5">
        <v>88</v>
      </c>
      <c r="K1473" s="5">
        <v>600094</v>
      </c>
      <c r="L1473" s="5">
        <v>6120040</v>
      </c>
      <c r="M1473" s="5">
        <v>735222.31</v>
      </c>
      <c r="N1473" s="5">
        <v>0.13270000000000001</v>
      </c>
      <c r="O1473" s="5">
        <v>3</v>
      </c>
      <c r="P1473" s="5">
        <v>110671</v>
      </c>
    </row>
    <row r="1474" spans="1:16" x14ac:dyDescent="0.3">
      <c r="A1474" s="5">
        <v>26</v>
      </c>
      <c r="B1474" s="5" t="s">
        <v>118</v>
      </c>
      <c r="C1474" s="5">
        <v>1</v>
      </c>
      <c r="D1474" s="5" t="s">
        <v>76</v>
      </c>
      <c r="E1474" s="5">
        <v>2023</v>
      </c>
      <c r="F1474" s="5">
        <v>3</v>
      </c>
      <c r="G1474" s="5" t="s">
        <v>48</v>
      </c>
      <c r="H1474" s="5">
        <v>2356339</v>
      </c>
      <c r="I1474" s="5">
        <v>2113003.85</v>
      </c>
      <c r="J1474" s="5">
        <v>28</v>
      </c>
      <c r="K1474" s="5">
        <v>384805</v>
      </c>
      <c r="L1474" s="5">
        <v>2734120</v>
      </c>
      <c r="M1474" s="5">
        <v>243335.15</v>
      </c>
      <c r="N1474" s="5">
        <v>0.1033</v>
      </c>
      <c r="O1474" s="5">
        <v>4</v>
      </c>
      <c r="P1474" s="5">
        <v>57361</v>
      </c>
    </row>
    <row r="1475" spans="1:16" x14ac:dyDescent="0.3">
      <c r="A1475" s="5">
        <v>49</v>
      </c>
      <c r="B1475" s="5" t="s">
        <v>118</v>
      </c>
      <c r="C1475" s="5">
        <v>1</v>
      </c>
      <c r="D1475" s="5" t="s">
        <v>76</v>
      </c>
      <c r="E1475" s="5">
        <v>2023</v>
      </c>
      <c r="F1475" s="5">
        <v>3</v>
      </c>
      <c r="G1475" s="5" t="s">
        <v>48</v>
      </c>
      <c r="H1475" s="5">
        <v>4581091</v>
      </c>
      <c r="I1475" s="5">
        <v>3862599.79</v>
      </c>
      <c r="J1475" s="5">
        <v>69</v>
      </c>
      <c r="K1475" s="5">
        <v>450995</v>
      </c>
      <c r="L1475" s="5">
        <v>5012410</v>
      </c>
      <c r="M1475" s="5">
        <v>718491.21</v>
      </c>
      <c r="N1475" s="5">
        <v>0.15679999999999999</v>
      </c>
      <c r="O1475" s="5">
        <v>5</v>
      </c>
      <c r="P1475" s="5">
        <v>225278</v>
      </c>
    </row>
    <row r="1476" spans="1:16" x14ac:dyDescent="0.3">
      <c r="A1476" s="5">
        <v>59</v>
      </c>
      <c r="B1476" s="5" t="s">
        <v>118</v>
      </c>
      <c r="C1476" s="5">
        <v>1</v>
      </c>
      <c r="D1476" s="5" t="s">
        <v>76</v>
      </c>
      <c r="E1476" s="5">
        <v>2023</v>
      </c>
      <c r="F1476" s="5">
        <v>3</v>
      </c>
      <c r="G1476" s="5" t="s">
        <v>48</v>
      </c>
      <c r="H1476" s="5">
        <v>5306941</v>
      </c>
      <c r="I1476" s="5">
        <v>4584522.17</v>
      </c>
      <c r="J1476" s="5">
        <v>92</v>
      </c>
      <c r="K1476" s="5">
        <v>700967</v>
      </c>
      <c r="L1476" s="5">
        <v>5984310</v>
      </c>
      <c r="M1476" s="5">
        <v>722418.83</v>
      </c>
      <c r="N1476" s="5">
        <v>0.1361</v>
      </c>
      <c r="O1476" s="5">
        <v>11</v>
      </c>
      <c r="P1476" s="5">
        <v>190122</v>
      </c>
    </row>
    <row r="1477" spans="1:16" x14ac:dyDescent="0.3">
      <c r="A1477" s="5">
        <v>26</v>
      </c>
      <c r="B1477" s="5" t="s">
        <v>118</v>
      </c>
      <c r="C1477" s="5">
        <v>1</v>
      </c>
      <c r="D1477" s="5" t="s">
        <v>76</v>
      </c>
      <c r="E1477" s="5">
        <v>2023</v>
      </c>
      <c r="F1477" s="5">
        <v>4</v>
      </c>
      <c r="G1477" s="5" t="s">
        <v>49</v>
      </c>
      <c r="H1477" s="5">
        <v>1793251</v>
      </c>
      <c r="I1477" s="5">
        <v>1604055.97</v>
      </c>
      <c r="J1477" s="5">
        <v>23</v>
      </c>
      <c r="K1477" s="5">
        <v>286423</v>
      </c>
      <c r="L1477" s="5">
        <v>2073170</v>
      </c>
      <c r="M1477" s="5">
        <v>189195.03</v>
      </c>
      <c r="N1477" s="5">
        <v>0.1055</v>
      </c>
      <c r="O1477" s="5">
        <v>0</v>
      </c>
      <c r="P1477" s="5">
        <v>0</v>
      </c>
    </row>
    <row r="1478" spans="1:16" x14ac:dyDescent="0.3">
      <c r="A1478" s="5">
        <v>49</v>
      </c>
      <c r="B1478" s="5" t="s">
        <v>118</v>
      </c>
      <c r="C1478" s="5">
        <v>1</v>
      </c>
      <c r="D1478" s="5" t="s">
        <v>76</v>
      </c>
      <c r="E1478" s="5">
        <v>2023</v>
      </c>
      <c r="F1478" s="5">
        <v>4</v>
      </c>
      <c r="G1478" s="5" t="s">
        <v>49</v>
      </c>
      <c r="H1478" s="5">
        <v>3946425</v>
      </c>
      <c r="I1478" s="5">
        <v>3421500.25</v>
      </c>
      <c r="J1478" s="5">
        <v>77</v>
      </c>
      <c r="K1478" s="5">
        <v>531713</v>
      </c>
      <c r="L1478" s="5">
        <v>4455870</v>
      </c>
      <c r="M1478" s="5">
        <v>524924.75</v>
      </c>
      <c r="N1478" s="5">
        <v>0.13300000000000001</v>
      </c>
      <c r="O1478" s="5">
        <v>4</v>
      </c>
      <c r="P1478" s="5">
        <v>50440</v>
      </c>
    </row>
    <row r="1479" spans="1:16" x14ac:dyDescent="0.3">
      <c r="A1479" s="5">
        <v>59</v>
      </c>
      <c r="B1479" s="5" t="s">
        <v>118</v>
      </c>
      <c r="C1479" s="5">
        <v>1</v>
      </c>
      <c r="D1479" s="5" t="s">
        <v>76</v>
      </c>
      <c r="E1479" s="5">
        <v>2023</v>
      </c>
      <c r="F1479" s="5">
        <v>4</v>
      </c>
      <c r="G1479" s="5" t="s">
        <v>49</v>
      </c>
      <c r="H1479" s="5">
        <v>7932045</v>
      </c>
      <c r="I1479" s="5">
        <v>6894299.5899999999</v>
      </c>
      <c r="J1479" s="5">
        <v>107</v>
      </c>
      <c r="K1479" s="5">
        <v>945101</v>
      </c>
      <c r="L1479" s="5">
        <v>8849750</v>
      </c>
      <c r="M1479" s="5">
        <v>1037745.41</v>
      </c>
      <c r="N1479" s="5">
        <v>0.1308</v>
      </c>
      <c r="O1479" s="5">
        <v>9</v>
      </c>
      <c r="P1479" s="5">
        <v>357651</v>
      </c>
    </row>
    <row r="1480" spans="1:16" x14ac:dyDescent="0.3">
      <c r="A1480" s="5">
        <v>26</v>
      </c>
      <c r="B1480" s="5" t="s">
        <v>118</v>
      </c>
      <c r="C1480" s="5">
        <v>1</v>
      </c>
      <c r="D1480" s="5" t="s">
        <v>76</v>
      </c>
      <c r="E1480" s="5">
        <v>2023</v>
      </c>
      <c r="F1480" s="5">
        <v>5</v>
      </c>
      <c r="G1480" s="5" t="s">
        <v>50</v>
      </c>
      <c r="H1480" s="5">
        <v>1912923</v>
      </c>
      <c r="I1480" s="5">
        <v>1657025.51</v>
      </c>
      <c r="J1480" s="5">
        <v>41</v>
      </c>
      <c r="K1480" s="5">
        <v>233631</v>
      </c>
      <c r="L1480" s="5">
        <v>2141260</v>
      </c>
      <c r="M1480" s="5">
        <v>255897.49</v>
      </c>
      <c r="N1480" s="5">
        <v>0.1338</v>
      </c>
      <c r="O1480" s="5">
        <v>2</v>
      </c>
      <c r="P1480" s="5">
        <v>22264</v>
      </c>
    </row>
    <row r="1481" spans="1:16" x14ac:dyDescent="0.3">
      <c r="A1481" s="5">
        <v>49</v>
      </c>
      <c r="B1481" s="5" t="s">
        <v>118</v>
      </c>
      <c r="C1481" s="5">
        <v>1</v>
      </c>
      <c r="D1481" s="5" t="s">
        <v>76</v>
      </c>
      <c r="E1481" s="5">
        <v>2023</v>
      </c>
      <c r="F1481" s="5">
        <v>5</v>
      </c>
      <c r="G1481" s="5" t="s">
        <v>50</v>
      </c>
      <c r="H1481" s="5">
        <v>3201747</v>
      </c>
      <c r="I1481" s="5">
        <v>2682491.71</v>
      </c>
      <c r="J1481" s="5">
        <v>74</v>
      </c>
      <c r="K1481" s="5">
        <v>346495</v>
      </c>
      <c r="L1481" s="5">
        <v>3534940</v>
      </c>
      <c r="M1481" s="5">
        <v>519255.29</v>
      </c>
      <c r="N1481" s="5">
        <v>0.16220000000000001</v>
      </c>
      <c r="O1481" s="5">
        <v>4</v>
      </c>
      <c r="P1481" s="5">
        <v>49606</v>
      </c>
    </row>
    <row r="1482" spans="1:16" x14ac:dyDescent="0.3">
      <c r="A1482" s="5">
        <v>59</v>
      </c>
      <c r="B1482" s="5" t="s">
        <v>118</v>
      </c>
      <c r="C1482" s="5">
        <v>1</v>
      </c>
      <c r="D1482" s="5" t="s">
        <v>76</v>
      </c>
      <c r="E1482" s="5">
        <v>2023</v>
      </c>
      <c r="F1482" s="5">
        <v>5</v>
      </c>
      <c r="G1482" s="5" t="s">
        <v>50</v>
      </c>
      <c r="H1482" s="5">
        <v>9105533</v>
      </c>
      <c r="I1482" s="5">
        <v>7946986.8200000003</v>
      </c>
      <c r="J1482" s="5">
        <v>131</v>
      </c>
      <c r="K1482" s="5">
        <v>1225032</v>
      </c>
      <c r="L1482" s="5">
        <v>10295070</v>
      </c>
      <c r="M1482" s="5">
        <v>1158546.18</v>
      </c>
      <c r="N1482" s="5">
        <v>0.12720000000000001</v>
      </c>
      <c r="O1482" s="5">
        <v>10</v>
      </c>
      <c r="P1482" s="5">
        <v>230895</v>
      </c>
    </row>
    <row r="1483" spans="1:16" x14ac:dyDescent="0.3">
      <c r="A1483" s="5">
        <v>26</v>
      </c>
      <c r="B1483" s="5" t="s">
        <v>118</v>
      </c>
      <c r="C1483" s="5">
        <v>1</v>
      </c>
      <c r="D1483" s="5" t="s">
        <v>76</v>
      </c>
      <c r="E1483" s="5">
        <v>2023</v>
      </c>
      <c r="F1483" s="5">
        <v>6</v>
      </c>
      <c r="G1483" s="5" t="s">
        <v>51</v>
      </c>
      <c r="H1483" s="5">
        <v>1510829</v>
      </c>
      <c r="I1483" s="5">
        <v>1244132.19</v>
      </c>
      <c r="J1483" s="5">
        <v>27</v>
      </c>
      <c r="K1483" s="5">
        <v>154239</v>
      </c>
      <c r="L1483" s="5">
        <v>1662150</v>
      </c>
      <c r="M1483" s="5">
        <v>266696.81</v>
      </c>
      <c r="N1483" s="5">
        <v>0.17649999999999999</v>
      </c>
      <c r="O1483" s="5">
        <v>1</v>
      </c>
      <c r="P1483" s="5">
        <v>14722</v>
      </c>
    </row>
    <row r="1484" spans="1:16" x14ac:dyDescent="0.3">
      <c r="A1484" s="5">
        <v>49</v>
      </c>
      <c r="B1484" s="5" t="s">
        <v>118</v>
      </c>
      <c r="C1484" s="5">
        <v>1</v>
      </c>
      <c r="D1484" s="5" t="s">
        <v>76</v>
      </c>
      <c r="E1484" s="5">
        <v>2023</v>
      </c>
      <c r="F1484" s="5">
        <v>6</v>
      </c>
      <c r="G1484" s="5" t="s">
        <v>51</v>
      </c>
      <c r="H1484" s="5">
        <v>7273472</v>
      </c>
      <c r="I1484" s="5">
        <v>6362739.7400000002</v>
      </c>
      <c r="J1484" s="5">
        <v>87</v>
      </c>
      <c r="K1484" s="5">
        <v>841138</v>
      </c>
      <c r="L1484" s="5">
        <v>8094050</v>
      </c>
      <c r="M1484" s="5">
        <v>910732.26</v>
      </c>
      <c r="N1484" s="5">
        <v>0.12520000000000001</v>
      </c>
      <c r="O1484" s="5">
        <v>4</v>
      </c>
      <c r="P1484" s="5">
        <v>48298</v>
      </c>
    </row>
    <row r="1485" spans="1:16" x14ac:dyDescent="0.3">
      <c r="A1485" s="5">
        <v>59</v>
      </c>
      <c r="B1485" s="5" t="s">
        <v>118</v>
      </c>
      <c r="C1485" s="5">
        <v>1</v>
      </c>
      <c r="D1485" s="5" t="s">
        <v>76</v>
      </c>
      <c r="E1485" s="5">
        <v>2023</v>
      </c>
      <c r="F1485" s="5">
        <v>6</v>
      </c>
      <c r="G1485" s="5" t="s">
        <v>51</v>
      </c>
      <c r="H1485" s="5">
        <v>8626101</v>
      </c>
      <c r="I1485" s="5">
        <v>7264971.79</v>
      </c>
      <c r="J1485" s="5">
        <v>122</v>
      </c>
      <c r="K1485" s="5">
        <v>786997</v>
      </c>
      <c r="L1485" s="5">
        <v>9385320</v>
      </c>
      <c r="M1485" s="5">
        <v>1361129.21</v>
      </c>
      <c r="N1485" s="5">
        <v>0.1578</v>
      </c>
      <c r="O1485" s="5">
        <v>10</v>
      </c>
      <c r="P1485" s="5">
        <v>283668</v>
      </c>
    </row>
    <row r="1486" spans="1:16" x14ac:dyDescent="0.3">
      <c r="A1486" s="5">
        <v>26</v>
      </c>
      <c r="B1486" s="5" t="s">
        <v>118</v>
      </c>
      <c r="C1486" s="5">
        <v>1</v>
      </c>
      <c r="D1486" s="5" t="s">
        <v>76</v>
      </c>
      <c r="E1486" s="5">
        <v>2023</v>
      </c>
      <c r="F1486" s="5">
        <v>7</v>
      </c>
      <c r="G1486" s="5" t="s">
        <v>52</v>
      </c>
      <c r="H1486" s="5">
        <v>2521651</v>
      </c>
      <c r="I1486" s="5">
        <v>2327576.75</v>
      </c>
      <c r="J1486" s="5">
        <v>33</v>
      </c>
      <c r="K1486" s="5">
        <v>497129</v>
      </c>
      <c r="L1486" s="5">
        <v>3007690</v>
      </c>
      <c r="M1486" s="5">
        <v>194074.25</v>
      </c>
      <c r="N1486" s="5">
        <v>7.6999999999999999E-2</v>
      </c>
      <c r="O1486" s="5">
        <v>2</v>
      </c>
      <c r="P1486" s="5">
        <v>8452</v>
      </c>
    </row>
    <row r="1487" spans="1:16" x14ac:dyDescent="0.3">
      <c r="A1487" s="5">
        <v>49</v>
      </c>
      <c r="B1487" s="5" t="s">
        <v>118</v>
      </c>
      <c r="C1487" s="5">
        <v>1</v>
      </c>
      <c r="D1487" s="5" t="s">
        <v>76</v>
      </c>
      <c r="E1487" s="5">
        <v>2023</v>
      </c>
      <c r="F1487" s="5">
        <v>7</v>
      </c>
      <c r="G1487" s="5" t="s">
        <v>52</v>
      </c>
      <c r="H1487" s="5">
        <v>5157006</v>
      </c>
      <c r="I1487" s="5">
        <v>4742164.99</v>
      </c>
      <c r="J1487" s="5">
        <v>65</v>
      </c>
      <c r="K1487" s="5">
        <v>886019</v>
      </c>
      <c r="L1487" s="5">
        <v>6032260</v>
      </c>
      <c r="M1487" s="5">
        <v>414841.01</v>
      </c>
      <c r="N1487" s="5">
        <v>8.0399999999999999E-2</v>
      </c>
      <c r="O1487" s="5">
        <v>5</v>
      </c>
      <c r="P1487" s="5">
        <v>138902</v>
      </c>
    </row>
    <row r="1488" spans="1:16" x14ac:dyDescent="0.3">
      <c r="A1488" s="5">
        <v>59</v>
      </c>
      <c r="B1488" s="5" t="s">
        <v>118</v>
      </c>
      <c r="C1488" s="5">
        <v>1</v>
      </c>
      <c r="D1488" s="5" t="s">
        <v>76</v>
      </c>
      <c r="E1488" s="5">
        <v>2023</v>
      </c>
      <c r="F1488" s="5">
        <v>7</v>
      </c>
      <c r="G1488" s="5" t="s">
        <v>52</v>
      </c>
      <c r="H1488" s="5">
        <v>7064809</v>
      </c>
      <c r="I1488" s="5">
        <v>6388545.5899999999</v>
      </c>
      <c r="J1488" s="5">
        <v>110</v>
      </c>
      <c r="K1488" s="5">
        <v>1094396</v>
      </c>
      <c r="L1488" s="5">
        <v>8125700</v>
      </c>
      <c r="M1488" s="5">
        <v>676263.41</v>
      </c>
      <c r="N1488" s="5">
        <v>9.5699999999999993E-2</v>
      </c>
      <c r="O1488" s="5">
        <v>10</v>
      </c>
      <c r="P1488" s="5">
        <v>318183</v>
      </c>
    </row>
    <row r="1489" spans="1:16" x14ac:dyDescent="0.3">
      <c r="A1489" s="5">
        <v>26</v>
      </c>
      <c r="B1489" s="5" t="s">
        <v>118</v>
      </c>
      <c r="C1489" s="5">
        <v>1</v>
      </c>
      <c r="D1489" s="5" t="s">
        <v>76</v>
      </c>
      <c r="E1489" s="5">
        <v>2023</v>
      </c>
      <c r="F1489" s="5">
        <v>8</v>
      </c>
      <c r="G1489" s="5" t="s">
        <v>53</v>
      </c>
      <c r="H1489" s="5">
        <v>1159984</v>
      </c>
      <c r="I1489" s="5">
        <v>1009984.82</v>
      </c>
      <c r="J1489" s="5">
        <v>30</v>
      </c>
      <c r="K1489" s="5">
        <v>199221</v>
      </c>
      <c r="L1489" s="5">
        <v>1354430</v>
      </c>
      <c r="M1489" s="5">
        <v>149999.18</v>
      </c>
      <c r="N1489" s="5">
        <v>0.1293</v>
      </c>
      <c r="O1489" s="5">
        <v>2</v>
      </c>
      <c r="P1489" s="5">
        <v>25164</v>
      </c>
    </row>
    <row r="1490" spans="1:16" x14ac:dyDescent="0.3">
      <c r="A1490" s="5">
        <v>49</v>
      </c>
      <c r="B1490" s="5" t="s">
        <v>118</v>
      </c>
      <c r="C1490" s="5">
        <v>1</v>
      </c>
      <c r="D1490" s="5" t="s">
        <v>76</v>
      </c>
      <c r="E1490" s="5">
        <v>2023</v>
      </c>
      <c r="F1490" s="5">
        <v>8</v>
      </c>
      <c r="G1490" s="5" t="s">
        <v>53</v>
      </c>
      <c r="H1490" s="5">
        <v>4996699</v>
      </c>
      <c r="I1490" s="5">
        <v>4460442.17</v>
      </c>
      <c r="J1490" s="5">
        <v>66</v>
      </c>
      <c r="K1490" s="5">
        <v>718996</v>
      </c>
      <c r="L1490" s="5">
        <v>5702250</v>
      </c>
      <c r="M1490" s="5">
        <v>536256.82999999996</v>
      </c>
      <c r="N1490" s="5">
        <v>0.10730000000000001</v>
      </c>
      <c r="O1490" s="5">
        <v>5</v>
      </c>
      <c r="P1490" s="5">
        <v>161374</v>
      </c>
    </row>
    <row r="1491" spans="1:16" x14ac:dyDescent="0.3">
      <c r="A1491" s="5">
        <v>59</v>
      </c>
      <c r="B1491" s="5" t="s">
        <v>118</v>
      </c>
      <c r="C1491" s="5">
        <v>1</v>
      </c>
      <c r="D1491" s="5" t="s">
        <v>76</v>
      </c>
      <c r="E1491" s="5">
        <v>2023</v>
      </c>
      <c r="F1491" s="5">
        <v>8</v>
      </c>
      <c r="G1491" s="5" t="s">
        <v>53</v>
      </c>
      <c r="H1491" s="5">
        <v>7014739</v>
      </c>
      <c r="I1491" s="5">
        <v>6135948.04</v>
      </c>
      <c r="J1491" s="5">
        <v>116</v>
      </c>
      <c r="K1491" s="5">
        <v>985472</v>
      </c>
      <c r="L1491" s="5">
        <v>7979640</v>
      </c>
      <c r="M1491" s="5">
        <v>878790.96</v>
      </c>
      <c r="N1491" s="5">
        <v>0.12529999999999999</v>
      </c>
      <c r="O1491" s="5">
        <v>6</v>
      </c>
      <c r="P1491" s="5">
        <v>153591</v>
      </c>
    </row>
    <row r="1492" spans="1:16" x14ac:dyDescent="0.3">
      <c r="A1492" s="5">
        <v>26</v>
      </c>
      <c r="B1492" s="5" t="s">
        <v>118</v>
      </c>
      <c r="C1492" s="5">
        <v>1</v>
      </c>
      <c r="D1492" s="5" t="s">
        <v>76</v>
      </c>
      <c r="E1492" s="5">
        <v>2023</v>
      </c>
      <c r="F1492" s="5">
        <v>9</v>
      </c>
      <c r="G1492" s="5" t="s">
        <v>54</v>
      </c>
      <c r="H1492" s="5">
        <v>2346851</v>
      </c>
      <c r="I1492" s="5">
        <v>2159595.61</v>
      </c>
      <c r="J1492" s="5">
        <v>26</v>
      </c>
      <c r="K1492" s="5">
        <v>344515</v>
      </c>
      <c r="L1492" s="5">
        <v>2684290</v>
      </c>
      <c r="M1492" s="5">
        <v>187255.39</v>
      </c>
      <c r="N1492" s="5">
        <v>7.9799999999999996E-2</v>
      </c>
      <c r="O1492" s="5">
        <v>6</v>
      </c>
      <c r="P1492" s="5">
        <v>156809</v>
      </c>
    </row>
    <row r="1493" spans="1:16" x14ac:dyDescent="0.3">
      <c r="A1493" s="5">
        <v>49</v>
      </c>
      <c r="B1493" s="5" t="s">
        <v>118</v>
      </c>
      <c r="C1493" s="5">
        <v>1</v>
      </c>
      <c r="D1493" s="5" t="s">
        <v>76</v>
      </c>
      <c r="E1493" s="5">
        <v>2023</v>
      </c>
      <c r="F1493" s="5">
        <v>9</v>
      </c>
      <c r="G1493" s="5" t="s">
        <v>54</v>
      </c>
      <c r="H1493" s="5">
        <v>5896028</v>
      </c>
      <c r="I1493" s="5">
        <v>5308558.26</v>
      </c>
      <c r="J1493" s="5">
        <v>74</v>
      </c>
      <c r="K1493" s="5">
        <v>903221</v>
      </c>
      <c r="L1493" s="5">
        <v>6777080</v>
      </c>
      <c r="M1493" s="5">
        <v>587469.74</v>
      </c>
      <c r="N1493" s="5">
        <v>9.9599999999999994E-2</v>
      </c>
      <c r="O1493" s="5">
        <v>4</v>
      </c>
      <c r="P1493" s="5">
        <v>88663</v>
      </c>
    </row>
    <row r="1494" spans="1:16" x14ac:dyDescent="0.3">
      <c r="A1494" s="5">
        <v>59</v>
      </c>
      <c r="B1494" s="5" t="s">
        <v>118</v>
      </c>
      <c r="C1494" s="5">
        <v>1</v>
      </c>
      <c r="D1494" s="5" t="s">
        <v>76</v>
      </c>
      <c r="E1494" s="5">
        <v>2023</v>
      </c>
      <c r="F1494" s="5">
        <v>9</v>
      </c>
      <c r="G1494" s="5" t="s">
        <v>54</v>
      </c>
      <c r="H1494" s="5">
        <v>10015318</v>
      </c>
      <c r="I1494" s="5">
        <v>9054816.4600000009</v>
      </c>
      <c r="J1494" s="5">
        <v>124</v>
      </c>
      <c r="K1494" s="5">
        <v>1530701</v>
      </c>
      <c r="L1494" s="5">
        <v>11505030</v>
      </c>
      <c r="M1494" s="5">
        <v>960501.54</v>
      </c>
      <c r="N1494" s="5">
        <v>9.5899999999999999E-2</v>
      </c>
      <c r="O1494" s="5">
        <v>11</v>
      </c>
      <c r="P1494" s="5">
        <v>212756</v>
      </c>
    </row>
    <row r="1495" spans="1:16" x14ac:dyDescent="0.3">
      <c r="A1495" s="5">
        <v>26</v>
      </c>
      <c r="B1495" s="5" t="s">
        <v>118</v>
      </c>
      <c r="C1495" s="5">
        <v>1</v>
      </c>
      <c r="D1495" s="5" t="s">
        <v>76</v>
      </c>
      <c r="E1495" s="5">
        <v>2023</v>
      </c>
      <c r="F1495" s="5">
        <v>10</v>
      </c>
      <c r="G1495" s="5" t="s">
        <v>55</v>
      </c>
      <c r="H1495" s="5">
        <v>1754592</v>
      </c>
      <c r="I1495" s="5">
        <v>1493663.02</v>
      </c>
      <c r="J1495" s="5">
        <v>30</v>
      </c>
      <c r="K1495" s="5">
        <v>213232</v>
      </c>
      <c r="L1495" s="5">
        <v>1966800</v>
      </c>
      <c r="M1495" s="5">
        <v>260928.98</v>
      </c>
      <c r="N1495" s="5">
        <v>0.1487</v>
      </c>
      <c r="O1495" s="5">
        <v>1</v>
      </c>
      <c r="P1495" s="5">
        <v>1758</v>
      </c>
    </row>
    <row r="1496" spans="1:16" x14ac:dyDescent="0.3">
      <c r="A1496" s="5">
        <v>49</v>
      </c>
      <c r="B1496" s="5" t="s">
        <v>118</v>
      </c>
      <c r="C1496" s="5">
        <v>1</v>
      </c>
      <c r="D1496" s="5" t="s">
        <v>76</v>
      </c>
      <c r="E1496" s="5">
        <v>2023</v>
      </c>
      <c r="F1496" s="5">
        <v>10</v>
      </c>
      <c r="G1496" s="5" t="s">
        <v>55</v>
      </c>
      <c r="H1496" s="5">
        <v>7477816</v>
      </c>
      <c r="I1496" s="5">
        <v>6414419.7400000002</v>
      </c>
      <c r="J1496" s="5">
        <v>104</v>
      </c>
      <c r="K1496" s="5">
        <v>830408</v>
      </c>
      <c r="L1496" s="5">
        <v>8292550</v>
      </c>
      <c r="M1496" s="5">
        <v>1063396.26</v>
      </c>
      <c r="N1496" s="5">
        <v>0.14219999999999999</v>
      </c>
      <c r="O1496" s="5">
        <v>11</v>
      </c>
      <c r="P1496" s="5">
        <v>411487</v>
      </c>
    </row>
    <row r="1497" spans="1:16" x14ac:dyDescent="0.3">
      <c r="A1497" s="5">
        <v>59</v>
      </c>
      <c r="B1497" s="5" t="s">
        <v>118</v>
      </c>
      <c r="C1497" s="5">
        <v>1</v>
      </c>
      <c r="D1497" s="5" t="s">
        <v>76</v>
      </c>
      <c r="E1497" s="5">
        <v>2023</v>
      </c>
      <c r="F1497" s="5">
        <v>10</v>
      </c>
      <c r="G1497" s="5" t="s">
        <v>55</v>
      </c>
      <c r="H1497" s="5">
        <v>11812096</v>
      </c>
      <c r="I1497" s="5">
        <v>10070015.15</v>
      </c>
      <c r="J1497" s="5">
        <v>150</v>
      </c>
      <c r="K1497" s="5">
        <v>1131579</v>
      </c>
      <c r="L1497" s="5">
        <v>12901130</v>
      </c>
      <c r="M1497" s="5">
        <v>1742080.85</v>
      </c>
      <c r="N1497" s="5">
        <v>0.14749999999999999</v>
      </c>
      <c r="O1497" s="5">
        <v>12</v>
      </c>
      <c r="P1497" s="5">
        <v>249895</v>
      </c>
    </row>
    <row r="1498" spans="1:16" x14ac:dyDescent="0.3">
      <c r="A1498" s="5">
        <v>26</v>
      </c>
      <c r="B1498" s="5" t="s">
        <v>118</v>
      </c>
      <c r="C1498" s="5">
        <v>1</v>
      </c>
      <c r="D1498" s="5" t="s">
        <v>76</v>
      </c>
      <c r="E1498" s="5">
        <v>2023</v>
      </c>
      <c r="F1498" s="5">
        <v>11</v>
      </c>
      <c r="G1498" s="5" t="s">
        <v>56</v>
      </c>
      <c r="H1498" s="5">
        <v>2491131</v>
      </c>
      <c r="I1498" s="5">
        <v>2171475.9700000002</v>
      </c>
      <c r="J1498" s="5">
        <v>36</v>
      </c>
      <c r="K1498" s="5">
        <v>314906</v>
      </c>
      <c r="L1498" s="5">
        <v>2792500</v>
      </c>
      <c r="M1498" s="5">
        <v>319655.03000000003</v>
      </c>
      <c r="N1498" s="5">
        <v>0.1283</v>
      </c>
      <c r="O1498" s="5">
        <v>2</v>
      </c>
      <c r="P1498" s="5">
        <v>16882</v>
      </c>
    </row>
    <row r="1499" spans="1:16" x14ac:dyDescent="0.3">
      <c r="A1499" s="5">
        <v>49</v>
      </c>
      <c r="B1499" s="5" t="s">
        <v>118</v>
      </c>
      <c r="C1499" s="5">
        <v>1</v>
      </c>
      <c r="D1499" s="5" t="s">
        <v>76</v>
      </c>
      <c r="E1499" s="5">
        <v>2023</v>
      </c>
      <c r="F1499" s="5">
        <v>11</v>
      </c>
      <c r="G1499" s="5" t="s">
        <v>56</v>
      </c>
      <c r="H1499" s="5">
        <v>5517544</v>
      </c>
      <c r="I1499" s="5">
        <v>4953438.16</v>
      </c>
      <c r="J1499" s="5">
        <v>97</v>
      </c>
      <c r="K1499" s="5">
        <v>884491</v>
      </c>
      <c r="L1499" s="5">
        <v>6391060</v>
      </c>
      <c r="M1499" s="5">
        <v>564105.84</v>
      </c>
      <c r="N1499" s="5">
        <v>0.1022</v>
      </c>
      <c r="O1499" s="5">
        <v>7</v>
      </c>
      <c r="P1499" s="5">
        <v>182470</v>
      </c>
    </row>
    <row r="1500" spans="1:16" x14ac:dyDescent="0.3">
      <c r="A1500" s="5">
        <v>59</v>
      </c>
      <c r="B1500" s="5" t="s">
        <v>118</v>
      </c>
      <c r="C1500" s="5">
        <v>1</v>
      </c>
      <c r="D1500" s="5" t="s">
        <v>76</v>
      </c>
      <c r="E1500" s="5">
        <v>2023</v>
      </c>
      <c r="F1500" s="5">
        <v>11</v>
      </c>
      <c r="G1500" s="5" t="s">
        <v>56</v>
      </c>
      <c r="H1500" s="5">
        <v>10143787</v>
      </c>
      <c r="I1500" s="5">
        <v>8991405.2200000007</v>
      </c>
      <c r="J1500" s="5">
        <v>150</v>
      </c>
      <c r="K1500" s="5">
        <v>1369487</v>
      </c>
      <c r="L1500" s="5">
        <v>11476210</v>
      </c>
      <c r="M1500" s="5">
        <v>1152381.78</v>
      </c>
      <c r="N1500" s="5">
        <v>0.11360000000000001</v>
      </c>
      <c r="O1500" s="5">
        <v>12</v>
      </c>
      <c r="P1500" s="5">
        <v>261060</v>
      </c>
    </row>
    <row r="1501" spans="1:16" x14ac:dyDescent="0.3">
      <c r="A1501" s="5">
        <v>26</v>
      </c>
      <c r="B1501" s="5" t="s">
        <v>118</v>
      </c>
      <c r="C1501" s="5">
        <v>1</v>
      </c>
      <c r="D1501" s="5" t="s">
        <v>76</v>
      </c>
      <c r="E1501" s="5">
        <v>2023</v>
      </c>
      <c r="F1501" s="5">
        <v>12</v>
      </c>
      <c r="G1501" s="5" t="s">
        <v>57</v>
      </c>
      <c r="H1501" s="5">
        <v>1922106</v>
      </c>
      <c r="I1501" s="5">
        <v>1756250.57</v>
      </c>
      <c r="J1501" s="5">
        <v>40</v>
      </c>
      <c r="K1501" s="5">
        <v>369612</v>
      </c>
      <c r="L1501" s="5">
        <v>2288730</v>
      </c>
      <c r="M1501" s="5">
        <v>165855.43</v>
      </c>
      <c r="N1501" s="5">
        <v>8.6300000000000002E-2</v>
      </c>
      <c r="O1501" s="5">
        <v>6</v>
      </c>
      <c r="P1501" s="5">
        <v>405653</v>
      </c>
    </row>
    <row r="1502" spans="1:16" x14ac:dyDescent="0.3">
      <c r="A1502" s="5">
        <v>49</v>
      </c>
      <c r="B1502" s="5" t="s">
        <v>118</v>
      </c>
      <c r="C1502" s="5">
        <v>1</v>
      </c>
      <c r="D1502" s="5" t="s">
        <v>76</v>
      </c>
      <c r="E1502" s="5">
        <v>2023</v>
      </c>
      <c r="F1502" s="5">
        <v>12</v>
      </c>
      <c r="G1502" s="5" t="s">
        <v>57</v>
      </c>
      <c r="H1502" s="5">
        <v>6541837</v>
      </c>
      <c r="I1502" s="5">
        <v>5931090.4400000004</v>
      </c>
      <c r="J1502" s="5">
        <v>100</v>
      </c>
      <c r="K1502" s="5">
        <v>1140196</v>
      </c>
      <c r="L1502" s="5">
        <v>7659270</v>
      </c>
      <c r="M1502" s="5">
        <v>610746.56000000006</v>
      </c>
      <c r="N1502" s="5">
        <v>9.3399999999999997E-2</v>
      </c>
      <c r="O1502" s="5">
        <v>3</v>
      </c>
      <c r="P1502" s="5">
        <v>203080</v>
      </c>
    </row>
    <row r="1503" spans="1:16" x14ac:dyDescent="0.3">
      <c r="A1503" s="5">
        <v>59</v>
      </c>
      <c r="B1503" s="5" t="s">
        <v>118</v>
      </c>
      <c r="C1503" s="5">
        <v>1</v>
      </c>
      <c r="D1503" s="5" t="s">
        <v>76</v>
      </c>
      <c r="E1503" s="5">
        <v>2023</v>
      </c>
      <c r="F1503" s="5">
        <v>12</v>
      </c>
      <c r="G1503" s="5" t="s">
        <v>57</v>
      </c>
      <c r="H1503" s="5">
        <v>11173394</v>
      </c>
      <c r="I1503" s="5">
        <v>10112803.279999999</v>
      </c>
      <c r="J1503" s="5">
        <v>160</v>
      </c>
      <c r="K1503" s="5">
        <v>1716680</v>
      </c>
      <c r="L1503" s="5">
        <v>12840960</v>
      </c>
      <c r="M1503" s="5">
        <v>1060590.72</v>
      </c>
      <c r="N1503" s="5">
        <v>9.4899999999999998E-2</v>
      </c>
      <c r="O1503" s="5">
        <v>21</v>
      </c>
      <c r="P1503" s="5">
        <v>528987</v>
      </c>
    </row>
    <row r="1504" spans="1:16" x14ac:dyDescent="0.3">
      <c r="A1504" s="5">
        <v>26</v>
      </c>
      <c r="B1504" s="5" t="s">
        <v>118</v>
      </c>
      <c r="C1504" s="5">
        <v>1</v>
      </c>
      <c r="D1504" s="5" t="s">
        <v>76</v>
      </c>
      <c r="E1504" s="5">
        <v>2024</v>
      </c>
      <c r="F1504" s="5">
        <v>1</v>
      </c>
      <c r="G1504" s="5" t="s">
        <v>58</v>
      </c>
      <c r="H1504" s="5">
        <v>2052837</v>
      </c>
      <c r="I1504" s="5">
        <v>1848213.78</v>
      </c>
      <c r="J1504" s="5">
        <v>29</v>
      </c>
      <c r="K1504" s="5">
        <v>280782</v>
      </c>
      <c r="L1504" s="5">
        <v>2325470</v>
      </c>
      <c r="M1504" s="5">
        <v>204623.22</v>
      </c>
      <c r="N1504" s="5">
        <v>9.9699999999999997E-2</v>
      </c>
      <c r="O1504" s="5">
        <v>3</v>
      </c>
      <c r="P1504" s="5">
        <v>50880</v>
      </c>
    </row>
    <row r="1505" spans="1:16" x14ac:dyDescent="0.3">
      <c r="A1505" s="5">
        <v>49</v>
      </c>
      <c r="B1505" s="5" t="s">
        <v>118</v>
      </c>
      <c r="C1505" s="5">
        <v>1</v>
      </c>
      <c r="D1505" s="5" t="s">
        <v>76</v>
      </c>
      <c r="E1505" s="5">
        <v>2024</v>
      </c>
      <c r="F1505" s="5">
        <v>1</v>
      </c>
      <c r="G1505" s="5" t="s">
        <v>58</v>
      </c>
      <c r="H1505" s="5">
        <v>4454949</v>
      </c>
      <c r="I1505" s="5">
        <v>4093129.39</v>
      </c>
      <c r="J1505" s="5">
        <v>65</v>
      </c>
      <c r="K1505" s="5">
        <v>819003</v>
      </c>
      <c r="L1505" s="5">
        <v>5262230</v>
      </c>
      <c r="M1505" s="5">
        <v>361819.61</v>
      </c>
      <c r="N1505" s="5">
        <v>8.1199999999999994E-2</v>
      </c>
      <c r="O1505" s="5">
        <v>4</v>
      </c>
      <c r="P1505" s="5">
        <v>96200</v>
      </c>
    </row>
    <row r="1506" spans="1:16" x14ac:dyDescent="0.3">
      <c r="A1506" s="5">
        <v>59</v>
      </c>
      <c r="B1506" s="5" t="s">
        <v>118</v>
      </c>
      <c r="C1506" s="5">
        <v>1</v>
      </c>
      <c r="D1506" s="5" t="s">
        <v>76</v>
      </c>
      <c r="E1506" s="5">
        <v>2024</v>
      </c>
      <c r="F1506" s="5">
        <v>1</v>
      </c>
      <c r="G1506" s="5" t="s">
        <v>58</v>
      </c>
      <c r="H1506" s="5">
        <v>7874558</v>
      </c>
      <c r="I1506" s="5">
        <v>7299054.29</v>
      </c>
      <c r="J1506" s="5">
        <v>113</v>
      </c>
      <c r="K1506" s="5">
        <v>1346561</v>
      </c>
      <c r="L1506" s="5">
        <v>9195990</v>
      </c>
      <c r="M1506" s="5">
        <v>575503.71</v>
      </c>
      <c r="N1506" s="5">
        <v>7.3099999999999998E-2</v>
      </c>
      <c r="O1506" s="5">
        <v>6</v>
      </c>
      <c r="P1506" s="5">
        <v>253683</v>
      </c>
    </row>
    <row r="1507" spans="1:16" x14ac:dyDescent="0.3">
      <c r="A1507" s="5">
        <v>26</v>
      </c>
      <c r="B1507" s="5" t="s">
        <v>118</v>
      </c>
      <c r="C1507" s="5">
        <v>1</v>
      </c>
      <c r="D1507" s="5" t="s">
        <v>76</v>
      </c>
      <c r="E1507" s="5">
        <v>2024</v>
      </c>
      <c r="F1507" s="5">
        <v>2</v>
      </c>
      <c r="G1507" s="5" t="s">
        <v>59</v>
      </c>
      <c r="H1507" s="5">
        <v>3080351</v>
      </c>
      <c r="I1507" s="5">
        <v>2584809.81</v>
      </c>
      <c r="J1507" s="5">
        <v>34</v>
      </c>
      <c r="K1507" s="5">
        <v>208864</v>
      </c>
      <c r="L1507" s="5">
        <v>3274900</v>
      </c>
      <c r="M1507" s="5">
        <v>495541.19</v>
      </c>
      <c r="N1507" s="5">
        <v>0.16089999999999999</v>
      </c>
      <c r="O1507" s="5">
        <v>3</v>
      </c>
      <c r="P1507" s="5">
        <v>73859</v>
      </c>
    </row>
    <row r="1508" spans="1:16" x14ac:dyDescent="0.3">
      <c r="A1508" s="5">
        <v>49</v>
      </c>
      <c r="B1508" s="5" t="s">
        <v>118</v>
      </c>
      <c r="C1508" s="5">
        <v>1</v>
      </c>
      <c r="D1508" s="5" t="s">
        <v>76</v>
      </c>
      <c r="E1508" s="5">
        <v>2024</v>
      </c>
      <c r="F1508" s="5">
        <v>2</v>
      </c>
      <c r="G1508" s="5" t="s">
        <v>59</v>
      </c>
      <c r="H1508" s="5">
        <v>5525808</v>
      </c>
      <c r="I1508" s="5">
        <v>4770080.37</v>
      </c>
      <c r="J1508" s="5">
        <v>66</v>
      </c>
      <c r="K1508" s="5">
        <v>551641</v>
      </c>
      <c r="L1508" s="5">
        <v>6049020</v>
      </c>
      <c r="M1508" s="5">
        <v>755727.63</v>
      </c>
      <c r="N1508" s="5">
        <v>0.1368</v>
      </c>
      <c r="O1508" s="5">
        <v>2</v>
      </c>
      <c r="P1508" s="5">
        <v>11725</v>
      </c>
    </row>
    <row r="1509" spans="1:16" x14ac:dyDescent="0.3">
      <c r="A1509" s="5">
        <v>59</v>
      </c>
      <c r="B1509" s="5" t="s">
        <v>118</v>
      </c>
      <c r="C1509" s="5">
        <v>1</v>
      </c>
      <c r="D1509" s="5" t="s">
        <v>76</v>
      </c>
      <c r="E1509" s="5">
        <v>2024</v>
      </c>
      <c r="F1509" s="5">
        <v>2</v>
      </c>
      <c r="G1509" s="5" t="s">
        <v>59</v>
      </c>
      <c r="H1509" s="5">
        <v>5473160</v>
      </c>
      <c r="I1509" s="5">
        <v>4684758.91</v>
      </c>
      <c r="J1509" s="5">
        <v>104</v>
      </c>
      <c r="K1509" s="5">
        <v>580981</v>
      </c>
      <c r="L1509" s="5">
        <v>6035530</v>
      </c>
      <c r="M1509" s="5">
        <v>788401.09</v>
      </c>
      <c r="N1509" s="5">
        <v>0.14399999999999999</v>
      </c>
      <c r="O1509" s="5">
        <v>5</v>
      </c>
      <c r="P1509" s="5">
        <v>247993</v>
      </c>
    </row>
    <row r="1510" spans="1:16" x14ac:dyDescent="0.3">
      <c r="A1510" s="5">
        <v>26</v>
      </c>
      <c r="B1510" s="5" t="s">
        <v>118</v>
      </c>
      <c r="C1510" s="5">
        <v>1</v>
      </c>
      <c r="D1510" s="5" t="s">
        <v>76</v>
      </c>
      <c r="E1510" s="5">
        <v>2024</v>
      </c>
      <c r="F1510" s="5">
        <v>3</v>
      </c>
      <c r="G1510" s="5" t="s">
        <v>60</v>
      </c>
      <c r="H1510" s="5">
        <v>1882700</v>
      </c>
      <c r="I1510" s="5">
        <v>1587371.4</v>
      </c>
      <c r="J1510" s="5">
        <v>28</v>
      </c>
      <c r="K1510" s="5">
        <v>124960</v>
      </c>
      <c r="L1510" s="5">
        <v>1997320</v>
      </c>
      <c r="M1510" s="5">
        <v>295328.59999999998</v>
      </c>
      <c r="N1510" s="5">
        <v>0.15690000000000001</v>
      </c>
      <c r="O1510" s="5">
        <v>2</v>
      </c>
      <c r="P1510" s="5">
        <v>65677</v>
      </c>
    </row>
    <row r="1511" spans="1:16" x14ac:dyDescent="0.3">
      <c r="A1511" s="5">
        <v>49</v>
      </c>
      <c r="B1511" s="5" t="s">
        <v>118</v>
      </c>
      <c r="C1511" s="5">
        <v>1</v>
      </c>
      <c r="D1511" s="5" t="s">
        <v>76</v>
      </c>
      <c r="E1511" s="5">
        <v>2024</v>
      </c>
      <c r="F1511" s="5">
        <v>3</v>
      </c>
      <c r="G1511" s="5" t="s">
        <v>60</v>
      </c>
      <c r="H1511" s="5">
        <v>4050128</v>
      </c>
      <c r="I1511" s="5">
        <v>3593912.68</v>
      </c>
      <c r="J1511" s="5">
        <v>64</v>
      </c>
      <c r="K1511" s="5">
        <v>540055</v>
      </c>
      <c r="L1511" s="5">
        <v>4581790</v>
      </c>
      <c r="M1511" s="5">
        <v>456215.32</v>
      </c>
      <c r="N1511" s="5">
        <v>0.11260000000000001</v>
      </c>
      <c r="O1511" s="5">
        <v>14</v>
      </c>
      <c r="P1511" s="5">
        <v>351454</v>
      </c>
    </row>
    <row r="1512" spans="1:16" x14ac:dyDescent="0.3">
      <c r="A1512" s="5">
        <v>59</v>
      </c>
      <c r="B1512" s="5" t="s">
        <v>118</v>
      </c>
      <c r="C1512" s="5">
        <v>1</v>
      </c>
      <c r="D1512" s="5" t="s">
        <v>76</v>
      </c>
      <c r="E1512" s="5">
        <v>2024</v>
      </c>
      <c r="F1512" s="5">
        <v>3</v>
      </c>
      <c r="G1512" s="5" t="s">
        <v>60</v>
      </c>
      <c r="H1512" s="5">
        <v>7036967</v>
      </c>
      <c r="I1512" s="5">
        <v>5917255.7699999996</v>
      </c>
      <c r="J1512" s="5">
        <v>119</v>
      </c>
      <c r="K1512" s="5">
        <v>721986</v>
      </c>
      <c r="L1512" s="5">
        <v>7728450</v>
      </c>
      <c r="M1512" s="5">
        <v>1119711.23</v>
      </c>
      <c r="N1512" s="5">
        <v>0.15909999999999999</v>
      </c>
      <c r="O1512" s="5">
        <v>14</v>
      </c>
      <c r="P1512" s="5">
        <v>200033</v>
      </c>
    </row>
    <row r="1513" spans="1:16" x14ac:dyDescent="0.3">
      <c r="A1513" s="5">
        <v>26</v>
      </c>
      <c r="B1513" s="5" t="s">
        <v>118</v>
      </c>
      <c r="C1513" s="5">
        <v>1</v>
      </c>
      <c r="D1513" s="5" t="s">
        <v>76</v>
      </c>
      <c r="E1513" s="5">
        <v>2024</v>
      </c>
      <c r="F1513" s="5">
        <v>4</v>
      </c>
      <c r="G1513" s="5" t="s">
        <v>61</v>
      </c>
      <c r="H1513" s="5">
        <v>2051470</v>
      </c>
      <c r="I1513" s="5">
        <v>1686235.57</v>
      </c>
      <c r="J1513" s="5">
        <v>25</v>
      </c>
      <c r="K1513" s="5">
        <v>158694</v>
      </c>
      <c r="L1513" s="5">
        <v>2203710</v>
      </c>
      <c r="M1513" s="5">
        <v>365234.43</v>
      </c>
      <c r="N1513" s="5">
        <v>0.17799999999999999</v>
      </c>
      <c r="O1513" s="5">
        <v>1</v>
      </c>
      <c r="P1513" s="5">
        <v>4980</v>
      </c>
    </row>
    <row r="1514" spans="1:16" x14ac:dyDescent="0.3">
      <c r="A1514" s="5">
        <v>49</v>
      </c>
      <c r="B1514" s="5" t="s">
        <v>118</v>
      </c>
      <c r="C1514" s="5">
        <v>1</v>
      </c>
      <c r="D1514" s="5" t="s">
        <v>76</v>
      </c>
      <c r="E1514" s="5">
        <v>2024</v>
      </c>
      <c r="F1514" s="5">
        <v>4</v>
      </c>
      <c r="G1514" s="5" t="s">
        <v>61</v>
      </c>
      <c r="H1514" s="5">
        <v>4996231</v>
      </c>
      <c r="I1514" s="5">
        <v>4280732.2699999996</v>
      </c>
      <c r="J1514" s="5">
        <v>75</v>
      </c>
      <c r="K1514" s="5">
        <v>482292</v>
      </c>
      <c r="L1514" s="5">
        <v>5461960</v>
      </c>
      <c r="M1514" s="5">
        <v>715498.73</v>
      </c>
      <c r="N1514" s="5">
        <v>0.14319999999999999</v>
      </c>
      <c r="O1514" s="5">
        <v>8</v>
      </c>
      <c r="P1514" s="5">
        <v>89396</v>
      </c>
    </row>
    <row r="1515" spans="1:16" x14ac:dyDescent="0.3">
      <c r="A1515" s="5">
        <v>59</v>
      </c>
      <c r="B1515" s="5" t="s">
        <v>118</v>
      </c>
      <c r="C1515" s="5">
        <v>1</v>
      </c>
      <c r="D1515" s="5" t="s">
        <v>76</v>
      </c>
      <c r="E1515" s="5">
        <v>2024</v>
      </c>
      <c r="F1515" s="5">
        <v>4</v>
      </c>
      <c r="G1515" s="5" t="s">
        <v>61</v>
      </c>
      <c r="H1515" s="5">
        <v>7711881</v>
      </c>
      <c r="I1515" s="5">
        <v>6947639.4299999997</v>
      </c>
      <c r="J1515" s="5">
        <v>105</v>
      </c>
      <c r="K1515" s="5">
        <v>1130388</v>
      </c>
      <c r="L1515" s="5">
        <v>8825670</v>
      </c>
      <c r="M1515" s="5">
        <v>764241.57</v>
      </c>
      <c r="N1515" s="5">
        <v>9.9099999999999994E-2</v>
      </c>
      <c r="O1515" s="5">
        <v>12</v>
      </c>
      <c r="P1515" s="5">
        <v>335892</v>
      </c>
    </row>
    <row r="1516" spans="1:16" x14ac:dyDescent="0.3">
      <c r="A1516" s="5">
        <v>26</v>
      </c>
      <c r="B1516" s="5" t="s">
        <v>118</v>
      </c>
      <c r="C1516" s="5">
        <v>1</v>
      </c>
      <c r="D1516" s="5" t="s">
        <v>76</v>
      </c>
      <c r="E1516" s="5">
        <v>2024</v>
      </c>
      <c r="F1516" s="5">
        <v>5</v>
      </c>
      <c r="G1516" s="5" t="s">
        <v>62</v>
      </c>
      <c r="H1516" s="5">
        <v>2142455</v>
      </c>
      <c r="I1516" s="5">
        <v>1927545.36</v>
      </c>
      <c r="J1516" s="5">
        <v>34</v>
      </c>
      <c r="K1516" s="5">
        <v>308673</v>
      </c>
      <c r="L1516" s="5">
        <v>2443190</v>
      </c>
      <c r="M1516" s="5">
        <v>214909.64</v>
      </c>
      <c r="N1516" s="5">
        <v>0.1003</v>
      </c>
      <c r="O1516" s="5">
        <v>4</v>
      </c>
      <c r="P1516" s="5">
        <v>32665</v>
      </c>
    </row>
    <row r="1517" spans="1:16" x14ac:dyDescent="0.3">
      <c r="A1517" s="5">
        <v>49</v>
      </c>
      <c r="B1517" s="5" t="s">
        <v>118</v>
      </c>
      <c r="C1517" s="5">
        <v>1</v>
      </c>
      <c r="D1517" s="5" t="s">
        <v>76</v>
      </c>
      <c r="E1517" s="5">
        <v>2024</v>
      </c>
      <c r="F1517" s="5">
        <v>5</v>
      </c>
      <c r="G1517" s="5" t="s">
        <v>62</v>
      </c>
      <c r="H1517" s="5">
        <v>4982329</v>
      </c>
      <c r="I1517" s="5">
        <v>4461634.96</v>
      </c>
      <c r="J1517" s="5">
        <v>87</v>
      </c>
      <c r="K1517" s="5">
        <v>836037</v>
      </c>
      <c r="L1517" s="5">
        <v>5805340</v>
      </c>
      <c r="M1517" s="5">
        <v>520694.04</v>
      </c>
      <c r="N1517" s="5">
        <v>0.1045</v>
      </c>
      <c r="O1517" s="5">
        <v>6</v>
      </c>
      <c r="P1517" s="5">
        <v>105081</v>
      </c>
    </row>
    <row r="1518" spans="1:16" x14ac:dyDescent="0.3">
      <c r="A1518" s="5">
        <v>59</v>
      </c>
      <c r="B1518" s="5" t="s">
        <v>118</v>
      </c>
      <c r="C1518" s="5">
        <v>1</v>
      </c>
      <c r="D1518" s="5" t="s">
        <v>76</v>
      </c>
      <c r="E1518" s="5">
        <v>2024</v>
      </c>
      <c r="F1518" s="5">
        <v>5</v>
      </c>
      <c r="G1518" s="5" t="s">
        <v>62</v>
      </c>
      <c r="H1518" s="5">
        <v>6834671</v>
      </c>
      <c r="I1518" s="5">
        <v>6002756.4299999997</v>
      </c>
      <c r="J1518" s="5">
        <v>120</v>
      </c>
      <c r="K1518" s="5">
        <v>861030</v>
      </c>
      <c r="L1518" s="5">
        <v>7666960</v>
      </c>
      <c r="M1518" s="5">
        <v>831914.57</v>
      </c>
      <c r="N1518" s="5">
        <v>0.1217</v>
      </c>
      <c r="O1518" s="5">
        <v>4</v>
      </c>
      <c r="P1518" s="5">
        <v>71585</v>
      </c>
    </row>
    <row r="1519" spans="1:16" x14ac:dyDescent="0.3">
      <c r="A1519" s="5">
        <v>26</v>
      </c>
      <c r="B1519" s="5" t="s">
        <v>118</v>
      </c>
      <c r="C1519" s="5">
        <v>1</v>
      </c>
      <c r="D1519" s="5" t="s">
        <v>76</v>
      </c>
      <c r="E1519" s="5">
        <v>2024</v>
      </c>
      <c r="F1519" s="5">
        <v>6</v>
      </c>
      <c r="G1519" s="5" t="s">
        <v>63</v>
      </c>
      <c r="H1519" s="5">
        <v>2376139</v>
      </c>
      <c r="I1519" s="5">
        <v>1972155.47</v>
      </c>
      <c r="J1519" s="5">
        <v>27</v>
      </c>
      <c r="K1519" s="5">
        <v>167680</v>
      </c>
      <c r="L1519" s="5">
        <v>2541300</v>
      </c>
      <c r="M1519" s="5">
        <v>403983.53</v>
      </c>
      <c r="N1519" s="5">
        <v>0.17</v>
      </c>
      <c r="O1519" s="5">
        <v>1</v>
      </c>
      <c r="P1519" s="5">
        <v>15166</v>
      </c>
    </row>
    <row r="1520" spans="1:16" x14ac:dyDescent="0.3">
      <c r="A1520" s="5">
        <v>49</v>
      </c>
      <c r="B1520" s="5" t="s">
        <v>118</v>
      </c>
      <c r="C1520" s="5">
        <v>1</v>
      </c>
      <c r="D1520" s="5" t="s">
        <v>76</v>
      </c>
      <c r="E1520" s="5">
        <v>2024</v>
      </c>
      <c r="F1520" s="5">
        <v>6</v>
      </c>
      <c r="G1520" s="5" t="s">
        <v>63</v>
      </c>
      <c r="H1520" s="5">
        <v>4482197</v>
      </c>
      <c r="I1520" s="5">
        <v>3679379.24</v>
      </c>
      <c r="J1520" s="5">
        <v>81</v>
      </c>
      <c r="K1520" s="5">
        <v>294374</v>
      </c>
      <c r="L1520" s="5">
        <v>4760280</v>
      </c>
      <c r="M1520" s="5">
        <v>802817.76</v>
      </c>
      <c r="N1520" s="5">
        <v>0.17910000000000001</v>
      </c>
      <c r="O1520" s="5">
        <v>9</v>
      </c>
      <c r="P1520" s="5">
        <v>231954</v>
      </c>
    </row>
    <row r="1521" spans="1:16" x14ac:dyDescent="0.3">
      <c r="A1521" s="5">
        <v>59</v>
      </c>
      <c r="B1521" s="5" t="s">
        <v>118</v>
      </c>
      <c r="C1521" s="5">
        <v>1</v>
      </c>
      <c r="D1521" s="5" t="s">
        <v>76</v>
      </c>
      <c r="E1521" s="5">
        <v>2024</v>
      </c>
      <c r="F1521" s="5">
        <v>6</v>
      </c>
      <c r="G1521" s="5" t="s">
        <v>63</v>
      </c>
      <c r="H1521" s="5">
        <v>9323125</v>
      </c>
      <c r="I1521" s="5">
        <v>7684014.9500000002</v>
      </c>
      <c r="J1521" s="5">
        <v>139</v>
      </c>
      <c r="K1521" s="5">
        <v>619162</v>
      </c>
      <c r="L1521" s="5">
        <v>9907900</v>
      </c>
      <c r="M1521" s="5">
        <v>1639110.05</v>
      </c>
      <c r="N1521" s="5">
        <v>0.17580000000000001</v>
      </c>
      <c r="O1521" s="5">
        <v>4</v>
      </c>
      <c r="P1521" s="5">
        <v>87948</v>
      </c>
    </row>
    <row r="1522" spans="1:16" x14ac:dyDescent="0.3">
      <c r="A1522" s="5">
        <v>26</v>
      </c>
      <c r="B1522" s="5" t="s">
        <v>118</v>
      </c>
      <c r="C1522" s="5">
        <v>1</v>
      </c>
      <c r="D1522" s="5" t="s">
        <v>76</v>
      </c>
      <c r="E1522" s="5">
        <v>2024</v>
      </c>
      <c r="F1522" s="5">
        <v>7</v>
      </c>
      <c r="G1522" s="5" t="s">
        <v>64</v>
      </c>
      <c r="H1522" s="5">
        <v>2192986</v>
      </c>
      <c r="I1522" s="5">
        <v>1906670.84</v>
      </c>
      <c r="J1522" s="5">
        <v>36</v>
      </c>
      <c r="K1522" s="5">
        <v>294652</v>
      </c>
      <c r="L1522" s="5">
        <v>2478160</v>
      </c>
      <c r="M1522" s="5">
        <v>286315.15999999997</v>
      </c>
      <c r="N1522" s="5">
        <v>0.13059999999999999</v>
      </c>
      <c r="O1522" s="5">
        <v>3</v>
      </c>
      <c r="P1522" s="5">
        <v>103008</v>
      </c>
    </row>
    <row r="1523" spans="1:16" x14ac:dyDescent="0.3">
      <c r="A1523" s="5">
        <v>49</v>
      </c>
      <c r="B1523" s="5" t="s">
        <v>118</v>
      </c>
      <c r="C1523" s="5">
        <v>1</v>
      </c>
      <c r="D1523" s="5" t="s">
        <v>76</v>
      </c>
      <c r="E1523" s="5">
        <v>2024</v>
      </c>
      <c r="F1523" s="5">
        <v>7</v>
      </c>
      <c r="G1523" s="5" t="s">
        <v>64</v>
      </c>
      <c r="H1523" s="5">
        <v>3377828</v>
      </c>
      <c r="I1523" s="5">
        <v>2811737.87</v>
      </c>
      <c r="J1523" s="5">
        <v>65</v>
      </c>
      <c r="K1523" s="5">
        <v>325669</v>
      </c>
      <c r="L1523" s="5">
        <v>3697550</v>
      </c>
      <c r="M1523" s="5">
        <v>566090.13</v>
      </c>
      <c r="N1523" s="5">
        <v>0.1676</v>
      </c>
      <c r="O1523" s="5">
        <v>7</v>
      </c>
      <c r="P1523" s="5">
        <v>86723</v>
      </c>
    </row>
    <row r="1524" spans="1:16" x14ac:dyDescent="0.3">
      <c r="A1524" s="5">
        <v>59</v>
      </c>
      <c r="B1524" s="5" t="s">
        <v>118</v>
      </c>
      <c r="C1524" s="5">
        <v>1</v>
      </c>
      <c r="D1524" s="5" t="s">
        <v>76</v>
      </c>
      <c r="E1524" s="5">
        <v>2024</v>
      </c>
      <c r="F1524" s="5">
        <v>7</v>
      </c>
      <c r="G1524" s="5" t="s">
        <v>64</v>
      </c>
      <c r="H1524" s="5">
        <v>8848033</v>
      </c>
      <c r="I1524" s="5">
        <v>7718906.6900000004</v>
      </c>
      <c r="J1524" s="5">
        <v>119</v>
      </c>
      <c r="K1524" s="5">
        <v>1000100</v>
      </c>
      <c r="L1524" s="5">
        <v>9818220</v>
      </c>
      <c r="M1524" s="5">
        <v>1129126.31</v>
      </c>
      <c r="N1524" s="5">
        <v>0.12759999999999999</v>
      </c>
      <c r="O1524" s="5">
        <v>7</v>
      </c>
      <c r="P1524" s="5">
        <v>133210</v>
      </c>
    </row>
    <row r="1525" spans="1:16" x14ac:dyDescent="0.3">
      <c r="A1525" s="5">
        <v>26</v>
      </c>
      <c r="B1525" s="5" t="s">
        <v>118</v>
      </c>
      <c r="C1525" s="5">
        <v>1</v>
      </c>
      <c r="D1525" s="5" t="s">
        <v>76</v>
      </c>
      <c r="E1525" s="5">
        <v>2024</v>
      </c>
      <c r="F1525" s="5">
        <v>8</v>
      </c>
      <c r="G1525" s="5" t="s">
        <v>65</v>
      </c>
      <c r="H1525" s="5">
        <v>2750361</v>
      </c>
      <c r="I1525" s="5">
        <v>2309732.25</v>
      </c>
      <c r="J1525" s="5">
        <v>34</v>
      </c>
      <c r="K1525" s="5">
        <v>289637</v>
      </c>
      <c r="L1525" s="5">
        <v>3028830</v>
      </c>
      <c r="M1525" s="5">
        <v>440628.75</v>
      </c>
      <c r="N1525" s="5">
        <v>0.16020000000000001</v>
      </c>
      <c r="O1525" s="5">
        <v>2</v>
      </c>
      <c r="P1525" s="5">
        <v>78334</v>
      </c>
    </row>
    <row r="1526" spans="1:16" x14ac:dyDescent="0.3">
      <c r="A1526" s="5">
        <v>49</v>
      </c>
      <c r="B1526" s="5" t="s">
        <v>118</v>
      </c>
      <c r="C1526" s="5">
        <v>1</v>
      </c>
      <c r="D1526" s="5" t="s">
        <v>76</v>
      </c>
      <c r="E1526" s="5">
        <v>2024</v>
      </c>
      <c r="F1526" s="5">
        <v>8</v>
      </c>
      <c r="G1526" s="5" t="s">
        <v>65</v>
      </c>
      <c r="H1526" s="5">
        <v>6945848</v>
      </c>
      <c r="I1526" s="5">
        <v>5848279.8600000003</v>
      </c>
      <c r="J1526" s="5">
        <v>78</v>
      </c>
      <c r="K1526" s="5">
        <v>500765</v>
      </c>
      <c r="L1526" s="5">
        <v>7412620</v>
      </c>
      <c r="M1526" s="5">
        <v>1097568.1399999999</v>
      </c>
      <c r="N1526" s="5">
        <v>0.158</v>
      </c>
      <c r="O1526" s="5">
        <v>4</v>
      </c>
      <c r="P1526" s="5">
        <v>371227</v>
      </c>
    </row>
    <row r="1527" spans="1:16" x14ac:dyDescent="0.3">
      <c r="A1527" s="5">
        <v>59</v>
      </c>
      <c r="B1527" s="5" t="s">
        <v>118</v>
      </c>
      <c r="C1527" s="5">
        <v>1</v>
      </c>
      <c r="D1527" s="5" t="s">
        <v>76</v>
      </c>
      <c r="E1527" s="5">
        <v>2024</v>
      </c>
      <c r="F1527" s="5">
        <v>8</v>
      </c>
      <c r="G1527" s="5" t="s">
        <v>65</v>
      </c>
      <c r="H1527" s="5">
        <v>8596512</v>
      </c>
      <c r="I1527" s="5">
        <v>7275018.5700000003</v>
      </c>
      <c r="J1527" s="5">
        <v>123</v>
      </c>
      <c r="K1527" s="5">
        <v>808539</v>
      </c>
      <c r="L1527" s="5">
        <v>9366330</v>
      </c>
      <c r="M1527" s="5">
        <v>1321493.43</v>
      </c>
      <c r="N1527" s="5">
        <v>0.1537</v>
      </c>
      <c r="O1527" s="5">
        <v>10</v>
      </c>
      <c r="P1527" s="5">
        <v>647189</v>
      </c>
    </row>
    <row r="1528" spans="1:16" x14ac:dyDescent="0.3">
      <c r="A1528" s="5">
        <v>26</v>
      </c>
      <c r="B1528" s="5" t="s">
        <v>118</v>
      </c>
      <c r="C1528" s="5">
        <v>1</v>
      </c>
      <c r="D1528" s="5" t="s">
        <v>76</v>
      </c>
      <c r="E1528" s="5">
        <v>2024</v>
      </c>
      <c r="F1528" s="5">
        <v>9</v>
      </c>
      <c r="G1528" s="5" t="s">
        <v>66</v>
      </c>
      <c r="H1528" s="5">
        <v>2233299</v>
      </c>
      <c r="I1528" s="5">
        <v>1798279.43</v>
      </c>
      <c r="J1528" s="5">
        <v>38</v>
      </c>
      <c r="K1528" s="5">
        <v>94026</v>
      </c>
      <c r="L1528" s="5">
        <v>2314850</v>
      </c>
      <c r="M1528" s="5">
        <v>435019.57</v>
      </c>
      <c r="N1528" s="5">
        <v>0.1948</v>
      </c>
      <c r="O1528" s="5">
        <v>4</v>
      </c>
      <c r="P1528" s="5">
        <v>84294</v>
      </c>
    </row>
    <row r="1529" spans="1:16" x14ac:dyDescent="0.3">
      <c r="A1529" s="5">
        <v>49</v>
      </c>
      <c r="B1529" s="5" t="s">
        <v>118</v>
      </c>
      <c r="C1529" s="5">
        <v>1</v>
      </c>
      <c r="D1529" s="5" t="s">
        <v>76</v>
      </c>
      <c r="E1529" s="5">
        <v>2024</v>
      </c>
      <c r="F1529" s="5">
        <v>9</v>
      </c>
      <c r="G1529" s="5" t="s">
        <v>66</v>
      </c>
      <c r="H1529" s="5">
        <v>6681702</v>
      </c>
      <c r="I1529" s="5">
        <v>5444804.6600000001</v>
      </c>
      <c r="J1529" s="5">
        <v>77</v>
      </c>
      <c r="K1529" s="5">
        <v>392667</v>
      </c>
      <c r="L1529" s="5">
        <v>7045370</v>
      </c>
      <c r="M1529" s="5">
        <v>1236897.3400000001</v>
      </c>
      <c r="N1529" s="5">
        <v>0.18509999999999999</v>
      </c>
      <c r="O1529" s="5">
        <v>23</v>
      </c>
      <c r="P1529" s="5">
        <v>521775</v>
      </c>
    </row>
    <row r="1530" spans="1:16" x14ac:dyDescent="0.3">
      <c r="A1530" s="5">
        <v>59</v>
      </c>
      <c r="B1530" s="5" t="s">
        <v>118</v>
      </c>
      <c r="C1530" s="5">
        <v>1</v>
      </c>
      <c r="D1530" s="5" t="s">
        <v>76</v>
      </c>
      <c r="E1530" s="5">
        <v>2024</v>
      </c>
      <c r="F1530" s="5">
        <v>9</v>
      </c>
      <c r="G1530" s="5" t="s">
        <v>66</v>
      </c>
      <c r="H1530" s="5">
        <v>10963275</v>
      </c>
      <c r="I1530" s="5">
        <v>8921154.1099999994</v>
      </c>
      <c r="J1530" s="5">
        <v>148</v>
      </c>
      <c r="K1530" s="5">
        <v>604253</v>
      </c>
      <c r="L1530" s="5">
        <v>11538990</v>
      </c>
      <c r="M1530" s="5">
        <v>2042120.89</v>
      </c>
      <c r="N1530" s="5">
        <v>0.18629999999999999</v>
      </c>
      <c r="O1530" s="5">
        <v>12</v>
      </c>
      <c r="P1530" s="5">
        <v>660906</v>
      </c>
    </row>
    <row r="1531" spans="1:16" x14ac:dyDescent="0.3">
      <c r="A1531" s="5">
        <v>26</v>
      </c>
      <c r="B1531" s="5" t="s">
        <v>118</v>
      </c>
      <c r="C1531" s="5">
        <v>1</v>
      </c>
      <c r="D1531" s="5" t="s">
        <v>76</v>
      </c>
      <c r="E1531" s="5">
        <v>2024</v>
      </c>
      <c r="F1531" s="5">
        <v>10</v>
      </c>
      <c r="G1531" s="5" t="s">
        <v>67</v>
      </c>
      <c r="H1531" s="5">
        <v>2554781</v>
      </c>
      <c r="I1531" s="5">
        <v>2101756.0499999998</v>
      </c>
      <c r="J1531" s="5">
        <v>30</v>
      </c>
      <c r="K1531" s="5">
        <v>101074</v>
      </c>
      <c r="L1531" s="5">
        <v>2650110</v>
      </c>
      <c r="M1531" s="5">
        <v>453024.95</v>
      </c>
      <c r="N1531" s="5">
        <v>0.17730000000000001</v>
      </c>
      <c r="O1531" s="5">
        <v>3</v>
      </c>
      <c r="P1531" s="5">
        <v>277302</v>
      </c>
    </row>
    <row r="1532" spans="1:16" x14ac:dyDescent="0.3">
      <c r="A1532" s="5">
        <v>49</v>
      </c>
      <c r="B1532" s="5" t="s">
        <v>118</v>
      </c>
      <c r="C1532" s="5">
        <v>1</v>
      </c>
      <c r="D1532" s="5" t="s">
        <v>76</v>
      </c>
      <c r="E1532" s="5">
        <v>2024</v>
      </c>
      <c r="F1532" s="5">
        <v>10</v>
      </c>
      <c r="G1532" s="5" t="s">
        <v>67</v>
      </c>
      <c r="H1532" s="5">
        <v>9717601</v>
      </c>
      <c r="I1532" s="5">
        <v>7791849.1699999999</v>
      </c>
      <c r="J1532" s="5">
        <v>124</v>
      </c>
      <c r="K1532" s="5">
        <v>296795</v>
      </c>
      <c r="L1532" s="5">
        <v>9994120</v>
      </c>
      <c r="M1532" s="5">
        <v>1925751.83</v>
      </c>
      <c r="N1532" s="5">
        <v>0.19819999999999999</v>
      </c>
      <c r="O1532" s="5">
        <v>7</v>
      </c>
      <c r="P1532" s="5">
        <v>311405</v>
      </c>
    </row>
    <row r="1533" spans="1:16" x14ac:dyDescent="0.3">
      <c r="A1533" s="5">
        <v>59</v>
      </c>
      <c r="B1533" s="5" t="s">
        <v>118</v>
      </c>
      <c r="C1533" s="5">
        <v>1</v>
      </c>
      <c r="D1533" s="5" t="s">
        <v>76</v>
      </c>
      <c r="E1533" s="5">
        <v>2024</v>
      </c>
      <c r="F1533" s="5">
        <v>10</v>
      </c>
      <c r="G1533" s="5" t="s">
        <v>67</v>
      </c>
      <c r="H1533" s="5">
        <v>10185690</v>
      </c>
      <c r="I1533" s="5">
        <v>8047848.6100000003</v>
      </c>
      <c r="J1533" s="5">
        <v>165</v>
      </c>
      <c r="K1533" s="5">
        <v>341672</v>
      </c>
      <c r="L1533" s="5">
        <v>10487460</v>
      </c>
      <c r="M1533" s="5">
        <v>2137841.39</v>
      </c>
      <c r="N1533" s="5">
        <v>0.2099</v>
      </c>
      <c r="O1533" s="5">
        <v>13</v>
      </c>
      <c r="P1533" s="5">
        <v>134107</v>
      </c>
    </row>
    <row r="1534" spans="1:16" x14ac:dyDescent="0.3">
      <c r="A1534" s="5">
        <v>26</v>
      </c>
      <c r="B1534" s="5" t="s">
        <v>118</v>
      </c>
      <c r="C1534" s="5">
        <v>1</v>
      </c>
      <c r="D1534" s="5" t="s">
        <v>76</v>
      </c>
      <c r="E1534" s="5">
        <v>2024</v>
      </c>
      <c r="F1534" s="5">
        <v>11</v>
      </c>
      <c r="G1534" s="5" t="s">
        <v>68</v>
      </c>
      <c r="H1534" s="5">
        <v>2496367</v>
      </c>
      <c r="I1534" s="5">
        <v>2017458.16</v>
      </c>
      <c r="J1534" s="5">
        <v>33</v>
      </c>
      <c r="K1534" s="5">
        <v>146380</v>
      </c>
      <c r="L1534" s="5">
        <v>2625070</v>
      </c>
      <c r="M1534" s="5">
        <v>478908.84</v>
      </c>
      <c r="N1534" s="5">
        <v>0.1918</v>
      </c>
      <c r="O1534" s="5">
        <v>2</v>
      </c>
      <c r="P1534" s="5">
        <v>4740</v>
      </c>
    </row>
    <row r="1535" spans="1:16" x14ac:dyDescent="0.3">
      <c r="A1535" s="5">
        <v>49</v>
      </c>
      <c r="B1535" s="5" t="s">
        <v>118</v>
      </c>
      <c r="C1535" s="5">
        <v>1</v>
      </c>
      <c r="D1535" s="5" t="s">
        <v>76</v>
      </c>
      <c r="E1535" s="5">
        <v>2024</v>
      </c>
      <c r="F1535" s="5">
        <v>11</v>
      </c>
      <c r="G1535" s="5" t="s">
        <v>68</v>
      </c>
      <c r="H1535" s="5">
        <v>9500882</v>
      </c>
      <c r="I1535" s="5">
        <v>8060009.9500000002</v>
      </c>
      <c r="J1535" s="5">
        <v>116</v>
      </c>
      <c r="K1535" s="5">
        <v>884448</v>
      </c>
      <c r="L1535" s="5">
        <v>10363310</v>
      </c>
      <c r="M1535" s="5">
        <v>1440872.05</v>
      </c>
      <c r="N1535" s="5">
        <v>0.1517</v>
      </c>
      <c r="O1535" s="5">
        <v>10</v>
      </c>
      <c r="P1535" s="5">
        <v>239293</v>
      </c>
    </row>
    <row r="1536" spans="1:16" x14ac:dyDescent="0.3">
      <c r="A1536" s="5">
        <v>59</v>
      </c>
      <c r="B1536" s="5" t="s">
        <v>118</v>
      </c>
      <c r="C1536" s="5">
        <v>1</v>
      </c>
      <c r="D1536" s="5" t="s">
        <v>76</v>
      </c>
      <c r="E1536" s="5">
        <v>2024</v>
      </c>
      <c r="F1536" s="5">
        <v>11</v>
      </c>
      <c r="G1536" s="5" t="s">
        <v>68</v>
      </c>
      <c r="H1536" s="5">
        <v>13522197</v>
      </c>
      <c r="I1536" s="5">
        <v>11090661.300000001</v>
      </c>
      <c r="J1536" s="5">
        <v>177</v>
      </c>
      <c r="K1536" s="5">
        <v>730661</v>
      </c>
      <c r="L1536" s="5">
        <v>14206830</v>
      </c>
      <c r="M1536" s="5">
        <v>2431535.7000000002</v>
      </c>
      <c r="N1536" s="5">
        <v>0.17979999999999999</v>
      </c>
      <c r="O1536" s="5">
        <v>14</v>
      </c>
      <c r="P1536" s="5">
        <v>233332</v>
      </c>
    </row>
    <row r="1537" spans="1:16" x14ac:dyDescent="0.3">
      <c r="A1537" s="5">
        <v>26</v>
      </c>
      <c r="B1537" s="5" t="s">
        <v>118</v>
      </c>
      <c r="C1537" s="5">
        <v>1</v>
      </c>
      <c r="D1537" s="5" t="s">
        <v>76</v>
      </c>
      <c r="E1537" s="5">
        <v>2024</v>
      </c>
      <c r="F1537" s="5">
        <v>12</v>
      </c>
      <c r="G1537" s="5" t="s">
        <v>69</v>
      </c>
      <c r="H1537" s="5">
        <v>3474008</v>
      </c>
      <c r="I1537" s="5">
        <v>2786970.85</v>
      </c>
      <c r="J1537" s="5">
        <v>41</v>
      </c>
      <c r="K1537" s="5">
        <v>117937</v>
      </c>
      <c r="L1537" s="5">
        <v>3579190</v>
      </c>
      <c r="M1537" s="5">
        <v>687037.15</v>
      </c>
      <c r="N1537" s="5">
        <v>0.1978</v>
      </c>
      <c r="O1537" s="5">
        <v>5</v>
      </c>
      <c r="P1537" s="5">
        <v>25722</v>
      </c>
    </row>
    <row r="1538" spans="1:16" x14ac:dyDescent="0.3">
      <c r="A1538" s="5">
        <v>49</v>
      </c>
      <c r="B1538" s="5" t="s">
        <v>118</v>
      </c>
      <c r="C1538" s="5">
        <v>1</v>
      </c>
      <c r="D1538" s="5" t="s">
        <v>76</v>
      </c>
      <c r="E1538" s="5">
        <v>2024</v>
      </c>
      <c r="F1538" s="5">
        <v>12</v>
      </c>
      <c r="G1538" s="5" t="s">
        <v>69</v>
      </c>
      <c r="H1538" s="5">
        <v>8482614</v>
      </c>
      <c r="I1538" s="5">
        <v>6716838.9299999997</v>
      </c>
      <c r="J1538" s="5">
        <v>110</v>
      </c>
      <c r="K1538" s="5">
        <v>216575</v>
      </c>
      <c r="L1538" s="5">
        <v>8655250</v>
      </c>
      <c r="M1538" s="5">
        <v>1765775.07</v>
      </c>
      <c r="N1538" s="5">
        <v>0.2082</v>
      </c>
      <c r="O1538" s="5">
        <v>4</v>
      </c>
      <c r="P1538" s="5">
        <v>315090</v>
      </c>
    </row>
    <row r="1539" spans="1:16" x14ac:dyDescent="0.3">
      <c r="A1539" s="5">
        <v>59</v>
      </c>
      <c r="B1539" s="5" t="s">
        <v>118</v>
      </c>
      <c r="C1539" s="5">
        <v>1</v>
      </c>
      <c r="D1539" s="5" t="s">
        <v>76</v>
      </c>
      <c r="E1539" s="5">
        <v>2024</v>
      </c>
      <c r="F1539" s="5">
        <v>12</v>
      </c>
      <c r="G1539" s="5" t="s">
        <v>69</v>
      </c>
      <c r="H1539" s="5">
        <v>12659412</v>
      </c>
      <c r="I1539" s="5">
        <v>10116332.390000001</v>
      </c>
      <c r="J1539" s="5">
        <v>179</v>
      </c>
      <c r="K1539" s="5">
        <v>442779</v>
      </c>
      <c r="L1539" s="5">
        <v>13058320</v>
      </c>
      <c r="M1539" s="5">
        <v>2543079.61</v>
      </c>
      <c r="N1539" s="5">
        <v>0.2009</v>
      </c>
      <c r="O1539" s="5">
        <v>9</v>
      </c>
      <c r="P1539" s="5">
        <v>98327</v>
      </c>
    </row>
    <row r="1540" spans="1:16" x14ac:dyDescent="0.3">
      <c r="A1540" s="5">
        <v>106</v>
      </c>
      <c r="B1540" s="5" t="s">
        <v>119</v>
      </c>
      <c r="C1540" s="5">
        <v>11</v>
      </c>
      <c r="D1540" s="5" t="s">
        <v>83</v>
      </c>
      <c r="E1540" s="5">
        <v>2021</v>
      </c>
      <c r="F1540" s="5">
        <v>1</v>
      </c>
      <c r="G1540" s="5" t="s">
        <v>22</v>
      </c>
      <c r="H1540" s="5">
        <v>829105</v>
      </c>
      <c r="I1540" s="5">
        <v>705458.18</v>
      </c>
      <c r="J1540" s="5">
        <v>10</v>
      </c>
      <c r="K1540" s="5">
        <v>101855</v>
      </c>
      <c r="L1540" s="5">
        <v>928300</v>
      </c>
      <c r="M1540" s="5">
        <v>123646.82</v>
      </c>
      <c r="N1540" s="5">
        <v>0.14910000000000001</v>
      </c>
      <c r="O1540" s="5">
        <v>3</v>
      </c>
      <c r="P1540" s="5">
        <v>13949</v>
      </c>
    </row>
    <row r="1541" spans="1:16" x14ac:dyDescent="0.3">
      <c r="A1541" s="5">
        <v>106</v>
      </c>
      <c r="B1541" s="5" t="s">
        <v>119</v>
      </c>
      <c r="C1541" s="5">
        <v>11</v>
      </c>
      <c r="D1541" s="5" t="s">
        <v>83</v>
      </c>
      <c r="E1541" s="5">
        <v>2021</v>
      </c>
      <c r="F1541" s="5">
        <v>2</v>
      </c>
      <c r="G1541" s="5" t="s">
        <v>23</v>
      </c>
      <c r="H1541" s="5">
        <v>116179</v>
      </c>
      <c r="I1541" s="5">
        <v>103638.69</v>
      </c>
      <c r="J1541" s="5">
        <v>4</v>
      </c>
      <c r="K1541" s="5">
        <v>25101</v>
      </c>
      <c r="L1541" s="5">
        <v>141220</v>
      </c>
      <c r="M1541" s="5">
        <v>12540.31</v>
      </c>
      <c r="N1541" s="5">
        <v>0.1079</v>
      </c>
      <c r="O1541" s="5">
        <v>0</v>
      </c>
      <c r="P1541" s="5">
        <v>0</v>
      </c>
    </row>
    <row r="1542" spans="1:16" x14ac:dyDescent="0.3">
      <c r="A1542" s="5">
        <v>106</v>
      </c>
      <c r="B1542" s="5" t="s">
        <v>119</v>
      </c>
      <c r="C1542" s="5">
        <v>11</v>
      </c>
      <c r="D1542" s="5" t="s">
        <v>83</v>
      </c>
      <c r="E1542" s="5">
        <v>2021</v>
      </c>
      <c r="F1542" s="5">
        <v>3</v>
      </c>
      <c r="G1542" s="5" t="s">
        <v>24</v>
      </c>
      <c r="H1542" s="5">
        <v>267622</v>
      </c>
      <c r="I1542" s="5">
        <v>205067.29</v>
      </c>
      <c r="J1542" s="5">
        <v>8</v>
      </c>
      <c r="K1542" s="5">
        <v>9121</v>
      </c>
      <c r="L1542" s="5">
        <v>275940</v>
      </c>
      <c r="M1542" s="5">
        <v>62554.71</v>
      </c>
      <c r="N1542" s="5">
        <v>0.23369999999999999</v>
      </c>
      <c r="O1542" s="5">
        <v>1</v>
      </c>
      <c r="P1542" s="5">
        <v>14065</v>
      </c>
    </row>
    <row r="1543" spans="1:16" x14ac:dyDescent="0.3">
      <c r="A1543" s="5">
        <v>106</v>
      </c>
      <c r="B1543" s="5" t="s">
        <v>119</v>
      </c>
      <c r="C1543" s="5">
        <v>11</v>
      </c>
      <c r="D1543" s="5" t="s">
        <v>83</v>
      </c>
      <c r="E1543" s="5">
        <v>2021</v>
      </c>
      <c r="F1543" s="5">
        <v>4</v>
      </c>
      <c r="G1543" s="5" t="s">
        <v>25</v>
      </c>
      <c r="H1543" s="5">
        <v>308885</v>
      </c>
      <c r="I1543" s="5">
        <v>258969.38</v>
      </c>
      <c r="J1543" s="5">
        <v>5</v>
      </c>
      <c r="K1543" s="5">
        <v>10397</v>
      </c>
      <c r="L1543" s="5">
        <v>316190</v>
      </c>
      <c r="M1543" s="5">
        <v>49915.62</v>
      </c>
      <c r="N1543" s="5">
        <v>0.16159999999999999</v>
      </c>
      <c r="O1543" s="5">
        <v>1</v>
      </c>
      <c r="P1543" s="5">
        <v>5006</v>
      </c>
    </row>
    <row r="1544" spans="1:16" x14ac:dyDescent="0.3">
      <c r="A1544" s="5">
        <v>106</v>
      </c>
      <c r="B1544" s="5" t="s">
        <v>119</v>
      </c>
      <c r="C1544" s="5">
        <v>11</v>
      </c>
      <c r="D1544" s="5" t="s">
        <v>83</v>
      </c>
      <c r="E1544" s="5">
        <v>2021</v>
      </c>
      <c r="F1544" s="5">
        <v>5</v>
      </c>
      <c r="G1544" s="5" t="s">
        <v>26</v>
      </c>
      <c r="H1544" s="5">
        <v>527935</v>
      </c>
      <c r="I1544" s="5">
        <v>501525.99</v>
      </c>
      <c r="J1544" s="5">
        <v>7</v>
      </c>
      <c r="K1544" s="5">
        <v>69322</v>
      </c>
      <c r="L1544" s="5">
        <v>597060</v>
      </c>
      <c r="M1544" s="5">
        <v>26409.01</v>
      </c>
      <c r="N1544" s="5">
        <v>0.05</v>
      </c>
      <c r="O1544" s="5">
        <v>1</v>
      </c>
      <c r="P1544" s="5">
        <v>57034</v>
      </c>
    </row>
    <row r="1545" spans="1:16" x14ac:dyDescent="0.3">
      <c r="A1545" s="5">
        <v>106</v>
      </c>
      <c r="B1545" s="5" t="s">
        <v>119</v>
      </c>
      <c r="C1545" s="5">
        <v>11</v>
      </c>
      <c r="D1545" s="5" t="s">
        <v>83</v>
      </c>
      <c r="E1545" s="5">
        <v>2021</v>
      </c>
      <c r="F1545" s="5">
        <v>6</v>
      </c>
      <c r="G1545" s="5" t="s">
        <v>27</v>
      </c>
      <c r="H1545" s="5">
        <v>539231</v>
      </c>
      <c r="I1545" s="5">
        <v>535051.07999999996</v>
      </c>
      <c r="J1545" s="5">
        <v>10</v>
      </c>
      <c r="K1545" s="5">
        <v>138314</v>
      </c>
      <c r="L1545" s="5">
        <v>677490</v>
      </c>
      <c r="M1545" s="5">
        <v>4179.92</v>
      </c>
      <c r="N1545" s="5">
        <v>7.7999999999999996E-3</v>
      </c>
      <c r="O1545" s="5">
        <v>1</v>
      </c>
      <c r="P1545" s="5">
        <v>554</v>
      </c>
    </row>
    <row r="1546" spans="1:16" x14ac:dyDescent="0.3">
      <c r="A1546" s="5">
        <v>106</v>
      </c>
      <c r="B1546" s="5" t="s">
        <v>119</v>
      </c>
      <c r="C1546" s="5">
        <v>11</v>
      </c>
      <c r="D1546" s="5" t="s">
        <v>83</v>
      </c>
      <c r="E1546" s="5">
        <v>2021</v>
      </c>
      <c r="F1546" s="5">
        <v>7</v>
      </c>
      <c r="G1546" s="5" t="s">
        <v>28</v>
      </c>
      <c r="H1546" s="5">
        <v>294753</v>
      </c>
      <c r="I1546" s="5">
        <v>224182.84</v>
      </c>
      <c r="J1546" s="5">
        <v>7</v>
      </c>
      <c r="K1546" s="5">
        <v>11312</v>
      </c>
      <c r="L1546" s="5">
        <v>304220</v>
      </c>
      <c r="M1546" s="5">
        <v>70570.16</v>
      </c>
      <c r="N1546" s="5">
        <v>0.2394</v>
      </c>
      <c r="O1546" s="5">
        <v>2</v>
      </c>
      <c r="P1546" s="5">
        <v>8453</v>
      </c>
    </row>
    <row r="1547" spans="1:16" x14ac:dyDescent="0.3">
      <c r="A1547" s="5">
        <v>106</v>
      </c>
      <c r="B1547" s="5" t="s">
        <v>119</v>
      </c>
      <c r="C1547" s="5">
        <v>11</v>
      </c>
      <c r="D1547" s="5" t="s">
        <v>83</v>
      </c>
      <c r="E1547" s="5">
        <v>2021</v>
      </c>
      <c r="F1547" s="5">
        <v>8</v>
      </c>
      <c r="G1547" s="5" t="s">
        <v>29</v>
      </c>
      <c r="H1547" s="5">
        <v>328271</v>
      </c>
      <c r="I1547" s="5">
        <v>275133.55</v>
      </c>
      <c r="J1547" s="5">
        <v>6</v>
      </c>
      <c r="K1547" s="5">
        <v>32143</v>
      </c>
      <c r="L1547" s="5">
        <v>359680</v>
      </c>
      <c r="M1547" s="5">
        <v>53137.45</v>
      </c>
      <c r="N1547" s="5">
        <v>0.16189999999999999</v>
      </c>
      <c r="O1547" s="5">
        <v>0</v>
      </c>
      <c r="P1547" s="5">
        <v>0</v>
      </c>
    </row>
    <row r="1548" spans="1:16" x14ac:dyDescent="0.3">
      <c r="A1548" s="5">
        <v>106</v>
      </c>
      <c r="B1548" s="5" t="s">
        <v>119</v>
      </c>
      <c r="C1548" s="5">
        <v>11</v>
      </c>
      <c r="D1548" s="5" t="s">
        <v>83</v>
      </c>
      <c r="E1548" s="5">
        <v>2021</v>
      </c>
      <c r="F1548" s="5">
        <v>9</v>
      </c>
      <c r="G1548" s="5" t="s">
        <v>30</v>
      </c>
      <c r="H1548" s="5">
        <v>608425</v>
      </c>
      <c r="I1548" s="5">
        <v>586755.28</v>
      </c>
      <c r="J1548" s="5">
        <v>8</v>
      </c>
      <c r="K1548" s="5">
        <v>110920</v>
      </c>
      <c r="L1548" s="5">
        <v>718060</v>
      </c>
      <c r="M1548" s="5">
        <v>21669.72</v>
      </c>
      <c r="N1548" s="5">
        <v>3.56E-2</v>
      </c>
      <c r="O1548" s="5">
        <v>0</v>
      </c>
      <c r="P1548" s="5">
        <v>0</v>
      </c>
    </row>
    <row r="1549" spans="1:16" x14ac:dyDescent="0.3">
      <c r="A1549" s="5">
        <v>106</v>
      </c>
      <c r="B1549" s="5" t="s">
        <v>119</v>
      </c>
      <c r="C1549" s="5">
        <v>11</v>
      </c>
      <c r="D1549" s="5" t="s">
        <v>83</v>
      </c>
      <c r="E1549" s="5">
        <v>2021</v>
      </c>
      <c r="F1549" s="5">
        <v>10</v>
      </c>
      <c r="G1549" s="5" t="s">
        <v>31</v>
      </c>
      <c r="H1549" s="5">
        <v>748092</v>
      </c>
      <c r="I1549" s="5">
        <v>642354.17000000004</v>
      </c>
      <c r="J1549" s="5">
        <v>12</v>
      </c>
      <c r="K1549" s="5">
        <v>51736</v>
      </c>
      <c r="L1549" s="5">
        <v>798420</v>
      </c>
      <c r="M1549" s="5">
        <v>105737.83</v>
      </c>
      <c r="N1549" s="5">
        <v>0.14130000000000001</v>
      </c>
      <c r="O1549" s="5">
        <v>0</v>
      </c>
      <c r="P1549" s="5">
        <v>0</v>
      </c>
    </row>
    <row r="1550" spans="1:16" x14ac:dyDescent="0.3">
      <c r="A1550" s="5">
        <v>106</v>
      </c>
      <c r="B1550" s="5" t="s">
        <v>119</v>
      </c>
      <c r="C1550" s="5">
        <v>11</v>
      </c>
      <c r="D1550" s="5" t="s">
        <v>83</v>
      </c>
      <c r="E1550" s="5">
        <v>2021</v>
      </c>
      <c r="F1550" s="5">
        <v>11</v>
      </c>
      <c r="G1550" s="5" t="s">
        <v>32</v>
      </c>
      <c r="H1550" s="5">
        <v>968920</v>
      </c>
      <c r="I1550" s="5">
        <v>789683.74</v>
      </c>
      <c r="J1550" s="5">
        <v>9</v>
      </c>
      <c r="K1550" s="5">
        <v>29218</v>
      </c>
      <c r="L1550" s="5">
        <v>991290</v>
      </c>
      <c r="M1550" s="5">
        <v>179236.26</v>
      </c>
      <c r="N1550" s="5">
        <v>0.185</v>
      </c>
      <c r="O1550" s="5">
        <v>2</v>
      </c>
      <c r="P1550" s="5">
        <v>6394</v>
      </c>
    </row>
    <row r="1551" spans="1:16" x14ac:dyDescent="0.3">
      <c r="A1551" s="5">
        <v>106</v>
      </c>
      <c r="B1551" s="5" t="s">
        <v>119</v>
      </c>
      <c r="C1551" s="5">
        <v>11</v>
      </c>
      <c r="D1551" s="5" t="s">
        <v>83</v>
      </c>
      <c r="E1551" s="5">
        <v>2021</v>
      </c>
      <c r="F1551" s="5">
        <v>12</v>
      </c>
      <c r="G1551" s="5" t="s">
        <v>33</v>
      </c>
      <c r="H1551" s="5">
        <v>629749</v>
      </c>
      <c r="I1551" s="5">
        <v>560373.81000000006</v>
      </c>
      <c r="J1551" s="5">
        <v>10</v>
      </c>
      <c r="K1551" s="5">
        <v>81342</v>
      </c>
      <c r="L1551" s="5">
        <v>710730</v>
      </c>
      <c r="M1551" s="5">
        <v>69375.19</v>
      </c>
      <c r="N1551" s="5">
        <v>0.11020000000000001</v>
      </c>
      <c r="O1551" s="5">
        <v>0</v>
      </c>
      <c r="P1551" s="5">
        <v>0</v>
      </c>
    </row>
    <row r="1552" spans="1:16" x14ac:dyDescent="0.3">
      <c r="A1552" s="5">
        <v>106</v>
      </c>
      <c r="B1552" s="5" t="s">
        <v>119</v>
      </c>
      <c r="C1552" s="5">
        <v>11</v>
      </c>
      <c r="D1552" s="5" t="s">
        <v>83</v>
      </c>
      <c r="E1552" s="5">
        <v>2022</v>
      </c>
      <c r="F1552" s="5">
        <v>1</v>
      </c>
      <c r="G1552" s="5" t="s">
        <v>34</v>
      </c>
      <c r="H1552" s="5">
        <v>979306</v>
      </c>
      <c r="I1552" s="5">
        <v>792093.9</v>
      </c>
      <c r="J1552" s="5">
        <v>12</v>
      </c>
      <c r="K1552" s="5">
        <v>87229</v>
      </c>
      <c r="L1552" s="5">
        <v>1062700</v>
      </c>
      <c r="M1552" s="5">
        <v>187212.1</v>
      </c>
      <c r="N1552" s="5">
        <v>0.19120000000000001</v>
      </c>
      <c r="O1552" s="5">
        <v>0</v>
      </c>
      <c r="P1552" s="5">
        <v>0</v>
      </c>
    </row>
    <row r="1553" spans="1:16" x14ac:dyDescent="0.3">
      <c r="A1553" s="5">
        <v>106</v>
      </c>
      <c r="B1553" s="5" t="s">
        <v>119</v>
      </c>
      <c r="C1553" s="5">
        <v>11</v>
      </c>
      <c r="D1553" s="5" t="s">
        <v>83</v>
      </c>
      <c r="E1553" s="5">
        <v>2022</v>
      </c>
      <c r="F1553" s="5">
        <v>2</v>
      </c>
      <c r="G1553" s="5" t="s">
        <v>35</v>
      </c>
      <c r="H1553" s="5">
        <v>447057</v>
      </c>
      <c r="I1553" s="5">
        <v>364490.35</v>
      </c>
      <c r="J1553" s="5">
        <v>8</v>
      </c>
      <c r="K1553" s="5">
        <v>9873</v>
      </c>
      <c r="L1553" s="5">
        <v>456660</v>
      </c>
      <c r="M1553" s="5">
        <v>82566.649999999994</v>
      </c>
      <c r="N1553" s="5">
        <v>0.1847</v>
      </c>
      <c r="O1553" s="5">
        <v>0</v>
      </c>
      <c r="P1553" s="5">
        <v>0</v>
      </c>
    </row>
    <row r="1554" spans="1:16" x14ac:dyDescent="0.3">
      <c r="A1554" s="5">
        <v>106</v>
      </c>
      <c r="B1554" s="5" t="s">
        <v>119</v>
      </c>
      <c r="C1554" s="5">
        <v>11</v>
      </c>
      <c r="D1554" s="5" t="s">
        <v>83</v>
      </c>
      <c r="E1554" s="5">
        <v>2022</v>
      </c>
      <c r="F1554" s="5">
        <v>3</v>
      </c>
      <c r="G1554" s="5" t="s">
        <v>36</v>
      </c>
      <c r="H1554" s="5">
        <v>1264462</v>
      </c>
      <c r="I1554" s="5">
        <v>1106933.98</v>
      </c>
      <c r="J1554" s="5">
        <v>17</v>
      </c>
      <c r="K1554" s="5">
        <v>206991</v>
      </c>
      <c r="L1554" s="5">
        <v>1470420</v>
      </c>
      <c r="M1554" s="5">
        <v>157528.01999999999</v>
      </c>
      <c r="N1554" s="5">
        <v>0.1246</v>
      </c>
      <c r="O1554" s="5">
        <v>0</v>
      </c>
      <c r="P1554" s="5">
        <v>0</v>
      </c>
    </row>
    <row r="1555" spans="1:16" x14ac:dyDescent="0.3">
      <c r="A1555" s="5">
        <v>106</v>
      </c>
      <c r="B1555" s="5" t="s">
        <v>119</v>
      </c>
      <c r="C1555" s="5">
        <v>11</v>
      </c>
      <c r="D1555" s="5" t="s">
        <v>83</v>
      </c>
      <c r="E1555" s="5">
        <v>2022</v>
      </c>
      <c r="F1555" s="5">
        <v>4</v>
      </c>
      <c r="G1555" s="5" t="s">
        <v>37</v>
      </c>
      <c r="H1555" s="5">
        <v>1115968</v>
      </c>
      <c r="I1555" s="5">
        <v>959431.57</v>
      </c>
      <c r="J1555" s="5">
        <v>12</v>
      </c>
      <c r="K1555" s="5">
        <v>147500</v>
      </c>
      <c r="L1555" s="5">
        <v>1253510</v>
      </c>
      <c r="M1555" s="5">
        <v>156536.43</v>
      </c>
      <c r="N1555" s="5">
        <v>0.14030000000000001</v>
      </c>
      <c r="O1555" s="5">
        <v>2</v>
      </c>
      <c r="P1555" s="5">
        <v>39198</v>
      </c>
    </row>
    <row r="1556" spans="1:16" x14ac:dyDescent="0.3">
      <c r="A1556" s="5">
        <v>106</v>
      </c>
      <c r="B1556" s="5" t="s">
        <v>119</v>
      </c>
      <c r="C1556" s="5">
        <v>11</v>
      </c>
      <c r="D1556" s="5" t="s">
        <v>83</v>
      </c>
      <c r="E1556" s="5">
        <v>2022</v>
      </c>
      <c r="F1556" s="5">
        <v>5</v>
      </c>
      <c r="G1556" s="5" t="s">
        <v>38</v>
      </c>
      <c r="H1556" s="5">
        <v>712336</v>
      </c>
      <c r="I1556" s="5">
        <v>681618.88</v>
      </c>
      <c r="J1556" s="5">
        <v>14</v>
      </c>
      <c r="K1556" s="5">
        <v>173229</v>
      </c>
      <c r="L1556" s="5">
        <v>885430</v>
      </c>
      <c r="M1556" s="5">
        <v>30717.119999999999</v>
      </c>
      <c r="N1556" s="5">
        <v>4.3099999999999999E-2</v>
      </c>
      <c r="O1556" s="5">
        <v>3</v>
      </c>
      <c r="P1556" s="5">
        <v>67899</v>
      </c>
    </row>
    <row r="1557" spans="1:16" x14ac:dyDescent="0.3">
      <c r="A1557" s="5">
        <v>106</v>
      </c>
      <c r="B1557" s="5" t="s">
        <v>119</v>
      </c>
      <c r="C1557" s="5">
        <v>11</v>
      </c>
      <c r="D1557" s="5" t="s">
        <v>83</v>
      </c>
      <c r="E1557" s="5">
        <v>2022</v>
      </c>
      <c r="F1557" s="5">
        <v>6</v>
      </c>
      <c r="G1557" s="5" t="s">
        <v>39</v>
      </c>
      <c r="H1557" s="5">
        <v>433561</v>
      </c>
      <c r="I1557" s="5">
        <v>397986.91</v>
      </c>
      <c r="J1557" s="5">
        <v>10</v>
      </c>
      <c r="K1557" s="5">
        <v>77253</v>
      </c>
      <c r="L1557" s="5">
        <v>510800</v>
      </c>
      <c r="M1557" s="5">
        <v>35574.089999999997</v>
      </c>
      <c r="N1557" s="5">
        <v>8.2100000000000006E-2</v>
      </c>
      <c r="O1557" s="5">
        <v>0</v>
      </c>
      <c r="P1557" s="5">
        <v>0</v>
      </c>
    </row>
    <row r="1558" spans="1:16" x14ac:dyDescent="0.3">
      <c r="A1558" s="5">
        <v>106</v>
      </c>
      <c r="B1558" s="5" t="s">
        <v>119</v>
      </c>
      <c r="C1558" s="5">
        <v>11</v>
      </c>
      <c r="D1558" s="5" t="s">
        <v>83</v>
      </c>
      <c r="E1558" s="5">
        <v>2022</v>
      </c>
      <c r="F1558" s="5">
        <v>7</v>
      </c>
      <c r="G1558" s="5" t="s">
        <v>40</v>
      </c>
      <c r="H1558" s="5">
        <v>447650</v>
      </c>
      <c r="I1558" s="5">
        <v>463333.59</v>
      </c>
      <c r="J1558" s="5">
        <v>12</v>
      </c>
      <c r="K1558" s="5">
        <v>122628</v>
      </c>
      <c r="L1558" s="5">
        <v>569840</v>
      </c>
      <c r="M1558" s="5">
        <v>-15683.59</v>
      </c>
      <c r="N1558" s="5">
        <v>-3.5000000000000003E-2</v>
      </c>
      <c r="O1558" s="5">
        <v>1</v>
      </c>
      <c r="P1558" s="5">
        <v>9048</v>
      </c>
    </row>
    <row r="1559" spans="1:16" x14ac:dyDescent="0.3">
      <c r="A1559" s="5">
        <v>106</v>
      </c>
      <c r="B1559" s="5" t="s">
        <v>119</v>
      </c>
      <c r="C1559" s="5">
        <v>11</v>
      </c>
      <c r="D1559" s="5" t="s">
        <v>83</v>
      </c>
      <c r="E1559" s="5">
        <v>2022</v>
      </c>
      <c r="F1559" s="5">
        <v>8</v>
      </c>
      <c r="G1559" s="5" t="s">
        <v>41</v>
      </c>
      <c r="H1559" s="5">
        <v>1256366</v>
      </c>
      <c r="I1559" s="5">
        <v>1079561.3</v>
      </c>
      <c r="J1559" s="5">
        <v>13</v>
      </c>
      <c r="K1559" s="5">
        <v>75144</v>
      </c>
      <c r="L1559" s="5">
        <v>1328120</v>
      </c>
      <c r="M1559" s="5">
        <v>176804.7</v>
      </c>
      <c r="N1559" s="5">
        <v>0.14069999999999999</v>
      </c>
      <c r="O1559" s="5">
        <v>2</v>
      </c>
      <c r="P1559" s="5">
        <v>38406</v>
      </c>
    </row>
    <row r="1560" spans="1:16" x14ac:dyDescent="0.3">
      <c r="A1560" s="5">
        <v>106</v>
      </c>
      <c r="B1560" s="5" t="s">
        <v>119</v>
      </c>
      <c r="C1560" s="5">
        <v>11</v>
      </c>
      <c r="D1560" s="5" t="s">
        <v>83</v>
      </c>
      <c r="E1560" s="5">
        <v>2022</v>
      </c>
      <c r="F1560" s="5">
        <v>9</v>
      </c>
      <c r="G1560" s="5" t="s">
        <v>42</v>
      </c>
      <c r="H1560" s="5">
        <v>1524844</v>
      </c>
      <c r="I1560" s="5">
        <v>1393240.26</v>
      </c>
      <c r="J1560" s="5">
        <v>12</v>
      </c>
      <c r="K1560" s="5">
        <v>216546</v>
      </c>
      <c r="L1560" s="5">
        <v>1736810</v>
      </c>
      <c r="M1560" s="5">
        <v>131603.74</v>
      </c>
      <c r="N1560" s="5">
        <v>8.6300000000000002E-2</v>
      </c>
      <c r="O1560" s="5">
        <v>1</v>
      </c>
      <c r="P1560" s="5">
        <v>334</v>
      </c>
    </row>
    <row r="1561" spans="1:16" x14ac:dyDescent="0.3">
      <c r="A1561" s="5">
        <v>106</v>
      </c>
      <c r="B1561" s="5" t="s">
        <v>119</v>
      </c>
      <c r="C1561" s="5">
        <v>11</v>
      </c>
      <c r="D1561" s="5" t="s">
        <v>83</v>
      </c>
      <c r="E1561" s="5">
        <v>2022</v>
      </c>
      <c r="F1561" s="5">
        <v>10</v>
      </c>
      <c r="G1561" s="5" t="s">
        <v>43</v>
      </c>
      <c r="H1561" s="5">
        <v>975839</v>
      </c>
      <c r="I1561" s="5">
        <v>930051.42</v>
      </c>
      <c r="J1561" s="5">
        <v>19</v>
      </c>
      <c r="K1561" s="5">
        <v>257690</v>
      </c>
      <c r="L1561" s="5">
        <v>1233160</v>
      </c>
      <c r="M1561" s="5">
        <v>45787.58</v>
      </c>
      <c r="N1561" s="5">
        <v>4.6899999999999997E-2</v>
      </c>
      <c r="O1561" s="5">
        <v>1</v>
      </c>
      <c r="P1561" s="5">
        <v>13800</v>
      </c>
    </row>
    <row r="1562" spans="1:16" x14ac:dyDescent="0.3">
      <c r="A1562" s="5">
        <v>106</v>
      </c>
      <c r="B1562" s="5" t="s">
        <v>119</v>
      </c>
      <c r="C1562" s="5">
        <v>11</v>
      </c>
      <c r="D1562" s="5" t="s">
        <v>83</v>
      </c>
      <c r="E1562" s="5">
        <v>2022</v>
      </c>
      <c r="F1562" s="5">
        <v>11</v>
      </c>
      <c r="G1562" s="5" t="s">
        <v>44</v>
      </c>
      <c r="H1562" s="5">
        <v>1081715</v>
      </c>
      <c r="I1562" s="5">
        <v>935100.7</v>
      </c>
      <c r="J1562" s="5">
        <v>17</v>
      </c>
      <c r="K1562" s="5">
        <v>117061</v>
      </c>
      <c r="L1562" s="5">
        <v>1188250</v>
      </c>
      <c r="M1562" s="5">
        <v>146614.29999999999</v>
      </c>
      <c r="N1562" s="5">
        <v>0.13550000000000001</v>
      </c>
      <c r="O1562" s="5">
        <v>0</v>
      </c>
      <c r="P1562" s="5">
        <v>0</v>
      </c>
    </row>
    <row r="1563" spans="1:16" x14ac:dyDescent="0.3">
      <c r="A1563" s="5">
        <v>106</v>
      </c>
      <c r="B1563" s="5" t="s">
        <v>119</v>
      </c>
      <c r="C1563" s="5">
        <v>11</v>
      </c>
      <c r="D1563" s="5" t="s">
        <v>83</v>
      </c>
      <c r="E1563" s="5">
        <v>2022</v>
      </c>
      <c r="F1563" s="5">
        <v>12</v>
      </c>
      <c r="G1563" s="5" t="s">
        <v>45</v>
      </c>
      <c r="H1563" s="5">
        <v>1685076</v>
      </c>
      <c r="I1563" s="5">
        <v>1416794.11</v>
      </c>
      <c r="J1563" s="5">
        <v>24</v>
      </c>
      <c r="K1563" s="5">
        <v>139312</v>
      </c>
      <c r="L1563" s="5">
        <v>1821030</v>
      </c>
      <c r="M1563" s="5">
        <v>268281.89</v>
      </c>
      <c r="N1563" s="5">
        <v>0.15920000000000001</v>
      </c>
      <c r="O1563" s="5">
        <v>0</v>
      </c>
      <c r="P1563" s="5">
        <v>0</v>
      </c>
    </row>
    <row r="1564" spans="1:16" x14ac:dyDescent="0.3">
      <c r="A1564" s="5">
        <v>106</v>
      </c>
      <c r="B1564" s="5" t="s">
        <v>119</v>
      </c>
      <c r="C1564" s="5">
        <v>11</v>
      </c>
      <c r="D1564" s="5" t="s">
        <v>83</v>
      </c>
      <c r="E1564" s="5">
        <v>2023</v>
      </c>
      <c r="F1564" s="5">
        <v>1</v>
      </c>
      <c r="G1564" s="5" t="s">
        <v>46</v>
      </c>
      <c r="H1564" s="5">
        <v>685272</v>
      </c>
      <c r="I1564" s="5">
        <v>617503.35</v>
      </c>
      <c r="J1564" s="5">
        <v>7</v>
      </c>
      <c r="K1564" s="5">
        <v>82758</v>
      </c>
      <c r="L1564" s="5">
        <v>767390</v>
      </c>
      <c r="M1564" s="5">
        <v>67768.649999999994</v>
      </c>
      <c r="N1564" s="5">
        <v>9.8900000000000002E-2</v>
      </c>
      <c r="O1564" s="5">
        <v>1</v>
      </c>
      <c r="P1564" s="5">
        <v>23306</v>
      </c>
    </row>
    <row r="1565" spans="1:16" x14ac:dyDescent="0.3">
      <c r="A1565" s="5">
        <v>106</v>
      </c>
      <c r="B1565" s="5" t="s">
        <v>119</v>
      </c>
      <c r="C1565" s="5">
        <v>11</v>
      </c>
      <c r="D1565" s="5" t="s">
        <v>83</v>
      </c>
      <c r="E1565" s="5">
        <v>2023</v>
      </c>
      <c r="F1565" s="5">
        <v>2</v>
      </c>
      <c r="G1565" s="5" t="s">
        <v>47</v>
      </c>
      <c r="H1565" s="5">
        <v>339824</v>
      </c>
      <c r="I1565" s="5">
        <v>257997.99</v>
      </c>
      <c r="J1565" s="5">
        <v>8</v>
      </c>
      <c r="K1565" s="5">
        <v>5651</v>
      </c>
      <c r="L1565" s="5">
        <v>345240</v>
      </c>
      <c r="M1565" s="5">
        <v>81826.009999999995</v>
      </c>
      <c r="N1565" s="5">
        <v>0.24079999999999999</v>
      </c>
      <c r="O1565" s="5">
        <v>0</v>
      </c>
      <c r="P1565" s="5">
        <v>0</v>
      </c>
    </row>
    <row r="1566" spans="1:16" x14ac:dyDescent="0.3">
      <c r="A1566" s="5">
        <v>106</v>
      </c>
      <c r="B1566" s="5" t="s">
        <v>119</v>
      </c>
      <c r="C1566" s="5">
        <v>11</v>
      </c>
      <c r="D1566" s="5" t="s">
        <v>83</v>
      </c>
      <c r="E1566" s="5">
        <v>2023</v>
      </c>
      <c r="F1566" s="5">
        <v>3</v>
      </c>
      <c r="G1566" s="5" t="s">
        <v>48</v>
      </c>
      <c r="H1566" s="5">
        <v>653912</v>
      </c>
      <c r="I1566" s="5">
        <v>606039.21</v>
      </c>
      <c r="J1566" s="5">
        <v>8</v>
      </c>
      <c r="K1566" s="5">
        <v>86194</v>
      </c>
      <c r="L1566" s="5">
        <v>740040</v>
      </c>
      <c r="M1566" s="5">
        <v>47872.79</v>
      </c>
      <c r="N1566" s="5">
        <v>7.3200000000000001E-2</v>
      </c>
      <c r="O1566" s="5">
        <v>0</v>
      </c>
      <c r="P1566" s="5">
        <v>0</v>
      </c>
    </row>
    <row r="1567" spans="1:16" x14ac:dyDescent="0.3">
      <c r="A1567" s="5">
        <v>106</v>
      </c>
      <c r="B1567" s="5" t="s">
        <v>119</v>
      </c>
      <c r="C1567" s="5">
        <v>11</v>
      </c>
      <c r="D1567" s="5" t="s">
        <v>83</v>
      </c>
      <c r="E1567" s="5">
        <v>2023</v>
      </c>
      <c r="F1567" s="5">
        <v>4</v>
      </c>
      <c r="G1567" s="5" t="s">
        <v>49</v>
      </c>
      <c r="H1567" s="5">
        <v>1179799</v>
      </c>
      <c r="I1567" s="5">
        <v>1048930.1100000001</v>
      </c>
      <c r="J1567" s="5">
        <v>20</v>
      </c>
      <c r="K1567" s="5">
        <v>147943</v>
      </c>
      <c r="L1567" s="5">
        <v>1325600</v>
      </c>
      <c r="M1567" s="5">
        <v>130868.89</v>
      </c>
      <c r="N1567" s="5">
        <v>0.1109</v>
      </c>
      <c r="O1567" s="5">
        <v>1</v>
      </c>
      <c r="P1567" s="5">
        <v>16299</v>
      </c>
    </row>
    <row r="1568" spans="1:16" x14ac:dyDescent="0.3">
      <c r="A1568" s="5">
        <v>106</v>
      </c>
      <c r="B1568" s="5" t="s">
        <v>119</v>
      </c>
      <c r="C1568" s="5">
        <v>11</v>
      </c>
      <c r="D1568" s="5" t="s">
        <v>83</v>
      </c>
      <c r="E1568" s="5">
        <v>2023</v>
      </c>
      <c r="F1568" s="5">
        <v>5</v>
      </c>
      <c r="G1568" s="5" t="s">
        <v>50</v>
      </c>
      <c r="H1568" s="5">
        <v>1015948</v>
      </c>
      <c r="I1568" s="5">
        <v>920845.55</v>
      </c>
      <c r="J1568" s="5">
        <v>13</v>
      </c>
      <c r="K1568" s="5">
        <v>161520</v>
      </c>
      <c r="L1568" s="5">
        <v>1176030</v>
      </c>
      <c r="M1568" s="5">
        <v>95102.45</v>
      </c>
      <c r="N1568" s="5">
        <v>9.3600000000000003E-2</v>
      </c>
      <c r="O1568" s="5">
        <v>1</v>
      </c>
      <c r="P1568" s="5">
        <v>62010</v>
      </c>
    </row>
    <row r="1569" spans="1:16" x14ac:dyDescent="0.3">
      <c r="A1569" s="5">
        <v>106</v>
      </c>
      <c r="B1569" s="5" t="s">
        <v>119</v>
      </c>
      <c r="C1569" s="5">
        <v>11</v>
      </c>
      <c r="D1569" s="5" t="s">
        <v>83</v>
      </c>
      <c r="E1569" s="5">
        <v>2023</v>
      </c>
      <c r="F1569" s="5">
        <v>6</v>
      </c>
      <c r="G1569" s="5" t="s">
        <v>51</v>
      </c>
      <c r="H1569" s="5">
        <v>856140</v>
      </c>
      <c r="I1569" s="5">
        <v>757687.19</v>
      </c>
      <c r="J1569" s="5">
        <v>15</v>
      </c>
      <c r="K1569" s="5">
        <v>107475</v>
      </c>
      <c r="L1569" s="5">
        <v>959140</v>
      </c>
      <c r="M1569" s="5">
        <v>98452.81</v>
      </c>
      <c r="N1569" s="5">
        <v>0.115</v>
      </c>
      <c r="O1569" s="5">
        <v>2</v>
      </c>
      <c r="P1569" s="5">
        <v>3542</v>
      </c>
    </row>
    <row r="1570" spans="1:16" x14ac:dyDescent="0.3">
      <c r="A1570" s="5">
        <v>106</v>
      </c>
      <c r="B1570" s="5" t="s">
        <v>119</v>
      </c>
      <c r="C1570" s="5">
        <v>11</v>
      </c>
      <c r="D1570" s="5" t="s">
        <v>83</v>
      </c>
      <c r="E1570" s="5">
        <v>2023</v>
      </c>
      <c r="F1570" s="5">
        <v>7</v>
      </c>
      <c r="G1570" s="5" t="s">
        <v>52</v>
      </c>
      <c r="H1570" s="5">
        <v>707330</v>
      </c>
      <c r="I1570" s="5">
        <v>648102.28</v>
      </c>
      <c r="J1570" s="5">
        <v>12</v>
      </c>
      <c r="K1570" s="5">
        <v>135475</v>
      </c>
      <c r="L1570" s="5">
        <v>842250</v>
      </c>
      <c r="M1570" s="5">
        <v>59227.72</v>
      </c>
      <c r="N1570" s="5">
        <v>8.3699999999999997E-2</v>
      </c>
      <c r="O1570" s="5">
        <v>1</v>
      </c>
      <c r="P1570" s="5">
        <v>3310</v>
      </c>
    </row>
    <row r="1571" spans="1:16" x14ac:dyDescent="0.3">
      <c r="A1571" s="5">
        <v>106</v>
      </c>
      <c r="B1571" s="5" t="s">
        <v>119</v>
      </c>
      <c r="C1571" s="5">
        <v>11</v>
      </c>
      <c r="D1571" s="5" t="s">
        <v>83</v>
      </c>
      <c r="E1571" s="5">
        <v>2023</v>
      </c>
      <c r="F1571" s="5">
        <v>8</v>
      </c>
      <c r="G1571" s="5" t="s">
        <v>53</v>
      </c>
      <c r="H1571" s="5">
        <v>909734</v>
      </c>
      <c r="I1571" s="5">
        <v>852373.6</v>
      </c>
      <c r="J1571" s="5">
        <v>13</v>
      </c>
      <c r="K1571" s="5">
        <v>209656</v>
      </c>
      <c r="L1571" s="5">
        <v>1116780</v>
      </c>
      <c r="M1571" s="5">
        <v>57360.4</v>
      </c>
      <c r="N1571" s="5">
        <v>6.3100000000000003E-2</v>
      </c>
      <c r="O1571" s="5">
        <v>1</v>
      </c>
      <c r="P1571" s="5">
        <v>48506</v>
      </c>
    </row>
    <row r="1572" spans="1:16" x14ac:dyDescent="0.3">
      <c r="A1572" s="5">
        <v>106</v>
      </c>
      <c r="B1572" s="5" t="s">
        <v>119</v>
      </c>
      <c r="C1572" s="5">
        <v>11</v>
      </c>
      <c r="D1572" s="5" t="s">
        <v>83</v>
      </c>
      <c r="E1572" s="5">
        <v>2023</v>
      </c>
      <c r="F1572" s="5">
        <v>9</v>
      </c>
      <c r="G1572" s="5" t="s">
        <v>54</v>
      </c>
      <c r="H1572" s="5">
        <v>1125185</v>
      </c>
      <c r="I1572" s="5">
        <v>1142271.82</v>
      </c>
      <c r="J1572" s="5">
        <v>16</v>
      </c>
      <c r="K1572" s="5">
        <v>399396</v>
      </c>
      <c r="L1572" s="5">
        <v>1523790</v>
      </c>
      <c r="M1572" s="5">
        <v>-17086.82</v>
      </c>
      <c r="N1572" s="5">
        <v>-1.52E-2</v>
      </c>
      <c r="O1572" s="5">
        <v>1</v>
      </c>
      <c r="P1572" s="5">
        <v>4998</v>
      </c>
    </row>
    <row r="1573" spans="1:16" x14ac:dyDescent="0.3">
      <c r="A1573" s="5">
        <v>106</v>
      </c>
      <c r="B1573" s="5" t="s">
        <v>119</v>
      </c>
      <c r="C1573" s="5">
        <v>11</v>
      </c>
      <c r="D1573" s="5" t="s">
        <v>83</v>
      </c>
      <c r="E1573" s="5">
        <v>2023</v>
      </c>
      <c r="F1573" s="5">
        <v>10</v>
      </c>
      <c r="G1573" s="5" t="s">
        <v>55</v>
      </c>
      <c r="H1573" s="5">
        <v>1205477</v>
      </c>
      <c r="I1573" s="5">
        <v>1014392.86</v>
      </c>
      <c r="J1573" s="5">
        <v>20</v>
      </c>
      <c r="K1573" s="5">
        <v>114297</v>
      </c>
      <c r="L1573" s="5">
        <v>1314700</v>
      </c>
      <c r="M1573" s="5">
        <v>191084.14</v>
      </c>
      <c r="N1573" s="5">
        <v>0.1585</v>
      </c>
      <c r="O1573" s="5">
        <v>2</v>
      </c>
      <c r="P1573" s="5">
        <v>68058</v>
      </c>
    </row>
    <row r="1574" spans="1:16" x14ac:dyDescent="0.3">
      <c r="A1574" s="5">
        <v>106</v>
      </c>
      <c r="B1574" s="5" t="s">
        <v>119</v>
      </c>
      <c r="C1574" s="5">
        <v>11</v>
      </c>
      <c r="D1574" s="5" t="s">
        <v>83</v>
      </c>
      <c r="E1574" s="5">
        <v>2023</v>
      </c>
      <c r="F1574" s="5">
        <v>11</v>
      </c>
      <c r="G1574" s="5" t="s">
        <v>56</v>
      </c>
      <c r="H1574" s="5">
        <v>668156</v>
      </c>
      <c r="I1574" s="5">
        <v>592996.44999999995</v>
      </c>
      <c r="J1574" s="5">
        <v>18</v>
      </c>
      <c r="K1574" s="5">
        <v>130608</v>
      </c>
      <c r="L1574" s="5">
        <v>798080</v>
      </c>
      <c r="M1574" s="5">
        <v>75159.55</v>
      </c>
      <c r="N1574" s="5">
        <v>0.1125</v>
      </c>
      <c r="O1574" s="5">
        <v>3</v>
      </c>
      <c r="P1574" s="5">
        <v>30064</v>
      </c>
    </row>
    <row r="1575" spans="1:16" x14ac:dyDescent="0.3">
      <c r="A1575" s="5">
        <v>106</v>
      </c>
      <c r="B1575" s="5" t="s">
        <v>119</v>
      </c>
      <c r="C1575" s="5">
        <v>11</v>
      </c>
      <c r="D1575" s="5" t="s">
        <v>83</v>
      </c>
      <c r="E1575" s="5">
        <v>2023</v>
      </c>
      <c r="F1575" s="5">
        <v>12</v>
      </c>
      <c r="G1575" s="5" t="s">
        <v>57</v>
      </c>
      <c r="H1575" s="5">
        <v>714684</v>
      </c>
      <c r="I1575" s="5">
        <v>685686.52</v>
      </c>
      <c r="J1575" s="5">
        <v>21</v>
      </c>
      <c r="K1575" s="5">
        <v>203107</v>
      </c>
      <c r="L1575" s="5">
        <v>916840</v>
      </c>
      <c r="M1575" s="5">
        <v>28997.48</v>
      </c>
      <c r="N1575" s="5">
        <v>4.0599999999999997E-2</v>
      </c>
      <c r="O1575" s="5">
        <v>0</v>
      </c>
      <c r="P1575" s="5">
        <v>0</v>
      </c>
    </row>
    <row r="1576" spans="1:16" x14ac:dyDescent="0.3">
      <c r="A1576" s="5">
        <v>106</v>
      </c>
      <c r="B1576" s="5" t="s">
        <v>119</v>
      </c>
      <c r="C1576" s="5">
        <v>11</v>
      </c>
      <c r="D1576" s="5" t="s">
        <v>83</v>
      </c>
      <c r="E1576" s="5">
        <v>2024</v>
      </c>
      <c r="F1576" s="5">
        <v>1</v>
      </c>
      <c r="G1576" s="5" t="s">
        <v>58</v>
      </c>
      <c r="H1576" s="5">
        <v>1694675</v>
      </c>
      <c r="I1576" s="5">
        <v>1648859.08</v>
      </c>
      <c r="J1576" s="5">
        <v>12</v>
      </c>
      <c r="K1576" s="5">
        <v>470255</v>
      </c>
      <c r="L1576" s="5">
        <v>2164670</v>
      </c>
      <c r="M1576" s="5">
        <v>45815.92</v>
      </c>
      <c r="N1576" s="5">
        <v>2.7E-2</v>
      </c>
      <c r="O1576" s="5">
        <v>1</v>
      </c>
      <c r="P1576" s="5">
        <v>45860</v>
      </c>
    </row>
    <row r="1577" spans="1:16" x14ac:dyDescent="0.3">
      <c r="A1577" s="5">
        <v>106</v>
      </c>
      <c r="B1577" s="5" t="s">
        <v>119</v>
      </c>
      <c r="C1577" s="5">
        <v>11</v>
      </c>
      <c r="D1577" s="5" t="s">
        <v>83</v>
      </c>
      <c r="E1577" s="5">
        <v>2024</v>
      </c>
      <c r="F1577" s="5">
        <v>2</v>
      </c>
      <c r="G1577" s="5" t="s">
        <v>59</v>
      </c>
      <c r="H1577" s="5">
        <v>889053</v>
      </c>
      <c r="I1577" s="5">
        <v>781450.75</v>
      </c>
      <c r="J1577" s="5">
        <v>11</v>
      </c>
      <c r="K1577" s="5">
        <v>92748</v>
      </c>
      <c r="L1577" s="5">
        <v>978180</v>
      </c>
      <c r="M1577" s="5">
        <v>107602.25</v>
      </c>
      <c r="N1577" s="5">
        <v>0.121</v>
      </c>
      <c r="O1577" s="5">
        <v>0</v>
      </c>
      <c r="P1577" s="5">
        <v>0</v>
      </c>
    </row>
    <row r="1578" spans="1:16" x14ac:dyDescent="0.3">
      <c r="A1578" s="5">
        <v>106</v>
      </c>
      <c r="B1578" s="5" t="s">
        <v>119</v>
      </c>
      <c r="C1578" s="5">
        <v>11</v>
      </c>
      <c r="D1578" s="5" t="s">
        <v>83</v>
      </c>
      <c r="E1578" s="5">
        <v>2024</v>
      </c>
      <c r="F1578" s="5">
        <v>3</v>
      </c>
      <c r="G1578" s="5" t="s">
        <v>60</v>
      </c>
      <c r="H1578" s="5">
        <v>904904</v>
      </c>
      <c r="I1578" s="5">
        <v>798628.42</v>
      </c>
      <c r="J1578" s="5">
        <v>14</v>
      </c>
      <c r="K1578" s="5">
        <v>139849</v>
      </c>
      <c r="L1578" s="5">
        <v>1043590</v>
      </c>
      <c r="M1578" s="5">
        <v>106275.58</v>
      </c>
      <c r="N1578" s="5">
        <v>0.1174</v>
      </c>
      <c r="O1578" s="5">
        <v>1</v>
      </c>
      <c r="P1578" s="5">
        <v>765</v>
      </c>
    </row>
    <row r="1579" spans="1:16" x14ac:dyDescent="0.3">
      <c r="A1579" s="5">
        <v>106</v>
      </c>
      <c r="B1579" s="5" t="s">
        <v>119</v>
      </c>
      <c r="C1579" s="5">
        <v>11</v>
      </c>
      <c r="D1579" s="5" t="s">
        <v>83</v>
      </c>
      <c r="E1579" s="5">
        <v>2024</v>
      </c>
      <c r="F1579" s="5">
        <v>4</v>
      </c>
      <c r="G1579" s="5" t="s">
        <v>61</v>
      </c>
      <c r="H1579" s="5">
        <v>810503</v>
      </c>
      <c r="I1579" s="5">
        <v>699978.59</v>
      </c>
      <c r="J1579" s="5">
        <v>17</v>
      </c>
      <c r="K1579" s="5">
        <v>77539</v>
      </c>
      <c r="L1579" s="5">
        <v>886720</v>
      </c>
      <c r="M1579" s="5">
        <v>110524.41</v>
      </c>
      <c r="N1579" s="5">
        <v>0.13639999999999999</v>
      </c>
      <c r="O1579" s="5">
        <v>0</v>
      </c>
      <c r="P1579" s="5">
        <v>0</v>
      </c>
    </row>
    <row r="1580" spans="1:16" x14ac:dyDescent="0.3">
      <c r="A1580" s="5">
        <v>106</v>
      </c>
      <c r="B1580" s="5" t="s">
        <v>119</v>
      </c>
      <c r="C1580" s="5">
        <v>11</v>
      </c>
      <c r="D1580" s="5" t="s">
        <v>83</v>
      </c>
      <c r="E1580" s="5">
        <v>2024</v>
      </c>
      <c r="F1580" s="5">
        <v>5</v>
      </c>
      <c r="G1580" s="5" t="s">
        <v>62</v>
      </c>
      <c r="H1580" s="5">
        <v>648298</v>
      </c>
      <c r="I1580" s="5">
        <v>489460.99</v>
      </c>
      <c r="J1580" s="5">
        <v>11</v>
      </c>
      <c r="K1580" s="5">
        <v>25741</v>
      </c>
      <c r="L1580" s="5">
        <v>669800</v>
      </c>
      <c r="M1580" s="5">
        <v>158837.01</v>
      </c>
      <c r="N1580" s="5">
        <v>0.245</v>
      </c>
      <c r="O1580" s="5">
        <v>0</v>
      </c>
      <c r="P1580" s="5">
        <v>0</v>
      </c>
    </row>
    <row r="1581" spans="1:16" x14ac:dyDescent="0.3">
      <c r="A1581" s="5">
        <v>106</v>
      </c>
      <c r="B1581" s="5" t="s">
        <v>119</v>
      </c>
      <c r="C1581" s="5">
        <v>11</v>
      </c>
      <c r="D1581" s="5" t="s">
        <v>83</v>
      </c>
      <c r="E1581" s="5">
        <v>2024</v>
      </c>
      <c r="F1581" s="5">
        <v>6</v>
      </c>
      <c r="G1581" s="5" t="s">
        <v>63</v>
      </c>
      <c r="H1581" s="5">
        <v>1289713</v>
      </c>
      <c r="I1581" s="5">
        <v>1078040.67</v>
      </c>
      <c r="J1581" s="5">
        <v>18</v>
      </c>
      <c r="K1581" s="5">
        <v>93516</v>
      </c>
      <c r="L1581" s="5">
        <v>1381510</v>
      </c>
      <c r="M1581" s="5">
        <v>211672.33</v>
      </c>
      <c r="N1581" s="5">
        <v>0.1641</v>
      </c>
      <c r="O1581" s="5">
        <v>4</v>
      </c>
      <c r="P1581" s="5">
        <v>64524</v>
      </c>
    </row>
    <row r="1582" spans="1:16" x14ac:dyDescent="0.3">
      <c r="A1582" s="5">
        <v>106</v>
      </c>
      <c r="B1582" s="5" t="s">
        <v>119</v>
      </c>
      <c r="C1582" s="5">
        <v>11</v>
      </c>
      <c r="D1582" s="5" t="s">
        <v>83</v>
      </c>
      <c r="E1582" s="5">
        <v>2024</v>
      </c>
      <c r="F1582" s="5">
        <v>7</v>
      </c>
      <c r="G1582" s="5" t="s">
        <v>64</v>
      </c>
      <c r="H1582" s="5">
        <v>1111003</v>
      </c>
      <c r="I1582" s="5">
        <v>938788.4</v>
      </c>
      <c r="J1582" s="5">
        <v>12</v>
      </c>
      <c r="K1582" s="5">
        <v>101485</v>
      </c>
      <c r="L1582" s="5">
        <v>1211980</v>
      </c>
      <c r="M1582" s="5">
        <v>172214.6</v>
      </c>
      <c r="N1582" s="5">
        <v>0.155</v>
      </c>
      <c r="O1582" s="5">
        <v>1</v>
      </c>
      <c r="P1582" s="5">
        <v>32109</v>
      </c>
    </row>
    <row r="1583" spans="1:16" x14ac:dyDescent="0.3">
      <c r="A1583" s="5">
        <v>106</v>
      </c>
      <c r="B1583" s="5" t="s">
        <v>119</v>
      </c>
      <c r="C1583" s="5">
        <v>11</v>
      </c>
      <c r="D1583" s="5" t="s">
        <v>83</v>
      </c>
      <c r="E1583" s="5">
        <v>2024</v>
      </c>
      <c r="F1583" s="5">
        <v>8</v>
      </c>
      <c r="G1583" s="5" t="s">
        <v>65</v>
      </c>
      <c r="H1583" s="5">
        <v>859210</v>
      </c>
      <c r="I1583" s="5">
        <v>702011.83</v>
      </c>
      <c r="J1583" s="5">
        <v>19</v>
      </c>
      <c r="K1583" s="5">
        <v>38657</v>
      </c>
      <c r="L1583" s="5">
        <v>893970</v>
      </c>
      <c r="M1583" s="5">
        <v>157198.17000000001</v>
      </c>
      <c r="N1583" s="5">
        <v>0.183</v>
      </c>
      <c r="O1583" s="5">
        <v>2</v>
      </c>
      <c r="P1583" s="5">
        <v>17048</v>
      </c>
    </row>
    <row r="1584" spans="1:16" x14ac:dyDescent="0.3">
      <c r="A1584" s="5">
        <v>106</v>
      </c>
      <c r="B1584" s="5" t="s">
        <v>119</v>
      </c>
      <c r="C1584" s="5">
        <v>11</v>
      </c>
      <c r="D1584" s="5" t="s">
        <v>83</v>
      </c>
      <c r="E1584" s="5">
        <v>2024</v>
      </c>
      <c r="F1584" s="5">
        <v>9</v>
      </c>
      <c r="G1584" s="5" t="s">
        <v>66</v>
      </c>
      <c r="H1584" s="5">
        <v>1628222</v>
      </c>
      <c r="I1584" s="5">
        <v>1364322.59</v>
      </c>
      <c r="J1584" s="5">
        <v>15</v>
      </c>
      <c r="K1584" s="5">
        <v>112567</v>
      </c>
      <c r="L1584" s="5">
        <v>1739320</v>
      </c>
      <c r="M1584" s="5">
        <v>263899.40999999997</v>
      </c>
      <c r="N1584" s="5">
        <v>0.16209999999999999</v>
      </c>
      <c r="O1584" s="5">
        <v>2</v>
      </c>
      <c r="P1584" s="5">
        <v>25226</v>
      </c>
    </row>
    <row r="1585" spans="1:16" x14ac:dyDescent="0.3">
      <c r="A1585" s="5">
        <v>106</v>
      </c>
      <c r="B1585" s="5" t="s">
        <v>119</v>
      </c>
      <c r="C1585" s="5">
        <v>11</v>
      </c>
      <c r="D1585" s="5" t="s">
        <v>83</v>
      </c>
      <c r="E1585" s="5">
        <v>2024</v>
      </c>
      <c r="F1585" s="5">
        <v>10</v>
      </c>
      <c r="G1585" s="5" t="s">
        <v>67</v>
      </c>
      <c r="H1585" s="5">
        <v>1294068</v>
      </c>
      <c r="I1585" s="5">
        <v>1076173.31</v>
      </c>
      <c r="J1585" s="5">
        <v>20</v>
      </c>
      <c r="K1585" s="5">
        <v>56738</v>
      </c>
      <c r="L1585" s="5">
        <v>1350070</v>
      </c>
      <c r="M1585" s="5">
        <v>217894.69</v>
      </c>
      <c r="N1585" s="5">
        <v>0.16839999999999999</v>
      </c>
      <c r="O1585" s="5">
        <v>2</v>
      </c>
      <c r="P1585" s="5">
        <v>16295</v>
      </c>
    </row>
    <row r="1586" spans="1:16" x14ac:dyDescent="0.3">
      <c r="A1586" s="5">
        <v>106</v>
      </c>
      <c r="B1586" s="5" t="s">
        <v>119</v>
      </c>
      <c r="C1586" s="5">
        <v>11</v>
      </c>
      <c r="D1586" s="5" t="s">
        <v>83</v>
      </c>
      <c r="E1586" s="5">
        <v>2024</v>
      </c>
      <c r="F1586" s="5">
        <v>11</v>
      </c>
      <c r="G1586" s="5" t="s">
        <v>68</v>
      </c>
      <c r="H1586" s="5">
        <v>1435163</v>
      </c>
      <c r="I1586" s="5">
        <v>1164445.7</v>
      </c>
      <c r="J1586" s="5">
        <v>18</v>
      </c>
      <c r="K1586" s="5">
        <v>104592</v>
      </c>
      <c r="L1586" s="5">
        <v>1534810</v>
      </c>
      <c r="M1586" s="5">
        <v>270717.3</v>
      </c>
      <c r="N1586" s="5">
        <v>0.18859999999999999</v>
      </c>
      <c r="O1586" s="5">
        <v>1</v>
      </c>
      <c r="P1586" s="5">
        <v>69246</v>
      </c>
    </row>
    <row r="1587" spans="1:16" x14ac:dyDescent="0.3">
      <c r="A1587" s="5">
        <v>106</v>
      </c>
      <c r="B1587" s="5" t="s">
        <v>119</v>
      </c>
      <c r="C1587" s="5">
        <v>11</v>
      </c>
      <c r="D1587" s="5" t="s">
        <v>83</v>
      </c>
      <c r="E1587" s="5">
        <v>2024</v>
      </c>
      <c r="F1587" s="5">
        <v>12</v>
      </c>
      <c r="G1587" s="5" t="s">
        <v>69</v>
      </c>
      <c r="H1587" s="5">
        <v>1436730</v>
      </c>
      <c r="I1587" s="5">
        <v>1141467</v>
      </c>
      <c r="J1587" s="5">
        <v>28</v>
      </c>
      <c r="K1587" s="5">
        <v>45573</v>
      </c>
      <c r="L1587" s="5">
        <v>1481540</v>
      </c>
      <c r="M1587" s="5">
        <v>295263</v>
      </c>
      <c r="N1587" s="5">
        <v>0.20549999999999999</v>
      </c>
      <c r="O1587" s="5">
        <v>2</v>
      </c>
      <c r="P1587" s="5">
        <v>12063</v>
      </c>
    </row>
    <row r="1588" spans="1:16" x14ac:dyDescent="0.3">
      <c r="A1588" s="5">
        <v>19</v>
      </c>
      <c r="B1588" s="5" t="s">
        <v>120</v>
      </c>
      <c r="C1588" s="5">
        <v>11</v>
      </c>
      <c r="D1588" s="5" t="s">
        <v>83</v>
      </c>
      <c r="E1588" s="5">
        <v>2021</v>
      </c>
      <c r="F1588" s="5">
        <v>1</v>
      </c>
      <c r="G1588" s="5" t="s">
        <v>22</v>
      </c>
      <c r="H1588" s="5">
        <v>2001038</v>
      </c>
      <c r="I1588" s="5">
        <v>1866212.11</v>
      </c>
      <c r="J1588" s="5">
        <v>21</v>
      </c>
      <c r="K1588" s="5">
        <v>314794</v>
      </c>
      <c r="L1588" s="5">
        <v>2308450</v>
      </c>
      <c r="M1588" s="5">
        <v>134825.89000000001</v>
      </c>
      <c r="N1588" s="5">
        <v>6.7400000000000002E-2</v>
      </c>
      <c r="O1588" s="5">
        <v>2</v>
      </c>
      <c r="P1588" s="5">
        <v>110453</v>
      </c>
    </row>
    <row r="1589" spans="1:16" x14ac:dyDescent="0.3">
      <c r="A1589" s="5">
        <v>19</v>
      </c>
      <c r="B1589" s="5" t="s">
        <v>120</v>
      </c>
      <c r="C1589" s="5">
        <v>11</v>
      </c>
      <c r="D1589" s="5" t="s">
        <v>83</v>
      </c>
      <c r="E1589" s="5">
        <v>2021</v>
      </c>
      <c r="F1589" s="5">
        <v>2</v>
      </c>
      <c r="G1589" s="5" t="s">
        <v>23</v>
      </c>
      <c r="H1589" s="5">
        <v>1614745</v>
      </c>
      <c r="I1589" s="5">
        <v>1400410.94</v>
      </c>
      <c r="J1589" s="5">
        <v>23</v>
      </c>
      <c r="K1589" s="5">
        <v>201060</v>
      </c>
      <c r="L1589" s="5">
        <v>1808620</v>
      </c>
      <c r="M1589" s="5">
        <v>214334.06</v>
      </c>
      <c r="N1589" s="5">
        <v>0.13270000000000001</v>
      </c>
      <c r="O1589" s="5">
        <v>2</v>
      </c>
      <c r="P1589" s="5">
        <v>13478</v>
      </c>
    </row>
    <row r="1590" spans="1:16" x14ac:dyDescent="0.3">
      <c r="A1590" s="5">
        <v>19</v>
      </c>
      <c r="B1590" s="5" t="s">
        <v>120</v>
      </c>
      <c r="C1590" s="5">
        <v>11</v>
      </c>
      <c r="D1590" s="5" t="s">
        <v>83</v>
      </c>
      <c r="E1590" s="5">
        <v>2021</v>
      </c>
      <c r="F1590" s="5">
        <v>3</v>
      </c>
      <c r="G1590" s="5" t="s">
        <v>24</v>
      </c>
      <c r="H1590" s="5">
        <v>2322288</v>
      </c>
      <c r="I1590" s="5">
        <v>1997148.31</v>
      </c>
      <c r="J1590" s="5">
        <v>28</v>
      </c>
      <c r="K1590" s="5">
        <v>227440</v>
      </c>
      <c r="L1590" s="5">
        <v>2537920</v>
      </c>
      <c r="M1590" s="5">
        <v>325139.69</v>
      </c>
      <c r="N1590" s="5">
        <v>0.14000000000000001</v>
      </c>
      <c r="O1590" s="5">
        <v>1</v>
      </c>
      <c r="P1590" s="5">
        <v>8898</v>
      </c>
    </row>
    <row r="1591" spans="1:16" x14ac:dyDescent="0.3">
      <c r="A1591" s="5">
        <v>19</v>
      </c>
      <c r="B1591" s="5" t="s">
        <v>120</v>
      </c>
      <c r="C1591" s="5">
        <v>11</v>
      </c>
      <c r="D1591" s="5" t="s">
        <v>83</v>
      </c>
      <c r="E1591" s="5">
        <v>2021</v>
      </c>
      <c r="F1591" s="5">
        <v>4</v>
      </c>
      <c r="G1591" s="5" t="s">
        <v>25</v>
      </c>
      <c r="H1591" s="5">
        <v>2902102</v>
      </c>
      <c r="I1591" s="5">
        <v>2568438.3199999998</v>
      </c>
      <c r="J1591" s="5">
        <v>34</v>
      </c>
      <c r="K1591" s="5">
        <v>396556</v>
      </c>
      <c r="L1591" s="5">
        <v>3287880</v>
      </c>
      <c r="M1591" s="5">
        <v>333663.68</v>
      </c>
      <c r="N1591" s="5">
        <v>0.115</v>
      </c>
      <c r="O1591" s="5">
        <v>1</v>
      </c>
      <c r="P1591" s="5">
        <v>22539</v>
      </c>
    </row>
    <row r="1592" spans="1:16" x14ac:dyDescent="0.3">
      <c r="A1592" s="5">
        <v>19</v>
      </c>
      <c r="B1592" s="5" t="s">
        <v>120</v>
      </c>
      <c r="C1592" s="5">
        <v>11</v>
      </c>
      <c r="D1592" s="5" t="s">
        <v>83</v>
      </c>
      <c r="E1592" s="5">
        <v>2021</v>
      </c>
      <c r="F1592" s="5">
        <v>5</v>
      </c>
      <c r="G1592" s="5" t="s">
        <v>26</v>
      </c>
      <c r="H1592" s="5">
        <v>1640298</v>
      </c>
      <c r="I1592" s="5">
        <v>1412119.01</v>
      </c>
      <c r="J1592" s="5">
        <v>29</v>
      </c>
      <c r="K1592" s="5">
        <v>205511</v>
      </c>
      <c r="L1592" s="5">
        <v>1839750</v>
      </c>
      <c r="M1592" s="5">
        <v>228178.99</v>
      </c>
      <c r="N1592" s="5">
        <v>0.1391</v>
      </c>
      <c r="O1592" s="5">
        <v>3</v>
      </c>
      <c r="P1592" s="5">
        <v>109871</v>
      </c>
    </row>
    <row r="1593" spans="1:16" x14ac:dyDescent="0.3">
      <c r="A1593" s="5">
        <v>19</v>
      </c>
      <c r="B1593" s="5" t="s">
        <v>120</v>
      </c>
      <c r="C1593" s="5">
        <v>11</v>
      </c>
      <c r="D1593" s="5" t="s">
        <v>83</v>
      </c>
      <c r="E1593" s="5">
        <v>2021</v>
      </c>
      <c r="F1593" s="5">
        <v>6</v>
      </c>
      <c r="G1593" s="5" t="s">
        <v>27</v>
      </c>
      <c r="H1593" s="5">
        <v>1490767</v>
      </c>
      <c r="I1593" s="5">
        <v>1271857.94</v>
      </c>
      <c r="J1593" s="5">
        <v>27</v>
      </c>
      <c r="K1593" s="5">
        <v>129089</v>
      </c>
      <c r="L1593" s="5">
        <v>1615240</v>
      </c>
      <c r="M1593" s="5">
        <v>218909.06</v>
      </c>
      <c r="N1593" s="5">
        <v>0.14680000000000001</v>
      </c>
      <c r="O1593" s="5">
        <v>0</v>
      </c>
      <c r="P1593" s="5">
        <v>0</v>
      </c>
    </row>
    <row r="1594" spans="1:16" x14ac:dyDescent="0.3">
      <c r="A1594" s="5">
        <v>19</v>
      </c>
      <c r="B1594" s="5" t="s">
        <v>120</v>
      </c>
      <c r="C1594" s="5">
        <v>11</v>
      </c>
      <c r="D1594" s="5" t="s">
        <v>83</v>
      </c>
      <c r="E1594" s="5">
        <v>2021</v>
      </c>
      <c r="F1594" s="5">
        <v>7</v>
      </c>
      <c r="G1594" s="5" t="s">
        <v>28</v>
      </c>
      <c r="H1594" s="5">
        <v>1927553</v>
      </c>
      <c r="I1594" s="5">
        <v>1752916.28</v>
      </c>
      <c r="J1594" s="5">
        <v>28</v>
      </c>
      <c r="K1594" s="5">
        <v>305005</v>
      </c>
      <c r="L1594" s="5">
        <v>2225280</v>
      </c>
      <c r="M1594" s="5">
        <v>174636.72</v>
      </c>
      <c r="N1594" s="5">
        <v>9.06E-2</v>
      </c>
      <c r="O1594" s="5">
        <v>1</v>
      </c>
      <c r="P1594" s="5">
        <v>5312</v>
      </c>
    </row>
    <row r="1595" spans="1:16" x14ac:dyDescent="0.3">
      <c r="A1595" s="5">
        <v>19</v>
      </c>
      <c r="B1595" s="5" t="s">
        <v>120</v>
      </c>
      <c r="C1595" s="5">
        <v>11</v>
      </c>
      <c r="D1595" s="5" t="s">
        <v>83</v>
      </c>
      <c r="E1595" s="5">
        <v>2021</v>
      </c>
      <c r="F1595" s="5">
        <v>8</v>
      </c>
      <c r="G1595" s="5" t="s">
        <v>29</v>
      </c>
      <c r="H1595" s="5">
        <v>1414823</v>
      </c>
      <c r="I1595" s="5">
        <v>1137754.1100000001</v>
      </c>
      <c r="J1595" s="5">
        <v>31</v>
      </c>
      <c r="K1595" s="5">
        <v>116279</v>
      </c>
      <c r="L1595" s="5">
        <v>1528420</v>
      </c>
      <c r="M1595" s="5">
        <v>277068.89</v>
      </c>
      <c r="N1595" s="5">
        <v>0.1958</v>
      </c>
      <c r="O1595" s="5">
        <v>3</v>
      </c>
      <c r="P1595" s="5">
        <v>51298</v>
      </c>
    </row>
    <row r="1596" spans="1:16" x14ac:dyDescent="0.3">
      <c r="A1596" s="5">
        <v>19</v>
      </c>
      <c r="B1596" s="5" t="s">
        <v>120</v>
      </c>
      <c r="C1596" s="5">
        <v>11</v>
      </c>
      <c r="D1596" s="5" t="s">
        <v>83</v>
      </c>
      <c r="E1596" s="5">
        <v>2021</v>
      </c>
      <c r="F1596" s="5">
        <v>9</v>
      </c>
      <c r="G1596" s="5" t="s">
        <v>30</v>
      </c>
      <c r="H1596" s="5">
        <v>3263383</v>
      </c>
      <c r="I1596" s="5">
        <v>2847759.69</v>
      </c>
      <c r="J1596" s="5">
        <v>37</v>
      </c>
      <c r="K1596" s="5">
        <v>439109</v>
      </c>
      <c r="L1596" s="5">
        <v>3693080</v>
      </c>
      <c r="M1596" s="5">
        <v>415623.31</v>
      </c>
      <c r="N1596" s="5">
        <v>0.12740000000000001</v>
      </c>
      <c r="O1596" s="5">
        <v>2</v>
      </c>
      <c r="P1596" s="5">
        <v>60512</v>
      </c>
    </row>
    <row r="1597" spans="1:16" x14ac:dyDescent="0.3">
      <c r="A1597" s="5">
        <v>19</v>
      </c>
      <c r="B1597" s="5" t="s">
        <v>120</v>
      </c>
      <c r="C1597" s="5">
        <v>11</v>
      </c>
      <c r="D1597" s="5" t="s">
        <v>83</v>
      </c>
      <c r="E1597" s="5">
        <v>2021</v>
      </c>
      <c r="F1597" s="5">
        <v>10</v>
      </c>
      <c r="G1597" s="5" t="s">
        <v>31</v>
      </c>
      <c r="H1597" s="5">
        <v>2309991</v>
      </c>
      <c r="I1597" s="5">
        <v>1968118.6</v>
      </c>
      <c r="J1597" s="5">
        <v>24</v>
      </c>
      <c r="K1597" s="5">
        <v>244572</v>
      </c>
      <c r="L1597" s="5">
        <v>2549990</v>
      </c>
      <c r="M1597" s="5">
        <v>341872.4</v>
      </c>
      <c r="N1597" s="5">
        <v>0.14799999999999999</v>
      </c>
      <c r="O1597" s="5">
        <v>1</v>
      </c>
      <c r="P1597" s="5">
        <v>7188</v>
      </c>
    </row>
    <row r="1598" spans="1:16" x14ac:dyDescent="0.3">
      <c r="A1598" s="5">
        <v>19</v>
      </c>
      <c r="B1598" s="5" t="s">
        <v>120</v>
      </c>
      <c r="C1598" s="5">
        <v>11</v>
      </c>
      <c r="D1598" s="5" t="s">
        <v>83</v>
      </c>
      <c r="E1598" s="5">
        <v>2021</v>
      </c>
      <c r="F1598" s="5">
        <v>11</v>
      </c>
      <c r="G1598" s="5" t="s">
        <v>32</v>
      </c>
      <c r="H1598" s="5">
        <v>2670574</v>
      </c>
      <c r="I1598" s="5">
        <v>2201973.27</v>
      </c>
      <c r="J1598" s="5">
        <v>38</v>
      </c>
      <c r="K1598" s="5">
        <v>161671</v>
      </c>
      <c r="L1598" s="5">
        <v>2822080</v>
      </c>
      <c r="M1598" s="5">
        <v>468600.73</v>
      </c>
      <c r="N1598" s="5">
        <v>0.17549999999999999</v>
      </c>
      <c r="O1598" s="5">
        <v>4</v>
      </c>
      <c r="P1598" s="5">
        <v>21583</v>
      </c>
    </row>
    <row r="1599" spans="1:16" x14ac:dyDescent="0.3">
      <c r="A1599" s="5">
        <v>19</v>
      </c>
      <c r="B1599" s="5" t="s">
        <v>120</v>
      </c>
      <c r="C1599" s="5">
        <v>11</v>
      </c>
      <c r="D1599" s="5" t="s">
        <v>83</v>
      </c>
      <c r="E1599" s="5">
        <v>2021</v>
      </c>
      <c r="F1599" s="5">
        <v>12</v>
      </c>
      <c r="G1599" s="5" t="s">
        <v>33</v>
      </c>
      <c r="H1599" s="5">
        <v>2345161</v>
      </c>
      <c r="I1599" s="5">
        <v>2048459.61</v>
      </c>
      <c r="J1599" s="5">
        <v>30</v>
      </c>
      <c r="K1599" s="5">
        <v>223495</v>
      </c>
      <c r="L1599" s="5">
        <v>2564040</v>
      </c>
      <c r="M1599" s="5">
        <v>296701.39</v>
      </c>
      <c r="N1599" s="5">
        <v>0.1265</v>
      </c>
      <c r="O1599" s="5">
        <v>5</v>
      </c>
      <c r="P1599" s="5">
        <v>65042</v>
      </c>
    </row>
    <row r="1600" spans="1:16" x14ac:dyDescent="0.3">
      <c r="A1600" s="5">
        <v>19</v>
      </c>
      <c r="B1600" s="5" t="s">
        <v>120</v>
      </c>
      <c r="C1600" s="5">
        <v>11</v>
      </c>
      <c r="D1600" s="5" t="s">
        <v>83</v>
      </c>
      <c r="E1600" s="5">
        <v>2022</v>
      </c>
      <c r="F1600" s="5">
        <v>1</v>
      </c>
      <c r="G1600" s="5" t="s">
        <v>34</v>
      </c>
      <c r="H1600" s="5">
        <v>1242244</v>
      </c>
      <c r="I1600" s="5">
        <v>996230.51</v>
      </c>
      <c r="J1600" s="5">
        <v>32</v>
      </c>
      <c r="K1600" s="5">
        <v>93546</v>
      </c>
      <c r="L1600" s="5">
        <v>1332880</v>
      </c>
      <c r="M1600" s="5">
        <v>246013.49</v>
      </c>
      <c r="N1600" s="5">
        <v>0.19800000000000001</v>
      </c>
      <c r="O1600" s="5">
        <v>0</v>
      </c>
      <c r="P1600" s="5">
        <v>0</v>
      </c>
    </row>
    <row r="1601" spans="1:16" x14ac:dyDescent="0.3">
      <c r="A1601" s="5">
        <v>19</v>
      </c>
      <c r="B1601" s="5" t="s">
        <v>120</v>
      </c>
      <c r="C1601" s="5">
        <v>11</v>
      </c>
      <c r="D1601" s="5" t="s">
        <v>83</v>
      </c>
      <c r="E1601" s="5">
        <v>2022</v>
      </c>
      <c r="F1601" s="5">
        <v>2</v>
      </c>
      <c r="G1601" s="5" t="s">
        <v>35</v>
      </c>
      <c r="H1601" s="5">
        <v>2137850</v>
      </c>
      <c r="I1601" s="5">
        <v>1811962.74</v>
      </c>
      <c r="J1601" s="5">
        <v>30</v>
      </c>
      <c r="K1601" s="5">
        <v>190100</v>
      </c>
      <c r="L1601" s="5">
        <v>2318070</v>
      </c>
      <c r="M1601" s="5">
        <v>325887.26</v>
      </c>
      <c r="N1601" s="5">
        <v>0.15240000000000001</v>
      </c>
      <c r="O1601" s="5">
        <v>0</v>
      </c>
      <c r="P1601" s="5">
        <v>0</v>
      </c>
    </row>
    <row r="1602" spans="1:16" x14ac:dyDescent="0.3">
      <c r="A1602" s="5">
        <v>19</v>
      </c>
      <c r="B1602" s="5" t="s">
        <v>120</v>
      </c>
      <c r="C1602" s="5">
        <v>11</v>
      </c>
      <c r="D1602" s="5" t="s">
        <v>83</v>
      </c>
      <c r="E1602" s="5">
        <v>2022</v>
      </c>
      <c r="F1602" s="5">
        <v>3</v>
      </c>
      <c r="G1602" s="5" t="s">
        <v>36</v>
      </c>
      <c r="H1602" s="5">
        <v>3030595</v>
      </c>
      <c r="I1602" s="5">
        <v>2642935.98</v>
      </c>
      <c r="J1602" s="5">
        <v>37</v>
      </c>
      <c r="K1602" s="5">
        <v>365760</v>
      </c>
      <c r="L1602" s="5">
        <v>3389960</v>
      </c>
      <c r="M1602" s="5">
        <v>387659.02</v>
      </c>
      <c r="N1602" s="5">
        <v>0.12790000000000001</v>
      </c>
      <c r="O1602" s="5">
        <v>6</v>
      </c>
      <c r="P1602" s="5">
        <v>219799</v>
      </c>
    </row>
    <row r="1603" spans="1:16" x14ac:dyDescent="0.3">
      <c r="A1603" s="5">
        <v>19</v>
      </c>
      <c r="B1603" s="5" t="s">
        <v>120</v>
      </c>
      <c r="C1603" s="5">
        <v>11</v>
      </c>
      <c r="D1603" s="5" t="s">
        <v>83</v>
      </c>
      <c r="E1603" s="5">
        <v>2022</v>
      </c>
      <c r="F1603" s="5">
        <v>4</v>
      </c>
      <c r="G1603" s="5" t="s">
        <v>37</v>
      </c>
      <c r="H1603" s="5">
        <v>3817945</v>
      </c>
      <c r="I1603" s="5">
        <v>3346877.21</v>
      </c>
      <c r="J1603" s="5">
        <v>42</v>
      </c>
      <c r="K1603" s="5">
        <v>392791</v>
      </c>
      <c r="L1603" s="5">
        <v>4194950</v>
      </c>
      <c r="M1603" s="5">
        <v>471067.79</v>
      </c>
      <c r="N1603" s="5">
        <v>0.1234</v>
      </c>
      <c r="O1603" s="5">
        <v>6</v>
      </c>
      <c r="P1603" s="5">
        <v>179062</v>
      </c>
    </row>
    <row r="1604" spans="1:16" x14ac:dyDescent="0.3">
      <c r="A1604" s="5">
        <v>19</v>
      </c>
      <c r="B1604" s="5" t="s">
        <v>120</v>
      </c>
      <c r="C1604" s="5">
        <v>11</v>
      </c>
      <c r="D1604" s="5" t="s">
        <v>83</v>
      </c>
      <c r="E1604" s="5">
        <v>2022</v>
      </c>
      <c r="F1604" s="5">
        <v>5</v>
      </c>
      <c r="G1604" s="5" t="s">
        <v>38</v>
      </c>
      <c r="H1604" s="5">
        <v>3204806</v>
      </c>
      <c r="I1604" s="5">
        <v>2875484.53</v>
      </c>
      <c r="J1604" s="5">
        <v>48</v>
      </c>
      <c r="K1604" s="5">
        <v>552836</v>
      </c>
      <c r="L1604" s="5">
        <v>3749720</v>
      </c>
      <c r="M1604" s="5">
        <v>329321.46999999997</v>
      </c>
      <c r="N1604" s="5">
        <v>0.1028</v>
      </c>
      <c r="O1604" s="5">
        <v>4</v>
      </c>
      <c r="P1604" s="5">
        <v>317631</v>
      </c>
    </row>
    <row r="1605" spans="1:16" x14ac:dyDescent="0.3">
      <c r="A1605" s="5">
        <v>19</v>
      </c>
      <c r="B1605" s="5" t="s">
        <v>120</v>
      </c>
      <c r="C1605" s="5">
        <v>11</v>
      </c>
      <c r="D1605" s="5" t="s">
        <v>83</v>
      </c>
      <c r="E1605" s="5">
        <v>2022</v>
      </c>
      <c r="F1605" s="5">
        <v>6</v>
      </c>
      <c r="G1605" s="5" t="s">
        <v>39</v>
      </c>
      <c r="H1605" s="5">
        <v>2568154</v>
      </c>
      <c r="I1605" s="5">
        <v>2128313.14</v>
      </c>
      <c r="J1605" s="5">
        <v>43</v>
      </c>
      <c r="K1605" s="5">
        <v>194797</v>
      </c>
      <c r="L1605" s="5">
        <v>2744480</v>
      </c>
      <c r="M1605" s="5">
        <v>439840.86</v>
      </c>
      <c r="N1605" s="5">
        <v>0.17130000000000001</v>
      </c>
      <c r="O1605" s="5">
        <v>3</v>
      </c>
      <c r="P1605" s="5">
        <v>25092</v>
      </c>
    </row>
    <row r="1606" spans="1:16" x14ac:dyDescent="0.3">
      <c r="A1606" s="5">
        <v>19</v>
      </c>
      <c r="B1606" s="5" t="s">
        <v>120</v>
      </c>
      <c r="C1606" s="5">
        <v>11</v>
      </c>
      <c r="D1606" s="5" t="s">
        <v>83</v>
      </c>
      <c r="E1606" s="5">
        <v>2022</v>
      </c>
      <c r="F1606" s="5">
        <v>7</v>
      </c>
      <c r="G1606" s="5" t="s">
        <v>40</v>
      </c>
      <c r="H1606" s="5">
        <v>1916987</v>
      </c>
      <c r="I1606" s="5">
        <v>1634383.16</v>
      </c>
      <c r="J1606" s="5">
        <v>39</v>
      </c>
      <c r="K1606" s="5">
        <v>190702</v>
      </c>
      <c r="L1606" s="5">
        <v>2098460</v>
      </c>
      <c r="M1606" s="5">
        <v>282603.84000000003</v>
      </c>
      <c r="N1606" s="5">
        <v>0.1474</v>
      </c>
      <c r="O1606" s="5">
        <v>3</v>
      </c>
      <c r="P1606" s="5">
        <v>58320</v>
      </c>
    </row>
    <row r="1607" spans="1:16" x14ac:dyDescent="0.3">
      <c r="A1607" s="5">
        <v>19</v>
      </c>
      <c r="B1607" s="5" t="s">
        <v>120</v>
      </c>
      <c r="C1607" s="5">
        <v>11</v>
      </c>
      <c r="D1607" s="5" t="s">
        <v>83</v>
      </c>
      <c r="E1607" s="5">
        <v>2022</v>
      </c>
      <c r="F1607" s="5">
        <v>8</v>
      </c>
      <c r="G1607" s="5" t="s">
        <v>41</v>
      </c>
      <c r="H1607" s="5">
        <v>2888437</v>
      </c>
      <c r="I1607" s="5">
        <v>2702572.15</v>
      </c>
      <c r="J1607" s="5">
        <v>43</v>
      </c>
      <c r="K1607" s="5">
        <v>552560</v>
      </c>
      <c r="L1607" s="5">
        <v>3432910</v>
      </c>
      <c r="M1607" s="5">
        <v>185864.85</v>
      </c>
      <c r="N1607" s="5">
        <v>6.4299999999999996E-2</v>
      </c>
      <c r="O1607" s="5">
        <v>1</v>
      </c>
      <c r="P1607" s="5">
        <v>1574</v>
      </c>
    </row>
    <row r="1608" spans="1:16" x14ac:dyDescent="0.3">
      <c r="A1608" s="5">
        <v>19</v>
      </c>
      <c r="B1608" s="5" t="s">
        <v>120</v>
      </c>
      <c r="C1608" s="5">
        <v>11</v>
      </c>
      <c r="D1608" s="5" t="s">
        <v>83</v>
      </c>
      <c r="E1608" s="5">
        <v>2022</v>
      </c>
      <c r="F1608" s="5">
        <v>9</v>
      </c>
      <c r="G1608" s="5" t="s">
        <v>42</v>
      </c>
      <c r="H1608" s="5">
        <v>3655404</v>
      </c>
      <c r="I1608" s="5">
        <v>3104712.93</v>
      </c>
      <c r="J1608" s="5">
        <v>46</v>
      </c>
      <c r="K1608" s="5">
        <v>328645</v>
      </c>
      <c r="L1608" s="5">
        <v>3972690</v>
      </c>
      <c r="M1608" s="5">
        <v>550691.06999999995</v>
      </c>
      <c r="N1608" s="5">
        <v>0.1507</v>
      </c>
      <c r="O1608" s="5">
        <v>4</v>
      </c>
      <c r="P1608" s="5">
        <v>20745</v>
      </c>
    </row>
    <row r="1609" spans="1:16" x14ac:dyDescent="0.3">
      <c r="A1609" s="5">
        <v>19</v>
      </c>
      <c r="B1609" s="5" t="s">
        <v>120</v>
      </c>
      <c r="C1609" s="5">
        <v>11</v>
      </c>
      <c r="D1609" s="5" t="s">
        <v>83</v>
      </c>
      <c r="E1609" s="5">
        <v>2022</v>
      </c>
      <c r="F1609" s="5">
        <v>10</v>
      </c>
      <c r="G1609" s="5" t="s">
        <v>43</v>
      </c>
      <c r="H1609" s="5">
        <v>3364518</v>
      </c>
      <c r="I1609" s="5">
        <v>3001298.94</v>
      </c>
      <c r="J1609" s="5">
        <v>62</v>
      </c>
      <c r="K1609" s="5">
        <v>542631</v>
      </c>
      <c r="L1609" s="5">
        <v>3900130</v>
      </c>
      <c r="M1609" s="5">
        <v>363219.06</v>
      </c>
      <c r="N1609" s="5">
        <v>0.108</v>
      </c>
      <c r="O1609" s="5">
        <v>6</v>
      </c>
      <c r="P1609" s="5">
        <v>95935</v>
      </c>
    </row>
    <row r="1610" spans="1:16" x14ac:dyDescent="0.3">
      <c r="A1610" s="5">
        <v>19</v>
      </c>
      <c r="B1610" s="5" t="s">
        <v>120</v>
      </c>
      <c r="C1610" s="5">
        <v>11</v>
      </c>
      <c r="D1610" s="5" t="s">
        <v>83</v>
      </c>
      <c r="E1610" s="5">
        <v>2022</v>
      </c>
      <c r="F1610" s="5">
        <v>11</v>
      </c>
      <c r="G1610" s="5" t="s">
        <v>44</v>
      </c>
      <c r="H1610" s="5">
        <v>2368211</v>
      </c>
      <c r="I1610" s="5">
        <v>2171456.39</v>
      </c>
      <c r="J1610" s="5">
        <v>54</v>
      </c>
      <c r="K1610" s="5">
        <v>447568</v>
      </c>
      <c r="L1610" s="5">
        <v>2810280</v>
      </c>
      <c r="M1610" s="5">
        <v>196754.61</v>
      </c>
      <c r="N1610" s="5">
        <v>8.3099999999999993E-2</v>
      </c>
      <c r="O1610" s="5">
        <v>4</v>
      </c>
      <c r="P1610" s="5">
        <v>26975</v>
      </c>
    </row>
    <row r="1611" spans="1:16" x14ac:dyDescent="0.3">
      <c r="A1611" s="5">
        <v>19</v>
      </c>
      <c r="B1611" s="5" t="s">
        <v>120</v>
      </c>
      <c r="C1611" s="5">
        <v>11</v>
      </c>
      <c r="D1611" s="5" t="s">
        <v>83</v>
      </c>
      <c r="E1611" s="5">
        <v>2022</v>
      </c>
      <c r="F1611" s="5">
        <v>12</v>
      </c>
      <c r="G1611" s="5" t="s">
        <v>45</v>
      </c>
      <c r="H1611" s="5">
        <v>5761661</v>
      </c>
      <c r="I1611" s="5">
        <v>4763184.5</v>
      </c>
      <c r="J1611" s="5">
        <v>72</v>
      </c>
      <c r="K1611" s="5">
        <v>375975</v>
      </c>
      <c r="L1611" s="5">
        <v>6113030</v>
      </c>
      <c r="M1611" s="5">
        <v>998476.5</v>
      </c>
      <c r="N1611" s="5">
        <v>0.17330000000000001</v>
      </c>
      <c r="O1611" s="5">
        <v>5</v>
      </c>
      <c r="P1611" s="5">
        <v>605758</v>
      </c>
    </row>
    <row r="1612" spans="1:16" x14ac:dyDescent="0.3">
      <c r="A1612" s="5">
        <v>19</v>
      </c>
      <c r="B1612" s="5" t="s">
        <v>120</v>
      </c>
      <c r="C1612" s="5">
        <v>11</v>
      </c>
      <c r="D1612" s="5" t="s">
        <v>83</v>
      </c>
      <c r="E1612" s="5">
        <v>2023</v>
      </c>
      <c r="F1612" s="5">
        <v>1</v>
      </c>
      <c r="G1612" s="5" t="s">
        <v>46</v>
      </c>
      <c r="H1612" s="5">
        <v>3944134</v>
      </c>
      <c r="I1612" s="5">
        <v>3454419.87</v>
      </c>
      <c r="J1612" s="5">
        <v>51</v>
      </c>
      <c r="K1612" s="5">
        <v>494341</v>
      </c>
      <c r="L1612" s="5">
        <v>4430010</v>
      </c>
      <c r="M1612" s="5">
        <v>489714.13</v>
      </c>
      <c r="N1612" s="5">
        <v>0.1242</v>
      </c>
      <c r="O1612" s="5">
        <v>8</v>
      </c>
      <c r="P1612" s="5">
        <v>125495</v>
      </c>
    </row>
    <row r="1613" spans="1:16" x14ac:dyDescent="0.3">
      <c r="A1613" s="5">
        <v>19</v>
      </c>
      <c r="B1613" s="5" t="s">
        <v>120</v>
      </c>
      <c r="C1613" s="5">
        <v>11</v>
      </c>
      <c r="D1613" s="5" t="s">
        <v>83</v>
      </c>
      <c r="E1613" s="5">
        <v>2023</v>
      </c>
      <c r="F1613" s="5">
        <v>2</v>
      </c>
      <c r="G1613" s="5" t="s">
        <v>47</v>
      </c>
      <c r="H1613" s="5">
        <v>2380365</v>
      </c>
      <c r="I1613" s="5">
        <v>2331273.86</v>
      </c>
      <c r="J1613" s="5">
        <v>28</v>
      </c>
      <c r="K1613" s="5">
        <v>549212</v>
      </c>
      <c r="L1613" s="5">
        <v>2925560</v>
      </c>
      <c r="M1613" s="5">
        <v>49091.14</v>
      </c>
      <c r="N1613" s="5">
        <v>2.06E-2</v>
      </c>
      <c r="O1613" s="5">
        <v>0</v>
      </c>
      <c r="P1613" s="5">
        <v>0</v>
      </c>
    </row>
    <row r="1614" spans="1:16" x14ac:dyDescent="0.3">
      <c r="A1614" s="5">
        <v>19</v>
      </c>
      <c r="B1614" s="5" t="s">
        <v>120</v>
      </c>
      <c r="C1614" s="5">
        <v>11</v>
      </c>
      <c r="D1614" s="5" t="s">
        <v>83</v>
      </c>
      <c r="E1614" s="5">
        <v>2023</v>
      </c>
      <c r="F1614" s="5">
        <v>3</v>
      </c>
      <c r="G1614" s="5" t="s">
        <v>48</v>
      </c>
      <c r="H1614" s="5">
        <v>3415038</v>
      </c>
      <c r="I1614" s="5">
        <v>3044971.47</v>
      </c>
      <c r="J1614" s="5">
        <v>46</v>
      </c>
      <c r="K1614" s="5">
        <v>474713</v>
      </c>
      <c r="L1614" s="5">
        <v>3878910</v>
      </c>
      <c r="M1614" s="5">
        <v>370066.53</v>
      </c>
      <c r="N1614" s="5">
        <v>0.1084</v>
      </c>
      <c r="O1614" s="5">
        <v>5</v>
      </c>
      <c r="P1614" s="5">
        <v>19054</v>
      </c>
    </row>
    <row r="1615" spans="1:16" x14ac:dyDescent="0.3">
      <c r="A1615" s="5">
        <v>19</v>
      </c>
      <c r="B1615" s="5" t="s">
        <v>120</v>
      </c>
      <c r="C1615" s="5">
        <v>11</v>
      </c>
      <c r="D1615" s="5" t="s">
        <v>83</v>
      </c>
      <c r="E1615" s="5">
        <v>2023</v>
      </c>
      <c r="F1615" s="5">
        <v>4</v>
      </c>
      <c r="G1615" s="5" t="s">
        <v>49</v>
      </c>
      <c r="H1615" s="5">
        <v>1970284</v>
      </c>
      <c r="I1615" s="5">
        <v>1821920.07</v>
      </c>
      <c r="J1615" s="5">
        <v>42</v>
      </c>
      <c r="K1615" s="5">
        <v>352846</v>
      </c>
      <c r="L1615" s="5">
        <v>2319220</v>
      </c>
      <c r="M1615" s="5">
        <v>148363.93</v>
      </c>
      <c r="N1615" s="5">
        <v>7.5300000000000006E-2</v>
      </c>
      <c r="O1615" s="5">
        <v>4</v>
      </c>
      <c r="P1615" s="5">
        <v>154437</v>
      </c>
    </row>
    <row r="1616" spans="1:16" x14ac:dyDescent="0.3">
      <c r="A1616" s="5">
        <v>19</v>
      </c>
      <c r="B1616" s="5" t="s">
        <v>120</v>
      </c>
      <c r="C1616" s="5">
        <v>11</v>
      </c>
      <c r="D1616" s="5" t="s">
        <v>83</v>
      </c>
      <c r="E1616" s="5">
        <v>2023</v>
      </c>
      <c r="F1616" s="5">
        <v>5</v>
      </c>
      <c r="G1616" s="5" t="s">
        <v>50</v>
      </c>
      <c r="H1616" s="5">
        <v>4279155</v>
      </c>
      <c r="I1616" s="5">
        <v>3646634.84</v>
      </c>
      <c r="J1616" s="5">
        <v>61</v>
      </c>
      <c r="K1616" s="5">
        <v>539932</v>
      </c>
      <c r="L1616" s="5">
        <v>4808220</v>
      </c>
      <c r="M1616" s="5">
        <v>632520.16</v>
      </c>
      <c r="N1616" s="5">
        <v>0.14779999999999999</v>
      </c>
      <c r="O1616" s="5">
        <v>4</v>
      </c>
      <c r="P1616" s="5">
        <v>134057</v>
      </c>
    </row>
    <row r="1617" spans="1:16" x14ac:dyDescent="0.3">
      <c r="A1617" s="5">
        <v>19</v>
      </c>
      <c r="B1617" s="5" t="s">
        <v>120</v>
      </c>
      <c r="C1617" s="5">
        <v>11</v>
      </c>
      <c r="D1617" s="5" t="s">
        <v>83</v>
      </c>
      <c r="E1617" s="5">
        <v>2023</v>
      </c>
      <c r="F1617" s="5">
        <v>6</v>
      </c>
      <c r="G1617" s="5" t="s">
        <v>51</v>
      </c>
      <c r="H1617" s="5">
        <v>4445273</v>
      </c>
      <c r="I1617" s="5">
        <v>3991197.01</v>
      </c>
      <c r="J1617" s="5">
        <v>49</v>
      </c>
      <c r="K1617" s="5">
        <v>577017</v>
      </c>
      <c r="L1617" s="5">
        <v>5008960</v>
      </c>
      <c r="M1617" s="5">
        <v>454075.99</v>
      </c>
      <c r="N1617" s="5">
        <v>0.1021</v>
      </c>
      <c r="O1617" s="5">
        <v>6</v>
      </c>
      <c r="P1617" s="5">
        <v>401536</v>
      </c>
    </row>
    <row r="1618" spans="1:16" x14ac:dyDescent="0.3">
      <c r="A1618" s="5">
        <v>19</v>
      </c>
      <c r="B1618" s="5" t="s">
        <v>120</v>
      </c>
      <c r="C1618" s="5">
        <v>11</v>
      </c>
      <c r="D1618" s="5" t="s">
        <v>83</v>
      </c>
      <c r="E1618" s="5">
        <v>2023</v>
      </c>
      <c r="F1618" s="5">
        <v>7</v>
      </c>
      <c r="G1618" s="5" t="s">
        <v>52</v>
      </c>
      <c r="H1618" s="5">
        <v>3493338</v>
      </c>
      <c r="I1618" s="5">
        <v>3142757.59</v>
      </c>
      <c r="J1618" s="5">
        <v>54</v>
      </c>
      <c r="K1618" s="5">
        <v>585679</v>
      </c>
      <c r="L1618" s="5">
        <v>4073210</v>
      </c>
      <c r="M1618" s="5">
        <v>350580.41</v>
      </c>
      <c r="N1618" s="5">
        <v>0.1004</v>
      </c>
      <c r="O1618" s="5">
        <v>4</v>
      </c>
      <c r="P1618" s="5">
        <v>320727</v>
      </c>
    </row>
    <row r="1619" spans="1:16" x14ac:dyDescent="0.3">
      <c r="A1619" s="5">
        <v>19</v>
      </c>
      <c r="B1619" s="5" t="s">
        <v>120</v>
      </c>
      <c r="C1619" s="5">
        <v>11</v>
      </c>
      <c r="D1619" s="5" t="s">
        <v>83</v>
      </c>
      <c r="E1619" s="5">
        <v>2023</v>
      </c>
      <c r="F1619" s="5">
        <v>8</v>
      </c>
      <c r="G1619" s="5" t="s">
        <v>53</v>
      </c>
      <c r="H1619" s="5">
        <v>2726730</v>
      </c>
      <c r="I1619" s="5">
        <v>2463948.42</v>
      </c>
      <c r="J1619" s="5">
        <v>42</v>
      </c>
      <c r="K1619" s="5">
        <v>446455</v>
      </c>
      <c r="L1619" s="5">
        <v>3166270</v>
      </c>
      <c r="M1619" s="5">
        <v>262781.58</v>
      </c>
      <c r="N1619" s="5">
        <v>9.64E-2</v>
      </c>
      <c r="O1619" s="5">
        <v>3</v>
      </c>
      <c r="P1619" s="5">
        <v>14253</v>
      </c>
    </row>
    <row r="1620" spans="1:16" x14ac:dyDescent="0.3">
      <c r="A1620" s="5">
        <v>19</v>
      </c>
      <c r="B1620" s="5" t="s">
        <v>120</v>
      </c>
      <c r="C1620" s="5">
        <v>11</v>
      </c>
      <c r="D1620" s="5" t="s">
        <v>83</v>
      </c>
      <c r="E1620" s="5">
        <v>2023</v>
      </c>
      <c r="F1620" s="5">
        <v>9</v>
      </c>
      <c r="G1620" s="5" t="s">
        <v>54</v>
      </c>
      <c r="H1620" s="5">
        <v>2523484</v>
      </c>
      <c r="I1620" s="5">
        <v>2367049.2799999998</v>
      </c>
      <c r="J1620" s="5">
        <v>42</v>
      </c>
      <c r="K1620" s="5">
        <v>511885</v>
      </c>
      <c r="L1620" s="5">
        <v>3032570</v>
      </c>
      <c r="M1620" s="5">
        <v>156434.72</v>
      </c>
      <c r="N1620" s="5">
        <v>6.2E-2</v>
      </c>
      <c r="O1620" s="5">
        <v>1</v>
      </c>
      <c r="P1620" s="5">
        <v>1776</v>
      </c>
    </row>
    <row r="1621" spans="1:16" x14ac:dyDescent="0.3">
      <c r="A1621" s="5">
        <v>19</v>
      </c>
      <c r="B1621" s="5" t="s">
        <v>120</v>
      </c>
      <c r="C1621" s="5">
        <v>11</v>
      </c>
      <c r="D1621" s="5" t="s">
        <v>83</v>
      </c>
      <c r="E1621" s="5">
        <v>2023</v>
      </c>
      <c r="F1621" s="5">
        <v>10</v>
      </c>
      <c r="G1621" s="5" t="s">
        <v>55</v>
      </c>
      <c r="H1621" s="5">
        <v>4101128</v>
      </c>
      <c r="I1621" s="5">
        <v>3484673.08</v>
      </c>
      <c r="J1621" s="5">
        <v>69</v>
      </c>
      <c r="K1621" s="5">
        <v>375953</v>
      </c>
      <c r="L1621" s="5">
        <v>4463190</v>
      </c>
      <c r="M1621" s="5">
        <v>616454.92000000004</v>
      </c>
      <c r="N1621" s="5">
        <v>0.15029999999999999</v>
      </c>
      <c r="O1621" s="5">
        <v>4</v>
      </c>
      <c r="P1621" s="5">
        <v>322167</v>
      </c>
    </row>
    <row r="1622" spans="1:16" x14ac:dyDescent="0.3">
      <c r="A1622" s="5">
        <v>19</v>
      </c>
      <c r="B1622" s="5" t="s">
        <v>120</v>
      </c>
      <c r="C1622" s="5">
        <v>11</v>
      </c>
      <c r="D1622" s="5" t="s">
        <v>83</v>
      </c>
      <c r="E1622" s="5">
        <v>2023</v>
      </c>
      <c r="F1622" s="5">
        <v>11</v>
      </c>
      <c r="G1622" s="5" t="s">
        <v>56</v>
      </c>
      <c r="H1622" s="5">
        <v>5485189</v>
      </c>
      <c r="I1622" s="5">
        <v>4766066.3</v>
      </c>
      <c r="J1622" s="5">
        <v>76</v>
      </c>
      <c r="K1622" s="5">
        <v>617038</v>
      </c>
      <c r="L1622" s="5">
        <v>6080950</v>
      </c>
      <c r="M1622" s="5">
        <v>719122.7</v>
      </c>
      <c r="N1622" s="5">
        <v>0.13109999999999999</v>
      </c>
      <c r="O1622" s="5">
        <v>10</v>
      </c>
      <c r="P1622" s="5">
        <v>485300</v>
      </c>
    </row>
    <row r="1623" spans="1:16" x14ac:dyDescent="0.3">
      <c r="A1623" s="5">
        <v>19</v>
      </c>
      <c r="B1623" s="5" t="s">
        <v>120</v>
      </c>
      <c r="C1623" s="5">
        <v>11</v>
      </c>
      <c r="D1623" s="5" t="s">
        <v>83</v>
      </c>
      <c r="E1623" s="5">
        <v>2023</v>
      </c>
      <c r="F1623" s="5">
        <v>12</v>
      </c>
      <c r="G1623" s="5" t="s">
        <v>57</v>
      </c>
      <c r="H1623" s="5">
        <v>4455730</v>
      </c>
      <c r="I1623" s="5">
        <v>4067768.55</v>
      </c>
      <c r="J1623" s="5">
        <v>69</v>
      </c>
      <c r="K1623" s="5">
        <v>900522</v>
      </c>
      <c r="L1623" s="5">
        <v>5340900</v>
      </c>
      <c r="M1623" s="5">
        <v>387961.45</v>
      </c>
      <c r="N1623" s="5">
        <v>8.7099999999999997E-2</v>
      </c>
      <c r="O1623" s="5">
        <v>2</v>
      </c>
      <c r="P1623" s="5">
        <v>185615</v>
      </c>
    </row>
    <row r="1624" spans="1:16" x14ac:dyDescent="0.3">
      <c r="A1624" s="5">
        <v>19</v>
      </c>
      <c r="B1624" s="5" t="s">
        <v>120</v>
      </c>
      <c r="C1624" s="5">
        <v>11</v>
      </c>
      <c r="D1624" s="5" t="s">
        <v>83</v>
      </c>
      <c r="E1624" s="5">
        <v>2024</v>
      </c>
      <c r="F1624" s="5">
        <v>1</v>
      </c>
      <c r="G1624" s="5" t="s">
        <v>58</v>
      </c>
      <c r="H1624" s="5">
        <v>3058623</v>
      </c>
      <c r="I1624" s="5">
        <v>2894173.48</v>
      </c>
      <c r="J1624" s="5">
        <v>39</v>
      </c>
      <c r="K1624" s="5">
        <v>597368</v>
      </c>
      <c r="L1624" s="5">
        <v>3651740</v>
      </c>
      <c r="M1624" s="5">
        <v>164449.51999999999</v>
      </c>
      <c r="N1624" s="5">
        <v>5.3800000000000001E-2</v>
      </c>
      <c r="O1624" s="5">
        <v>4</v>
      </c>
      <c r="P1624" s="5">
        <v>113133</v>
      </c>
    </row>
    <row r="1625" spans="1:16" x14ac:dyDescent="0.3">
      <c r="A1625" s="5">
        <v>19</v>
      </c>
      <c r="B1625" s="5" t="s">
        <v>120</v>
      </c>
      <c r="C1625" s="5">
        <v>11</v>
      </c>
      <c r="D1625" s="5" t="s">
        <v>83</v>
      </c>
      <c r="E1625" s="5">
        <v>2024</v>
      </c>
      <c r="F1625" s="5">
        <v>2</v>
      </c>
      <c r="G1625" s="5" t="s">
        <v>59</v>
      </c>
      <c r="H1625" s="5">
        <v>3586065</v>
      </c>
      <c r="I1625" s="5">
        <v>3121335.78</v>
      </c>
      <c r="J1625" s="5">
        <v>41</v>
      </c>
      <c r="K1625" s="5">
        <v>358937</v>
      </c>
      <c r="L1625" s="5">
        <v>3931410</v>
      </c>
      <c r="M1625" s="5">
        <v>464729.22</v>
      </c>
      <c r="N1625" s="5">
        <v>0.12959999999999999</v>
      </c>
      <c r="O1625" s="5">
        <v>3</v>
      </c>
      <c r="P1625" s="5">
        <v>90650</v>
      </c>
    </row>
    <row r="1626" spans="1:16" x14ac:dyDescent="0.3">
      <c r="A1626" s="5">
        <v>19</v>
      </c>
      <c r="B1626" s="5" t="s">
        <v>120</v>
      </c>
      <c r="C1626" s="5">
        <v>11</v>
      </c>
      <c r="D1626" s="5" t="s">
        <v>83</v>
      </c>
      <c r="E1626" s="5">
        <v>2024</v>
      </c>
      <c r="F1626" s="5">
        <v>3</v>
      </c>
      <c r="G1626" s="5" t="s">
        <v>60</v>
      </c>
      <c r="H1626" s="5">
        <v>4176889</v>
      </c>
      <c r="I1626" s="5">
        <v>3819207.06</v>
      </c>
      <c r="J1626" s="5">
        <v>51</v>
      </c>
      <c r="K1626" s="5">
        <v>625884</v>
      </c>
      <c r="L1626" s="5">
        <v>4795840</v>
      </c>
      <c r="M1626" s="5">
        <v>357681.94</v>
      </c>
      <c r="N1626" s="5">
        <v>8.5599999999999996E-2</v>
      </c>
      <c r="O1626" s="5">
        <v>6</v>
      </c>
      <c r="P1626" s="5">
        <v>159658</v>
      </c>
    </row>
    <row r="1627" spans="1:16" x14ac:dyDescent="0.3">
      <c r="A1627" s="5">
        <v>19</v>
      </c>
      <c r="B1627" s="5" t="s">
        <v>120</v>
      </c>
      <c r="C1627" s="5">
        <v>11</v>
      </c>
      <c r="D1627" s="5" t="s">
        <v>83</v>
      </c>
      <c r="E1627" s="5">
        <v>2024</v>
      </c>
      <c r="F1627" s="5">
        <v>4</v>
      </c>
      <c r="G1627" s="5" t="s">
        <v>61</v>
      </c>
      <c r="H1627" s="5">
        <v>3665737</v>
      </c>
      <c r="I1627" s="5">
        <v>3128057.16</v>
      </c>
      <c r="J1627" s="5">
        <v>53</v>
      </c>
      <c r="K1627" s="5">
        <v>323677</v>
      </c>
      <c r="L1627" s="5">
        <v>3979380</v>
      </c>
      <c r="M1627" s="5">
        <v>537679.84</v>
      </c>
      <c r="N1627" s="5">
        <v>0.1467</v>
      </c>
      <c r="O1627" s="5">
        <v>2</v>
      </c>
      <c r="P1627" s="5">
        <v>28880</v>
      </c>
    </row>
    <row r="1628" spans="1:16" x14ac:dyDescent="0.3">
      <c r="A1628" s="5">
        <v>19</v>
      </c>
      <c r="B1628" s="5" t="s">
        <v>120</v>
      </c>
      <c r="C1628" s="5">
        <v>11</v>
      </c>
      <c r="D1628" s="5" t="s">
        <v>83</v>
      </c>
      <c r="E1628" s="5">
        <v>2024</v>
      </c>
      <c r="F1628" s="5">
        <v>5</v>
      </c>
      <c r="G1628" s="5" t="s">
        <v>62</v>
      </c>
      <c r="H1628" s="5">
        <v>3874933</v>
      </c>
      <c r="I1628" s="5">
        <v>3367365.67</v>
      </c>
      <c r="J1628" s="5">
        <v>59</v>
      </c>
      <c r="K1628" s="5">
        <v>525577</v>
      </c>
      <c r="L1628" s="5">
        <v>4387150</v>
      </c>
      <c r="M1628" s="5">
        <v>507567.33</v>
      </c>
      <c r="N1628" s="5">
        <v>0.13100000000000001</v>
      </c>
      <c r="O1628" s="5">
        <v>9</v>
      </c>
      <c r="P1628" s="5">
        <v>91558</v>
      </c>
    </row>
    <row r="1629" spans="1:16" x14ac:dyDescent="0.3">
      <c r="A1629" s="5">
        <v>19</v>
      </c>
      <c r="B1629" s="5" t="s">
        <v>120</v>
      </c>
      <c r="C1629" s="5">
        <v>11</v>
      </c>
      <c r="D1629" s="5" t="s">
        <v>83</v>
      </c>
      <c r="E1629" s="5">
        <v>2024</v>
      </c>
      <c r="F1629" s="5">
        <v>6</v>
      </c>
      <c r="G1629" s="5" t="s">
        <v>63</v>
      </c>
      <c r="H1629" s="5">
        <v>4220956</v>
      </c>
      <c r="I1629" s="5">
        <v>3474921.06</v>
      </c>
      <c r="J1629" s="5">
        <v>52</v>
      </c>
      <c r="K1629" s="5">
        <v>266594</v>
      </c>
      <c r="L1629" s="5">
        <v>4470400</v>
      </c>
      <c r="M1629" s="5">
        <v>746034.94</v>
      </c>
      <c r="N1629" s="5">
        <v>0.1767</v>
      </c>
      <c r="O1629" s="5">
        <v>5</v>
      </c>
      <c r="P1629" s="5">
        <v>163935</v>
      </c>
    </row>
    <row r="1630" spans="1:16" x14ac:dyDescent="0.3">
      <c r="A1630" s="5">
        <v>19</v>
      </c>
      <c r="B1630" s="5" t="s">
        <v>120</v>
      </c>
      <c r="C1630" s="5">
        <v>11</v>
      </c>
      <c r="D1630" s="5" t="s">
        <v>83</v>
      </c>
      <c r="E1630" s="5">
        <v>2024</v>
      </c>
      <c r="F1630" s="5">
        <v>7</v>
      </c>
      <c r="G1630" s="5" t="s">
        <v>64</v>
      </c>
      <c r="H1630" s="5">
        <v>3766368</v>
      </c>
      <c r="I1630" s="5">
        <v>3132722.46</v>
      </c>
      <c r="J1630" s="5">
        <v>59</v>
      </c>
      <c r="K1630" s="5">
        <v>247681</v>
      </c>
      <c r="L1630" s="5">
        <v>4003120</v>
      </c>
      <c r="M1630" s="5">
        <v>633645.54</v>
      </c>
      <c r="N1630" s="5">
        <v>0.16819999999999999</v>
      </c>
      <c r="O1630" s="5">
        <v>6</v>
      </c>
      <c r="P1630" s="5">
        <v>11508</v>
      </c>
    </row>
    <row r="1631" spans="1:16" x14ac:dyDescent="0.3">
      <c r="A1631" s="5">
        <v>19</v>
      </c>
      <c r="B1631" s="5" t="s">
        <v>120</v>
      </c>
      <c r="C1631" s="5">
        <v>11</v>
      </c>
      <c r="D1631" s="5" t="s">
        <v>83</v>
      </c>
      <c r="E1631" s="5">
        <v>2024</v>
      </c>
      <c r="F1631" s="5">
        <v>8</v>
      </c>
      <c r="G1631" s="5" t="s">
        <v>65</v>
      </c>
      <c r="H1631" s="5">
        <v>3330472</v>
      </c>
      <c r="I1631" s="5">
        <v>2829066.58</v>
      </c>
      <c r="J1631" s="5">
        <v>57</v>
      </c>
      <c r="K1631" s="5">
        <v>400345</v>
      </c>
      <c r="L1631" s="5">
        <v>3720230</v>
      </c>
      <c r="M1631" s="5">
        <v>501405.42</v>
      </c>
      <c r="N1631" s="5">
        <v>0.15060000000000001</v>
      </c>
      <c r="O1631" s="5">
        <v>4</v>
      </c>
      <c r="P1631" s="5">
        <v>175430</v>
      </c>
    </row>
    <row r="1632" spans="1:16" x14ac:dyDescent="0.3">
      <c r="A1632" s="5">
        <v>19</v>
      </c>
      <c r="B1632" s="5" t="s">
        <v>120</v>
      </c>
      <c r="C1632" s="5">
        <v>11</v>
      </c>
      <c r="D1632" s="5" t="s">
        <v>83</v>
      </c>
      <c r="E1632" s="5">
        <v>2024</v>
      </c>
      <c r="F1632" s="5">
        <v>9</v>
      </c>
      <c r="G1632" s="5" t="s">
        <v>66</v>
      </c>
      <c r="H1632" s="5">
        <v>2518550</v>
      </c>
      <c r="I1632" s="5">
        <v>1993169.94</v>
      </c>
      <c r="J1632" s="5">
        <v>50</v>
      </c>
      <c r="K1632" s="5">
        <v>154282</v>
      </c>
      <c r="L1632" s="5">
        <v>2666040</v>
      </c>
      <c r="M1632" s="5">
        <v>525380.06000000006</v>
      </c>
      <c r="N1632" s="5">
        <v>0.20860000000000001</v>
      </c>
      <c r="O1632" s="5">
        <v>1</v>
      </c>
      <c r="P1632" s="5">
        <v>6381</v>
      </c>
    </row>
    <row r="1633" spans="1:16" x14ac:dyDescent="0.3">
      <c r="A1633" s="5">
        <v>19</v>
      </c>
      <c r="B1633" s="5" t="s">
        <v>120</v>
      </c>
      <c r="C1633" s="5">
        <v>11</v>
      </c>
      <c r="D1633" s="5" t="s">
        <v>83</v>
      </c>
      <c r="E1633" s="5">
        <v>2024</v>
      </c>
      <c r="F1633" s="5">
        <v>10</v>
      </c>
      <c r="G1633" s="5" t="s">
        <v>67</v>
      </c>
      <c r="H1633" s="5">
        <v>6330011</v>
      </c>
      <c r="I1633" s="5">
        <v>5104050.12</v>
      </c>
      <c r="J1633" s="5">
        <v>83</v>
      </c>
      <c r="K1633" s="5">
        <v>244633</v>
      </c>
      <c r="L1633" s="5">
        <v>6562440</v>
      </c>
      <c r="M1633" s="5">
        <v>1225960.8799999999</v>
      </c>
      <c r="N1633" s="5">
        <v>0.19370000000000001</v>
      </c>
      <c r="O1633" s="5">
        <v>7</v>
      </c>
      <c r="P1633" s="5">
        <v>157476</v>
      </c>
    </row>
    <row r="1634" spans="1:16" x14ac:dyDescent="0.3">
      <c r="A1634" s="5">
        <v>19</v>
      </c>
      <c r="B1634" s="5" t="s">
        <v>120</v>
      </c>
      <c r="C1634" s="5">
        <v>11</v>
      </c>
      <c r="D1634" s="5" t="s">
        <v>83</v>
      </c>
      <c r="E1634" s="5">
        <v>2024</v>
      </c>
      <c r="F1634" s="5">
        <v>11</v>
      </c>
      <c r="G1634" s="5" t="s">
        <v>68</v>
      </c>
      <c r="H1634" s="5">
        <v>5917489</v>
      </c>
      <c r="I1634" s="5">
        <v>4948653.01</v>
      </c>
      <c r="J1634" s="5">
        <v>88</v>
      </c>
      <c r="K1634" s="5">
        <v>434736</v>
      </c>
      <c r="L1634" s="5">
        <v>6330240</v>
      </c>
      <c r="M1634" s="5">
        <v>968835.99</v>
      </c>
      <c r="N1634" s="5">
        <v>0.16370000000000001</v>
      </c>
      <c r="O1634" s="5">
        <v>5</v>
      </c>
      <c r="P1634" s="5">
        <v>273046</v>
      </c>
    </row>
    <row r="1635" spans="1:16" x14ac:dyDescent="0.3">
      <c r="A1635" s="5">
        <v>19</v>
      </c>
      <c r="B1635" s="5" t="s">
        <v>120</v>
      </c>
      <c r="C1635" s="5">
        <v>11</v>
      </c>
      <c r="D1635" s="5" t="s">
        <v>83</v>
      </c>
      <c r="E1635" s="5">
        <v>2024</v>
      </c>
      <c r="F1635" s="5">
        <v>12</v>
      </c>
      <c r="G1635" s="5" t="s">
        <v>69</v>
      </c>
      <c r="H1635" s="5">
        <v>5167134</v>
      </c>
      <c r="I1635" s="5">
        <v>4090410.68</v>
      </c>
      <c r="J1635" s="5">
        <v>78</v>
      </c>
      <c r="K1635" s="5">
        <v>151865</v>
      </c>
      <c r="L1635" s="5">
        <v>5286320</v>
      </c>
      <c r="M1635" s="5">
        <v>1076723.32</v>
      </c>
      <c r="N1635" s="5">
        <v>0.2084</v>
      </c>
      <c r="O1635" s="5">
        <v>7</v>
      </c>
      <c r="P1635" s="5">
        <v>294630</v>
      </c>
    </row>
    <row r="1636" spans="1:16" x14ac:dyDescent="0.3">
      <c r="A1636" s="5">
        <v>117</v>
      </c>
      <c r="B1636" s="5" t="s">
        <v>121</v>
      </c>
      <c r="C1636" s="5">
        <v>11</v>
      </c>
      <c r="D1636" s="5" t="s">
        <v>83</v>
      </c>
      <c r="E1636" s="5">
        <v>2021</v>
      </c>
      <c r="F1636" s="5">
        <v>1</v>
      </c>
      <c r="G1636" s="5" t="s">
        <v>22</v>
      </c>
      <c r="H1636" s="5">
        <v>690494</v>
      </c>
      <c r="I1636" s="5">
        <v>627728.69999999995</v>
      </c>
      <c r="J1636" s="5">
        <v>17</v>
      </c>
      <c r="K1636" s="5">
        <v>134361</v>
      </c>
      <c r="L1636" s="5">
        <v>823890</v>
      </c>
      <c r="M1636" s="5">
        <v>62765.3</v>
      </c>
      <c r="N1636" s="5">
        <v>9.0899999999999995E-2</v>
      </c>
      <c r="O1636" s="5">
        <v>0</v>
      </c>
      <c r="P1636" s="5">
        <v>0</v>
      </c>
    </row>
    <row r="1637" spans="1:16" x14ac:dyDescent="0.3">
      <c r="A1637" s="5">
        <v>117</v>
      </c>
      <c r="B1637" s="5" t="s">
        <v>121</v>
      </c>
      <c r="C1637" s="5">
        <v>11</v>
      </c>
      <c r="D1637" s="5" t="s">
        <v>83</v>
      </c>
      <c r="E1637" s="5">
        <v>2021</v>
      </c>
      <c r="F1637" s="5">
        <v>2</v>
      </c>
      <c r="G1637" s="5" t="s">
        <v>23</v>
      </c>
      <c r="H1637" s="5">
        <v>1510502</v>
      </c>
      <c r="I1637" s="5">
        <v>1242956.56</v>
      </c>
      <c r="J1637" s="5">
        <v>24</v>
      </c>
      <c r="K1637" s="5">
        <v>133937</v>
      </c>
      <c r="L1637" s="5">
        <v>1634790</v>
      </c>
      <c r="M1637" s="5">
        <v>267545.44</v>
      </c>
      <c r="N1637" s="5">
        <v>0.17710000000000001</v>
      </c>
      <c r="O1637" s="5">
        <v>2</v>
      </c>
      <c r="P1637" s="5">
        <v>88386</v>
      </c>
    </row>
    <row r="1638" spans="1:16" x14ac:dyDescent="0.3">
      <c r="A1638" s="5">
        <v>117</v>
      </c>
      <c r="B1638" s="5" t="s">
        <v>121</v>
      </c>
      <c r="C1638" s="5">
        <v>11</v>
      </c>
      <c r="D1638" s="5" t="s">
        <v>83</v>
      </c>
      <c r="E1638" s="5">
        <v>2021</v>
      </c>
      <c r="F1638" s="5">
        <v>3</v>
      </c>
      <c r="G1638" s="5" t="s">
        <v>24</v>
      </c>
      <c r="H1638" s="5">
        <v>1426681</v>
      </c>
      <c r="I1638" s="5">
        <v>1139354.1299999999</v>
      </c>
      <c r="J1638" s="5">
        <v>22</v>
      </c>
      <c r="K1638" s="5">
        <v>63496</v>
      </c>
      <c r="L1638" s="5">
        <v>1485520</v>
      </c>
      <c r="M1638" s="5">
        <v>287326.87</v>
      </c>
      <c r="N1638" s="5">
        <v>0.2014</v>
      </c>
      <c r="O1638" s="5">
        <v>3</v>
      </c>
      <c r="P1638" s="5">
        <v>164956</v>
      </c>
    </row>
    <row r="1639" spans="1:16" x14ac:dyDescent="0.3">
      <c r="A1639" s="5">
        <v>117</v>
      </c>
      <c r="B1639" s="5" t="s">
        <v>121</v>
      </c>
      <c r="C1639" s="5">
        <v>11</v>
      </c>
      <c r="D1639" s="5" t="s">
        <v>83</v>
      </c>
      <c r="E1639" s="5">
        <v>2021</v>
      </c>
      <c r="F1639" s="5">
        <v>4</v>
      </c>
      <c r="G1639" s="5" t="s">
        <v>25</v>
      </c>
      <c r="H1639" s="5">
        <v>1976286</v>
      </c>
      <c r="I1639" s="5">
        <v>1780721.06</v>
      </c>
      <c r="J1639" s="5">
        <v>30</v>
      </c>
      <c r="K1639" s="5">
        <v>306089</v>
      </c>
      <c r="L1639" s="5">
        <v>2277810</v>
      </c>
      <c r="M1639" s="5">
        <v>195564.94</v>
      </c>
      <c r="N1639" s="5">
        <v>9.9000000000000005E-2</v>
      </c>
      <c r="O1639" s="5">
        <v>1</v>
      </c>
      <c r="P1639" s="5">
        <v>13081</v>
      </c>
    </row>
    <row r="1640" spans="1:16" x14ac:dyDescent="0.3">
      <c r="A1640" s="5">
        <v>117</v>
      </c>
      <c r="B1640" s="5" t="s">
        <v>121</v>
      </c>
      <c r="C1640" s="5">
        <v>11</v>
      </c>
      <c r="D1640" s="5" t="s">
        <v>83</v>
      </c>
      <c r="E1640" s="5">
        <v>2021</v>
      </c>
      <c r="F1640" s="5">
        <v>5</v>
      </c>
      <c r="G1640" s="5" t="s">
        <v>26</v>
      </c>
      <c r="H1640" s="5">
        <v>1922267</v>
      </c>
      <c r="I1640" s="5">
        <v>1709614.97</v>
      </c>
      <c r="J1640" s="5">
        <v>33</v>
      </c>
      <c r="K1640" s="5">
        <v>305216</v>
      </c>
      <c r="L1640" s="5">
        <v>2222340</v>
      </c>
      <c r="M1640" s="5">
        <v>212652.03</v>
      </c>
      <c r="N1640" s="5">
        <v>0.1106</v>
      </c>
      <c r="O1640" s="5">
        <v>3</v>
      </c>
      <c r="P1640" s="5">
        <v>3727</v>
      </c>
    </row>
    <row r="1641" spans="1:16" x14ac:dyDescent="0.3">
      <c r="A1641" s="5">
        <v>117</v>
      </c>
      <c r="B1641" s="5" t="s">
        <v>121</v>
      </c>
      <c r="C1641" s="5">
        <v>11</v>
      </c>
      <c r="D1641" s="5" t="s">
        <v>83</v>
      </c>
      <c r="E1641" s="5">
        <v>2021</v>
      </c>
      <c r="F1641" s="5">
        <v>6</v>
      </c>
      <c r="G1641" s="5" t="s">
        <v>27</v>
      </c>
      <c r="H1641" s="5">
        <v>2288648</v>
      </c>
      <c r="I1641" s="5">
        <v>2247858.65</v>
      </c>
      <c r="J1641" s="5">
        <v>30</v>
      </c>
      <c r="K1641" s="5">
        <v>521374</v>
      </c>
      <c r="L1641" s="5">
        <v>2807530</v>
      </c>
      <c r="M1641" s="5">
        <v>40789.35</v>
      </c>
      <c r="N1641" s="5">
        <v>1.78E-2</v>
      </c>
      <c r="O1641" s="5">
        <v>3</v>
      </c>
      <c r="P1641" s="5">
        <v>179253</v>
      </c>
    </row>
    <row r="1642" spans="1:16" x14ac:dyDescent="0.3">
      <c r="A1642" s="5">
        <v>117</v>
      </c>
      <c r="B1642" s="5" t="s">
        <v>121</v>
      </c>
      <c r="C1642" s="5">
        <v>11</v>
      </c>
      <c r="D1642" s="5" t="s">
        <v>83</v>
      </c>
      <c r="E1642" s="5">
        <v>2021</v>
      </c>
      <c r="F1642" s="5">
        <v>7</v>
      </c>
      <c r="G1642" s="5" t="s">
        <v>28</v>
      </c>
      <c r="H1642" s="5">
        <v>1347748</v>
      </c>
      <c r="I1642" s="5">
        <v>1182249.8400000001</v>
      </c>
      <c r="J1642" s="5">
        <v>20</v>
      </c>
      <c r="K1642" s="5">
        <v>197959</v>
      </c>
      <c r="L1642" s="5">
        <v>1542750</v>
      </c>
      <c r="M1642" s="5">
        <v>165498.16</v>
      </c>
      <c r="N1642" s="5">
        <v>0.12280000000000001</v>
      </c>
      <c r="O1642" s="5">
        <v>1</v>
      </c>
      <c r="P1642" s="5">
        <v>2762</v>
      </c>
    </row>
    <row r="1643" spans="1:16" x14ac:dyDescent="0.3">
      <c r="A1643" s="5">
        <v>117</v>
      </c>
      <c r="B1643" s="5" t="s">
        <v>121</v>
      </c>
      <c r="C1643" s="5">
        <v>11</v>
      </c>
      <c r="D1643" s="5" t="s">
        <v>83</v>
      </c>
      <c r="E1643" s="5">
        <v>2021</v>
      </c>
      <c r="F1643" s="5">
        <v>8</v>
      </c>
      <c r="G1643" s="5" t="s">
        <v>29</v>
      </c>
      <c r="H1643" s="5">
        <v>1972175</v>
      </c>
      <c r="I1643" s="5">
        <v>1655595.48</v>
      </c>
      <c r="J1643" s="5">
        <v>30</v>
      </c>
      <c r="K1643" s="5">
        <v>140197</v>
      </c>
      <c r="L1643" s="5">
        <v>2102680</v>
      </c>
      <c r="M1643" s="5">
        <v>316579.52</v>
      </c>
      <c r="N1643" s="5">
        <v>0.1605</v>
      </c>
      <c r="O1643" s="5">
        <v>1</v>
      </c>
      <c r="P1643" s="5">
        <v>44120</v>
      </c>
    </row>
    <row r="1644" spans="1:16" x14ac:dyDescent="0.3">
      <c r="A1644" s="5">
        <v>117</v>
      </c>
      <c r="B1644" s="5" t="s">
        <v>121</v>
      </c>
      <c r="C1644" s="5">
        <v>11</v>
      </c>
      <c r="D1644" s="5" t="s">
        <v>83</v>
      </c>
      <c r="E1644" s="5">
        <v>2021</v>
      </c>
      <c r="F1644" s="5">
        <v>9</v>
      </c>
      <c r="G1644" s="5" t="s">
        <v>30</v>
      </c>
      <c r="H1644" s="5">
        <v>1866556</v>
      </c>
      <c r="I1644" s="5">
        <v>1585802.89</v>
      </c>
      <c r="J1644" s="5">
        <v>28</v>
      </c>
      <c r="K1644" s="5">
        <v>172535</v>
      </c>
      <c r="L1644" s="5">
        <v>2033470</v>
      </c>
      <c r="M1644" s="5">
        <v>280753.11</v>
      </c>
      <c r="N1644" s="5">
        <v>0.15040000000000001</v>
      </c>
      <c r="O1644" s="5">
        <v>0</v>
      </c>
      <c r="P1644" s="5">
        <v>0</v>
      </c>
    </row>
    <row r="1645" spans="1:16" x14ac:dyDescent="0.3">
      <c r="A1645" s="5">
        <v>117</v>
      </c>
      <c r="B1645" s="5" t="s">
        <v>121</v>
      </c>
      <c r="C1645" s="5">
        <v>11</v>
      </c>
      <c r="D1645" s="5" t="s">
        <v>83</v>
      </c>
      <c r="E1645" s="5">
        <v>2021</v>
      </c>
      <c r="F1645" s="5">
        <v>10</v>
      </c>
      <c r="G1645" s="5" t="s">
        <v>31</v>
      </c>
      <c r="H1645" s="5">
        <v>2140937</v>
      </c>
      <c r="I1645" s="5">
        <v>1713585.01</v>
      </c>
      <c r="J1645" s="5">
        <v>30</v>
      </c>
      <c r="K1645" s="5">
        <v>76905</v>
      </c>
      <c r="L1645" s="5">
        <v>2204650</v>
      </c>
      <c r="M1645" s="5">
        <v>427351.99</v>
      </c>
      <c r="N1645" s="5">
        <v>0.1996</v>
      </c>
      <c r="O1645" s="5">
        <v>2</v>
      </c>
      <c r="P1645" s="5">
        <v>146480</v>
      </c>
    </row>
    <row r="1646" spans="1:16" x14ac:dyDescent="0.3">
      <c r="A1646" s="5">
        <v>117</v>
      </c>
      <c r="B1646" s="5" t="s">
        <v>121</v>
      </c>
      <c r="C1646" s="5">
        <v>11</v>
      </c>
      <c r="D1646" s="5" t="s">
        <v>83</v>
      </c>
      <c r="E1646" s="5">
        <v>2021</v>
      </c>
      <c r="F1646" s="5">
        <v>11</v>
      </c>
      <c r="G1646" s="5" t="s">
        <v>32</v>
      </c>
      <c r="H1646" s="5">
        <v>1661894</v>
      </c>
      <c r="I1646" s="5">
        <v>1318528.31</v>
      </c>
      <c r="J1646" s="5">
        <v>22</v>
      </c>
      <c r="K1646" s="5">
        <v>80949</v>
      </c>
      <c r="L1646" s="5">
        <v>1737700</v>
      </c>
      <c r="M1646" s="5">
        <v>343365.69</v>
      </c>
      <c r="N1646" s="5">
        <v>0.20660000000000001</v>
      </c>
      <c r="O1646" s="5">
        <v>1</v>
      </c>
      <c r="P1646" s="5">
        <v>4663</v>
      </c>
    </row>
    <row r="1647" spans="1:16" x14ac:dyDescent="0.3">
      <c r="A1647" s="5">
        <v>117</v>
      </c>
      <c r="B1647" s="5" t="s">
        <v>121</v>
      </c>
      <c r="C1647" s="5">
        <v>11</v>
      </c>
      <c r="D1647" s="5" t="s">
        <v>83</v>
      </c>
      <c r="E1647" s="5">
        <v>2021</v>
      </c>
      <c r="F1647" s="5">
        <v>12</v>
      </c>
      <c r="G1647" s="5" t="s">
        <v>33</v>
      </c>
      <c r="H1647" s="5">
        <v>2880352</v>
      </c>
      <c r="I1647" s="5">
        <v>2390015.58</v>
      </c>
      <c r="J1647" s="5">
        <v>37</v>
      </c>
      <c r="K1647" s="5">
        <v>198651</v>
      </c>
      <c r="L1647" s="5">
        <v>3064040</v>
      </c>
      <c r="M1647" s="5">
        <v>490336.42</v>
      </c>
      <c r="N1647" s="5">
        <v>0.17019999999999999</v>
      </c>
      <c r="O1647" s="5">
        <v>5</v>
      </c>
      <c r="P1647" s="5">
        <v>145155</v>
      </c>
    </row>
    <row r="1648" spans="1:16" x14ac:dyDescent="0.3">
      <c r="A1648" s="5">
        <v>117</v>
      </c>
      <c r="B1648" s="5" t="s">
        <v>121</v>
      </c>
      <c r="C1648" s="5">
        <v>11</v>
      </c>
      <c r="D1648" s="5" t="s">
        <v>83</v>
      </c>
      <c r="E1648" s="5">
        <v>2022</v>
      </c>
      <c r="F1648" s="5">
        <v>1</v>
      </c>
      <c r="G1648" s="5" t="s">
        <v>34</v>
      </c>
      <c r="H1648" s="5">
        <v>2893760</v>
      </c>
      <c r="I1648" s="5">
        <v>2420083.06</v>
      </c>
      <c r="J1648" s="5">
        <v>34</v>
      </c>
      <c r="K1648" s="5">
        <v>252971</v>
      </c>
      <c r="L1648" s="5">
        <v>3144480</v>
      </c>
      <c r="M1648" s="5">
        <v>473676.94</v>
      </c>
      <c r="N1648" s="5">
        <v>0.16370000000000001</v>
      </c>
      <c r="O1648" s="5">
        <v>2</v>
      </c>
      <c r="P1648" s="5">
        <v>83016</v>
      </c>
    </row>
    <row r="1649" spans="1:16" x14ac:dyDescent="0.3">
      <c r="A1649" s="5">
        <v>117</v>
      </c>
      <c r="B1649" s="5" t="s">
        <v>121</v>
      </c>
      <c r="C1649" s="5">
        <v>11</v>
      </c>
      <c r="D1649" s="5" t="s">
        <v>83</v>
      </c>
      <c r="E1649" s="5">
        <v>2022</v>
      </c>
      <c r="F1649" s="5">
        <v>2</v>
      </c>
      <c r="G1649" s="5" t="s">
        <v>35</v>
      </c>
      <c r="H1649" s="5">
        <v>1560937</v>
      </c>
      <c r="I1649" s="5">
        <v>1360893.44</v>
      </c>
      <c r="J1649" s="5">
        <v>28</v>
      </c>
      <c r="K1649" s="5">
        <v>203748</v>
      </c>
      <c r="L1649" s="5">
        <v>1759110</v>
      </c>
      <c r="M1649" s="5">
        <v>200043.56</v>
      </c>
      <c r="N1649" s="5">
        <v>0.12820000000000001</v>
      </c>
      <c r="O1649" s="5">
        <v>1</v>
      </c>
      <c r="P1649" s="5">
        <v>3081</v>
      </c>
    </row>
    <row r="1650" spans="1:16" x14ac:dyDescent="0.3">
      <c r="A1650" s="5">
        <v>117</v>
      </c>
      <c r="B1650" s="5" t="s">
        <v>121</v>
      </c>
      <c r="C1650" s="5">
        <v>11</v>
      </c>
      <c r="D1650" s="5" t="s">
        <v>83</v>
      </c>
      <c r="E1650" s="5">
        <v>2022</v>
      </c>
      <c r="F1650" s="5">
        <v>3</v>
      </c>
      <c r="G1650" s="5" t="s">
        <v>36</v>
      </c>
      <c r="H1650" s="5">
        <v>3927522</v>
      </c>
      <c r="I1650" s="5">
        <v>3343145.1</v>
      </c>
      <c r="J1650" s="5">
        <v>44</v>
      </c>
      <c r="K1650" s="5">
        <v>314965</v>
      </c>
      <c r="L1650" s="5">
        <v>4225410</v>
      </c>
      <c r="M1650" s="5">
        <v>584376.9</v>
      </c>
      <c r="N1650" s="5">
        <v>0.14879999999999999</v>
      </c>
      <c r="O1650" s="5">
        <v>1</v>
      </c>
      <c r="P1650" s="5">
        <v>1222</v>
      </c>
    </row>
    <row r="1651" spans="1:16" x14ac:dyDescent="0.3">
      <c r="A1651" s="5">
        <v>117</v>
      </c>
      <c r="B1651" s="5" t="s">
        <v>121</v>
      </c>
      <c r="C1651" s="5">
        <v>11</v>
      </c>
      <c r="D1651" s="5" t="s">
        <v>83</v>
      </c>
      <c r="E1651" s="5">
        <v>2022</v>
      </c>
      <c r="F1651" s="5">
        <v>4</v>
      </c>
      <c r="G1651" s="5" t="s">
        <v>37</v>
      </c>
      <c r="H1651" s="5">
        <v>2127024</v>
      </c>
      <c r="I1651" s="5">
        <v>1776315.32</v>
      </c>
      <c r="J1651" s="5">
        <v>40</v>
      </c>
      <c r="K1651" s="5">
        <v>199918</v>
      </c>
      <c r="L1651" s="5">
        <v>2322120</v>
      </c>
      <c r="M1651" s="5">
        <v>350708.68</v>
      </c>
      <c r="N1651" s="5">
        <v>0.16489999999999999</v>
      </c>
      <c r="O1651" s="5">
        <v>4</v>
      </c>
      <c r="P1651" s="5">
        <v>48189</v>
      </c>
    </row>
    <row r="1652" spans="1:16" x14ac:dyDescent="0.3">
      <c r="A1652" s="5">
        <v>117</v>
      </c>
      <c r="B1652" s="5" t="s">
        <v>121</v>
      </c>
      <c r="C1652" s="5">
        <v>11</v>
      </c>
      <c r="D1652" s="5" t="s">
        <v>83</v>
      </c>
      <c r="E1652" s="5">
        <v>2022</v>
      </c>
      <c r="F1652" s="5">
        <v>5</v>
      </c>
      <c r="G1652" s="5" t="s">
        <v>38</v>
      </c>
      <c r="H1652" s="5">
        <v>2042409</v>
      </c>
      <c r="I1652" s="5">
        <v>1793791.98</v>
      </c>
      <c r="J1652" s="5">
        <v>37</v>
      </c>
      <c r="K1652" s="5">
        <v>254953</v>
      </c>
      <c r="L1652" s="5">
        <v>2295990</v>
      </c>
      <c r="M1652" s="5">
        <v>248617.02</v>
      </c>
      <c r="N1652" s="5">
        <v>0.1217</v>
      </c>
      <c r="O1652" s="5">
        <v>4</v>
      </c>
      <c r="P1652" s="5">
        <v>43457</v>
      </c>
    </row>
    <row r="1653" spans="1:16" x14ac:dyDescent="0.3">
      <c r="A1653" s="5">
        <v>117</v>
      </c>
      <c r="B1653" s="5" t="s">
        <v>121</v>
      </c>
      <c r="C1653" s="5">
        <v>11</v>
      </c>
      <c r="D1653" s="5" t="s">
        <v>83</v>
      </c>
      <c r="E1653" s="5">
        <v>2022</v>
      </c>
      <c r="F1653" s="5">
        <v>6</v>
      </c>
      <c r="G1653" s="5" t="s">
        <v>39</v>
      </c>
      <c r="H1653" s="5">
        <v>2847294</v>
      </c>
      <c r="I1653" s="5">
        <v>2413889.6</v>
      </c>
      <c r="J1653" s="5">
        <v>46</v>
      </c>
      <c r="K1653" s="5">
        <v>314314</v>
      </c>
      <c r="L1653" s="5">
        <v>3145120</v>
      </c>
      <c r="M1653" s="5">
        <v>433404.4</v>
      </c>
      <c r="N1653" s="5">
        <v>0.1522</v>
      </c>
      <c r="O1653" s="5">
        <v>5</v>
      </c>
      <c r="P1653" s="5">
        <v>177571</v>
      </c>
    </row>
    <row r="1654" spans="1:16" x14ac:dyDescent="0.3">
      <c r="A1654" s="5">
        <v>117</v>
      </c>
      <c r="B1654" s="5" t="s">
        <v>121</v>
      </c>
      <c r="C1654" s="5">
        <v>11</v>
      </c>
      <c r="D1654" s="5" t="s">
        <v>83</v>
      </c>
      <c r="E1654" s="5">
        <v>2022</v>
      </c>
      <c r="F1654" s="5">
        <v>7</v>
      </c>
      <c r="G1654" s="5" t="s">
        <v>40</v>
      </c>
      <c r="H1654" s="5">
        <v>2692758</v>
      </c>
      <c r="I1654" s="5">
        <v>2428366.66</v>
      </c>
      <c r="J1654" s="5">
        <v>44</v>
      </c>
      <c r="K1654" s="5">
        <v>432851</v>
      </c>
      <c r="L1654" s="5">
        <v>3122340</v>
      </c>
      <c r="M1654" s="5">
        <v>264391.34000000003</v>
      </c>
      <c r="N1654" s="5">
        <v>9.8199999999999996E-2</v>
      </c>
      <c r="O1654" s="5">
        <v>3</v>
      </c>
      <c r="P1654" s="5">
        <v>108203</v>
      </c>
    </row>
    <row r="1655" spans="1:16" x14ac:dyDescent="0.3">
      <c r="A1655" s="5">
        <v>117</v>
      </c>
      <c r="B1655" s="5" t="s">
        <v>121</v>
      </c>
      <c r="C1655" s="5">
        <v>11</v>
      </c>
      <c r="D1655" s="5" t="s">
        <v>83</v>
      </c>
      <c r="E1655" s="5">
        <v>2022</v>
      </c>
      <c r="F1655" s="5">
        <v>8</v>
      </c>
      <c r="G1655" s="5" t="s">
        <v>41</v>
      </c>
      <c r="H1655" s="5">
        <v>2773272</v>
      </c>
      <c r="I1655" s="5">
        <v>2634068.23</v>
      </c>
      <c r="J1655" s="5">
        <v>37</v>
      </c>
      <c r="K1655" s="5">
        <v>636825</v>
      </c>
      <c r="L1655" s="5">
        <v>3396960</v>
      </c>
      <c r="M1655" s="5">
        <v>139203.76999999999</v>
      </c>
      <c r="N1655" s="5">
        <v>5.0200000000000002E-2</v>
      </c>
      <c r="O1655" s="5">
        <v>2</v>
      </c>
      <c r="P1655" s="5">
        <v>71178</v>
      </c>
    </row>
    <row r="1656" spans="1:16" x14ac:dyDescent="0.3">
      <c r="A1656" s="5">
        <v>117</v>
      </c>
      <c r="B1656" s="5" t="s">
        <v>121</v>
      </c>
      <c r="C1656" s="5">
        <v>11</v>
      </c>
      <c r="D1656" s="5" t="s">
        <v>83</v>
      </c>
      <c r="E1656" s="5">
        <v>2022</v>
      </c>
      <c r="F1656" s="5">
        <v>9</v>
      </c>
      <c r="G1656" s="5" t="s">
        <v>42</v>
      </c>
      <c r="H1656" s="5">
        <v>2167605</v>
      </c>
      <c r="I1656" s="5">
        <v>1924617.74</v>
      </c>
      <c r="J1656" s="5">
        <v>30</v>
      </c>
      <c r="K1656" s="5">
        <v>274005</v>
      </c>
      <c r="L1656" s="5">
        <v>2434250</v>
      </c>
      <c r="M1656" s="5">
        <v>242987.26</v>
      </c>
      <c r="N1656" s="5">
        <v>0.11210000000000001</v>
      </c>
      <c r="O1656" s="5">
        <v>2</v>
      </c>
      <c r="P1656" s="5">
        <v>61303</v>
      </c>
    </row>
    <row r="1657" spans="1:16" x14ac:dyDescent="0.3">
      <c r="A1657" s="5">
        <v>117</v>
      </c>
      <c r="B1657" s="5" t="s">
        <v>121</v>
      </c>
      <c r="C1657" s="5">
        <v>11</v>
      </c>
      <c r="D1657" s="5" t="s">
        <v>83</v>
      </c>
      <c r="E1657" s="5">
        <v>2022</v>
      </c>
      <c r="F1657" s="5">
        <v>10</v>
      </c>
      <c r="G1657" s="5" t="s">
        <v>43</v>
      </c>
      <c r="H1657" s="5">
        <v>3138925</v>
      </c>
      <c r="I1657" s="5">
        <v>2944141.7</v>
      </c>
      <c r="J1657" s="5">
        <v>52</v>
      </c>
      <c r="K1657" s="5">
        <v>661813</v>
      </c>
      <c r="L1657" s="5">
        <v>3797500</v>
      </c>
      <c r="M1657" s="5">
        <v>194783.3</v>
      </c>
      <c r="N1657" s="5">
        <v>6.2100000000000002E-2</v>
      </c>
      <c r="O1657" s="5">
        <v>7</v>
      </c>
      <c r="P1657" s="5">
        <v>354634</v>
      </c>
    </row>
    <row r="1658" spans="1:16" x14ac:dyDescent="0.3">
      <c r="A1658" s="5">
        <v>117</v>
      </c>
      <c r="B1658" s="5" t="s">
        <v>121</v>
      </c>
      <c r="C1658" s="5">
        <v>11</v>
      </c>
      <c r="D1658" s="5" t="s">
        <v>83</v>
      </c>
      <c r="E1658" s="5">
        <v>2022</v>
      </c>
      <c r="F1658" s="5">
        <v>11</v>
      </c>
      <c r="G1658" s="5" t="s">
        <v>44</v>
      </c>
      <c r="H1658" s="5">
        <v>4192509</v>
      </c>
      <c r="I1658" s="5">
        <v>3612781.59</v>
      </c>
      <c r="J1658" s="5">
        <v>54</v>
      </c>
      <c r="K1658" s="5">
        <v>406264</v>
      </c>
      <c r="L1658" s="5">
        <v>4583840</v>
      </c>
      <c r="M1658" s="5">
        <v>579727.41</v>
      </c>
      <c r="N1658" s="5">
        <v>0.13830000000000001</v>
      </c>
      <c r="O1658" s="5">
        <v>3</v>
      </c>
      <c r="P1658" s="5">
        <v>53414</v>
      </c>
    </row>
    <row r="1659" spans="1:16" x14ac:dyDescent="0.3">
      <c r="A1659" s="5">
        <v>117</v>
      </c>
      <c r="B1659" s="5" t="s">
        <v>121</v>
      </c>
      <c r="C1659" s="5">
        <v>11</v>
      </c>
      <c r="D1659" s="5" t="s">
        <v>83</v>
      </c>
      <c r="E1659" s="5">
        <v>2022</v>
      </c>
      <c r="F1659" s="5">
        <v>12</v>
      </c>
      <c r="G1659" s="5" t="s">
        <v>45</v>
      </c>
      <c r="H1659" s="5">
        <v>3481939</v>
      </c>
      <c r="I1659" s="5">
        <v>2822659.99</v>
      </c>
      <c r="J1659" s="5">
        <v>53</v>
      </c>
      <c r="K1659" s="5">
        <v>220212</v>
      </c>
      <c r="L1659" s="5">
        <v>3691220</v>
      </c>
      <c r="M1659" s="5">
        <v>659279.01</v>
      </c>
      <c r="N1659" s="5">
        <v>0.1893</v>
      </c>
      <c r="O1659" s="5">
        <v>1</v>
      </c>
      <c r="P1659" s="5">
        <v>2101</v>
      </c>
    </row>
    <row r="1660" spans="1:16" x14ac:dyDescent="0.3">
      <c r="A1660" s="5">
        <v>117</v>
      </c>
      <c r="B1660" s="5" t="s">
        <v>121</v>
      </c>
      <c r="C1660" s="5">
        <v>11</v>
      </c>
      <c r="D1660" s="5" t="s">
        <v>83</v>
      </c>
      <c r="E1660" s="5">
        <v>2023</v>
      </c>
      <c r="F1660" s="5">
        <v>1</v>
      </c>
      <c r="G1660" s="5" t="s">
        <v>46</v>
      </c>
      <c r="H1660" s="5">
        <v>2963046</v>
      </c>
      <c r="I1660" s="5">
        <v>2600793.66</v>
      </c>
      <c r="J1660" s="5">
        <v>52</v>
      </c>
      <c r="K1660" s="5">
        <v>418967</v>
      </c>
      <c r="L1660" s="5">
        <v>3373680</v>
      </c>
      <c r="M1660" s="5">
        <v>362252.34</v>
      </c>
      <c r="N1660" s="5">
        <v>0.12230000000000001</v>
      </c>
      <c r="O1660" s="5">
        <v>1</v>
      </c>
      <c r="P1660" s="5">
        <v>55711</v>
      </c>
    </row>
    <row r="1661" spans="1:16" x14ac:dyDescent="0.3">
      <c r="A1661" s="5">
        <v>117</v>
      </c>
      <c r="B1661" s="5" t="s">
        <v>121</v>
      </c>
      <c r="C1661" s="5">
        <v>11</v>
      </c>
      <c r="D1661" s="5" t="s">
        <v>83</v>
      </c>
      <c r="E1661" s="5">
        <v>2023</v>
      </c>
      <c r="F1661" s="5">
        <v>2</v>
      </c>
      <c r="G1661" s="5" t="s">
        <v>47</v>
      </c>
      <c r="H1661" s="5">
        <v>1604951</v>
      </c>
      <c r="I1661" s="5">
        <v>1349979.17</v>
      </c>
      <c r="J1661" s="5">
        <v>32</v>
      </c>
      <c r="K1661" s="5">
        <v>141546</v>
      </c>
      <c r="L1661" s="5">
        <v>1739230</v>
      </c>
      <c r="M1661" s="5">
        <v>254971.83</v>
      </c>
      <c r="N1661" s="5">
        <v>0.15890000000000001</v>
      </c>
      <c r="O1661" s="5">
        <v>1</v>
      </c>
      <c r="P1661" s="5">
        <v>73458</v>
      </c>
    </row>
    <row r="1662" spans="1:16" x14ac:dyDescent="0.3">
      <c r="A1662" s="5">
        <v>117</v>
      </c>
      <c r="B1662" s="5" t="s">
        <v>121</v>
      </c>
      <c r="C1662" s="5">
        <v>11</v>
      </c>
      <c r="D1662" s="5" t="s">
        <v>83</v>
      </c>
      <c r="E1662" s="5">
        <v>2023</v>
      </c>
      <c r="F1662" s="5">
        <v>3</v>
      </c>
      <c r="G1662" s="5" t="s">
        <v>48</v>
      </c>
      <c r="H1662" s="5">
        <v>2978304</v>
      </c>
      <c r="I1662" s="5">
        <v>2591502.87</v>
      </c>
      <c r="J1662" s="5">
        <v>35</v>
      </c>
      <c r="K1662" s="5">
        <v>340029</v>
      </c>
      <c r="L1662" s="5">
        <v>3307570</v>
      </c>
      <c r="M1662" s="5">
        <v>386801.13</v>
      </c>
      <c r="N1662" s="5">
        <v>0.12989999999999999</v>
      </c>
      <c r="O1662" s="5">
        <v>1</v>
      </c>
      <c r="P1662" s="5">
        <v>6194</v>
      </c>
    </row>
    <row r="1663" spans="1:16" x14ac:dyDescent="0.3">
      <c r="A1663" s="5">
        <v>117</v>
      </c>
      <c r="B1663" s="5" t="s">
        <v>121</v>
      </c>
      <c r="C1663" s="5">
        <v>11</v>
      </c>
      <c r="D1663" s="5" t="s">
        <v>83</v>
      </c>
      <c r="E1663" s="5">
        <v>2023</v>
      </c>
      <c r="F1663" s="5">
        <v>4</v>
      </c>
      <c r="G1663" s="5" t="s">
        <v>49</v>
      </c>
      <c r="H1663" s="5">
        <v>2679040</v>
      </c>
      <c r="I1663" s="5">
        <v>2381778.0499999998</v>
      </c>
      <c r="J1663" s="5">
        <v>44</v>
      </c>
      <c r="K1663" s="5">
        <v>413995</v>
      </c>
      <c r="L1663" s="5">
        <v>3084700</v>
      </c>
      <c r="M1663" s="5">
        <v>297261.95</v>
      </c>
      <c r="N1663" s="5">
        <v>0.111</v>
      </c>
      <c r="O1663" s="5">
        <v>4</v>
      </c>
      <c r="P1663" s="5">
        <v>137683</v>
      </c>
    </row>
    <row r="1664" spans="1:16" x14ac:dyDescent="0.3">
      <c r="A1664" s="5">
        <v>117</v>
      </c>
      <c r="B1664" s="5" t="s">
        <v>121</v>
      </c>
      <c r="C1664" s="5">
        <v>11</v>
      </c>
      <c r="D1664" s="5" t="s">
        <v>83</v>
      </c>
      <c r="E1664" s="5">
        <v>2023</v>
      </c>
      <c r="F1664" s="5">
        <v>5</v>
      </c>
      <c r="G1664" s="5" t="s">
        <v>50</v>
      </c>
      <c r="H1664" s="5">
        <v>3214695</v>
      </c>
      <c r="I1664" s="5">
        <v>2810420.3</v>
      </c>
      <c r="J1664" s="5">
        <v>62</v>
      </c>
      <c r="K1664" s="5">
        <v>457874</v>
      </c>
      <c r="L1664" s="5">
        <v>3666260</v>
      </c>
      <c r="M1664" s="5">
        <v>404274.7</v>
      </c>
      <c r="N1664" s="5">
        <v>0.1258</v>
      </c>
      <c r="O1664" s="5">
        <v>8</v>
      </c>
      <c r="P1664" s="5">
        <v>177765</v>
      </c>
    </row>
    <row r="1665" spans="1:16" x14ac:dyDescent="0.3">
      <c r="A1665" s="5">
        <v>117</v>
      </c>
      <c r="B1665" s="5" t="s">
        <v>121</v>
      </c>
      <c r="C1665" s="5">
        <v>11</v>
      </c>
      <c r="D1665" s="5" t="s">
        <v>83</v>
      </c>
      <c r="E1665" s="5">
        <v>2023</v>
      </c>
      <c r="F1665" s="5">
        <v>6</v>
      </c>
      <c r="G1665" s="5" t="s">
        <v>51</v>
      </c>
      <c r="H1665" s="5">
        <v>4806810</v>
      </c>
      <c r="I1665" s="5">
        <v>4159904.23</v>
      </c>
      <c r="J1665" s="5">
        <v>57</v>
      </c>
      <c r="K1665" s="5">
        <v>430011</v>
      </c>
      <c r="L1665" s="5">
        <v>5218340</v>
      </c>
      <c r="M1665" s="5">
        <v>646905.77</v>
      </c>
      <c r="N1665" s="5">
        <v>0.1346</v>
      </c>
      <c r="O1665" s="5">
        <v>4</v>
      </c>
      <c r="P1665" s="5">
        <v>216838</v>
      </c>
    </row>
    <row r="1666" spans="1:16" x14ac:dyDescent="0.3">
      <c r="A1666" s="5">
        <v>117</v>
      </c>
      <c r="B1666" s="5" t="s">
        <v>121</v>
      </c>
      <c r="C1666" s="5">
        <v>11</v>
      </c>
      <c r="D1666" s="5" t="s">
        <v>83</v>
      </c>
      <c r="E1666" s="5">
        <v>2023</v>
      </c>
      <c r="F1666" s="5">
        <v>7</v>
      </c>
      <c r="G1666" s="5" t="s">
        <v>52</v>
      </c>
      <c r="H1666" s="5">
        <v>2193861</v>
      </c>
      <c r="I1666" s="5">
        <v>1904644.07</v>
      </c>
      <c r="J1666" s="5">
        <v>50</v>
      </c>
      <c r="K1666" s="5">
        <v>274077</v>
      </c>
      <c r="L1666" s="5">
        <v>2461920</v>
      </c>
      <c r="M1666" s="5">
        <v>289216.93</v>
      </c>
      <c r="N1666" s="5">
        <v>0.1318</v>
      </c>
      <c r="O1666" s="5">
        <v>5</v>
      </c>
      <c r="P1666" s="5">
        <v>151998</v>
      </c>
    </row>
    <row r="1667" spans="1:16" x14ac:dyDescent="0.3">
      <c r="A1667" s="5">
        <v>117</v>
      </c>
      <c r="B1667" s="5" t="s">
        <v>121</v>
      </c>
      <c r="C1667" s="5">
        <v>11</v>
      </c>
      <c r="D1667" s="5" t="s">
        <v>83</v>
      </c>
      <c r="E1667" s="5">
        <v>2023</v>
      </c>
      <c r="F1667" s="5">
        <v>8</v>
      </c>
      <c r="G1667" s="5" t="s">
        <v>53</v>
      </c>
      <c r="H1667" s="5">
        <v>3342745</v>
      </c>
      <c r="I1667" s="5">
        <v>2917554.1</v>
      </c>
      <c r="J1667" s="5">
        <v>47</v>
      </c>
      <c r="K1667" s="5">
        <v>404757</v>
      </c>
      <c r="L1667" s="5">
        <v>3731690</v>
      </c>
      <c r="M1667" s="5">
        <v>425190.9</v>
      </c>
      <c r="N1667" s="5">
        <v>0.12720000000000001</v>
      </c>
      <c r="O1667" s="5">
        <v>5</v>
      </c>
      <c r="P1667" s="5">
        <v>150338</v>
      </c>
    </row>
    <row r="1668" spans="1:16" x14ac:dyDescent="0.3">
      <c r="A1668" s="5">
        <v>117</v>
      </c>
      <c r="B1668" s="5" t="s">
        <v>121</v>
      </c>
      <c r="C1668" s="5">
        <v>11</v>
      </c>
      <c r="D1668" s="5" t="s">
        <v>83</v>
      </c>
      <c r="E1668" s="5">
        <v>2023</v>
      </c>
      <c r="F1668" s="5">
        <v>9</v>
      </c>
      <c r="G1668" s="5" t="s">
        <v>54</v>
      </c>
      <c r="H1668" s="5">
        <v>2464948</v>
      </c>
      <c r="I1668" s="5">
        <v>2137972.4</v>
      </c>
      <c r="J1668" s="5">
        <v>48</v>
      </c>
      <c r="K1668" s="5">
        <v>386963</v>
      </c>
      <c r="L1668" s="5">
        <v>2841070</v>
      </c>
      <c r="M1668" s="5">
        <v>326975.59999999998</v>
      </c>
      <c r="N1668" s="5">
        <v>0.13270000000000001</v>
      </c>
      <c r="O1668" s="5">
        <v>3</v>
      </c>
      <c r="P1668" s="5">
        <v>89015</v>
      </c>
    </row>
    <row r="1669" spans="1:16" x14ac:dyDescent="0.3">
      <c r="A1669" s="5">
        <v>117</v>
      </c>
      <c r="B1669" s="5" t="s">
        <v>121</v>
      </c>
      <c r="C1669" s="5">
        <v>11</v>
      </c>
      <c r="D1669" s="5" t="s">
        <v>83</v>
      </c>
      <c r="E1669" s="5">
        <v>2023</v>
      </c>
      <c r="F1669" s="5">
        <v>10</v>
      </c>
      <c r="G1669" s="5" t="s">
        <v>55</v>
      </c>
      <c r="H1669" s="5">
        <v>6545880</v>
      </c>
      <c r="I1669" s="5">
        <v>5909961.1100000003</v>
      </c>
      <c r="J1669" s="5">
        <v>82</v>
      </c>
      <c r="K1669" s="5">
        <v>968329</v>
      </c>
      <c r="L1669" s="5">
        <v>7500850</v>
      </c>
      <c r="M1669" s="5">
        <v>635918.89</v>
      </c>
      <c r="N1669" s="5">
        <v>9.7100000000000006E-2</v>
      </c>
      <c r="O1669" s="5">
        <v>6</v>
      </c>
      <c r="P1669" s="5">
        <v>100762</v>
      </c>
    </row>
    <row r="1670" spans="1:16" x14ac:dyDescent="0.3">
      <c r="A1670" s="5">
        <v>117</v>
      </c>
      <c r="B1670" s="5" t="s">
        <v>121</v>
      </c>
      <c r="C1670" s="5">
        <v>11</v>
      </c>
      <c r="D1670" s="5" t="s">
        <v>83</v>
      </c>
      <c r="E1670" s="5">
        <v>2023</v>
      </c>
      <c r="F1670" s="5">
        <v>11</v>
      </c>
      <c r="G1670" s="5" t="s">
        <v>56</v>
      </c>
      <c r="H1670" s="5">
        <v>6203233</v>
      </c>
      <c r="I1670" s="5">
        <v>5516141.0999999996</v>
      </c>
      <c r="J1670" s="5">
        <v>82</v>
      </c>
      <c r="K1670" s="5">
        <v>859142</v>
      </c>
      <c r="L1670" s="5">
        <v>7038730</v>
      </c>
      <c r="M1670" s="5">
        <v>687091.9</v>
      </c>
      <c r="N1670" s="5">
        <v>0.1108</v>
      </c>
      <c r="O1670" s="5">
        <v>9</v>
      </c>
      <c r="P1670" s="5">
        <v>159101</v>
      </c>
    </row>
    <row r="1671" spans="1:16" x14ac:dyDescent="0.3">
      <c r="A1671" s="5">
        <v>117</v>
      </c>
      <c r="B1671" s="5" t="s">
        <v>121</v>
      </c>
      <c r="C1671" s="5">
        <v>11</v>
      </c>
      <c r="D1671" s="5" t="s">
        <v>83</v>
      </c>
      <c r="E1671" s="5">
        <v>2023</v>
      </c>
      <c r="F1671" s="5">
        <v>12</v>
      </c>
      <c r="G1671" s="5" t="s">
        <v>57</v>
      </c>
      <c r="H1671" s="5">
        <v>4080415</v>
      </c>
      <c r="I1671" s="5">
        <v>3647877.4</v>
      </c>
      <c r="J1671" s="5">
        <v>68</v>
      </c>
      <c r="K1671" s="5">
        <v>659956</v>
      </c>
      <c r="L1671" s="5">
        <v>4731660</v>
      </c>
      <c r="M1671" s="5">
        <v>432537.59999999998</v>
      </c>
      <c r="N1671" s="5">
        <v>0.106</v>
      </c>
      <c r="O1671" s="5">
        <v>2</v>
      </c>
      <c r="P1671" s="5">
        <v>9080</v>
      </c>
    </row>
    <row r="1672" spans="1:16" x14ac:dyDescent="0.3">
      <c r="A1672" s="5">
        <v>117</v>
      </c>
      <c r="B1672" s="5" t="s">
        <v>121</v>
      </c>
      <c r="C1672" s="5">
        <v>11</v>
      </c>
      <c r="D1672" s="5" t="s">
        <v>83</v>
      </c>
      <c r="E1672" s="5">
        <v>2024</v>
      </c>
      <c r="F1672" s="5">
        <v>1</v>
      </c>
      <c r="G1672" s="5" t="s">
        <v>58</v>
      </c>
      <c r="H1672" s="5">
        <v>3231303</v>
      </c>
      <c r="I1672" s="5">
        <v>2877474.96</v>
      </c>
      <c r="J1672" s="5">
        <v>53</v>
      </c>
      <c r="K1672" s="5">
        <v>553934</v>
      </c>
      <c r="L1672" s="5">
        <v>3773500</v>
      </c>
      <c r="M1672" s="5">
        <v>353828.04</v>
      </c>
      <c r="N1672" s="5">
        <v>0.1095</v>
      </c>
      <c r="O1672" s="5">
        <v>3</v>
      </c>
      <c r="P1672" s="5">
        <v>142133</v>
      </c>
    </row>
    <row r="1673" spans="1:16" x14ac:dyDescent="0.3">
      <c r="A1673" s="5">
        <v>117</v>
      </c>
      <c r="B1673" s="5" t="s">
        <v>121</v>
      </c>
      <c r="C1673" s="5">
        <v>11</v>
      </c>
      <c r="D1673" s="5" t="s">
        <v>83</v>
      </c>
      <c r="E1673" s="5">
        <v>2024</v>
      </c>
      <c r="F1673" s="5">
        <v>2</v>
      </c>
      <c r="G1673" s="5" t="s">
        <v>59</v>
      </c>
      <c r="H1673" s="5">
        <v>3341561</v>
      </c>
      <c r="I1673" s="5">
        <v>2876265.46</v>
      </c>
      <c r="J1673" s="5">
        <v>38</v>
      </c>
      <c r="K1673" s="5">
        <v>356647</v>
      </c>
      <c r="L1673" s="5">
        <v>3686760</v>
      </c>
      <c r="M1673" s="5">
        <v>465295.54</v>
      </c>
      <c r="N1673" s="5">
        <v>0.13919999999999999</v>
      </c>
      <c r="O1673" s="5">
        <v>2</v>
      </c>
      <c r="P1673" s="5">
        <v>221846</v>
      </c>
    </row>
    <row r="1674" spans="1:16" x14ac:dyDescent="0.3">
      <c r="A1674" s="5">
        <v>117</v>
      </c>
      <c r="B1674" s="5" t="s">
        <v>121</v>
      </c>
      <c r="C1674" s="5">
        <v>11</v>
      </c>
      <c r="D1674" s="5" t="s">
        <v>83</v>
      </c>
      <c r="E1674" s="5">
        <v>2024</v>
      </c>
      <c r="F1674" s="5">
        <v>3</v>
      </c>
      <c r="G1674" s="5" t="s">
        <v>60</v>
      </c>
      <c r="H1674" s="5">
        <v>4123382</v>
      </c>
      <c r="I1674" s="5">
        <v>3462018.77</v>
      </c>
      <c r="J1674" s="5">
        <v>70</v>
      </c>
      <c r="K1674" s="5">
        <v>408556</v>
      </c>
      <c r="L1674" s="5">
        <v>4514450</v>
      </c>
      <c r="M1674" s="5">
        <v>661363.23</v>
      </c>
      <c r="N1674" s="5">
        <v>0.16039999999999999</v>
      </c>
      <c r="O1674" s="5">
        <v>6</v>
      </c>
      <c r="P1674" s="5">
        <v>299712</v>
      </c>
    </row>
    <row r="1675" spans="1:16" x14ac:dyDescent="0.3">
      <c r="A1675" s="5">
        <v>117</v>
      </c>
      <c r="B1675" s="5" t="s">
        <v>121</v>
      </c>
      <c r="C1675" s="5">
        <v>11</v>
      </c>
      <c r="D1675" s="5" t="s">
        <v>83</v>
      </c>
      <c r="E1675" s="5">
        <v>2024</v>
      </c>
      <c r="F1675" s="5">
        <v>4</v>
      </c>
      <c r="G1675" s="5" t="s">
        <v>61</v>
      </c>
      <c r="H1675" s="5">
        <v>3537067</v>
      </c>
      <c r="I1675" s="5">
        <v>2980544.11</v>
      </c>
      <c r="J1675" s="5">
        <v>52</v>
      </c>
      <c r="K1675" s="5">
        <v>381448</v>
      </c>
      <c r="L1675" s="5">
        <v>3905530</v>
      </c>
      <c r="M1675" s="5">
        <v>556522.89</v>
      </c>
      <c r="N1675" s="5">
        <v>0.1573</v>
      </c>
      <c r="O1675" s="5">
        <v>6</v>
      </c>
      <c r="P1675" s="5">
        <v>220670</v>
      </c>
    </row>
    <row r="1676" spans="1:16" x14ac:dyDescent="0.3">
      <c r="A1676" s="5">
        <v>117</v>
      </c>
      <c r="B1676" s="5" t="s">
        <v>121</v>
      </c>
      <c r="C1676" s="5">
        <v>11</v>
      </c>
      <c r="D1676" s="5" t="s">
        <v>83</v>
      </c>
      <c r="E1676" s="5">
        <v>2024</v>
      </c>
      <c r="F1676" s="5">
        <v>5</v>
      </c>
      <c r="G1676" s="5" t="s">
        <v>62</v>
      </c>
      <c r="H1676" s="5">
        <v>3013616</v>
      </c>
      <c r="I1676" s="5">
        <v>2649541.71</v>
      </c>
      <c r="J1676" s="5">
        <v>62</v>
      </c>
      <c r="K1676" s="5">
        <v>447476</v>
      </c>
      <c r="L1676" s="5">
        <v>3446970</v>
      </c>
      <c r="M1676" s="5">
        <v>364074.29</v>
      </c>
      <c r="N1676" s="5">
        <v>0.1208</v>
      </c>
      <c r="O1676" s="5">
        <v>3</v>
      </c>
      <c r="P1676" s="5">
        <v>119009</v>
      </c>
    </row>
    <row r="1677" spans="1:16" x14ac:dyDescent="0.3">
      <c r="A1677" s="5">
        <v>117</v>
      </c>
      <c r="B1677" s="5" t="s">
        <v>121</v>
      </c>
      <c r="C1677" s="5">
        <v>11</v>
      </c>
      <c r="D1677" s="5" t="s">
        <v>83</v>
      </c>
      <c r="E1677" s="5">
        <v>2024</v>
      </c>
      <c r="F1677" s="5">
        <v>6</v>
      </c>
      <c r="G1677" s="5" t="s">
        <v>63</v>
      </c>
      <c r="H1677" s="5">
        <v>3825348</v>
      </c>
      <c r="I1677" s="5">
        <v>3110592.39</v>
      </c>
      <c r="J1677" s="5">
        <v>44</v>
      </c>
      <c r="K1677" s="5">
        <v>209676</v>
      </c>
      <c r="L1677" s="5">
        <v>4025700</v>
      </c>
      <c r="M1677" s="5">
        <v>714755.61</v>
      </c>
      <c r="N1677" s="5">
        <v>0.18679999999999999</v>
      </c>
      <c r="O1677" s="5">
        <v>2</v>
      </c>
      <c r="P1677" s="5">
        <v>227596</v>
      </c>
    </row>
    <row r="1678" spans="1:16" x14ac:dyDescent="0.3">
      <c r="A1678" s="5">
        <v>117</v>
      </c>
      <c r="B1678" s="5" t="s">
        <v>121</v>
      </c>
      <c r="C1678" s="5">
        <v>11</v>
      </c>
      <c r="D1678" s="5" t="s">
        <v>83</v>
      </c>
      <c r="E1678" s="5">
        <v>2024</v>
      </c>
      <c r="F1678" s="5">
        <v>7</v>
      </c>
      <c r="G1678" s="5" t="s">
        <v>64</v>
      </c>
      <c r="H1678" s="5">
        <v>4118527</v>
      </c>
      <c r="I1678" s="5">
        <v>3558932.36</v>
      </c>
      <c r="J1678" s="5">
        <v>62</v>
      </c>
      <c r="K1678" s="5">
        <v>433299</v>
      </c>
      <c r="L1678" s="5">
        <v>4544490</v>
      </c>
      <c r="M1678" s="5">
        <v>559594.64</v>
      </c>
      <c r="N1678" s="5">
        <v>0.13589999999999999</v>
      </c>
      <c r="O1678" s="5">
        <v>7</v>
      </c>
      <c r="P1678" s="5">
        <v>332713</v>
      </c>
    </row>
    <row r="1679" spans="1:16" x14ac:dyDescent="0.3">
      <c r="A1679" s="5">
        <v>117</v>
      </c>
      <c r="B1679" s="5" t="s">
        <v>121</v>
      </c>
      <c r="C1679" s="5">
        <v>11</v>
      </c>
      <c r="D1679" s="5" t="s">
        <v>83</v>
      </c>
      <c r="E1679" s="5">
        <v>2024</v>
      </c>
      <c r="F1679" s="5">
        <v>8</v>
      </c>
      <c r="G1679" s="5" t="s">
        <v>65</v>
      </c>
      <c r="H1679" s="5">
        <v>3810380</v>
      </c>
      <c r="I1679" s="5">
        <v>3276886.61</v>
      </c>
      <c r="J1679" s="5">
        <v>55</v>
      </c>
      <c r="K1679" s="5">
        <v>399852</v>
      </c>
      <c r="L1679" s="5">
        <v>4204520</v>
      </c>
      <c r="M1679" s="5">
        <v>533493.39</v>
      </c>
      <c r="N1679" s="5">
        <v>0.14000000000000001</v>
      </c>
      <c r="O1679" s="5">
        <v>6</v>
      </c>
      <c r="P1679" s="5">
        <v>237447</v>
      </c>
    </row>
    <row r="1680" spans="1:16" x14ac:dyDescent="0.3">
      <c r="A1680" s="5">
        <v>117</v>
      </c>
      <c r="B1680" s="5" t="s">
        <v>121</v>
      </c>
      <c r="C1680" s="5">
        <v>11</v>
      </c>
      <c r="D1680" s="5" t="s">
        <v>83</v>
      </c>
      <c r="E1680" s="5">
        <v>2024</v>
      </c>
      <c r="F1680" s="5">
        <v>9</v>
      </c>
      <c r="G1680" s="5" t="s">
        <v>66</v>
      </c>
      <c r="H1680" s="5">
        <v>4660700</v>
      </c>
      <c r="I1680" s="5">
        <v>3782358.81</v>
      </c>
      <c r="J1680" s="5">
        <v>65</v>
      </c>
      <c r="K1680" s="5">
        <v>278441</v>
      </c>
      <c r="L1680" s="5">
        <v>4921410</v>
      </c>
      <c r="M1680" s="5">
        <v>878341.19</v>
      </c>
      <c r="N1680" s="5">
        <v>0.1885</v>
      </c>
      <c r="O1680" s="5">
        <v>7</v>
      </c>
      <c r="P1680" s="5">
        <v>306167</v>
      </c>
    </row>
    <row r="1681" spans="1:16" x14ac:dyDescent="0.3">
      <c r="A1681" s="5">
        <v>117</v>
      </c>
      <c r="B1681" s="5" t="s">
        <v>121</v>
      </c>
      <c r="C1681" s="5">
        <v>11</v>
      </c>
      <c r="D1681" s="5" t="s">
        <v>83</v>
      </c>
      <c r="E1681" s="5">
        <v>2024</v>
      </c>
      <c r="F1681" s="5">
        <v>10</v>
      </c>
      <c r="G1681" s="5" t="s">
        <v>67</v>
      </c>
      <c r="H1681" s="5">
        <v>6142830</v>
      </c>
      <c r="I1681" s="5">
        <v>4901993.79</v>
      </c>
      <c r="J1681" s="5">
        <v>79</v>
      </c>
      <c r="K1681" s="5">
        <v>200872</v>
      </c>
      <c r="L1681" s="5">
        <v>6324610</v>
      </c>
      <c r="M1681" s="5">
        <v>1240836.21</v>
      </c>
      <c r="N1681" s="5">
        <v>0.20200000000000001</v>
      </c>
      <c r="O1681" s="5">
        <v>6</v>
      </c>
      <c r="P1681" s="5">
        <v>195087</v>
      </c>
    </row>
    <row r="1682" spans="1:16" x14ac:dyDescent="0.3">
      <c r="A1682" s="5">
        <v>117</v>
      </c>
      <c r="B1682" s="5" t="s">
        <v>121</v>
      </c>
      <c r="C1682" s="5">
        <v>11</v>
      </c>
      <c r="D1682" s="5" t="s">
        <v>83</v>
      </c>
      <c r="E1682" s="5">
        <v>2024</v>
      </c>
      <c r="F1682" s="5">
        <v>11</v>
      </c>
      <c r="G1682" s="5" t="s">
        <v>68</v>
      </c>
      <c r="H1682" s="5">
        <v>3606518</v>
      </c>
      <c r="I1682" s="5">
        <v>2981585.7</v>
      </c>
      <c r="J1682" s="5">
        <v>66</v>
      </c>
      <c r="K1682" s="5">
        <v>257494</v>
      </c>
      <c r="L1682" s="5">
        <v>3853850</v>
      </c>
      <c r="M1682" s="5">
        <v>624932.30000000005</v>
      </c>
      <c r="N1682" s="5">
        <v>0.17330000000000001</v>
      </c>
      <c r="O1682" s="5">
        <v>8</v>
      </c>
      <c r="P1682" s="5">
        <v>388872</v>
      </c>
    </row>
    <row r="1683" spans="1:16" x14ac:dyDescent="0.3">
      <c r="A1683" s="5">
        <v>117</v>
      </c>
      <c r="B1683" s="5" t="s">
        <v>121</v>
      </c>
      <c r="C1683" s="5">
        <v>11</v>
      </c>
      <c r="D1683" s="5" t="s">
        <v>83</v>
      </c>
      <c r="E1683" s="5">
        <v>2024</v>
      </c>
      <c r="F1683" s="5">
        <v>12</v>
      </c>
      <c r="G1683" s="5" t="s">
        <v>69</v>
      </c>
      <c r="H1683" s="5">
        <v>5649735</v>
      </c>
      <c r="I1683" s="5">
        <v>4553503.9000000004</v>
      </c>
      <c r="J1683" s="5">
        <v>70</v>
      </c>
      <c r="K1683" s="5">
        <v>224853</v>
      </c>
      <c r="L1683" s="5">
        <v>5866900</v>
      </c>
      <c r="M1683" s="5">
        <v>1096231.1000000001</v>
      </c>
      <c r="N1683" s="5">
        <v>0.19400000000000001</v>
      </c>
      <c r="O1683" s="5">
        <v>3</v>
      </c>
      <c r="P1683" s="5">
        <v>51547</v>
      </c>
    </row>
    <row r="1684" spans="1:16" x14ac:dyDescent="0.3">
      <c r="A1684" s="5">
        <v>17</v>
      </c>
      <c r="B1684" s="5" t="s">
        <v>122</v>
      </c>
      <c r="C1684" s="5">
        <v>9</v>
      </c>
      <c r="D1684" s="5" t="s">
        <v>92</v>
      </c>
      <c r="E1684" s="5">
        <v>2021</v>
      </c>
      <c r="F1684" s="5">
        <v>1</v>
      </c>
      <c r="G1684" s="5" t="s">
        <v>22</v>
      </c>
      <c r="H1684" s="5">
        <v>293992</v>
      </c>
      <c r="I1684" s="5">
        <v>236521.11</v>
      </c>
      <c r="J1684" s="5">
        <v>5</v>
      </c>
      <c r="K1684" s="5">
        <v>35598</v>
      </c>
      <c r="L1684" s="5">
        <v>327780</v>
      </c>
      <c r="M1684" s="5">
        <v>57470.89</v>
      </c>
      <c r="N1684" s="5">
        <v>0.19550000000000001</v>
      </c>
      <c r="O1684" s="5">
        <v>1</v>
      </c>
      <c r="P1684" s="5">
        <v>8762</v>
      </c>
    </row>
    <row r="1685" spans="1:16" x14ac:dyDescent="0.3">
      <c r="A1685" s="5">
        <v>66</v>
      </c>
      <c r="B1685" s="5" t="s">
        <v>122</v>
      </c>
      <c r="C1685" s="5">
        <v>9</v>
      </c>
      <c r="D1685" s="5" t="s">
        <v>92</v>
      </c>
      <c r="E1685" s="5">
        <v>2021</v>
      </c>
      <c r="F1685" s="5">
        <v>1</v>
      </c>
      <c r="G1685" s="5" t="s">
        <v>22</v>
      </c>
      <c r="H1685" s="5">
        <v>817735</v>
      </c>
      <c r="I1685" s="5">
        <v>741575.22</v>
      </c>
      <c r="J1685" s="5">
        <v>17</v>
      </c>
      <c r="K1685" s="5">
        <v>176097</v>
      </c>
      <c r="L1685" s="5">
        <v>991550</v>
      </c>
      <c r="M1685" s="5">
        <v>76159.78</v>
      </c>
      <c r="N1685" s="5">
        <v>9.3100000000000002E-2</v>
      </c>
      <c r="O1685" s="5">
        <v>0</v>
      </c>
      <c r="P1685" s="5">
        <v>0</v>
      </c>
    </row>
    <row r="1686" spans="1:16" x14ac:dyDescent="0.3">
      <c r="A1686" s="5">
        <v>17</v>
      </c>
      <c r="B1686" s="5" t="s">
        <v>122</v>
      </c>
      <c r="C1686" s="5">
        <v>9</v>
      </c>
      <c r="D1686" s="5" t="s">
        <v>92</v>
      </c>
      <c r="E1686" s="5">
        <v>2021</v>
      </c>
      <c r="F1686" s="5">
        <v>2</v>
      </c>
      <c r="G1686" s="5" t="s">
        <v>23</v>
      </c>
      <c r="H1686" s="5">
        <v>1178442</v>
      </c>
      <c r="I1686" s="5">
        <v>1123311.96</v>
      </c>
      <c r="J1686" s="5">
        <v>17</v>
      </c>
      <c r="K1686" s="5">
        <v>271924</v>
      </c>
      <c r="L1686" s="5">
        <v>1449120</v>
      </c>
      <c r="M1686" s="5">
        <v>55130.04</v>
      </c>
      <c r="N1686" s="5">
        <v>4.6800000000000001E-2</v>
      </c>
      <c r="O1686" s="5">
        <v>3</v>
      </c>
      <c r="P1686" s="5">
        <v>94431</v>
      </c>
    </row>
    <row r="1687" spans="1:16" x14ac:dyDescent="0.3">
      <c r="A1687" s="5">
        <v>66</v>
      </c>
      <c r="B1687" s="5" t="s">
        <v>122</v>
      </c>
      <c r="C1687" s="5">
        <v>9</v>
      </c>
      <c r="D1687" s="5" t="s">
        <v>92</v>
      </c>
      <c r="E1687" s="5">
        <v>2021</v>
      </c>
      <c r="F1687" s="5">
        <v>2</v>
      </c>
      <c r="G1687" s="5" t="s">
        <v>23</v>
      </c>
      <c r="H1687" s="5">
        <v>597885</v>
      </c>
      <c r="I1687" s="5">
        <v>531608.89</v>
      </c>
      <c r="J1687" s="5">
        <v>10</v>
      </c>
      <c r="K1687" s="5">
        <v>85434</v>
      </c>
      <c r="L1687" s="5">
        <v>682790</v>
      </c>
      <c r="M1687" s="5">
        <v>66276.11</v>
      </c>
      <c r="N1687" s="5">
        <v>0.1109</v>
      </c>
      <c r="O1687" s="5">
        <v>0</v>
      </c>
      <c r="P1687" s="5">
        <v>0</v>
      </c>
    </row>
    <row r="1688" spans="1:16" x14ac:dyDescent="0.3">
      <c r="A1688" s="5">
        <v>17</v>
      </c>
      <c r="B1688" s="5" t="s">
        <v>122</v>
      </c>
      <c r="C1688" s="5">
        <v>9</v>
      </c>
      <c r="D1688" s="5" t="s">
        <v>92</v>
      </c>
      <c r="E1688" s="5">
        <v>2021</v>
      </c>
      <c r="F1688" s="5">
        <v>3</v>
      </c>
      <c r="G1688" s="5" t="s">
        <v>24</v>
      </c>
      <c r="H1688" s="5">
        <v>1484392</v>
      </c>
      <c r="I1688" s="5">
        <v>1208117.0900000001</v>
      </c>
      <c r="J1688" s="5">
        <v>24</v>
      </c>
      <c r="K1688" s="5">
        <v>91363</v>
      </c>
      <c r="L1688" s="5">
        <v>1571170</v>
      </c>
      <c r="M1688" s="5">
        <v>276274.90999999997</v>
      </c>
      <c r="N1688" s="5">
        <v>0.18609999999999999</v>
      </c>
      <c r="O1688" s="5">
        <v>1</v>
      </c>
      <c r="P1688" s="5">
        <v>51419</v>
      </c>
    </row>
    <row r="1689" spans="1:16" x14ac:dyDescent="0.3">
      <c r="A1689" s="5">
        <v>66</v>
      </c>
      <c r="B1689" s="5" t="s">
        <v>122</v>
      </c>
      <c r="C1689" s="5">
        <v>9</v>
      </c>
      <c r="D1689" s="5" t="s">
        <v>92</v>
      </c>
      <c r="E1689" s="5">
        <v>2021</v>
      </c>
      <c r="F1689" s="5">
        <v>3</v>
      </c>
      <c r="G1689" s="5" t="s">
        <v>24</v>
      </c>
      <c r="H1689" s="5">
        <v>1023599</v>
      </c>
      <c r="I1689" s="5">
        <v>892564.7</v>
      </c>
      <c r="J1689" s="5">
        <v>16</v>
      </c>
      <c r="K1689" s="5">
        <v>126147</v>
      </c>
      <c r="L1689" s="5">
        <v>1144610</v>
      </c>
      <c r="M1689" s="5">
        <v>131034.3</v>
      </c>
      <c r="N1689" s="5">
        <v>0.128</v>
      </c>
      <c r="O1689" s="5">
        <v>2</v>
      </c>
      <c r="P1689" s="5">
        <v>2936</v>
      </c>
    </row>
    <row r="1690" spans="1:16" x14ac:dyDescent="0.3">
      <c r="A1690" s="5">
        <v>17</v>
      </c>
      <c r="B1690" s="5" t="s">
        <v>122</v>
      </c>
      <c r="C1690" s="5">
        <v>9</v>
      </c>
      <c r="D1690" s="5" t="s">
        <v>92</v>
      </c>
      <c r="E1690" s="5">
        <v>2021</v>
      </c>
      <c r="F1690" s="5">
        <v>4</v>
      </c>
      <c r="G1690" s="5" t="s">
        <v>25</v>
      </c>
      <c r="H1690" s="5">
        <v>828279</v>
      </c>
      <c r="I1690" s="5">
        <v>760661.19</v>
      </c>
      <c r="J1690" s="5">
        <v>16</v>
      </c>
      <c r="K1690" s="5">
        <v>133799</v>
      </c>
      <c r="L1690" s="5">
        <v>961870</v>
      </c>
      <c r="M1690" s="5">
        <v>67617.81</v>
      </c>
      <c r="N1690" s="5">
        <v>8.1600000000000006E-2</v>
      </c>
      <c r="O1690" s="5">
        <v>2</v>
      </c>
      <c r="P1690" s="5">
        <v>50481</v>
      </c>
    </row>
    <row r="1691" spans="1:16" x14ac:dyDescent="0.3">
      <c r="A1691" s="5">
        <v>66</v>
      </c>
      <c r="B1691" s="5" t="s">
        <v>122</v>
      </c>
      <c r="C1691" s="5">
        <v>9</v>
      </c>
      <c r="D1691" s="5" t="s">
        <v>92</v>
      </c>
      <c r="E1691" s="5">
        <v>2021</v>
      </c>
      <c r="F1691" s="5">
        <v>4</v>
      </c>
      <c r="G1691" s="5" t="s">
        <v>25</v>
      </c>
      <c r="H1691" s="5">
        <v>1367803</v>
      </c>
      <c r="I1691" s="5">
        <v>1192226.51</v>
      </c>
      <c r="J1691" s="5">
        <v>18</v>
      </c>
      <c r="K1691" s="5">
        <v>173861</v>
      </c>
      <c r="L1691" s="5">
        <v>1541020</v>
      </c>
      <c r="M1691" s="5">
        <v>175576.49</v>
      </c>
      <c r="N1691" s="5">
        <v>0.12839999999999999</v>
      </c>
      <c r="O1691" s="5">
        <v>2</v>
      </c>
      <c r="P1691" s="5">
        <v>16159</v>
      </c>
    </row>
    <row r="1692" spans="1:16" x14ac:dyDescent="0.3">
      <c r="A1692" s="5">
        <v>17</v>
      </c>
      <c r="B1692" s="5" t="s">
        <v>122</v>
      </c>
      <c r="C1692" s="5">
        <v>9</v>
      </c>
      <c r="D1692" s="5" t="s">
        <v>92</v>
      </c>
      <c r="E1692" s="5">
        <v>2021</v>
      </c>
      <c r="F1692" s="5">
        <v>5</v>
      </c>
      <c r="G1692" s="5" t="s">
        <v>26</v>
      </c>
      <c r="H1692" s="5">
        <v>1093015</v>
      </c>
      <c r="I1692" s="5">
        <v>1081341.75</v>
      </c>
      <c r="J1692" s="5">
        <v>15</v>
      </c>
      <c r="K1692" s="5">
        <v>297160</v>
      </c>
      <c r="L1692" s="5">
        <v>1386960</v>
      </c>
      <c r="M1692" s="5">
        <v>11673.25</v>
      </c>
      <c r="N1692" s="5">
        <v>1.0699999999999999E-2</v>
      </c>
      <c r="O1692" s="5">
        <v>2</v>
      </c>
      <c r="P1692" s="5">
        <v>7109</v>
      </c>
    </row>
    <row r="1693" spans="1:16" x14ac:dyDescent="0.3">
      <c r="A1693" s="5">
        <v>66</v>
      </c>
      <c r="B1693" s="5" t="s">
        <v>122</v>
      </c>
      <c r="C1693" s="5">
        <v>9</v>
      </c>
      <c r="D1693" s="5" t="s">
        <v>92</v>
      </c>
      <c r="E1693" s="5">
        <v>2021</v>
      </c>
      <c r="F1693" s="5">
        <v>5</v>
      </c>
      <c r="G1693" s="5" t="s">
        <v>26</v>
      </c>
      <c r="H1693" s="5">
        <v>3056588</v>
      </c>
      <c r="I1693" s="5">
        <v>2596221.52</v>
      </c>
      <c r="J1693" s="5">
        <v>23</v>
      </c>
      <c r="K1693" s="5">
        <v>241906</v>
      </c>
      <c r="L1693" s="5">
        <v>3285850</v>
      </c>
      <c r="M1693" s="5">
        <v>460366.48</v>
      </c>
      <c r="N1693" s="5">
        <v>0.15060000000000001</v>
      </c>
      <c r="O1693" s="5">
        <v>2</v>
      </c>
      <c r="P1693" s="5">
        <v>28380</v>
      </c>
    </row>
    <row r="1694" spans="1:16" x14ac:dyDescent="0.3">
      <c r="A1694" s="5">
        <v>17</v>
      </c>
      <c r="B1694" s="5" t="s">
        <v>122</v>
      </c>
      <c r="C1694" s="5">
        <v>9</v>
      </c>
      <c r="D1694" s="5" t="s">
        <v>92</v>
      </c>
      <c r="E1694" s="5">
        <v>2021</v>
      </c>
      <c r="F1694" s="5">
        <v>6</v>
      </c>
      <c r="G1694" s="5" t="s">
        <v>27</v>
      </c>
      <c r="H1694" s="5">
        <v>628426</v>
      </c>
      <c r="I1694" s="5">
        <v>505246.78</v>
      </c>
      <c r="J1694" s="5">
        <v>13</v>
      </c>
      <c r="K1694" s="5">
        <v>18638</v>
      </c>
      <c r="L1694" s="5">
        <v>642570</v>
      </c>
      <c r="M1694" s="5">
        <v>123179.22</v>
      </c>
      <c r="N1694" s="5">
        <v>0.19600000000000001</v>
      </c>
      <c r="O1694" s="5">
        <v>1</v>
      </c>
      <c r="P1694" s="5">
        <v>1019</v>
      </c>
    </row>
    <row r="1695" spans="1:16" x14ac:dyDescent="0.3">
      <c r="A1695" s="5">
        <v>66</v>
      </c>
      <c r="B1695" s="5" t="s">
        <v>122</v>
      </c>
      <c r="C1695" s="5">
        <v>9</v>
      </c>
      <c r="D1695" s="5" t="s">
        <v>92</v>
      </c>
      <c r="E1695" s="5">
        <v>2021</v>
      </c>
      <c r="F1695" s="5">
        <v>6</v>
      </c>
      <c r="G1695" s="5" t="s">
        <v>27</v>
      </c>
      <c r="H1695" s="5">
        <v>1047589</v>
      </c>
      <c r="I1695" s="5">
        <v>883987.09</v>
      </c>
      <c r="J1695" s="5">
        <v>16</v>
      </c>
      <c r="K1695" s="5">
        <v>97257</v>
      </c>
      <c r="L1695" s="5">
        <v>1139450</v>
      </c>
      <c r="M1695" s="5">
        <v>163601.91</v>
      </c>
      <c r="N1695" s="5">
        <v>0.15620000000000001</v>
      </c>
      <c r="O1695" s="5">
        <v>1</v>
      </c>
      <c r="P1695" s="5">
        <v>1320</v>
      </c>
    </row>
    <row r="1696" spans="1:16" x14ac:dyDescent="0.3">
      <c r="A1696" s="5">
        <v>17</v>
      </c>
      <c r="B1696" s="5" t="s">
        <v>122</v>
      </c>
      <c r="C1696" s="5">
        <v>9</v>
      </c>
      <c r="D1696" s="5" t="s">
        <v>92</v>
      </c>
      <c r="E1696" s="5">
        <v>2021</v>
      </c>
      <c r="F1696" s="5">
        <v>7</v>
      </c>
      <c r="G1696" s="5" t="s">
        <v>28</v>
      </c>
      <c r="H1696" s="5">
        <v>971775</v>
      </c>
      <c r="I1696" s="5">
        <v>833473</v>
      </c>
      <c r="J1696" s="5">
        <v>17</v>
      </c>
      <c r="K1696" s="5">
        <v>114817</v>
      </c>
      <c r="L1696" s="5">
        <v>1085130</v>
      </c>
      <c r="M1696" s="5">
        <v>138302</v>
      </c>
      <c r="N1696" s="5">
        <v>0.14230000000000001</v>
      </c>
      <c r="O1696" s="5">
        <v>0</v>
      </c>
      <c r="P1696" s="5">
        <v>0</v>
      </c>
    </row>
    <row r="1697" spans="1:16" x14ac:dyDescent="0.3">
      <c r="A1697" s="5">
        <v>66</v>
      </c>
      <c r="B1697" s="5" t="s">
        <v>122</v>
      </c>
      <c r="C1697" s="5">
        <v>9</v>
      </c>
      <c r="D1697" s="5" t="s">
        <v>92</v>
      </c>
      <c r="E1697" s="5">
        <v>2021</v>
      </c>
      <c r="F1697" s="5">
        <v>7</v>
      </c>
      <c r="G1697" s="5" t="s">
        <v>28</v>
      </c>
      <c r="H1697" s="5">
        <v>1272553</v>
      </c>
      <c r="I1697" s="5">
        <v>1211927.8999999999</v>
      </c>
      <c r="J1697" s="5">
        <v>21</v>
      </c>
      <c r="K1697" s="5">
        <v>258813</v>
      </c>
      <c r="L1697" s="5">
        <v>1529870</v>
      </c>
      <c r="M1697" s="5">
        <v>60625.1</v>
      </c>
      <c r="N1697" s="5">
        <v>4.7600000000000003E-2</v>
      </c>
      <c r="O1697" s="5">
        <v>0</v>
      </c>
      <c r="P1697" s="5">
        <v>0</v>
      </c>
    </row>
    <row r="1698" spans="1:16" x14ac:dyDescent="0.3">
      <c r="A1698" s="5">
        <v>17</v>
      </c>
      <c r="B1698" s="5" t="s">
        <v>122</v>
      </c>
      <c r="C1698" s="5">
        <v>9</v>
      </c>
      <c r="D1698" s="5" t="s">
        <v>92</v>
      </c>
      <c r="E1698" s="5">
        <v>2021</v>
      </c>
      <c r="F1698" s="5">
        <v>8</v>
      </c>
      <c r="G1698" s="5" t="s">
        <v>29</v>
      </c>
      <c r="H1698" s="5">
        <v>1564955</v>
      </c>
      <c r="I1698" s="5">
        <v>1327924.8600000001</v>
      </c>
      <c r="J1698" s="5">
        <v>22</v>
      </c>
      <c r="K1698" s="5">
        <v>101355</v>
      </c>
      <c r="L1698" s="5">
        <v>1664420</v>
      </c>
      <c r="M1698" s="5">
        <v>237030.14</v>
      </c>
      <c r="N1698" s="5">
        <v>0.1515</v>
      </c>
      <c r="O1698" s="5">
        <v>1</v>
      </c>
      <c r="P1698" s="5">
        <v>53535</v>
      </c>
    </row>
    <row r="1699" spans="1:16" x14ac:dyDescent="0.3">
      <c r="A1699" s="5">
        <v>66</v>
      </c>
      <c r="B1699" s="5" t="s">
        <v>122</v>
      </c>
      <c r="C1699" s="5">
        <v>9</v>
      </c>
      <c r="D1699" s="5" t="s">
        <v>92</v>
      </c>
      <c r="E1699" s="5">
        <v>2021</v>
      </c>
      <c r="F1699" s="5">
        <v>8</v>
      </c>
      <c r="G1699" s="5" t="s">
        <v>29</v>
      </c>
      <c r="H1699" s="5">
        <v>1406928</v>
      </c>
      <c r="I1699" s="5">
        <v>1182874.94</v>
      </c>
      <c r="J1699" s="5">
        <v>15</v>
      </c>
      <c r="K1699" s="5">
        <v>118981</v>
      </c>
      <c r="L1699" s="5">
        <v>1522570</v>
      </c>
      <c r="M1699" s="5">
        <v>224053.06</v>
      </c>
      <c r="N1699" s="5">
        <v>0.15920000000000001</v>
      </c>
      <c r="O1699" s="5">
        <v>1</v>
      </c>
      <c r="P1699" s="5">
        <v>11913</v>
      </c>
    </row>
    <row r="1700" spans="1:16" x14ac:dyDescent="0.3">
      <c r="A1700" s="5">
        <v>17</v>
      </c>
      <c r="B1700" s="5" t="s">
        <v>122</v>
      </c>
      <c r="C1700" s="5">
        <v>9</v>
      </c>
      <c r="D1700" s="5" t="s">
        <v>92</v>
      </c>
      <c r="E1700" s="5">
        <v>2021</v>
      </c>
      <c r="F1700" s="5">
        <v>9</v>
      </c>
      <c r="G1700" s="5" t="s">
        <v>30</v>
      </c>
      <c r="H1700" s="5">
        <v>1801720</v>
      </c>
      <c r="I1700" s="5">
        <v>1581021.77</v>
      </c>
      <c r="J1700" s="5">
        <v>25</v>
      </c>
      <c r="K1700" s="5">
        <v>250765</v>
      </c>
      <c r="L1700" s="5">
        <v>2040720</v>
      </c>
      <c r="M1700" s="5">
        <v>220698.23</v>
      </c>
      <c r="N1700" s="5">
        <v>0.1225</v>
      </c>
      <c r="O1700" s="5">
        <v>1</v>
      </c>
      <c r="P1700" s="5">
        <v>19317</v>
      </c>
    </row>
    <row r="1701" spans="1:16" x14ac:dyDescent="0.3">
      <c r="A1701" s="5">
        <v>66</v>
      </c>
      <c r="B1701" s="5" t="s">
        <v>122</v>
      </c>
      <c r="C1701" s="5">
        <v>9</v>
      </c>
      <c r="D1701" s="5" t="s">
        <v>92</v>
      </c>
      <c r="E1701" s="5">
        <v>2021</v>
      </c>
      <c r="F1701" s="5">
        <v>9</v>
      </c>
      <c r="G1701" s="5" t="s">
        <v>30</v>
      </c>
      <c r="H1701" s="5">
        <v>472921</v>
      </c>
      <c r="I1701" s="5">
        <v>410238.84</v>
      </c>
      <c r="J1701" s="5">
        <v>11</v>
      </c>
      <c r="K1701" s="5">
        <v>67234</v>
      </c>
      <c r="L1701" s="5">
        <v>539520</v>
      </c>
      <c r="M1701" s="5">
        <v>62682.16</v>
      </c>
      <c r="N1701" s="5">
        <v>0.13250000000000001</v>
      </c>
      <c r="O1701" s="5">
        <v>0</v>
      </c>
      <c r="P1701" s="5">
        <v>0</v>
      </c>
    </row>
    <row r="1702" spans="1:16" x14ac:dyDescent="0.3">
      <c r="A1702" s="5">
        <v>17</v>
      </c>
      <c r="B1702" s="5" t="s">
        <v>122</v>
      </c>
      <c r="C1702" s="5">
        <v>9</v>
      </c>
      <c r="D1702" s="5" t="s">
        <v>92</v>
      </c>
      <c r="E1702" s="5">
        <v>2021</v>
      </c>
      <c r="F1702" s="5">
        <v>10</v>
      </c>
      <c r="G1702" s="5" t="s">
        <v>31</v>
      </c>
      <c r="H1702" s="5">
        <v>1069545</v>
      </c>
      <c r="I1702" s="5">
        <v>918564.04</v>
      </c>
      <c r="J1702" s="5">
        <v>16</v>
      </c>
      <c r="K1702" s="5">
        <v>107832</v>
      </c>
      <c r="L1702" s="5">
        <v>1174430</v>
      </c>
      <c r="M1702" s="5">
        <v>150980.96</v>
      </c>
      <c r="N1702" s="5">
        <v>0.14119999999999999</v>
      </c>
      <c r="O1702" s="5">
        <v>0</v>
      </c>
      <c r="P1702" s="5">
        <v>0</v>
      </c>
    </row>
    <row r="1703" spans="1:16" x14ac:dyDescent="0.3">
      <c r="A1703" s="5">
        <v>66</v>
      </c>
      <c r="B1703" s="5" t="s">
        <v>122</v>
      </c>
      <c r="C1703" s="5">
        <v>9</v>
      </c>
      <c r="D1703" s="5" t="s">
        <v>92</v>
      </c>
      <c r="E1703" s="5">
        <v>2021</v>
      </c>
      <c r="F1703" s="5">
        <v>10</v>
      </c>
      <c r="G1703" s="5" t="s">
        <v>31</v>
      </c>
      <c r="H1703" s="5">
        <v>3032312</v>
      </c>
      <c r="I1703" s="5">
        <v>2554579.4</v>
      </c>
      <c r="J1703" s="5">
        <v>36</v>
      </c>
      <c r="K1703" s="5">
        <v>255656</v>
      </c>
      <c r="L1703" s="5">
        <v>3281040</v>
      </c>
      <c r="M1703" s="5">
        <v>477732.6</v>
      </c>
      <c r="N1703" s="5">
        <v>0.1575</v>
      </c>
      <c r="O1703" s="5">
        <v>2</v>
      </c>
      <c r="P1703" s="5">
        <v>100912</v>
      </c>
    </row>
    <row r="1704" spans="1:16" x14ac:dyDescent="0.3">
      <c r="A1704" s="5">
        <v>17</v>
      </c>
      <c r="B1704" s="5" t="s">
        <v>122</v>
      </c>
      <c r="C1704" s="5">
        <v>9</v>
      </c>
      <c r="D1704" s="5" t="s">
        <v>92</v>
      </c>
      <c r="E1704" s="5">
        <v>2021</v>
      </c>
      <c r="F1704" s="5">
        <v>11</v>
      </c>
      <c r="G1704" s="5" t="s">
        <v>32</v>
      </c>
      <c r="H1704" s="5">
        <v>867702</v>
      </c>
      <c r="I1704" s="5">
        <v>711756.07</v>
      </c>
      <c r="J1704" s="5">
        <v>20</v>
      </c>
      <c r="K1704" s="5">
        <v>68189</v>
      </c>
      <c r="L1704" s="5">
        <v>933270</v>
      </c>
      <c r="M1704" s="5">
        <v>155945.93</v>
      </c>
      <c r="N1704" s="5">
        <v>0.1797</v>
      </c>
      <c r="O1704" s="5">
        <v>1</v>
      </c>
      <c r="P1704" s="5">
        <v>856</v>
      </c>
    </row>
    <row r="1705" spans="1:16" x14ac:dyDescent="0.3">
      <c r="A1705" s="5">
        <v>66</v>
      </c>
      <c r="B1705" s="5" t="s">
        <v>122</v>
      </c>
      <c r="C1705" s="5">
        <v>9</v>
      </c>
      <c r="D1705" s="5" t="s">
        <v>92</v>
      </c>
      <c r="E1705" s="5">
        <v>2021</v>
      </c>
      <c r="F1705" s="5">
        <v>11</v>
      </c>
      <c r="G1705" s="5" t="s">
        <v>32</v>
      </c>
      <c r="H1705" s="5">
        <v>1922147</v>
      </c>
      <c r="I1705" s="5">
        <v>1604967.01</v>
      </c>
      <c r="J1705" s="5">
        <v>26</v>
      </c>
      <c r="K1705" s="5">
        <v>113664</v>
      </c>
      <c r="L1705" s="5">
        <v>2025960</v>
      </c>
      <c r="M1705" s="5">
        <v>317179.99</v>
      </c>
      <c r="N1705" s="5">
        <v>0.16500000000000001</v>
      </c>
      <c r="O1705" s="5">
        <v>1</v>
      </c>
      <c r="P1705" s="5">
        <v>119914</v>
      </c>
    </row>
    <row r="1706" spans="1:16" x14ac:dyDescent="0.3">
      <c r="A1706" s="5">
        <v>17</v>
      </c>
      <c r="B1706" s="5" t="s">
        <v>122</v>
      </c>
      <c r="C1706" s="5">
        <v>9</v>
      </c>
      <c r="D1706" s="5" t="s">
        <v>92</v>
      </c>
      <c r="E1706" s="5">
        <v>2021</v>
      </c>
      <c r="F1706" s="5">
        <v>12</v>
      </c>
      <c r="G1706" s="5" t="s">
        <v>33</v>
      </c>
      <c r="H1706" s="5">
        <v>1075596</v>
      </c>
      <c r="I1706" s="5">
        <v>867283.72</v>
      </c>
      <c r="J1706" s="5">
        <v>19</v>
      </c>
      <c r="K1706" s="5">
        <v>54217</v>
      </c>
      <c r="L1706" s="5">
        <v>1122150</v>
      </c>
      <c r="M1706" s="5">
        <v>208312.28</v>
      </c>
      <c r="N1706" s="5">
        <v>0.19370000000000001</v>
      </c>
      <c r="O1706" s="5">
        <v>0</v>
      </c>
      <c r="P1706" s="5">
        <v>0</v>
      </c>
    </row>
    <row r="1707" spans="1:16" x14ac:dyDescent="0.3">
      <c r="A1707" s="5">
        <v>66</v>
      </c>
      <c r="B1707" s="5" t="s">
        <v>122</v>
      </c>
      <c r="C1707" s="5">
        <v>9</v>
      </c>
      <c r="D1707" s="5" t="s">
        <v>92</v>
      </c>
      <c r="E1707" s="5">
        <v>2021</v>
      </c>
      <c r="F1707" s="5">
        <v>12</v>
      </c>
      <c r="G1707" s="5" t="s">
        <v>33</v>
      </c>
      <c r="H1707" s="5">
        <v>2080230</v>
      </c>
      <c r="I1707" s="5">
        <v>1716170.84</v>
      </c>
      <c r="J1707" s="5">
        <v>40</v>
      </c>
      <c r="K1707" s="5">
        <v>149611</v>
      </c>
      <c r="L1707" s="5">
        <v>2223920</v>
      </c>
      <c r="M1707" s="5">
        <v>364059.16</v>
      </c>
      <c r="N1707" s="5">
        <v>0.17499999999999999</v>
      </c>
      <c r="O1707" s="5">
        <v>3</v>
      </c>
      <c r="P1707" s="5">
        <v>57328</v>
      </c>
    </row>
    <row r="1708" spans="1:16" x14ac:dyDescent="0.3">
      <c r="A1708" s="5">
        <v>17</v>
      </c>
      <c r="B1708" s="5" t="s">
        <v>122</v>
      </c>
      <c r="C1708" s="5">
        <v>9</v>
      </c>
      <c r="D1708" s="5" t="s">
        <v>92</v>
      </c>
      <c r="E1708" s="5">
        <v>2022</v>
      </c>
      <c r="F1708" s="5">
        <v>1</v>
      </c>
      <c r="G1708" s="5" t="s">
        <v>34</v>
      </c>
      <c r="H1708" s="5">
        <v>1166971</v>
      </c>
      <c r="I1708" s="5">
        <v>1000813.22</v>
      </c>
      <c r="J1708" s="5">
        <v>16</v>
      </c>
      <c r="K1708" s="5">
        <v>140009</v>
      </c>
      <c r="L1708" s="5">
        <v>1302700</v>
      </c>
      <c r="M1708" s="5">
        <v>166157.78</v>
      </c>
      <c r="N1708" s="5">
        <v>0.1424</v>
      </c>
      <c r="O1708" s="5">
        <v>0</v>
      </c>
      <c r="P1708" s="5">
        <v>0</v>
      </c>
    </row>
    <row r="1709" spans="1:16" x14ac:dyDescent="0.3">
      <c r="A1709" s="5">
        <v>66</v>
      </c>
      <c r="B1709" s="5" t="s">
        <v>122</v>
      </c>
      <c r="C1709" s="5">
        <v>9</v>
      </c>
      <c r="D1709" s="5" t="s">
        <v>92</v>
      </c>
      <c r="E1709" s="5">
        <v>2022</v>
      </c>
      <c r="F1709" s="5">
        <v>1</v>
      </c>
      <c r="G1709" s="5" t="s">
        <v>34</v>
      </c>
      <c r="H1709" s="5">
        <v>3066657</v>
      </c>
      <c r="I1709" s="5">
        <v>2543251.23</v>
      </c>
      <c r="J1709" s="5">
        <v>29</v>
      </c>
      <c r="K1709" s="5">
        <v>216335</v>
      </c>
      <c r="L1709" s="5">
        <v>3273770</v>
      </c>
      <c r="M1709" s="5">
        <v>523405.77</v>
      </c>
      <c r="N1709" s="5">
        <v>0.17069999999999999</v>
      </c>
      <c r="O1709" s="5">
        <v>3</v>
      </c>
      <c r="P1709" s="5">
        <v>31979</v>
      </c>
    </row>
    <row r="1710" spans="1:16" x14ac:dyDescent="0.3">
      <c r="A1710" s="5">
        <v>17</v>
      </c>
      <c r="B1710" s="5" t="s">
        <v>122</v>
      </c>
      <c r="C1710" s="5">
        <v>9</v>
      </c>
      <c r="D1710" s="5" t="s">
        <v>92</v>
      </c>
      <c r="E1710" s="5">
        <v>2022</v>
      </c>
      <c r="F1710" s="5">
        <v>2</v>
      </c>
      <c r="G1710" s="5" t="s">
        <v>35</v>
      </c>
      <c r="H1710" s="5">
        <v>1507051</v>
      </c>
      <c r="I1710" s="5">
        <v>1196911.6100000001</v>
      </c>
      <c r="J1710" s="5">
        <v>19</v>
      </c>
      <c r="K1710" s="5">
        <v>107595</v>
      </c>
      <c r="L1710" s="5">
        <v>1610820</v>
      </c>
      <c r="M1710" s="5">
        <v>310139.39</v>
      </c>
      <c r="N1710" s="5">
        <v>0.20580000000000001</v>
      </c>
      <c r="O1710" s="5">
        <v>1</v>
      </c>
      <c r="P1710" s="5">
        <v>7104</v>
      </c>
    </row>
    <row r="1711" spans="1:16" x14ac:dyDescent="0.3">
      <c r="A1711" s="5">
        <v>66</v>
      </c>
      <c r="B1711" s="5" t="s">
        <v>122</v>
      </c>
      <c r="C1711" s="5">
        <v>9</v>
      </c>
      <c r="D1711" s="5" t="s">
        <v>92</v>
      </c>
      <c r="E1711" s="5">
        <v>2022</v>
      </c>
      <c r="F1711" s="5">
        <v>2</v>
      </c>
      <c r="G1711" s="5" t="s">
        <v>35</v>
      </c>
      <c r="H1711" s="5">
        <v>1818871</v>
      </c>
      <c r="I1711" s="5">
        <v>1524114.22</v>
      </c>
      <c r="J1711" s="5">
        <v>17</v>
      </c>
      <c r="K1711" s="5">
        <v>98025</v>
      </c>
      <c r="L1711" s="5">
        <v>1914990</v>
      </c>
      <c r="M1711" s="5">
        <v>294756.78000000003</v>
      </c>
      <c r="N1711" s="5">
        <v>0.16209999999999999</v>
      </c>
      <c r="O1711" s="5">
        <v>3</v>
      </c>
      <c r="P1711" s="5">
        <v>300719</v>
      </c>
    </row>
    <row r="1712" spans="1:16" x14ac:dyDescent="0.3">
      <c r="A1712" s="5">
        <v>17</v>
      </c>
      <c r="B1712" s="5" t="s">
        <v>122</v>
      </c>
      <c r="C1712" s="5">
        <v>9</v>
      </c>
      <c r="D1712" s="5" t="s">
        <v>92</v>
      </c>
      <c r="E1712" s="5">
        <v>2022</v>
      </c>
      <c r="F1712" s="5">
        <v>3</v>
      </c>
      <c r="G1712" s="5" t="s">
        <v>36</v>
      </c>
      <c r="H1712" s="5">
        <v>2796277</v>
      </c>
      <c r="I1712" s="5">
        <v>2345129.23</v>
      </c>
      <c r="J1712" s="5">
        <v>26</v>
      </c>
      <c r="K1712" s="5">
        <v>155705</v>
      </c>
      <c r="L1712" s="5">
        <v>2943840</v>
      </c>
      <c r="M1712" s="5">
        <v>451147.77</v>
      </c>
      <c r="N1712" s="5">
        <v>0.1613</v>
      </c>
      <c r="O1712" s="5">
        <v>2</v>
      </c>
      <c r="P1712" s="5">
        <v>13891</v>
      </c>
    </row>
    <row r="1713" spans="1:16" x14ac:dyDescent="0.3">
      <c r="A1713" s="5">
        <v>66</v>
      </c>
      <c r="B1713" s="5" t="s">
        <v>122</v>
      </c>
      <c r="C1713" s="5">
        <v>9</v>
      </c>
      <c r="D1713" s="5" t="s">
        <v>92</v>
      </c>
      <c r="E1713" s="5">
        <v>2022</v>
      </c>
      <c r="F1713" s="5">
        <v>3</v>
      </c>
      <c r="G1713" s="5" t="s">
        <v>36</v>
      </c>
      <c r="H1713" s="5">
        <v>1917787</v>
      </c>
      <c r="I1713" s="5">
        <v>1589842.29</v>
      </c>
      <c r="J1713" s="5">
        <v>25</v>
      </c>
      <c r="K1713" s="5">
        <v>140731</v>
      </c>
      <c r="L1713" s="5">
        <v>2055650</v>
      </c>
      <c r="M1713" s="5">
        <v>327944.71000000002</v>
      </c>
      <c r="N1713" s="5">
        <v>0.17100000000000001</v>
      </c>
      <c r="O1713" s="5">
        <v>1</v>
      </c>
      <c r="P1713" s="5">
        <v>2896</v>
      </c>
    </row>
    <row r="1714" spans="1:16" x14ac:dyDescent="0.3">
      <c r="A1714" s="5">
        <v>17</v>
      </c>
      <c r="B1714" s="5" t="s">
        <v>122</v>
      </c>
      <c r="C1714" s="5">
        <v>9</v>
      </c>
      <c r="D1714" s="5" t="s">
        <v>92</v>
      </c>
      <c r="E1714" s="5">
        <v>2022</v>
      </c>
      <c r="F1714" s="5">
        <v>4</v>
      </c>
      <c r="G1714" s="5" t="s">
        <v>37</v>
      </c>
      <c r="H1714" s="5">
        <v>2140158</v>
      </c>
      <c r="I1714" s="5">
        <v>1764034.64</v>
      </c>
      <c r="J1714" s="5">
        <v>26</v>
      </c>
      <c r="K1714" s="5">
        <v>177419</v>
      </c>
      <c r="L1714" s="5">
        <v>2305240</v>
      </c>
      <c r="M1714" s="5">
        <v>376123.36</v>
      </c>
      <c r="N1714" s="5">
        <v>0.1757</v>
      </c>
      <c r="O1714" s="5">
        <v>2</v>
      </c>
      <c r="P1714" s="5">
        <v>153794</v>
      </c>
    </row>
    <row r="1715" spans="1:16" x14ac:dyDescent="0.3">
      <c r="A1715" s="5">
        <v>66</v>
      </c>
      <c r="B1715" s="5" t="s">
        <v>122</v>
      </c>
      <c r="C1715" s="5">
        <v>9</v>
      </c>
      <c r="D1715" s="5" t="s">
        <v>92</v>
      </c>
      <c r="E1715" s="5">
        <v>2022</v>
      </c>
      <c r="F1715" s="5">
        <v>4</v>
      </c>
      <c r="G1715" s="5" t="s">
        <v>37</v>
      </c>
      <c r="H1715" s="5">
        <v>1271655</v>
      </c>
      <c r="I1715" s="5">
        <v>1094445.08</v>
      </c>
      <c r="J1715" s="5">
        <v>24</v>
      </c>
      <c r="K1715" s="5">
        <v>167457</v>
      </c>
      <c r="L1715" s="5">
        <v>1434250</v>
      </c>
      <c r="M1715" s="5">
        <v>177209.92</v>
      </c>
      <c r="N1715" s="5">
        <v>0.1394</v>
      </c>
      <c r="O1715" s="5">
        <v>1</v>
      </c>
      <c r="P1715" s="5">
        <v>5386</v>
      </c>
    </row>
    <row r="1716" spans="1:16" x14ac:dyDescent="0.3">
      <c r="A1716" s="5">
        <v>17</v>
      </c>
      <c r="B1716" s="5" t="s">
        <v>122</v>
      </c>
      <c r="C1716" s="5">
        <v>9</v>
      </c>
      <c r="D1716" s="5" t="s">
        <v>92</v>
      </c>
      <c r="E1716" s="5">
        <v>2022</v>
      </c>
      <c r="F1716" s="5">
        <v>5</v>
      </c>
      <c r="G1716" s="5" t="s">
        <v>38</v>
      </c>
      <c r="H1716" s="5">
        <v>2095325</v>
      </c>
      <c r="I1716" s="5">
        <v>1793451.38</v>
      </c>
      <c r="J1716" s="5">
        <v>30</v>
      </c>
      <c r="K1716" s="5">
        <v>217105</v>
      </c>
      <c r="L1716" s="5">
        <v>2300390</v>
      </c>
      <c r="M1716" s="5">
        <v>301873.62</v>
      </c>
      <c r="N1716" s="5">
        <v>0.14410000000000001</v>
      </c>
      <c r="O1716" s="5">
        <v>2</v>
      </c>
      <c r="P1716" s="5">
        <v>89220</v>
      </c>
    </row>
    <row r="1717" spans="1:16" x14ac:dyDescent="0.3">
      <c r="A1717" s="5">
        <v>66</v>
      </c>
      <c r="B1717" s="5" t="s">
        <v>122</v>
      </c>
      <c r="C1717" s="5">
        <v>9</v>
      </c>
      <c r="D1717" s="5" t="s">
        <v>92</v>
      </c>
      <c r="E1717" s="5">
        <v>2022</v>
      </c>
      <c r="F1717" s="5">
        <v>5</v>
      </c>
      <c r="G1717" s="5" t="s">
        <v>38</v>
      </c>
      <c r="H1717" s="5">
        <v>1534983</v>
      </c>
      <c r="I1717" s="5">
        <v>1323392.8</v>
      </c>
      <c r="J1717" s="5">
        <v>26</v>
      </c>
      <c r="K1717" s="5">
        <v>206109</v>
      </c>
      <c r="L1717" s="5">
        <v>1738380</v>
      </c>
      <c r="M1717" s="5">
        <v>211590.2</v>
      </c>
      <c r="N1717" s="5">
        <v>0.13780000000000001</v>
      </c>
      <c r="O1717" s="5">
        <v>1</v>
      </c>
      <c r="P1717" s="5">
        <v>1374</v>
      </c>
    </row>
    <row r="1718" spans="1:16" x14ac:dyDescent="0.3">
      <c r="A1718" s="5">
        <v>17</v>
      </c>
      <c r="B1718" s="5" t="s">
        <v>122</v>
      </c>
      <c r="C1718" s="5">
        <v>9</v>
      </c>
      <c r="D1718" s="5" t="s">
        <v>92</v>
      </c>
      <c r="E1718" s="5">
        <v>2022</v>
      </c>
      <c r="F1718" s="5">
        <v>6</v>
      </c>
      <c r="G1718" s="5" t="s">
        <v>39</v>
      </c>
      <c r="H1718" s="5">
        <v>1443452</v>
      </c>
      <c r="I1718" s="5">
        <v>1202663.99</v>
      </c>
      <c r="J1718" s="5">
        <v>23</v>
      </c>
      <c r="K1718" s="5">
        <v>126065</v>
      </c>
      <c r="L1718" s="5">
        <v>1568290</v>
      </c>
      <c r="M1718" s="5">
        <v>240788.01</v>
      </c>
      <c r="N1718" s="5">
        <v>0.1668</v>
      </c>
      <c r="O1718" s="5">
        <v>2</v>
      </c>
      <c r="P1718" s="5">
        <v>44653</v>
      </c>
    </row>
    <row r="1719" spans="1:16" x14ac:dyDescent="0.3">
      <c r="A1719" s="5">
        <v>66</v>
      </c>
      <c r="B1719" s="5" t="s">
        <v>122</v>
      </c>
      <c r="C1719" s="5">
        <v>9</v>
      </c>
      <c r="D1719" s="5" t="s">
        <v>92</v>
      </c>
      <c r="E1719" s="5">
        <v>2022</v>
      </c>
      <c r="F1719" s="5">
        <v>6</v>
      </c>
      <c r="G1719" s="5" t="s">
        <v>39</v>
      </c>
      <c r="H1719" s="5">
        <v>2755997</v>
      </c>
      <c r="I1719" s="5">
        <v>2257104.9500000002</v>
      </c>
      <c r="J1719" s="5">
        <v>40</v>
      </c>
      <c r="K1719" s="5">
        <v>201325</v>
      </c>
      <c r="L1719" s="5">
        <v>2940060</v>
      </c>
      <c r="M1719" s="5">
        <v>498892.05</v>
      </c>
      <c r="N1719" s="5">
        <v>0.18099999999999999</v>
      </c>
      <c r="O1719" s="5">
        <v>6</v>
      </c>
      <c r="P1719" s="5">
        <v>199544</v>
      </c>
    </row>
    <row r="1720" spans="1:16" x14ac:dyDescent="0.3">
      <c r="A1720" s="5">
        <v>17</v>
      </c>
      <c r="B1720" s="5" t="s">
        <v>122</v>
      </c>
      <c r="C1720" s="5">
        <v>9</v>
      </c>
      <c r="D1720" s="5" t="s">
        <v>92</v>
      </c>
      <c r="E1720" s="5">
        <v>2022</v>
      </c>
      <c r="F1720" s="5">
        <v>7</v>
      </c>
      <c r="G1720" s="5" t="s">
        <v>40</v>
      </c>
      <c r="H1720" s="5">
        <v>2178580</v>
      </c>
      <c r="I1720" s="5">
        <v>1933327.39</v>
      </c>
      <c r="J1720" s="5">
        <v>29</v>
      </c>
      <c r="K1720" s="5">
        <v>342041</v>
      </c>
      <c r="L1720" s="5">
        <v>2517700</v>
      </c>
      <c r="M1720" s="5">
        <v>245252.61</v>
      </c>
      <c r="N1720" s="5">
        <v>0.11260000000000001</v>
      </c>
      <c r="O1720" s="5">
        <v>2</v>
      </c>
      <c r="P1720" s="5">
        <v>36870</v>
      </c>
    </row>
    <row r="1721" spans="1:16" x14ac:dyDescent="0.3">
      <c r="A1721" s="5">
        <v>66</v>
      </c>
      <c r="B1721" s="5" t="s">
        <v>122</v>
      </c>
      <c r="C1721" s="5">
        <v>9</v>
      </c>
      <c r="D1721" s="5" t="s">
        <v>92</v>
      </c>
      <c r="E1721" s="5">
        <v>2022</v>
      </c>
      <c r="F1721" s="5">
        <v>7</v>
      </c>
      <c r="G1721" s="5" t="s">
        <v>40</v>
      </c>
      <c r="H1721" s="5">
        <v>1749892</v>
      </c>
      <c r="I1721" s="5">
        <v>1572521.5</v>
      </c>
      <c r="J1721" s="5">
        <v>21</v>
      </c>
      <c r="K1721" s="5">
        <v>226960</v>
      </c>
      <c r="L1721" s="5">
        <v>1971810</v>
      </c>
      <c r="M1721" s="5">
        <v>177370.5</v>
      </c>
      <c r="N1721" s="5">
        <v>0.1014</v>
      </c>
      <c r="O1721" s="5">
        <v>1</v>
      </c>
      <c r="P1721" s="5">
        <v>84467</v>
      </c>
    </row>
    <row r="1722" spans="1:16" x14ac:dyDescent="0.3">
      <c r="A1722" s="5">
        <v>17</v>
      </c>
      <c r="B1722" s="5" t="s">
        <v>122</v>
      </c>
      <c r="C1722" s="5">
        <v>9</v>
      </c>
      <c r="D1722" s="5" t="s">
        <v>92</v>
      </c>
      <c r="E1722" s="5">
        <v>2022</v>
      </c>
      <c r="F1722" s="5">
        <v>8</v>
      </c>
      <c r="G1722" s="5" t="s">
        <v>41</v>
      </c>
      <c r="H1722" s="5">
        <v>1605482</v>
      </c>
      <c r="I1722" s="5">
        <v>1488907.81</v>
      </c>
      <c r="J1722" s="5">
        <v>23</v>
      </c>
      <c r="K1722" s="5">
        <v>390758</v>
      </c>
      <c r="L1722" s="5">
        <v>1993590</v>
      </c>
      <c r="M1722" s="5">
        <v>116574.19</v>
      </c>
      <c r="N1722" s="5">
        <v>7.2599999999999998E-2</v>
      </c>
      <c r="O1722" s="5">
        <v>4</v>
      </c>
      <c r="P1722" s="5">
        <v>76530</v>
      </c>
    </row>
    <row r="1723" spans="1:16" x14ac:dyDescent="0.3">
      <c r="A1723" s="5">
        <v>66</v>
      </c>
      <c r="B1723" s="5" t="s">
        <v>122</v>
      </c>
      <c r="C1723" s="5">
        <v>9</v>
      </c>
      <c r="D1723" s="5" t="s">
        <v>92</v>
      </c>
      <c r="E1723" s="5">
        <v>2022</v>
      </c>
      <c r="F1723" s="5">
        <v>8</v>
      </c>
      <c r="G1723" s="5" t="s">
        <v>41</v>
      </c>
      <c r="H1723" s="5">
        <v>2413648</v>
      </c>
      <c r="I1723" s="5">
        <v>2371169.79</v>
      </c>
      <c r="J1723" s="5">
        <v>29</v>
      </c>
      <c r="K1723" s="5">
        <v>607209</v>
      </c>
      <c r="L1723" s="5">
        <v>3017660</v>
      </c>
      <c r="M1723" s="5">
        <v>42478.21</v>
      </c>
      <c r="N1723" s="5">
        <v>1.7600000000000001E-2</v>
      </c>
      <c r="O1723" s="5">
        <v>3</v>
      </c>
      <c r="P1723" s="5">
        <v>128028</v>
      </c>
    </row>
    <row r="1724" spans="1:16" x14ac:dyDescent="0.3">
      <c r="A1724" s="5">
        <v>17</v>
      </c>
      <c r="B1724" s="5" t="s">
        <v>122</v>
      </c>
      <c r="C1724" s="5">
        <v>9</v>
      </c>
      <c r="D1724" s="5" t="s">
        <v>92</v>
      </c>
      <c r="E1724" s="5">
        <v>2022</v>
      </c>
      <c r="F1724" s="5">
        <v>9</v>
      </c>
      <c r="G1724" s="5" t="s">
        <v>42</v>
      </c>
      <c r="H1724" s="5">
        <v>1648705</v>
      </c>
      <c r="I1724" s="5">
        <v>1445503.81</v>
      </c>
      <c r="J1724" s="5">
        <v>32</v>
      </c>
      <c r="K1724" s="5">
        <v>230527</v>
      </c>
      <c r="L1724" s="5">
        <v>1873640</v>
      </c>
      <c r="M1724" s="5">
        <v>203201.19</v>
      </c>
      <c r="N1724" s="5">
        <v>0.1232</v>
      </c>
      <c r="O1724" s="5">
        <v>3</v>
      </c>
      <c r="P1724" s="5">
        <v>171204</v>
      </c>
    </row>
    <row r="1725" spans="1:16" x14ac:dyDescent="0.3">
      <c r="A1725" s="5">
        <v>66</v>
      </c>
      <c r="B1725" s="5" t="s">
        <v>122</v>
      </c>
      <c r="C1725" s="5">
        <v>9</v>
      </c>
      <c r="D1725" s="5" t="s">
        <v>92</v>
      </c>
      <c r="E1725" s="5">
        <v>2022</v>
      </c>
      <c r="F1725" s="5">
        <v>9</v>
      </c>
      <c r="G1725" s="5" t="s">
        <v>42</v>
      </c>
      <c r="H1725" s="5">
        <v>2974263</v>
      </c>
      <c r="I1725" s="5">
        <v>2569306.0299999998</v>
      </c>
      <c r="J1725" s="5">
        <v>35</v>
      </c>
      <c r="K1725" s="5">
        <v>301557</v>
      </c>
      <c r="L1725" s="5">
        <v>3259660</v>
      </c>
      <c r="M1725" s="5">
        <v>404956.97</v>
      </c>
      <c r="N1725" s="5">
        <v>0.13619999999999999</v>
      </c>
      <c r="O1725" s="5">
        <v>2</v>
      </c>
      <c r="P1725" s="5">
        <v>4916</v>
      </c>
    </row>
    <row r="1726" spans="1:16" x14ac:dyDescent="0.3">
      <c r="A1726" s="5">
        <v>17</v>
      </c>
      <c r="B1726" s="5" t="s">
        <v>122</v>
      </c>
      <c r="C1726" s="5">
        <v>9</v>
      </c>
      <c r="D1726" s="5" t="s">
        <v>92</v>
      </c>
      <c r="E1726" s="5">
        <v>2022</v>
      </c>
      <c r="F1726" s="5">
        <v>10</v>
      </c>
      <c r="G1726" s="5" t="s">
        <v>43</v>
      </c>
      <c r="H1726" s="5">
        <v>2797797</v>
      </c>
      <c r="I1726" s="5">
        <v>2734730.18</v>
      </c>
      <c r="J1726" s="5">
        <v>33</v>
      </c>
      <c r="K1726" s="5">
        <v>682973</v>
      </c>
      <c r="L1726" s="5">
        <v>3474340</v>
      </c>
      <c r="M1726" s="5">
        <v>63066.82</v>
      </c>
      <c r="N1726" s="5">
        <v>2.2499999999999999E-2</v>
      </c>
      <c r="O1726" s="5">
        <v>1</v>
      </c>
      <c r="P1726" s="5">
        <v>3886</v>
      </c>
    </row>
    <row r="1727" spans="1:16" x14ac:dyDescent="0.3">
      <c r="A1727" s="5">
        <v>66</v>
      </c>
      <c r="B1727" s="5" t="s">
        <v>122</v>
      </c>
      <c r="C1727" s="5">
        <v>9</v>
      </c>
      <c r="D1727" s="5" t="s">
        <v>92</v>
      </c>
      <c r="E1727" s="5">
        <v>2022</v>
      </c>
      <c r="F1727" s="5">
        <v>10</v>
      </c>
      <c r="G1727" s="5" t="s">
        <v>43</v>
      </c>
      <c r="H1727" s="5">
        <v>3277293</v>
      </c>
      <c r="I1727" s="5">
        <v>2846536.51</v>
      </c>
      <c r="J1727" s="5">
        <v>39</v>
      </c>
      <c r="K1727" s="5">
        <v>309596</v>
      </c>
      <c r="L1727" s="5">
        <v>3565270</v>
      </c>
      <c r="M1727" s="5">
        <v>430756.49</v>
      </c>
      <c r="N1727" s="5">
        <v>0.13139999999999999</v>
      </c>
      <c r="O1727" s="5">
        <v>3</v>
      </c>
      <c r="P1727" s="5">
        <v>30491</v>
      </c>
    </row>
    <row r="1728" spans="1:16" x14ac:dyDescent="0.3">
      <c r="A1728" s="5">
        <v>17</v>
      </c>
      <c r="B1728" s="5" t="s">
        <v>122</v>
      </c>
      <c r="C1728" s="5">
        <v>9</v>
      </c>
      <c r="D1728" s="5" t="s">
        <v>92</v>
      </c>
      <c r="E1728" s="5">
        <v>2022</v>
      </c>
      <c r="F1728" s="5">
        <v>11</v>
      </c>
      <c r="G1728" s="5" t="s">
        <v>44</v>
      </c>
      <c r="H1728" s="5">
        <v>2204974</v>
      </c>
      <c r="I1728" s="5">
        <v>1798137.49</v>
      </c>
      <c r="J1728" s="5">
        <v>26</v>
      </c>
      <c r="K1728" s="5">
        <v>92161</v>
      </c>
      <c r="L1728" s="5">
        <v>2285740</v>
      </c>
      <c r="M1728" s="5">
        <v>406836.51</v>
      </c>
      <c r="N1728" s="5">
        <v>0.1845</v>
      </c>
      <c r="O1728" s="5">
        <v>4</v>
      </c>
      <c r="P1728" s="5">
        <v>385660</v>
      </c>
    </row>
    <row r="1729" spans="1:16" x14ac:dyDescent="0.3">
      <c r="A1729" s="5">
        <v>66</v>
      </c>
      <c r="B1729" s="5" t="s">
        <v>122</v>
      </c>
      <c r="C1729" s="5">
        <v>9</v>
      </c>
      <c r="D1729" s="5" t="s">
        <v>92</v>
      </c>
      <c r="E1729" s="5">
        <v>2022</v>
      </c>
      <c r="F1729" s="5">
        <v>11</v>
      </c>
      <c r="G1729" s="5" t="s">
        <v>44</v>
      </c>
      <c r="H1729" s="5">
        <v>3158638</v>
      </c>
      <c r="I1729" s="5">
        <v>2643111.48</v>
      </c>
      <c r="J1729" s="5">
        <v>49</v>
      </c>
      <c r="K1729" s="5">
        <v>282402</v>
      </c>
      <c r="L1729" s="5">
        <v>3430470</v>
      </c>
      <c r="M1729" s="5">
        <v>515526.52</v>
      </c>
      <c r="N1729" s="5">
        <v>0.16320000000000001</v>
      </c>
      <c r="O1729" s="5">
        <v>5</v>
      </c>
      <c r="P1729" s="5">
        <v>179815</v>
      </c>
    </row>
    <row r="1730" spans="1:16" x14ac:dyDescent="0.3">
      <c r="A1730" s="5">
        <v>17</v>
      </c>
      <c r="B1730" s="5" t="s">
        <v>122</v>
      </c>
      <c r="C1730" s="5">
        <v>9</v>
      </c>
      <c r="D1730" s="5" t="s">
        <v>92</v>
      </c>
      <c r="E1730" s="5">
        <v>2022</v>
      </c>
      <c r="F1730" s="5">
        <v>12</v>
      </c>
      <c r="G1730" s="5" t="s">
        <v>45</v>
      </c>
      <c r="H1730" s="5">
        <v>2208842</v>
      </c>
      <c r="I1730" s="5">
        <v>1799736.23</v>
      </c>
      <c r="J1730" s="5">
        <v>32</v>
      </c>
      <c r="K1730" s="5">
        <v>143075</v>
      </c>
      <c r="L1730" s="5">
        <v>2345370</v>
      </c>
      <c r="M1730" s="5">
        <v>409105.77</v>
      </c>
      <c r="N1730" s="5">
        <v>0.1852</v>
      </c>
      <c r="O1730" s="5">
        <v>3</v>
      </c>
      <c r="P1730" s="5">
        <v>115571</v>
      </c>
    </row>
    <row r="1731" spans="1:16" x14ac:dyDescent="0.3">
      <c r="A1731" s="5">
        <v>66</v>
      </c>
      <c r="B1731" s="5" t="s">
        <v>122</v>
      </c>
      <c r="C1731" s="5">
        <v>9</v>
      </c>
      <c r="D1731" s="5" t="s">
        <v>92</v>
      </c>
      <c r="E1731" s="5">
        <v>2022</v>
      </c>
      <c r="F1731" s="5">
        <v>12</v>
      </c>
      <c r="G1731" s="5" t="s">
        <v>45</v>
      </c>
      <c r="H1731" s="5">
        <v>4240614</v>
      </c>
      <c r="I1731" s="5">
        <v>3549318.84</v>
      </c>
      <c r="J1731" s="5">
        <v>53</v>
      </c>
      <c r="K1731" s="5">
        <v>259165</v>
      </c>
      <c r="L1731" s="5">
        <v>4479750</v>
      </c>
      <c r="M1731" s="5">
        <v>691295.16</v>
      </c>
      <c r="N1731" s="5">
        <v>0.16300000000000001</v>
      </c>
      <c r="O1731" s="5">
        <v>6</v>
      </c>
      <c r="P1731" s="5">
        <v>255117</v>
      </c>
    </row>
    <row r="1732" spans="1:16" x14ac:dyDescent="0.3">
      <c r="A1732" s="5">
        <v>17</v>
      </c>
      <c r="B1732" s="5" t="s">
        <v>122</v>
      </c>
      <c r="C1732" s="5">
        <v>9</v>
      </c>
      <c r="D1732" s="5" t="s">
        <v>92</v>
      </c>
      <c r="E1732" s="5">
        <v>2023</v>
      </c>
      <c r="F1732" s="5">
        <v>1</v>
      </c>
      <c r="G1732" s="5" t="s">
        <v>46</v>
      </c>
      <c r="H1732" s="5">
        <v>1512478</v>
      </c>
      <c r="I1732" s="5">
        <v>1402527.28</v>
      </c>
      <c r="J1732" s="5">
        <v>22</v>
      </c>
      <c r="K1732" s="5">
        <v>247895</v>
      </c>
      <c r="L1732" s="5">
        <v>1759230</v>
      </c>
      <c r="M1732" s="5">
        <v>109950.72</v>
      </c>
      <c r="N1732" s="5">
        <v>7.2700000000000001E-2</v>
      </c>
      <c r="O1732" s="5">
        <v>2</v>
      </c>
      <c r="P1732" s="5">
        <v>9974</v>
      </c>
    </row>
    <row r="1733" spans="1:16" x14ac:dyDescent="0.3">
      <c r="A1733" s="5">
        <v>66</v>
      </c>
      <c r="B1733" s="5" t="s">
        <v>122</v>
      </c>
      <c r="C1733" s="5">
        <v>9</v>
      </c>
      <c r="D1733" s="5" t="s">
        <v>92</v>
      </c>
      <c r="E1733" s="5">
        <v>2023</v>
      </c>
      <c r="F1733" s="5">
        <v>1</v>
      </c>
      <c r="G1733" s="5" t="s">
        <v>46</v>
      </c>
      <c r="H1733" s="5">
        <v>1841557</v>
      </c>
      <c r="I1733" s="5">
        <v>1562677.12</v>
      </c>
      <c r="J1733" s="5">
        <v>30</v>
      </c>
      <c r="K1733" s="5">
        <v>187890</v>
      </c>
      <c r="L1733" s="5">
        <v>2023630</v>
      </c>
      <c r="M1733" s="5">
        <v>278879.88</v>
      </c>
      <c r="N1733" s="5">
        <v>0.15140000000000001</v>
      </c>
      <c r="O1733" s="5">
        <v>2</v>
      </c>
      <c r="P1733" s="5">
        <v>34268</v>
      </c>
    </row>
    <row r="1734" spans="1:16" x14ac:dyDescent="0.3">
      <c r="A1734" s="5">
        <v>17</v>
      </c>
      <c r="B1734" s="5" t="s">
        <v>122</v>
      </c>
      <c r="C1734" s="5">
        <v>9</v>
      </c>
      <c r="D1734" s="5" t="s">
        <v>92</v>
      </c>
      <c r="E1734" s="5">
        <v>2023</v>
      </c>
      <c r="F1734" s="5">
        <v>2</v>
      </c>
      <c r="G1734" s="5" t="s">
        <v>47</v>
      </c>
      <c r="H1734" s="5">
        <v>1592651</v>
      </c>
      <c r="I1734" s="5">
        <v>1330811.8600000001</v>
      </c>
      <c r="J1734" s="5">
        <v>21</v>
      </c>
      <c r="K1734" s="5">
        <v>123405</v>
      </c>
      <c r="L1734" s="5">
        <v>1712330</v>
      </c>
      <c r="M1734" s="5">
        <v>261839.14</v>
      </c>
      <c r="N1734" s="5">
        <v>0.16439999999999999</v>
      </c>
      <c r="O1734" s="5">
        <v>0</v>
      </c>
      <c r="P1734" s="5">
        <v>0</v>
      </c>
    </row>
    <row r="1735" spans="1:16" x14ac:dyDescent="0.3">
      <c r="A1735" s="5">
        <v>66</v>
      </c>
      <c r="B1735" s="5" t="s">
        <v>122</v>
      </c>
      <c r="C1735" s="5">
        <v>9</v>
      </c>
      <c r="D1735" s="5" t="s">
        <v>92</v>
      </c>
      <c r="E1735" s="5">
        <v>2023</v>
      </c>
      <c r="F1735" s="5">
        <v>2</v>
      </c>
      <c r="G1735" s="5" t="s">
        <v>47</v>
      </c>
      <c r="H1735" s="5">
        <v>1444373</v>
      </c>
      <c r="I1735" s="5">
        <v>1201649.8600000001</v>
      </c>
      <c r="J1735" s="5">
        <v>30</v>
      </c>
      <c r="K1735" s="5">
        <v>89561</v>
      </c>
      <c r="L1735" s="5">
        <v>1526290</v>
      </c>
      <c r="M1735" s="5">
        <v>242723.14</v>
      </c>
      <c r="N1735" s="5">
        <v>0.16800000000000001</v>
      </c>
      <c r="O1735" s="5">
        <v>4</v>
      </c>
      <c r="P1735" s="5">
        <v>112022</v>
      </c>
    </row>
    <row r="1736" spans="1:16" x14ac:dyDescent="0.3">
      <c r="A1736" s="5">
        <v>17</v>
      </c>
      <c r="B1736" s="5" t="s">
        <v>122</v>
      </c>
      <c r="C1736" s="5">
        <v>9</v>
      </c>
      <c r="D1736" s="5" t="s">
        <v>92</v>
      </c>
      <c r="E1736" s="5">
        <v>2023</v>
      </c>
      <c r="F1736" s="5">
        <v>3</v>
      </c>
      <c r="G1736" s="5" t="s">
        <v>48</v>
      </c>
      <c r="H1736" s="5">
        <v>1727142</v>
      </c>
      <c r="I1736" s="5">
        <v>1465122.34</v>
      </c>
      <c r="J1736" s="5">
        <v>30</v>
      </c>
      <c r="K1736" s="5">
        <v>169063</v>
      </c>
      <c r="L1736" s="5">
        <v>1889360</v>
      </c>
      <c r="M1736" s="5">
        <v>262019.66</v>
      </c>
      <c r="N1736" s="5">
        <v>0.1517</v>
      </c>
      <c r="O1736" s="5">
        <v>0</v>
      </c>
      <c r="P1736" s="5">
        <v>0</v>
      </c>
    </row>
    <row r="1737" spans="1:16" x14ac:dyDescent="0.3">
      <c r="A1737" s="5">
        <v>66</v>
      </c>
      <c r="B1737" s="5" t="s">
        <v>122</v>
      </c>
      <c r="C1737" s="5">
        <v>9</v>
      </c>
      <c r="D1737" s="5" t="s">
        <v>92</v>
      </c>
      <c r="E1737" s="5">
        <v>2023</v>
      </c>
      <c r="F1737" s="5">
        <v>3</v>
      </c>
      <c r="G1737" s="5" t="s">
        <v>48</v>
      </c>
      <c r="H1737" s="5">
        <v>3024565</v>
      </c>
      <c r="I1737" s="5">
        <v>2574825.6</v>
      </c>
      <c r="J1737" s="5">
        <v>34</v>
      </c>
      <c r="K1737" s="5">
        <v>267469</v>
      </c>
      <c r="L1737" s="5">
        <v>3281640</v>
      </c>
      <c r="M1737" s="5">
        <v>449739.4</v>
      </c>
      <c r="N1737" s="5">
        <v>0.1487</v>
      </c>
      <c r="O1737" s="5">
        <v>1</v>
      </c>
      <c r="P1737" s="5">
        <v>30491</v>
      </c>
    </row>
    <row r="1738" spans="1:16" x14ac:dyDescent="0.3">
      <c r="A1738" s="5">
        <v>17</v>
      </c>
      <c r="B1738" s="5" t="s">
        <v>122</v>
      </c>
      <c r="C1738" s="5">
        <v>9</v>
      </c>
      <c r="D1738" s="5" t="s">
        <v>92</v>
      </c>
      <c r="E1738" s="5">
        <v>2023</v>
      </c>
      <c r="F1738" s="5">
        <v>4</v>
      </c>
      <c r="G1738" s="5" t="s">
        <v>49</v>
      </c>
      <c r="H1738" s="5">
        <v>2046102</v>
      </c>
      <c r="I1738" s="5">
        <v>1665838.1</v>
      </c>
      <c r="J1738" s="5">
        <v>33</v>
      </c>
      <c r="K1738" s="5">
        <v>133818</v>
      </c>
      <c r="L1738" s="5">
        <v>2169420</v>
      </c>
      <c r="M1738" s="5">
        <v>380263.9</v>
      </c>
      <c r="N1738" s="5">
        <v>0.18579999999999999</v>
      </c>
      <c r="O1738" s="5">
        <v>2</v>
      </c>
      <c r="P1738" s="5">
        <v>13880</v>
      </c>
    </row>
    <row r="1739" spans="1:16" x14ac:dyDescent="0.3">
      <c r="A1739" s="5">
        <v>66</v>
      </c>
      <c r="B1739" s="5" t="s">
        <v>122</v>
      </c>
      <c r="C1739" s="5">
        <v>9</v>
      </c>
      <c r="D1739" s="5" t="s">
        <v>92</v>
      </c>
      <c r="E1739" s="5">
        <v>2023</v>
      </c>
      <c r="F1739" s="5">
        <v>4</v>
      </c>
      <c r="G1739" s="5" t="s">
        <v>49</v>
      </c>
      <c r="H1739" s="5">
        <v>2587881</v>
      </c>
      <c r="I1739" s="5">
        <v>2259046.98</v>
      </c>
      <c r="J1739" s="5">
        <v>40</v>
      </c>
      <c r="K1739" s="5">
        <v>392090</v>
      </c>
      <c r="L1739" s="5">
        <v>2971380</v>
      </c>
      <c r="M1739" s="5">
        <v>328834.02</v>
      </c>
      <c r="N1739" s="5">
        <v>0.12709999999999999</v>
      </c>
      <c r="O1739" s="5">
        <v>4</v>
      </c>
      <c r="P1739" s="5">
        <v>18201</v>
      </c>
    </row>
    <row r="1740" spans="1:16" x14ac:dyDescent="0.3">
      <c r="A1740" s="5">
        <v>17</v>
      </c>
      <c r="B1740" s="5" t="s">
        <v>122</v>
      </c>
      <c r="C1740" s="5">
        <v>9</v>
      </c>
      <c r="D1740" s="5" t="s">
        <v>92</v>
      </c>
      <c r="E1740" s="5">
        <v>2023</v>
      </c>
      <c r="F1740" s="5">
        <v>5</v>
      </c>
      <c r="G1740" s="5" t="s">
        <v>50</v>
      </c>
      <c r="H1740" s="5">
        <v>2203313</v>
      </c>
      <c r="I1740" s="5">
        <v>2026949</v>
      </c>
      <c r="J1740" s="5">
        <v>28</v>
      </c>
      <c r="K1740" s="5">
        <v>391814</v>
      </c>
      <c r="L1740" s="5">
        <v>2588010</v>
      </c>
      <c r="M1740" s="5">
        <v>176364</v>
      </c>
      <c r="N1740" s="5">
        <v>0.08</v>
      </c>
      <c r="O1740" s="5">
        <v>6</v>
      </c>
      <c r="P1740" s="5">
        <v>418610</v>
      </c>
    </row>
    <row r="1741" spans="1:16" x14ac:dyDescent="0.3">
      <c r="A1741" s="5">
        <v>66</v>
      </c>
      <c r="B1741" s="5" t="s">
        <v>122</v>
      </c>
      <c r="C1741" s="5">
        <v>9</v>
      </c>
      <c r="D1741" s="5" t="s">
        <v>92</v>
      </c>
      <c r="E1741" s="5">
        <v>2023</v>
      </c>
      <c r="F1741" s="5">
        <v>5</v>
      </c>
      <c r="G1741" s="5" t="s">
        <v>50</v>
      </c>
      <c r="H1741" s="5">
        <v>1808662</v>
      </c>
      <c r="I1741" s="5">
        <v>1607916.18</v>
      </c>
      <c r="J1741" s="5">
        <v>28</v>
      </c>
      <c r="K1741" s="5">
        <v>240125</v>
      </c>
      <c r="L1741" s="5">
        <v>2043940</v>
      </c>
      <c r="M1741" s="5">
        <v>200745.82</v>
      </c>
      <c r="N1741" s="5">
        <v>0.111</v>
      </c>
      <c r="O1741" s="5">
        <v>2</v>
      </c>
      <c r="P1741" s="5">
        <v>89474</v>
      </c>
    </row>
    <row r="1742" spans="1:16" x14ac:dyDescent="0.3">
      <c r="A1742" s="5">
        <v>17</v>
      </c>
      <c r="B1742" s="5" t="s">
        <v>122</v>
      </c>
      <c r="C1742" s="5">
        <v>9</v>
      </c>
      <c r="D1742" s="5" t="s">
        <v>92</v>
      </c>
      <c r="E1742" s="5">
        <v>2023</v>
      </c>
      <c r="F1742" s="5">
        <v>6</v>
      </c>
      <c r="G1742" s="5" t="s">
        <v>51</v>
      </c>
      <c r="H1742" s="5">
        <v>1945868</v>
      </c>
      <c r="I1742" s="5">
        <v>1665465.73</v>
      </c>
      <c r="J1742" s="5">
        <v>29</v>
      </c>
      <c r="K1742" s="5">
        <v>180508</v>
      </c>
      <c r="L1742" s="5">
        <v>2118070</v>
      </c>
      <c r="M1742" s="5">
        <v>280402.27</v>
      </c>
      <c r="N1742" s="5">
        <v>0.14410000000000001</v>
      </c>
      <c r="O1742" s="5">
        <v>2</v>
      </c>
      <c r="P1742" s="5">
        <v>98239</v>
      </c>
    </row>
    <row r="1743" spans="1:16" x14ac:dyDescent="0.3">
      <c r="A1743" s="5">
        <v>66</v>
      </c>
      <c r="B1743" s="5" t="s">
        <v>122</v>
      </c>
      <c r="C1743" s="5">
        <v>9</v>
      </c>
      <c r="D1743" s="5" t="s">
        <v>92</v>
      </c>
      <c r="E1743" s="5">
        <v>2023</v>
      </c>
      <c r="F1743" s="5">
        <v>6</v>
      </c>
      <c r="G1743" s="5" t="s">
        <v>51</v>
      </c>
      <c r="H1743" s="5">
        <v>2956301</v>
      </c>
      <c r="I1743" s="5">
        <v>2485139.9300000002</v>
      </c>
      <c r="J1743" s="5">
        <v>30</v>
      </c>
      <c r="K1743" s="5">
        <v>242387</v>
      </c>
      <c r="L1743" s="5">
        <v>3179780</v>
      </c>
      <c r="M1743" s="5">
        <v>471161.07</v>
      </c>
      <c r="N1743" s="5">
        <v>0.15939999999999999</v>
      </c>
      <c r="O1743" s="5">
        <v>3</v>
      </c>
      <c r="P1743" s="5">
        <v>215086</v>
      </c>
    </row>
    <row r="1744" spans="1:16" x14ac:dyDescent="0.3">
      <c r="A1744" s="5">
        <v>17</v>
      </c>
      <c r="B1744" s="5" t="s">
        <v>122</v>
      </c>
      <c r="C1744" s="5">
        <v>9</v>
      </c>
      <c r="D1744" s="5" t="s">
        <v>92</v>
      </c>
      <c r="E1744" s="5">
        <v>2023</v>
      </c>
      <c r="F1744" s="5">
        <v>7</v>
      </c>
      <c r="G1744" s="5" t="s">
        <v>52</v>
      </c>
      <c r="H1744" s="5">
        <v>1871752</v>
      </c>
      <c r="I1744" s="5">
        <v>1533207.94</v>
      </c>
      <c r="J1744" s="5">
        <v>30</v>
      </c>
      <c r="K1744" s="5">
        <v>123034</v>
      </c>
      <c r="L1744" s="5">
        <v>1976150</v>
      </c>
      <c r="M1744" s="5">
        <v>338544.06</v>
      </c>
      <c r="N1744" s="5">
        <v>0.18090000000000001</v>
      </c>
      <c r="O1744" s="5">
        <v>0</v>
      </c>
      <c r="P1744" s="5">
        <v>0</v>
      </c>
    </row>
    <row r="1745" spans="1:16" x14ac:dyDescent="0.3">
      <c r="A1745" s="5">
        <v>66</v>
      </c>
      <c r="B1745" s="5" t="s">
        <v>122</v>
      </c>
      <c r="C1745" s="5">
        <v>9</v>
      </c>
      <c r="D1745" s="5" t="s">
        <v>92</v>
      </c>
      <c r="E1745" s="5">
        <v>2023</v>
      </c>
      <c r="F1745" s="5">
        <v>7</v>
      </c>
      <c r="G1745" s="5" t="s">
        <v>52</v>
      </c>
      <c r="H1745" s="5">
        <v>2106342</v>
      </c>
      <c r="I1745" s="5">
        <v>1878632.98</v>
      </c>
      <c r="J1745" s="5">
        <v>36</v>
      </c>
      <c r="K1745" s="5">
        <v>292805</v>
      </c>
      <c r="L1745" s="5">
        <v>2393980</v>
      </c>
      <c r="M1745" s="5">
        <v>227709.02</v>
      </c>
      <c r="N1745" s="5">
        <v>0.1081</v>
      </c>
      <c r="O1745" s="5">
        <v>3</v>
      </c>
      <c r="P1745" s="5">
        <v>51622</v>
      </c>
    </row>
    <row r="1746" spans="1:16" x14ac:dyDescent="0.3">
      <c r="A1746" s="5">
        <v>17</v>
      </c>
      <c r="B1746" s="5" t="s">
        <v>122</v>
      </c>
      <c r="C1746" s="5">
        <v>9</v>
      </c>
      <c r="D1746" s="5" t="s">
        <v>92</v>
      </c>
      <c r="E1746" s="5">
        <v>2023</v>
      </c>
      <c r="F1746" s="5">
        <v>8</v>
      </c>
      <c r="G1746" s="5" t="s">
        <v>53</v>
      </c>
      <c r="H1746" s="5">
        <v>1899293</v>
      </c>
      <c r="I1746" s="5">
        <v>1715006.11</v>
      </c>
      <c r="J1746" s="5">
        <v>27</v>
      </c>
      <c r="K1746" s="5">
        <v>307792</v>
      </c>
      <c r="L1746" s="5">
        <v>2194700</v>
      </c>
      <c r="M1746" s="5">
        <v>184286.89</v>
      </c>
      <c r="N1746" s="5">
        <v>9.7000000000000003E-2</v>
      </c>
      <c r="O1746" s="5">
        <v>7</v>
      </c>
      <c r="P1746" s="5">
        <v>426867</v>
      </c>
    </row>
    <row r="1747" spans="1:16" x14ac:dyDescent="0.3">
      <c r="A1747" s="5">
        <v>66</v>
      </c>
      <c r="B1747" s="5" t="s">
        <v>122</v>
      </c>
      <c r="C1747" s="5">
        <v>9</v>
      </c>
      <c r="D1747" s="5" t="s">
        <v>92</v>
      </c>
      <c r="E1747" s="5">
        <v>2023</v>
      </c>
      <c r="F1747" s="5">
        <v>8</v>
      </c>
      <c r="G1747" s="5" t="s">
        <v>53</v>
      </c>
      <c r="H1747" s="5">
        <v>2856551</v>
      </c>
      <c r="I1747" s="5">
        <v>2666485.58</v>
      </c>
      <c r="J1747" s="5">
        <v>35</v>
      </c>
      <c r="K1747" s="5">
        <v>512534</v>
      </c>
      <c r="L1747" s="5">
        <v>3361510</v>
      </c>
      <c r="M1747" s="5">
        <v>190065.42</v>
      </c>
      <c r="N1747" s="5">
        <v>6.6500000000000004E-2</v>
      </c>
      <c r="O1747" s="5">
        <v>1</v>
      </c>
      <c r="P1747" s="5">
        <v>2310</v>
      </c>
    </row>
    <row r="1748" spans="1:16" x14ac:dyDescent="0.3">
      <c r="A1748" s="5">
        <v>17</v>
      </c>
      <c r="B1748" s="5" t="s">
        <v>122</v>
      </c>
      <c r="C1748" s="5">
        <v>9</v>
      </c>
      <c r="D1748" s="5" t="s">
        <v>92</v>
      </c>
      <c r="E1748" s="5">
        <v>2023</v>
      </c>
      <c r="F1748" s="5">
        <v>9</v>
      </c>
      <c r="G1748" s="5" t="s">
        <v>54</v>
      </c>
      <c r="H1748" s="5">
        <v>1502459</v>
      </c>
      <c r="I1748" s="5">
        <v>1316772.25</v>
      </c>
      <c r="J1748" s="5">
        <v>24</v>
      </c>
      <c r="K1748" s="5">
        <v>193173</v>
      </c>
      <c r="L1748" s="5">
        <v>1689010</v>
      </c>
      <c r="M1748" s="5">
        <v>185686.75</v>
      </c>
      <c r="N1748" s="5">
        <v>0.1236</v>
      </c>
      <c r="O1748" s="5">
        <v>3</v>
      </c>
      <c r="P1748" s="5">
        <v>159782</v>
      </c>
    </row>
    <row r="1749" spans="1:16" x14ac:dyDescent="0.3">
      <c r="A1749" s="5">
        <v>66</v>
      </c>
      <c r="B1749" s="5" t="s">
        <v>122</v>
      </c>
      <c r="C1749" s="5">
        <v>9</v>
      </c>
      <c r="D1749" s="5" t="s">
        <v>92</v>
      </c>
      <c r="E1749" s="5">
        <v>2023</v>
      </c>
      <c r="F1749" s="5">
        <v>9</v>
      </c>
      <c r="G1749" s="5" t="s">
        <v>54</v>
      </c>
      <c r="H1749" s="5">
        <v>3486290</v>
      </c>
      <c r="I1749" s="5">
        <v>3197107.7</v>
      </c>
      <c r="J1749" s="5">
        <v>51</v>
      </c>
      <c r="K1749" s="5">
        <v>611623</v>
      </c>
      <c r="L1749" s="5">
        <v>4080450</v>
      </c>
      <c r="M1749" s="5">
        <v>289182.3</v>
      </c>
      <c r="N1749" s="5">
        <v>8.2900000000000001E-2</v>
      </c>
      <c r="O1749" s="5">
        <v>4</v>
      </c>
      <c r="P1749" s="5">
        <v>118640</v>
      </c>
    </row>
    <row r="1750" spans="1:16" x14ac:dyDescent="0.3">
      <c r="A1750" s="5">
        <v>17</v>
      </c>
      <c r="B1750" s="5" t="s">
        <v>122</v>
      </c>
      <c r="C1750" s="5">
        <v>9</v>
      </c>
      <c r="D1750" s="5" t="s">
        <v>92</v>
      </c>
      <c r="E1750" s="5">
        <v>2023</v>
      </c>
      <c r="F1750" s="5">
        <v>10</v>
      </c>
      <c r="G1750" s="5" t="s">
        <v>55</v>
      </c>
      <c r="H1750" s="5">
        <v>2129303</v>
      </c>
      <c r="I1750" s="5">
        <v>1888990</v>
      </c>
      <c r="J1750" s="5">
        <v>37</v>
      </c>
      <c r="K1750" s="5">
        <v>291698</v>
      </c>
      <c r="L1750" s="5">
        <v>2414480</v>
      </c>
      <c r="M1750" s="5">
        <v>240313</v>
      </c>
      <c r="N1750" s="5">
        <v>0.1129</v>
      </c>
      <c r="O1750" s="5">
        <v>5</v>
      </c>
      <c r="P1750" s="5">
        <v>93752</v>
      </c>
    </row>
    <row r="1751" spans="1:16" x14ac:dyDescent="0.3">
      <c r="A1751" s="5">
        <v>66</v>
      </c>
      <c r="B1751" s="5" t="s">
        <v>122</v>
      </c>
      <c r="C1751" s="5">
        <v>9</v>
      </c>
      <c r="D1751" s="5" t="s">
        <v>92</v>
      </c>
      <c r="E1751" s="5">
        <v>2023</v>
      </c>
      <c r="F1751" s="5">
        <v>10</v>
      </c>
      <c r="G1751" s="5" t="s">
        <v>55</v>
      </c>
      <c r="H1751" s="5">
        <v>2892345</v>
      </c>
      <c r="I1751" s="5">
        <v>2630777.5099999998</v>
      </c>
      <c r="J1751" s="5">
        <v>43</v>
      </c>
      <c r="K1751" s="5">
        <v>526969</v>
      </c>
      <c r="L1751" s="5">
        <v>3415690</v>
      </c>
      <c r="M1751" s="5">
        <v>261567.49</v>
      </c>
      <c r="N1751" s="5">
        <v>9.0399999999999994E-2</v>
      </c>
      <c r="O1751" s="5">
        <v>2</v>
      </c>
      <c r="P1751" s="5">
        <v>121766</v>
      </c>
    </row>
    <row r="1752" spans="1:16" x14ac:dyDescent="0.3">
      <c r="A1752" s="5">
        <v>17</v>
      </c>
      <c r="B1752" s="5" t="s">
        <v>122</v>
      </c>
      <c r="C1752" s="5">
        <v>9</v>
      </c>
      <c r="D1752" s="5" t="s">
        <v>92</v>
      </c>
      <c r="E1752" s="5">
        <v>2023</v>
      </c>
      <c r="F1752" s="5">
        <v>11</v>
      </c>
      <c r="G1752" s="5" t="s">
        <v>56</v>
      </c>
      <c r="H1752" s="5">
        <v>2908318</v>
      </c>
      <c r="I1752" s="5">
        <v>2635699.91</v>
      </c>
      <c r="J1752" s="5">
        <v>41</v>
      </c>
      <c r="K1752" s="5">
        <v>466222</v>
      </c>
      <c r="L1752" s="5">
        <v>3363820</v>
      </c>
      <c r="M1752" s="5">
        <v>272618.09000000003</v>
      </c>
      <c r="N1752" s="5">
        <v>9.3700000000000006E-2</v>
      </c>
      <c r="O1752" s="5">
        <v>3</v>
      </c>
      <c r="P1752" s="5">
        <v>6292</v>
      </c>
    </row>
    <row r="1753" spans="1:16" x14ac:dyDescent="0.3">
      <c r="A1753" s="5">
        <v>66</v>
      </c>
      <c r="B1753" s="5" t="s">
        <v>122</v>
      </c>
      <c r="C1753" s="5">
        <v>9</v>
      </c>
      <c r="D1753" s="5" t="s">
        <v>92</v>
      </c>
      <c r="E1753" s="5">
        <v>2023</v>
      </c>
      <c r="F1753" s="5">
        <v>11</v>
      </c>
      <c r="G1753" s="5" t="s">
        <v>56</v>
      </c>
      <c r="H1753" s="5">
        <v>4012925</v>
      </c>
      <c r="I1753" s="5">
        <v>3867715.74</v>
      </c>
      <c r="J1753" s="5">
        <v>52</v>
      </c>
      <c r="K1753" s="5">
        <v>849947</v>
      </c>
      <c r="L1753" s="5">
        <v>4853110</v>
      </c>
      <c r="M1753" s="5">
        <v>145209.26</v>
      </c>
      <c r="N1753" s="5">
        <v>3.6200000000000003E-2</v>
      </c>
      <c r="O1753" s="5">
        <v>2</v>
      </c>
      <c r="P1753" s="5">
        <v>17680</v>
      </c>
    </row>
    <row r="1754" spans="1:16" x14ac:dyDescent="0.3">
      <c r="A1754" s="5">
        <v>17</v>
      </c>
      <c r="B1754" s="5" t="s">
        <v>122</v>
      </c>
      <c r="C1754" s="5">
        <v>9</v>
      </c>
      <c r="D1754" s="5" t="s">
        <v>92</v>
      </c>
      <c r="E1754" s="5">
        <v>2023</v>
      </c>
      <c r="F1754" s="5">
        <v>12</v>
      </c>
      <c r="G1754" s="5" t="s">
        <v>57</v>
      </c>
      <c r="H1754" s="5">
        <v>2210725</v>
      </c>
      <c r="I1754" s="5">
        <v>1971980.16</v>
      </c>
      <c r="J1754" s="5">
        <v>40</v>
      </c>
      <c r="K1754" s="5">
        <v>393383</v>
      </c>
      <c r="L1754" s="5">
        <v>2597280</v>
      </c>
      <c r="M1754" s="5">
        <v>238744.84</v>
      </c>
      <c r="N1754" s="5">
        <v>0.108</v>
      </c>
      <c r="O1754" s="5">
        <v>2</v>
      </c>
      <c r="P1754" s="5">
        <v>32652</v>
      </c>
    </row>
    <row r="1755" spans="1:16" x14ac:dyDescent="0.3">
      <c r="A1755" s="5">
        <v>66</v>
      </c>
      <c r="B1755" s="5" t="s">
        <v>122</v>
      </c>
      <c r="C1755" s="5">
        <v>9</v>
      </c>
      <c r="D1755" s="5" t="s">
        <v>92</v>
      </c>
      <c r="E1755" s="5">
        <v>2023</v>
      </c>
      <c r="F1755" s="5">
        <v>12</v>
      </c>
      <c r="G1755" s="5" t="s">
        <v>57</v>
      </c>
      <c r="H1755" s="5">
        <v>2719830</v>
      </c>
      <c r="I1755" s="5">
        <v>2487191.0699999998</v>
      </c>
      <c r="J1755" s="5">
        <v>47</v>
      </c>
      <c r="K1755" s="5">
        <v>420536</v>
      </c>
      <c r="L1755" s="5">
        <v>3136150</v>
      </c>
      <c r="M1755" s="5">
        <v>232638.93</v>
      </c>
      <c r="N1755" s="5">
        <v>8.5500000000000007E-2</v>
      </c>
      <c r="O1755" s="5">
        <v>2</v>
      </c>
      <c r="P1755" s="5">
        <v>1804</v>
      </c>
    </row>
    <row r="1756" spans="1:16" x14ac:dyDescent="0.3">
      <c r="A1756" s="5">
        <v>17</v>
      </c>
      <c r="B1756" s="5" t="s">
        <v>122</v>
      </c>
      <c r="C1756" s="5">
        <v>9</v>
      </c>
      <c r="D1756" s="5" t="s">
        <v>92</v>
      </c>
      <c r="E1756" s="5">
        <v>2024</v>
      </c>
      <c r="F1756" s="5">
        <v>1</v>
      </c>
      <c r="G1756" s="5" t="s">
        <v>58</v>
      </c>
      <c r="H1756" s="5">
        <v>2540210</v>
      </c>
      <c r="I1756" s="5">
        <v>2220264.2999999998</v>
      </c>
      <c r="J1756" s="5">
        <v>31</v>
      </c>
      <c r="K1756" s="5">
        <v>256537</v>
      </c>
      <c r="L1756" s="5">
        <v>2784940</v>
      </c>
      <c r="M1756" s="5">
        <v>319945.7</v>
      </c>
      <c r="N1756" s="5">
        <v>0.126</v>
      </c>
      <c r="O1756" s="5">
        <v>2</v>
      </c>
      <c r="P1756" s="5">
        <v>6117</v>
      </c>
    </row>
    <row r="1757" spans="1:16" x14ac:dyDescent="0.3">
      <c r="A1757" s="5">
        <v>66</v>
      </c>
      <c r="B1757" s="5" t="s">
        <v>122</v>
      </c>
      <c r="C1757" s="5">
        <v>9</v>
      </c>
      <c r="D1757" s="5" t="s">
        <v>92</v>
      </c>
      <c r="E1757" s="5">
        <v>2024</v>
      </c>
      <c r="F1757" s="5">
        <v>1</v>
      </c>
      <c r="G1757" s="5" t="s">
        <v>58</v>
      </c>
      <c r="H1757" s="5">
        <v>2310268</v>
      </c>
      <c r="I1757" s="5">
        <v>1922295.07</v>
      </c>
      <c r="J1757" s="5">
        <v>53</v>
      </c>
      <c r="K1757" s="5">
        <v>173487</v>
      </c>
      <c r="L1757" s="5">
        <v>2474320</v>
      </c>
      <c r="M1757" s="5">
        <v>387972.93</v>
      </c>
      <c r="N1757" s="5">
        <v>0.16789999999999999</v>
      </c>
      <c r="O1757" s="5">
        <v>5</v>
      </c>
      <c r="P1757" s="5">
        <v>94060</v>
      </c>
    </row>
    <row r="1758" spans="1:16" x14ac:dyDescent="0.3">
      <c r="A1758" s="5">
        <v>17</v>
      </c>
      <c r="B1758" s="5" t="s">
        <v>122</v>
      </c>
      <c r="C1758" s="5">
        <v>9</v>
      </c>
      <c r="D1758" s="5" t="s">
        <v>92</v>
      </c>
      <c r="E1758" s="5">
        <v>2024</v>
      </c>
      <c r="F1758" s="5">
        <v>2</v>
      </c>
      <c r="G1758" s="5" t="s">
        <v>59</v>
      </c>
      <c r="H1758" s="5">
        <v>1046394</v>
      </c>
      <c r="I1758" s="5">
        <v>824650.73</v>
      </c>
      <c r="J1758" s="5">
        <v>24</v>
      </c>
      <c r="K1758" s="5">
        <v>64235</v>
      </c>
      <c r="L1758" s="5">
        <v>1104980</v>
      </c>
      <c r="M1758" s="5">
        <v>221743.27</v>
      </c>
      <c r="N1758" s="5">
        <v>0.21190000000000001</v>
      </c>
      <c r="O1758" s="5">
        <v>2</v>
      </c>
      <c r="P1758" s="5">
        <v>42034</v>
      </c>
    </row>
    <row r="1759" spans="1:16" x14ac:dyDescent="0.3">
      <c r="A1759" s="5">
        <v>66</v>
      </c>
      <c r="B1759" s="5" t="s">
        <v>122</v>
      </c>
      <c r="C1759" s="5">
        <v>9</v>
      </c>
      <c r="D1759" s="5" t="s">
        <v>92</v>
      </c>
      <c r="E1759" s="5">
        <v>2024</v>
      </c>
      <c r="F1759" s="5">
        <v>2</v>
      </c>
      <c r="G1759" s="5" t="s">
        <v>59</v>
      </c>
      <c r="H1759" s="5">
        <v>1064280</v>
      </c>
      <c r="I1759" s="5">
        <v>877330.69</v>
      </c>
      <c r="J1759" s="5">
        <v>20</v>
      </c>
      <c r="K1759" s="5">
        <v>119116</v>
      </c>
      <c r="L1759" s="5">
        <v>1179640</v>
      </c>
      <c r="M1759" s="5">
        <v>186949.31</v>
      </c>
      <c r="N1759" s="5">
        <v>0.1757</v>
      </c>
      <c r="O1759" s="5">
        <v>0</v>
      </c>
      <c r="P1759" s="5">
        <v>0</v>
      </c>
    </row>
    <row r="1760" spans="1:16" x14ac:dyDescent="0.3">
      <c r="A1760" s="5">
        <v>17</v>
      </c>
      <c r="B1760" s="5" t="s">
        <v>122</v>
      </c>
      <c r="C1760" s="5">
        <v>9</v>
      </c>
      <c r="D1760" s="5" t="s">
        <v>92</v>
      </c>
      <c r="E1760" s="5">
        <v>2024</v>
      </c>
      <c r="F1760" s="5">
        <v>3</v>
      </c>
      <c r="G1760" s="5" t="s">
        <v>60</v>
      </c>
      <c r="H1760" s="5">
        <v>2126014</v>
      </c>
      <c r="I1760" s="5">
        <v>1936230.87</v>
      </c>
      <c r="J1760" s="5">
        <v>28</v>
      </c>
      <c r="K1760" s="5">
        <v>276628</v>
      </c>
      <c r="L1760" s="5">
        <v>2395450</v>
      </c>
      <c r="M1760" s="5">
        <v>189783.13</v>
      </c>
      <c r="N1760" s="5">
        <v>8.9300000000000004E-2</v>
      </c>
      <c r="O1760" s="5">
        <v>5</v>
      </c>
      <c r="P1760" s="5">
        <v>63938</v>
      </c>
    </row>
    <row r="1761" spans="1:16" x14ac:dyDescent="0.3">
      <c r="A1761" s="5">
        <v>66</v>
      </c>
      <c r="B1761" s="5" t="s">
        <v>122</v>
      </c>
      <c r="C1761" s="5">
        <v>9</v>
      </c>
      <c r="D1761" s="5" t="s">
        <v>92</v>
      </c>
      <c r="E1761" s="5">
        <v>2024</v>
      </c>
      <c r="F1761" s="5">
        <v>3</v>
      </c>
      <c r="G1761" s="5" t="s">
        <v>60</v>
      </c>
      <c r="H1761" s="5">
        <v>2552169</v>
      </c>
      <c r="I1761" s="5">
        <v>2203153.4900000002</v>
      </c>
      <c r="J1761" s="5">
        <v>44</v>
      </c>
      <c r="K1761" s="5">
        <v>316144</v>
      </c>
      <c r="L1761" s="5">
        <v>2864690</v>
      </c>
      <c r="M1761" s="5">
        <v>349015.51</v>
      </c>
      <c r="N1761" s="5">
        <v>0.1368</v>
      </c>
      <c r="O1761" s="5">
        <v>2</v>
      </c>
      <c r="P1761" s="5">
        <v>2675</v>
      </c>
    </row>
    <row r="1762" spans="1:16" x14ac:dyDescent="0.3">
      <c r="A1762" s="5">
        <v>17</v>
      </c>
      <c r="B1762" s="5" t="s">
        <v>122</v>
      </c>
      <c r="C1762" s="5">
        <v>9</v>
      </c>
      <c r="D1762" s="5" t="s">
        <v>92</v>
      </c>
      <c r="E1762" s="5">
        <v>2024</v>
      </c>
      <c r="F1762" s="5">
        <v>4</v>
      </c>
      <c r="G1762" s="5" t="s">
        <v>61</v>
      </c>
      <c r="H1762" s="5">
        <v>1609948</v>
      </c>
      <c r="I1762" s="5">
        <v>1365180.71</v>
      </c>
      <c r="J1762" s="5">
        <v>32</v>
      </c>
      <c r="K1762" s="5">
        <v>150309</v>
      </c>
      <c r="L1762" s="5">
        <v>1751880</v>
      </c>
      <c r="M1762" s="5">
        <v>244767.29</v>
      </c>
      <c r="N1762" s="5">
        <v>0.152</v>
      </c>
      <c r="O1762" s="5">
        <v>2</v>
      </c>
      <c r="P1762" s="5">
        <v>6678</v>
      </c>
    </row>
    <row r="1763" spans="1:16" x14ac:dyDescent="0.3">
      <c r="A1763" s="5">
        <v>66</v>
      </c>
      <c r="B1763" s="5" t="s">
        <v>122</v>
      </c>
      <c r="C1763" s="5">
        <v>9</v>
      </c>
      <c r="D1763" s="5" t="s">
        <v>92</v>
      </c>
      <c r="E1763" s="5">
        <v>2024</v>
      </c>
      <c r="F1763" s="5">
        <v>4</v>
      </c>
      <c r="G1763" s="5" t="s">
        <v>61</v>
      </c>
      <c r="H1763" s="5">
        <v>3586458</v>
      </c>
      <c r="I1763" s="5">
        <v>3068601.81</v>
      </c>
      <c r="J1763" s="5">
        <v>37</v>
      </c>
      <c r="K1763" s="5">
        <v>356815</v>
      </c>
      <c r="L1763" s="5">
        <v>3933800</v>
      </c>
      <c r="M1763" s="5">
        <v>517856.19</v>
      </c>
      <c r="N1763" s="5">
        <v>0.1444</v>
      </c>
      <c r="O1763" s="5">
        <v>0</v>
      </c>
      <c r="P1763" s="5">
        <v>0</v>
      </c>
    </row>
    <row r="1764" spans="1:16" x14ac:dyDescent="0.3">
      <c r="A1764" s="5">
        <v>17</v>
      </c>
      <c r="B1764" s="5" t="s">
        <v>122</v>
      </c>
      <c r="C1764" s="5">
        <v>9</v>
      </c>
      <c r="D1764" s="5" t="s">
        <v>92</v>
      </c>
      <c r="E1764" s="5">
        <v>2024</v>
      </c>
      <c r="F1764" s="5">
        <v>5</v>
      </c>
      <c r="G1764" s="5" t="s">
        <v>62</v>
      </c>
      <c r="H1764" s="5">
        <v>2257825</v>
      </c>
      <c r="I1764" s="5">
        <v>2017625.23</v>
      </c>
      <c r="J1764" s="5">
        <v>26</v>
      </c>
      <c r="K1764" s="5">
        <v>317723</v>
      </c>
      <c r="L1764" s="5">
        <v>2565070</v>
      </c>
      <c r="M1764" s="5">
        <v>240199.77</v>
      </c>
      <c r="N1764" s="5">
        <v>0.10639999999999999</v>
      </c>
      <c r="O1764" s="5">
        <v>1</v>
      </c>
      <c r="P1764" s="5">
        <v>10952</v>
      </c>
    </row>
    <row r="1765" spans="1:16" x14ac:dyDescent="0.3">
      <c r="A1765" s="5">
        <v>66</v>
      </c>
      <c r="B1765" s="5" t="s">
        <v>122</v>
      </c>
      <c r="C1765" s="5">
        <v>9</v>
      </c>
      <c r="D1765" s="5" t="s">
        <v>92</v>
      </c>
      <c r="E1765" s="5">
        <v>2024</v>
      </c>
      <c r="F1765" s="5">
        <v>5</v>
      </c>
      <c r="G1765" s="5" t="s">
        <v>62</v>
      </c>
      <c r="H1765" s="5">
        <v>3610254</v>
      </c>
      <c r="I1765" s="5">
        <v>3146047.99</v>
      </c>
      <c r="J1765" s="5">
        <v>53</v>
      </c>
      <c r="K1765" s="5">
        <v>441132</v>
      </c>
      <c r="L1765" s="5">
        <v>4041430</v>
      </c>
      <c r="M1765" s="5">
        <v>464206.01</v>
      </c>
      <c r="N1765" s="5">
        <v>0.12859999999999999</v>
      </c>
      <c r="O1765" s="5">
        <v>6</v>
      </c>
      <c r="P1765" s="5">
        <v>35073</v>
      </c>
    </row>
    <row r="1766" spans="1:16" x14ac:dyDescent="0.3">
      <c r="A1766" s="5">
        <v>17</v>
      </c>
      <c r="B1766" s="5" t="s">
        <v>122</v>
      </c>
      <c r="C1766" s="5">
        <v>9</v>
      </c>
      <c r="D1766" s="5" t="s">
        <v>92</v>
      </c>
      <c r="E1766" s="5">
        <v>2024</v>
      </c>
      <c r="F1766" s="5">
        <v>6</v>
      </c>
      <c r="G1766" s="5" t="s">
        <v>63</v>
      </c>
      <c r="H1766" s="5">
        <v>2827970</v>
      </c>
      <c r="I1766" s="5">
        <v>2371869.9</v>
      </c>
      <c r="J1766" s="5">
        <v>30</v>
      </c>
      <c r="K1766" s="5">
        <v>181076</v>
      </c>
      <c r="L1766" s="5">
        <v>2996890</v>
      </c>
      <c r="M1766" s="5">
        <v>456100.1</v>
      </c>
      <c r="N1766" s="5">
        <v>0.1613</v>
      </c>
      <c r="O1766" s="5">
        <v>5</v>
      </c>
      <c r="P1766" s="5">
        <v>354822</v>
      </c>
    </row>
    <row r="1767" spans="1:16" x14ac:dyDescent="0.3">
      <c r="A1767" s="5">
        <v>66</v>
      </c>
      <c r="B1767" s="5" t="s">
        <v>122</v>
      </c>
      <c r="C1767" s="5">
        <v>9</v>
      </c>
      <c r="D1767" s="5" t="s">
        <v>92</v>
      </c>
      <c r="E1767" s="5">
        <v>2024</v>
      </c>
      <c r="F1767" s="5">
        <v>6</v>
      </c>
      <c r="G1767" s="5" t="s">
        <v>63</v>
      </c>
      <c r="H1767" s="5">
        <v>2477208</v>
      </c>
      <c r="I1767" s="5">
        <v>2082493.49</v>
      </c>
      <c r="J1767" s="5">
        <v>44</v>
      </c>
      <c r="K1767" s="5">
        <v>158225</v>
      </c>
      <c r="L1767" s="5">
        <v>2628740</v>
      </c>
      <c r="M1767" s="5">
        <v>394714.51</v>
      </c>
      <c r="N1767" s="5">
        <v>0.1593</v>
      </c>
      <c r="O1767" s="5">
        <v>2</v>
      </c>
      <c r="P1767" s="5">
        <v>135854</v>
      </c>
    </row>
    <row r="1768" spans="1:16" x14ac:dyDescent="0.3">
      <c r="A1768" s="5">
        <v>17</v>
      </c>
      <c r="B1768" s="5" t="s">
        <v>122</v>
      </c>
      <c r="C1768" s="5">
        <v>9</v>
      </c>
      <c r="D1768" s="5" t="s">
        <v>92</v>
      </c>
      <c r="E1768" s="5">
        <v>2024</v>
      </c>
      <c r="F1768" s="5">
        <v>7</v>
      </c>
      <c r="G1768" s="5" t="s">
        <v>64</v>
      </c>
      <c r="H1768" s="5">
        <v>3187487</v>
      </c>
      <c r="I1768" s="5">
        <v>2746259.11</v>
      </c>
      <c r="J1768" s="5">
        <v>30</v>
      </c>
      <c r="K1768" s="5">
        <v>360762</v>
      </c>
      <c r="L1768" s="5">
        <v>3544350</v>
      </c>
      <c r="M1768" s="5">
        <v>441227.89</v>
      </c>
      <c r="N1768" s="5">
        <v>0.1384</v>
      </c>
      <c r="O1768" s="5">
        <v>2</v>
      </c>
      <c r="P1768" s="5">
        <v>33801</v>
      </c>
    </row>
    <row r="1769" spans="1:16" x14ac:dyDescent="0.3">
      <c r="A1769" s="5">
        <v>66</v>
      </c>
      <c r="B1769" s="5" t="s">
        <v>122</v>
      </c>
      <c r="C1769" s="5">
        <v>9</v>
      </c>
      <c r="D1769" s="5" t="s">
        <v>92</v>
      </c>
      <c r="E1769" s="5">
        <v>2024</v>
      </c>
      <c r="F1769" s="5">
        <v>7</v>
      </c>
      <c r="G1769" s="5" t="s">
        <v>64</v>
      </c>
      <c r="H1769" s="5">
        <v>2547959</v>
      </c>
      <c r="I1769" s="5">
        <v>2215694.66</v>
      </c>
      <c r="J1769" s="5">
        <v>36</v>
      </c>
      <c r="K1769" s="5">
        <v>272375</v>
      </c>
      <c r="L1769" s="5">
        <v>2817200</v>
      </c>
      <c r="M1769" s="5">
        <v>332264.34000000003</v>
      </c>
      <c r="N1769" s="5">
        <v>0.13039999999999999</v>
      </c>
      <c r="O1769" s="5">
        <v>3</v>
      </c>
      <c r="P1769" s="5">
        <v>49226</v>
      </c>
    </row>
    <row r="1770" spans="1:16" x14ac:dyDescent="0.3">
      <c r="A1770" s="5">
        <v>17</v>
      </c>
      <c r="B1770" s="5" t="s">
        <v>122</v>
      </c>
      <c r="C1770" s="5">
        <v>9</v>
      </c>
      <c r="D1770" s="5" t="s">
        <v>92</v>
      </c>
      <c r="E1770" s="5">
        <v>2024</v>
      </c>
      <c r="F1770" s="5">
        <v>8</v>
      </c>
      <c r="G1770" s="5" t="s">
        <v>65</v>
      </c>
      <c r="H1770" s="5">
        <v>2403338</v>
      </c>
      <c r="I1770" s="5">
        <v>2089639.43</v>
      </c>
      <c r="J1770" s="5">
        <v>30</v>
      </c>
      <c r="K1770" s="5">
        <v>246995</v>
      </c>
      <c r="L1770" s="5">
        <v>2645380</v>
      </c>
      <c r="M1770" s="5">
        <v>313698.57</v>
      </c>
      <c r="N1770" s="5">
        <v>0.1305</v>
      </c>
      <c r="O1770" s="5">
        <v>2</v>
      </c>
      <c r="P1770" s="5">
        <v>9779</v>
      </c>
    </row>
    <row r="1771" spans="1:16" x14ac:dyDescent="0.3">
      <c r="A1771" s="5">
        <v>66</v>
      </c>
      <c r="B1771" s="5" t="s">
        <v>122</v>
      </c>
      <c r="C1771" s="5">
        <v>9</v>
      </c>
      <c r="D1771" s="5" t="s">
        <v>92</v>
      </c>
      <c r="E1771" s="5">
        <v>2024</v>
      </c>
      <c r="F1771" s="5">
        <v>8</v>
      </c>
      <c r="G1771" s="5" t="s">
        <v>65</v>
      </c>
      <c r="H1771" s="5">
        <v>3172692</v>
      </c>
      <c r="I1771" s="5">
        <v>2728333.44</v>
      </c>
      <c r="J1771" s="5">
        <v>36</v>
      </c>
      <c r="K1771" s="5">
        <v>302333</v>
      </c>
      <c r="L1771" s="5">
        <v>3466140</v>
      </c>
      <c r="M1771" s="5">
        <v>444358.56</v>
      </c>
      <c r="N1771" s="5">
        <v>0.1401</v>
      </c>
      <c r="O1771" s="5">
        <v>1</v>
      </c>
      <c r="P1771" s="5">
        <v>93840</v>
      </c>
    </row>
    <row r="1772" spans="1:16" x14ac:dyDescent="0.3">
      <c r="A1772" s="5">
        <v>17</v>
      </c>
      <c r="B1772" s="5" t="s">
        <v>122</v>
      </c>
      <c r="C1772" s="5">
        <v>9</v>
      </c>
      <c r="D1772" s="5" t="s">
        <v>92</v>
      </c>
      <c r="E1772" s="5">
        <v>2024</v>
      </c>
      <c r="F1772" s="5">
        <v>9</v>
      </c>
      <c r="G1772" s="5" t="s">
        <v>66</v>
      </c>
      <c r="H1772" s="5">
        <v>2312944</v>
      </c>
      <c r="I1772" s="5">
        <v>1860581.21</v>
      </c>
      <c r="J1772" s="5">
        <v>42</v>
      </c>
      <c r="K1772" s="5">
        <v>104147</v>
      </c>
      <c r="L1772" s="5">
        <v>2405160</v>
      </c>
      <c r="M1772" s="5">
        <v>452362.79</v>
      </c>
      <c r="N1772" s="5">
        <v>0.1956</v>
      </c>
      <c r="O1772" s="5">
        <v>2</v>
      </c>
      <c r="P1772" s="5">
        <v>14866</v>
      </c>
    </row>
    <row r="1773" spans="1:16" x14ac:dyDescent="0.3">
      <c r="A1773" s="5">
        <v>66</v>
      </c>
      <c r="B1773" s="5" t="s">
        <v>122</v>
      </c>
      <c r="C1773" s="5">
        <v>9</v>
      </c>
      <c r="D1773" s="5" t="s">
        <v>92</v>
      </c>
      <c r="E1773" s="5">
        <v>2024</v>
      </c>
      <c r="F1773" s="5">
        <v>9</v>
      </c>
      <c r="G1773" s="5" t="s">
        <v>66</v>
      </c>
      <c r="H1773" s="5">
        <v>3427419</v>
      </c>
      <c r="I1773" s="5">
        <v>2749810.57</v>
      </c>
      <c r="J1773" s="5">
        <v>40</v>
      </c>
      <c r="K1773" s="5">
        <v>148333</v>
      </c>
      <c r="L1773" s="5">
        <v>3563680</v>
      </c>
      <c r="M1773" s="5">
        <v>677608.43</v>
      </c>
      <c r="N1773" s="5">
        <v>0.19769999999999999</v>
      </c>
      <c r="O1773" s="5">
        <v>7</v>
      </c>
      <c r="P1773" s="5">
        <v>262922</v>
      </c>
    </row>
    <row r="1774" spans="1:16" x14ac:dyDescent="0.3">
      <c r="A1774" s="5">
        <v>17</v>
      </c>
      <c r="B1774" s="5" t="s">
        <v>122</v>
      </c>
      <c r="C1774" s="5">
        <v>9</v>
      </c>
      <c r="D1774" s="5" t="s">
        <v>92</v>
      </c>
      <c r="E1774" s="5">
        <v>2024</v>
      </c>
      <c r="F1774" s="5">
        <v>10</v>
      </c>
      <c r="G1774" s="5" t="s">
        <v>67</v>
      </c>
      <c r="H1774" s="5">
        <v>3436219</v>
      </c>
      <c r="I1774" s="5">
        <v>2804260.4</v>
      </c>
      <c r="J1774" s="5">
        <v>49</v>
      </c>
      <c r="K1774" s="5">
        <v>145859</v>
      </c>
      <c r="L1774" s="5">
        <v>3577970</v>
      </c>
      <c r="M1774" s="5">
        <v>631958.6</v>
      </c>
      <c r="N1774" s="5">
        <v>0.18390000000000001</v>
      </c>
      <c r="O1774" s="5">
        <v>6</v>
      </c>
      <c r="P1774" s="5">
        <v>94385</v>
      </c>
    </row>
    <row r="1775" spans="1:16" x14ac:dyDescent="0.3">
      <c r="A1775" s="5">
        <v>66</v>
      </c>
      <c r="B1775" s="5" t="s">
        <v>122</v>
      </c>
      <c r="C1775" s="5">
        <v>9</v>
      </c>
      <c r="D1775" s="5" t="s">
        <v>92</v>
      </c>
      <c r="E1775" s="5">
        <v>2024</v>
      </c>
      <c r="F1775" s="5">
        <v>10</v>
      </c>
      <c r="G1775" s="5" t="s">
        <v>67</v>
      </c>
      <c r="H1775" s="5">
        <v>4430776</v>
      </c>
      <c r="I1775" s="5">
        <v>3516067.63</v>
      </c>
      <c r="J1775" s="5">
        <v>60</v>
      </c>
      <c r="K1775" s="5">
        <v>113532</v>
      </c>
      <c r="L1775" s="5">
        <v>4525140</v>
      </c>
      <c r="M1775" s="5">
        <v>914708.37</v>
      </c>
      <c r="N1775" s="5">
        <v>0.2064</v>
      </c>
      <c r="O1775" s="5">
        <v>3</v>
      </c>
      <c r="P1775" s="5">
        <v>36438</v>
      </c>
    </row>
    <row r="1776" spans="1:16" x14ac:dyDescent="0.3">
      <c r="A1776" s="5">
        <v>17</v>
      </c>
      <c r="B1776" s="5" t="s">
        <v>122</v>
      </c>
      <c r="C1776" s="5">
        <v>9</v>
      </c>
      <c r="D1776" s="5" t="s">
        <v>92</v>
      </c>
      <c r="E1776" s="5">
        <v>2024</v>
      </c>
      <c r="F1776" s="5">
        <v>11</v>
      </c>
      <c r="G1776" s="5" t="s">
        <v>68</v>
      </c>
      <c r="H1776" s="5">
        <v>3838623</v>
      </c>
      <c r="I1776" s="5">
        <v>3125638.83</v>
      </c>
      <c r="J1776" s="5">
        <v>57</v>
      </c>
      <c r="K1776" s="5">
        <v>216640</v>
      </c>
      <c r="L1776" s="5">
        <v>4047590</v>
      </c>
      <c r="M1776" s="5">
        <v>712984.17</v>
      </c>
      <c r="N1776" s="5">
        <v>0.1857</v>
      </c>
      <c r="O1776" s="5">
        <v>3</v>
      </c>
      <c r="P1776" s="5">
        <v>113220</v>
      </c>
    </row>
    <row r="1777" spans="1:16" x14ac:dyDescent="0.3">
      <c r="A1777" s="5">
        <v>66</v>
      </c>
      <c r="B1777" s="5" t="s">
        <v>122</v>
      </c>
      <c r="C1777" s="5">
        <v>9</v>
      </c>
      <c r="D1777" s="5" t="s">
        <v>92</v>
      </c>
      <c r="E1777" s="5">
        <v>2024</v>
      </c>
      <c r="F1777" s="5">
        <v>11</v>
      </c>
      <c r="G1777" s="5" t="s">
        <v>68</v>
      </c>
      <c r="H1777" s="5">
        <v>2933205</v>
      </c>
      <c r="I1777" s="5">
        <v>2460677.65</v>
      </c>
      <c r="J1777" s="5">
        <v>48</v>
      </c>
      <c r="K1777" s="5">
        <v>196762</v>
      </c>
      <c r="L1777" s="5">
        <v>3117600</v>
      </c>
      <c r="M1777" s="5">
        <v>472527.35</v>
      </c>
      <c r="N1777" s="5">
        <v>0.16109999999999999</v>
      </c>
      <c r="O1777" s="5">
        <v>6</v>
      </c>
      <c r="P1777" s="5">
        <v>128091</v>
      </c>
    </row>
    <row r="1778" spans="1:16" x14ac:dyDescent="0.3">
      <c r="A1778" s="5">
        <v>17</v>
      </c>
      <c r="B1778" s="5" t="s">
        <v>122</v>
      </c>
      <c r="C1778" s="5">
        <v>9</v>
      </c>
      <c r="D1778" s="5" t="s">
        <v>92</v>
      </c>
      <c r="E1778" s="5">
        <v>2024</v>
      </c>
      <c r="F1778" s="5">
        <v>12</v>
      </c>
      <c r="G1778" s="5" t="s">
        <v>69</v>
      </c>
      <c r="H1778" s="5">
        <v>2295231</v>
      </c>
      <c r="I1778" s="5">
        <v>1879351.48</v>
      </c>
      <c r="J1778" s="5">
        <v>37</v>
      </c>
      <c r="K1778" s="5">
        <v>72475</v>
      </c>
      <c r="L1778" s="5">
        <v>2358540</v>
      </c>
      <c r="M1778" s="5">
        <v>415879.52</v>
      </c>
      <c r="N1778" s="5">
        <v>0.1812</v>
      </c>
      <c r="O1778" s="5">
        <v>1</v>
      </c>
      <c r="P1778" s="5">
        <v>797</v>
      </c>
    </row>
    <row r="1779" spans="1:16" x14ac:dyDescent="0.3">
      <c r="A1779" s="5">
        <v>66</v>
      </c>
      <c r="B1779" s="5" t="s">
        <v>122</v>
      </c>
      <c r="C1779" s="5">
        <v>9</v>
      </c>
      <c r="D1779" s="5" t="s">
        <v>92</v>
      </c>
      <c r="E1779" s="5">
        <v>2024</v>
      </c>
      <c r="F1779" s="5">
        <v>12</v>
      </c>
      <c r="G1779" s="5" t="s">
        <v>69</v>
      </c>
      <c r="H1779" s="5">
        <v>3860271</v>
      </c>
      <c r="I1779" s="5">
        <v>3035189.44</v>
      </c>
      <c r="J1779" s="5">
        <v>56</v>
      </c>
      <c r="K1779" s="5">
        <v>138179</v>
      </c>
      <c r="L1779" s="5">
        <v>3984640</v>
      </c>
      <c r="M1779" s="5">
        <v>825081.56</v>
      </c>
      <c r="N1779" s="5">
        <v>0.2137</v>
      </c>
      <c r="O1779" s="5">
        <v>2</v>
      </c>
      <c r="P1779" s="5">
        <v>52104</v>
      </c>
    </row>
    <row r="1780" spans="1:16" x14ac:dyDescent="0.3">
      <c r="A1780" s="5">
        <v>52</v>
      </c>
      <c r="B1780" s="5" t="s">
        <v>123</v>
      </c>
      <c r="C1780" s="5">
        <v>9</v>
      </c>
      <c r="D1780" s="5" t="s">
        <v>92</v>
      </c>
      <c r="E1780" s="5">
        <v>2021</v>
      </c>
      <c r="F1780" s="5">
        <v>1</v>
      </c>
      <c r="G1780" s="5" t="s">
        <v>22</v>
      </c>
      <c r="H1780" s="5">
        <v>462426</v>
      </c>
      <c r="I1780" s="5">
        <v>412639.77</v>
      </c>
      <c r="J1780" s="5">
        <v>15</v>
      </c>
      <c r="K1780" s="5">
        <v>57036</v>
      </c>
      <c r="L1780" s="5">
        <v>518250</v>
      </c>
      <c r="M1780" s="5">
        <v>49786.23</v>
      </c>
      <c r="N1780" s="5">
        <v>0.1077</v>
      </c>
      <c r="O1780" s="5">
        <v>2</v>
      </c>
      <c r="P1780" s="5">
        <v>6208</v>
      </c>
    </row>
    <row r="1781" spans="1:16" x14ac:dyDescent="0.3">
      <c r="A1781" s="5">
        <v>92</v>
      </c>
      <c r="B1781" s="5" t="s">
        <v>123</v>
      </c>
      <c r="C1781" s="5">
        <v>9</v>
      </c>
      <c r="D1781" s="5" t="s">
        <v>92</v>
      </c>
      <c r="E1781" s="5">
        <v>2021</v>
      </c>
      <c r="F1781" s="5">
        <v>1</v>
      </c>
      <c r="G1781" s="5" t="s">
        <v>22</v>
      </c>
      <c r="H1781" s="5">
        <v>456594</v>
      </c>
      <c r="I1781" s="5">
        <v>420202.29</v>
      </c>
      <c r="J1781" s="5">
        <v>14</v>
      </c>
      <c r="K1781" s="5">
        <v>86320</v>
      </c>
      <c r="L1781" s="5">
        <v>540690</v>
      </c>
      <c r="M1781" s="5">
        <v>36391.71</v>
      </c>
      <c r="N1781" s="5">
        <v>7.9699999999999993E-2</v>
      </c>
      <c r="O1781" s="5">
        <v>0</v>
      </c>
      <c r="P1781" s="5">
        <v>0</v>
      </c>
    </row>
    <row r="1782" spans="1:16" x14ac:dyDescent="0.3">
      <c r="A1782" s="5">
        <v>52</v>
      </c>
      <c r="B1782" s="5" t="s">
        <v>123</v>
      </c>
      <c r="C1782" s="5">
        <v>9</v>
      </c>
      <c r="D1782" s="5" t="s">
        <v>92</v>
      </c>
      <c r="E1782" s="5">
        <v>2021</v>
      </c>
      <c r="F1782" s="5">
        <v>2</v>
      </c>
      <c r="G1782" s="5" t="s">
        <v>23</v>
      </c>
      <c r="H1782" s="5">
        <v>973962</v>
      </c>
      <c r="I1782" s="5">
        <v>860858.31</v>
      </c>
      <c r="J1782" s="5">
        <v>19</v>
      </c>
      <c r="K1782" s="5">
        <v>153509</v>
      </c>
      <c r="L1782" s="5">
        <v>1125810</v>
      </c>
      <c r="M1782" s="5">
        <v>113103.69</v>
      </c>
      <c r="N1782" s="5">
        <v>0.11609999999999999</v>
      </c>
      <c r="O1782" s="5">
        <v>0</v>
      </c>
      <c r="P1782" s="5">
        <v>0</v>
      </c>
    </row>
    <row r="1783" spans="1:16" x14ac:dyDescent="0.3">
      <c r="A1783" s="5">
        <v>92</v>
      </c>
      <c r="B1783" s="5" t="s">
        <v>123</v>
      </c>
      <c r="C1783" s="5">
        <v>9</v>
      </c>
      <c r="D1783" s="5" t="s">
        <v>92</v>
      </c>
      <c r="E1783" s="5">
        <v>2021</v>
      </c>
      <c r="F1783" s="5">
        <v>2</v>
      </c>
      <c r="G1783" s="5" t="s">
        <v>23</v>
      </c>
      <c r="H1783" s="5">
        <v>2002331</v>
      </c>
      <c r="I1783" s="5">
        <v>1714020.89</v>
      </c>
      <c r="J1783" s="5">
        <v>27</v>
      </c>
      <c r="K1783" s="5">
        <v>159151</v>
      </c>
      <c r="L1783" s="5">
        <v>2145040</v>
      </c>
      <c r="M1783" s="5">
        <v>288310.11</v>
      </c>
      <c r="N1783" s="5">
        <v>0.14399999999999999</v>
      </c>
      <c r="O1783" s="5">
        <v>2</v>
      </c>
      <c r="P1783" s="5">
        <v>88434</v>
      </c>
    </row>
    <row r="1784" spans="1:16" x14ac:dyDescent="0.3">
      <c r="A1784" s="5">
        <v>52</v>
      </c>
      <c r="B1784" s="5" t="s">
        <v>123</v>
      </c>
      <c r="C1784" s="5">
        <v>9</v>
      </c>
      <c r="D1784" s="5" t="s">
        <v>92</v>
      </c>
      <c r="E1784" s="5">
        <v>2021</v>
      </c>
      <c r="F1784" s="5">
        <v>3</v>
      </c>
      <c r="G1784" s="5" t="s">
        <v>24</v>
      </c>
      <c r="H1784" s="5">
        <v>1161751</v>
      </c>
      <c r="I1784" s="5">
        <v>1035788.78</v>
      </c>
      <c r="J1784" s="5">
        <v>16</v>
      </c>
      <c r="K1784" s="5">
        <v>141292</v>
      </c>
      <c r="L1784" s="5">
        <v>1299550</v>
      </c>
      <c r="M1784" s="5">
        <v>125962.22</v>
      </c>
      <c r="N1784" s="5">
        <v>0.1084</v>
      </c>
      <c r="O1784" s="5">
        <v>3</v>
      </c>
      <c r="P1784" s="5">
        <v>15131</v>
      </c>
    </row>
    <row r="1785" spans="1:16" x14ac:dyDescent="0.3">
      <c r="A1785" s="5">
        <v>92</v>
      </c>
      <c r="B1785" s="5" t="s">
        <v>123</v>
      </c>
      <c r="C1785" s="5">
        <v>9</v>
      </c>
      <c r="D1785" s="5" t="s">
        <v>92</v>
      </c>
      <c r="E1785" s="5">
        <v>2021</v>
      </c>
      <c r="F1785" s="5">
        <v>3</v>
      </c>
      <c r="G1785" s="5" t="s">
        <v>24</v>
      </c>
      <c r="H1785" s="5">
        <v>793426</v>
      </c>
      <c r="I1785" s="5">
        <v>672932.05</v>
      </c>
      <c r="J1785" s="5">
        <v>12</v>
      </c>
      <c r="K1785" s="5">
        <v>70168</v>
      </c>
      <c r="L1785" s="5">
        <v>862380</v>
      </c>
      <c r="M1785" s="5">
        <v>120493.95</v>
      </c>
      <c r="N1785" s="5">
        <v>0.15190000000000001</v>
      </c>
      <c r="O1785" s="5">
        <v>0</v>
      </c>
      <c r="P1785" s="5">
        <v>0</v>
      </c>
    </row>
    <row r="1786" spans="1:16" x14ac:dyDescent="0.3">
      <c r="A1786" s="5">
        <v>52</v>
      </c>
      <c r="B1786" s="5" t="s">
        <v>123</v>
      </c>
      <c r="C1786" s="5">
        <v>9</v>
      </c>
      <c r="D1786" s="5" t="s">
        <v>92</v>
      </c>
      <c r="E1786" s="5">
        <v>2021</v>
      </c>
      <c r="F1786" s="5">
        <v>4</v>
      </c>
      <c r="G1786" s="5" t="s">
        <v>25</v>
      </c>
      <c r="H1786" s="5">
        <v>1599414</v>
      </c>
      <c r="I1786" s="5">
        <v>1318211.26</v>
      </c>
      <c r="J1786" s="5">
        <v>16</v>
      </c>
      <c r="K1786" s="5">
        <v>83098</v>
      </c>
      <c r="L1786" s="5">
        <v>1661870</v>
      </c>
      <c r="M1786" s="5">
        <v>281202.74</v>
      </c>
      <c r="N1786" s="5">
        <v>0.17580000000000001</v>
      </c>
      <c r="O1786" s="5">
        <v>1</v>
      </c>
      <c r="P1786" s="5">
        <v>46114</v>
      </c>
    </row>
    <row r="1787" spans="1:16" x14ac:dyDescent="0.3">
      <c r="A1787" s="5">
        <v>92</v>
      </c>
      <c r="B1787" s="5" t="s">
        <v>123</v>
      </c>
      <c r="C1787" s="5">
        <v>9</v>
      </c>
      <c r="D1787" s="5" t="s">
        <v>92</v>
      </c>
      <c r="E1787" s="5">
        <v>2021</v>
      </c>
      <c r="F1787" s="5">
        <v>4</v>
      </c>
      <c r="G1787" s="5" t="s">
        <v>25</v>
      </c>
      <c r="H1787" s="5">
        <v>817762</v>
      </c>
      <c r="I1787" s="5">
        <v>728843.33</v>
      </c>
      <c r="J1787" s="5">
        <v>15</v>
      </c>
      <c r="K1787" s="5">
        <v>92060</v>
      </c>
      <c r="L1787" s="5">
        <v>907890</v>
      </c>
      <c r="M1787" s="5">
        <v>88918.67</v>
      </c>
      <c r="N1787" s="5">
        <v>0.1087</v>
      </c>
      <c r="O1787" s="5">
        <v>1</v>
      </c>
      <c r="P1787" s="5">
        <v>29330</v>
      </c>
    </row>
    <row r="1788" spans="1:16" x14ac:dyDescent="0.3">
      <c r="A1788" s="5">
        <v>52</v>
      </c>
      <c r="B1788" s="5" t="s">
        <v>123</v>
      </c>
      <c r="C1788" s="5">
        <v>9</v>
      </c>
      <c r="D1788" s="5" t="s">
        <v>92</v>
      </c>
      <c r="E1788" s="5">
        <v>2021</v>
      </c>
      <c r="F1788" s="5">
        <v>5</v>
      </c>
      <c r="G1788" s="5" t="s">
        <v>26</v>
      </c>
      <c r="H1788" s="5">
        <v>1160101</v>
      </c>
      <c r="I1788" s="5">
        <v>1020028.61</v>
      </c>
      <c r="J1788" s="5">
        <v>18</v>
      </c>
      <c r="K1788" s="5">
        <v>157979</v>
      </c>
      <c r="L1788" s="5">
        <v>1310450</v>
      </c>
      <c r="M1788" s="5">
        <v>140072.39000000001</v>
      </c>
      <c r="N1788" s="5">
        <v>0.1207</v>
      </c>
      <c r="O1788" s="5">
        <v>0</v>
      </c>
      <c r="P1788" s="5">
        <v>0</v>
      </c>
    </row>
    <row r="1789" spans="1:16" x14ac:dyDescent="0.3">
      <c r="A1789" s="5">
        <v>92</v>
      </c>
      <c r="B1789" s="5" t="s">
        <v>123</v>
      </c>
      <c r="C1789" s="5">
        <v>9</v>
      </c>
      <c r="D1789" s="5" t="s">
        <v>92</v>
      </c>
      <c r="E1789" s="5">
        <v>2021</v>
      </c>
      <c r="F1789" s="5">
        <v>5</v>
      </c>
      <c r="G1789" s="5" t="s">
        <v>26</v>
      </c>
      <c r="H1789" s="5">
        <v>1397295</v>
      </c>
      <c r="I1789" s="5">
        <v>1242843.81</v>
      </c>
      <c r="J1789" s="5">
        <v>18</v>
      </c>
      <c r="K1789" s="5">
        <v>213589</v>
      </c>
      <c r="L1789" s="5">
        <v>1609930</v>
      </c>
      <c r="M1789" s="5">
        <v>154451.19</v>
      </c>
      <c r="N1789" s="5">
        <v>0.1105</v>
      </c>
      <c r="O1789" s="5">
        <v>3</v>
      </c>
      <c r="P1789" s="5">
        <v>25373</v>
      </c>
    </row>
    <row r="1790" spans="1:16" x14ac:dyDescent="0.3">
      <c r="A1790" s="5">
        <v>52</v>
      </c>
      <c r="B1790" s="5" t="s">
        <v>123</v>
      </c>
      <c r="C1790" s="5">
        <v>9</v>
      </c>
      <c r="D1790" s="5" t="s">
        <v>92</v>
      </c>
      <c r="E1790" s="5">
        <v>2021</v>
      </c>
      <c r="F1790" s="5">
        <v>6</v>
      </c>
      <c r="G1790" s="5" t="s">
        <v>27</v>
      </c>
      <c r="H1790" s="5">
        <v>736242</v>
      </c>
      <c r="I1790" s="5">
        <v>555293.37</v>
      </c>
      <c r="J1790" s="5">
        <v>14</v>
      </c>
      <c r="K1790" s="5">
        <v>26923</v>
      </c>
      <c r="L1790" s="5">
        <v>761980</v>
      </c>
      <c r="M1790" s="5">
        <v>180948.63</v>
      </c>
      <c r="N1790" s="5">
        <v>0.24579999999999999</v>
      </c>
      <c r="O1790" s="5">
        <v>0</v>
      </c>
      <c r="P1790" s="5">
        <v>0</v>
      </c>
    </row>
    <row r="1791" spans="1:16" x14ac:dyDescent="0.3">
      <c r="A1791" s="5">
        <v>92</v>
      </c>
      <c r="B1791" s="5" t="s">
        <v>123</v>
      </c>
      <c r="C1791" s="5">
        <v>9</v>
      </c>
      <c r="D1791" s="5" t="s">
        <v>92</v>
      </c>
      <c r="E1791" s="5">
        <v>2021</v>
      </c>
      <c r="F1791" s="5">
        <v>6</v>
      </c>
      <c r="G1791" s="5" t="s">
        <v>27</v>
      </c>
      <c r="H1791" s="5">
        <v>1035535</v>
      </c>
      <c r="I1791" s="5">
        <v>898670.49</v>
      </c>
      <c r="J1791" s="5">
        <v>16</v>
      </c>
      <c r="K1791" s="5">
        <v>128031</v>
      </c>
      <c r="L1791" s="5">
        <v>1162940</v>
      </c>
      <c r="M1791" s="5">
        <v>136864.51</v>
      </c>
      <c r="N1791" s="5">
        <v>0.13220000000000001</v>
      </c>
      <c r="O1791" s="5">
        <v>1</v>
      </c>
      <c r="P1791" s="5">
        <v>1044</v>
      </c>
    </row>
    <row r="1792" spans="1:16" x14ac:dyDescent="0.3">
      <c r="A1792" s="5">
        <v>52</v>
      </c>
      <c r="B1792" s="5" t="s">
        <v>123</v>
      </c>
      <c r="C1792" s="5">
        <v>9</v>
      </c>
      <c r="D1792" s="5" t="s">
        <v>92</v>
      </c>
      <c r="E1792" s="5">
        <v>2021</v>
      </c>
      <c r="F1792" s="5">
        <v>7</v>
      </c>
      <c r="G1792" s="5" t="s">
        <v>28</v>
      </c>
      <c r="H1792" s="5">
        <v>1351943</v>
      </c>
      <c r="I1792" s="5">
        <v>1108114.93</v>
      </c>
      <c r="J1792" s="5">
        <v>18</v>
      </c>
      <c r="K1792" s="5">
        <v>139305</v>
      </c>
      <c r="L1792" s="5">
        <v>1483410</v>
      </c>
      <c r="M1792" s="5">
        <v>243828.07</v>
      </c>
      <c r="N1792" s="5">
        <v>0.1804</v>
      </c>
      <c r="O1792" s="5">
        <v>3</v>
      </c>
      <c r="P1792" s="5">
        <v>38969</v>
      </c>
    </row>
    <row r="1793" spans="1:16" x14ac:dyDescent="0.3">
      <c r="A1793" s="5">
        <v>92</v>
      </c>
      <c r="B1793" s="5" t="s">
        <v>123</v>
      </c>
      <c r="C1793" s="5">
        <v>9</v>
      </c>
      <c r="D1793" s="5" t="s">
        <v>92</v>
      </c>
      <c r="E1793" s="5">
        <v>2021</v>
      </c>
      <c r="F1793" s="5">
        <v>7</v>
      </c>
      <c r="G1793" s="5" t="s">
        <v>28</v>
      </c>
      <c r="H1793" s="5">
        <v>1525539</v>
      </c>
      <c r="I1793" s="5">
        <v>1461338.21</v>
      </c>
      <c r="J1793" s="5">
        <v>21</v>
      </c>
      <c r="K1793" s="5">
        <v>349168</v>
      </c>
      <c r="L1793" s="5">
        <v>1874150</v>
      </c>
      <c r="M1793" s="5">
        <v>64200.79</v>
      </c>
      <c r="N1793" s="5">
        <v>4.2099999999999999E-2</v>
      </c>
      <c r="O1793" s="5">
        <v>2</v>
      </c>
      <c r="P1793" s="5">
        <v>7504</v>
      </c>
    </row>
    <row r="1794" spans="1:16" x14ac:dyDescent="0.3">
      <c r="A1794" s="5">
        <v>52</v>
      </c>
      <c r="B1794" s="5" t="s">
        <v>123</v>
      </c>
      <c r="C1794" s="5">
        <v>9</v>
      </c>
      <c r="D1794" s="5" t="s">
        <v>92</v>
      </c>
      <c r="E1794" s="5">
        <v>2021</v>
      </c>
      <c r="F1794" s="5">
        <v>8</v>
      </c>
      <c r="G1794" s="5" t="s">
        <v>29</v>
      </c>
      <c r="H1794" s="5">
        <v>896575</v>
      </c>
      <c r="I1794" s="5">
        <v>724651.13</v>
      </c>
      <c r="J1794" s="5">
        <v>17</v>
      </c>
      <c r="K1794" s="5">
        <v>37183</v>
      </c>
      <c r="L1794" s="5">
        <v>930810</v>
      </c>
      <c r="M1794" s="5">
        <v>171923.87</v>
      </c>
      <c r="N1794" s="5">
        <v>0.1918</v>
      </c>
      <c r="O1794" s="5">
        <v>0</v>
      </c>
      <c r="P1794" s="5">
        <v>0</v>
      </c>
    </row>
    <row r="1795" spans="1:16" x14ac:dyDescent="0.3">
      <c r="A1795" s="5">
        <v>92</v>
      </c>
      <c r="B1795" s="5" t="s">
        <v>123</v>
      </c>
      <c r="C1795" s="5">
        <v>9</v>
      </c>
      <c r="D1795" s="5" t="s">
        <v>92</v>
      </c>
      <c r="E1795" s="5">
        <v>2021</v>
      </c>
      <c r="F1795" s="5">
        <v>8</v>
      </c>
      <c r="G1795" s="5" t="s">
        <v>29</v>
      </c>
      <c r="H1795" s="5">
        <v>1213353</v>
      </c>
      <c r="I1795" s="5">
        <v>1026516.7</v>
      </c>
      <c r="J1795" s="5">
        <v>19</v>
      </c>
      <c r="K1795" s="5">
        <v>97614</v>
      </c>
      <c r="L1795" s="5">
        <v>1301590</v>
      </c>
      <c r="M1795" s="5">
        <v>186836.3</v>
      </c>
      <c r="N1795" s="5">
        <v>0.154</v>
      </c>
      <c r="O1795" s="5">
        <v>0</v>
      </c>
      <c r="P1795" s="5">
        <v>0</v>
      </c>
    </row>
    <row r="1796" spans="1:16" x14ac:dyDescent="0.3">
      <c r="A1796" s="5">
        <v>52</v>
      </c>
      <c r="B1796" s="5" t="s">
        <v>123</v>
      </c>
      <c r="C1796" s="5">
        <v>9</v>
      </c>
      <c r="D1796" s="5" t="s">
        <v>92</v>
      </c>
      <c r="E1796" s="5">
        <v>2021</v>
      </c>
      <c r="F1796" s="5">
        <v>9</v>
      </c>
      <c r="G1796" s="5" t="s">
        <v>30</v>
      </c>
      <c r="H1796" s="5">
        <v>2294186</v>
      </c>
      <c r="I1796" s="5">
        <v>2061106.02</v>
      </c>
      <c r="J1796" s="5">
        <v>28</v>
      </c>
      <c r="K1796" s="5">
        <v>274875</v>
      </c>
      <c r="L1796" s="5">
        <v>2563650</v>
      </c>
      <c r="M1796" s="5">
        <v>233079.98</v>
      </c>
      <c r="N1796" s="5">
        <v>0.1016</v>
      </c>
      <c r="O1796" s="5">
        <v>0</v>
      </c>
      <c r="P1796" s="5">
        <v>0</v>
      </c>
    </row>
    <row r="1797" spans="1:16" x14ac:dyDescent="0.3">
      <c r="A1797" s="5">
        <v>92</v>
      </c>
      <c r="B1797" s="5" t="s">
        <v>123</v>
      </c>
      <c r="C1797" s="5">
        <v>9</v>
      </c>
      <c r="D1797" s="5" t="s">
        <v>92</v>
      </c>
      <c r="E1797" s="5">
        <v>2021</v>
      </c>
      <c r="F1797" s="5">
        <v>9</v>
      </c>
      <c r="G1797" s="5" t="s">
        <v>30</v>
      </c>
      <c r="H1797" s="5">
        <v>1039734</v>
      </c>
      <c r="I1797" s="5">
        <v>915083.72</v>
      </c>
      <c r="J1797" s="5">
        <v>22</v>
      </c>
      <c r="K1797" s="5">
        <v>183156</v>
      </c>
      <c r="L1797" s="5">
        <v>1221210</v>
      </c>
      <c r="M1797" s="5">
        <v>124650.28</v>
      </c>
      <c r="N1797" s="5">
        <v>0.11990000000000001</v>
      </c>
      <c r="O1797" s="5">
        <v>3</v>
      </c>
      <c r="P1797" s="5">
        <v>17219</v>
      </c>
    </row>
    <row r="1798" spans="1:16" x14ac:dyDescent="0.3">
      <c r="A1798" s="5">
        <v>52</v>
      </c>
      <c r="B1798" s="5" t="s">
        <v>123</v>
      </c>
      <c r="C1798" s="5">
        <v>9</v>
      </c>
      <c r="D1798" s="5" t="s">
        <v>92</v>
      </c>
      <c r="E1798" s="5">
        <v>2021</v>
      </c>
      <c r="F1798" s="5">
        <v>10</v>
      </c>
      <c r="G1798" s="5" t="s">
        <v>31</v>
      </c>
      <c r="H1798" s="5">
        <v>1565061</v>
      </c>
      <c r="I1798" s="5">
        <v>1373009.62</v>
      </c>
      <c r="J1798" s="5">
        <v>23</v>
      </c>
      <c r="K1798" s="5">
        <v>194251</v>
      </c>
      <c r="L1798" s="5">
        <v>1757390</v>
      </c>
      <c r="M1798" s="5">
        <v>192051.38</v>
      </c>
      <c r="N1798" s="5">
        <v>0.1227</v>
      </c>
      <c r="O1798" s="5">
        <v>3</v>
      </c>
      <c r="P1798" s="5">
        <v>103894</v>
      </c>
    </row>
    <row r="1799" spans="1:16" x14ac:dyDescent="0.3">
      <c r="A1799" s="5">
        <v>92</v>
      </c>
      <c r="B1799" s="5" t="s">
        <v>123</v>
      </c>
      <c r="C1799" s="5">
        <v>9</v>
      </c>
      <c r="D1799" s="5" t="s">
        <v>92</v>
      </c>
      <c r="E1799" s="5">
        <v>2021</v>
      </c>
      <c r="F1799" s="5">
        <v>10</v>
      </c>
      <c r="G1799" s="5" t="s">
        <v>31</v>
      </c>
      <c r="H1799" s="5">
        <v>2000067</v>
      </c>
      <c r="I1799" s="5">
        <v>1747512.92</v>
      </c>
      <c r="J1799" s="5">
        <v>26</v>
      </c>
      <c r="K1799" s="5">
        <v>206422</v>
      </c>
      <c r="L1799" s="5">
        <v>2201350</v>
      </c>
      <c r="M1799" s="5">
        <v>252554.08</v>
      </c>
      <c r="N1799" s="5">
        <v>0.1263</v>
      </c>
      <c r="O1799" s="5">
        <v>2</v>
      </c>
      <c r="P1799" s="5">
        <v>8972</v>
      </c>
    </row>
    <row r="1800" spans="1:16" x14ac:dyDescent="0.3">
      <c r="A1800" s="5">
        <v>52</v>
      </c>
      <c r="B1800" s="5" t="s">
        <v>123</v>
      </c>
      <c r="C1800" s="5">
        <v>9</v>
      </c>
      <c r="D1800" s="5" t="s">
        <v>92</v>
      </c>
      <c r="E1800" s="5">
        <v>2021</v>
      </c>
      <c r="F1800" s="5">
        <v>11</v>
      </c>
      <c r="G1800" s="5" t="s">
        <v>32</v>
      </c>
      <c r="H1800" s="5">
        <v>1737605</v>
      </c>
      <c r="I1800" s="5">
        <v>1437518.09</v>
      </c>
      <c r="J1800" s="5">
        <v>25</v>
      </c>
      <c r="K1800" s="5">
        <v>77384</v>
      </c>
      <c r="L1800" s="5">
        <v>1807910</v>
      </c>
      <c r="M1800" s="5">
        <v>300086.90999999997</v>
      </c>
      <c r="N1800" s="5">
        <v>0.17269999999999999</v>
      </c>
      <c r="O1800" s="5">
        <v>1</v>
      </c>
      <c r="P1800" s="5">
        <v>4931</v>
      </c>
    </row>
    <row r="1801" spans="1:16" x14ac:dyDescent="0.3">
      <c r="A1801" s="5">
        <v>92</v>
      </c>
      <c r="B1801" s="5" t="s">
        <v>123</v>
      </c>
      <c r="C1801" s="5">
        <v>9</v>
      </c>
      <c r="D1801" s="5" t="s">
        <v>92</v>
      </c>
      <c r="E1801" s="5">
        <v>2021</v>
      </c>
      <c r="F1801" s="5">
        <v>11</v>
      </c>
      <c r="G1801" s="5" t="s">
        <v>32</v>
      </c>
      <c r="H1801" s="5">
        <v>1426274</v>
      </c>
      <c r="I1801" s="5">
        <v>1216084.6599999999</v>
      </c>
      <c r="J1801" s="5">
        <v>28</v>
      </c>
      <c r="K1801" s="5">
        <v>172638</v>
      </c>
      <c r="L1801" s="5">
        <v>1596180</v>
      </c>
      <c r="M1801" s="5">
        <v>210189.34</v>
      </c>
      <c r="N1801" s="5">
        <v>0.1474</v>
      </c>
      <c r="O1801" s="5">
        <v>2</v>
      </c>
      <c r="P1801" s="5">
        <v>10252</v>
      </c>
    </row>
    <row r="1802" spans="1:16" x14ac:dyDescent="0.3">
      <c r="A1802" s="5">
        <v>52</v>
      </c>
      <c r="B1802" s="5" t="s">
        <v>123</v>
      </c>
      <c r="C1802" s="5">
        <v>9</v>
      </c>
      <c r="D1802" s="5" t="s">
        <v>92</v>
      </c>
      <c r="E1802" s="5">
        <v>2021</v>
      </c>
      <c r="F1802" s="5">
        <v>12</v>
      </c>
      <c r="G1802" s="5" t="s">
        <v>33</v>
      </c>
      <c r="H1802" s="5">
        <v>2329831</v>
      </c>
      <c r="I1802" s="5">
        <v>1865088.29</v>
      </c>
      <c r="J1802" s="5">
        <v>39</v>
      </c>
      <c r="K1802" s="5">
        <v>90023</v>
      </c>
      <c r="L1802" s="5">
        <v>2413280</v>
      </c>
      <c r="M1802" s="5">
        <v>464742.71</v>
      </c>
      <c r="N1802" s="5">
        <v>0.19950000000000001</v>
      </c>
      <c r="O1802" s="5">
        <v>1</v>
      </c>
      <c r="P1802" s="5">
        <v>6288</v>
      </c>
    </row>
    <row r="1803" spans="1:16" x14ac:dyDescent="0.3">
      <c r="A1803" s="5">
        <v>92</v>
      </c>
      <c r="B1803" s="5" t="s">
        <v>123</v>
      </c>
      <c r="C1803" s="5">
        <v>9</v>
      </c>
      <c r="D1803" s="5" t="s">
        <v>92</v>
      </c>
      <c r="E1803" s="5">
        <v>2021</v>
      </c>
      <c r="F1803" s="5">
        <v>12</v>
      </c>
      <c r="G1803" s="5" t="s">
        <v>33</v>
      </c>
      <c r="H1803" s="5">
        <v>2585118</v>
      </c>
      <c r="I1803" s="5">
        <v>2142927.09</v>
      </c>
      <c r="J1803" s="5">
        <v>33</v>
      </c>
      <c r="K1803" s="5">
        <v>102008</v>
      </c>
      <c r="L1803" s="5">
        <v>2670350</v>
      </c>
      <c r="M1803" s="5">
        <v>442190.91</v>
      </c>
      <c r="N1803" s="5">
        <v>0.1711</v>
      </c>
      <c r="O1803" s="5">
        <v>2</v>
      </c>
      <c r="P1803" s="5">
        <v>205489</v>
      </c>
    </row>
    <row r="1804" spans="1:16" x14ac:dyDescent="0.3">
      <c r="A1804" s="5">
        <v>52</v>
      </c>
      <c r="B1804" s="5" t="s">
        <v>123</v>
      </c>
      <c r="C1804" s="5">
        <v>9</v>
      </c>
      <c r="D1804" s="5" t="s">
        <v>92</v>
      </c>
      <c r="E1804" s="5">
        <v>2022</v>
      </c>
      <c r="F1804" s="5">
        <v>1</v>
      </c>
      <c r="G1804" s="5" t="s">
        <v>34</v>
      </c>
      <c r="H1804" s="5">
        <v>1951839</v>
      </c>
      <c r="I1804" s="5">
        <v>1556420.58</v>
      </c>
      <c r="J1804" s="5">
        <v>20</v>
      </c>
      <c r="K1804" s="5">
        <v>72131</v>
      </c>
      <c r="L1804" s="5">
        <v>2017500</v>
      </c>
      <c r="M1804" s="5">
        <v>395418.42</v>
      </c>
      <c r="N1804" s="5">
        <v>0.2026</v>
      </c>
      <c r="O1804" s="5">
        <v>0</v>
      </c>
      <c r="P1804" s="5">
        <v>0</v>
      </c>
    </row>
    <row r="1805" spans="1:16" x14ac:dyDescent="0.3">
      <c r="A1805" s="5">
        <v>92</v>
      </c>
      <c r="B1805" s="5" t="s">
        <v>123</v>
      </c>
      <c r="C1805" s="5">
        <v>9</v>
      </c>
      <c r="D1805" s="5" t="s">
        <v>92</v>
      </c>
      <c r="E1805" s="5">
        <v>2022</v>
      </c>
      <c r="F1805" s="5">
        <v>1</v>
      </c>
      <c r="G1805" s="5" t="s">
        <v>34</v>
      </c>
      <c r="H1805" s="5">
        <v>1309754</v>
      </c>
      <c r="I1805" s="5">
        <v>1073262.1000000001</v>
      </c>
      <c r="J1805" s="5">
        <v>20</v>
      </c>
      <c r="K1805" s="5">
        <v>99639</v>
      </c>
      <c r="L1805" s="5">
        <v>1404800</v>
      </c>
      <c r="M1805" s="5">
        <v>236491.9</v>
      </c>
      <c r="N1805" s="5">
        <v>0.18060000000000001</v>
      </c>
      <c r="O1805" s="5">
        <v>3</v>
      </c>
      <c r="P1805" s="5">
        <v>42751</v>
      </c>
    </row>
    <row r="1806" spans="1:16" x14ac:dyDescent="0.3">
      <c r="A1806" s="5">
        <v>52</v>
      </c>
      <c r="B1806" s="5" t="s">
        <v>123</v>
      </c>
      <c r="C1806" s="5">
        <v>9</v>
      </c>
      <c r="D1806" s="5" t="s">
        <v>92</v>
      </c>
      <c r="E1806" s="5">
        <v>2022</v>
      </c>
      <c r="F1806" s="5">
        <v>2</v>
      </c>
      <c r="G1806" s="5" t="s">
        <v>35</v>
      </c>
      <c r="H1806" s="5">
        <v>966941</v>
      </c>
      <c r="I1806" s="5">
        <v>803845.91</v>
      </c>
      <c r="J1806" s="5">
        <v>11</v>
      </c>
      <c r="K1806" s="5">
        <v>80309</v>
      </c>
      <c r="L1806" s="5">
        <v>1047250</v>
      </c>
      <c r="M1806" s="5">
        <v>163095.09</v>
      </c>
      <c r="N1806" s="5">
        <v>0.16869999999999999</v>
      </c>
      <c r="O1806" s="5">
        <v>0</v>
      </c>
      <c r="P1806" s="5">
        <v>0</v>
      </c>
    </row>
    <row r="1807" spans="1:16" x14ac:dyDescent="0.3">
      <c r="A1807" s="5">
        <v>92</v>
      </c>
      <c r="B1807" s="5" t="s">
        <v>123</v>
      </c>
      <c r="C1807" s="5">
        <v>9</v>
      </c>
      <c r="D1807" s="5" t="s">
        <v>92</v>
      </c>
      <c r="E1807" s="5">
        <v>2022</v>
      </c>
      <c r="F1807" s="5">
        <v>2</v>
      </c>
      <c r="G1807" s="5" t="s">
        <v>35</v>
      </c>
      <c r="H1807" s="5">
        <v>951258</v>
      </c>
      <c r="I1807" s="5">
        <v>759622.06</v>
      </c>
      <c r="J1807" s="5">
        <v>10</v>
      </c>
      <c r="K1807" s="5">
        <v>43289</v>
      </c>
      <c r="L1807" s="5">
        <v>991940</v>
      </c>
      <c r="M1807" s="5">
        <v>191635.94</v>
      </c>
      <c r="N1807" s="5">
        <v>0.20150000000000001</v>
      </c>
      <c r="O1807" s="5">
        <v>1</v>
      </c>
      <c r="P1807" s="5">
        <v>40804</v>
      </c>
    </row>
    <row r="1808" spans="1:16" x14ac:dyDescent="0.3">
      <c r="A1808" s="5">
        <v>52</v>
      </c>
      <c r="B1808" s="5" t="s">
        <v>123</v>
      </c>
      <c r="C1808" s="5">
        <v>9</v>
      </c>
      <c r="D1808" s="5" t="s">
        <v>92</v>
      </c>
      <c r="E1808" s="5">
        <v>2022</v>
      </c>
      <c r="F1808" s="5">
        <v>3</v>
      </c>
      <c r="G1808" s="5" t="s">
        <v>36</v>
      </c>
      <c r="H1808" s="5">
        <v>1033780</v>
      </c>
      <c r="I1808" s="5">
        <v>893113.74</v>
      </c>
      <c r="J1808" s="5">
        <v>15</v>
      </c>
      <c r="K1808" s="5">
        <v>130072</v>
      </c>
      <c r="L1808" s="5">
        <v>1162110</v>
      </c>
      <c r="M1808" s="5">
        <v>140666.26</v>
      </c>
      <c r="N1808" s="5">
        <v>0.1361</v>
      </c>
      <c r="O1808" s="5">
        <v>0</v>
      </c>
      <c r="P1808" s="5">
        <v>0</v>
      </c>
    </row>
    <row r="1809" spans="1:16" x14ac:dyDescent="0.3">
      <c r="A1809" s="5">
        <v>92</v>
      </c>
      <c r="B1809" s="5" t="s">
        <v>123</v>
      </c>
      <c r="C1809" s="5">
        <v>9</v>
      </c>
      <c r="D1809" s="5" t="s">
        <v>92</v>
      </c>
      <c r="E1809" s="5">
        <v>2022</v>
      </c>
      <c r="F1809" s="5">
        <v>3</v>
      </c>
      <c r="G1809" s="5" t="s">
        <v>36</v>
      </c>
      <c r="H1809" s="5">
        <v>1032205</v>
      </c>
      <c r="I1809" s="5">
        <v>906355.98</v>
      </c>
      <c r="J1809" s="5">
        <v>16</v>
      </c>
      <c r="K1809" s="5">
        <v>125966</v>
      </c>
      <c r="L1809" s="5">
        <v>1153660</v>
      </c>
      <c r="M1809" s="5">
        <v>125849.02</v>
      </c>
      <c r="N1809" s="5">
        <v>0.12189999999999999</v>
      </c>
      <c r="O1809" s="5">
        <v>1</v>
      </c>
      <c r="P1809" s="5">
        <v>17482</v>
      </c>
    </row>
    <row r="1810" spans="1:16" x14ac:dyDescent="0.3">
      <c r="A1810" s="5">
        <v>52</v>
      </c>
      <c r="B1810" s="5" t="s">
        <v>123</v>
      </c>
      <c r="C1810" s="5">
        <v>9</v>
      </c>
      <c r="D1810" s="5" t="s">
        <v>92</v>
      </c>
      <c r="E1810" s="5">
        <v>2022</v>
      </c>
      <c r="F1810" s="5">
        <v>4</v>
      </c>
      <c r="G1810" s="5" t="s">
        <v>37</v>
      </c>
      <c r="H1810" s="5">
        <v>1939597</v>
      </c>
      <c r="I1810" s="5">
        <v>1750872.48</v>
      </c>
      <c r="J1810" s="5">
        <v>26</v>
      </c>
      <c r="K1810" s="5">
        <v>280741</v>
      </c>
      <c r="L1810" s="5">
        <v>2217970</v>
      </c>
      <c r="M1810" s="5">
        <v>188724.52</v>
      </c>
      <c r="N1810" s="5">
        <v>9.7299999999999998E-2</v>
      </c>
      <c r="O1810" s="5">
        <v>3</v>
      </c>
      <c r="P1810" s="5">
        <v>229324</v>
      </c>
    </row>
    <row r="1811" spans="1:16" x14ac:dyDescent="0.3">
      <c r="A1811" s="5">
        <v>92</v>
      </c>
      <c r="B1811" s="5" t="s">
        <v>123</v>
      </c>
      <c r="C1811" s="5">
        <v>9</v>
      </c>
      <c r="D1811" s="5" t="s">
        <v>92</v>
      </c>
      <c r="E1811" s="5">
        <v>2022</v>
      </c>
      <c r="F1811" s="5">
        <v>4</v>
      </c>
      <c r="G1811" s="5" t="s">
        <v>37</v>
      </c>
      <c r="H1811" s="5">
        <v>2558957</v>
      </c>
      <c r="I1811" s="5">
        <v>2415744.69</v>
      </c>
      <c r="J1811" s="5">
        <v>24</v>
      </c>
      <c r="K1811" s="5">
        <v>453908</v>
      </c>
      <c r="L1811" s="5">
        <v>3007400</v>
      </c>
      <c r="M1811" s="5">
        <v>143212.31</v>
      </c>
      <c r="N1811" s="5">
        <v>5.6000000000000001E-2</v>
      </c>
      <c r="O1811" s="5">
        <v>5</v>
      </c>
      <c r="P1811" s="5">
        <v>211436</v>
      </c>
    </row>
    <row r="1812" spans="1:16" x14ac:dyDescent="0.3">
      <c r="A1812" s="5">
        <v>52</v>
      </c>
      <c r="B1812" s="5" t="s">
        <v>123</v>
      </c>
      <c r="C1812" s="5">
        <v>9</v>
      </c>
      <c r="D1812" s="5" t="s">
        <v>92</v>
      </c>
      <c r="E1812" s="5">
        <v>2022</v>
      </c>
      <c r="F1812" s="5">
        <v>5</v>
      </c>
      <c r="G1812" s="5" t="s">
        <v>38</v>
      </c>
      <c r="H1812" s="5">
        <v>1921080</v>
      </c>
      <c r="I1812" s="5">
        <v>1743397.93</v>
      </c>
      <c r="J1812" s="5">
        <v>35</v>
      </c>
      <c r="K1812" s="5">
        <v>341823</v>
      </c>
      <c r="L1812" s="5">
        <v>2257080</v>
      </c>
      <c r="M1812" s="5">
        <v>177682.07</v>
      </c>
      <c r="N1812" s="5">
        <v>9.2499999999999999E-2</v>
      </c>
      <c r="O1812" s="5">
        <v>4</v>
      </c>
      <c r="P1812" s="5">
        <v>107787</v>
      </c>
    </row>
    <row r="1813" spans="1:16" x14ac:dyDescent="0.3">
      <c r="A1813" s="5">
        <v>92</v>
      </c>
      <c r="B1813" s="5" t="s">
        <v>123</v>
      </c>
      <c r="C1813" s="5">
        <v>9</v>
      </c>
      <c r="D1813" s="5" t="s">
        <v>92</v>
      </c>
      <c r="E1813" s="5">
        <v>2022</v>
      </c>
      <c r="F1813" s="5">
        <v>5</v>
      </c>
      <c r="G1813" s="5" t="s">
        <v>38</v>
      </c>
      <c r="H1813" s="5">
        <v>1474593</v>
      </c>
      <c r="I1813" s="5">
        <v>1406944.43</v>
      </c>
      <c r="J1813" s="5">
        <v>23</v>
      </c>
      <c r="K1813" s="5">
        <v>338943</v>
      </c>
      <c r="L1813" s="5">
        <v>1812250</v>
      </c>
      <c r="M1813" s="5">
        <v>67648.570000000007</v>
      </c>
      <c r="N1813" s="5">
        <v>4.5900000000000003E-2</v>
      </c>
      <c r="O1813" s="5">
        <v>0</v>
      </c>
      <c r="P1813" s="5">
        <v>0</v>
      </c>
    </row>
    <row r="1814" spans="1:16" x14ac:dyDescent="0.3">
      <c r="A1814" s="5">
        <v>52</v>
      </c>
      <c r="B1814" s="5" t="s">
        <v>123</v>
      </c>
      <c r="C1814" s="5">
        <v>9</v>
      </c>
      <c r="D1814" s="5" t="s">
        <v>92</v>
      </c>
      <c r="E1814" s="5">
        <v>2022</v>
      </c>
      <c r="F1814" s="5">
        <v>6</v>
      </c>
      <c r="G1814" s="5" t="s">
        <v>39</v>
      </c>
      <c r="H1814" s="5">
        <v>1847909</v>
      </c>
      <c r="I1814" s="5">
        <v>1567125.57</v>
      </c>
      <c r="J1814" s="5">
        <v>23</v>
      </c>
      <c r="K1814" s="5">
        <v>183850</v>
      </c>
      <c r="L1814" s="5">
        <v>2019120</v>
      </c>
      <c r="M1814" s="5">
        <v>280783.43</v>
      </c>
      <c r="N1814" s="5">
        <v>0.15190000000000001</v>
      </c>
      <c r="O1814" s="5">
        <v>1</v>
      </c>
      <c r="P1814" s="5">
        <v>5097</v>
      </c>
    </row>
    <row r="1815" spans="1:16" x14ac:dyDescent="0.3">
      <c r="A1815" s="5">
        <v>92</v>
      </c>
      <c r="B1815" s="5" t="s">
        <v>123</v>
      </c>
      <c r="C1815" s="5">
        <v>9</v>
      </c>
      <c r="D1815" s="5" t="s">
        <v>92</v>
      </c>
      <c r="E1815" s="5">
        <v>2022</v>
      </c>
      <c r="F1815" s="5">
        <v>6</v>
      </c>
      <c r="G1815" s="5" t="s">
        <v>39</v>
      </c>
      <c r="H1815" s="5">
        <v>1542219</v>
      </c>
      <c r="I1815" s="5">
        <v>1327751.1200000001</v>
      </c>
      <c r="J1815" s="5">
        <v>21</v>
      </c>
      <c r="K1815" s="5">
        <v>152402</v>
      </c>
      <c r="L1815" s="5">
        <v>1690450</v>
      </c>
      <c r="M1815" s="5">
        <v>214467.88</v>
      </c>
      <c r="N1815" s="5">
        <v>0.1391</v>
      </c>
      <c r="O1815" s="5">
        <v>2</v>
      </c>
      <c r="P1815" s="5">
        <v>40456</v>
      </c>
    </row>
    <row r="1816" spans="1:16" x14ac:dyDescent="0.3">
      <c r="A1816" s="5">
        <v>52</v>
      </c>
      <c r="B1816" s="5" t="s">
        <v>123</v>
      </c>
      <c r="C1816" s="5">
        <v>9</v>
      </c>
      <c r="D1816" s="5" t="s">
        <v>92</v>
      </c>
      <c r="E1816" s="5">
        <v>2022</v>
      </c>
      <c r="F1816" s="5">
        <v>7</v>
      </c>
      <c r="G1816" s="5" t="s">
        <v>40</v>
      </c>
      <c r="H1816" s="5">
        <v>2101977</v>
      </c>
      <c r="I1816" s="5">
        <v>1885885.97</v>
      </c>
      <c r="J1816" s="5">
        <v>26</v>
      </c>
      <c r="K1816" s="5">
        <v>341095</v>
      </c>
      <c r="L1816" s="5">
        <v>2439980</v>
      </c>
      <c r="M1816" s="5">
        <v>216091.03</v>
      </c>
      <c r="N1816" s="5">
        <v>0.1028</v>
      </c>
      <c r="O1816" s="5">
        <v>0</v>
      </c>
      <c r="P1816" s="5">
        <v>0</v>
      </c>
    </row>
    <row r="1817" spans="1:16" x14ac:dyDescent="0.3">
      <c r="A1817" s="5">
        <v>92</v>
      </c>
      <c r="B1817" s="5" t="s">
        <v>123</v>
      </c>
      <c r="C1817" s="5">
        <v>9</v>
      </c>
      <c r="D1817" s="5" t="s">
        <v>92</v>
      </c>
      <c r="E1817" s="5">
        <v>2022</v>
      </c>
      <c r="F1817" s="5">
        <v>7</v>
      </c>
      <c r="G1817" s="5" t="s">
        <v>40</v>
      </c>
      <c r="H1817" s="5">
        <v>2883534</v>
      </c>
      <c r="I1817" s="5">
        <v>2554392.75</v>
      </c>
      <c r="J1817" s="5">
        <v>36</v>
      </c>
      <c r="K1817" s="5">
        <v>401741</v>
      </c>
      <c r="L1817" s="5">
        <v>3277460</v>
      </c>
      <c r="M1817" s="5">
        <v>329141.25</v>
      </c>
      <c r="N1817" s="5">
        <v>0.11409999999999999</v>
      </c>
      <c r="O1817" s="5">
        <v>3</v>
      </c>
      <c r="P1817" s="5">
        <v>286648</v>
      </c>
    </row>
    <row r="1818" spans="1:16" x14ac:dyDescent="0.3">
      <c r="A1818" s="5">
        <v>52</v>
      </c>
      <c r="B1818" s="5" t="s">
        <v>123</v>
      </c>
      <c r="C1818" s="5">
        <v>9</v>
      </c>
      <c r="D1818" s="5" t="s">
        <v>92</v>
      </c>
      <c r="E1818" s="5">
        <v>2022</v>
      </c>
      <c r="F1818" s="5">
        <v>8</v>
      </c>
      <c r="G1818" s="5" t="s">
        <v>41</v>
      </c>
      <c r="H1818" s="5">
        <v>1554445</v>
      </c>
      <c r="I1818" s="5">
        <v>1508978.79</v>
      </c>
      <c r="J1818" s="5">
        <v>22</v>
      </c>
      <c r="K1818" s="5">
        <v>307997</v>
      </c>
      <c r="L1818" s="5">
        <v>1855850</v>
      </c>
      <c r="M1818" s="5">
        <v>45466.21</v>
      </c>
      <c r="N1818" s="5">
        <v>2.92E-2</v>
      </c>
      <c r="O1818" s="5">
        <v>0</v>
      </c>
      <c r="P1818" s="5">
        <v>0</v>
      </c>
    </row>
    <row r="1819" spans="1:16" x14ac:dyDescent="0.3">
      <c r="A1819" s="5">
        <v>92</v>
      </c>
      <c r="B1819" s="5" t="s">
        <v>123</v>
      </c>
      <c r="C1819" s="5">
        <v>9</v>
      </c>
      <c r="D1819" s="5" t="s">
        <v>92</v>
      </c>
      <c r="E1819" s="5">
        <v>2022</v>
      </c>
      <c r="F1819" s="5">
        <v>8</v>
      </c>
      <c r="G1819" s="5" t="s">
        <v>41</v>
      </c>
      <c r="H1819" s="5">
        <v>1022952</v>
      </c>
      <c r="I1819" s="5">
        <v>866866.71</v>
      </c>
      <c r="J1819" s="5">
        <v>15</v>
      </c>
      <c r="K1819" s="5">
        <v>113004</v>
      </c>
      <c r="L1819" s="5">
        <v>1132540</v>
      </c>
      <c r="M1819" s="5">
        <v>156085.29</v>
      </c>
      <c r="N1819" s="5">
        <v>0.15260000000000001</v>
      </c>
      <c r="O1819" s="5">
        <v>1</v>
      </c>
      <c r="P1819" s="5">
        <v>2674</v>
      </c>
    </row>
    <row r="1820" spans="1:16" x14ac:dyDescent="0.3">
      <c r="A1820" s="5">
        <v>52</v>
      </c>
      <c r="B1820" s="5" t="s">
        <v>123</v>
      </c>
      <c r="C1820" s="5">
        <v>9</v>
      </c>
      <c r="D1820" s="5" t="s">
        <v>92</v>
      </c>
      <c r="E1820" s="5">
        <v>2022</v>
      </c>
      <c r="F1820" s="5">
        <v>9</v>
      </c>
      <c r="G1820" s="5" t="s">
        <v>42</v>
      </c>
      <c r="H1820" s="5">
        <v>1895060</v>
      </c>
      <c r="I1820" s="5">
        <v>1558759.48</v>
      </c>
      <c r="J1820" s="5">
        <v>29</v>
      </c>
      <c r="K1820" s="5">
        <v>161462</v>
      </c>
      <c r="L1820" s="5">
        <v>2051730</v>
      </c>
      <c r="M1820" s="5">
        <v>336300.52</v>
      </c>
      <c r="N1820" s="5">
        <v>0.17749999999999999</v>
      </c>
      <c r="O1820" s="5">
        <v>6</v>
      </c>
      <c r="P1820" s="5">
        <v>37146</v>
      </c>
    </row>
    <row r="1821" spans="1:16" x14ac:dyDescent="0.3">
      <c r="A1821" s="5">
        <v>92</v>
      </c>
      <c r="B1821" s="5" t="s">
        <v>123</v>
      </c>
      <c r="C1821" s="5">
        <v>9</v>
      </c>
      <c r="D1821" s="5" t="s">
        <v>92</v>
      </c>
      <c r="E1821" s="5">
        <v>2022</v>
      </c>
      <c r="F1821" s="5">
        <v>9</v>
      </c>
      <c r="G1821" s="5" t="s">
        <v>42</v>
      </c>
      <c r="H1821" s="5">
        <v>1242722</v>
      </c>
      <c r="I1821" s="5">
        <v>1055685.6399999999</v>
      </c>
      <c r="J1821" s="5">
        <v>20</v>
      </c>
      <c r="K1821" s="5">
        <v>139614</v>
      </c>
      <c r="L1821" s="5">
        <v>1379680</v>
      </c>
      <c r="M1821" s="5">
        <v>187036.36</v>
      </c>
      <c r="N1821" s="5">
        <v>0.15049999999999999</v>
      </c>
      <c r="O1821" s="5">
        <v>4</v>
      </c>
      <c r="P1821" s="5">
        <v>153500</v>
      </c>
    </row>
    <row r="1822" spans="1:16" x14ac:dyDescent="0.3">
      <c r="A1822" s="5">
        <v>52</v>
      </c>
      <c r="B1822" s="5" t="s">
        <v>123</v>
      </c>
      <c r="C1822" s="5">
        <v>9</v>
      </c>
      <c r="D1822" s="5" t="s">
        <v>92</v>
      </c>
      <c r="E1822" s="5">
        <v>2022</v>
      </c>
      <c r="F1822" s="5">
        <v>10</v>
      </c>
      <c r="G1822" s="5" t="s">
        <v>43</v>
      </c>
      <c r="H1822" s="5">
        <v>1596884</v>
      </c>
      <c r="I1822" s="5">
        <v>1465209.09</v>
      </c>
      <c r="J1822" s="5">
        <v>33</v>
      </c>
      <c r="K1822" s="5">
        <v>320093</v>
      </c>
      <c r="L1822" s="5">
        <v>1910550</v>
      </c>
      <c r="M1822" s="5">
        <v>131674.91</v>
      </c>
      <c r="N1822" s="5">
        <v>8.2500000000000004E-2</v>
      </c>
      <c r="O1822" s="5">
        <v>2</v>
      </c>
      <c r="P1822" s="5">
        <v>79387</v>
      </c>
    </row>
    <row r="1823" spans="1:16" x14ac:dyDescent="0.3">
      <c r="A1823" s="5">
        <v>92</v>
      </c>
      <c r="B1823" s="5" t="s">
        <v>123</v>
      </c>
      <c r="C1823" s="5">
        <v>9</v>
      </c>
      <c r="D1823" s="5" t="s">
        <v>92</v>
      </c>
      <c r="E1823" s="5">
        <v>2022</v>
      </c>
      <c r="F1823" s="5">
        <v>10</v>
      </c>
      <c r="G1823" s="5" t="s">
        <v>43</v>
      </c>
      <c r="H1823" s="5">
        <v>1735668</v>
      </c>
      <c r="I1823" s="5">
        <v>1581125.52</v>
      </c>
      <c r="J1823" s="5">
        <v>28</v>
      </c>
      <c r="K1823" s="5">
        <v>295183</v>
      </c>
      <c r="L1823" s="5">
        <v>2025220</v>
      </c>
      <c r="M1823" s="5">
        <v>154542.48000000001</v>
      </c>
      <c r="N1823" s="5">
        <v>8.8999999999999996E-2</v>
      </c>
      <c r="O1823" s="5">
        <v>3</v>
      </c>
      <c r="P1823" s="5">
        <v>51023</v>
      </c>
    </row>
    <row r="1824" spans="1:16" x14ac:dyDescent="0.3">
      <c r="A1824" s="5">
        <v>52</v>
      </c>
      <c r="B1824" s="5" t="s">
        <v>123</v>
      </c>
      <c r="C1824" s="5">
        <v>9</v>
      </c>
      <c r="D1824" s="5" t="s">
        <v>92</v>
      </c>
      <c r="E1824" s="5">
        <v>2022</v>
      </c>
      <c r="F1824" s="5">
        <v>11</v>
      </c>
      <c r="G1824" s="5" t="s">
        <v>44</v>
      </c>
      <c r="H1824" s="5">
        <v>2188903</v>
      </c>
      <c r="I1824" s="5">
        <v>1766339.84</v>
      </c>
      <c r="J1824" s="5">
        <v>30</v>
      </c>
      <c r="K1824" s="5">
        <v>127845</v>
      </c>
      <c r="L1824" s="5">
        <v>2304520</v>
      </c>
      <c r="M1824" s="5">
        <v>422563.16</v>
      </c>
      <c r="N1824" s="5">
        <v>0.193</v>
      </c>
      <c r="O1824" s="5">
        <v>2</v>
      </c>
      <c r="P1824" s="5">
        <v>80321</v>
      </c>
    </row>
    <row r="1825" spans="1:16" x14ac:dyDescent="0.3">
      <c r="A1825" s="5">
        <v>92</v>
      </c>
      <c r="B1825" s="5" t="s">
        <v>123</v>
      </c>
      <c r="C1825" s="5">
        <v>9</v>
      </c>
      <c r="D1825" s="5" t="s">
        <v>92</v>
      </c>
      <c r="E1825" s="5">
        <v>2022</v>
      </c>
      <c r="F1825" s="5">
        <v>11</v>
      </c>
      <c r="G1825" s="5" t="s">
        <v>44</v>
      </c>
      <c r="H1825" s="5">
        <v>4615782</v>
      </c>
      <c r="I1825" s="5">
        <v>4076573.03</v>
      </c>
      <c r="J1825" s="5">
        <v>47</v>
      </c>
      <c r="K1825" s="5">
        <v>545393</v>
      </c>
      <c r="L1825" s="5">
        <v>5134610</v>
      </c>
      <c r="M1825" s="5">
        <v>539208.97</v>
      </c>
      <c r="N1825" s="5">
        <v>0.1168</v>
      </c>
      <c r="O1825" s="5">
        <v>4</v>
      </c>
      <c r="P1825" s="5">
        <v>261543</v>
      </c>
    </row>
    <row r="1826" spans="1:16" x14ac:dyDescent="0.3">
      <c r="A1826" s="5">
        <v>52</v>
      </c>
      <c r="B1826" s="5" t="s">
        <v>123</v>
      </c>
      <c r="C1826" s="5">
        <v>9</v>
      </c>
      <c r="D1826" s="5" t="s">
        <v>92</v>
      </c>
      <c r="E1826" s="5">
        <v>2022</v>
      </c>
      <c r="F1826" s="5">
        <v>12</v>
      </c>
      <c r="G1826" s="5" t="s">
        <v>45</v>
      </c>
      <c r="H1826" s="5">
        <v>2062134</v>
      </c>
      <c r="I1826" s="5">
        <v>1709835.46</v>
      </c>
      <c r="J1826" s="5">
        <v>36</v>
      </c>
      <c r="K1826" s="5">
        <v>113172</v>
      </c>
      <c r="L1826" s="5">
        <v>2166170</v>
      </c>
      <c r="M1826" s="5">
        <v>352298.54</v>
      </c>
      <c r="N1826" s="5">
        <v>0.17080000000000001</v>
      </c>
      <c r="O1826" s="5">
        <v>5</v>
      </c>
      <c r="P1826" s="5">
        <v>23106</v>
      </c>
    </row>
    <row r="1827" spans="1:16" x14ac:dyDescent="0.3">
      <c r="A1827" s="5">
        <v>92</v>
      </c>
      <c r="B1827" s="5" t="s">
        <v>123</v>
      </c>
      <c r="C1827" s="5">
        <v>9</v>
      </c>
      <c r="D1827" s="5" t="s">
        <v>92</v>
      </c>
      <c r="E1827" s="5">
        <v>2022</v>
      </c>
      <c r="F1827" s="5">
        <v>12</v>
      </c>
      <c r="G1827" s="5" t="s">
        <v>45</v>
      </c>
      <c r="H1827" s="5">
        <v>2537741</v>
      </c>
      <c r="I1827" s="5">
        <v>2139680.16</v>
      </c>
      <c r="J1827" s="5">
        <v>42</v>
      </c>
      <c r="K1827" s="5">
        <v>227971</v>
      </c>
      <c r="L1827" s="5">
        <v>2762310</v>
      </c>
      <c r="M1827" s="5">
        <v>398060.84</v>
      </c>
      <c r="N1827" s="5">
        <v>0.15690000000000001</v>
      </c>
      <c r="O1827" s="5">
        <v>2</v>
      </c>
      <c r="P1827" s="5">
        <v>23488</v>
      </c>
    </row>
    <row r="1828" spans="1:16" x14ac:dyDescent="0.3">
      <c r="A1828" s="5">
        <v>52</v>
      </c>
      <c r="B1828" s="5" t="s">
        <v>123</v>
      </c>
      <c r="C1828" s="5">
        <v>9</v>
      </c>
      <c r="D1828" s="5" t="s">
        <v>92</v>
      </c>
      <c r="E1828" s="5">
        <v>2023</v>
      </c>
      <c r="F1828" s="5">
        <v>1</v>
      </c>
      <c r="G1828" s="5" t="s">
        <v>46</v>
      </c>
      <c r="H1828" s="5">
        <v>2094163</v>
      </c>
      <c r="I1828" s="5">
        <v>1834282.41</v>
      </c>
      <c r="J1828" s="5">
        <v>32</v>
      </c>
      <c r="K1828" s="5">
        <v>271372</v>
      </c>
      <c r="L1828" s="5">
        <v>2355300</v>
      </c>
      <c r="M1828" s="5">
        <v>259880.59</v>
      </c>
      <c r="N1828" s="5">
        <v>0.1241</v>
      </c>
      <c r="O1828" s="5">
        <v>3</v>
      </c>
      <c r="P1828" s="5">
        <v>88262</v>
      </c>
    </row>
    <row r="1829" spans="1:16" x14ac:dyDescent="0.3">
      <c r="A1829" s="5">
        <v>92</v>
      </c>
      <c r="B1829" s="5" t="s">
        <v>123</v>
      </c>
      <c r="C1829" s="5">
        <v>9</v>
      </c>
      <c r="D1829" s="5" t="s">
        <v>92</v>
      </c>
      <c r="E1829" s="5">
        <v>2023</v>
      </c>
      <c r="F1829" s="5">
        <v>1</v>
      </c>
      <c r="G1829" s="5" t="s">
        <v>46</v>
      </c>
      <c r="H1829" s="5">
        <v>1340240</v>
      </c>
      <c r="I1829" s="5">
        <v>1190955.8799999999</v>
      </c>
      <c r="J1829" s="5">
        <v>18</v>
      </c>
      <c r="K1829" s="5">
        <v>186551</v>
      </c>
      <c r="L1829" s="5">
        <v>1524490</v>
      </c>
      <c r="M1829" s="5">
        <v>149284.12</v>
      </c>
      <c r="N1829" s="5">
        <v>0.1114</v>
      </c>
      <c r="O1829" s="5">
        <v>2</v>
      </c>
      <c r="P1829" s="5">
        <v>19922</v>
      </c>
    </row>
    <row r="1830" spans="1:16" x14ac:dyDescent="0.3">
      <c r="A1830" s="5">
        <v>52</v>
      </c>
      <c r="B1830" s="5" t="s">
        <v>123</v>
      </c>
      <c r="C1830" s="5">
        <v>9</v>
      </c>
      <c r="D1830" s="5" t="s">
        <v>92</v>
      </c>
      <c r="E1830" s="5">
        <v>2023</v>
      </c>
      <c r="F1830" s="5">
        <v>2</v>
      </c>
      <c r="G1830" s="5" t="s">
        <v>47</v>
      </c>
      <c r="H1830" s="5">
        <v>720275</v>
      </c>
      <c r="I1830" s="5">
        <v>587307.62</v>
      </c>
      <c r="J1830" s="5">
        <v>21</v>
      </c>
      <c r="K1830" s="5">
        <v>67695</v>
      </c>
      <c r="L1830" s="5">
        <v>785070</v>
      </c>
      <c r="M1830" s="5">
        <v>132967.38</v>
      </c>
      <c r="N1830" s="5">
        <v>0.18459999999999999</v>
      </c>
      <c r="O1830" s="5">
        <v>2</v>
      </c>
      <c r="P1830" s="5">
        <v>5038</v>
      </c>
    </row>
    <row r="1831" spans="1:16" x14ac:dyDescent="0.3">
      <c r="A1831" s="5">
        <v>92</v>
      </c>
      <c r="B1831" s="5" t="s">
        <v>123</v>
      </c>
      <c r="C1831" s="5">
        <v>9</v>
      </c>
      <c r="D1831" s="5" t="s">
        <v>92</v>
      </c>
      <c r="E1831" s="5">
        <v>2023</v>
      </c>
      <c r="F1831" s="5">
        <v>2</v>
      </c>
      <c r="G1831" s="5" t="s">
        <v>47</v>
      </c>
      <c r="H1831" s="5">
        <v>1713449</v>
      </c>
      <c r="I1831" s="5">
        <v>1462221.68</v>
      </c>
      <c r="J1831" s="5">
        <v>28</v>
      </c>
      <c r="K1831" s="5">
        <v>170200</v>
      </c>
      <c r="L1831" s="5">
        <v>1882940</v>
      </c>
      <c r="M1831" s="5">
        <v>251227.32</v>
      </c>
      <c r="N1831" s="5">
        <v>0.14660000000000001</v>
      </c>
      <c r="O1831" s="5">
        <v>2</v>
      </c>
      <c r="P1831" s="5">
        <v>4302</v>
      </c>
    </row>
    <row r="1832" spans="1:16" x14ac:dyDescent="0.3">
      <c r="A1832" s="5">
        <v>52</v>
      </c>
      <c r="B1832" s="5" t="s">
        <v>123</v>
      </c>
      <c r="C1832" s="5">
        <v>9</v>
      </c>
      <c r="D1832" s="5" t="s">
        <v>92</v>
      </c>
      <c r="E1832" s="5">
        <v>2023</v>
      </c>
      <c r="F1832" s="5">
        <v>3</v>
      </c>
      <c r="G1832" s="5" t="s">
        <v>48</v>
      </c>
      <c r="H1832" s="5">
        <v>851249</v>
      </c>
      <c r="I1832" s="5">
        <v>680387.13</v>
      </c>
      <c r="J1832" s="5">
        <v>21</v>
      </c>
      <c r="K1832" s="5">
        <v>87313</v>
      </c>
      <c r="L1832" s="5">
        <v>936950</v>
      </c>
      <c r="M1832" s="5">
        <v>170861.87</v>
      </c>
      <c r="N1832" s="5">
        <v>0.20069999999999999</v>
      </c>
      <c r="O1832" s="5">
        <v>1</v>
      </c>
      <c r="P1832" s="5">
        <v>11562</v>
      </c>
    </row>
    <row r="1833" spans="1:16" x14ac:dyDescent="0.3">
      <c r="A1833" s="5">
        <v>92</v>
      </c>
      <c r="B1833" s="5" t="s">
        <v>123</v>
      </c>
      <c r="C1833" s="5">
        <v>9</v>
      </c>
      <c r="D1833" s="5" t="s">
        <v>92</v>
      </c>
      <c r="E1833" s="5">
        <v>2023</v>
      </c>
      <c r="F1833" s="5">
        <v>3</v>
      </c>
      <c r="G1833" s="5" t="s">
        <v>48</v>
      </c>
      <c r="H1833" s="5">
        <v>2928033</v>
      </c>
      <c r="I1833" s="5">
        <v>2630777.83</v>
      </c>
      <c r="J1833" s="5">
        <v>34</v>
      </c>
      <c r="K1833" s="5">
        <v>384130</v>
      </c>
      <c r="L1833" s="5">
        <v>3305270</v>
      </c>
      <c r="M1833" s="5">
        <v>297255.17</v>
      </c>
      <c r="N1833" s="5">
        <v>0.10150000000000001</v>
      </c>
      <c r="O1833" s="5">
        <v>2</v>
      </c>
      <c r="P1833" s="5">
        <v>104436</v>
      </c>
    </row>
    <row r="1834" spans="1:16" x14ac:dyDescent="0.3">
      <c r="A1834" s="5">
        <v>52</v>
      </c>
      <c r="B1834" s="5" t="s">
        <v>123</v>
      </c>
      <c r="C1834" s="5">
        <v>9</v>
      </c>
      <c r="D1834" s="5" t="s">
        <v>92</v>
      </c>
      <c r="E1834" s="5">
        <v>2023</v>
      </c>
      <c r="F1834" s="5">
        <v>4</v>
      </c>
      <c r="G1834" s="5" t="s">
        <v>49</v>
      </c>
      <c r="H1834" s="5">
        <v>2340128</v>
      </c>
      <c r="I1834" s="5">
        <v>2045252.52</v>
      </c>
      <c r="J1834" s="5">
        <v>42</v>
      </c>
      <c r="K1834" s="5">
        <v>338990</v>
      </c>
      <c r="L1834" s="5">
        <v>2674230</v>
      </c>
      <c r="M1834" s="5">
        <v>294875.48</v>
      </c>
      <c r="N1834" s="5">
        <v>0.126</v>
      </c>
      <c r="O1834" s="5">
        <v>3</v>
      </c>
      <c r="P1834" s="5">
        <v>130941</v>
      </c>
    </row>
    <row r="1835" spans="1:16" x14ac:dyDescent="0.3">
      <c r="A1835" s="5">
        <v>92</v>
      </c>
      <c r="B1835" s="5" t="s">
        <v>123</v>
      </c>
      <c r="C1835" s="5">
        <v>9</v>
      </c>
      <c r="D1835" s="5" t="s">
        <v>92</v>
      </c>
      <c r="E1835" s="5">
        <v>2023</v>
      </c>
      <c r="F1835" s="5">
        <v>4</v>
      </c>
      <c r="G1835" s="5" t="s">
        <v>49</v>
      </c>
      <c r="H1835" s="5">
        <v>2094146</v>
      </c>
      <c r="I1835" s="5">
        <v>1843750.47</v>
      </c>
      <c r="J1835" s="5">
        <v>26</v>
      </c>
      <c r="K1835" s="5">
        <v>293281</v>
      </c>
      <c r="L1835" s="5">
        <v>2379040</v>
      </c>
      <c r="M1835" s="5">
        <v>250395.53</v>
      </c>
      <c r="N1835" s="5">
        <v>0.1196</v>
      </c>
      <c r="O1835" s="5">
        <v>3</v>
      </c>
      <c r="P1835" s="5">
        <v>77413</v>
      </c>
    </row>
    <row r="1836" spans="1:16" x14ac:dyDescent="0.3">
      <c r="A1836" s="5">
        <v>52</v>
      </c>
      <c r="B1836" s="5" t="s">
        <v>123</v>
      </c>
      <c r="C1836" s="5">
        <v>9</v>
      </c>
      <c r="D1836" s="5" t="s">
        <v>92</v>
      </c>
      <c r="E1836" s="5">
        <v>2023</v>
      </c>
      <c r="F1836" s="5">
        <v>5</v>
      </c>
      <c r="G1836" s="5" t="s">
        <v>50</v>
      </c>
      <c r="H1836" s="5">
        <v>1841732</v>
      </c>
      <c r="I1836" s="5">
        <v>1564788.26</v>
      </c>
      <c r="J1836" s="5">
        <v>32</v>
      </c>
      <c r="K1836" s="5">
        <v>182807</v>
      </c>
      <c r="L1836" s="5">
        <v>2015230</v>
      </c>
      <c r="M1836" s="5">
        <v>276943.74</v>
      </c>
      <c r="N1836" s="5">
        <v>0.15040000000000001</v>
      </c>
      <c r="O1836" s="5">
        <v>5</v>
      </c>
      <c r="P1836" s="5">
        <v>23186</v>
      </c>
    </row>
    <row r="1837" spans="1:16" x14ac:dyDescent="0.3">
      <c r="A1837" s="5">
        <v>92</v>
      </c>
      <c r="B1837" s="5" t="s">
        <v>123</v>
      </c>
      <c r="C1837" s="5">
        <v>9</v>
      </c>
      <c r="D1837" s="5" t="s">
        <v>92</v>
      </c>
      <c r="E1837" s="5">
        <v>2023</v>
      </c>
      <c r="F1837" s="5">
        <v>5</v>
      </c>
      <c r="G1837" s="5" t="s">
        <v>50</v>
      </c>
      <c r="H1837" s="5">
        <v>1521022</v>
      </c>
      <c r="I1837" s="5">
        <v>1325434.95</v>
      </c>
      <c r="J1837" s="5">
        <v>32</v>
      </c>
      <c r="K1837" s="5">
        <v>192631</v>
      </c>
      <c r="L1837" s="5">
        <v>1711930</v>
      </c>
      <c r="M1837" s="5">
        <v>195587.05</v>
      </c>
      <c r="N1837" s="5">
        <v>0.12859999999999999</v>
      </c>
      <c r="O1837" s="5">
        <v>2</v>
      </c>
      <c r="P1837" s="5">
        <v>5793</v>
      </c>
    </row>
    <row r="1838" spans="1:16" x14ac:dyDescent="0.3">
      <c r="A1838" s="5">
        <v>52</v>
      </c>
      <c r="B1838" s="5" t="s">
        <v>123</v>
      </c>
      <c r="C1838" s="5">
        <v>9</v>
      </c>
      <c r="D1838" s="5" t="s">
        <v>92</v>
      </c>
      <c r="E1838" s="5">
        <v>2023</v>
      </c>
      <c r="F1838" s="5">
        <v>6</v>
      </c>
      <c r="G1838" s="5" t="s">
        <v>51</v>
      </c>
      <c r="H1838" s="5">
        <v>2156087</v>
      </c>
      <c r="I1838" s="5">
        <v>1867352.95</v>
      </c>
      <c r="J1838" s="5">
        <v>28</v>
      </c>
      <c r="K1838" s="5">
        <v>210213</v>
      </c>
      <c r="L1838" s="5">
        <v>2363990</v>
      </c>
      <c r="M1838" s="5">
        <v>288734.05</v>
      </c>
      <c r="N1838" s="5">
        <v>0.13389999999999999</v>
      </c>
      <c r="O1838" s="5">
        <v>5</v>
      </c>
      <c r="P1838" s="5">
        <v>11916</v>
      </c>
    </row>
    <row r="1839" spans="1:16" x14ac:dyDescent="0.3">
      <c r="A1839" s="5">
        <v>92</v>
      </c>
      <c r="B1839" s="5" t="s">
        <v>123</v>
      </c>
      <c r="C1839" s="5">
        <v>9</v>
      </c>
      <c r="D1839" s="5" t="s">
        <v>92</v>
      </c>
      <c r="E1839" s="5">
        <v>2023</v>
      </c>
      <c r="F1839" s="5">
        <v>6</v>
      </c>
      <c r="G1839" s="5" t="s">
        <v>51</v>
      </c>
      <c r="H1839" s="5">
        <v>2318713</v>
      </c>
      <c r="I1839" s="5">
        <v>1891775.63</v>
      </c>
      <c r="J1839" s="5">
        <v>32</v>
      </c>
      <c r="K1839" s="5">
        <v>122066</v>
      </c>
      <c r="L1839" s="5">
        <v>2431620</v>
      </c>
      <c r="M1839" s="5">
        <v>426937.37</v>
      </c>
      <c r="N1839" s="5">
        <v>0.18410000000000001</v>
      </c>
      <c r="O1839" s="5">
        <v>3</v>
      </c>
      <c r="P1839" s="5">
        <v>19330</v>
      </c>
    </row>
    <row r="1840" spans="1:16" x14ac:dyDescent="0.3">
      <c r="A1840" s="5">
        <v>52</v>
      </c>
      <c r="B1840" s="5" t="s">
        <v>123</v>
      </c>
      <c r="C1840" s="5">
        <v>9</v>
      </c>
      <c r="D1840" s="5" t="s">
        <v>92</v>
      </c>
      <c r="E1840" s="5">
        <v>2023</v>
      </c>
      <c r="F1840" s="5">
        <v>7</v>
      </c>
      <c r="G1840" s="5" t="s">
        <v>52</v>
      </c>
      <c r="H1840" s="5">
        <v>1465945</v>
      </c>
      <c r="I1840" s="5">
        <v>1292875.77</v>
      </c>
      <c r="J1840" s="5">
        <v>22</v>
      </c>
      <c r="K1840" s="5">
        <v>214224</v>
      </c>
      <c r="L1840" s="5">
        <v>1677730</v>
      </c>
      <c r="M1840" s="5">
        <v>173069.23</v>
      </c>
      <c r="N1840" s="5">
        <v>0.1181</v>
      </c>
      <c r="O1840" s="5">
        <v>2</v>
      </c>
      <c r="P1840" s="5">
        <v>106307</v>
      </c>
    </row>
    <row r="1841" spans="1:16" x14ac:dyDescent="0.3">
      <c r="A1841" s="5">
        <v>92</v>
      </c>
      <c r="B1841" s="5" t="s">
        <v>123</v>
      </c>
      <c r="C1841" s="5">
        <v>9</v>
      </c>
      <c r="D1841" s="5" t="s">
        <v>92</v>
      </c>
      <c r="E1841" s="5">
        <v>2023</v>
      </c>
      <c r="F1841" s="5">
        <v>7</v>
      </c>
      <c r="G1841" s="5" t="s">
        <v>52</v>
      </c>
      <c r="H1841" s="5">
        <v>2305474</v>
      </c>
      <c r="I1841" s="5">
        <v>2168907.54</v>
      </c>
      <c r="J1841" s="5">
        <v>26</v>
      </c>
      <c r="K1841" s="5">
        <v>472404</v>
      </c>
      <c r="L1841" s="5">
        <v>2772150</v>
      </c>
      <c r="M1841" s="5">
        <v>136566.46</v>
      </c>
      <c r="N1841" s="5">
        <v>5.9200000000000003E-2</v>
      </c>
      <c r="O1841" s="5">
        <v>2</v>
      </c>
      <c r="P1841" s="5">
        <v>26034</v>
      </c>
    </row>
    <row r="1842" spans="1:16" x14ac:dyDescent="0.3">
      <c r="A1842" s="5">
        <v>52</v>
      </c>
      <c r="B1842" s="5" t="s">
        <v>123</v>
      </c>
      <c r="C1842" s="5">
        <v>9</v>
      </c>
      <c r="D1842" s="5" t="s">
        <v>92</v>
      </c>
      <c r="E1842" s="5">
        <v>2023</v>
      </c>
      <c r="F1842" s="5">
        <v>8</v>
      </c>
      <c r="G1842" s="5" t="s">
        <v>53</v>
      </c>
      <c r="H1842" s="5">
        <v>1668893</v>
      </c>
      <c r="I1842" s="5">
        <v>1417870.83</v>
      </c>
      <c r="J1842" s="5">
        <v>29</v>
      </c>
      <c r="K1842" s="5">
        <v>177843</v>
      </c>
      <c r="L1842" s="5">
        <v>1842700</v>
      </c>
      <c r="M1842" s="5">
        <v>251022.17</v>
      </c>
      <c r="N1842" s="5">
        <v>0.15040000000000001</v>
      </c>
      <c r="O1842" s="5">
        <v>4</v>
      </c>
      <c r="P1842" s="5">
        <v>82027</v>
      </c>
    </row>
    <row r="1843" spans="1:16" x14ac:dyDescent="0.3">
      <c r="A1843" s="5">
        <v>92</v>
      </c>
      <c r="B1843" s="5" t="s">
        <v>123</v>
      </c>
      <c r="C1843" s="5">
        <v>9</v>
      </c>
      <c r="D1843" s="5" t="s">
        <v>92</v>
      </c>
      <c r="E1843" s="5">
        <v>2023</v>
      </c>
      <c r="F1843" s="5">
        <v>8</v>
      </c>
      <c r="G1843" s="5" t="s">
        <v>53</v>
      </c>
      <c r="H1843" s="5">
        <v>2021813</v>
      </c>
      <c r="I1843" s="5">
        <v>1910952.51</v>
      </c>
      <c r="J1843" s="5">
        <v>31</v>
      </c>
      <c r="K1843" s="5">
        <v>376518</v>
      </c>
      <c r="L1843" s="5">
        <v>2393470</v>
      </c>
      <c r="M1843" s="5">
        <v>110860.49</v>
      </c>
      <c r="N1843" s="5">
        <v>5.4800000000000001E-2</v>
      </c>
      <c r="O1843" s="5">
        <v>0</v>
      </c>
      <c r="P1843" s="5">
        <v>0</v>
      </c>
    </row>
    <row r="1844" spans="1:16" x14ac:dyDescent="0.3">
      <c r="A1844" s="5">
        <v>52</v>
      </c>
      <c r="B1844" s="5" t="s">
        <v>123</v>
      </c>
      <c r="C1844" s="5">
        <v>9</v>
      </c>
      <c r="D1844" s="5" t="s">
        <v>92</v>
      </c>
      <c r="E1844" s="5">
        <v>2023</v>
      </c>
      <c r="F1844" s="5">
        <v>9</v>
      </c>
      <c r="G1844" s="5" t="s">
        <v>54</v>
      </c>
      <c r="H1844" s="5">
        <v>2803250</v>
      </c>
      <c r="I1844" s="5">
        <v>2376938.4900000002</v>
      </c>
      <c r="J1844" s="5">
        <v>34</v>
      </c>
      <c r="K1844" s="5">
        <v>282502</v>
      </c>
      <c r="L1844" s="5">
        <v>3076060</v>
      </c>
      <c r="M1844" s="5">
        <v>426311.51</v>
      </c>
      <c r="N1844" s="5">
        <v>0.15210000000000001</v>
      </c>
      <c r="O1844" s="5">
        <v>1</v>
      </c>
      <c r="P1844" s="5">
        <v>5265</v>
      </c>
    </row>
    <row r="1845" spans="1:16" x14ac:dyDescent="0.3">
      <c r="A1845" s="5">
        <v>92</v>
      </c>
      <c r="B1845" s="5" t="s">
        <v>123</v>
      </c>
      <c r="C1845" s="5">
        <v>9</v>
      </c>
      <c r="D1845" s="5" t="s">
        <v>92</v>
      </c>
      <c r="E1845" s="5">
        <v>2023</v>
      </c>
      <c r="F1845" s="5">
        <v>9</v>
      </c>
      <c r="G1845" s="5" t="s">
        <v>54</v>
      </c>
      <c r="H1845" s="5">
        <v>3211487</v>
      </c>
      <c r="I1845" s="5">
        <v>2879821.88</v>
      </c>
      <c r="J1845" s="5">
        <v>41</v>
      </c>
      <c r="K1845" s="5">
        <v>504744</v>
      </c>
      <c r="L1845" s="5">
        <v>3700080</v>
      </c>
      <c r="M1845" s="5">
        <v>331665.12</v>
      </c>
      <c r="N1845" s="5">
        <v>0.1033</v>
      </c>
      <c r="O1845" s="5">
        <v>7</v>
      </c>
      <c r="P1845" s="5">
        <v>129938</v>
      </c>
    </row>
    <row r="1846" spans="1:16" x14ac:dyDescent="0.3">
      <c r="A1846" s="5">
        <v>52</v>
      </c>
      <c r="B1846" s="5" t="s">
        <v>123</v>
      </c>
      <c r="C1846" s="5">
        <v>9</v>
      </c>
      <c r="D1846" s="5" t="s">
        <v>92</v>
      </c>
      <c r="E1846" s="5">
        <v>2023</v>
      </c>
      <c r="F1846" s="5">
        <v>10</v>
      </c>
      <c r="G1846" s="5" t="s">
        <v>55</v>
      </c>
      <c r="H1846" s="5">
        <v>4000949</v>
      </c>
      <c r="I1846" s="5">
        <v>3480952.16</v>
      </c>
      <c r="J1846" s="5">
        <v>49</v>
      </c>
      <c r="K1846" s="5">
        <v>484023</v>
      </c>
      <c r="L1846" s="5">
        <v>4469800</v>
      </c>
      <c r="M1846" s="5">
        <v>519996.84</v>
      </c>
      <c r="N1846" s="5">
        <v>0.13</v>
      </c>
      <c r="O1846" s="5">
        <v>4</v>
      </c>
      <c r="P1846" s="5">
        <v>63901</v>
      </c>
    </row>
    <row r="1847" spans="1:16" x14ac:dyDescent="0.3">
      <c r="A1847" s="5">
        <v>92</v>
      </c>
      <c r="B1847" s="5" t="s">
        <v>123</v>
      </c>
      <c r="C1847" s="5">
        <v>9</v>
      </c>
      <c r="D1847" s="5" t="s">
        <v>92</v>
      </c>
      <c r="E1847" s="5">
        <v>2023</v>
      </c>
      <c r="F1847" s="5">
        <v>10</v>
      </c>
      <c r="G1847" s="5" t="s">
        <v>55</v>
      </c>
      <c r="H1847" s="5">
        <v>4788041</v>
      </c>
      <c r="I1847" s="5">
        <v>4505327.01</v>
      </c>
      <c r="J1847" s="5">
        <v>56</v>
      </c>
      <c r="K1847" s="5">
        <v>874955</v>
      </c>
      <c r="L1847" s="5">
        <v>5653730</v>
      </c>
      <c r="M1847" s="5">
        <v>282713.99</v>
      </c>
      <c r="N1847" s="5">
        <v>5.8999999999999997E-2</v>
      </c>
      <c r="O1847" s="5">
        <v>4</v>
      </c>
      <c r="P1847" s="5">
        <v>81648</v>
      </c>
    </row>
    <row r="1848" spans="1:16" x14ac:dyDescent="0.3">
      <c r="A1848" s="5">
        <v>52</v>
      </c>
      <c r="B1848" s="5" t="s">
        <v>123</v>
      </c>
      <c r="C1848" s="5">
        <v>9</v>
      </c>
      <c r="D1848" s="5" t="s">
        <v>92</v>
      </c>
      <c r="E1848" s="5">
        <v>2023</v>
      </c>
      <c r="F1848" s="5">
        <v>11</v>
      </c>
      <c r="G1848" s="5" t="s">
        <v>56</v>
      </c>
      <c r="H1848" s="5">
        <v>1849727</v>
      </c>
      <c r="I1848" s="5">
        <v>1554345.51</v>
      </c>
      <c r="J1848" s="5">
        <v>33</v>
      </c>
      <c r="K1848" s="5">
        <v>175852</v>
      </c>
      <c r="L1848" s="5">
        <v>2015420</v>
      </c>
      <c r="M1848" s="5">
        <v>295381.49</v>
      </c>
      <c r="N1848" s="5">
        <v>0.15970000000000001</v>
      </c>
      <c r="O1848" s="5">
        <v>4</v>
      </c>
      <c r="P1848" s="5">
        <v>148655</v>
      </c>
    </row>
    <row r="1849" spans="1:16" x14ac:dyDescent="0.3">
      <c r="A1849" s="5">
        <v>92</v>
      </c>
      <c r="B1849" s="5" t="s">
        <v>123</v>
      </c>
      <c r="C1849" s="5">
        <v>9</v>
      </c>
      <c r="D1849" s="5" t="s">
        <v>92</v>
      </c>
      <c r="E1849" s="5">
        <v>2023</v>
      </c>
      <c r="F1849" s="5">
        <v>11</v>
      </c>
      <c r="G1849" s="5" t="s">
        <v>56</v>
      </c>
      <c r="H1849" s="5">
        <v>2705652</v>
      </c>
      <c r="I1849" s="5">
        <v>2469390.7000000002</v>
      </c>
      <c r="J1849" s="5">
        <v>34</v>
      </c>
      <c r="K1849" s="5">
        <v>385329</v>
      </c>
      <c r="L1849" s="5">
        <v>3087080</v>
      </c>
      <c r="M1849" s="5">
        <v>236261.3</v>
      </c>
      <c r="N1849" s="5">
        <v>8.7300000000000003E-2</v>
      </c>
      <c r="O1849" s="5">
        <v>2</v>
      </c>
      <c r="P1849" s="5">
        <v>11093</v>
      </c>
    </row>
    <row r="1850" spans="1:16" x14ac:dyDescent="0.3">
      <c r="A1850" s="5">
        <v>52</v>
      </c>
      <c r="B1850" s="5" t="s">
        <v>123</v>
      </c>
      <c r="C1850" s="5">
        <v>9</v>
      </c>
      <c r="D1850" s="5" t="s">
        <v>92</v>
      </c>
      <c r="E1850" s="5">
        <v>2023</v>
      </c>
      <c r="F1850" s="5">
        <v>12</v>
      </c>
      <c r="G1850" s="5" t="s">
        <v>57</v>
      </c>
      <c r="H1850" s="5">
        <v>2209718</v>
      </c>
      <c r="I1850" s="5">
        <v>2084663.22</v>
      </c>
      <c r="J1850" s="5">
        <v>42</v>
      </c>
      <c r="K1850" s="5">
        <v>506013</v>
      </c>
      <c r="L1850" s="5">
        <v>2709030</v>
      </c>
      <c r="M1850" s="5">
        <v>125054.78</v>
      </c>
      <c r="N1850" s="5">
        <v>5.6599999999999998E-2</v>
      </c>
      <c r="O1850" s="5">
        <v>3</v>
      </c>
      <c r="P1850" s="5">
        <v>99638</v>
      </c>
    </row>
    <row r="1851" spans="1:16" x14ac:dyDescent="0.3">
      <c r="A1851" s="5">
        <v>92</v>
      </c>
      <c r="B1851" s="5" t="s">
        <v>123</v>
      </c>
      <c r="C1851" s="5">
        <v>9</v>
      </c>
      <c r="D1851" s="5" t="s">
        <v>92</v>
      </c>
      <c r="E1851" s="5">
        <v>2023</v>
      </c>
      <c r="F1851" s="5">
        <v>12</v>
      </c>
      <c r="G1851" s="5" t="s">
        <v>57</v>
      </c>
      <c r="H1851" s="5">
        <v>2433734</v>
      </c>
      <c r="I1851" s="5">
        <v>2095245.39</v>
      </c>
      <c r="J1851" s="5">
        <v>42</v>
      </c>
      <c r="K1851" s="5">
        <v>251136</v>
      </c>
      <c r="L1851" s="5">
        <v>2674050</v>
      </c>
      <c r="M1851" s="5">
        <v>338488.61</v>
      </c>
      <c r="N1851" s="5">
        <v>0.1391</v>
      </c>
      <c r="O1851" s="5">
        <v>3</v>
      </c>
      <c r="P1851" s="5">
        <v>10863</v>
      </c>
    </row>
    <row r="1852" spans="1:16" x14ac:dyDescent="0.3">
      <c r="A1852" s="5">
        <v>52</v>
      </c>
      <c r="B1852" s="5" t="s">
        <v>123</v>
      </c>
      <c r="C1852" s="5">
        <v>9</v>
      </c>
      <c r="D1852" s="5" t="s">
        <v>92</v>
      </c>
      <c r="E1852" s="5">
        <v>2024</v>
      </c>
      <c r="F1852" s="5">
        <v>1</v>
      </c>
      <c r="G1852" s="5" t="s">
        <v>58</v>
      </c>
      <c r="H1852" s="5">
        <v>1820227</v>
      </c>
      <c r="I1852" s="5">
        <v>1734206.67</v>
      </c>
      <c r="J1852" s="5">
        <v>21</v>
      </c>
      <c r="K1852" s="5">
        <v>305022</v>
      </c>
      <c r="L1852" s="5">
        <v>2111450</v>
      </c>
      <c r="M1852" s="5">
        <v>86020.33</v>
      </c>
      <c r="N1852" s="5">
        <v>4.7300000000000002E-2</v>
      </c>
      <c r="O1852" s="5">
        <v>1</v>
      </c>
      <c r="P1852" s="5">
        <v>5932</v>
      </c>
    </row>
    <row r="1853" spans="1:16" x14ac:dyDescent="0.3">
      <c r="A1853" s="5">
        <v>92</v>
      </c>
      <c r="B1853" s="5" t="s">
        <v>123</v>
      </c>
      <c r="C1853" s="5">
        <v>9</v>
      </c>
      <c r="D1853" s="5" t="s">
        <v>92</v>
      </c>
      <c r="E1853" s="5">
        <v>2024</v>
      </c>
      <c r="F1853" s="5">
        <v>1</v>
      </c>
      <c r="G1853" s="5" t="s">
        <v>58</v>
      </c>
      <c r="H1853" s="5">
        <v>2038263</v>
      </c>
      <c r="I1853" s="5">
        <v>1811757.86</v>
      </c>
      <c r="J1853" s="5">
        <v>32</v>
      </c>
      <c r="K1853" s="5">
        <v>323959</v>
      </c>
      <c r="L1853" s="5">
        <v>2352210</v>
      </c>
      <c r="M1853" s="5">
        <v>226505.14</v>
      </c>
      <c r="N1853" s="5">
        <v>0.1111</v>
      </c>
      <c r="O1853" s="5">
        <v>6</v>
      </c>
      <c r="P1853" s="5">
        <v>197294</v>
      </c>
    </row>
    <row r="1854" spans="1:16" x14ac:dyDescent="0.3">
      <c r="A1854" s="5">
        <v>52</v>
      </c>
      <c r="B1854" s="5" t="s">
        <v>123</v>
      </c>
      <c r="C1854" s="5">
        <v>9</v>
      </c>
      <c r="D1854" s="5" t="s">
        <v>92</v>
      </c>
      <c r="E1854" s="5">
        <v>2024</v>
      </c>
      <c r="F1854" s="5">
        <v>2</v>
      </c>
      <c r="G1854" s="5" t="s">
        <v>59</v>
      </c>
      <c r="H1854" s="5">
        <v>1468428</v>
      </c>
      <c r="I1854" s="5">
        <v>1312666.83</v>
      </c>
      <c r="J1854" s="5">
        <v>20</v>
      </c>
      <c r="K1854" s="5">
        <v>169055</v>
      </c>
      <c r="L1854" s="5">
        <v>1632480</v>
      </c>
      <c r="M1854" s="5">
        <v>155761.17000000001</v>
      </c>
      <c r="N1854" s="5">
        <v>0.1061</v>
      </c>
      <c r="O1854" s="5">
        <v>1</v>
      </c>
      <c r="P1854" s="5">
        <v>39753</v>
      </c>
    </row>
    <row r="1855" spans="1:16" x14ac:dyDescent="0.3">
      <c r="A1855" s="5">
        <v>92</v>
      </c>
      <c r="B1855" s="5" t="s">
        <v>123</v>
      </c>
      <c r="C1855" s="5">
        <v>9</v>
      </c>
      <c r="D1855" s="5" t="s">
        <v>92</v>
      </c>
      <c r="E1855" s="5">
        <v>2024</v>
      </c>
      <c r="F1855" s="5">
        <v>2</v>
      </c>
      <c r="G1855" s="5" t="s">
        <v>59</v>
      </c>
      <c r="H1855" s="5">
        <v>2376172</v>
      </c>
      <c r="I1855" s="5">
        <v>1974055.01</v>
      </c>
      <c r="J1855" s="5">
        <v>32</v>
      </c>
      <c r="K1855" s="5">
        <v>158369</v>
      </c>
      <c r="L1855" s="5">
        <v>2522830</v>
      </c>
      <c r="M1855" s="5">
        <v>402116.99</v>
      </c>
      <c r="N1855" s="5">
        <v>0.16919999999999999</v>
      </c>
      <c r="O1855" s="5">
        <v>1</v>
      </c>
      <c r="P1855" s="5">
        <v>7245</v>
      </c>
    </row>
    <row r="1856" spans="1:16" x14ac:dyDescent="0.3">
      <c r="A1856" s="5">
        <v>52</v>
      </c>
      <c r="B1856" s="5" t="s">
        <v>123</v>
      </c>
      <c r="C1856" s="5">
        <v>9</v>
      </c>
      <c r="D1856" s="5" t="s">
        <v>92</v>
      </c>
      <c r="E1856" s="5">
        <v>2024</v>
      </c>
      <c r="F1856" s="5">
        <v>3</v>
      </c>
      <c r="G1856" s="5" t="s">
        <v>60</v>
      </c>
      <c r="H1856" s="5">
        <v>1803658</v>
      </c>
      <c r="I1856" s="5">
        <v>1598014.43</v>
      </c>
      <c r="J1856" s="5">
        <v>30</v>
      </c>
      <c r="K1856" s="5">
        <v>212698</v>
      </c>
      <c r="L1856" s="5">
        <v>2015450</v>
      </c>
      <c r="M1856" s="5">
        <v>205643.57</v>
      </c>
      <c r="N1856" s="5">
        <v>0.114</v>
      </c>
      <c r="O1856" s="5">
        <v>0</v>
      </c>
      <c r="P1856" s="5">
        <v>0</v>
      </c>
    </row>
    <row r="1857" spans="1:16" x14ac:dyDescent="0.3">
      <c r="A1857" s="5">
        <v>92</v>
      </c>
      <c r="B1857" s="5" t="s">
        <v>123</v>
      </c>
      <c r="C1857" s="5">
        <v>9</v>
      </c>
      <c r="D1857" s="5" t="s">
        <v>92</v>
      </c>
      <c r="E1857" s="5">
        <v>2024</v>
      </c>
      <c r="F1857" s="5">
        <v>3</v>
      </c>
      <c r="G1857" s="5" t="s">
        <v>60</v>
      </c>
      <c r="H1857" s="5">
        <v>4168952</v>
      </c>
      <c r="I1857" s="5">
        <v>3783703.21</v>
      </c>
      <c r="J1857" s="5">
        <v>45</v>
      </c>
      <c r="K1857" s="5">
        <v>658338</v>
      </c>
      <c r="L1857" s="5">
        <v>4825020</v>
      </c>
      <c r="M1857" s="5">
        <v>385248.79</v>
      </c>
      <c r="N1857" s="5">
        <v>9.2399999999999996E-2</v>
      </c>
      <c r="O1857" s="5">
        <v>6</v>
      </c>
      <c r="P1857" s="5">
        <v>42188</v>
      </c>
    </row>
    <row r="1858" spans="1:16" x14ac:dyDescent="0.3">
      <c r="A1858" s="5">
        <v>52</v>
      </c>
      <c r="B1858" s="5" t="s">
        <v>123</v>
      </c>
      <c r="C1858" s="5">
        <v>9</v>
      </c>
      <c r="D1858" s="5" t="s">
        <v>92</v>
      </c>
      <c r="E1858" s="5">
        <v>2024</v>
      </c>
      <c r="F1858" s="5">
        <v>4</v>
      </c>
      <c r="G1858" s="5" t="s">
        <v>61</v>
      </c>
      <c r="H1858" s="5">
        <v>1929300</v>
      </c>
      <c r="I1858" s="5">
        <v>1572974.03</v>
      </c>
      <c r="J1858" s="5">
        <v>39</v>
      </c>
      <c r="K1858" s="5">
        <v>219682</v>
      </c>
      <c r="L1858" s="5">
        <v>2143350</v>
      </c>
      <c r="M1858" s="5">
        <v>356325.97</v>
      </c>
      <c r="N1858" s="5">
        <v>0.1847</v>
      </c>
      <c r="O1858" s="5">
        <v>5</v>
      </c>
      <c r="P1858" s="5">
        <v>28627</v>
      </c>
    </row>
    <row r="1859" spans="1:16" x14ac:dyDescent="0.3">
      <c r="A1859" s="5">
        <v>92</v>
      </c>
      <c r="B1859" s="5" t="s">
        <v>123</v>
      </c>
      <c r="C1859" s="5">
        <v>9</v>
      </c>
      <c r="D1859" s="5" t="s">
        <v>92</v>
      </c>
      <c r="E1859" s="5">
        <v>2024</v>
      </c>
      <c r="F1859" s="5">
        <v>4</v>
      </c>
      <c r="G1859" s="5" t="s">
        <v>61</v>
      </c>
      <c r="H1859" s="5">
        <v>2211353</v>
      </c>
      <c r="I1859" s="5">
        <v>2028681.17</v>
      </c>
      <c r="J1859" s="5">
        <v>38</v>
      </c>
      <c r="K1859" s="5">
        <v>411477</v>
      </c>
      <c r="L1859" s="5">
        <v>2619440</v>
      </c>
      <c r="M1859" s="5">
        <v>182671.83</v>
      </c>
      <c r="N1859" s="5">
        <v>8.2600000000000007E-2</v>
      </c>
      <c r="O1859" s="5">
        <v>4</v>
      </c>
      <c r="P1859" s="5">
        <v>150393</v>
      </c>
    </row>
    <row r="1860" spans="1:16" x14ac:dyDescent="0.3">
      <c r="A1860" s="5">
        <v>52</v>
      </c>
      <c r="B1860" s="5" t="s">
        <v>123</v>
      </c>
      <c r="C1860" s="5">
        <v>9</v>
      </c>
      <c r="D1860" s="5" t="s">
        <v>92</v>
      </c>
      <c r="E1860" s="5">
        <v>2024</v>
      </c>
      <c r="F1860" s="5">
        <v>5</v>
      </c>
      <c r="G1860" s="5" t="s">
        <v>62</v>
      </c>
      <c r="H1860" s="5">
        <v>3359409</v>
      </c>
      <c r="I1860" s="5">
        <v>2931053.84</v>
      </c>
      <c r="J1860" s="5">
        <v>42</v>
      </c>
      <c r="K1860" s="5">
        <v>368830</v>
      </c>
      <c r="L1860" s="5">
        <v>3712380</v>
      </c>
      <c r="M1860" s="5">
        <v>428355.16</v>
      </c>
      <c r="N1860" s="5">
        <v>0.1275</v>
      </c>
      <c r="O1860" s="5">
        <v>3</v>
      </c>
      <c r="P1860" s="5">
        <v>44646</v>
      </c>
    </row>
    <row r="1861" spans="1:16" x14ac:dyDescent="0.3">
      <c r="A1861" s="5">
        <v>92</v>
      </c>
      <c r="B1861" s="5" t="s">
        <v>123</v>
      </c>
      <c r="C1861" s="5">
        <v>9</v>
      </c>
      <c r="D1861" s="5" t="s">
        <v>92</v>
      </c>
      <c r="E1861" s="5">
        <v>2024</v>
      </c>
      <c r="F1861" s="5">
        <v>5</v>
      </c>
      <c r="G1861" s="5" t="s">
        <v>62</v>
      </c>
      <c r="H1861" s="5">
        <v>2213297</v>
      </c>
      <c r="I1861" s="5">
        <v>1875558.17</v>
      </c>
      <c r="J1861" s="5">
        <v>38</v>
      </c>
      <c r="K1861" s="5">
        <v>248723</v>
      </c>
      <c r="L1861" s="5">
        <v>2452620</v>
      </c>
      <c r="M1861" s="5">
        <v>337738.83</v>
      </c>
      <c r="N1861" s="5">
        <v>0.15260000000000001</v>
      </c>
      <c r="O1861" s="5">
        <v>1</v>
      </c>
      <c r="P1861" s="5">
        <v>39863</v>
      </c>
    </row>
    <row r="1862" spans="1:16" x14ac:dyDescent="0.3">
      <c r="A1862" s="5">
        <v>52</v>
      </c>
      <c r="B1862" s="5" t="s">
        <v>123</v>
      </c>
      <c r="C1862" s="5">
        <v>9</v>
      </c>
      <c r="D1862" s="5" t="s">
        <v>92</v>
      </c>
      <c r="E1862" s="5">
        <v>2024</v>
      </c>
      <c r="F1862" s="5">
        <v>6</v>
      </c>
      <c r="G1862" s="5" t="s">
        <v>63</v>
      </c>
      <c r="H1862" s="5">
        <v>1967414</v>
      </c>
      <c r="I1862" s="5">
        <v>1639195.19</v>
      </c>
      <c r="J1862" s="5">
        <v>38</v>
      </c>
      <c r="K1862" s="5">
        <v>158706</v>
      </c>
      <c r="L1862" s="5">
        <v>2115060</v>
      </c>
      <c r="M1862" s="5">
        <v>328218.81</v>
      </c>
      <c r="N1862" s="5">
        <v>0.1668</v>
      </c>
      <c r="O1862" s="5">
        <v>2</v>
      </c>
      <c r="P1862" s="5">
        <v>43469</v>
      </c>
    </row>
    <row r="1863" spans="1:16" x14ac:dyDescent="0.3">
      <c r="A1863" s="5">
        <v>92</v>
      </c>
      <c r="B1863" s="5" t="s">
        <v>123</v>
      </c>
      <c r="C1863" s="5">
        <v>9</v>
      </c>
      <c r="D1863" s="5" t="s">
        <v>92</v>
      </c>
      <c r="E1863" s="5">
        <v>2024</v>
      </c>
      <c r="F1863" s="5">
        <v>6</v>
      </c>
      <c r="G1863" s="5" t="s">
        <v>63</v>
      </c>
      <c r="H1863" s="5">
        <v>2452910</v>
      </c>
      <c r="I1863" s="5">
        <v>2057500.31</v>
      </c>
      <c r="J1863" s="5">
        <v>33</v>
      </c>
      <c r="K1863" s="5">
        <v>219998</v>
      </c>
      <c r="L1863" s="5">
        <v>2661200</v>
      </c>
      <c r="M1863" s="5">
        <v>395409.69</v>
      </c>
      <c r="N1863" s="5">
        <v>0.16120000000000001</v>
      </c>
      <c r="O1863" s="5">
        <v>4</v>
      </c>
      <c r="P1863" s="5">
        <v>87411</v>
      </c>
    </row>
    <row r="1864" spans="1:16" x14ac:dyDescent="0.3">
      <c r="A1864" s="5">
        <v>52</v>
      </c>
      <c r="B1864" s="5" t="s">
        <v>123</v>
      </c>
      <c r="C1864" s="5">
        <v>9</v>
      </c>
      <c r="D1864" s="5" t="s">
        <v>92</v>
      </c>
      <c r="E1864" s="5">
        <v>2024</v>
      </c>
      <c r="F1864" s="5">
        <v>7</v>
      </c>
      <c r="G1864" s="5" t="s">
        <v>64</v>
      </c>
      <c r="H1864" s="5">
        <v>2731488</v>
      </c>
      <c r="I1864" s="5">
        <v>2196005.4300000002</v>
      </c>
      <c r="J1864" s="5">
        <v>42</v>
      </c>
      <c r="K1864" s="5">
        <v>180877</v>
      </c>
      <c r="L1864" s="5">
        <v>2899520</v>
      </c>
      <c r="M1864" s="5">
        <v>535482.56999999995</v>
      </c>
      <c r="N1864" s="5">
        <v>0.19600000000000001</v>
      </c>
      <c r="O1864" s="5">
        <v>6</v>
      </c>
      <c r="P1864" s="5">
        <v>255451</v>
      </c>
    </row>
    <row r="1865" spans="1:16" x14ac:dyDescent="0.3">
      <c r="A1865" s="5">
        <v>92</v>
      </c>
      <c r="B1865" s="5" t="s">
        <v>123</v>
      </c>
      <c r="C1865" s="5">
        <v>9</v>
      </c>
      <c r="D1865" s="5" t="s">
        <v>92</v>
      </c>
      <c r="E1865" s="5">
        <v>2024</v>
      </c>
      <c r="F1865" s="5">
        <v>7</v>
      </c>
      <c r="G1865" s="5" t="s">
        <v>64</v>
      </c>
      <c r="H1865" s="5">
        <v>2421106</v>
      </c>
      <c r="I1865" s="5">
        <v>2036474.56</v>
      </c>
      <c r="J1865" s="5">
        <v>36</v>
      </c>
      <c r="K1865" s="5">
        <v>214592</v>
      </c>
      <c r="L1865" s="5">
        <v>2629630</v>
      </c>
      <c r="M1865" s="5">
        <v>384631.44</v>
      </c>
      <c r="N1865" s="5">
        <v>0.15890000000000001</v>
      </c>
      <c r="O1865" s="5">
        <v>2</v>
      </c>
      <c r="P1865" s="5">
        <v>72947</v>
      </c>
    </row>
    <row r="1866" spans="1:16" x14ac:dyDescent="0.3">
      <c r="A1866" s="5">
        <v>52</v>
      </c>
      <c r="B1866" s="5" t="s">
        <v>123</v>
      </c>
      <c r="C1866" s="5">
        <v>9</v>
      </c>
      <c r="D1866" s="5" t="s">
        <v>92</v>
      </c>
      <c r="E1866" s="5">
        <v>2024</v>
      </c>
      <c r="F1866" s="5">
        <v>8</v>
      </c>
      <c r="G1866" s="5" t="s">
        <v>65</v>
      </c>
      <c r="H1866" s="5">
        <v>3413736</v>
      </c>
      <c r="I1866" s="5">
        <v>2994731.25</v>
      </c>
      <c r="J1866" s="5">
        <v>36</v>
      </c>
      <c r="K1866" s="5">
        <v>327131</v>
      </c>
      <c r="L1866" s="5">
        <v>3734970</v>
      </c>
      <c r="M1866" s="5">
        <v>419004.75</v>
      </c>
      <c r="N1866" s="5">
        <v>0.1227</v>
      </c>
      <c r="O1866" s="5">
        <v>2</v>
      </c>
      <c r="P1866" s="5">
        <v>20918</v>
      </c>
    </row>
    <row r="1867" spans="1:16" x14ac:dyDescent="0.3">
      <c r="A1867" s="5">
        <v>92</v>
      </c>
      <c r="B1867" s="5" t="s">
        <v>123</v>
      </c>
      <c r="C1867" s="5">
        <v>9</v>
      </c>
      <c r="D1867" s="5" t="s">
        <v>92</v>
      </c>
      <c r="E1867" s="5">
        <v>2024</v>
      </c>
      <c r="F1867" s="5">
        <v>8</v>
      </c>
      <c r="G1867" s="5" t="s">
        <v>65</v>
      </c>
      <c r="H1867" s="5">
        <v>3600882</v>
      </c>
      <c r="I1867" s="5">
        <v>3141666.68</v>
      </c>
      <c r="J1867" s="5">
        <v>43</v>
      </c>
      <c r="K1867" s="5">
        <v>399329</v>
      </c>
      <c r="L1867" s="5">
        <v>3995750</v>
      </c>
      <c r="M1867" s="5">
        <v>459215.32</v>
      </c>
      <c r="N1867" s="5">
        <v>0.1275</v>
      </c>
      <c r="O1867" s="5">
        <v>2</v>
      </c>
      <c r="P1867" s="5">
        <v>136758</v>
      </c>
    </row>
    <row r="1868" spans="1:16" x14ac:dyDescent="0.3">
      <c r="A1868" s="5">
        <v>52</v>
      </c>
      <c r="B1868" s="5" t="s">
        <v>123</v>
      </c>
      <c r="C1868" s="5">
        <v>9</v>
      </c>
      <c r="D1868" s="5" t="s">
        <v>92</v>
      </c>
      <c r="E1868" s="5">
        <v>2024</v>
      </c>
      <c r="F1868" s="5">
        <v>9</v>
      </c>
      <c r="G1868" s="5" t="s">
        <v>66</v>
      </c>
      <c r="H1868" s="5">
        <v>2125818</v>
      </c>
      <c r="I1868" s="5">
        <v>1656563.4</v>
      </c>
      <c r="J1868" s="5">
        <v>30</v>
      </c>
      <c r="K1868" s="5">
        <v>110034</v>
      </c>
      <c r="L1868" s="5">
        <v>2228240</v>
      </c>
      <c r="M1868" s="5">
        <v>469254.6</v>
      </c>
      <c r="N1868" s="5">
        <v>0.22070000000000001</v>
      </c>
      <c r="O1868" s="5">
        <v>4</v>
      </c>
      <c r="P1868" s="5">
        <v>166737</v>
      </c>
    </row>
    <row r="1869" spans="1:16" x14ac:dyDescent="0.3">
      <c r="A1869" s="5">
        <v>92</v>
      </c>
      <c r="B1869" s="5" t="s">
        <v>123</v>
      </c>
      <c r="C1869" s="5">
        <v>9</v>
      </c>
      <c r="D1869" s="5" t="s">
        <v>92</v>
      </c>
      <c r="E1869" s="5">
        <v>2024</v>
      </c>
      <c r="F1869" s="5">
        <v>9</v>
      </c>
      <c r="G1869" s="5" t="s">
        <v>66</v>
      </c>
      <c r="H1869" s="5">
        <v>2339952</v>
      </c>
      <c r="I1869" s="5">
        <v>1915308.86</v>
      </c>
      <c r="J1869" s="5">
        <v>35</v>
      </c>
      <c r="K1869" s="5">
        <v>144086</v>
      </c>
      <c r="L1869" s="5">
        <v>2477920</v>
      </c>
      <c r="M1869" s="5">
        <v>424643.14</v>
      </c>
      <c r="N1869" s="5">
        <v>0.18149999999999999</v>
      </c>
      <c r="O1869" s="5">
        <v>3</v>
      </c>
      <c r="P1869" s="5">
        <v>15456</v>
      </c>
    </row>
    <row r="1870" spans="1:16" x14ac:dyDescent="0.3">
      <c r="A1870" s="5">
        <v>52</v>
      </c>
      <c r="B1870" s="5" t="s">
        <v>123</v>
      </c>
      <c r="C1870" s="5">
        <v>9</v>
      </c>
      <c r="D1870" s="5" t="s">
        <v>92</v>
      </c>
      <c r="E1870" s="5">
        <v>2024</v>
      </c>
      <c r="F1870" s="5">
        <v>10</v>
      </c>
      <c r="G1870" s="5" t="s">
        <v>67</v>
      </c>
      <c r="H1870" s="5">
        <v>4229176</v>
      </c>
      <c r="I1870" s="5">
        <v>3362159.82</v>
      </c>
      <c r="J1870" s="5">
        <v>55</v>
      </c>
      <c r="K1870" s="5">
        <v>157069</v>
      </c>
      <c r="L1870" s="5">
        <v>4378470</v>
      </c>
      <c r="M1870" s="5">
        <v>867016.18</v>
      </c>
      <c r="N1870" s="5">
        <v>0.20499999999999999</v>
      </c>
      <c r="O1870" s="5">
        <v>3</v>
      </c>
      <c r="P1870" s="5">
        <v>294434</v>
      </c>
    </row>
    <row r="1871" spans="1:16" x14ac:dyDescent="0.3">
      <c r="A1871" s="5">
        <v>92</v>
      </c>
      <c r="B1871" s="5" t="s">
        <v>123</v>
      </c>
      <c r="C1871" s="5">
        <v>9</v>
      </c>
      <c r="D1871" s="5" t="s">
        <v>92</v>
      </c>
      <c r="E1871" s="5">
        <v>2024</v>
      </c>
      <c r="F1871" s="5">
        <v>10</v>
      </c>
      <c r="G1871" s="5" t="s">
        <v>67</v>
      </c>
      <c r="H1871" s="5">
        <v>4897861</v>
      </c>
      <c r="I1871" s="5">
        <v>3959112.21</v>
      </c>
      <c r="J1871" s="5">
        <v>52</v>
      </c>
      <c r="K1871" s="5">
        <v>136653</v>
      </c>
      <c r="L1871" s="5">
        <v>5017780</v>
      </c>
      <c r="M1871" s="5">
        <v>938748.79</v>
      </c>
      <c r="N1871" s="5">
        <v>0.19170000000000001</v>
      </c>
      <c r="O1871" s="5">
        <v>5</v>
      </c>
      <c r="P1871" s="5">
        <v>50209</v>
      </c>
    </row>
    <row r="1872" spans="1:16" x14ac:dyDescent="0.3">
      <c r="A1872" s="5">
        <v>52</v>
      </c>
      <c r="B1872" s="5" t="s">
        <v>123</v>
      </c>
      <c r="C1872" s="5">
        <v>9</v>
      </c>
      <c r="D1872" s="5" t="s">
        <v>92</v>
      </c>
      <c r="E1872" s="5">
        <v>2024</v>
      </c>
      <c r="F1872" s="5">
        <v>11</v>
      </c>
      <c r="G1872" s="5" t="s">
        <v>68</v>
      </c>
      <c r="H1872" s="5">
        <v>3377821</v>
      </c>
      <c r="I1872" s="5">
        <v>2778878.06</v>
      </c>
      <c r="J1872" s="5">
        <v>57</v>
      </c>
      <c r="K1872" s="5">
        <v>279158</v>
      </c>
      <c r="L1872" s="5">
        <v>3640720</v>
      </c>
      <c r="M1872" s="5">
        <v>598942.93999999994</v>
      </c>
      <c r="N1872" s="5">
        <v>0.17730000000000001</v>
      </c>
      <c r="O1872" s="5">
        <v>5</v>
      </c>
      <c r="P1872" s="5">
        <v>175097</v>
      </c>
    </row>
    <row r="1873" spans="1:16" x14ac:dyDescent="0.3">
      <c r="A1873" s="5">
        <v>92</v>
      </c>
      <c r="B1873" s="5" t="s">
        <v>123</v>
      </c>
      <c r="C1873" s="5">
        <v>9</v>
      </c>
      <c r="D1873" s="5" t="s">
        <v>92</v>
      </c>
      <c r="E1873" s="5">
        <v>2024</v>
      </c>
      <c r="F1873" s="5">
        <v>11</v>
      </c>
      <c r="G1873" s="5" t="s">
        <v>68</v>
      </c>
      <c r="H1873" s="5">
        <v>4186332</v>
      </c>
      <c r="I1873" s="5">
        <v>3480139.86</v>
      </c>
      <c r="J1873" s="5">
        <v>54</v>
      </c>
      <c r="K1873" s="5">
        <v>238019</v>
      </c>
      <c r="L1873" s="5">
        <v>4405520</v>
      </c>
      <c r="M1873" s="5">
        <v>706192.14</v>
      </c>
      <c r="N1873" s="5">
        <v>0.16869999999999999</v>
      </c>
      <c r="O1873" s="5">
        <v>5</v>
      </c>
      <c r="P1873" s="5">
        <v>147351</v>
      </c>
    </row>
    <row r="1874" spans="1:16" x14ac:dyDescent="0.3">
      <c r="A1874" s="5">
        <v>52</v>
      </c>
      <c r="B1874" s="5" t="s">
        <v>123</v>
      </c>
      <c r="C1874" s="5">
        <v>9</v>
      </c>
      <c r="D1874" s="5" t="s">
        <v>92</v>
      </c>
      <c r="E1874" s="5">
        <v>2024</v>
      </c>
      <c r="F1874" s="5">
        <v>12</v>
      </c>
      <c r="G1874" s="5" t="s">
        <v>69</v>
      </c>
      <c r="H1874" s="5">
        <v>2613486</v>
      </c>
      <c r="I1874" s="5">
        <v>2134146.21</v>
      </c>
      <c r="J1874" s="5">
        <v>45</v>
      </c>
      <c r="K1874" s="5">
        <v>61280</v>
      </c>
      <c r="L1874" s="5">
        <v>2668270</v>
      </c>
      <c r="M1874" s="5">
        <v>479339.79</v>
      </c>
      <c r="N1874" s="5">
        <v>0.18340000000000001</v>
      </c>
      <c r="O1874" s="5">
        <v>0</v>
      </c>
      <c r="P1874" s="5">
        <v>0</v>
      </c>
    </row>
    <row r="1875" spans="1:16" x14ac:dyDescent="0.3">
      <c r="A1875" s="5">
        <v>92</v>
      </c>
      <c r="B1875" s="5" t="s">
        <v>123</v>
      </c>
      <c r="C1875" s="5">
        <v>9</v>
      </c>
      <c r="D1875" s="5" t="s">
        <v>92</v>
      </c>
      <c r="E1875" s="5">
        <v>2024</v>
      </c>
      <c r="F1875" s="5">
        <v>12</v>
      </c>
      <c r="G1875" s="5" t="s">
        <v>69</v>
      </c>
      <c r="H1875" s="5">
        <v>2776240</v>
      </c>
      <c r="I1875" s="5">
        <v>2185904.65</v>
      </c>
      <c r="J1875" s="5">
        <v>34</v>
      </c>
      <c r="K1875" s="5">
        <v>87069</v>
      </c>
      <c r="L1875" s="5">
        <v>2852890</v>
      </c>
      <c r="M1875" s="5">
        <v>590335.35</v>
      </c>
      <c r="N1875" s="5">
        <v>0.21260000000000001</v>
      </c>
      <c r="O1875" s="5">
        <v>2</v>
      </c>
      <c r="P1875" s="5">
        <v>63033</v>
      </c>
    </row>
    <row r="1876" spans="1:16" x14ac:dyDescent="0.3">
      <c r="A1876" s="5">
        <v>8</v>
      </c>
      <c r="B1876" s="5" t="s">
        <v>124</v>
      </c>
      <c r="C1876" s="5">
        <v>5</v>
      </c>
      <c r="D1876" s="5" t="s">
        <v>80</v>
      </c>
      <c r="E1876" s="5">
        <v>2021</v>
      </c>
      <c r="F1876" s="5">
        <v>1</v>
      </c>
      <c r="G1876" s="5" t="s">
        <v>22</v>
      </c>
      <c r="H1876" s="5">
        <v>806826</v>
      </c>
      <c r="I1876" s="5">
        <v>697791.3</v>
      </c>
      <c r="J1876" s="5">
        <v>9</v>
      </c>
      <c r="K1876" s="5">
        <v>93796</v>
      </c>
      <c r="L1876" s="5">
        <v>898630</v>
      </c>
      <c r="M1876" s="5">
        <v>109034.7</v>
      </c>
      <c r="N1876" s="5">
        <v>0.1351</v>
      </c>
      <c r="O1876" s="5">
        <v>2</v>
      </c>
      <c r="P1876" s="5">
        <v>82551</v>
      </c>
    </row>
    <row r="1877" spans="1:16" x14ac:dyDescent="0.3">
      <c r="A1877" s="5">
        <v>8</v>
      </c>
      <c r="B1877" s="5" t="s">
        <v>124</v>
      </c>
      <c r="C1877" s="5">
        <v>5</v>
      </c>
      <c r="D1877" s="5" t="s">
        <v>80</v>
      </c>
      <c r="E1877" s="5">
        <v>2021</v>
      </c>
      <c r="F1877" s="5">
        <v>2</v>
      </c>
      <c r="G1877" s="5" t="s">
        <v>23</v>
      </c>
      <c r="H1877" s="5">
        <v>581754</v>
      </c>
      <c r="I1877" s="5">
        <v>568927.68000000005</v>
      </c>
      <c r="J1877" s="5">
        <v>7</v>
      </c>
      <c r="K1877" s="5">
        <v>132936</v>
      </c>
      <c r="L1877" s="5">
        <v>714690</v>
      </c>
      <c r="M1877" s="5">
        <v>12826.32</v>
      </c>
      <c r="N1877" s="5">
        <v>2.1999999999999999E-2</v>
      </c>
      <c r="O1877" s="5">
        <v>0</v>
      </c>
      <c r="P1877" s="5">
        <v>0</v>
      </c>
    </row>
    <row r="1878" spans="1:16" x14ac:dyDescent="0.3">
      <c r="A1878" s="5">
        <v>8</v>
      </c>
      <c r="B1878" s="5" t="s">
        <v>124</v>
      </c>
      <c r="C1878" s="5">
        <v>5</v>
      </c>
      <c r="D1878" s="5" t="s">
        <v>80</v>
      </c>
      <c r="E1878" s="5">
        <v>2021</v>
      </c>
      <c r="F1878" s="5">
        <v>3</v>
      </c>
      <c r="G1878" s="5" t="s">
        <v>24</v>
      </c>
      <c r="H1878" s="5">
        <v>268258</v>
      </c>
      <c r="I1878" s="5">
        <v>232884.79</v>
      </c>
      <c r="J1878" s="5">
        <v>6</v>
      </c>
      <c r="K1878" s="5">
        <v>18112</v>
      </c>
      <c r="L1878" s="5">
        <v>286340</v>
      </c>
      <c r="M1878" s="5">
        <v>35373.21</v>
      </c>
      <c r="N1878" s="5">
        <v>0.13189999999999999</v>
      </c>
      <c r="O1878" s="5">
        <v>1</v>
      </c>
      <c r="P1878" s="5">
        <v>287</v>
      </c>
    </row>
    <row r="1879" spans="1:16" x14ac:dyDescent="0.3">
      <c r="A1879" s="5">
        <v>8</v>
      </c>
      <c r="B1879" s="5" t="s">
        <v>124</v>
      </c>
      <c r="C1879" s="5">
        <v>5</v>
      </c>
      <c r="D1879" s="5" t="s">
        <v>80</v>
      </c>
      <c r="E1879" s="5">
        <v>2021</v>
      </c>
      <c r="F1879" s="5">
        <v>4</v>
      </c>
      <c r="G1879" s="5" t="s">
        <v>25</v>
      </c>
      <c r="H1879" s="5">
        <v>390444</v>
      </c>
      <c r="I1879" s="5">
        <v>320044.89</v>
      </c>
      <c r="J1879" s="5">
        <v>12</v>
      </c>
      <c r="K1879" s="5">
        <v>42352</v>
      </c>
      <c r="L1879" s="5">
        <v>432780</v>
      </c>
      <c r="M1879" s="5">
        <v>70399.11</v>
      </c>
      <c r="N1879" s="5">
        <v>0.18029999999999999</v>
      </c>
      <c r="O1879" s="5">
        <v>0</v>
      </c>
      <c r="P1879" s="5">
        <v>0</v>
      </c>
    </row>
    <row r="1880" spans="1:16" x14ac:dyDescent="0.3">
      <c r="A1880" s="5">
        <v>8</v>
      </c>
      <c r="B1880" s="5" t="s">
        <v>124</v>
      </c>
      <c r="C1880" s="5">
        <v>5</v>
      </c>
      <c r="D1880" s="5" t="s">
        <v>80</v>
      </c>
      <c r="E1880" s="5">
        <v>2021</v>
      </c>
      <c r="F1880" s="5">
        <v>5</v>
      </c>
      <c r="G1880" s="5" t="s">
        <v>26</v>
      </c>
      <c r="H1880" s="5">
        <v>575128</v>
      </c>
      <c r="I1880" s="5">
        <v>480276.26</v>
      </c>
      <c r="J1880" s="5">
        <v>8</v>
      </c>
      <c r="K1880" s="5">
        <v>62131</v>
      </c>
      <c r="L1880" s="5">
        <v>636310</v>
      </c>
      <c r="M1880" s="5">
        <v>94851.74</v>
      </c>
      <c r="N1880" s="5">
        <v>0.16489999999999999</v>
      </c>
      <c r="O1880" s="5">
        <v>1</v>
      </c>
      <c r="P1880" s="5">
        <v>8660</v>
      </c>
    </row>
    <row r="1881" spans="1:16" x14ac:dyDescent="0.3">
      <c r="A1881" s="5">
        <v>8</v>
      </c>
      <c r="B1881" s="5" t="s">
        <v>124</v>
      </c>
      <c r="C1881" s="5">
        <v>5</v>
      </c>
      <c r="D1881" s="5" t="s">
        <v>80</v>
      </c>
      <c r="E1881" s="5">
        <v>2021</v>
      </c>
      <c r="F1881" s="5">
        <v>6</v>
      </c>
      <c r="G1881" s="5" t="s">
        <v>27</v>
      </c>
      <c r="H1881" s="5">
        <v>404164</v>
      </c>
      <c r="I1881" s="5">
        <v>335531.21000000002</v>
      </c>
      <c r="J1881" s="5">
        <v>5</v>
      </c>
      <c r="K1881" s="5">
        <v>34866</v>
      </c>
      <c r="L1881" s="5">
        <v>435600</v>
      </c>
      <c r="M1881" s="5">
        <v>68632.789999999994</v>
      </c>
      <c r="N1881" s="5">
        <v>0.16980000000000001</v>
      </c>
      <c r="O1881" s="5">
        <v>0</v>
      </c>
      <c r="P1881" s="5">
        <v>0</v>
      </c>
    </row>
    <row r="1882" spans="1:16" x14ac:dyDescent="0.3">
      <c r="A1882" s="5">
        <v>8</v>
      </c>
      <c r="B1882" s="5" t="s">
        <v>124</v>
      </c>
      <c r="C1882" s="5">
        <v>5</v>
      </c>
      <c r="D1882" s="5" t="s">
        <v>80</v>
      </c>
      <c r="E1882" s="5">
        <v>2021</v>
      </c>
      <c r="F1882" s="5">
        <v>7</v>
      </c>
      <c r="G1882" s="5" t="s">
        <v>28</v>
      </c>
      <c r="H1882" s="5">
        <v>531219</v>
      </c>
      <c r="I1882" s="5">
        <v>471541.08</v>
      </c>
      <c r="J1882" s="5">
        <v>8</v>
      </c>
      <c r="K1882" s="5">
        <v>85371</v>
      </c>
      <c r="L1882" s="5">
        <v>614190</v>
      </c>
      <c r="M1882" s="5">
        <v>59677.919999999998</v>
      </c>
      <c r="N1882" s="5">
        <v>0.1123</v>
      </c>
      <c r="O1882" s="5">
        <v>0</v>
      </c>
      <c r="P1882" s="5">
        <v>0</v>
      </c>
    </row>
    <row r="1883" spans="1:16" x14ac:dyDescent="0.3">
      <c r="A1883" s="5">
        <v>8</v>
      </c>
      <c r="B1883" s="5" t="s">
        <v>124</v>
      </c>
      <c r="C1883" s="5">
        <v>5</v>
      </c>
      <c r="D1883" s="5" t="s">
        <v>80</v>
      </c>
      <c r="E1883" s="5">
        <v>2021</v>
      </c>
      <c r="F1883" s="5">
        <v>8</v>
      </c>
      <c r="G1883" s="5" t="s">
        <v>29</v>
      </c>
      <c r="H1883" s="5">
        <v>117050</v>
      </c>
      <c r="I1883" s="5">
        <v>103338.43</v>
      </c>
      <c r="J1883" s="5">
        <v>5</v>
      </c>
      <c r="K1883" s="5">
        <v>17574</v>
      </c>
      <c r="L1883" s="5">
        <v>134590</v>
      </c>
      <c r="M1883" s="5">
        <v>13711.57</v>
      </c>
      <c r="N1883" s="5">
        <v>0.1171</v>
      </c>
      <c r="O1883" s="5">
        <v>2</v>
      </c>
      <c r="P1883" s="5">
        <v>62019</v>
      </c>
    </row>
    <row r="1884" spans="1:16" x14ac:dyDescent="0.3">
      <c r="A1884" s="5">
        <v>8</v>
      </c>
      <c r="B1884" s="5" t="s">
        <v>124</v>
      </c>
      <c r="C1884" s="5">
        <v>5</v>
      </c>
      <c r="D1884" s="5" t="s">
        <v>80</v>
      </c>
      <c r="E1884" s="5">
        <v>2021</v>
      </c>
      <c r="F1884" s="5">
        <v>9</v>
      </c>
      <c r="G1884" s="5" t="s">
        <v>30</v>
      </c>
      <c r="H1884" s="5">
        <v>61974</v>
      </c>
      <c r="I1884" s="5">
        <v>44842.99</v>
      </c>
      <c r="J1884" s="5">
        <v>2</v>
      </c>
      <c r="K1884" s="5">
        <v>162</v>
      </c>
      <c r="L1884" s="5">
        <v>61350</v>
      </c>
      <c r="M1884" s="5">
        <v>17131.009999999998</v>
      </c>
      <c r="N1884" s="5">
        <v>0.27639999999999998</v>
      </c>
      <c r="O1884" s="5">
        <v>0</v>
      </c>
      <c r="P1884" s="5">
        <v>0</v>
      </c>
    </row>
    <row r="1885" spans="1:16" x14ac:dyDescent="0.3">
      <c r="A1885" s="5">
        <v>8</v>
      </c>
      <c r="B1885" s="5" t="s">
        <v>124</v>
      </c>
      <c r="C1885" s="5">
        <v>5</v>
      </c>
      <c r="D1885" s="5" t="s">
        <v>80</v>
      </c>
      <c r="E1885" s="5">
        <v>2021</v>
      </c>
      <c r="F1885" s="5">
        <v>10</v>
      </c>
      <c r="G1885" s="5" t="s">
        <v>31</v>
      </c>
      <c r="H1885" s="5">
        <v>800066</v>
      </c>
      <c r="I1885" s="5">
        <v>694362.34</v>
      </c>
      <c r="J1885" s="5">
        <v>12</v>
      </c>
      <c r="K1885" s="5">
        <v>74585</v>
      </c>
      <c r="L1885" s="5">
        <v>869870</v>
      </c>
      <c r="M1885" s="5">
        <v>105703.66</v>
      </c>
      <c r="N1885" s="5">
        <v>0.1321</v>
      </c>
      <c r="O1885" s="5">
        <v>0</v>
      </c>
      <c r="P1885" s="5">
        <v>0</v>
      </c>
    </row>
    <row r="1886" spans="1:16" x14ac:dyDescent="0.3">
      <c r="A1886" s="5">
        <v>8</v>
      </c>
      <c r="B1886" s="5" t="s">
        <v>124</v>
      </c>
      <c r="C1886" s="5">
        <v>5</v>
      </c>
      <c r="D1886" s="5" t="s">
        <v>80</v>
      </c>
      <c r="E1886" s="5">
        <v>2021</v>
      </c>
      <c r="F1886" s="5">
        <v>11</v>
      </c>
      <c r="G1886" s="5" t="s">
        <v>32</v>
      </c>
      <c r="H1886" s="5">
        <v>498014</v>
      </c>
      <c r="I1886" s="5">
        <v>429873.02</v>
      </c>
      <c r="J1886" s="5">
        <v>10</v>
      </c>
      <c r="K1886" s="5">
        <v>65405</v>
      </c>
      <c r="L1886" s="5">
        <v>562460</v>
      </c>
      <c r="M1886" s="5">
        <v>68140.98</v>
      </c>
      <c r="N1886" s="5">
        <v>0.1368</v>
      </c>
      <c r="O1886" s="5">
        <v>1</v>
      </c>
      <c r="P1886" s="5">
        <v>70316</v>
      </c>
    </row>
    <row r="1887" spans="1:16" x14ac:dyDescent="0.3">
      <c r="A1887" s="5">
        <v>8</v>
      </c>
      <c r="B1887" s="5" t="s">
        <v>124</v>
      </c>
      <c r="C1887" s="5">
        <v>5</v>
      </c>
      <c r="D1887" s="5" t="s">
        <v>80</v>
      </c>
      <c r="E1887" s="5">
        <v>2021</v>
      </c>
      <c r="F1887" s="5">
        <v>12</v>
      </c>
      <c r="G1887" s="5" t="s">
        <v>33</v>
      </c>
      <c r="H1887" s="5">
        <v>323376</v>
      </c>
      <c r="I1887" s="5">
        <v>261910.62</v>
      </c>
      <c r="J1887" s="5">
        <v>8</v>
      </c>
      <c r="K1887" s="5">
        <v>23149</v>
      </c>
      <c r="L1887" s="5">
        <v>346420</v>
      </c>
      <c r="M1887" s="5">
        <v>61465.38</v>
      </c>
      <c r="N1887" s="5">
        <v>0.19009999999999999</v>
      </c>
      <c r="O1887" s="5">
        <v>0</v>
      </c>
      <c r="P1887" s="5">
        <v>0</v>
      </c>
    </row>
    <row r="1888" spans="1:16" x14ac:dyDescent="0.3">
      <c r="A1888" s="5">
        <v>8</v>
      </c>
      <c r="B1888" s="5" t="s">
        <v>124</v>
      </c>
      <c r="C1888" s="5">
        <v>5</v>
      </c>
      <c r="D1888" s="5" t="s">
        <v>80</v>
      </c>
      <c r="E1888" s="5">
        <v>2022</v>
      </c>
      <c r="F1888" s="5">
        <v>1</v>
      </c>
      <c r="G1888" s="5" t="s">
        <v>34</v>
      </c>
      <c r="H1888" s="5">
        <v>1333038</v>
      </c>
      <c r="I1888" s="5">
        <v>1057778.29</v>
      </c>
      <c r="J1888" s="5">
        <v>14</v>
      </c>
      <c r="K1888" s="5">
        <v>27660</v>
      </c>
      <c r="L1888" s="5">
        <v>1352850</v>
      </c>
      <c r="M1888" s="5">
        <v>275259.71000000002</v>
      </c>
      <c r="N1888" s="5">
        <v>0.20649999999999999</v>
      </c>
      <c r="O1888" s="5">
        <v>0</v>
      </c>
      <c r="P1888" s="5">
        <v>0</v>
      </c>
    </row>
    <row r="1889" spans="1:16" x14ac:dyDescent="0.3">
      <c r="A1889" s="5">
        <v>8</v>
      </c>
      <c r="B1889" s="5" t="s">
        <v>124</v>
      </c>
      <c r="C1889" s="5">
        <v>5</v>
      </c>
      <c r="D1889" s="5" t="s">
        <v>80</v>
      </c>
      <c r="E1889" s="5">
        <v>2022</v>
      </c>
      <c r="F1889" s="5">
        <v>2</v>
      </c>
      <c r="G1889" s="5" t="s">
        <v>35</v>
      </c>
      <c r="H1889" s="5">
        <v>600762</v>
      </c>
      <c r="I1889" s="5">
        <v>484044.51</v>
      </c>
      <c r="J1889" s="5">
        <v>10</v>
      </c>
      <c r="K1889" s="5">
        <v>31436</v>
      </c>
      <c r="L1889" s="5">
        <v>631140</v>
      </c>
      <c r="M1889" s="5">
        <v>116717.49</v>
      </c>
      <c r="N1889" s="5">
        <v>0.1943</v>
      </c>
      <c r="O1889" s="5">
        <v>1</v>
      </c>
      <c r="P1889" s="5">
        <v>1989</v>
      </c>
    </row>
    <row r="1890" spans="1:16" x14ac:dyDescent="0.3">
      <c r="A1890" s="5">
        <v>8</v>
      </c>
      <c r="B1890" s="5" t="s">
        <v>124</v>
      </c>
      <c r="C1890" s="5">
        <v>5</v>
      </c>
      <c r="D1890" s="5" t="s">
        <v>80</v>
      </c>
      <c r="E1890" s="5">
        <v>2022</v>
      </c>
      <c r="F1890" s="5">
        <v>3</v>
      </c>
      <c r="G1890" s="5" t="s">
        <v>36</v>
      </c>
      <c r="H1890" s="5">
        <v>1650518</v>
      </c>
      <c r="I1890" s="5">
        <v>1392198.06</v>
      </c>
      <c r="J1890" s="5">
        <v>14</v>
      </c>
      <c r="K1890" s="5">
        <v>115097</v>
      </c>
      <c r="L1890" s="5">
        <v>1763740</v>
      </c>
      <c r="M1890" s="5">
        <v>258319.94</v>
      </c>
      <c r="N1890" s="5">
        <v>0.1565</v>
      </c>
      <c r="O1890" s="5">
        <v>5</v>
      </c>
      <c r="P1890" s="5">
        <v>194703</v>
      </c>
    </row>
    <row r="1891" spans="1:16" x14ac:dyDescent="0.3">
      <c r="A1891" s="5">
        <v>8</v>
      </c>
      <c r="B1891" s="5" t="s">
        <v>124</v>
      </c>
      <c r="C1891" s="5">
        <v>5</v>
      </c>
      <c r="D1891" s="5" t="s">
        <v>80</v>
      </c>
      <c r="E1891" s="5">
        <v>2022</v>
      </c>
      <c r="F1891" s="5">
        <v>4</v>
      </c>
      <c r="G1891" s="5" t="s">
        <v>37</v>
      </c>
      <c r="H1891" s="5">
        <v>572907</v>
      </c>
      <c r="I1891" s="5">
        <v>513304.52</v>
      </c>
      <c r="J1891" s="5">
        <v>9</v>
      </c>
      <c r="K1891" s="5">
        <v>87098</v>
      </c>
      <c r="L1891" s="5">
        <v>656820</v>
      </c>
      <c r="M1891" s="5">
        <v>59602.48</v>
      </c>
      <c r="N1891" s="5">
        <v>0.104</v>
      </c>
      <c r="O1891" s="5">
        <v>1</v>
      </c>
      <c r="P1891" s="5">
        <v>2592</v>
      </c>
    </row>
    <row r="1892" spans="1:16" x14ac:dyDescent="0.3">
      <c r="A1892" s="5">
        <v>8</v>
      </c>
      <c r="B1892" s="5" t="s">
        <v>124</v>
      </c>
      <c r="C1892" s="5">
        <v>5</v>
      </c>
      <c r="D1892" s="5" t="s">
        <v>80</v>
      </c>
      <c r="E1892" s="5">
        <v>2022</v>
      </c>
      <c r="F1892" s="5">
        <v>5</v>
      </c>
      <c r="G1892" s="5" t="s">
        <v>38</v>
      </c>
      <c r="H1892" s="5">
        <v>850229</v>
      </c>
      <c r="I1892" s="5">
        <v>708623.73</v>
      </c>
      <c r="J1892" s="5">
        <v>13</v>
      </c>
      <c r="K1892" s="5">
        <v>62998</v>
      </c>
      <c r="L1892" s="5">
        <v>911130</v>
      </c>
      <c r="M1892" s="5">
        <v>141605.26999999999</v>
      </c>
      <c r="N1892" s="5">
        <v>0.16650000000000001</v>
      </c>
      <c r="O1892" s="5">
        <v>0</v>
      </c>
      <c r="P1892" s="5">
        <v>0</v>
      </c>
    </row>
    <row r="1893" spans="1:16" x14ac:dyDescent="0.3">
      <c r="A1893" s="5">
        <v>8</v>
      </c>
      <c r="B1893" s="5" t="s">
        <v>124</v>
      </c>
      <c r="C1893" s="5">
        <v>5</v>
      </c>
      <c r="D1893" s="5" t="s">
        <v>80</v>
      </c>
      <c r="E1893" s="5">
        <v>2022</v>
      </c>
      <c r="F1893" s="5">
        <v>6</v>
      </c>
      <c r="G1893" s="5" t="s">
        <v>39</v>
      </c>
      <c r="H1893" s="5">
        <v>990446</v>
      </c>
      <c r="I1893" s="5">
        <v>891607.65</v>
      </c>
      <c r="J1893" s="5">
        <v>14</v>
      </c>
      <c r="K1893" s="5">
        <v>159644</v>
      </c>
      <c r="L1893" s="5">
        <v>1149990</v>
      </c>
      <c r="M1893" s="5">
        <v>98838.35</v>
      </c>
      <c r="N1893" s="5">
        <v>9.98E-2</v>
      </c>
      <c r="O1893" s="5">
        <v>0</v>
      </c>
      <c r="P1893" s="5">
        <v>0</v>
      </c>
    </row>
    <row r="1894" spans="1:16" x14ac:dyDescent="0.3">
      <c r="A1894" s="5">
        <v>8</v>
      </c>
      <c r="B1894" s="5" t="s">
        <v>124</v>
      </c>
      <c r="C1894" s="5">
        <v>5</v>
      </c>
      <c r="D1894" s="5" t="s">
        <v>80</v>
      </c>
      <c r="E1894" s="5">
        <v>2022</v>
      </c>
      <c r="F1894" s="5">
        <v>7</v>
      </c>
      <c r="G1894" s="5" t="s">
        <v>40</v>
      </c>
      <c r="H1894" s="5">
        <v>983252</v>
      </c>
      <c r="I1894" s="5">
        <v>784376.45</v>
      </c>
      <c r="J1894" s="5">
        <v>8</v>
      </c>
      <c r="K1894" s="5">
        <v>41422</v>
      </c>
      <c r="L1894" s="5">
        <v>1016670</v>
      </c>
      <c r="M1894" s="5">
        <v>198875.55</v>
      </c>
      <c r="N1894" s="5">
        <v>0.20230000000000001</v>
      </c>
      <c r="O1894" s="5">
        <v>0</v>
      </c>
      <c r="P1894" s="5">
        <v>0</v>
      </c>
    </row>
    <row r="1895" spans="1:16" x14ac:dyDescent="0.3">
      <c r="A1895" s="5">
        <v>8</v>
      </c>
      <c r="B1895" s="5" t="s">
        <v>124</v>
      </c>
      <c r="C1895" s="5">
        <v>5</v>
      </c>
      <c r="D1895" s="5" t="s">
        <v>80</v>
      </c>
      <c r="E1895" s="5">
        <v>2022</v>
      </c>
      <c r="F1895" s="5">
        <v>8</v>
      </c>
      <c r="G1895" s="5" t="s">
        <v>41</v>
      </c>
      <c r="H1895" s="5">
        <v>1293456</v>
      </c>
      <c r="I1895" s="5">
        <v>1267535.43</v>
      </c>
      <c r="J1895" s="5">
        <v>18</v>
      </c>
      <c r="K1895" s="5">
        <v>298272</v>
      </c>
      <c r="L1895" s="5">
        <v>1588570</v>
      </c>
      <c r="M1895" s="5">
        <v>25920.57</v>
      </c>
      <c r="N1895" s="5">
        <v>0.02</v>
      </c>
      <c r="O1895" s="5">
        <v>0</v>
      </c>
      <c r="P1895" s="5">
        <v>0</v>
      </c>
    </row>
    <row r="1896" spans="1:16" x14ac:dyDescent="0.3">
      <c r="A1896" s="5">
        <v>8</v>
      </c>
      <c r="B1896" s="5" t="s">
        <v>124</v>
      </c>
      <c r="C1896" s="5">
        <v>5</v>
      </c>
      <c r="D1896" s="5" t="s">
        <v>80</v>
      </c>
      <c r="E1896" s="5">
        <v>2022</v>
      </c>
      <c r="F1896" s="5">
        <v>9</v>
      </c>
      <c r="G1896" s="5" t="s">
        <v>42</v>
      </c>
      <c r="H1896" s="5">
        <v>569779</v>
      </c>
      <c r="I1896" s="5">
        <v>526910.29</v>
      </c>
      <c r="J1896" s="5">
        <v>10</v>
      </c>
      <c r="K1896" s="5">
        <v>106632</v>
      </c>
      <c r="L1896" s="5">
        <v>675610</v>
      </c>
      <c r="M1896" s="5">
        <v>42868.71</v>
      </c>
      <c r="N1896" s="5">
        <v>7.5200000000000003E-2</v>
      </c>
      <c r="O1896" s="5">
        <v>2</v>
      </c>
      <c r="P1896" s="5">
        <v>5649</v>
      </c>
    </row>
    <row r="1897" spans="1:16" x14ac:dyDescent="0.3">
      <c r="A1897" s="5">
        <v>8</v>
      </c>
      <c r="B1897" s="5" t="s">
        <v>124</v>
      </c>
      <c r="C1897" s="5">
        <v>5</v>
      </c>
      <c r="D1897" s="5" t="s">
        <v>80</v>
      </c>
      <c r="E1897" s="5">
        <v>2022</v>
      </c>
      <c r="F1897" s="5">
        <v>10</v>
      </c>
      <c r="G1897" s="5" t="s">
        <v>43</v>
      </c>
      <c r="H1897" s="5">
        <v>363614</v>
      </c>
      <c r="I1897" s="5">
        <v>333090.09000000003</v>
      </c>
      <c r="J1897" s="5">
        <v>13</v>
      </c>
      <c r="K1897" s="5">
        <v>99613</v>
      </c>
      <c r="L1897" s="5">
        <v>462450</v>
      </c>
      <c r="M1897" s="5">
        <v>30523.91</v>
      </c>
      <c r="N1897" s="5">
        <v>8.3900000000000002E-2</v>
      </c>
      <c r="O1897" s="5">
        <v>0</v>
      </c>
      <c r="P1897" s="5">
        <v>0</v>
      </c>
    </row>
    <row r="1898" spans="1:16" x14ac:dyDescent="0.3">
      <c r="A1898" s="5">
        <v>8</v>
      </c>
      <c r="B1898" s="5" t="s">
        <v>124</v>
      </c>
      <c r="C1898" s="5">
        <v>5</v>
      </c>
      <c r="D1898" s="5" t="s">
        <v>80</v>
      </c>
      <c r="E1898" s="5">
        <v>2022</v>
      </c>
      <c r="F1898" s="5">
        <v>11</v>
      </c>
      <c r="G1898" s="5" t="s">
        <v>44</v>
      </c>
      <c r="H1898" s="5">
        <v>987437</v>
      </c>
      <c r="I1898" s="5">
        <v>813057.86</v>
      </c>
      <c r="J1898" s="5">
        <v>20</v>
      </c>
      <c r="K1898" s="5">
        <v>89892</v>
      </c>
      <c r="L1898" s="5">
        <v>1076280</v>
      </c>
      <c r="M1898" s="5">
        <v>174379.14</v>
      </c>
      <c r="N1898" s="5">
        <v>0.17660000000000001</v>
      </c>
      <c r="O1898" s="5">
        <v>1</v>
      </c>
      <c r="P1898" s="5">
        <v>12732</v>
      </c>
    </row>
    <row r="1899" spans="1:16" x14ac:dyDescent="0.3">
      <c r="A1899" s="5">
        <v>8</v>
      </c>
      <c r="B1899" s="5" t="s">
        <v>124</v>
      </c>
      <c r="C1899" s="5">
        <v>5</v>
      </c>
      <c r="D1899" s="5" t="s">
        <v>80</v>
      </c>
      <c r="E1899" s="5">
        <v>2022</v>
      </c>
      <c r="F1899" s="5">
        <v>12</v>
      </c>
      <c r="G1899" s="5" t="s">
        <v>45</v>
      </c>
      <c r="H1899" s="5">
        <v>676129</v>
      </c>
      <c r="I1899" s="5">
        <v>540897.37</v>
      </c>
      <c r="J1899" s="5">
        <v>14</v>
      </c>
      <c r="K1899" s="5">
        <v>32090</v>
      </c>
      <c r="L1899" s="5">
        <v>707910</v>
      </c>
      <c r="M1899" s="5">
        <v>135231.63</v>
      </c>
      <c r="N1899" s="5">
        <v>0.2</v>
      </c>
      <c r="O1899" s="5">
        <v>1</v>
      </c>
      <c r="P1899" s="5">
        <v>29986</v>
      </c>
    </row>
    <row r="1900" spans="1:16" x14ac:dyDescent="0.3">
      <c r="A1900" s="5">
        <v>8</v>
      </c>
      <c r="B1900" s="5" t="s">
        <v>124</v>
      </c>
      <c r="C1900" s="5">
        <v>5</v>
      </c>
      <c r="D1900" s="5" t="s">
        <v>80</v>
      </c>
      <c r="E1900" s="5">
        <v>2023</v>
      </c>
      <c r="F1900" s="5">
        <v>1</v>
      </c>
      <c r="G1900" s="5" t="s">
        <v>46</v>
      </c>
      <c r="H1900" s="5">
        <v>494769</v>
      </c>
      <c r="I1900" s="5">
        <v>397122.06</v>
      </c>
      <c r="J1900" s="5">
        <v>10</v>
      </c>
      <c r="K1900" s="5">
        <v>17967</v>
      </c>
      <c r="L1900" s="5">
        <v>511930</v>
      </c>
      <c r="M1900" s="5">
        <v>97646.94</v>
      </c>
      <c r="N1900" s="5">
        <v>0.19739999999999999</v>
      </c>
      <c r="O1900" s="5">
        <v>1</v>
      </c>
      <c r="P1900" s="5">
        <v>21252</v>
      </c>
    </row>
    <row r="1901" spans="1:16" x14ac:dyDescent="0.3">
      <c r="A1901" s="5">
        <v>8</v>
      </c>
      <c r="B1901" s="5" t="s">
        <v>124</v>
      </c>
      <c r="C1901" s="5">
        <v>5</v>
      </c>
      <c r="D1901" s="5" t="s">
        <v>80</v>
      </c>
      <c r="E1901" s="5">
        <v>2023</v>
      </c>
      <c r="F1901" s="5">
        <v>2</v>
      </c>
      <c r="G1901" s="5" t="s">
        <v>47</v>
      </c>
      <c r="H1901" s="5">
        <v>570734</v>
      </c>
      <c r="I1901" s="5">
        <v>458674.58</v>
      </c>
      <c r="J1901" s="5">
        <v>13</v>
      </c>
      <c r="K1901" s="5">
        <v>38931</v>
      </c>
      <c r="L1901" s="5">
        <v>605380</v>
      </c>
      <c r="M1901" s="5">
        <v>112059.42</v>
      </c>
      <c r="N1901" s="5">
        <v>0.1963</v>
      </c>
      <c r="O1901" s="5">
        <v>0</v>
      </c>
      <c r="P1901" s="5">
        <v>0</v>
      </c>
    </row>
    <row r="1902" spans="1:16" x14ac:dyDescent="0.3">
      <c r="A1902" s="5">
        <v>8</v>
      </c>
      <c r="B1902" s="5" t="s">
        <v>124</v>
      </c>
      <c r="C1902" s="5">
        <v>5</v>
      </c>
      <c r="D1902" s="5" t="s">
        <v>80</v>
      </c>
      <c r="E1902" s="5">
        <v>2023</v>
      </c>
      <c r="F1902" s="5">
        <v>3</v>
      </c>
      <c r="G1902" s="5" t="s">
        <v>48</v>
      </c>
      <c r="H1902" s="5">
        <v>276049</v>
      </c>
      <c r="I1902" s="5">
        <v>219965.37</v>
      </c>
      <c r="J1902" s="5">
        <v>9</v>
      </c>
      <c r="K1902" s="5">
        <v>14412</v>
      </c>
      <c r="L1902" s="5">
        <v>290260</v>
      </c>
      <c r="M1902" s="5">
        <v>56083.63</v>
      </c>
      <c r="N1902" s="5">
        <v>0.20319999999999999</v>
      </c>
      <c r="O1902" s="5">
        <v>0</v>
      </c>
      <c r="P1902" s="5">
        <v>0</v>
      </c>
    </row>
    <row r="1903" spans="1:16" x14ac:dyDescent="0.3">
      <c r="A1903" s="5">
        <v>8</v>
      </c>
      <c r="B1903" s="5" t="s">
        <v>124</v>
      </c>
      <c r="C1903" s="5">
        <v>5</v>
      </c>
      <c r="D1903" s="5" t="s">
        <v>80</v>
      </c>
      <c r="E1903" s="5">
        <v>2023</v>
      </c>
      <c r="F1903" s="5">
        <v>4</v>
      </c>
      <c r="G1903" s="5" t="s">
        <v>49</v>
      </c>
      <c r="H1903" s="5">
        <v>1119057</v>
      </c>
      <c r="I1903" s="5">
        <v>999899.65</v>
      </c>
      <c r="J1903" s="5">
        <v>10</v>
      </c>
      <c r="K1903" s="5">
        <v>176839</v>
      </c>
      <c r="L1903" s="5">
        <v>1293780</v>
      </c>
      <c r="M1903" s="5">
        <v>119157.35</v>
      </c>
      <c r="N1903" s="5">
        <v>0.1065</v>
      </c>
      <c r="O1903" s="5">
        <v>2</v>
      </c>
      <c r="P1903" s="5">
        <v>21738</v>
      </c>
    </row>
    <row r="1904" spans="1:16" x14ac:dyDescent="0.3">
      <c r="A1904" s="5">
        <v>8</v>
      </c>
      <c r="B1904" s="5" t="s">
        <v>124</v>
      </c>
      <c r="C1904" s="5">
        <v>5</v>
      </c>
      <c r="D1904" s="5" t="s">
        <v>80</v>
      </c>
      <c r="E1904" s="5">
        <v>2023</v>
      </c>
      <c r="F1904" s="5">
        <v>5</v>
      </c>
      <c r="G1904" s="5" t="s">
        <v>50</v>
      </c>
      <c r="H1904" s="5">
        <v>1221599</v>
      </c>
      <c r="I1904" s="5">
        <v>1075990.69</v>
      </c>
      <c r="J1904" s="5">
        <v>12</v>
      </c>
      <c r="K1904" s="5">
        <v>161550</v>
      </c>
      <c r="L1904" s="5">
        <v>1378750</v>
      </c>
      <c r="M1904" s="5">
        <v>145608.31</v>
      </c>
      <c r="N1904" s="5">
        <v>0.1192</v>
      </c>
      <c r="O1904" s="5">
        <v>0</v>
      </c>
      <c r="P1904" s="5">
        <v>0</v>
      </c>
    </row>
    <row r="1905" spans="1:16" x14ac:dyDescent="0.3">
      <c r="A1905" s="5">
        <v>8</v>
      </c>
      <c r="B1905" s="5" t="s">
        <v>124</v>
      </c>
      <c r="C1905" s="5">
        <v>5</v>
      </c>
      <c r="D1905" s="5" t="s">
        <v>80</v>
      </c>
      <c r="E1905" s="5">
        <v>2023</v>
      </c>
      <c r="F1905" s="5">
        <v>6</v>
      </c>
      <c r="G1905" s="5" t="s">
        <v>51</v>
      </c>
      <c r="H1905" s="5">
        <v>666308</v>
      </c>
      <c r="I1905" s="5">
        <v>538454.14</v>
      </c>
      <c r="J1905" s="5">
        <v>14</v>
      </c>
      <c r="K1905" s="5">
        <v>17912</v>
      </c>
      <c r="L1905" s="5">
        <v>681780</v>
      </c>
      <c r="M1905" s="5">
        <v>127853.86</v>
      </c>
      <c r="N1905" s="5">
        <v>0.19189999999999999</v>
      </c>
      <c r="O1905" s="5">
        <v>0</v>
      </c>
      <c r="P1905" s="5">
        <v>0</v>
      </c>
    </row>
    <row r="1906" spans="1:16" x14ac:dyDescent="0.3">
      <c r="A1906" s="5">
        <v>8</v>
      </c>
      <c r="B1906" s="5" t="s">
        <v>124</v>
      </c>
      <c r="C1906" s="5">
        <v>5</v>
      </c>
      <c r="D1906" s="5" t="s">
        <v>80</v>
      </c>
      <c r="E1906" s="5">
        <v>2023</v>
      </c>
      <c r="F1906" s="5">
        <v>7</v>
      </c>
      <c r="G1906" s="5" t="s">
        <v>52</v>
      </c>
      <c r="H1906" s="5">
        <v>880324</v>
      </c>
      <c r="I1906" s="5">
        <v>794155.18</v>
      </c>
      <c r="J1906" s="5">
        <v>15</v>
      </c>
      <c r="K1906" s="5">
        <v>150630</v>
      </c>
      <c r="L1906" s="5">
        <v>1027480</v>
      </c>
      <c r="M1906" s="5">
        <v>86168.82</v>
      </c>
      <c r="N1906" s="5">
        <v>9.7900000000000001E-2</v>
      </c>
      <c r="O1906" s="5">
        <v>2</v>
      </c>
      <c r="P1906" s="5">
        <v>67523</v>
      </c>
    </row>
    <row r="1907" spans="1:16" x14ac:dyDescent="0.3">
      <c r="A1907" s="5">
        <v>8</v>
      </c>
      <c r="B1907" s="5" t="s">
        <v>124</v>
      </c>
      <c r="C1907" s="5">
        <v>5</v>
      </c>
      <c r="D1907" s="5" t="s">
        <v>80</v>
      </c>
      <c r="E1907" s="5">
        <v>2023</v>
      </c>
      <c r="F1907" s="5">
        <v>8</v>
      </c>
      <c r="G1907" s="5" t="s">
        <v>53</v>
      </c>
      <c r="H1907" s="5">
        <v>665720</v>
      </c>
      <c r="I1907" s="5">
        <v>603265.4</v>
      </c>
      <c r="J1907" s="5">
        <v>13</v>
      </c>
      <c r="K1907" s="5">
        <v>115262</v>
      </c>
      <c r="L1907" s="5">
        <v>778270</v>
      </c>
      <c r="M1907" s="5">
        <v>62454.6</v>
      </c>
      <c r="N1907" s="5">
        <v>9.3799999999999994E-2</v>
      </c>
      <c r="O1907" s="5">
        <v>3</v>
      </c>
      <c r="P1907" s="5">
        <v>54438</v>
      </c>
    </row>
    <row r="1908" spans="1:16" x14ac:dyDescent="0.3">
      <c r="A1908" s="5">
        <v>8</v>
      </c>
      <c r="B1908" s="5" t="s">
        <v>124</v>
      </c>
      <c r="C1908" s="5">
        <v>5</v>
      </c>
      <c r="D1908" s="5" t="s">
        <v>80</v>
      </c>
      <c r="E1908" s="5">
        <v>2023</v>
      </c>
      <c r="F1908" s="5">
        <v>9</v>
      </c>
      <c r="G1908" s="5" t="s">
        <v>54</v>
      </c>
      <c r="H1908" s="5">
        <v>1305008</v>
      </c>
      <c r="I1908" s="5">
        <v>1127476.92</v>
      </c>
      <c r="J1908" s="5">
        <v>15</v>
      </c>
      <c r="K1908" s="5">
        <v>183815</v>
      </c>
      <c r="L1908" s="5">
        <v>1485050</v>
      </c>
      <c r="M1908" s="5">
        <v>177531.08</v>
      </c>
      <c r="N1908" s="5">
        <v>0.13600000000000001</v>
      </c>
      <c r="O1908" s="5">
        <v>1</v>
      </c>
      <c r="P1908" s="5">
        <v>38388</v>
      </c>
    </row>
    <row r="1909" spans="1:16" x14ac:dyDescent="0.3">
      <c r="A1909" s="5">
        <v>8</v>
      </c>
      <c r="B1909" s="5" t="s">
        <v>124</v>
      </c>
      <c r="C1909" s="5">
        <v>5</v>
      </c>
      <c r="D1909" s="5" t="s">
        <v>80</v>
      </c>
      <c r="E1909" s="5">
        <v>2023</v>
      </c>
      <c r="F1909" s="5">
        <v>10</v>
      </c>
      <c r="G1909" s="5" t="s">
        <v>55</v>
      </c>
      <c r="H1909" s="5">
        <v>2188548</v>
      </c>
      <c r="I1909" s="5">
        <v>1914966.7</v>
      </c>
      <c r="J1909" s="5">
        <v>17</v>
      </c>
      <c r="K1909" s="5">
        <v>200937</v>
      </c>
      <c r="L1909" s="5">
        <v>2382240</v>
      </c>
      <c r="M1909" s="5">
        <v>273581.3</v>
      </c>
      <c r="N1909" s="5">
        <v>0.125</v>
      </c>
      <c r="O1909" s="5">
        <v>3</v>
      </c>
      <c r="P1909" s="5">
        <v>20177</v>
      </c>
    </row>
    <row r="1910" spans="1:16" x14ac:dyDescent="0.3">
      <c r="A1910" s="5">
        <v>8</v>
      </c>
      <c r="B1910" s="5" t="s">
        <v>124</v>
      </c>
      <c r="C1910" s="5">
        <v>5</v>
      </c>
      <c r="D1910" s="5" t="s">
        <v>80</v>
      </c>
      <c r="E1910" s="5">
        <v>2023</v>
      </c>
      <c r="F1910" s="5">
        <v>11</v>
      </c>
      <c r="G1910" s="5" t="s">
        <v>56</v>
      </c>
      <c r="H1910" s="5">
        <v>1079355</v>
      </c>
      <c r="I1910" s="5">
        <v>915680.58</v>
      </c>
      <c r="J1910" s="5">
        <v>17</v>
      </c>
      <c r="K1910" s="5">
        <v>134774</v>
      </c>
      <c r="L1910" s="5">
        <v>1209020</v>
      </c>
      <c r="M1910" s="5">
        <v>163674.42000000001</v>
      </c>
      <c r="N1910" s="5">
        <v>0.15160000000000001</v>
      </c>
      <c r="O1910" s="5">
        <v>2</v>
      </c>
      <c r="P1910" s="5">
        <v>48715</v>
      </c>
    </row>
    <row r="1911" spans="1:16" x14ac:dyDescent="0.3">
      <c r="A1911" s="5">
        <v>8</v>
      </c>
      <c r="B1911" s="5" t="s">
        <v>124</v>
      </c>
      <c r="C1911" s="5">
        <v>5</v>
      </c>
      <c r="D1911" s="5" t="s">
        <v>80</v>
      </c>
      <c r="E1911" s="5">
        <v>2023</v>
      </c>
      <c r="F1911" s="5">
        <v>12</v>
      </c>
      <c r="G1911" s="5" t="s">
        <v>57</v>
      </c>
      <c r="H1911" s="5">
        <v>888854</v>
      </c>
      <c r="I1911" s="5">
        <v>823149.04</v>
      </c>
      <c r="J1911" s="5">
        <v>13</v>
      </c>
      <c r="K1911" s="5">
        <v>122382</v>
      </c>
      <c r="L1911" s="5">
        <v>1010910</v>
      </c>
      <c r="M1911" s="5">
        <v>65704.960000000006</v>
      </c>
      <c r="N1911" s="5">
        <v>7.3899999999999993E-2</v>
      </c>
      <c r="O1911" s="5">
        <v>2</v>
      </c>
      <c r="P1911" s="5">
        <v>67573</v>
      </c>
    </row>
    <row r="1912" spans="1:16" x14ac:dyDescent="0.3">
      <c r="A1912" s="5">
        <v>8</v>
      </c>
      <c r="B1912" s="5" t="s">
        <v>124</v>
      </c>
      <c r="C1912" s="5">
        <v>5</v>
      </c>
      <c r="D1912" s="5" t="s">
        <v>80</v>
      </c>
      <c r="E1912" s="5">
        <v>2024</v>
      </c>
      <c r="F1912" s="5">
        <v>1</v>
      </c>
      <c r="G1912" s="5" t="s">
        <v>58</v>
      </c>
      <c r="H1912" s="5">
        <v>697761</v>
      </c>
      <c r="I1912" s="5">
        <v>613663.07999999996</v>
      </c>
      <c r="J1912" s="5">
        <v>19</v>
      </c>
      <c r="K1912" s="5">
        <v>98461</v>
      </c>
      <c r="L1912" s="5">
        <v>795530</v>
      </c>
      <c r="M1912" s="5">
        <v>84097.919999999998</v>
      </c>
      <c r="N1912" s="5">
        <v>0.1205</v>
      </c>
      <c r="O1912" s="5">
        <v>1</v>
      </c>
      <c r="P1912" s="5">
        <v>57261</v>
      </c>
    </row>
    <row r="1913" spans="1:16" x14ac:dyDescent="0.3">
      <c r="A1913" s="5">
        <v>8</v>
      </c>
      <c r="B1913" s="5" t="s">
        <v>124</v>
      </c>
      <c r="C1913" s="5">
        <v>5</v>
      </c>
      <c r="D1913" s="5" t="s">
        <v>80</v>
      </c>
      <c r="E1913" s="5">
        <v>2024</v>
      </c>
      <c r="F1913" s="5">
        <v>2</v>
      </c>
      <c r="G1913" s="5" t="s">
        <v>59</v>
      </c>
      <c r="H1913" s="5">
        <v>433166</v>
      </c>
      <c r="I1913" s="5">
        <v>384308.31</v>
      </c>
      <c r="J1913" s="5">
        <v>8</v>
      </c>
      <c r="K1913" s="5">
        <v>55069</v>
      </c>
      <c r="L1913" s="5">
        <v>488210</v>
      </c>
      <c r="M1913" s="5">
        <v>48857.69</v>
      </c>
      <c r="N1913" s="5">
        <v>0.1128</v>
      </c>
      <c r="O1913" s="5">
        <v>0</v>
      </c>
      <c r="P1913" s="5">
        <v>0</v>
      </c>
    </row>
    <row r="1914" spans="1:16" x14ac:dyDescent="0.3">
      <c r="A1914" s="5">
        <v>8</v>
      </c>
      <c r="B1914" s="5" t="s">
        <v>124</v>
      </c>
      <c r="C1914" s="5">
        <v>5</v>
      </c>
      <c r="D1914" s="5" t="s">
        <v>80</v>
      </c>
      <c r="E1914" s="5">
        <v>2024</v>
      </c>
      <c r="F1914" s="5">
        <v>3</v>
      </c>
      <c r="G1914" s="5" t="s">
        <v>60</v>
      </c>
      <c r="H1914" s="5">
        <v>486456</v>
      </c>
      <c r="I1914" s="5">
        <v>455168.65</v>
      </c>
      <c r="J1914" s="5">
        <v>7</v>
      </c>
      <c r="K1914" s="5">
        <v>126254</v>
      </c>
      <c r="L1914" s="5">
        <v>612610</v>
      </c>
      <c r="M1914" s="5">
        <v>31287.35</v>
      </c>
      <c r="N1914" s="5">
        <v>6.4299999999999996E-2</v>
      </c>
      <c r="O1914" s="5">
        <v>0</v>
      </c>
      <c r="P1914" s="5">
        <v>0</v>
      </c>
    </row>
    <row r="1915" spans="1:16" x14ac:dyDescent="0.3">
      <c r="A1915" s="5">
        <v>8</v>
      </c>
      <c r="B1915" s="5" t="s">
        <v>124</v>
      </c>
      <c r="C1915" s="5">
        <v>5</v>
      </c>
      <c r="D1915" s="5" t="s">
        <v>80</v>
      </c>
      <c r="E1915" s="5">
        <v>2024</v>
      </c>
      <c r="F1915" s="5">
        <v>4</v>
      </c>
      <c r="G1915" s="5" t="s">
        <v>61</v>
      </c>
      <c r="H1915" s="5">
        <v>1391354</v>
      </c>
      <c r="I1915" s="5">
        <v>1126863.48</v>
      </c>
      <c r="J1915" s="5">
        <v>13</v>
      </c>
      <c r="K1915" s="5">
        <v>48421</v>
      </c>
      <c r="L1915" s="5">
        <v>1435010</v>
      </c>
      <c r="M1915" s="5">
        <v>264490.52</v>
      </c>
      <c r="N1915" s="5">
        <v>0.19009999999999999</v>
      </c>
      <c r="O1915" s="5">
        <v>0</v>
      </c>
      <c r="P1915" s="5">
        <v>0</v>
      </c>
    </row>
    <row r="1916" spans="1:16" x14ac:dyDescent="0.3">
      <c r="A1916" s="5">
        <v>8</v>
      </c>
      <c r="B1916" s="5" t="s">
        <v>124</v>
      </c>
      <c r="C1916" s="5">
        <v>5</v>
      </c>
      <c r="D1916" s="5" t="s">
        <v>80</v>
      </c>
      <c r="E1916" s="5">
        <v>2024</v>
      </c>
      <c r="F1916" s="5">
        <v>5</v>
      </c>
      <c r="G1916" s="5" t="s">
        <v>62</v>
      </c>
      <c r="H1916" s="5">
        <v>974961</v>
      </c>
      <c r="I1916" s="5">
        <v>789997.98</v>
      </c>
      <c r="J1916" s="5">
        <v>14</v>
      </c>
      <c r="K1916" s="5">
        <v>37929</v>
      </c>
      <c r="L1916" s="5">
        <v>1008640</v>
      </c>
      <c r="M1916" s="5">
        <v>184963.02</v>
      </c>
      <c r="N1916" s="5">
        <v>0.18970000000000001</v>
      </c>
      <c r="O1916" s="5">
        <v>1</v>
      </c>
      <c r="P1916" s="5">
        <v>4833</v>
      </c>
    </row>
    <row r="1917" spans="1:16" x14ac:dyDescent="0.3">
      <c r="A1917" s="5">
        <v>8</v>
      </c>
      <c r="B1917" s="5" t="s">
        <v>124</v>
      </c>
      <c r="C1917" s="5">
        <v>5</v>
      </c>
      <c r="D1917" s="5" t="s">
        <v>80</v>
      </c>
      <c r="E1917" s="5">
        <v>2024</v>
      </c>
      <c r="F1917" s="5">
        <v>6</v>
      </c>
      <c r="G1917" s="5" t="s">
        <v>63</v>
      </c>
      <c r="H1917" s="5">
        <v>1412850</v>
      </c>
      <c r="I1917" s="5">
        <v>1218112.78</v>
      </c>
      <c r="J1917" s="5">
        <v>18</v>
      </c>
      <c r="K1917" s="5">
        <v>135822</v>
      </c>
      <c r="L1917" s="5">
        <v>1546510</v>
      </c>
      <c r="M1917" s="5">
        <v>194737.22</v>
      </c>
      <c r="N1917" s="5">
        <v>0.13780000000000001</v>
      </c>
      <c r="O1917" s="5">
        <v>1</v>
      </c>
      <c r="P1917" s="5">
        <v>11815</v>
      </c>
    </row>
    <row r="1918" spans="1:16" x14ac:dyDescent="0.3">
      <c r="A1918" s="5">
        <v>8</v>
      </c>
      <c r="B1918" s="5" t="s">
        <v>124</v>
      </c>
      <c r="C1918" s="5">
        <v>5</v>
      </c>
      <c r="D1918" s="5" t="s">
        <v>80</v>
      </c>
      <c r="E1918" s="5">
        <v>2024</v>
      </c>
      <c r="F1918" s="5">
        <v>7</v>
      </c>
      <c r="G1918" s="5" t="s">
        <v>64</v>
      </c>
      <c r="H1918" s="5">
        <v>643045</v>
      </c>
      <c r="I1918" s="5">
        <v>512979.47</v>
      </c>
      <c r="J1918" s="5">
        <v>12</v>
      </c>
      <c r="K1918" s="5">
        <v>59312</v>
      </c>
      <c r="L1918" s="5">
        <v>699080</v>
      </c>
      <c r="M1918" s="5">
        <v>130065.53</v>
      </c>
      <c r="N1918" s="5">
        <v>0.20230000000000001</v>
      </c>
      <c r="O1918" s="5">
        <v>0</v>
      </c>
      <c r="P1918" s="5">
        <v>0</v>
      </c>
    </row>
    <row r="1919" spans="1:16" x14ac:dyDescent="0.3">
      <c r="A1919" s="5">
        <v>8</v>
      </c>
      <c r="B1919" s="5" t="s">
        <v>124</v>
      </c>
      <c r="C1919" s="5">
        <v>5</v>
      </c>
      <c r="D1919" s="5" t="s">
        <v>80</v>
      </c>
      <c r="E1919" s="5">
        <v>2024</v>
      </c>
      <c r="F1919" s="5">
        <v>8</v>
      </c>
      <c r="G1919" s="5" t="s">
        <v>65</v>
      </c>
      <c r="H1919" s="5">
        <v>1417667</v>
      </c>
      <c r="I1919" s="5">
        <v>1156608.03</v>
      </c>
      <c r="J1919" s="5">
        <v>22</v>
      </c>
      <c r="K1919" s="5">
        <v>106356</v>
      </c>
      <c r="L1919" s="5">
        <v>1513260</v>
      </c>
      <c r="M1919" s="5">
        <v>261058.97</v>
      </c>
      <c r="N1919" s="5">
        <v>0.18410000000000001</v>
      </c>
      <c r="O1919" s="5">
        <v>1</v>
      </c>
      <c r="P1919" s="5">
        <v>4556</v>
      </c>
    </row>
    <row r="1920" spans="1:16" x14ac:dyDescent="0.3">
      <c r="A1920" s="5">
        <v>8</v>
      </c>
      <c r="B1920" s="5" t="s">
        <v>124</v>
      </c>
      <c r="C1920" s="5">
        <v>5</v>
      </c>
      <c r="D1920" s="5" t="s">
        <v>80</v>
      </c>
      <c r="E1920" s="5">
        <v>2024</v>
      </c>
      <c r="F1920" s="5">
        <v>9</v>
      </c>
      <c r="G1920" s="5" t="s">
        <v>66</v>
      </c>
      <c r="H1920" s="5">
        <v>786718</v>
      </c>
      <c r="I1920" s="5">
        <v>674246.28</v>
      </c>
      <c r="J1920" s="5">
        <v>13</v>
      </c>
      <c r="K1920" s="5">
        <v>63206</v>
      </c>
      <c r="L1920" s="5">
        <v>845990</v>
      </c>
      <c r="M1920" s="5">
        <v>112471.72</v>
      </c>
      <c r="N1920" s="5">
        <v>0.14299999999999999</v>
      </c>
      <c r="O1920" s="5">
        <v>1</v>
      </c>
      <c r="P1920" s="5">
        <v>9042</v>
      </c>
    </row>
    <row r="1921" spans="1:16" x14ac:dyDescent="0.3">
      <c r="A1921" s="5">
        <v>8</v>
      </c>
      <c r="B1921" s="5" t="s">
        <v>124</v>
      </c>
      <c r="C1921" s="5">
        <v>5</v>
      </c>
      <c r="D1921" s="5" t="s">
        <v>80</v>
      </c>
      <c r="E1921" s="5">
        <v>2024</v>
      </c>
      <c r="F1921" s="5">
        <v>10</v>
      </c>
      <c r="G1921" s="5" t="s">
        <v>67</v>
      </c>
      <c r="H1921" s="5">
        <v>772051</v>
      </c>
      <c r="I1921" s="5">
        <v>590280.66</v>
      </c>
      <c r="J1921" s="5">
        <v>20</v>
      </c>
      <c r="K1921" s="5">
        <v>22146</v>
      </c>
      <c r="L1921" s="5">
        <v>791650</v>
      </c>
      <c r="M1921" s="5">
        <v>181770.34</v>
      </c>
      <c r="N1921" s="5">
        <v>0.2354</v>
      </c>
      <c r="O1921" s="5">
        <v>1</v>
      </c>
      <c r="P1921" s="5">
        <v>1457</v>
      </c>
    </row>
    <row r="1922" spans="1:16" x14ac:dyDescent="0.3">
      <c r="A1922" s="5">
        <v>8</v>
      </c>
      <c r="B1922" s="5" t="s">
        <v>124</v>
      </c>
      <c r="C1922" s="5">
        <v>5</v>
      </c>
      <c r="D1922" s="5" t="s">
        <v>80</v>
      </c>
      <c r="E1922" s="5">
        <v>2024</v>
      </c>
      <c r="F1922" s="5">
        <v>11</v>
      </c>
      <c r="G1922" s="5" t="s">
        <v>68</v>
      </c>
      <c r="H1922" s="5">
        <v>1539187</v>
      </c>
      <c r="I1922" s="5">
        <v>1246980</v>
      </c>
      <c r="J1922" s="5">
        <v>23</v>
      </c>
      <c r="K1922" s="5">
        <v>121160</v>
      </c>
      <c r="L1922" s="5">
        <v>1651480</v>
      </c>
      <c r="M1922" s="5">
        <v>292207</v>
      </c>
      <c r="N1922" s="5">
        <v>0.1898</v>
      </c>
      <c r="O1922" s="5">
        <v>3</v>
      </c>
      <c r="P1922" s="5">
        <v>16991</v>
      </c>
    </row>
    <row r="1923" spans="1:16" x14ac:dyDescent="0.3">
      <c r="A1923" s="5">
        <v>8</v>
      </c>
      <c r="B1923" s="5" t="s">
        <v>124</v>
      </c>
      <c r="C1923" s="5">
        <v>5</v>
      </c>
      <c r="D1923" s="5" t="s">
        <v>80</v>
      </c>
      <c r="E1923" s="5">
        <v>2024</v>
      </c>
      <c r="F1923" s="5">
        <v>12</v>
      </c>
      <c r="G1923" s="5" t="s">
        <v>69</v>
      </c>
      <c r="H1923" s="5">
        <v>2739537</v>
      </c>
      <c r="I1923" s="5">
        <v>2231008.38</v>
      </c>
      <c r="J1923" s="5">
        <v>35</v>
      </c>
      <c r="K1923" s="5">
        <v>120500</v>
      </c>
      <c r="L1923" s="5">
        <v>2857210</v>
      </c>
      <c r="M1923" s="5">
        <v>508528.62</v>
      </c>
      <c r="N1923" s="5">
        <v>0.18559999999999999</v>
      </c>
      <c r="O1923" s="5">
        <v>3</v>
      </c>
      <c r="P1923" s="5">
        <v>25660</v>
      </c>
    </row>
    <row r="1924" spans="1:16" x14ac:dyDescent="0.3">
      <c r="A1924" s="5">
        <v>21</v>
      </c>
      <c r="B1924" s="5" t="s">
        <v>125</v>
      </c>
      <c r="C1924" s="5">
        <v>5</v>
      </c>
      <c r="D1924" s="5" t="s">
        <v>80</v>
      </c>
      <c r="E1924" s="5">
        <v>2021</v>
      </c>
      <c r="F1924" s="5">
        <v>1</v>
      </c>
      <c r="G1924" s="5" t="s">
        <v>22</v>
      </c>
      <c r="H1924" s="5">
        <v>4040089</v>
      </c>
      <c r="I1924" s="5">
        <v>3563069.05</v>
      </c>
      <c r="J1924" s="5">
        <v>56</v>
      </c>
      <c r="K1924" s="5">
        <v>540225</v>
      </c>
      <c r="L1924" s="5">
        <v>4567170</v>
      </c>
      <c r="M1924" s="5">
        <v>477019.95</v>
      </c>
      <c r="N1924" s="5">
        <v>0.1181</v>
      </c>
      <c r="O1924" s="5">
        <v>7</v>
      </c>
      <c r="P1924" s="5">
        <v>153650</v>
      </c>
    </row>
    <row r="1925" spans="1:16" x14ac:dyDescent="0.3">
      <c r="A1925" s="5">
        <v>108</v>
      </c>
      <c r="B1925" s="5" t="s">
        <v>125</v>
      </c>
      <c r="C1925" s="5">
        <v>5</v>
      </c>
      <c r="D1925" s="5" t="s">
        <v>80</v>
      </c>
      <c r="E1925" s="5">
        <v>2021</v>
      </c>
      <c r="F1925" s="5">
        <v>1</v>
      </c>
      <c r="G1925" s="5" t="s">
        <v>22</v>
      </c>
      <c r="H1925" s="5">
        <v>3324477</v>
      </c>
      <c r="I1925" s="5">
        <v>3221949.9</v>
      </c>
      <c r="J1925" s="5">
        <v>56</v>
      </c>
      <c r="K1925" s="5">
        <v>734288</v>
      </c>
      <c r="L1925" s="5">
        <v>4054040</v>
      </c>
      <c r="M1925" s="5">
        <v>102527.1</v>
      </c>
      <c r="N1925" s="5">
        <v>3.0800000000000001E-2</v>
      </c>
      <c r="O1925" s="5">
        <v>6</v>
      </c>
      <c r="P1925" s="5">
        <v>59415</v>
      </c>
    </row>
    <row r="1926" spans="1:16" x14ac:dyDescent="0.3">
      <c r="A1926" s="5">
        <v>21</v>
      </c>
      <c r="B1926" s="5" t="s">
        <v>125</v>
      </c>
      <c r="C1926" s="5">
        <v>5</v>
      </c>
      <c r="D1926" s="5" t="s">
        <v>80</v>
      </c>
      <c r="E1926" s="5">
        <v>2021</v>
      </c>
      <c r="F1926" s="5">
        <v>2</v>
      </c>
      <c r="G1926" s="5" t="s">
        <v>23</v>
      </c>
      <c r="H1926" s="5">
        <v>3320219</v>
      </c>
      <c r="I1926" s="5">
        <v>2784299.27</v>
      </c>
      <c r="J1926" s="5">
        <v>50</v>
      </c>
      <c r="K1926" s="5">
        <v>259878</v>
      </c>
      <c r="L1926" s="5">
        <v>3567840</v>
      </c>
      <c r="M1926" s="5">
        <v>535919.73</v>
      </c>
      <c r="N1926" s="5">
        <v>0.16139999999999999</v>
      </c>
      <c r="O1926" s="5">
        <v>5</v>
      </c>
      <c r="P1926" s="5">
        <v>366592</v>
      </c>
    </row>
    <row r="1927" spans="1:16" x14ac:dyDescent="0.3">
      <c r="A1927" s="5">
        <v>108</v>
      </c>
      <c r="B1927" s="5" t="s">
        <v>125</v>
      </c>
      <c r="C1927" s="5">
        <v>5</v>
      </c>
      <c r="D1927" s="5" t="s">
        <v>80</v>
      </c>
      <c r="E1927" s="5">
        <v>2021</v>
      </c>
      <c r="F1927" s="5">
        <v>2</v>
      </c>
      <c r="G1927" s="5" t="s">
        <v>23</v>
      </c>
      <c r="H1927" s="5">
        <v>5569141</v>
      </c>
      <c r="I1927" s="5">
        <v>4664874.75</v>
      </c>
      <c r="J1927" s="5">
        <v>68</v>
      </c>
      <c r="K1927" s="5">
        <v>468718</v>
      </c>
      <c r="L1927" s="5">
        <v>6020060</v>
      </c>
      <c r="M1927" s="5">
        <v>904266.25</v>
      </c>
      <c r="N1927" s="5">
        <v>0.16239999999999999</v>
      </c>
      <c r="O1927" s="5">
        <v>5</v>
      </c>
      <c r="P1927" s="5">
        <v>47818</v>
      </c>
    </row>
    <row r="1928" spans="1:16" x14ac:dyDescent="0.3">
      <c r="A1928" s="5">
        <v>21</v>
      </c>
      <c r="B1928" s="5" t="s">
        <v>125</v>
      </c>
      <c r="C1928" s="5">
        <v>5</v>
      </c>
      <c r="D1928" s="5" t="s">
        <v>80</v>
      </c>
      <c r="E1928" s="5">
        <v>2021</v>
      </c>
      <c r="F1928" s="5">
        <v>3</v>
      </c>
      <c r="G1928" s="5" t="s">
        <v>24</v>
      </c>
      <c r="H1928" s="5">
        <v>3729582</v>
      </c>
      <c r="I1928" s="5">
        <v>3107099.72</v>
      </c>
      <c r="J1928" s="5">
        <v>40</v>
      </c>
      <c r="K1928" s="5">
        <v>250333</v>
      </c>
      <c r="L1928" s="5">
        <v>3959390</v>
      </c>
      <c r="M1928" s="5">
        <v>622482.28</v>
      </c>
      <c r="N1928" s="5">
        <v>0.16689999999999999</v>
      </c>
      <c r="O1928" s="5">
        <v>5</v>
      </c>
      <c r="P1928" s="5">
        <v>121366</v>
      </c>
    </row>
    <row r="1929" spans="1:16" x14ac:dyDescent="0.3">
      <c r="A1929" s="5">
        <v>108</v>
      </c>
      <c r="B1929" s="5" t="s">
        <v>125</v>
      </c>
      <c r="C1929" s="5">
        <v>5</v>
      </c>
      <c r="D1929" s="5" t="s">
        <v>80</v>
      </c>
      <c r="E1929" s="5">
        <v>2021</v>
      </c>
      <c r="F1929" s="5">
        <v>3</v>
      </c>
      <c r="G1929" s="5" t="s">
        <v>24</v>
      </c>
      <c r="H1929" s="5">
        <v>4896182</v>
      </c>
      <c r="I1929" s="5">
        <v>4109431.88</v>
      </c>
      <c r="J1929" s="5">
        <v>67</v>
      </c>
      <c r="K1929" s="5">
        <v>380909</v>
      </c>
      <c r="L1929" s="5">
        <v>5264170</v>
      </c>
      <c r="M1929" s="5">
        <v>786750.12</v>
      </c>
      <c r="N1929" s="5">
        <v>0.16070000000000001</v>
      </c>
      <c r="O1929" s="5">
        <v>8</v>
      </c>
      <c r="P1929" s="5">
        <v>203480</v>
      </c>
    </row>
    <row r="1930" spans="1:16" x14ac:dyDescent="0.3">
      <c r="A1930" s="5">
        <v>21</v>
      </c>
      <c r="B1930" s="5" t="s">
        <v>125</v>
      </c>
      <c r="C1930" s="5">
        <v>5</v>
      </c>
      <c r="D1930" s="5" t="s">
        <v>80</v>
      </c>
      <c r="E1930" s="5">
        <v>2021</v>
      </c>
      <c r="F1930" s="5">
        <v>4</v>
      </c>
      <c r="G1930" s="5" t="s">
        <v>25</v>
      </c>
      <c r="H1930" s="5">
        <v>3712566</v>
      </c>
      <c r="I1930" s="5">
        <v>3202851.21</v>
      </c>
      <c r="J1930" s="5">
        <v>56</v>
      </c>
      <c r="K1930" s="5">
        <v>455615</v>
      </c>
      <c r="L1930" s="5">
        <v>4152330</v>
      </c>
      <c r="M1930" s="5">
        <v>509714.79</v>
      </c>
      <c r="N1930" s="5">
        <v>0.13730000000000001</v>
      </c>
      <c r="O1930" s="5">
        <v>2</v>
      </c>
      <c r="P1930" s="5">
        <v>202122</v>
      </c>
    </row>
    <row r="1931" spans="1:16" x14ac:dyDescent="0.3">
      <c r="A1931" s="5">
        <v>108</v>
      </c>
      <c r="B1931" s="5" t="s">
        <v>125</v>
      </c>
      <c r="C1931" s="5">
        <v>5</v>
      </c>
      <c r="D1931" s="5" t="s">
        <v>80</v>
      </c>
      <c r="E1931" s="5">
        <v>2021</v>
      </c>
      <c r="F1931" s="5">
        <v>4</v>
      </c>
      <c r="G1931" s="5" t="s">
        <v>25</v>
      </c>
      <c r="H1931" s="5">
        <v>3144678</v>
      </c>
      <c r="I1931" s="5">
        <v>2726741.54</v>
      </c>
      <c r="J1931" s="5">
        <v>65</v>
      </c>
      <c r="K1931" s="5">
        <v>406712</v>
      </c>
      <c r="L1931" s="5">
        <v>3538270</v>
      </c>
      <c r="M1931" s="5">
        <v>417936.46</v>
      </c>
      <c r="N1931" s="5">
        <v>0.13289999999999999</v>
      </c>
      <c r="O1931" s="5">
        <v>5</v>
      </c>
      <c r="P1931" s="5">
        <v>82625</v>
      </c>
    </row>
    <row r="1932" spans="1:16" x14ac:dyDescent="0.3">
      <c r="A1932" s="5">
        <v>21</v>
      </c>
      <c r="B1932" s="5" t="s">
        <v>125</v>
      </c>
      <c r="C1932" s="5">
        <v>5</v>
      </c>
      <c r="D1932" s="5" t="s">
        <v>80</v>
      </c>
      <c r="E1932" s="5">
        <v>2021</v>
      </c>
      <c r="F1932" s="5">
        <v>5</v>
      </c>
      <c r="G1932" s="5" t="s">
        <v>26</v>
      </c>
      <c r="H1932" s="5">
        <v>6008452</v>
      </c>
      <c r="I1932" s="5">
        <v>5208952.37</v>
      </c>
      <c r="J1932" s="5">
        <v>75</v>
      </c>
      <c r="K1932" s="5">
        <v>692708</v>
      </c>
      <c r="L1932" s="5">
        <v>6675560</v>
      </c>
      <c r="M1932" s="5">
        <v>799499.63</v>
      </c>
      <c r="N1932" s="5">
        <v>0.1331</v>
      </c>
      <c r="O1932" s="5">
        <v>3</v>
      </c>
      <c r="P1932" s="5">
        <v>54088</v>
      </c>
    </row>
    <row r="1933" spans="1:16" x14ac:dyDescent="0.3">
      <c r="A1933" s="5">
        <v>108</v>
      </c>
      <c r="B1933" s="5" t="s">
        <v>125</v>
      </c>
      <c r="C1933" s="5">
        <v>5</v>
      </c>
      <c r="D1933" s="5" t="s">
        <v>80</v>
      </c>
      <c r="E1933" s="5">
        <v>2021</v>
      </c>
      <c r="F1933" s="5">
        <v>5</v>
      </c>
      <c r="G1933" s="5" t="s">
        <v>26</v>
      </c>
      <c r="H1933" s="5">
        <v>4707714</v>
      </c>
      <c r="I1933" s="5">
        <v>4241168.58</v>
      </c>
      <c r="J1933" s="5">
        <v>72</v>
      </c>
      <c r="K1933" s="5">
        <v>780878</v>
      </c>
      <c r="L1933" s="5">
        <v>5481850</v>
      </c>
      <c r="M1933" s="5">
        <v>466545.42</v>
      </c>
      <c r="N1933" s="5">
        <v>9.9099999999999994E-2</v>
      </c>
      <c r="O1933" s="5">
        <v>6</v>
      </c>
      <c r="P1933" s="5">
        <v>324632</v>
      </c>
    </row>
    <row r="1934" spans="1:16" x14ac:dyDescent="0.3">
      <c r="A1934" s="5">
        <v>21</v>
      </c>
      <c r="B1934" s="5" t="s">
        <v>125</v>
      </c>
      <c r="C1934" s="5">
        <v>5</v>
      </c>
      <c r="D1934" s="5" t="s">
        <v>80</v>
      </c>
      <c r="E1934" s="5">
        <v>2021</v>
      </c>
      <c r="F1934" s="5">
        <v>6</v>
      </c>
      <c r="G1934" s="5" t="s">
        <v>27</v>
      </c>
      <c r="H1934" s="5">
        <v>4432142</v>
      </c>
      <c r="I1934" s="5">
        <v>3969911.52</v>
      </c>
      <c r="J1934" s="5">
        <v>58</v>
      </c>
      <c r="K1934" s="5">
        <v>673797</v>
      </c>
      <c r="L1934" s="5">
        <v>5092560</v>
      </c>
      <c r="M1934" s="5">
        <v>462230.48</v>
      </c>
      <c r="N1934" s="5">
        <v>0.1043</v>
      </c>
      <c r="O1934" s="5">
        <v>6</v>
      </c>
      <c r="P1934" s="5">
        <v>166995</v>
      </c>
    </row>
    <row r="1935" spans="1:16" x14ac:dyDescent="0.3">
      <c r="A1935" s="5">
        <v>108</v>
      </c>
      <c r="B1935" s="5" t="s">
        <v>125</v>
      </c>
      <c r="C1935" s="5">
        <v>5</v>
      </c>
      <c r="D1935" s="5" t="s">
        <v>80</v>
      </c>
      <c r="E1935" s="5">
        <v>2021</v>
      </c>
      <c r="F1935" s="5">
        <v>6</v>
      </c>
      <c r="G1935" s="5" t="s">
        <v>27</v>
      </c>
      <c r="H1935" s="5">
        <v>5623946</v>
      </c>
      <c r="I1935" s="5">
        <v>4853854.0199999996</v>
      </c>
      <c r="J1935" s="5">
        <v>71</v>
      </c>
      <c r="K1935" s="5">
        <v>616487</v>
      </c>
      <c r="L1935" s="5">
        <v>6216700</v>
      </c>
      <c r="M1935" s="5">
        <v>770091.98</v>
      </c>
      <c r="N1935" s="5">
        <v>0.13689999999999999</v>
      </c>
      <c r="O1935" s="5">
        <v>7</v>
      </c>
      <c r="P1935" s="5">
        <v>123887</v>
      </c>
    </row>
    <row r="1936" spans="1:16" x14ac:dyDescent="0.3">
      <c r="A1936" s="5">
        <v>21</v>
      </c>
      <c r="B1936" s="5" t="s">
        <v>125</v>
      </c>
      <c r="C1936" s="5">
        <v>5</v>
      </c>
      <c r="D1936" s="5" t="s">
        <v>80</v>
      </c>
      <c r="E1936" s="5">
        <v>2021</v>
      </c>
      <c r="F1936" s="5">
        <v>7</v>
      </c>
      <c r="G1936" s="5" t="s">
        <v>28</v>
      </c>
      <c r="H1936" s="5">
        <v>4145541</v>
      </c>
      <c r="I1936" s="5">
        <v>3707354.29</v>
      </c>
      <c r="J1936" s="5">
        <v>50</v>
      </c>
      <c r="K1936" s="5">
        <v>618999</v>
      </c>
      <c r="L1936" s="5">
        <v>4747830</v>
      </c>
      <c r="M1936" s="5">
        <v>438186.71</v>
      </c>
      <c r="N1936" s="5">
        <v>0.1057</v>
      </c>
      <c r="O1936" s="5">
        <v>4</v>
      </c>
      <c r="P1936" s="5">
        <v>22591</v>
      </c>
    </row>
    <row r="1937" spans="1:16" x14ac:dyDescent="0.3">
      <c r="A1937" s="5">
        <v>108</v>
      </c>
      <c r="B1937" s="5" t="s">
        <v>125</v>
      </c>
      <c r="C1937" s="5">
        <v>5</v>
      </c>
      <c r="D1937" s="5" t="s">
        <v>80</v>
      </c>
      <c r="E1937" s="5">
        <v>2021</v>
      </c>
      <c r="F1937" s="5">
        <v>7</v>
      </c>
      <c r="G1937" s="5" t="s">
        <v>28</v>
      </c>
      <c r="H1937" s="5">
        <v>4277407</v>
      </c>
      <c r="I1937" s="5">
        <v>3790164.71</v>
      </c>
      <c r="J1937" s="5">
        <v>69</v>
      </c>
      <c r="K1937" s="5">
        <v>625987</v>
      </c>
      <c r="L1937" s="5">
        <v>4880970</v>
      </c>
      <c r="M1937" s="5">
        <v>487242.29</v>
      </c>
      <c r="N1937" s="5">
        <v>0.1139</v>
      </c>
      <c r="O1937" s="5">
        <v>5</v>
      </c>
      <c r="P1937" s="5">
        <v>187343</v>
      </c>
    </row>
    <row r="1938" spans="1:16" x14ac:dyDescent="0.3">
      <c r="A1938" s="5">
        <v>21</v>
      </c>
      <c r="B1938" s="5" t="s">
        <v>125</v>
      </c>
      <c r="C1938" s="5">
        <v>5</v>
      </c>
      <c r="D1938" s="5" t="s">
        <v>80</v>
      </c>
      <c r="E1938" s="5">
        <v>2021</v>
      </c>
      <c r="F1938" s="5">
        <v>8</v>
      </c>
      <c r="G1938" s="5" t="s">
        <v>29</v>
      </c>
      <c r="H1938" s="5">
        <v>3157816</v>
      </c>
      <c r="I1938" s="5">
        <v>2711529.25</v>
      </c>
      <c r="J1938" s="5">
        <v>53</v>
      </c>
      <c r="K1938" s="5">
        <v>336486</v>
      </c>
      <c r="L1938" s="5">
        <v>3484440</v>
      </c>
      <c r="M1938" s="5">
        <v>446286.75</v>
      </c>
      <c r="N1938" s="5">
        <v>0.14130000000000001</v>
      </c>
      <c r="O1938" s="5">
        <v>4</v>
      </c>
      <c r="P1938" s="5">
        <v>131779</v>
      </c>
    </row>
    <row r="1939" spans="1:16" x14ac:dyDescent="0.3">
      <c r="A1939" s="5">
        <v>108</v>
      </c>
      <c r="B1939" s="5" t="s">
        <v>125</v>
      </c>
      <c r="C1939" s="5">
        <v>5</v>
      </c>
      <c r="D1939" s="5" t="s">
        <v>80</v>
      </c>
      <c r="E1939" s="5">
        <v>2021</v>
      </c>
      <c r="F1939" s="5">
        <v>8</v>
      </c>
      <c r="G1939" s="5" t="s">
        <v>29</v>
      </c>
      <c r="H1939" s="5">
        <v>5040750</v>
      </c>
      <c r="I1939" s="5">
        <v>4249226.28</v>
      </c>
      <c r="J1939" s="5">
        <v>94</v>
      </c>
      <c r="K1939" s="5">
        <v>473994</v>
      </c>
      <c r="L1939" s="5">
        <v>5497210</v>
      </c>
      <c r="M1939" s="5">
        <v>791523.72</v>
      </c>
      <c r="N1939" s="5">
        <v>0.157</v>
      </c>
      <c r="O1939" s="5">
        <v>9</v>
      </c>
      <c r="P1939" s="5">
        <v>168277</v>
      </c>
    </row>
    <row r="1940" spans="1:16" x14ac:dyDescent="0.3">
      <c r="A1940" s="5">
        <v>21</v>
      </c>
      <c r="B1940" s="5" t="s">
        <v>125</v>
      </c>
      <c r="C1940" s="5">
        <v>5</v>
      </c>
      <c r="D1940" s="5" t="s">
        <v>80</v>
      </c>
      <c r="E1940" s="5">
        <v>2021</v>
      </c>
      <c r="F1940" s="5">
        <v>9</v>
      </c>
      <c r="G1940" s="5" t="s">
        <v>30</v>
      </c>
      <c r="H1940" s="5">
        <v>4302171</v>
      </c>
      <c r="I1940" s="5">
        <v>3728524.48</v>
      </c>
      <c r="J1940" s="5">
        <v>52</v>
      </c>
      <c r="K1940" s="5">
        <v>416951</v>
      </c>
      <c r="L1940" s="5">
        <v>4706270</v>
      </c>
      <c r="M1940" s="5">
        <v>573646.52</v>
      </c>
      <c r="N1940" s="5">
        <v>0.1333</v>
      </c>
      <c r="O1940" s="5">
        <v>4</v>
      </c>
      <c r="P1940" s="5">
        <v>84030</v>
      </c>
    </row>
    <row r="1941" spans="1:16" x14ac:dyDescent="0.3">
      <c r="A1941" s="5">
        <v>108</v>
      </c>
      <c r="B1941" s="5" t="s">
        <v>125</v>
      </c>
      <c r="C1941" s="5">
        <v>5</v>
      </c>
      <c r="D1941" s="5" t="s">
        <v>80</v>
      </c>
      <c r="E1941" s="5">
        <v>2021</v>
      </c>
      <c r="F1941" s="5">
        <v>9</v>
      </c>
      <c r="G1941" s="5" t="s">
        <v>30</v>
      </c>
      <c r="H1941" s="5">
        <v>4775059</v>
      </c>
      <c r="I1941" s="5">
        <v>3997011.27</v>
      </c>
      <c r="J1941" s="5">
        <v>74</v>
      </c>
      <c r="K1941" s="5">
        <v>438109</v>
      </c>
      <c r="L1941" s="5">
        <v>5186530</v>
      </c>
      <c r="M1941" s="5">
        <v>778047.73</v>
      </c>
      <c r="N1941" s="5">
        <v>0.16289999999999999</v>
      </c>
      <c r="O1941" s="5">
        <v>4</v>
      </c>
      <c r="P1941" s="5">
        <v>116061</v>
      </c>
    </row>
    <row r="1942" spans="1:16" x14ac:dyDescent="0.3">
      <c r="A1942" s="5">
        <v>21</v>
      </c>
      <c r="B1942" s="5" t="s">
        <v>125</v>
      </c>
      <c r="C1942" s="5">
        <v>5</v>
      </c>
      <c r="D1942" s="5" t="s">
        <v>80</v>
      </c>
      <c r="E1942" s="5">
        <v>2021</v>
      </c>
      <c r="F1942" s="5">
        <v>10</v>
      </c>
      <c r="G1942" s="5" t="s">
        <v>31</v>
      </c>
      <c r="H1942" s="5">
        <v>6027350</v>
      </c>
      <c r="I1942" s="5">
        <v>4991233.74</v>
      </c>
      <c r="J1942" s="5">
        <v>79</v>
      </c>
      <c r="K1942" s="5">
        <v>432077</v>
      </c>
      <c r="L1942" s="5">
        <v>6434740</v>
      </c>
      <c r="M1942" s="5">
        <v>1036116.26</v>
      </c>
      <c r="N1942" s="5">
        <v>0.1719</v>
      </c>
      <c r="O1942" s="5">
        <v>6</v>
      </c>
      <c r="P1942" s="5">
        <v>347217</v>
      </c>
    </row>
    <row r="1943" spans="1:16" x14ac:dyDescent="0.3">
      <c r="A1943" s="5">
        <v>108</v>
      </c>
      <c r="B1943" s="5" t="s">
        <v>125</v>
      </c>
      <c r="C1943" s="5">
        <v>5</v>
      </c>
      <c r="D1943" s="5" t="s">
        <v>80</v>
      </c>
      <c r="E1943" s="5">
        <v>2021</v>
      </c>
      <c r="F1943" s="5">
        <v>10</v>
      </c>
      <c r="G1943" s="5" t="s">
        <v>31</v>
      </c>
      <c r="H1943" s="5">
        <v>7741602</v>
      </c>
      <c r="I1943" s="5">
        <v>6736129.6399999997</v>
      </c>
      <c r="J1943" s="5">
        <v>98</v>
      </c>
      <c r="K1943" s="5">
        <v>888938</v>
      </c>
      <c r="L1943" s="5">
        <v>8614650</v>
      </c>
      <c r="M1943" s="5">
        <v>1005472.36</v>
      </c>
      <c r="N1943" s="5">
        <v>0.12989999999999999</v>
      </c>
      <c r="O1943" s="5">
        <v>7</v>
      </c>
      <c r="P1943" s="5">
        <v>58043</v>
      </c>
    </row>
    <row r="1944" spans="1:16" x14ac:dyDescent="0.3">
      <c r="A1944" s="5">
        <v>21</v>
      </c>
      <c r="B1944" s="5" t="s">
        <v>125</v>
      </c>
      <c r="C1944" s="5">
        <v>5</v>
      </c>
      <c r="D1944" s="5" t="s">
        <v>80</v>
      </c>
      <c r="E1944" s="5">
        <v>2021</v>
      </c>
      <c r="F1944" s="5">
        <v>11</v>
      </c>
      <c r="G1944" s="5" t="s">
        <v>32</v>
      </c>
      <c r="H1944" s="5">
        <v>5800704</v>
      </c>
      <c r="I1944" s="5">
        <v>4854381.71</v>
      </c>
      <c r="J1944" s="5">
        <v>86</v>
      </c>
      <c r="K1944" s="5">
        <v>410258</v>
      </c>
      <c r="L1944" s="5">
        <v>6180860</v>
      </c>
      <c r="M1944" s="5">
        <v>946322.29</v>
      </c>
      <c r="N1944" s="5">
        <v>0.16309999999999999</v>
      </c>
      <c r="O1944" s="5">
        <v>4</v>
      </c>
      <c r="P1944" s="5">
        <v>42357</v>
      </c>
    </row>
    <row r="1945" spans="1:16" x14ac:dyDescent="0.3">
      <c r="A1945" s="5">
        <v>108</v>
      </c>
      <c r="B1945" s="5" t="s">
        <v>125</v>
      </c>
      <c r="C1945" s="5">
        <v>5</v>
      </c>
      <c r="D1945" s="5" t="s">
        <v>80</v>
      </c>
      <c r="E1945" s="5">
        <v>2021</v>
      </c>
      <c r="F1945" s="5">
        <v>11</v>
      </c>
      <c r="G1945" s="5" t="s">
        <v>32</v>
      </c>
      <c r="H1945" s="5">
        <v>6692127</v>
      </c>
      <c r="I1945" s="5">
        <v>5427868.8700000001</v>
      </c>
      <c r="J1945" s="5">
        <v>105</v>
      </c>
      <c r="K1945" s="5">
        <v>295950</v>
      </c>
      <c r="L1945" s="5">
        <v>6941290</v>
      </c>
      <c r="M1945" s="5">
        <v>1264258.1299999999</v>
      </c>
      <c r="N1945" s="5">
        <v>0.18890000000000001</v>
      </c>
      <c r="O1945" s="5">
        <v>9</v>
      </c>
      <c r="P1945" s="5">
        <v>510079</v>
      </c>
    </row>
    <row r="1946" spans="1:16" x14ac:dyDescent="0.3">
      <c r="A1946" s="5">
        <v>21</v>
      </c>
      <c r="B1946" s="5" t="s">
        <v>125</v>
      </c>
      <c r="C1946" s="5">
        <v>5</v>
      </c>
      <c r="D1946" s="5" t="s">
        <v>80</v>
      </c>
      <c r="E1946" s="5">
        <v>2021</v>
      </c>
      <c r="F1946" s="5">
        <v>12</v>
      </c>
      <c r="G1946" s="5" t="s">
        <v>33</v>
      </c>
      <c r="H1946" s="5">
        <v>4436968</v>
      </c>
      <c r="I1946" s="5">
        <v>3734917.22</v>
      </c>
      <c r="J1946" s="5">
        <v>73</v>
      </c>
      <c r="K1946" s="5">
        <v>349534</v>
      </c>
      <c r="L1946" s="5">
        <v>4768720</v>
      </c>
      <c r="M1946" s="5">
        <v>702050.78</v>
      </c>
      <c r="N1946" s="5">
        <v>0.15820000000000001</v>
      </c>
      <c r="O1946" s="5">
        <v>8</v>
      </c>
      <c r="P1946" s="5">
        <v>178996</v>
      </c>
    </row>
    <row r="1947" spans="1:16" x14ac:dyDescent="0.3">
      <c r="A1947" s="5">
        <v>108</v>
      </c>
      <c r="B1947" s="5" t="s">
        <v>125</v>
      </c>
      <c r="C1947" s="5">
        <v>5</v>
      </c>
      <c r="D1947" s="5" t="s">
        <v>80</v>
      </c>
      <c r="E1947" s="5">
        <v>2021</v>
      </c>
      <c r="F1947" s="5">
        <v>12</v>
      </c>
      <c r="G1947" s="5" t="s">
        <v>33</v>
      </c>
      <c r="H1947" s="5">
        <v>7503827</v>
      </c>
      <c r="I1947" s="5">
        <v>6347620.5700000003</v>
      </c>
      <c r="J1947" s="5">
        <v>103</v>
      </c>
      <c r="K1947" s="5">
        <v>677711</v>
      </c>
      <c r="L1947" s="5">
        <v>8159590</v>
      </c>
      <c r="M1947" s="5">
        <v>1156206.43</v>
      </c>
      <c r="N1947" s="5">
        <v>0.15409999999999999</v>
      </c>
      <c r="O1947" s="5">
        <v>5</v>
      </c>
      <c r="P1947" s="5">
        <v>95777</v>
      </c>
    </row>
    <row r="1948" spans="1:16" x14ac:dyDescent="0.3">
      <c r="A1948" s="5">
        <v>21</v>
      </c>
      <c r="B1948" s="5" t="s">
        <v>125</v>
      </c>
      <c r="C1948" s="5">
        <v>5</v>
      </c>
      <c r="D1948" s="5" t="s">
        <v>80</v>
      </c>
      <c r="E1948" s="5">
        <v>2022</v>
      </c>
      <c r="F1948" s="5">
        <v>1</v>
      </c>
      <c r="G1948" s="5" t="s">
        <v>34</v>
      </c>
      <c r="H1948" s="5">
        <v>5641136</v>
      </c>
      <c r="I1948" s="5">
        <v>4901727.1399999997</v>
      </c>
      <c r="J1948" s="5">
        <v>64</v>
      </c>
      <c r="K1948" s="5">
        <v>600162</v>
      </c>
      <c r="L1948" s="5">
        <v>6228750</v>
      </c>
      <c r="M1948" s="5">
        <v>739408.86</v>
      </c>
      <c r="N1948" s="5">
        <v>0.13109999999999999</v>
      </c>
      <c r="O1948" s="5">
        <v>8</v>
      </c>
      <c r="P1948" s="5">
        <v>92792</v>
      </c>
    </row>
    <row r="1949" spans="1:16" x14ac:dyDescent="0.3">
      <c r="A1949" s="5">
        <v>108</v>
      </c>
      <c r="B1949" s="5" t="s">
        <v>125</v>
      </c>
      <c r="C1949" s="5">
        <v>5</v>
      </c>
      <c r="D1949" s="5" t="s">
        <v>80</v>
      </c>
      <c r="E1949" s="5">
        <v>2022</v>
      </c>
      <c r="F1949" s="5">
        <v>1</v>
      </c>
      <c r="G1949" s="5" t="s">
        <v>34</v>
      </c>
      <c r="H1949" s="5">
        <v>7049674</v>
      </c>
      <c r="I1949" s="5">
        <v>5985641.6900000004</v>
      </c>
      <c r="J1949" s="5">
        <v>93</v>
      </c>
      <c r="K1949" s="5">
        <v>644460</v>
      </c>
      <c r="L1949" s="5">
        <v>7682380</v>
      </c>
      <c r="M1949" s="5">
        <v>1064032.31</v>
      </c>
      <c r="N1949" s="5">
        <v>0.15090000000000001</v>
      </c>
      <c r="O1949" s="5">
        <v>2</v>
      </c>
      <c r="P1949" s="5">
        <v>43069</v>
      </c>
    </row>
    <row r="1950" spans="1:16" x14ac:dyDescent="0.3">
      <c r="A1950" s="5">
        <v>21</v>
      </c>
      <c r="B1950" s="5" t="s">
        <v>125</v>
      </c>
      <c r="C1950" s="5">
        <v>5</v>
      </c>
      <c r="D1950" s="5" t="s">
        <v>80</v>
      </c>
      <c r="E1950" s="5">
        <v>2022</v>
      </c>
      <c r="F1950" s="5">
        <v>2</v>
      </c>
      <c r="G1950" s="5" t="s">
        <v>35</v>
      </c>
      <c r="H1950" s="5">
        <v>5349515</v>
      </c>
      <c r="I1950" s="5">
        <v>4473200.43</v>
      </c>
      <c r="J1950" s="5">
        <v>73</v>
      </c>
      <c r="K1950" s="5">
        <v>419107</v>
      </c>
      <c r="L1950" s="5">
        <v>5755590</v>
      </c>
      <c r="M1950" s="5">
        <v>876314.57</v>
      </c>
      <c r="N1950" s="5">
        <v>0.1638</v>
      </c>
      <c r="O1950" s="5">
        <v>8</v>
      </c>
      <c r="P1950" s="5">
        <v>388312</v>
      </c>
    </row>
    <row r="1951" spans="1:16" x14ac:dyDescent="0.3">
      <c r="A1951" s="5">
        <v>108</v>
      </c>
      <c r="B1951" s="5" t="s">
        <v>125</v>
      </c>
      <c r="C1951" s="5">
        <v>5</v>
      </c>
      <c r="D1951" s="5" t="s">
        <v>80</v>
      </c>
      <c r="E1951" s="5">
        <v>2022</v>
      </c>
      <c r="F1951" s="5">
        <v>2</v>
      </c>
      <c r="G1951" s="5" t="s">
        <v>35</v>
      </c>
      <c r="H1951" s="5">
        <v>5896890</v>
      </c>
      <c r="I1951" s="5">
        <v>4912355.4000000004</v>
      </c>
      <c r="J1951" s="5">
        <v>92</v>
      </c>
      <c r="K1951" s="5">
        <v>379302</v>
      </c>
      <c r="L1951" s="5">
        <v>6243010</v>
      </c>
      <c r="M1951" s="5">
        <v>984534.6</v>
      </c>
      <c r="N1951" s="5">
        <v>0.16700000000000001</v>
      </c>
      <c r="O1951" s="5">
        <v>5</v>
      </c>
      <c r="P1951" s="5">
        <v>20308</v>
      </c>
    </row>
    <row r="1952" spans="1:16" x14ac:dyDescent="0.3">
      <c r="A1952" s="5">
        <v>21</v>
      </c>
      <c r="B1952" s="5" t="s">
        <v>125</v>
      </c>
      <c r="C1952" s="5">
        <v>5</v>
      </c>
      <c r="D1952" s="5" t="s">
        <v>80</v>
      </c>
      <c r="E1952" s="5">
        <v>2022</v>
      </c>
      <c r="F1952" s="5">
        <v>3</v>
      </c>
      <c r="G1952" s="5" t="s">
        <v>36</v>
      </c>
      <c r="H1952" s="5">
        <v>6584814</v>
      </c>
      <c r="I1952" s="5">
        <v>5693819.4400000004</v>
      </c>
      <c r="J1952" s="5">
        <v>78</v>
      </c>
      <c r="K1952" s="5">
        <v>690947</v>
      </c>
      <c r="L1952" s="5">
        <v>7243310</v>
      </c>
      <c r="M1952" s="5">
        <v>890994.56</v>
      </c>
      <c r="N1952" s="5">
        <v>0.1353</v>
      </c>
      <c r="O1952" s="5">
        <v>4</v>
      </c>
      <c r="P1952" s="5">
        <v>212896</v>
      </c>
    </row>
    <row r="1953" spans="1:16" x14ac:dyDescent="0.3">
      <c r="A1953" s="5">
        <v>108</v>
      </c>
      <c r="B1953" s="5" t="s">
        <v>125</v>
      </c>
      <c r="C1953" s="5">
        <v>5</v>
      </c>
      <c r="D1953" s="5" t="s">
        <v>80</v>
      </c>
      <c r="E1953" s="5">
        <v>2022</v>
      </c>
      <c r="F1953" s="5">
        <v>3</v>
      </c>
      <c r="G1953" s="5" t="s">
        <v>36</v>
      </c>
      <c r="H1953" s="5">
        <v>6450713</v>
      </c>
      <c r="I1953" s="5">
        <v>5765017.4400000004</v>
      </c>
      <c r="J1953" s="5">
        <v>79</v>
      </c>
      <c r="K1953" s="5">
        <v>888861</v>
      </c>
      <c r="L1953" s="5">
        <v>7319640</v>
      </c>
      <c r="M1953" s="5">
        <v>685695.56</v>
      </c>
      <c r="N1953" s="5">
        <v>0.10630000000000001</v>
      </c>
      <c r="O1953" s="5">
        <v>6</v>
      </c>
      <c r="P1953" s="5">
        <v>233487</v>
      </c>
    </row>
    <row r="1954" spans="1:16" x14ac:dyDescent="0.3">
      <c r="A1954" s="5">
        <v>21</v>
      </c>
      <c r="B1954" s="5" t="s">
        <v>125</v>
      </c>
      <c r="C1954" s="5">
        <v>5</v>
      </c>
      <c r="D1954" s="5" t="s">
        <v>80</v>
      </c>
      <c r="E1954" s="5">
        <v>2022</v>
      </c>
      <c r="F1954" s="5">
        <v>4</v>
      </c>
      <c r="G1954" s="5" t="s">
        <v>37</v>
      </c>
      <c r="H1954" s="5">
        <v>5603113</v>
      </c>
      <c r="I1954" s="5">
        <v>5079861.25</v>
      </c>
      <c r="J1954" s="5">
        <v>68</v>
      </c>
      <c r="K1954" s="5">
        <v>830450</v>
      </c>
      <c r="L1954" s="5">
        <v>6424010</v>
      </c>
      <c r="M1954" s="5">
        <v>523251.75</v>
      </c>
      <c r="N1954" s="5">
        <v>9.3399999999999997E-2</v>
      </c>
      <c r="O1954" s="5">
        <v>5</v>
      </c>
      <c r="P1954" s="5">
        <v>249706</v>
      </c>
    </row>
    <row r="1955" spans="1:16" x14ac:dyDescent="0.3">
      <c r="A1955" s="5">
        <v>108</v>
      </c>
      <c r="B1955" s="5" t="s">
        <v>125</v>
      </c>
      <c r="C1955" s="5">
        <v>5</v>
      </c>
      <c r="D1955" s="5" t="s">
        <v>80</v>
      </c>
      <c r="E1955" s="5">
        <v>2022</v>
      </c>
      <c r="F1955" s="5">
        <v>4</v>
      </c>
      <c r="G1955" s="5" t="s">
        <v>37</v>
      </c>
      <c r="H1955" s="5">
        <v>4982162</v>
      </c>
      <c r="I1955" s="5">
        <v>4294533.8499999996</v>
      </c>
      <c r="J1955" s="5">
        <v>90</v>
      </c>
      <c r="K1955" s="5">
        <v>611665</v>
      </c>
      <c r="L1955" s="5">
        <v>5571630</v>
      </c>
      <c r="M1955" s="5">
        <v>687628.15</v>
      </c>
      <c r="N1955" s="5">
        <v>0.13800000000000001</v>
      </c>
      <c r="O1955" s="5">
        <v>11</v>
      </c>
      <c r="P1955" s="5">
        <v>207792</v>
      </c>
    </row>
    <row r="1956" spans="1:16" x14ac:dyDescent="0.3">
      <c r="A1956" s="5">
        <v>21</v>
      </c>
      <c r="B1956" s="5" t="s">
        <v>125</v>
      </c>
      <c r="C1956" s="5">
        <v>5</v>
      </c>
      <c r="D1956" s="5" t="s">
        <v>80</v>
      </c>
      <c r="E1956" s="5">
        <v>2022</v>
      </c>
      <c r="F1956" s="5">
        <v>5</v>
      </c>
      <c r="G1956" s="5" t="s">
        <v>38</v>
      </c>
      <c r="H1956" s="5">
        <v>7257992</v>
      </c>
      <c r="I1956" s="5">
        <v>6348500.1100000003</v>
      </c>
      <c r="J1956" s="5">
        <v>97</v>
      </c>
      <c r="K1956" s="5">
        <v>888997</v>
      </c>
      <c r="L1956" s="5">
        <v>8113930</v>
      </c>
      <c r="M1956" s="5">
        <v>909491.89</v>
      </c>
      <c r="N1956" s="5">
        <v>0.12529999999999999</v>
      </c>
      <c r="O1956" s="5">
        <v>8</v>
      </c>
      <c r="P1956" s="5">
        <v>468054</v>
      </c>
    </row>
    <row r="1957" spans="1:16" x14ac:dyDescent="0.3">
      <c r="A1957" s="5">
        <v>108</v>
      </c>
      <c r="B1957" s="5" t="s">
        <v>125</v>
      </c>
      <c r="C1957" s="5">
        <v>5</v>
      </c>
      <c r="D1957" s="5" t="s">
        <v>80</v>
      </c>
      <c r="E1957" s="5">
        <v>2022</v>
      </c>
      <c r="F1957" s="5">
        <v>5</v>
      </c>
      <c r="G1957" s="5" t="s">
        <v>38</v>
      </c>
      <c r="H1957" s="5">
        <v>5156113</v>
      </c>
      <c r="I1957" s="5">
        <v>4441306.51</v>
      </c>
      <c r="J1957" s="5">
        <v>90</v>
      </c>
      <c r="K1957" s="5">
        <v>682545</v>
      </c>
      <c r="L1957" s="5">
        <v>5826670</v>
      </c>
      <c r="M1957" s="5">
        <v>714806.49</v>
      </c>
      <c r="N1957" s="5">
        <v>0.1386</v>
      </c>
      <c r="O1957" s="5">
        <v>10</v>
      </c>
      <c r="P1957" s="5">
        <v>274719</v>
      </c>
    </row>
    <row r="1958" spans="1:16" x14ac:dyDescent="0.3">
      <c r="A1958" s="5">
        <v>21</v>
      </c>
      <c r="B1958" s="5" t="s">
        <v>125</v>
      </c>
      <c r="C1958" s="5">
        <v>5</v>
      </c>
      <c r="D1958" s="5" t="s">
        <v>80</v>
      </c>
      <c r="E1958" s="5">
        <v>2022</v>
      </c>
      <c r="F1958" s="5">
        <v>6</v>
      </c>
      <c r="G1958" s="5" t="s">
        <v>39</v>
      </c>
      <c r="H1958" s="5">
        <v>4808220</v>
      </c>
      <c r="I1958" s="5">
        <v>4255145.71</v>
      </c>
      <c r="J1958" s="5">
        <v>72</v>
      </c>
      <c r="K1958" s="5">
        <v>633209</v>
      </c>
      <c r="L1958" s="5">
        <v>5428800</v>
      </c>
      <c r="M1958" s="5">
        <v>553074.29</v>
      </c>
      <c r="N1958" s="5">
        <v>0.115</v>
      </c>
      <c r="O1958" s="5">
        <v>2</v>
      </c>
      <c r="P1958" s="5">
        <v>33312</v>
      </c>
    </row>
    <row r="1959" spans="1:16" x14ac:dyDescent="0.3">
      <c r="A1959" s="5">
        <v>108</v>
      </c>
      <c r="B1959" s="5" t="s">
        <v>125</v>
      </c>
      <c r="C1959" s="5">
        <v>5</v>
      </c>
      <c r="D1959" s="5" t="s">
        <v>80</v>
      </c>
      <c r="E1959" s="5">
        <v>2022</v>
      </c>
      <c r="F1959" s="5">
        <v>6</v>
      </c>
      <c r="G1959" s="5" t="s">
        <v>39</v>
      </c>
      <c r="H1959" s="5">
        <v>7464675</v>
      </c>
      <c r="I1959" s="5">
        <v>6561896.6299999999</v>
      </c>
      <c r="J1959" s="5">
        <v>93</v>
      </c>
      <c r="K1959" s="5">
        <v>961671</v>
      </c>
      <c r="L1959" s="5">
        <v>8415270</v>
      </c>
      <c r="M1959" s="5">
        <v>902778.37</v>
      </c>
      <c r="N1959" s="5">
        <v>0.12089999999999999</v>
      </c>
      <c r="O1959" s="5">
        <v>11</v>
      </c>
      <c r="P1959" s="5">
        <v>190676</v>
      </c>
    </row>
    <row r="1960" spans="1:16" x14ac:dyDescent="0.3">
      <c r="A1960" s="5">
        <v>21</v>
      </c>
      <c r="B1960" s="5" t="s">
        <v>125</v>
      </c>
      <c r="C1960" s="5">
        <v>5</v>
      </c>
      <c r="D1960" s="5" t="s">
        <v>80</v>
      </c>
      <c r="E1960" s="5">
        <v>2022</v>
      </c>
      <c r="F1960" s="5">
        <v>7</v>
      </c>
      <c r="G1960" s="5" t="s">
        <v>40</v>
      </c>
      <c r="H1960" s="5">
        <v>4940001</v>
      </c>
      <c r="I1960" s="5">
        <v>4332165.91</v>
      </c>
      <c r="J1960" s="5">
        <v>68</v>
      </c>
      <c r="K1960" s="5">
        <v>659634</v>
      </c>
      <c r="L1960" s="5">
        <v>5582510</v>
      </c>
      <c r="M1960" s="5">
        <v>607835.09</v>
      </c>
      <c r="N1960" s="5">
        <v>0.123</v>
      </c>
      <c r="O1960" s="5">
        <v>5</v>
      </c>
      <c r="P1960" s="5">
        <v>240041</v>
      </c>
    </row>
    <row r="1961" spans="1:16" x14ac:dyDescent="0.3">
      <c r="A1961" s="5">
        <v>108</v>
      </c>
      <c r="B1961" s="5" t="s">
        <v>125</v>
      </c>
      <c r="C1961" s="5">
        <v>5</v>
      </c>
      <c r="D1961" s="5" t="s">
        <v>80</v>
      </c>
      <c r="E1961" s="5">
        <v>2022</v>
      </c>
      <c r="F1961" s="5">
        <v>7</v>
      </c>
      <c r="G1961" s="5" t="s">
        <v>40</v>
      </c>
      <c r="H1961" s="5">
        <v>6103978</v>
      </c>
      <c r="I1961" s="5">
        <v>5355286.43</v>
      </c>
      <c r="J1961" s="5">
        <v>101</v>
      </c>
      <c r="K1961" s="5">
        <v>855744</v>
      </c>
      <c r="L1961" s="5">
        <v>6936560</v>
      </c>
      <c r="M1961" s="5">
        <v>748691.57</v>
      </c>
      <c r="N1961" s="5">
        <v>0.1227</v>
      </c>
      <c r="O1961" s="5">
        <v>9</v>
      </c>
      <c r="P1961" s="5">
        <v>302942</v>
      </c>
    </row>
    <row r="1962" spans="1:16" x14ac:dyDescent="0.3">
      <c r="A1962" s="5">
        <v>21</v>
      </c>
      <c r="B1962" s="5" t="s">
        <v>125</v>
      </c>
      <c r="C1962" s="5">
        <v>5</v>
      </c>
      <c r="D1962" s="5" t="s">
        <v>80</v>
      </c>
      <c r="E1962" s="5">
        <v>2022</v>
      </c>
      <c r="F1962" s="5">
        <v>8</v>
      </c>
      <c r="G1962" s="5" t="s">
        <v>41</v>
      </c>
      <c r="H1962" s="5">
        <v>4684389</v>
      </c>
      <c r="I1962" s="5">
        <v>4447195.45</v>
      </c>
      <c r="J1962" s="5">
        <v>77</v>
      </c>
      <c r="K1962" s="5">
        <v>993782</v>
      </c>
      <c r="L1962" s="5">
        <v>5667010</v>
      </c>
      <c r="M1962" s="5">
        <v>237193.55</v>
      </c>
      <c r="N1962" s="5">
        <v>5.0599999999999999E-2</v>
      </c>
      <c r="O1962" s="5">
        <v>6</v>
      </c>
      <c r="P1962" s="5">
        <v>333208</v>
      </c>
    </row>
    <row r="1963" spans="1:16" x14ac:dyDescent="0.3">
      <c r="A1963" s="5">
        <v>108</v>
      </c>
      <c r="B1963" s="5" t="s">
        <v>125</v>
      </c>
      <c r="C1963" s="5">
        <v>5</v>
      </c>
      <c r="D1963" s="5" t="s">
        <v>80</v>
      </c>
      <c r="E1963" s="5">
        <v>2022</v>
      </c>
      <c r="F1963" s="5">
        <v>8</v>
      </c>
      <c r="G1963" s="5" t="s">
        <v>41</v>
      </c>
      <c r="H1963" s="5">
        <v>5613333</v>
      </c>
      <c r="I1963" s="5">
        <v>5614861.6299999999</v>
      </c>
      <c r="J1963" s="5">
        <v>103</v>
      </c>
      <c r="K1963" s="5">
        <v>1656987</v>
      </c>
      <c r="L1963" s="5">
        <v>7258510</v>
      </c>
      <c r="M1963" s="5">
        <v>-1528.63</v>
      </c>
      <c r="N1963" s="5">
        <v>-2.9999999999999997E-4</v>
      </c>
      <c r="O1963" s="5">
        <v>4</v>
      </c>
      <c r="P1963" s="5">
        <v>194716</v>
      </c>
    </row>
    <row r="1964" spans="1:16" x14ac:dyDescent="0.3">
      <c r="A1964" s="5">
        <v>21</v>
      </c>
      <c r="B1964" s="5" t="s">
        <v>125</v>
      </c>
      <c r="C1964" s="5">
        <v>5</v>
      </c>
      <c r="D1964" s="5" t="s">
        <v>80</v>
      </c>
      <c r="E1964" s="5">
        <v>2022</v>
      </c>
      <c r="F1964" s="5">
        <v>9</v>
      </c>
      <c r="G1964" s="5" t="s">
        <v>42</v>
      </c>
      <c r="H1964" s="5">
        <v>6795267</v>
      </c>
      <c r="I1964" s="5">
        <v>6065129.4500000002</v>
      </c>
      <c r="J1964" s="5">
        <v>91</v>
      </c>
      <c r="K1964" s="5">
        <v>887304</v>
      </c>
      <c r="L1964" s="5">
        <v>7659830</v>
      </c>
      <c r="M1964" s="5">
        <v>730137.55</v>
      </c>
      <c r="N1964" s="5">
        <v>0.1074</v>
      </c>
      <c r="O1964" s="5">
        <v>9</v>
      </c>
      <c r="P1964" s="5">
        <v>590383</v>
      </c>
    </row>
    <row r="1965" spans="1:16" x14ac:dyDescent="0.3">
      <c r="A1965" s="5">
        <v>108</v>
      </c>
      <c r="B1965" s="5" t="s">
        <v>125</v>
      </c>
      <c r="C1965" s="5">
        <v>5</v>
      </c>
      <c r="D1965" s="5" t="s">
        <v>80</v>
      </c>
      <c r="E1965" s="5">
        <v>2022</v>
      </c>
      <c r="F1965" s="5">
        <v>9</v>
      </c>
      <c r="G1965" s="5" t="s">
        <v>42</v>
      </c>
      <c r="H1965" s="5">
        <v>9091435</v>
      </c>
      <c r="I1965" s="5">
        <v>7917888.0599999996</v>
      </c>
      <c r="J1965" s="5">
        <v>120</v>
      </c>
      <c r="K1965" s="5">
        <v>1089000</v>
      </c>
      <c r="L1965" s="5">
        <v>10143530</v>
      </c>
      <c r="M1965" s="5">
        <v>1173546.94</v>
      </c>
      <c r="N1965" s="5">
        <v>0.12909999999999999</v>
      </c>
      <c r="O1965" s="5">
        <v>5</v>
      </c>
      <c r="P1965" s="5">
        <v>86639</v>
      </c>
    </row>
    <row r="1966" spans="1:16" x14ac:dyDescent="0.3">
      <c r="A1966" s="5">
        <v>21</v>
      </c>
      <c r="B1966" s="5" t="s">
        <v>125</v>
      </c>
      <c r="C1966" s="5">
        <v>5</v>
      </c>
      <c r="D1966" s="5" t="s">
        <v>80</v>
      </c>
      <c r="E1966" s="5">
        <v>2022</v>
      </c>
      <c r="F1966" s="5">
        <v>10</v>
      </c>
      <c r="G1966" s="5" t="s">
        <v>43</v>
      </c>
      <c r="H1966" s="5">
        <v>9946202</v>
      </c>
      <c r="I1966" s="5">
        <v>9043832.8599999994</v>
      </c>
      <c r="J1966" s="5">
        <v>120</v>
      </c>
      <c r="K1966" s="5">
        <v>1518053</v>
      </c>
      <c r="L1966" s="5">
        <v>11432640</v>
      </c>
      <c r="M1966" s="5">
        <v>902369.14</v>
      </c>
      <c r="N1966" s="5">
        <v>9.0700000000000003E-2</v>
      </c>
      <c r="O1966" s="5">
        <v>15</v>
      </c>
      <c r="P1966" s="5">
        <v>433071</v>
      </c>
    </row>
    <row r="1967" spans="1:16" x14ac:dyDescent="0.3">
      <c r="A1967" s="5">
        <v>108</v>
      </c>
      <c r="B1967" s="5" t="s">
        <v>125</v>
      </c>
      <c r="C1967" s="5">
        <v>5</v>
      </c>
      <c r="D1967" s="5" t="s">
        <v>80</v>
      </c>
      <c r="E1967" s="5">
        <v>2022</v>
      </c>
      <c r="F1967" s="5">
        <v>10</v>
      </c>
      <c r="G1967" s="5" t="s">
        <v>43</v>
      </c>
      <c r="H1967" s="5">
        <v>7965664</v>
      </c>
      <c r="I1967" s="5">
        <v>7013845.8700000001</v>
      </c>
      <c r="J1967" s="5">
        <v>142</v>
      </c>
      <c r="K1967" s="5">
        <v>1158784</v>
      </c>
      <c r="L1967" s="5">
        <v>9092170</v>
      </c>
      <c r="M1967" s="5">
        <v>951818.13</v>
      </c>
      <c r="N1967" s="5">
        <v>0.1195</v>
      </c>
      <c r="O1967" s="5">
        <v>12</v>
      </c>
      <c r="P1967" s="5">
        <v>278474</v>
      </c>
    </row>
    <row r="1968" spans="1:16" x14ac:dyDescent="0.3">
      <c r="A1968" s="5">
        <v>21</v>
      </c>
      <c r="B1968" s="5" t="s">
        <v>125</v>
      </c>
      <c r="C1968" s="5">
        <v>5</v>
      </c>
      <c r="D1968" s="5" t="s">
        <v>80</v>
      </c>
      <c r="E1968" s="5">
        <v>2022</v>
      </c>
      <c r="F1968" s="5">
        <v>11</v>
      </c>
      <c r="G1968" s="5" t="s">
        <v>44</v>
      </c>
      <c r="H1968" s="5">
        <v>9385825</v>
      </c>
      <c r="I1968" s="5">
        <v>8048350.4699999997</v>
      </c>
      <c r="J1968" s="5">
        <v>115</v>
      </c>
      <c r="K1968" s="5">
        <v>978624</v>
      </c>
      <c r="L1968" s="5">
        <v>10324390</v>
      </c>
      <c r="M1968" s="5">
        <v>1337474.53</v>
      </c>
      <c r="N1968" s="5">
        <v>0.14249999999999999</v>
      </c>
      <c r="O1968" s="5">
        <v>5</v>
      </c>
      <c r="P1968" s="5">
        <v>169106</v>
      </c>
    </row>
    <row r="1969" spans="1:16" x14ac:dyDescent="0.3">
      <c r="A1969" s="5">
        <v>108</v>
      </c>
      <c r="B1969" s="5" t="s">
        <v>125</v>
      </c>
      <c r="C1969" s="5">
        <v>5</v>
      </c>
      <c r="D1969" s="5" t="s">
        <v>80</v>
      </c>
      <c r="E1969" s="5">
        <v>2022</v>
      </c>
      <c r="F1969" s="5">
        <v>11</v>
      </c>
      <c r="G1969" s="5" t="s">
        <v>44</v>
      </c>
      <c r="H1969" s="5">
        <v>8841219</v>
      </c>
      <c r="I1969" s="5">
        <v>7315791.5700000003</v>
      </c>
      <c r="J1969" s="5">
        <v>134</v>
      </c>
      <c r="K1969" s="5">
        <v>710922</v>
      </c>
      <c r="L1969" s="5">
        <v>9532370</v>
      </c>
      <c r="M1969" s="5">
        <v>1525427.43</v>
      </c>
      <c r="N1969" s="5">
        <v>0.17249999999999999</v>
      </c>
      <c r="O1969" s="5">
        <v>9</v>
      </c>
      <c r="P1969" s="5">
        <v>71482</v>
      </c>
    </row>
    <row r="1970" spans="1:16" x14ac:dyDescent="0.3">
      <c r="A1970" s="5">
        <v>21</v>
      </c>
      <c r="B1970" s="5" t="s">
        <v>125</v>
      </c>
      <c r="C1970" s="5">
        <v>5</v>
      </c>
      <c r="D1970" s="5" t="s">
        <v>80</v>
      </c>
      <c r="E1970" s="5">
        <v>2022</v>
      </c>
      <c r="F1970" s="5">
        <v>12</v>
      </c>
      <c r="G1970" s="5" t="s">
        <v>45</v>
      </c>
      <c r="H1970" s="5">
        <v>9823772</v>
      </c>
      <c r="I1970" s="5">
        <v>8146902.3899999997</v>
      </c>
      <c r="J1970" s="5">
        <v>118</v>
      </c>
      <c r="K1970" s="5">
        <v>607151</v>
      </c>
      <c r="L1970" s="5">
        <v>10393330</v>
      </c>
      <c r="M1970" s="5">
        <v>1676869.61</v>
      </c>
      <c r="N1970" s="5">
        <v>0.17069999999999999</v>
      </c>
      <c r="O1970" s="5">
        <v>13</v>
      </c>
      <c r="P1970" s="5">
        <v>123093</v>
      </c>
    </row>
    <row r="1971" spans="1:16" x14ac:dyDescent="0.3">
      <c r="A1971" s="5">
        <v>108</v>
      </c>
      <c r="B1971" s="5" t="s">
        <v>125</v>
      </c>
      <c r="C1971" s="5">
        <v>5</v>
      </c>
      <c r="D1971" s="5" t="s">
        <v>80</v>
      </c>
      <c r="E1971" s="5">
        <v>2022</v>
      </c>
      <c r="F1971" s="5">
        <v>12</v>
      </c>
      <c r="G1971" s="5" t="s">
        <v>45</v>
      </c>
      <c r="H1971" s="5">
        <v>9147726</v>
      </c>
      <c r="I1971" s="5">
        <v>7515770.0999999996</v>
      </c>
      <c r="J1971" s="5">
        <v>145</v>
      </c>
      <c r="K1971" s="5">
        <v>566003</v>
      </c>
      <c r="L1971" s="5">
        <v>9672610</v>
      </c>
      <c r="M1971" s="5">
        <v>1631955.9</v>
      </c>
      <c r="N1971" s="5">
        <v>0.1784</v>
      </c>
      <c r="O1971" s="5">
        <v>8</v>
      </c>
      <c r="P1971" s="5">
        <v>232334</v>
      </c>
    </row>
    <row r="1972" spans="1:16" x14ac:dyDescent="0.3">
      <c r="A1972" s="5">
        <v>21</v>
      </c>
      <c r="B1972" s="5" t="s">
        <v>125</v>
      </c>
      <c r="C1972" s="5">
        <v>5</v>
      </c>
      <c r="D1972" s="5" t="s">
        <v>80</v>
      </c>
      <c r="E1972" s="5">
        <v>2023</v>
      </c>
      <c r="F1972" s="5">
        <v>1</v>
      </c>
      <c r="G1972" s="5" t="s">
        <v>46</v>
      </c>
      <c r="H1972" s="5">
        <v>7170552</v>
      </c>
      <c r="I1972" s="5">
        <v>6348334.4100000001</v>
      </c>
      <c r="J1972" s="5">
        <v>92</v>
      </c>
      <c r="K1972" s="5">
        <v>994252</v>
      </c>
      <c r="L1972" s="5">
        <v>8141870</v>
      </c>
      <c r="M1972" s="5">
        <v>822217.59</v>
      </c>
      <c r="N1972" s="5">
        <v>0.1147</v>
      </c>
      <c r="O1972" s="5">
        <v>7</v>
      </c>
      <c r="P1972" s="5">
        <v>218797</v>
      </c>
    </row>
    <row r="1973" spans="1:16" x14ac:dyDescent="0.3">
      <c r="A1973" s="5">
        <v>108</v>
      </c>
      <c r="B1973" s="5" t="s">
        <v>125</v>
      </c>
      <c r="C1973" s="5">
        <v>5</v>
      </c>
      <c r="D1973" s="5" t="s">
        <v>80</v>
      </c>
      <c r="E1973" s="5">
        <v>2023</v>
      </c>
      <c r="F1973" s="5">
        <v>1</v>
      </c>
      <c r="G1973" s="5" t="s">
        <v>46</v>
      </c>
      <c r="H1973" s="5">
        <v>8226359</v>
      </c>
      <c r="I1973" s="5">
        <v>7081703.3399999999</v>
      </c>
      <c r="J1973" s="5">
        <v>111</v>
      </c>
      <c r="K1973" s="5">
        <v>850817</v>
      </c>
      <c r="L1973" s="5">
        <v>9030760</v>
      </c>
      <c r="M1973" s="5">
        <v>1144655.6599999999</v>
      </c>
      <c r="N1973" s="5">
        <v>0.1391</v>
      </c>
      <c r="O1973" s="5">
        <v>10</v>
      </c>
      <c r="P1973" s="5">
        <v>513076</v>
      </c>
    </row>
    <row r="1974" spans="1:16" x14ac:dyDescent="0.3">
      <c r="A1974" s="5">
        <v>21</v>
      </c>
      <c r="B1974" s="5" t="s">
        <v>125</v>
      </c>
      <c r="C1974" s="5">
        <v>5</v>
      </c>
      <c r="D1974" s="5" t="s">
        <v>80</v>
      </c>
      <c r="E1974" s="5">
        <v>2023</v>
      </c>
      <c r="F1974" s="5">
        <v>2</v>
      </c>
      <c r="G1974" s="5" t="s">
        <v>47</v>
      </c>
      <c r="H1974" s="5">
        <v>5593354</v>
      </c>
      <c r="I1974" s="5">
        <v>4704465.3600000003</v>
      </c>
      <c r="J1974" s="5">
        <v>78</v>
      </c>
      <c r="K1974" s="5">
        <v>617040</v>
      </c>
      <c r="L1974" s="5">
        <v>6194290</v>
      </c>
      <c r="M1974" s="5">
        <v>888888.64</v>
      </c>
      <c r="N1974" s="5">
        <v>0.15890000000000001</v>
      </c>
      <c r="O1974" s="5">
        <v>11</v>
      </c>
      <c r="P1974" s="5">
        <v>450757</v>
      </c>
    </row>
    <row r="1975" spans="1:16" x14ac:dyDescent="0.3">
      <c r="A1975" s="5">
        <v>108</v>
      </c>
      <c r="B1975" s="5" t="s">
        <v>125</v>
      </c>
      <c r="C1975" s="5">
        <v>5</v>
      </c>
      <c r="D1975" s="5" t="s">
        <v>80</v>
      </c>
      <c r="E1975" s="5">
        <v>2023</v>
      </c>
      <c r="F1975" s="5">
        <v>2</v>
      </c>
      <c r="G1975" s="5" t="s">
        <v>47</v>
      </c>
      <c r="H1975" s="5">
        <v>8441613</v>
      </c>
      <c r="I1975" s="5">
        <v>7130520.75</v>
      </c>
      <c r="J1975" s="5">
        <v>129</v>
      </c>
      <c r="K1975" s="5">
        <v>853218</v>
      </c>
      <c r="L1975" s="5">
        <v>9270980</v>
      </c>
      <c r="M1975" s="5">
        <v>1311092.25</v>
      </c>
      <c r="N1975" s="5">
        <v>0.15529999999999999</v>
      </c>
      <c r="O1975" s="5">
        <v>10</v>
      </c>
      <c r="P1975" s="5">
        <v>409902</v>
      </c>
    </row>
    <row r="1976" spans="1:16" x14ac:dyDescent="0.3">
      <c r="A1976" s="5">
        <v>21</v>
      </c>
      <c r="B1976" s="5" t="s">
        <v>125</v>
      </c>
      <c r="C1976" s="5">
        <v>5</v>
      </c>
      <c r="D1976" s="5" t="s">
        <v>80</v>
      </c>
      <c r="E1976" s="5">
        <v>2023</v>
      </c>
      <c r="F1976" s="5">
        <v>3</v>
      </c>
      <c r="G1976" s="5" t="s">
        <v>48</v>
      </c>
      <c r="H1976" s="5">
        <v>6925208</v>
      </c>
      <c r="I1976" s="5">
        <v>6040959.2699999996</v>
      </c>
      <c r="J1976" s="5">
        <v>94</v>
      </c>
      <c r="K1976" s="5">
        <v>879756</v>
      </c>
      <c r="L1976" s="5">
        <v>7788350</v>
      </c>
      <c r="M1976" s="5">
        <v>884248.73</v>
      </c>
      <c r="N1976" s="5">
        <v>0.12770000000000001</v>
      </c>
      <c r="O1976" s="5">
        <v>11</v>
      </c>
      <c r="P1976" s="5">
        <v>391445</v>
      </c>
    </row>
    <row r="1977" spans="1:16" x14ac:dyDescent="0.3">
      <c r="A1977" s="5">
        <v>108</v>
      </c>
      <c r="B1977" s="5" t="s">
        <v>125</v>
      </c>
      <c r="C1977" s="5">
        <v>5</v>
      </c>
      <c r="D1977" s="5" t="s">
        <v>80</v>
      </c>
      <c r="E1977" s="5">
        <v>2023</v>
      </c>
      <c r="F1977" s="5">
        <v>3</v>
      </c>
      <c r="G1977" s="5" t="s">
        <v>48</v>
      </c>
      <c r="H1977" s="5">
        <v>7405633</v>
      </c>
      <c r="I1977" s="5">
        <v>6264121.2599999998</v>
      </c>
      <c r="J1977" s="5">
        <v>116</v>
      </c>
      <c r="K1977" s="5">
        <v>726441</v>
      </c>
      <c r="L1977" s="5">
        <v>8083330</v>
      </c>
      <c r="M1977" s="5">
        <v>1141511.74</v>
      </c>
      <c r="N1977" s="5">
        <v>0.15409999999999999</v>
      </c>
      <c r="O1977" s="5">
        <v>20</v>
      </c>
      <c r="P1977" s="5">
        <v>688257</v>
      </c>
    </row>
    <row r="1978" spans="1:16" x14ac:dyDescent="0.3">
      <c r="A1978" s="5">
        <v>21</v>
      </c>
      <c r="B1978" s="5" t="s">
        <v>125</v>
      </c>
      <c r="C1978" s="5">
        <v>5</v>
      </c>
      <c r="D1978" s="5" t="s">
        <v>80</v>
      </c>
      <c r="E1978" s="5">
        <v>2023</v>
      </c>
      <c r="F1978" s="5">
        <v>4</v>
      </c>
      <c r="G1978" s="5" t="s">
        <v>49</v>
      </c>
      <c r="H1978" s="5">
        <v>7279584</v>
      </c>
      <c r="I1978" s="5">
        <v>6305458.46</v>
      </c>
      <c r="J1978" s="5">
        <v>112</v>
      </c>
      <c r="K1978" s="5">
        <v>857731</v>
      </c>
      <c r="L1978" s="5">
        <v>8116550</v>
      </c>
      <c r="M1978" s="5">
        <v>974125.54</v>
      </c>
      <c r="N1978" s="5">
        <v>0.1338</v>
      </c>
      <c r="O1978" s="5">
        <v>9</v>
      </c>
      <c r="P1978" s="5">
        <v>317982</v>
      </c>
    </row>
    <row r="1979" spans="1:16" x14ac:dyDescent="0.3">
      <c r="A1979" s="5">
        <v>108</v>
      </c>
      <c r="B1979" s="5" t="s">
        <v>125</v>
      </c>
      <c r="C1979" s="5">
        <v>5</v>
      </c>
      <c r="D1979" s="5" t="s">
        <v>80</v>
      </c>
      <c r="E1979" s="5">
        <v>2023</v>
      </c>
      <c r="F1979" s="5">
        <v>4</v>
      </c>
      <c r="G1979" s="5" t="s">
        <v>49</v>
      </c>
      <c r="H1979" s="5">
        <v>8686969</v>
      </c>
      <c r="I1979" s="5">
        <v>7619544.7800000003</v>
      </c>
      <c r="J1979" s="5">
        <v>116</v>
      </c>
      <c r="K1979" s="5">
        <v>1171110</v>
      </c>
      <c r="L1979" s="5">
        <v>9831560</v>
      </c>
      <c r="M1979" s="5">
        <v>1067424.22</v>
      </c>
      <c r="N1979" s="5">
        <v>0.1229</v>
      </c>
      <c r="O1979" s="5">
        <v>10</v>
      </c>
      <c r="P1979" s="5">
        <v>212060</v>
      </c>
    </row>
    <row r="1980" spans="1:16" x14ac:dyDescent="0.3">
      <c r="A1980" s="5">
        <v>21</v>
      </c>
      <c r="B1980" s="5" t="s">
        <v>125</v>
      </c>
      <c r="C1980" s="5">
        <v>5</v>
      </c>
      <c r="D1980" s="5" t="s">
        <v>80</v>
      </c>
      <c r="E1980" s="5">
        <v>2023</v>
      </c>
      <c r="F1980" s="5">
        <v>5</v>
      </c>
      <c r="G1980" s="5" t="s">
        <v>50</v>
      </c>
      <c r="H1980" s="5">
        <v>7872624</v>
      </c>
      <c r="I1980" s="5">
        <v>6663203.0099999998</v>
      </c>
      <c r="J1980" s="5">
        <v>101</v>
      </c>
      <c r="K1980" s="5">
        <v>713244</v>
      </c>
      <c r="L1980" s="5">
        <v>8565170</v>
      </c>
      <c r="M1980" s="5">
        <v>1209420.99</v>
      </c>
      <c r="N1980" s="5">
        <v>0.15359999999999999</v>
      </c>
      <c r="O1980" s="5">
        <v>8</v>
      </c>
      <c r="P1980" s="5">
        <v>183625</v>
      </c>
    </row>
    <row r="1981" spans="1:16" x14ac:dyDescent="0.3">
      <c r="A1981" s="5">
        <v>108</v>
      </c>
      <c r="B1981" s="5" t="s">
        <v>125</v>
      </c>
      <c r="C1981" s="5">
        <v>5</v>
      </c>
      <c r="D1981" s="5" t="s">
        <v>80</v>
      </c>
      <c r="E1981" s="5">
        <v>2023</v>
      </c>
      <c r="F1981" s="5">
        <v>5</v>
      </c>
      <c r="G1981" s="5" t="s">
        <v>50</v>
      </c>
      <c r="H1981" s="5">
        <v>10757353</v>
      </c>
      <c r="I1981" s="5">
        <v>9342749.8100000005</v>
      </c>
      <c r="J1981" s="5">
        <v>144</v>
      </c>
      <c r="K1981" s="5">
        <v>1259277</v>
      </c>
      <c r="L1981" s="5">
        <v>11983880</v>
      </c>
      <c r="M1981" s="5">
        <v>1414603.19</v>
      </c>
      <c r="N1981" s="5">
        <v>0.13150000000000001</v>
      </c>
      <c r="O1981" s="5">
        <v>8</v>
      </c>
      <c r="P1981" s="5">
        <v>356701</v>
      </c>
    </row>
    <row r="1982" spans="1:16" x14ac:dyDescent="0.3">
      <c r="A1982" s="5">
        <v>21</v>
      </c>
      <c r="B1982" s="5" t="s">
        <v>125</v>
      </c>
      <c r="C1982" s="5">
        <v>5</v>
      </c>
      <c r="D1982" s="5" t="s">
        <v>80</v>
      </c>
      <c r="E1982" s="5">
        <v>2023</v>
      </c>
      <c r="F1982" s="5">
        <v>6</v>
      </c>
      <c r="G1982" s="5" t="s">
        <v>51</v>
      </c>
      <c r="H1982" s="5">
        <v>6351147</v>
      </c>
      <c r="I1982" s="5">
        <v>5405402.21</v>
      </c>
      <c r="J1982" s="5">
        <v>93</v>
      </c>
      <c r="K1982" s="5">
        <v>659495</v>
      </c>
      <c r="L1982" s="5">
        <v>6992570</v>
      </c>
      <c r="M1982" s="5">
        <v>945744.79</v>
      </c>
      <c r="N1982" s="5">
        <v>0.1489</v>
      </c>
      <c r="O1982" s="5">
        <v>9</v>
      </c>
      <c r="P1982" s="5">
        <v>316605</v>
      </c>
    </row>
    <row r="1983" spans="1:16" x14ac:dyDescent="0.3">
      <c r="A1983" s="5">
        <v>108</v>
      </c>
      <c r="B1983" s="5" t="s">
        <v>125</v>
      </c>
      <c r="C1983" s="5">
        <v>5</v>
      </c>
      <c r="D1983" s="5" t="s">
        <v>80</v>
      </c>
      <c r="E1983" s="5">
        <v>2023</v>
      </c>
      <c r="F1983" s="5">
        <v>6</v>
      </c>
      <c r="G1983" s="5" t="s">
        <v>51</v>
      </c>
      <c r="H1983" s="5">
        <v>8501761</v>
      </c>
      <c r="I1983" s="5">
        <v>7291785.0499999998</v>
      </c>
      <c r="J1983" s="5">
        <v>126</v>
      </c>
      <c r="K1983" s="5">
        <v>815303</v>
      </c>
      <c r="L1983" s="5">
        <v>9293620</v>
      </c>
      <c r="M1983" s="5">
        <v>1209975.95</v>
      </c>
      <c r="N1983" s="5">
        <v>0.14230000000000001</v>
      </c>
      <c r="O1983" s="5">
        <v>7</v>
      </c>
      <c r="P1983" s="5">
        <v>87236</v>
      </c>
    </row>
    <row r="1984" spans="1:16" x14ac:dyDescent="0.3">
      <c r="A1984" s="5">
        <v>21</v>
      </c>
      <c r="B1984" s="5" t="s">
        <v>125</v>
      </c>
      <c r="C1984" s="5">
        <v>5</v>
      </c>
      <c r="D1984" s="5" t="s">
        <v>80</v>
      </c>
      <c r="E1984" s="5">
        <v>2023</v>
      </c>
      <c r="F1984" s="5">
        <v>7</v>
      </c>
      <c r="G1984" s="5" t="s">
        <v>52</v>
      </c>
      <c r="H1984" s="5">
        <v>6877015</v>
      </c>
      <c r="I1984" s="5">
        <v>6050649.8499999996</v>
      </c>
      <c r="J1984" s="5">
        <v>104</v>
      </c>
      <c r="K1984" s="5">
        <v>983236</v>
      </c>
      <c r="L1984" s="5">
        <v>7832040</v>
      </c>
      <c r="M1984" s="5">
        <v>826365.15</v>
      </c>
      <c r="N1984" s="5">
        <v>0.1202</v>
      </c>
      <c r="O1984" s="5">
        <v>7</v>
      </c>
      <c r="P1984" s="5">
        <v>451472</v>
      </c>
    </row>
    <row r="1985" spans="1:16" x14ac:dyDescent="0.3">
      <c r="A1985" s="5">
        <v>108</v>
      </c>
      <c r="B1985" s="5" t="s">
        <v>125</v>
      </c>
      <c r="C1985" s="5">
        <v>5</v>
      </c>
      <c r="D1985" s="5" t="s">
        <v>80</v>
      </c>
      <c r="E1985" s="5">
        <v>2023</v>
      </c>
      <c r="F1985" s="5">
        <v>7</v>
      </c>
      <c r="G1985" s="5" t="s">
        <v>52</v>
      </c>
      <c r="H1985" s="5">
        <v>11151088</v>
      </c>
      <c r="I1985" s="5">
        <v>10243138.220000001</v>
      </c>
      <c r="J1985" s="5">
        <v>131</v>
      </c>
      <c r="K1985" s="5">
        <v>1903619</v>
      </c>
      <c r="L1985" s="5">
        <v>13018390</v>
      </c>
      <c r="M1985" s="5">
        <v>907949.78</v>
      </c>
      <c r="N1985" s="5">
        <v>8.14E-2</v>
      </c>
      <c r="O1985" s="5">
        <v>13</v>
      </c>
      <c r="P1985" s="5">
        <v>442284</v>
      </c>
    </row>
    <row r="1986" spans="1:16" x14ac:dyDescent="0.3">
      <c r="A1986" s="5">
        <v>21</v>
      </c>
      <c r="B1986" s="5" t="s">
        <v>125</v>
      </c>
      <c r="C1986" s="5">
        <v>5</v>
      </c>
      <c r="D1986" s="5" t="s">
        <v>80</v>
      </c>
      <c r="E1986" s="5">
        <v>2023</v>
      </c>
      <c r="F1986" s="5">
        <v>8</v>
      </c>
      <c r="G1986" s="5" t="s">
        <v>53</v>
      </c>
      <c r="H1986" s="5">
        <v>6920054</v>
      </c>
      <c r="I1986" s="5">
        <v>6318478.3300000001</v>
      </c>
      <c r="J1986" s="5">
        <v>97</v>
      </c>
      <c r="K1986" s="5">
        <v>1163705</v>
      </c>
      <c r="L1986" s="5">
        <v>8065770</v>
      </c>
      <c r="M1986" s="5">
        <v>601575.67000000004</v>
      </c>
      <c r="N1986" s="5">
        <v>8.6900000000000005E-2</v>
      </c>
      <c r="O1986" s="5">
        <v>7</v>
      </c>
      <c r="P1986" s="5">
        <v>279539</v>
      </c>
    </row>
    <row r="1987" spans="1:16" x14ac:dyDescent="0.3">
      <c r="A1987" s="5">
        <v>108</v>
      </c>
      <c r="B1987" s="5" t="s">
        <v>125</v>
      </c>
      <c r="C1987" s="5">
        <v>5</v>
      </c>
      <c r="D1987" s="5" t="s">
        <v>80</v>
      </c>
      <c r="E1987" s="5">
        <v>2023</v>
      </c>
      <c r="F1987" s="5">
        <v>8</v>
      </c>
      <c r="G1987" s="5" t="s">
        <v>53</v>
      </c>
      <c r="H1987" s="5">
        <v>9099556</v>
      </c>
      <c r="I1987" s="5">
        <v>8054556.1200000001</v>
      </c>
      <c r="J1987" s="5">
        <v>126</v>
      </c>
      <c r="K1987" s="5">
        <v>1222628</v>
      </c>
      <c r="L1987" s="5">
        <v>10286120</v>
      </c>
      <c r="M1987" s="5">
        <v>1044999.88</v>
      </c>
      <c r="N1987" s="5">
        <v>0.1148</v>
      </c>
      <c r="O1987" s="5">
        <v>11</v>
      </c>
      <c r="P1987" s="5">
        <v>253213</v>
      </c>
    </row>
    <row r="1988" spans="1:16" x14ac:dyDescent="0.3">
      <c r="A1988" s="5">
        <v>21</v>
      </c>
      <c r="B1988" s="5" t="s">
        <v>125</v>
      </c>
      <c r="C1988" s="5">
        <v>5</v>
      </c>
      <c r="D1988" s="5" t="s">
        <v>80</v>
      </c>
      <c r="E1988" s="5">
        <v>2023</v>
      </c>
      <c r="F1988" s="5">
        <v>9</v>
      </c>
      <c r="G1988" s="5" t="s">
        <v>54</v>
      </c>
      <c r="H1988" s="5">
        <v>7391994</v>
      </c>
      <c r="I1988" s="5">
        <v>6803581.3899999997</v>
      </c>
      <c r="J1988" s="5">
        <v>114</v>
      </c>
      <c r="K1988" s="5">
        <v>1283942</v>
      </c>
      <c r="L1988" s="5">
        <v>8649080</v>
      </c>
      <c r="M1988" s="5">
        <v>588412.61</v>
      </c>
      <c r="N1988" s="5">
        <v>7.9600000000000004E-2</v>
      </c>
      <c r="O1988" s="5">
        <v>7</v>
      </c>
      <c r="P1988" s="5">
        <v>94221</v>
      </c>
    </row>
    <row r="1989" spans="1:16" x14ac:dyDescent="0.3">
      <c r="A1989" s="5">
        <v>108</v>
      </c>
      <c r="B1989" s="5" t="s">
        <v>125</v>
      </c>
      <c r="C1989" s="5">
        <v>5</v>
      </c>
      <c r="D1989" s="5" t="s">
        <v>80</v>
      </c>
      <c r="E1989" s="5">
        <v>2023</v>
      </c>
      <c r="F1989" s="5">
        <v>9</v>
      </c>
      <c r="G1989" s="5" t="s">
        <v>54</v>
      </c>
      <c r="H1989" s="5">
        <v>9965849</v>
      </c>
      <c r="I1989" s="5">
        <v>8966097.3399999999</v>
      </c>
      <c r="J1989" s="5">
        <v>130</v>
      </c>
      <c r="K1989" s="5">
        <v>1532058</v>
      </c>
      <c r="L1989" s="5">
        <v>11471860</v>
      </c>
      <c r="M1989" s="5">
        <v>999751.66</v>
      </c>
      <c r="N1989" s="5">
        <v>0.1003</v>
      </c>
      <c r="O1989" s="5">
        <v>15</v>
      </c>
      <c r="P1989" s="5">
        <v>518235</v>
      </c>
    </row>
    <row r="1990" spans="1:16" x14ac:dyDescent="0.3">
      <c r="A1990" s="5">
        <v>21</v>
      </c>
      <c r="B1990" s="5" t="s">
        <v>125</v>
      </c>
      <c r="C1990" s="5">
        <v>5</v>
      </c>
      <c r="D1990" s="5" t="s">
        <v>80</v>
      </c>
      <c r="E1990" s="5">
        <v>2023</v>
      </c>
      <c r="F1990" s="5">
        <v>10</v>
      </c>
      <c r="G1990" s="5" t="s">
        <v>55</v>
      </c>
      <c r="H1990" s="5">
        <v>10624354</v>
      </c>
      <c r="I1990" s="5">
        <v>9208655.4499999993</v>
      </c>
      <c r="J1990" s="5">
        <v>149</v>
      </c>
      <c r="K1990" s="5">
        <v>1304417</v>
      </c>
      <c r="L1990" s="5">
        <v>11908200</v>
      </c>
      <c r="M1990" s="5">
        <v>1415698.55</v>
      </c>
      <c r="N1990" s="5">
        <v>0.1333</v>
      </c>
      <c r="O1990" s="5">
        <v>12</v>
      </c>
      <c r="P1990" s="5">
        <v>176210</v>
      </c>
    </row>
    <row r="1991" spans="1:16" x14ac:dyDescent="0.3">
      <c r="A1991" s="5">
        <v>108</v>
      </c>
      <c r="B1991" s="5" t="s">
        <v>125</v>
      </c>
      <c r="C1991" s="5">
        <v>5</v>
      </c>
      <c r="D1991" s="5" t="s">
        <v>80</v>
      </c>
      <c r="E1991" s="5">
        <v>2023</v>
      </c>
      <c r="F1991" s="5">
        <v>10</v>
      </c>
      <c r="G1991" s="5" t="s">
        <v>55</v>
      </c>
      <c r="H1991" s="5">
        <v>13058329</v>
      </c>
      <c r="I1991" s="5">
        <v>11057131.460000001</v>
      </c>
      <c r="J1991" s="5">
        <v>175</v>
      </c>
      <c r="K1991" s="5">
        <v>1237953</v>
      </c>
      <c r="L1991" s="5">
        <v>14247870</v>
      </c>
      <c r="M1991" s="5">
        <v>2001197.54</v>
      </c>
      <c r="N1991" s="5">
        <v>0.15329999999999999</v>
      </c>
      <c r="O1991" s="5">
        <v>13</v>
      </c>
      <c r="P1991" s="5">
        <v>270200</v>
      </c>
    </row>
    <row r="1992" spans="1:16" x14ac:dyDescent="0.3">
      <c r="A1992" s="5">
        <v>21</v>
      </c>
      <c r="B1992" s="5" t="s">
        <v>125</v>
      </c>
      <c r="C1992" s="5">
        <v>5</v>
      </c>
      <c r="D1992" s="5" t="s">
        <v>80</v>
      </c>
      <c r="E1992" s="5">
        <v>2023</v>
      </c>
      <c r="F1992" s="5">
        <v>11</v>
      </c>
      <c r="G1992" s="5" t="s">
        <v>56</v>
      </c>
      <c r="H1992" s="5">
        <v>8766474</v>
      </c>
      <c r="I1992" s="5">
        <v>7612185.1600000001</v>
      </c>
      <c r="J1992" s="5">
        <v>129</v>
      </c>
      <c r="K1992" s="5">
        <v>1181317</v>
      </c>
      <c r="L1992" s="5">
        <v>9916360</v>
      </c>
      <c r="M1992" s="5">
        <v>1154288.8400000001</v>
      </c>
      <c r="N1992" s="5">
        <v>0.13170000000000001</v>
      </c>
      <c r="O1992" s="5">
        <v>9</v>
      </c>
      <c r="P1992" s="5">
        <v>231936</v>
      </c>
    </row>
    <row r="1993" spans="1:16" x14ac:dyDescent="0.3">
      <c r="A1993" s="5">
        <v>108</v>
      </c>
      <c r="B1993" s="5" t="s">
        <v>125</v>
      </c>
      <c r="C1993" s="5">
        <v>5</v>
      </c>
      <c r="D1993" s="5" t="s">
        <v>80</v>
      </c>
      <c r="E1993" s="5">
        <v>2023</v>
      </c>
      <c r="F1993" s="5">
        <v>11</v>
      </c>
      <c r="G1993" s="5" t="s">
        <v>56</v>
      </c>
      <c r="H1993" s="5">
        <v>11500403</v>
      </c>
      <c r="I1993" s="5">
        <v>9953401.6199999992</v>
      </c>
      <c r="J1993" s="5">
        <v>183</v>
      </c>
      <c r="K1993" s="5">
        <v>1378010</v>
      </c>
      <c r="L1993" s="5">
        <v>12825240</v>
      </c>
      <c r="M1993" s="5">
        <v>1547001.38</v>
      </c>
      <c r="N1993" s="5">
        <v>0.13450000000000001</v>
      </c>
      <c r="O1993" s="5">
        <v>11</v>
      </c>
      <c r="P1993" s="5">
        <v>223852</v>
      </c>
    </row>
    <row r="1994" spans="1:16" x14ac:dyDescent="0.3">
      <c r="A1994" s="5">
        <v>21</v>
      </c>
      <c r="B1994" s="5" t="s">
        <v>125</v>
      </c>
      <c r="C1994" s="5">
        <v>5</v>
      </c>
      <c r="D1994" s="5" t="s">
        <v>80</v>
      </c>
      <c r="E1994" s="5">
        <v>2023</v>
      </c>
      <c r="F1994" s="5">
        <v>12</v>
      </c>
      <c r="G1994" s="5" t="s">
        <v>57</v>
      </c>
      <c r="H1994" s="5">
        <v>9298698</v>
      </c>
      <c r="I1994" s="5">
        <v>8403714.1799999997</v>
      </c>
      <c r="J1994" s="5">
        <v>159</v>
      </c>
      <c r="K1994" s="5">
        <v>1609256</v>
      </c>
      <c r="L1994" s="5">
        <v>10881690</v>
      </c>
      <c r="M1994" s="5">
        <v>894983.82</v>
      </c>
      <c r="N1994" s="5">
        <v>9.6199999999999994E-2</v>
      </c>
      <c r="O1994" s="5">
        <v>13</v>
      </c>
      <c r="P1994" s="5">
        <v>313738</v>
      </c>
    </row>
    <row r="1995" spans="1:16" x14ac:dyDescent="0.3">
      <c r="A1995" s="5">
        <v>108</v>
      </c>
      <c r="B1995" s="5" t="s">
        <v>125</v>
      </c>
      <c r="C1995" s="5">
        <v>5</v>
      </c>
      <c r="D1995" s="5" t="s">
        <v>80</v>
      </c>
      <c r="E1995" s="5">
        <v>2023</v>
      </c>
      <c r="F1995" s="5">
        <v>12</v>
      </c>
      <c r="G1995" s="5" t="s">
        <v>57</v>
      </c>
      <c r="H1995" s="5">
        <v>11417614</v>
      </c>
      <c r="I1995" s="5">
        <v>10087609.560000001</v>
      </c>
      <c r="J1995" s="5">
        <v>166</v>
      </c>
      <c r="K1995" s="5">
        <v>1588110</v>
      </c>
      <c r="L1995" s="5">
        <v>12955130</v>
      </c>
      <c r="M1995" s="5">
        <v>1330004.44</v>
      </c>
      <c r="N1995" s="5">
        <v>0.11650000000000001</v>
      </c>
      <c r="O1995" s="5">
        <v>10</v>
      </c>
      <c r="P1995" s="5">
        <v>393580</v>
      </c>
    </row>
    <row r="1996" spans="1:16" x14ac:dyDescent="0.3">
      <c r="A1996" s="5">
        <v>21</v>
      </c>
      <c r="B1996" s="5" t="s">
        <v>125</v>
      </c>
      <c r="C1996" s="5">
        <v>5</v>
      </c>
      <c r="D1996" s="5" t="s">
        <v>80</v>
      </c>
      <c r="E1996" s="5">
        <v>2024</v>
      </c>
      <c r="F1996" s="5">
        <v>1</v>
      </c>
      <c r="G1996" s="5" t="s">
        <v>58</v>
      </c>
      <c r="H1996" s="5">
        <v>5154494</v>
      </c>
      <c r="I1996" s="5">
        <v>4549415.78</v>
      </c>
      <c r="J1996" s="5">
        <v>75</v>
      </c>
      <c r="K1996" s="5">
        <v>720378</v>
      </c>
      <c r="L1996" s="5">
        <v>5861350</v>
      </c>
      <c r="M1996" s="5">
        <v>605078.22</v>
      </c>
      <c r="N1996" s="5">
        <v>0.1174</v>
      </c>
      <c r="O1996" s="5">
        <v>4</v>
      </c>
      <c r="P1996" s="5">
        <v>39032</v>
      </c>
    </row>
    <row r="1997" spans="1:16" x14ac:dyDescent="0.3">
      <c r="A1997" s="5">
        <v>108</v>
      </c>
      <c r="B1997" s="5" t="s">
        <v>125</v>
      </c>
      <c r="C1997" s="5">
        <v>5</v>
      </c>
      <c r="D1997" s="5" t="s">
        <v>80</v>
      </c>
      <c r="E1997" s="5">
        <v>2024</v>
      </c>
      <c r="F1997" s="5">
        <v>1</v>
      </c>
      <c r="G1997" s="5" t="s">
        <v>58</v>
      </c>
      <c r="H1997" s="5">
        <v>8536503</v>
      </c>
      <c r="I1997" s="5">
        <v>7728033.9699999997</v>
      </c>
      <c r="J1997" s="5">
        <v>126</v>
      </c>
      <c r="K1997" s="5">
        <v>1361350</v>
      </c>
      <c r="L1997" s="5">
        <v>9882350</v>
      </c>
      <c r="M1997" s="5">
        <v>808469.03</v>
      </c>
      <c r="N1997" s="5">
        <v>9.4700000000000006E-2</v>
      </c>
      <c r="O1997" s="5">
        <v>15</v>
      </c>
      <c r="P1997" s="5">
        <v>692868</v>
      </c>
    </row>
    <row r="1998" spans="1:16" x14ac:dyDescent="0.3">
      <c r="A1998" s="5">
        <v>21</v>
      </c>
      <c r="B1998" s="5" t="s">
        <v>125</v>
      </c>
      <c r="C1998" s="5">
        <v>5</v>
      </c>
      <c r="D1998" s="5" t="s">
        <v>80</v>
      </c>
      <c r="E1998" s="5">
        <v>2024</v>
      </c>
      <c r="F1998" s="5">
        <v>2</v>
      </c>
      <c r="G1998" s="5" t="s">
        <v>59</v>
      </c>
      <c r="H1998" s="5">
        <v>4705903</v>
      </c>
      <c r="I1998" s="5">
        <v>4035488.03</v>
      </c>
      <c r="J1998" s="5">
        <v>82</v>
      </c>
      <c r="K1998" s="5">
        <v>485019</v>
      </c>
      <c r="L1998" s="5">
        <v>5161950</v>
      </c>
      <c r="M1998" s="5">
        <v>670414.97</v>
      </c>
      <c r="N1998" s="5">
        <v>0.14249999999999999</v>
      </c>
      <c r="O1998" s="5">
        <v>7</v>
      </c>
      <c r="P1998" s="5">
        <v>120315</v>
      </c>
    </row>
    <row r="1999" spans="1:16" x14ac:dyDescent="0.3">
      <c r="A1999" s="5">
        <v>108</v>
      </c>
      <c r="B1999" s="5" t="s">
        <v>125</v>
      </c>
      <c r="C1999" s="5">
        <v>5</v>
      </c>
      <c r="D1999" s="5" t="s">
        <v>80</v>
      </c>
      <c r="E1999" s="5">
        <v>2024</v>
      </c>
      <c r="F1999" s="5">
        <v>2</v>
      </c>
      <c r="G1999" s="5" t="s">
        <v>59</v>
      </c>
      <c r="H1999" s="5">
        <v>8141234</v>
      </c>
      <c r="I1999" s="5">
        <v>6878803.2699999996</v>
      </c>
      <c r="J1999" s="5">
        <v>128</v>
      </c>
      <c r="K1999" s="5">
        <v>777490</v>
      </c>
      <c r="L1999" s="5">
        <v>8889570</v>
      </c>
      <c r="M1999" s="5">
        <v>1262430.73</v>
      </c>
      <c r="N1999" s="5">
        <v>0.15509999999999999</v>
      </c>
      <c r="O1999" s="5">
        <v>8</v>
      </c>
      <c r="P1999" s="5">
        <v>372369</v>
      </c>
    </row>
    <row r="2000" spans="1:16" x14ac:dyDescent="0.3">
      <c r="A2000" s="5">
        <v>21</v>
      </c>
      <c r="B2000" s="5" t="s">
        <v>125</v>
      </c>
      <c r="C2000" s="5">
        <v>5</v>
      </c>
      <c r="D2000" s="5" t="s">
        <v>80</v>
      </c>
      <c r="E2000" s="5">
        <v>2024</v>
      </c>
      <c r="F2000" s="5">
        <v>3</v>
      </c>
      <c r="G2000" s="5" t="s">
        <v>60</v>
      </c>
      <c r="H2000" s="5">
        <v>6636371</v>
      </c>
      <c r="I2000" s="5">
        <v>5570574.7199999997</v>
      </c>
      <c r="J2000" s="5">
        <v>93</v>
      </c>
      <c r="K2000" s="5">
        <v>615999</v>
      </c>
      <c r="L2000" s="5">
        <v>7219060</v>
      </c>
      <c r="M2000" s="5">
        <v>1065796.28</v>
      </c>
      <c r="N2000" s="5">
        <v>0.16059999999999999</v>
      </c>
      <c r="O2000" s="5">
        <v>8</v>
      </c>
      <c r="P2000" s="5">
        <v>234994</v>
      </c>
    </row>
    <row r="2001" spans="1:16" x14ac:dyDescent="0.3">
      <c r="A2001" s="5">
        <v>108</v>
      </c>
      <c r="B2001" s="5" t="s">
        <v>125</v>
      </c>
      <c r="C2001" s="5">
        <v>5</v>
      </c>
      <c r="D2001" s="5" t="s">
        <v>80</v>
      </c>
      <c r="E2001" s="5">
        <v>2024</v>
      </c>
      <c r="F2001" s="5">
        <v>3</v>
      </c>
      <c r="G2001" s="5" t="s">
        <v>60</v>
      </c>
      <c r="H2001" s="5">
        <v>9984040</v>
      </c>
      <c r="I2001" s="5">
        <v>8663314.9700000007</v>
      </c>
      <c r="J2001" s="5">
        <v>134</v>
      </c>
      <c r="K2001" s="5">
        <v>1164343</v>
      </c>
      <c r="L2001" s="5">
        <v>11112690</v>
      </c>
      <c r="M2001" s="5">
        <v>1320725.03</v>
      </c>
      <c r="N2001" s="5">
        <v>0.1323</v>
      </c>
      <c r="O2001" s="5">
        <v>15</v>
      </c>
      <c r="P2001" s="5">
        <v>778493</v>
      </c>
    </row>
    <row r="2002" spans="1:16" x14ac:dyDescent="0.3">
      <c r="A2002" s="5">
        <v>21</v>
      </c>
      <c r="B2002" s="5" t="s">
        <v>125</v>
      </c>
      <c r="C2002" s="5">
        <v>5</v>
      </c>
      <c r="D2002" s="5" t="s">
        <v>80</v>
      </c>
      <c r="E2002" s="5">
        <v>2024</v>
      </c>
      <c r="F2002" s="5">
        <v>4</v>
      </c>
      <c r="G2002" s="5" t="s">
        <v>61</v>
      </c>
      <c r="H2002" s="5">
        <v>7352575</v>
      </c>
      <c r="I2002" s="5">
        <v>6519297.5999999996</v>
      </c>
      <c r="J2002" s="5">
        <v>112</v>
      </c>
      <c r="K2002" s="5">
        <v>1062691</v>
      </c>
      <c r="L2002" s="5">
        <v>8397950</v>
      </c>
      <c r="M2002" s="5">
        <v>833277.4</v>
      </c>
      <c r="N2002" s="5">
        <v>0.1133</v>
      </c>
      <c r="O2002" s="5">
        <v>3</v>
      </c>
      <c r="P2002" s="5">
        <v>27290</v>
      </c>
    </row>
    <row r="2003" spans="1:16" x14ac:dyDescent="0.3">
      <c r="A2003" s="5">
        <v>108</v>
      </c>
      <c r="B2003" s="5" t="s">
        <v>125</v>
      </c>
      <c r="C2003" s="5">
        <v>5</v>
      </c>
      <c r="D2003" s="5" t="s">
        <v>80</v>
      </c>
      <c r="E2003" s="5">
        <v>2024</v>
      </c>
      <c r="F2003" s="5">
        <v>4</v>
      </c>
      <c r="G2003" s="5" t="s">
        <v>61</v>
      </c>
      <c r="H2003" s="5">
        <v>8548916</v>
      </c>
      <c r="I2003" s="5">
        <v>7359037.0700000003</v>
      </c>
      <c r="J2003" s="5">
        <v>101</v>
      </c>
      <c r="K2003" s="5">
        <v>767196</v>
      </c>
      <c r="L2003" s="5">
        <v>9280760</v>
      </c>
      <c r="M2003" s="5">
        <v>1189878.93</v>
      </c>
      <c r="N2003" s="5">
        <v>0.13919999999999999</v>
      </c>
      <c r="O2003" s="5">
        <v>5</v>
      </c>
      <c r="P2003" s="5">
        <v>176384</v>
      </c>
    </row>
    <row r="2004" spans="1:16" x14ac:dyDescent="0.3">
      <c r="A2004" s="5">
        <v>21</v>
      </c>
      <c r="B2004" s="5" t="s">
        <v>125</v>
      </c>
      <c r="C2004" s="5">
        <v>5</v>
      </c>
      <c r="D2004" s="5" t="s">
        <v>80</v>
      </c>
      <c r="E2004" s="5">
        <v>2024</v>
      </c>
      <c r="F2004" s="5">
        <v>5</v>
      </c>
      <c r="G2004" s="5" t="s">
        <v>62</v>
      </c>
      <c r="H2004" s="5">
        <v>6982875</v>
      </c>
      <c r="I2004" s="5">
        <v>6187093.4400000004</v>
      </c>
      <c r="J2004" s="5">
        <v>112</v>
      </c>
      <c r="K2004" s="5">
        <v>1061492</v>
      </c>
      <c r="L2004" s="5">
        <v>8026330</v>
      </c>
      <c r="M2004" s="5">
        <v>795781.56</v>
      </c>
      <c r="N2004" s="5">
        <v>0.114</v>
      </c>
      <c r="O2004" s="5">
        <v>10</v>
      </c>
      <c r="P2004" s="5">
        <v>264406</v>
      </c>
    </row>
    <row r="2005" spans="1:16" x14ac:dyDescent="0.3">
      <c r="A2005" s="5">
        <v>108</v>
      </c>
      <c r="B2005" s="5" t="s">
        <v>125</v>
      </c>
      <c r="C2005" s="5">
        <v>5</v>
      </c>
      <c r="D2005" s="5" t="s">
        <v>80</v>
      </c>
      <c r="E2005" s="5">
        <v>2024</v>
      </c>
      <c r="F2005" s="5">
        <v>5</v>
      </c>
      <c r="G2005" s="5" t="s">
        <v>62</v>
      </c>
      <c r="H2005" s="5">
        <v>9818369</v>
      </c>
      <c r="I2005" s="5">
        <v>8637072.8399999999</v>
      </c>
      <c r="J2005" s="5">
        <v>131</v>
      </c>
      <c r="K2005" s="5">
        <v>1125476</v>
      </c>
      <c r="L2005" s="5">
        <v>10904700</v>
      </c>
      <c r="M2005" s="5">
        <v>1181296.1599999999</v>
      </c>
      <c r="N2005" s="5">
        <v>0.1203</v>
      </c>
      <c r="O2005" s="5">
        <v>10</v>
      </c>
      <c r="P2005" s="5">
        <v>495394</v>
      </c>
    </row>
    <row r="2006" spans="1:16" x14ac:dyDescent="0.3">
      <c r="A2006" s="5">
        <v>21</v>
      </c>
      <c r="B2006" s="5" t="s">
        <v>125</v>
      </c>
      <c r="C2006" s="5">
        <v>5</v>
      </c>
      <c r="D2006" s="5" t="s">
        <v>80</v>
      </c>
      <c r="E2006" s="5">
        <v>2024</v>
      </c>
      <c r="F2006" s="5">
        <v>6</v>
      </c>
      <c r="G2006" s="5" t="s">
        <v>63</v>
      </c>
      <c r="H2006" s="5">
        <v>9420343</v>
      </c>
      <c r="I2006" s="5">
        <v>7883251.1900000004</v>
      </c>
      <c r="J2006" s="5">
        <v>132</v>
      </c>
      <c r="K2006" s="5">
        <v>687860</v>
      </c>
      <c r="L2006" s="5">
        <v>10082680</v>
      </c>
      <c r="M2006" s="5">
        <v>1537091.81</v>
      </c>
      <c r="N2006" s="5">
        <v>0.16320000000000001</v>
      </c>
      <c r="O2006" s="5">
        <v>8</v>
      </c>
      <c r="P2006" s="5">
        <v>385901</v>
      </c>
    </row>
    <row r="2007" spans="1:16" x14ac:dyDescent="0.3">
      <c r="A2007" s="5">
        <v>108</v>
      </c>
      <c r="B2007" s="5" t="s">
        <v>125</v>
      </c>
      <c r="C2007" s="5">
        <v>5</v>
      </c>
      <c r="D2007" s="5" t="s">
        <v>80</v>
      </c>
      <c r="E2007" s="5">
        <v>2024</v>
      </c>
      <c r="F2007" s="5">
        <v>6</v>
      </c>
      <c r="G2007" s="5" t="s">
        <v>63</v>
      </c>
      <c r="H2007" s="5">
        <v>10705175</v>
      </c>
      <c r="I2007" s="5">
        <v>8862097.0199999996</v>
      </c>
      <c r="J2007" s="5">
        <v>138</v>
      </c>
      <c r="K2007" s="5">
        <v>698257</v>
      </c>
      <c r="L2007" s="5">
        <v>11362930</v>
      </c>
      <c r="M2007" s="5">
        <v>1843077.98</v>
      </c>
      <c r="N2007" s="5">
        <v>0.17219999999999999</v>
      </c>
      <c r="O2007" s="5">
        <v>12</v>
      </c>
      <c r="P2007" s="5">
        <v>313398</v>
      </c>
    </row>
    <row r="2008" spans="1:16" x14ac:dyDescent="0.3">
      <c r="A2008" s="5">
        <v>21</v>
      </c>
      <c r="B2008" s="5" t="s">
        <v>125</v>
      </c>
      <c r="C2008" s="5">
        <v>5</v>
      </c>
      <c r="D2008" s="5" t="s">
        <v>80</v>
      </c>
      <c r="E2008" s="5">
        <v>2024</v>
      </c>
      <c r="F2008" s="5">
        <v>7</v>
      </c>
      <c r="G2008" s="5" t="s">
        <v>64</v>
      </c>
      <c r="H2008" s="5">
        <v>6075390</v>
      </c>
      <c r="I2008" s="5">
        <v>5378944.6699999999</v>
      </c>
      <c r="J2008" s="5">
        <v>100</v>
      </c>
      <c r="K2008" s="5">
        <v>846558</v>
      </c>
      <c r="L2008" s="5">
        <v>6911020</v>
      </c>
      <c r="M2008" s="5">
        <v>696445.33</v>
      </c>
      <c r="N2008" s="5">
        <v>0.11459999999999999</v>
      </c>
      <c r="O2008" s="5">
        <v>7</v>
      </c>
      <c r="P2008" s="5">
        <v>407138</v>
      </c>
    </row>
    <row r="2009" spans="1:16" x14ac:dyDescent="0.3">
      <c r="A2009" s="5">
        <v>108</v>
      </c>
      <c r="B2009" s="5" t="s">
        <v>125</v>
      </c>
      <c r="C2009" s="5">
        <v>5</v>
      </c>
      <c r="D2009" s="5" t="s">
        <v>80</v>
      </c>
      <c r="E2009" s="5">
        <v>2024</v>
      </c>
      <c r="F2009" s="5">
        <v>7</v>
      </c>
      <c r="G2009" s="5" t="s">
        <v>64</v>
      </c>
      <c r="H2009" s="5">
        <v>10176629</v>
      </c>
      <c r="I2009" s="5">
        <v>8509494.4800000004</v>
      </c>
      <c r="J2009" s="5">
        <v>143</v>
      </c>
      <c r="K2009" s="5">
        <v>847228</v>
      </c>
      <c r="L2009" s="5">
        <v>10985930</v>
      </c>
      <c r="M2009" s="5">
        <v>1667134.52</v>
      </c>
      <c r="N2009" s="5">
        <v>0.1638</v>
      </c>
      <c r="O2009" s="5">
        <v>11</v>
      </c>
      <c r="P2009" s="5">
        <v>595065</v>
      </c>
    </row>
    <row r="2010" spans="1:16" x14ac:dyDescent="0.3">
      <c r="A2010" s="5">
        <v>21</v>
      </c>
      <c r="B2010" s="5" t="s">
        <v>125</v>
      </c>
      <c r="C2010" s="5">
        <v>5</v>
      </c>
      <c r="D2010" s="5" t="s">
        <v>80</v>
      </c>
      <c r="E2010" s="5">
        <v>2024</v>
      </c>
      <c r="F2010" s="5">
        <v>8</v>
      </c>
      <c r="G2010" s="5" t="s">
        <v>65</v>
      </c>
      <c r="H2010" s="5">
        <v>9198217</v>
      </c>
      <c r="I2010" s="5">
        <v>7700503.6799999997</v>
      </c>
      <c r="J2010" s="5">
        <v>132</v>
      </c>
      <c r="K2010" s="5">
        <v>836368</v>
      </c>
      <c r="L2010" s="5">
        <v>9999140</v>
      </c>
      <c r="M2010" s="5">
        <v>1497713.32</v>
      </c>
      <c r="N2010" s="5">
        <v>0.1628</v>
      </c>
      <c r="O2010" s="5">
        <v>9</v>
      </c>
      <c r="P2010" s="5">
        <v>391602</v>
      </c>
    </row>
    <row r="2011" spans="1:16" x14ac:dyDescent="0.3">
      <c r="A2011" s="5">
        <v>108</v>
      </c>
      <c r="B2011" s="5" t="s">
        <v>125</v>
      </c>
      <c r="C2011" s="5">
        <v>5</v>
      </c>
      <c r="D2011" s="5" t="s">
        <v>80</v>
      </c>
      <c r="E2011" s="5">
        <v>2024</v>
      </c>
      <c r="F2011" s="5">
        <v>8</v>
      </c>
      <c r="G2011" s="5" t="s">
        <v>65</v>
      </c>
      <c r="H2011" s="5">
        <v>7342462</v>
      </c>
      <c r="I2011" s="5">
        <v>6355349.3300000001</v>
      </c>
      <c r="J2011" s="5">
        <v>121</v>
      </c>
      <c r="K2011" s="5">
        <v>858283</v>
      </c>
      <c r="L2011" s="5">
        <v>8179280</v>
      </c>
      <c r="M2011" s="5">
        <v>987112.67</v>
      </c>
      <c r="N2011" s="5">
        <v>0.13439999999999999</v>
      </c>
      <c r="O2011" s="5">
        <v>11</v>
      </c>
      <c r="P2011" s="5">
        <v>195091</v>
      </c>
    </row>
    <row r="2012" spans="1:16" x14ac:dyDescent="0.3">
      <c r="A2012" s="5">
        <v>21</v>
      </c>
      <c r="B2012" s="5" t="s">
        <v>125</v>
      </c>
      <c r="C2012" s="5">
        <v>5</v>
      </c>
      <c r="D2012" s="5" t="s">
        <v>80</v>
      </c>
      <c r="E2012" s="5">
        <v>2024</v>
      </c>
      <c r="F2012" s="5">
        <v>9</v>
      </c>
      <c r="G2012" s="5" t="s">
        <v>66</v>
      </c>
      <c r="H2012" s="5">
        <v>9565208</v>
      </c>
      <c r="I2012" s="5">
        <v>7863567.8200000003</v>
      </c>
      <c r="J2012" s="5">
        <v>134</v>
      </c>
      <c r="K2012" s="5">
        <v>622827</v>
      </c>
      <c r="L2012" s="5">
        <v>10162120</v>
      </c>
      <c r="M2012" s="5">
        <v>1701640.18</v>
      </c>
      <c r="N2012" s="5">
        <v>0.1779</v>
      </c>
      <c r="O2012" s="5">
        <v>6</v>
      </c>
      <c r="P2012" s="5">
        <v>119294</v>
      </c>
    </row>
    <row r="2013" spans="1:16" x14ac:dyDescent="0.3">
      <c r="A2013" s="5">
        <v>108</v>
      </c>
      <c r="B2013" s="5" t="s">
        <v>125</v>
      </c>
      <c r="C2013" s="5">
        <v>5</v>
      </c>
      <c r="D2013" s="5" t="s">
        <v>80</v>
      </c>
      <c r="E2013" s="5">
        <v>2024</v>
      </c>
      <c r="F2013" s="5">
        <v>9</v>
      </c>
      <c r="G2013" s="5" t="s">
        <v>66</v>
      </c>
      <c r="H2013" s="5">
        <v>9575142</v>
      </c>
      <c r="I2013" s="5">
        <v>7895899.0099999998</v>
      </c>
      <c r="J2013" s="5">
        <v>155</v>
      </c>
      <c r="K2013" s="5">
        <v>633773</v>
      </c>
      <c r="L2013" s="5">
        <v>10186770</v>
      </c>
      <c r="M2013" s="5">
        <v>1679242.99</v>
      </c>
      <c r="N2013" s="5">
        <v>0.1754</v>
      </c>
      <c r="O2013" s="5">
        <v>11</v>
      </c>
      <c r="P2013" s="5">
        <v>200033</v>
      </c>
    </row>
    <row r="2014" spans="1:16" x14ac:dyDescent="0.3">
      <c r="A2014" s="5">
        <v>21</v>
      </c>
      <c r="B2014" s="5" t="s">
        <v>125</v>
      </c>
      <c r="C2014" s="5">
        <v>5</v>
      </c>
      <c r="D2014" s="5" t="s">
        <v>80</v>
      </c>
      <c r="E2014" s="5">
        <v>2024</v>
      </c>
      <c r="F2014" s="5">
        <v>10</v>
      </c>
      <c r="G2014" s="5" t="s">
        <v>67</v>
      </c>
      <c r="H2014" s="5">
        <v>13153456</v>
      </c>
      <c r="I2014" s="5">
        <v>10554730.310000001</v>
      </c>
      <c r="J2014" s="5">
        <v>176</v>
      </c>
      <c r="K2014" s="5">
        <v>413491</v>
      </c>
      <c r="L2014" s="5">
        <v>13528260</v>
      </c>
      <c r="M2014" s="5">
        <v>2598725.69</v>
      </c>
      <c r="N2014" s="5">
        <v>0.1976</v>
      </c>
      <c r="O2014" s="5">
        <v>16</v>
      </c>
      <c r="P2014" s="5">
        <v>512333</v>
      </c>
    </row>
    <row r="2015" spans="1:16" x14ac:dyDescent="0.3">
      <c r="A2015" s="5">
        <v>108</v>
      </c>
      <c r="B2015" s="5" t="s">
        <v>125</v>
      </c>
      <c r="C2015" s="5">
        <v>5</v>
      </c>
      <c r="D2015" s="5" t="s">
        <v>80</v>
      </c>
      <c r="E2015" s="5">
        <v>2024</v>
      </c>
      <c r="F2015" s="5">
        <v>10</v>
      </c>
      <c r="G2015" s="5" t="s">
        <v>67</v>
      </c>
      <c r="H2015" s="5">
        <v>12415384</v>
      </c>
      <c r="I2015" s="5">
        <v>9783584.7799999993</v>
      </c>
      <c r="J2015" s="5">
        <v>180</v>
      </c>
      <c r="K2015" s="5">
        <v>347554</v>
      </c>
      <c r="L2015" s="5">
        <v>12715240</v>
      </c>
      <c r="M2015" s="5">
        <v>2631799.2200000002</v>
      </c>
      <c r="N2015" s="5">
        <v>0.21199999999999999</v>
      </c>
      <c r="O2015" s="5">
        <v>20</v>
      </c>
      <c r="P2015" s="5">
        <v>351745</v>
      </c>
    </row>
    <row r="2016" spans="1:16" x14ac:dyDescent="0.3">
      <c r="A2016" s="5">
        <v>21</v>
      </c>
      <c r="B2016" s="5" t="s">
        <v>125</v>
      </c>
      <c r="C2016" s="5">
        <v>5</v>
      </c>
      <c r="D2016" s="5" t="s">
        <v>80</v>
      </c>
      <c r="E2016" s="5">
        <v>2024</v>
      </c>
      <c r="F2016" s="5">
        <v>11</v>
      </c>
      <c r="G2016" s="5" t="s">
        <v>68</v>
      </c>
      <c r="H2016" s="5">
        <v>11551222</v>
      </c>
      <c r="I2016" s="5">
        <v>9476077.9299999997</v>
      </c>
      <c r="J2016" s="5">
        <v>166</v>
      </c>
      <c r="K2016" s="5">
        <v>900812</v>
      </c>
      <c r="L2016" s="5">
        <v>12419680</v>
      </c>
      <c r="M2016" s="5">
        <v>2075144.07</v>
      </c>
      <c r="N2016" s="5">
        <v>0.17960000000000001</v>
      </c>
      <c r="O2016" s="5">
        <v>22</v>
      </c>
      <c r="P2016" s="5">
        <v>717124</v>
      </c>
    </row>
    <row r="2017" spans="1:16" x14ac:dyDescent="0.3">
      <c r="A2017" s="5">
        <v>108</v>
      </c>
      <c r="B2017" s="5" t="s">
        <v>125</v>
      </c>
      <c r="C2017" s="5">
        <v>5</v>
      </c>
      <c r="D2017" s="5" t="s">
        <v>80</v>
      </c>
      <c r="E2017" s="5">
        <v>2024</v>
      </c>
      <c r="F2017" s="5">
        <v>11</v>
      </c>
      <c r="G2017" s="5" t="s">
        <v>68</v>
      </c>
      <c r="H2017" s="5">
        <v>13974768</v>
      </c>
      <c r="I2017" s="5">
        <v>11744163.93</v>
      </c>
      <c r="J2017" s="5">
        <v>194</v>
      </c>
      <c r="K2017" s="5">
        <v>1262909</v>
      </c>
      <c r="L2017" s="5">
        <v>15183250</v>
      </c>
      <c r="M2017" s="5">
        <v>2230604.0699999998</v>
      </c>
      <c r="N2017" s="5">
        <v>0.15959999999999999</v>
      </c>
      <c r="O2017" s="5">
        <v>25</v>
      </c>
      <c r="P2017" s="5">
        <v>702013</v>
      </c>
    </row>
    <row r="2018" spans="1:16" x14ac:dyDescent="0.3">
      <c r="A2018" s="5">
        <v>21</v>
      </c>
      <c r="B2018" s="5" t="s">
        <v>125</v>
      </c>
      <c r="C2018" s="5">
        <v>5</v>
      </c>
      <c r="D2018" s="5" t="s">
        <v>80</v>
      </c>
      <c r="E2018" s="5">
        <v>2024</v>
      </c>
      <c r="F2018" s="5">
        <v>12</v>
      </c>
      <c r="G2018" s="5" t="s">
        <v>69</v>
      </c>
      <c r="H2018" s="5">
        <v>11484405</v>
      </c>
      <c r="I2018" s="5">
        <v>9164460.9700000007</v>
      </c>
      <c r="J2018" s="5">
        <v>153</v>
      </c>
      <c r="K2018" s="5">
        <v>439573</v>
      </c>
      <c r="L2018" s="5">
        <v>11889400</v>
      </c>
      <c r="M2018" s="5">
        <v>2319944.0299999998</v>
      </c>
      <c r="N2018" s="5">
        <v>0.20200000000000001</v>
      </c>
      <c r="O2018" s="5">
        <v>14</v>
      </c>
      <c r="P2018" s="5">
        <v>231309</v>
      </c>
    </row>
    <row r="2019" spans="1:16" x14ac:dyDescent="0.3">
      <c r="A2019" s="5">
        <v>108</v>
      </c>
      <c r="B2019" s="5" t="s">
        <v>125</v>
      </c>
      <c r="C2019" s="5">
        <v>5</v>
      </c>
      <c r="D2019" s="5" t="s">
        <v>80</v>
      </c>
      <c r="E2019" s="5">
        <v>2024</v>
      </c>
      <c r="F2019" s="5">
        <v>12</v>
      </c>
      <c r="G2019" s="5" t="s">
        <v>69</v>
      </c>
      <c r="H2019" s="5">
        <v>14431650</v>
      </c>
      <c r="I2019" s="5">
        <v>11454269.67</v>
      </c>
      <c r="J2019" s="5">
        <v>205</v>
      </c>
      <c r="K2019" s="5">
        <v>449666</v>
      </c>
      <c r="L2019" s="5">
        <v>14825620</v>
      </c>
      <c r="M2019" s="5">
        <v>2977380.33</v>
      </c>
      <c r="N2019" s="5">
        <v>0.20630000000000001</v>
      </c>
      <c r="O2019" s="5">
        <v>7</v>
      </c>
      <c r="P2019" s="5">
        <v>95373</v>
      </c>
    </row>
    <row r="2020" spans="1:16" x14ac:dyDescent="0.3">
      <c r="A2020" s="5">
        <v>71</v>
      </c>
      <c r="B2020" s="5" t="s">
        <v>126</v>
      </c>
      <c r="C2020" s="5">
        <v>5</v>
      </c>
      <c r="D2020" s="5" t="s">
        <v>80</v>
      </c>
      <c r="E2020" s="5">
        <v>2021</v>
      </c>
      <c r="F2020" s="5">
        <v>1</v>
      </c>
      <c r="G2020" s="5" t="s">
        <v>22</v>
      </c>
      <c r="H2020" s="5">
        <v>874952</v>
      </c>
      <c r="I2020" s="5">
        <v>697511.27</v>
      </c>
      <c r="J2020" s="5">
        <v>22</v>
      </c>
      <c r="K2020" s="5">
        <v>47465</v>
      </c>
      <c r="L2020" s="5">
        <v>919750</v>
      </c>
      <c r="M2020" s="5">
        <v>177440.73</v>
      </c>
      <c r="N2020" s="5">
        <v>0.20280000000000001</v>
      </c>
      <c r="O2020" s="5">
        <v>3</v>
      </c>
      <c r="P2020" s="5">
        <v>90133</v>
      </c>
    </row>
    <row r="2021" spans="1:16" x14ac:dyDescent="0.3">
      <c r="A2021" s="5">
        <v>71</v>
      </c>
      <c r="B2021" s="5" t="s">
        <v>126</v>
      </c>
      <c r="C2021" s="5">
        <v>5</v>
      </c>
      <c r="D2021" s="5" t="s">
        <v>80</v>
      </c>
      <c r="E2021" s="5">
        <v>2021</v>
      </c>
      <c r="F2021" s="5">
        <v>2</v>
      </c>
      <c r="G2021" s="5" t="s">
        <v>23</v>
      </c>
      <c r="H2021" s="5">
        <v>1972758</v>
      </c>
      <c r="I2021" s="5">
        <v>1757344.81</v>
      </c>
      <c r="J2021" s="5">
        <v>25</v>
      </c>
      <c r="K2021" s="5">
        <v>273780</v>
      </c>
      <c r="L2021" s="5">
        <v>2235930</v>
      </c>
      <c r="M2021" s="5">
        <v>215413.19</v>
      </c>
      <c r="N2021" s="5">
        <v>0.10920000000000001</v>
      </c>
      <c r="O2021" s="5">
        <v>1</v>
      </c>
      <c r="P2021" s="5">
        <v>51810</v>
      </c>
    </row>
    <row r="2022" spans="1:16" x14ac:dyDescent="0.3">
      <c r="A2022" s="5">
        <v>71</v>
      </c>
      <c r="B2022" s="5" t="s">
        <v>126</v>
      </c>
      <c r="C2022" s="5">
        <v>5</v>
      </c>
      <c r="D2022" s="5" t="s">
        <v>80</v>
      </c>
      <c r="E2022" s="5">
        <v>2021</v>
      </c>
      <c r="F2022" s="5">
        <v>3</v>
      </c>
      <c r="G2022" s="5" t="s">
        <v>24</v>
      </c>
      <c r="H2022" s="5">
        <v>1672096</v>
      </c>
      <c r="I2022" s="5">
        <v>1337964.32</v>
      </c>
      <c r="J2022" s="5">
        <v>26</v>
      </c>
      <c r="K2022" s="5">
        <v>75063</v>
      </c>
      <c r="L2022" s="5">
        <v>1738300</v>
      </c>
      <c r="M2022" s="5">
        <v>334131.68</v>
      </c>
      <c r="N2022" s="5">
        <v>0.19980000000000001</v>
      </c>
      <c r="O2022" s="5">
        <v>3</v>
      </c>
      <c r="P2022" s="5">
        <v>164323</v>
      </c>
    </row>
    <row r="2023" spans="1:16" x14ac:dyDescent="0.3">
      <c r="A2023" s="5">
        <v>71</v>
      </c>
      <c r="B2023" s="5" t="s">
        <v>126</v>
      </c>
      <c r="C2023" s="5">
        <v>5</v>
      </c>
      <c r="D2023" s="5" t="s">
        <v>80</v>
      </c>
      <c r="E2023" s="5">
        <v>2021</v>
      </c>
      <c r="F2023" s="5">
        <v>4</v>
      </c>
      <c r="G2023" s="5" t="s">
        <v>25</v>
      </c>
      <c r="H2023" s="5">
        <v>1732385</v>
      </c>
      <c r="I2023" s="5">
        <v>1539897.35</v>
      </c>
      <c r="J2023" s="5">
        <v>33</v>
      </c>
      <c r="K2023" s="5">
        <v>283861</v>
      </c>
      <c r="L2023" s="5">
        <v>2014020</v>
      </c>
      <c r="M2023" s="5">
        <v>192487.65</v>
      </c>
      <c r="N2023" s="5">
        <v>0.1111</v>
      </c>
      <c r="O2023" s="5">
        <v>2</v>
      </c>
      <c r="P2023" s="5">
        <v>1406</v>
      </c>
    </row>
    <row r="2024" spans="1:16" x14ac:dyDescent="0.3">
      <c r="A2024" s="5">
        <v>71</v>
      </c>
      <c r="B2024" s="5" t="s">
        <v>126</v>
      </c>
      <c r="C2024" s="5">
        <v>5</v>
      </c>
      <c r="D2024" s="5" t="s">
        <v>80</v>
      </c>
      <c r="E2024" s="5">
        <v>2021</v>
      </c>
      <c r="F2024" s="5">
        <v>5</v>
      </c>
      <c r="G2024" s="5" t="s">
        <v>26</v>
      </c>
      <c r="H2024" s="5">
        <v>2759474</v>
      </c>
      <c r="I2024" s="5">
        <v>2324978.9</v>
      </c>
      <c r="J2024" s="5">
        <v>33</v>
      </c>
      <c r="K2024" s="5">
        <v>226050</v>
      </c>
      <c r="L2024" s="5">
        <v>2978670</v>
      </c>
      <c r="M2024" s="5">
        <v>434495.1</v>
      </c>
      <c r="N2024" s="5">
        <v>0.1575</v>
      </c>
      <c r="O2024" s="5">
        <v>2</v>
      </c>
      <c r="P2024" s="5">
        <v>19077</v>
      </c>
    </row>
    <row r="2025" spans="1:16" x14ac:dyDescent="0.3">
      <c r="A2025" s="5">
        <v>71</v>
      </c>
      <c r="B2025" s="5" t="s">
        <v>126</v>
      </c>
      <c r="C2025" s="5">
        <v>5</v>
      </c>
      <c r="D2025" s="5" t="s">
        <v>80</v>
      </c>
      <c r="E2025" s="5">
        <v>2021</v>
      </c>
      <c r="F2025" s="5">
        <v>6</v>
      </c>
      <c r="G2025" s="5" t="s">
        <v>27</v>
      </c>
      <c r="H2025" s="5">
        <v>1593026</v>
      </c>
      <c r="I2025" s="5">
        <v>1291916.9099999999</v>
      </c>
      <c r="J2025" s="5">
        <v>33</v>
      </c>
      <c r="K2025" s="5">
        <v>118586</v>
      </c>
      <c r="L2025" s="5">
        <v>1700010</v>
      </c>
      <c r="M2025" s="5">
        <v>301109.09000000003</v>
      </c>
      <c r="N2025" s="5">
        <v>0.189</v>
      </c>
      <c r="O2025" s="5">
        <v>2</v>
      </c>
      <c r="P2025" s="5">
        <v>8577</v>
      </c>
    </row>
    <row r="2026" spans="1:16" x14ac:dyDescent="0.3">
      <c r="A2026" s="5">
        <v>71</v>
      </c>
      <c r="B2026" s="5" t="s">
        <v>126</v>
      </c>
      <c r="C2026" s="5">
        <v>5</v>
      </c>
      <c r="D2026" s="5" t="s">
        <v>80</v>
      </c>
      <c r="E2026" s="5">
        <v>2021</v>
      </c>
      <c r="F2026" s="5">
        <v>7</v>
      </c>
      <c r="G2026" s="5" t="s">
        <v>28</v>
      </c>
      <c r="H2026" s="5">
        <v>1479033</v>
      </c>
      <c r="I2026" s="5">
        <v>1336710.67</v>
      </c>
      <c r="J2026" s="5">
        <v>28</v>
      </c>
      <c r="K2026" s="5">
        <v>258488</v>
      </c>
      <c r="L2026" s="5">
        <v>1734100</v>
      </c>
      <c r="M2026" s="5">
        <v>142322.32999999999</v>
      </c>
      <c r="N2026" s="5">
        <v>9.6199999999999994E-2</v>
      </c>
      <c r="O2026" s="5">
        <v>2</v>
      </c>
      <c r="P2026" s="5">
        <v>4431</v>
      </c>
    </row>
    <row r="2027" spans="1:16" x14ac:dyDescent="0.3">
      <c r="A2027" s="5">
        <v>71</v>
      </c>
      <c r="B2027" s="5" t="s">
        <v>126</v>
      </c>
      <c r="C2027" s="5">
        <v>5</v>
      </c>
      <c r="D2027" s="5" t="s">
        <v>80</v>
      </c>
      <c r="E2027" s="5">
        <v>2021</v>
      </c>
      <c r="F2027" s="5">
        <v>8</v>
      </c>
      <c r="G2027" s="5" t="s">
        <v>29</v>
      </c>
      <c r="H2027" s="5">
        <v>2291209</v>
      </c>
      <c r="I2027" s="5">
        <v>2099334.2799999998</v>
      </c>
      <c r="J2027" s="5">
        <v>30</v>
      </c>
      <c r="K2027" s="5">
        <v>316281</v>
      </c>
      <c r="L2027" s="5">
        <v>2606250</v>
      </c>
      <c r="M2027" s="5">
        <v>191874.72</v>
      </c>
      <c r="N2027" s="5">
        <v>8.3699999999999997E-2</v>
      </c>
      <c r="O2027" s="5">
        <v>1</v>
      </c>
      <c r="P2027" s="5">
        <v>74696</v>
      </c>
    </row>
    <row r="2028" spans="1:16" x14ac:dyDescent="0.3">
      <c r="A2028" s="5">
        <v>71</v>
      </c>
      <c r="B2028" s="5" t="s">
        <v>126</v>
      </c>
      <c r="C2028" s="5">
        <v>5</v>
      </c>
      <c r="D2028" s="5" t="s">
        <v>80</v>
      </c>
      <c r="E2028" s="5">
        <v>2021</v>
      </c>
      <c r="F2028" s="5">
        <v>9</v>
      </c>
      <c r="G2028" s="5" t="s">
        <v>30</v>
      </c>
      <c r="H2028" s="5">
        <v>1955272</v>
      </c>
      <c r="I2028" s="5">
        <v>1735847.33</v>
      </c>
      <c r="J2028" s="5">
        <v>30</v>
      </c>
      <c r="K2028" s="5">
        <v>285006</v>
      </c>
      <c r="L2028" s="5">
        <v>2235380</v>
      </c>
      <c r="M2028" s="5">
        <v>219424.67</v>
      </c>
      <c r="N2028" s="5">
        <v>0.11219999999999999</v>
      </c>
      <c r="O2028" s="5">
        <v>3</v>
      </c>
      <c r="P2028" s="5">
        <v>12228</v>
      </c>
    </row>
    <row r="2029" spans="1:16" x14ac:dyDescent="0.3">
      <c r="A2029" s="5">
        <v>71</v>
      </c>
      <c r="B2029" s="5" t="s">
        <v>126</v>
      </c>
      <c r="C2029" s="5">
        <v>5</v>
      </c>
      <c r="D2029" s="5" t="s">
        <v>80</v>
      </c>
      <c r="E2029" s="5">
        <v>2021</v>
      </c>
      <c r="F2029" s="5">
        <v>10</v>
      </c>
      <c r="G2029" s="5" t="s">
        <v>31</v>
      </c>
      <c r="H2029" s="5">
        <v>3768206</v>
      </c>
      <c r="I2029" s="5">
        <v>3225677.19</v>
      </c>
      <c r="J2029" s="5">
        <v>38</v>
      </c>
      <c r="K2029" s="5">
        <v>245668</v>
      </c>
      <c r="L2029" s="5">
        <v>4006340</v>
      </c>
      <c r="M2029" s="5">
        <v>542528.81000000006</v>
      </c>
      <c r="N2029" s="5">
        <v>0.14399999999999999</v>
      </c>
      <c r="O2029" s="5">
        <v>3</v>
      </c>
      <c r="P2029" s="5">
        <v>301418</v>
      </c>
    </row>
    <row r="2030" spans="1:16" x14ac:dyDescent="0.3">
      <c r="A2030" s="5">
        <v>71</v>
      </c>
      <c r="B2030" s="5" t="s">
        <v>126</v>
      </c>
      <c r="C2030" s="5">
        <v>5</v>
      </c>
      <c r="D2030" s="5" t="s">
        <v>80</v>
      </c>
      <c r="E2030" s="5">
        <v>2021</v>
      </c>
      <c r="F2030" s="5">
        <v>11</v>
      </c>
      <c r="G2030" s="5" t="s">
        <v>32</v>
      </c>
      <c r="H2030" s="5">
        <v>4794286</v>
      </c>
      <c r="I2030" s="5">
        <v>3869029.5</v>
      </c>
      <c r="J2030" s="5">
        <v>55</v>
      </c>
      <c r="K2030" s="5">
        <v>139661</v>
      </c>
      <c r="L2030" s="5">
        <v>4907150</v>
      </c>
      <c r="M2030" s="5">
        <v>925256.5</v>
      </c>
      <c r="N2030" s="5">
        <v>0.193</v>
      </c>
      <c r="O2030" s="5">
        <v>5</v>
      </c>
      <c r="P2030" s="5">
        <v>187731</v>
      </c>
    </row>
    <row r="2031" spans="1:16" x14ac:dyDescent="0.3">
      <c r="A2031" s="5">
        <v>71</v>
      </c>
      <c r="B2031" s="5" t="s">
        <v>126</v>
      </c>
      <c r="C2031" s="5">
        <v>5</v>
      </c>
      <c r="D2031" s="5" t="s">
        <v>80</v>
      </c>
      <c r="E2031" s="5">
        <v>2021</v>
      </c>
      <c r="F2031" s="5">
        <v>12</v>
      </c>
      <c r="G2031" s="5" t="s">
        <v>33</v>
      </c>
      <c r="H2031" s="5">
        <v>2182832</v>
      </c>
      <c r="I2031" s="5">
        <v>1763765.43</v>
      </c>
      <c r="J2031" s="5">
        <v>32</v>
      </c>
      <c r="K2031" s="5">
        <v>74716</v>
      </c>
      <c r="L2031" s="5">
        <v>2251640</v>
      </c>
      <c r="M2031" s="5">
        <v>419066.57</v>
      </c>
      <c r="N2031" s="5">
        <v>0.192</v>
      </c>
      <c r="O2031" s="5">
        <v>4</v>
      </c>
      <c r="P2031" s="5">
        <v>194448</v>
      </c>
    </row>
    <row r="2032" spans="1:16" x14ac:dyDescent="0.3">
      <c r="A2032" s="5">
        <v>71</v>
      </c>
      <c r="B2032" s="5" t="s">
        <v>126</v>
      </c>
      <c r="C2032" s="5">
        <v>5</v>
      </c>
      <c r="D2032" s="5" t="s">
        <v>80</v>
      </c>
      <c r="E2032" s="5">
        <v>2022</v>
      </c>
      <c r="F2032" s="5">
        <v>1</v>
      </c>
      <c r="G2032" s="5" t="s">
        <v>34</v>
      </c>
      <c r="H2032" s="5">
        <v>3320427</v>
      </c>
      <c r="I2032" s="5">
        <v>2963459.71</v>
      </c>
      <c r="J2032" s="5">
        <v>38</v>
      </c>
      <c r="K2032" s="5">
        <v>416350</v>
      </c>
      <c r="L2032" s="5">
        <v>3729650</v>
      </c>
      <c r="M2032" s="5">
        <v>356967.29</v>
      </c>
      <c r="N2032" s="5">
        <v>0.1075</v>
      </c>
      <c r="O2032" s="5">
        <v>2</v>
      </c>
      <c r="P2032" s="5">
        <v>116698</v>
      </c>
    </row>
    <row r="2033" spans="1:16" x14ac:dyDescent="0.3">
      <c r="A2033" s="5">
        <v>71</v>
      </c>
      <c r="B2033" s="5" t="s">
        <v>126</v>
      </c>
      <c r="C2033" s="5">
        <v>5</v>
      </c>
      <c r="D2033" s="5" t="s">
        <v>80</v>
      </c>
      <c r="E2033" s="5">
        <v>2022</v>
      </c>
      <c r="F2033" s="5">
        <v>2</v>
      </c>
      <c r="G2033" s="5" t="s">
        <v>35</v>
      </c>
      <c r="H2033" s="5">
        <v>1607640</v>
      </c>
      <c r="I2033" s="5">
        <v>1456977.04</v>
      </c>
      <c r="J2033" s="5">
        <v>25</v>
      </c>
      <c r="K2033" s="5">
        <v>253779</v>
      </c>
      <c r="L2033" s="5">
        <v>1857730</v>
      </c>
      <c r="M2033" s="5">
        <v>150662.96</v>
      </c>
      <c r="N2033" s="5">
        <v>9.3700000000000006E-2</v>
      </c>
      <c r="O2033" s="5">
        <v>4</v>
      </c>
      <c r="P2033" s="5">
        <v>82317</v>
      </c>
    </row>
    <row r="2034" spans="1:16" x14ac:dyDescent="0.3">
      <c r="A2034" s="5">
        <v>71</v>
      </c>
      <c r="B2034" s="5" t="s">
        <v>126</v>
      </c>
      <c r="C2034" s="5">
        <v>5</v>
      </c>
      <c r="D2034" s="5" t="s">
        <v>80</v>
      </c>
      <c r="E2034" s="5">
        <v>2022</v>
      </c>
      <c r="F2034" s="5">
        <v>3</v>
      </c>
      <c r="G2034" s="5" t="s">
        <v>36</v>
      </c>
      <c r="H2034" s="5">
        <v>3581072</v>
      </c>
      <c r="I2034" s="5">
        <v>2988917.69</v>
      </c>
      <c r="J2034" s="5">
        <v>47</v>
      </c>
      <c r="K2034" s="5">
        <v>260655</v>
      </c>
      <c r="L2034" s="5">
        <v>3826780</v>
      </c>
      <c r="M2034" s="5">
        <v>592154.31000000006</v>
      </c>
      <c r="N2034" s="5">
        <v>0.16539999999999999</v>
      </c>
      <c r="O2034" s="5">
        <v>1</v>
      </c>
      <c r="P2034" s="5">
        <v>2778</v>
      </c>
    </row>
    <row r="2035" spans="1:16" x14ac:dyDescent="0.3">
      <c r="A2035" s="5">
        <v>71</v>
      </c>
      <c r="B2035" s="5" t="s">
        <v>126</v>
      </c>
      <c r="C2035" s="5">
        <v>5</v>
      </c>
      <c r="D2035" s="5" t="s">
        <v>80</v>
      </c>
      <c r="E2035" s="5">
        <v>2022</v>
      </c>
      <c r="F2035" s="5">
        <v>4</v>
      </c>
      <c r="G2035" s="5" t="s">
        <v>37</v>
      </c>
      <c r="H2035" s="5">
        <v>3710677</v>
      </c>
      <c r="I2035" s="5">
        <v>3318707.28</v>
      </c>
      <c r="J2035" s="5">
        <v>42</v>
      </c>
      <c r="K2035" s="5">
        <v>572358</v>
      </c>
      <c r="L2035" s="5">
        <v>4278770</v>
      </c>
      <c r="M2035" s="5">
        <v>391969.72</v>
      </c>
      <c r="N2035" s="5">
        <v>0.1056</v>
      </c>
      <c r="O2035" s="5">
        <v>2</v>
      </c>
      <c r="P2035" s="5">
        <v>57158</v>
      </c>
    </row>
    <row r="2036" spans="1:16" x14ac:dyDescent="0.3">
      <c r="A2036" s="5">
        <v>71</v>
      </c>
      <c r="B2036" s="5" t="s">
        <v>126</v>
      </c>
      <c r="C2036" s="5">
        <v>5</v>
      </c>
      <c r="D2036" s="5" t="s">
        <v>80</v>
      </c>
      <c r="E2036" s="5">
        <v>2022</v>
      </c>
      <c r="F2036" s="5">
        <v>5</v>
      </c>
      <c r="G2036" s="5" t="s">
        <v>38</v>
      </c>
      <c r="H2036" s="5">
        <v>3537990</v>
      </c>
      <c r="I2036" s="5">
        <v>2935853.5</v>
      </c>
      <c r="J2036" s="5">
        <v>47</v>
      </c>
      <c r="K2036" s="5">
        <v>259888</v>
      </c>
      <c r="L2036" s="5">
        <v>3784210</v>
      </c>
      <c r="M2036" s="5">
        <v>602136.5</v>
      </c>
      <c r="N2036" s="5">
        <v>0.17019999999999999</v>
      </c>
      <c r="O2036" s="5">
        <v>4</v>
      </c>
      <c r="P2036" s="5">
        <v>212645</v>
      </c>
    </row>
    <row r="2037" spans="1:16" x14ac:dyDescent="0.3">
      <c r="A2037" s="5">
        <v>71</v>
      </c>
      <c r="B2037" s="5" t="s">
        <v>126</v>
      </c>
      <c r="C2037" s="5">
        <v>5</v>
      </c>
      <c r="D2037" s="5" t="s">
        <v>80</v>
      </c>
      <c r="E2037" s="5">
        <v>2022</v>
      </c>
      <c r="F2037" s="5">
        <v>6</v>
      </c>
      <c r="G2037" s="5" t="s">
        <v>39</v>
      </c>
      <c r="H2037" s="5">
        <v>2938233</v>
      </c>
      <c r="I2037" s="5">
        <v>2644421.06</v>
      </c>
      <c r="J2037" s="5">
        <v>53</v>
      </c>
      <c r="K2037" s="5">
        <v>413720</v>
      </c>
      <c r="L2037" s="5">
        <v>3342390</v>
      </c>
      <c r="M2037" s="5">
        <v>293811.94</v>
      </c>
      <c r="N2037" s="5">
        <v>0.1</v>
      </c>
      <c r="O2037" s="5">
        <v>3</v>
      </c>
      <c r="P2037" s="5">
        <v>31609</v>
      </c>
    </row>
    <row r="2038" spans="1:16" x14ac:dyDescent="0.3">
      <c r="A2038" s="5">
        <v>71</v>
      </c>
      <c r="B2038" s="5" t="s">
        <v>126</v>
      </c>
      <c r="C2038" s="5">
        <v>5</v>
      </c>
      <c r="D2038" s="5" t="s">
        <v>80</v>
      </c>
      <c r="E2038" s="5">
        <v>2022</v>
      </c>
      <c r="F2038" s="5">
        <v>7</v>
      </c>
      <c r="G2038" s="5" t="s">
        <v>40</v>
      </c>
      <c r="H2038" s="5">
        <v>3320114</v>
      </c>
      <c r="I2038" s="5">
        <v>2932778.84</v>
      </c>
      <c r="J2038" s="5">
        <v>43</v>
      </c>
      <c r="K2038" s="5">
        <v>454018</v>
      </c>
      <c r="L2038" s="5">
        <v>3758980</v>
      </c>
      <c r="M2038" s="5">
        <v>387335.16</v>
      </c>
      <c r="N2038" s="5">
        <v>0.1167</v>
      </c>
      <c r="O2038" s="5">
        <v>3</v>
      </c>
      <c r="P2038" s="5">
        <v>30141</v>
      </c>
    </row>
    <row r="2039" spans="1:16" x14ac:dyDescent="0.3">
      <c r="A2039" s="5">
        <v>71</v>
      </c>
      <c r="B2039" s="5" t="s">
        <v>126</v>
      </c>
      <c r="C2039" s="5">
        <v>5</v>
      </c>
      <c r="D2039" s="5" t="s">
        <v>80</v>
      </c>
      <c r="E2039" s="5">
        <v>2022</v>
      </c>
      <c r="F2039" s="5">
        <v>8</v>
      </c>
      <c r="G2039" s="5" t="s">
        <v>41</v>
      </c>
      <c r="H2039" s="5">
        <v>2927375</v>
      </c>
      <c r="I2039" s="5">
        <v>2688943.93</v>
      </c>
      <c r="J2039" s="5">
        <v>41</v>
      </c>
      <c r="K2039" s="5">
        <v>510977</v>
      </c>
      <c r="L2039" s="5">
        <v>3429030</v>
      </c>
      <c r="M2039" s="5">
        <v>238431.07</v>
      </c>
      <c r="N2039" s="5">
        <v>8.14E-2</v>
      </c>
      <c r="O2039" s="5">
        <v>6</v>
      </c>
      <c r="P2039" s="5">
        <v>298834</v>
      </c>
    </row>
    <row r="2040" spans="1:16" x14ac:dyDescent="0.3">
      <c r="A2040" s="5">
        <v>71</v>
      </c>
      <c r="B2040" s="5" t="s">
        <v>126</v>
      </c>
      <c r="C2040" s="5">
        <v>5</v>
      </c>
      <c r="D2040" s="5" t="s">
        <v>80</v>
      </c>
      <c r="E2040" s="5">
        <v>2022</v>
      </c>
      <c r="F2040" s="5">
        <v>9</v>
      </c>
      <c r="G2040" s="5" t="s">
        <v>42</v>
      </c>
      <c r="H2040" s="5">
        <v>3703675</v>
      </c>
      <c r="I2040" s="5">
        <v>3385361.66</v>
      </c>
      <c r="J2040" s="5">
        <v>43</v>
      </c>
      <c r="K2040" s="5">
        <v>599035</v>
      </c>
      <c r="L2040" s="5">
        <v>4296370</v>
      </c>
      <c r="M2040" s="5">
        <v>318313.34000000003</v>
      </c>
      <c r="N2040" s="5">
        <v>8.5900000000000004E-2</v>
      </c>
      <c r="O2040" s="5">
        <v>2</v>
      </c>
      <c r="P2040" s="5">
        <v>98987</v>
      </c>
    </row>
    <row r="2041" spans="1:16" x14ac:dyDescent="0.3">
      <c r="A2041" s="5">
        <v>71</v>
      </c>
      <c r="B2041" s="5" t="s">
        <v>126</v>
      </c>
      <c r="C2041" s="5">
        <v>5</v>
      </c>
      <c r="D2041" s="5" t="s">
        <v>80</v>
      </c>
      <c r="E2041" s="5">
        <v>2022</v>
      </c>
      <c r="F2041" s="5">
        <v>10</v>
      </c>
      <c r="G2041" s="5" t="s">
        <v>43</v>
      </c>
      <c r="H2041" s="5">
        <v>4128255</v>
      </c>
      <c r="I2041" s="5">
        <v>3596353.43</v>
      </c>
      <c r="J2041" s="5">
        <v>69</v>
      </c>
      <c r="K2041" s="5">
        <v>599106</v>
      </c>
      <c r="L2041" s="5">
        <v>4699390</v>
      </c>
      <c r="M2041" s="5">
        <v>531901.56999999995</v>
      </c>
      <c r="N2041" s="5">
        <v>0.1288</v>
      </c>
      <c r="O2041" s="5">
        <v>4</v>
      </c>
      <c r="P2041" s="5">
        <v>14850</v>
      </c>
    </row>
    <row r="2042" spans="1:16" x14ac:dyDescent="0.3">
      <c r="A2042" s="5">
        <v>71</v>
      </c>
      <c r="B2042" s="5" t="s">
        <v>126</v>
      </c>
      <c r="C2042" s="5">
        <v>5</v>
      </c>
      <c r="D2042" s="5" t="s">
        <v>80</v>
      </c>
      <c r="E2042" s="5">
        <v>2022</v>
      </c>
      <c r="F2042" s="5">
        <v>11</v>
      </c>
      <c r="G2042" s="5" t="s">
        <v>44</v>
      </c>
      <c r="H2042" s="5">
        <v>3651975</v>
      </c>
      <c r="I2042" s="5">
        <v>3053863.19</v>
      </c>
      <c r="J2042" s="5">
        <v>65</v>
      </c>
      <c r="K2042" s="5">
        <v>293554</v>
      </c>
      <c r="L2042" s="5">
        <v>3921890</v>
      </c>
      <c r="M2042" s="5">
        <v>598111.81000000006</v>
      </c>
      <c r="N2042" s="5">
        <v>0.1638</v>
      </c>
      <c r="O2042" s="5">
        <v>5</v>
      </c>
      <c r="P2042" s="5">
        <v>76860</v>
      </c>
    </row>
    <row r="2043" spans="1:16" x14ac:dyDescent="0.3">
      <c r="A2043" s="5">
        <v>71</v>
      </c>
      <c r="B2043" s="5" t="s">
        <v>126</v>
      </c>
      <c r="C2043" s="5">
        <v>5</v>
      </c>
      <c r="D2043" s="5" t="s">
        <v>80</v>
      </c>
      <c r="E2043" s="5">
        <v>2022</v>
      </c>
      <c r="F2043" s="5">
        <v>12</v>
      </c>
      <c r="G2043" s="5" t="s">
        <v>45</v>
      </c>
      <c r="H2043" s="5">
        <v>4965888</v>
      </c>
      <c r="I2043" s="5">
        <v>4132084.76</v>
      </c>
      <c r="J2043" s="5">
        <v>64</v>
      </c>
      <c r="K2043" s="5">
        <v>305279</v>
      </c>
      <c r="L2043" s="5">
        <v>5252370</v>
      </c>
      <c r="M2043" s="5">
        <v>833803.24</v>
      </c>
      <c r="N2043" s="5">
        <v>0.16789999999999999</v>
      </c>
      <c r="O2043" s="5">
        <v>6</v>
      </c>
      <c r="P2043" s="5">
        <v>157807</v>
      </c>
    </row>
    <row r="2044" spans="1:16" x14ac:dyDescent="0.3">
      <c r="A2044" s="5">
        <v>71</v>
      </c>
      <c r="B2044" s="5" t="s">
        <v>126</v>
      </c>
      <c r="C2044" s="5">
        <v>5</v>
      </c>
      <c r="D2044" s="5" t="s">
        <v>80</v>
      </c>
      <c r="E2044" s="5">
        <v>2023</v>
      </c>
      <c r="F2044" s="5">
        <v>1</v>
      </c>
      <c r="G2044" s="5" t="s">
        <v>46</v>
      </c>
      <c r="H2044" s="5">
        <v>3168790</v>
      </c>
      <c r="I2044" s="5">
        <v>2830936.68</v>
      </c>
      <c r="J2044" s="5">
        <v>48</v>
      </c>
      <c r="K2044" s="5">
        <v>524098</v>
      </c>
      <c r="L2044" s="5">
        <v>3689350</v>
      </c>
      <c r="M2044" s="5">
        <v>337853.32</v>
      </c>
      <c r="N2044" s="5">
        <v>0.1066</v>
      </c>
      <c r="O2044" s="5">
        <v>4</v>
      </c>
      <c r="P2044" s="5">
        <v>177327</v>
      </c>
    </row>
    <row r="2045" spans="1:16" x14ac:dyDescent="0.3">
      <c r="A2045" s="5">
        <v>71</v>
      </c>
      <c r="B2045" s="5" t="s">
        <v>126</v>
      </c>
      <c r="C2045" s="5">
        <v>5</v>
      </c>
      <c r="D2045" s="5" t="s">
        <v>80</v>
      </c>
      <c r="E2045" s="5">
        <v>2023</v>
      </c>
      <c r="F2045" s="5">
        <v>2</v>
      </c>
      <c r="G2045" s="5" t="s">
        <v>47</v>
      </c>
      <c r="H2045" s="5">
        <v>3666735</v>
      </c>
      <c r="I2045" s="5">
        <v>3255955.4</v>
      </c>
      <c r="J2045" s="5">
        <v>41</v>
      </c>
      <c r="K2045" s="5">
        <v>419611</v>
      </c>
      <c r="L2045" s="5">
        <v>4065880</v>
      </c>
      <c r="M2045" s="5">
        <v>410779.6</v>
      </c>
      <c r="N2045" s="5">
        <v>0.112</v>
      </c>
      <c r="O2045" s="5">
        <v>2</v>
      </c>
      <c r="P2045" s="5">
        <v>32693</v>
      </c>
    </row>
    <row r="2046" spans="1:16" x14ac:dyDescent="0.3">
      <c r="A2046" s="5">
        <v>71</v>
      </c>
      <c r="B2046" s="5" t="s">
        <v>126</v>
      </c>
      <c r="C2046" s="5">
        <v>5</v>
      </c>
      <c r="D2046" s="5" t="s">
        <v>80</v>
      </c>
      <c r="E2046" s="5">
        <v>2023</v>
      </c>
      <c r="F2046" s="5">
        <v>3</v>
      </c>
      <c r="G2046" s="5" t="s">
        <v>48</v>
      </c>
      <c r="H2046" s="5">
        <v>3192663</v>
      </c>
      <c r="I2046" s="5">
        <v>2815806.36</v>
      </c>
      <c r="J2046" s="5">
        <v>52</v>
      </c>
      <c r="K2046" s="5">
        <v>412895</v>
      </c>
      <c r="L2046" s="5">
        <v>3600070</v>
      </c>
      <c r="M2046" s="5">
        <v>376856.64</v>
      </c>
      <c r="N2046" s="5">
        <v>0.11799999999999999</v>
      </c>
      <c r="O2046" s="5">
        <v>2</v>
      </c>
      <c r="P2046" s="5">
        <v>53719</v>
      </c>
    </row>
    <row r="2047" spans="1:16" x14ac:dyDescent="0.3">
      <c r="A2047" s="5">
        <v>71</v>
      </c>
      <c r="B2047" s="5" t="s">
        <v>126</v>
      </c>
      <c r="C2047" s="5">
        <v>5</v>
      </c>
      <c r="D2047" s="5" t="s">
        <v>80</v>
      </c>
      <c r="E2047" s="5">
        <v>2023</v>
      </c>
      <c r="F2047" s="5">
        <v>4</v>
      </c>
      <c r="G2047" s="5" t="s">
        <v>49</v>
      </c>
      <c r="H2047" s="5">
        <v>4085262</v>
      </c>
      <c r="I2047" s="5">
        <v>3573231.62</v>
      </c>
      <c r="J2047" s="5">
        <v>55</v>
      </c>
      <c r="K2047" s="5">
        <v>480599</v>
      </c>
      <c r="L2047" s="5">
        <v>4549590</v>
      </c>
      <c r="M2047" s="5">
        <v>512030.38</v>
      </c>
      <c r="N2047" s="5">
        <v>0.12529999999999999</v>
      </c>
      <c r="O2047" s="5">
        <v>6</v>
      </c>
      <c r="P2047" s="5">
        <v>148047</v>
      </c>
    </row>
    <row r="2048" spans="1:16" x14ac:dyDescent="0.3">
      <c r="A2048" s="5">
        <v>71</v>
      </c>
      <c r="B2048" s="5" t="s">
        <v>126</v>
      </c>
      <c r="C2048" s="5">
        <v>5</v>
      </c>
      <c r="D2048" s="5" t="s">
        <v>80</v>
      </c>
      <c r="E2048" s="5">
        <v>2023</v>
      </c>
      <c r="F2048" s="5">
        <v>5</v>
      </c>
      <c r="G2048" s="5" t="s">
        <v>50</v>
      </c>
      <c r="H2048" s="5">
        <v>5277048</v>
      </c>
      <c r="I2048" s="5">
        <v>4328311.46</v>
      </c>
      <c r="J2048" s="5">
        <v>77</v>
      </c>
      <c r="K2048" s="5">
        <v>373769</v>
      </c>
      <c r="L2048" s="5">
        <v>5621820</v>
      </c>
      <c r="M2048" s="5">
        <v>948736.54</v>
      </c>
      <c r="N2048" s="5">
        <v>0.17979999999999999</v>
      </c>
      <c r="O2048" s="5">
        <v>9</v>
      </c>
      <c r="P2048" s="5">
        <v>248397</v>
      </c>
    </row>
    <row r="2049" spans="1:16" x14ac:dyDescent="0.3">
      <c r="A2049" s="5">
        <v>71</v>
      </c>
      <c r="B2049" s="5" t="s">
        <v>126</v>
      </c>
      <c r="C2049" s="5">
        <v>5</v>
      </c>
      <c r="D2049" s="5" t="s">
        <v>80</v>
      </c>
      <c r="E2049" s="5">
        <v>2023</v>
      </c>
      <c r="F2049" s="5">
        <v>6</v>
      </c>
      <c r="G2049" s="5" t="s">
        <v>51</v>
      </c>
      <c r="H2049" s="5">
        <v>5658306</v>
      </c>
      <c r="I2049" s="5">
        <v>4816295.1900000004</v>
      </c>
      <c r="J2049" s="5">
        <v>70</v>
      </c>
      <c r="K2049" s="5">
        <v>555379</v>
      </c>
      <c r="L2049" s="5">
        <v>6187830</v>
      </c>
      <c r="M2049" s="5">
        <v>842010.81</v>
      </c>
      <c r="N2049" s="5">
        <v>0.14879999999999999</v>
      </c>
      <c r="O2049" s="5">
        <v>8</v>
      </c>
      <c r="P2049" s="5">
        <v>130990</v>
      </c>
    </row>
    <row r="2050" spans="1:16" x14ac:dyDescent="0.3">
      <c r="A2050" s="5">
        <v>71</v>
      </c>
      <c r="B2050" s="5" t="s">
        <v>126</v>
      </c>
      <c r="C2050" s="5">
        <v>5</v>
      </c>
      <c r="D2050" s="5" t="s">
        <v>80</v>
      </c>
      <c r="E2050" s="5">
        <v>2023</v>
      </c>
      <c r="F2050" s="5">
        <v>7</v>
      </c>
      <c r="G2050" s="5" t="s">
        <v>52</v>
      </c>
      <c r="H2050" s="5">
        <v>4414259</v>
      </c>
      <c r="I2050" s="5">
        <v>4060880.51</v>
      </c>
      <c r="J2050" s="5">
        <v>60</v>
      </c>
      <c r="K2050" s="5">
        <v>753983</v>
      </c>
      <c r="L2050" s="5">
        <v>5153840</v>
      </c>
      <c r="M2050" s="5">
        <v>353378.49</v>
      </c>
      <c r="N2050" s="5">
        <v>8.0100000000000005E-2</v>
      </c>
      <c r="O2050" s="5">
        <v>4</v>
      </c>
      <c r="P2050" s="5">
        <v>44622</v>
      </c>
    </row>
    <row r="2051" spans="1:16" x14ac:dyDescent="0.3">
      <c r="A2051" s="5">
        <v>71</v>
      </c>
      <c r="B2051" s="5" t="s">
        <v>126</v>
      </c>
      <c r="C2051" s="5">
        <v>5</v>
      </c>
      <c r="D2051" s="5" t="s">
        <v>80</v>
      </c>
      <c r="E2051" s="5">
        <v>2023</v>
      </c>
      <c r="F2051" s="5">
        <v>8</v>
      </c>
      <c r="G2051" s="5" t="s">
        <v>53</v>
      </c>
      <c r="H2051" s="5">
        <v>4394587</v>
      </c>
      <c r="I2051" s="5">
        <v>3856065.38</v>
      </c>
      <c r="J2051" s="5">
        <v>70</v>
      </c>
      <c r="K2051" s="5">
        <v>554971</v>
      </c>
      <c r="L2051" s="5">
        <v>4932230</v>
      </c>
      <c r="M2051" s="5">
        <v>538521.62</v>
      </c>
      <c r="N2051" s="5">
        <v>0.1225</v>
      </c>
      <c r="O2051" s="5">
        <v>10</v>
      </c>
      <c r="P2051" s="5">
        <v>259671</v>
      </c>
    </row>
    <row r="2052" spans="1:16" x14ac:dyDescent="0.3">
      <c r="A2052" s="5">
        <v>71</v>
      </c>
      <c r="B2052" s="5" t="s">
        <v>126</v>
      </c>
      <c r="C2052" s="5">
        <v>5</v>
      </c>
      <c r="D2052" s="5" t="s">
        <v>80</v>
      </c>
      <c r="E2052" s="5">
        <v>2023</v>
      </c>
      <c r="F2052" s="5">
        <v>9</v>
      </c>
      <c r="G2052" s="5" t="s">
        <v>54</v>
      </c>
      <c r="H2052" s="5">
        <v>5433955</v>
      </c>
      <c r="I2052" s="5">
        <v>4786567.76</v>
      </c>
      <c r="J2052" s="5">
        <v>72</v>
      </c>
      <c r="K2052" s="5">
        <v>722579</v>
      </c>
      <c r="L2052" s="5">
        <v>6140410</v>
      </c>
      <c r="M2052" s="5">
        <v>647387.24</v>
      </c>
      <c r="N2052" s="5">
        <v>0.1191</v>
      </c>
      <c r="O2052" s="5">
        <v>5</v>
      </c>
      <c r="P2052" s="5">
        <v>94311</v>
      </c>
    </row>
    <row r="2053" spans="1:16" x14ac:dyDescent="0.3">
      <c r="A2053" s="5">
        <v>71</v>
      </c>
      <c r="B2053" s="5" t="s">
        <v>126</v>
      </c>
      <c r="C2053" s="5">
        <v>5</v>
      </c>
      <c r="D2053" s="5" t="s">
        <v>80</v>
      </c>
      <c r="E2053" s="5">
        <v>2023</v>
      </c>
      <c r="F2053" s="5">
        <v>10</v>
      </c>
      <c r="G2053" s="5" t="s">
        <v>55</v>
      </c>
      <c r="H2053" s="5">
        <v>7720927</v>
      </c>
      <c r="I2053" s="5">
        <v>6519848.6500000004</v>
      </c>
      <c r="J2053" s="5">
        <v>99</v>
      </c>
      <c r="K2053" s="5">
        <v>697519</v>
      </c>
      <c r="L2053" s="5">
        <v>8387230</v>
      </c>
      <c r="M2053" s="5">
        <v>1201078.3500000001</v>
      </c>
      <c r="N2053" s="5">
        <v>0.15559999999999999</v>
      </c>
      <c r="O2053" s="5">
        <v>11</v>
      </c>
      <c r="P2053" s="5">
        <v>235254</v>
      </c>
    </row>
    <row r="2054" spans="1:16" x14ac:dyDescent="0.3">
      <c r="A2054" s="5">
        <v>71</v>
      </c>
      <c r="B2054" s="5" t="s">
        <v>126</v>
      </c>
      <c r="C2054" s="5">
        <v>5</v>
      </c>
      <c r="D2054" s="5" t="s">
        <v>80</v>
      </c>
      <c r="E2054" s="5">
        <v>2023</v>
      </c>
      <c r="F2054" s="5">
        <v>11</v>
      </c>
      <c r="G2054" s="5" t="s">
        <v>56</v>
      </c>
      <c r="H2054" s="5">
        <v>5260403</v>
      </c>
      <c r="I2054" s="5">
        <v>4738751.8499999996</v>
      </c>
      <c r="J2054" s="5">
        <v>86</v>
      </c>
      <c r="K2054" s="5">
        <v>983673</v>
      </c>
      <c r="L2054" s="5">
        <v>6229020</v>
      </c>
      <c r="M2054" s="5">
        <v>521651.15</v>
      </c>
      <c r="N2054" s="5">
        <v>9.9199999999999997E-2</v>
      </c>
      <c r="O2054" s="5">
        <v>5</v>
      </c>
      <c r="P2054" s="5">
        <v>198316</v>
      </c>
    </row>
    <row r="2055" spans="1:16" x14ac:dyDescent="0.3">
      <c r="A2055" s="5">
        <v>71</v>
      </c>
      <c r="B2055" s="5" t="s">
        <v>126</v>
      </c>
      <c r="C2055" s="5">
        <v>5</v>
      </c>
      <c r="D2055" s="5" t="s">
        <v>80</v>
      </c>
      <c r="E2055" s="5">
        <v>2023</v>
      </c>
      <c r="F2055" s="5">
        <v>12</v>
      </c>
      <c r="G2055" s="5" t="s">
        <v>57</v>
      </c>
      <c r="H2055" s="5">
        <v>4583883</v>
      </c>
      <c r="I2055" s="5">
        <v>4261845.75</v>
      </c>
      <c r="J2055" s="5">
        <v>86</v>
      </c>
      <c r="K2055" s="5">
        <v>895674</v>
      </c>
      <c r="L2055" s="5">
        <v>5467140</v>
      </c>
      <c r="M2055" s="5">
        <v>322037.25</v>
      </c>
      <c r="N2055" s="5">
        <v>7.0300000000000001E-2</v>
      </c>
      <c r="O2055" s="5">
        <v>3</v>
      </c>
      <c r="P2055" s="5">
        <v>30571</v>
      </c>
    </row>
    <row r="2056" spans="1:16" x14ac:dyDescent="0.3">
      <c r="A2056" s="5">
        <v>71</v>
      </c>
      <c r="B2056" s="5" t="s">
        <v>126</v>
      </c>
      <c r="C2056" s="5">
        <v>5</v>
      </c>
      <c r="D2056" s="5" t="s">
        <v>80</v>
      </c>
      <c r="E2056" s="5">
        <v>2024</v>
      </c>
      <c r="F2056" s="5">
        <v>1</v>
      </c>
      <c r="G2056" s="5" t="s">
        <v>58</v>
      </c>
      <c r="H2056" s="5">
        <v>3380035</v>
      </c>
      <c r="I2056" s="5">
        <v>2890349.79</v>
      </c>
      <c r="J2056" s="5">
        <v>65</v>
      </c>
      <c r="K2056" s="5">
        <v>370260</v>
      </c>
      <c r="L2056" s="5">
        <v>3739000</v>
      </c>
      <c r="M2056" s="5">
        <v>489685.21</v>
      </c>
      <c r="N2056" s="5">
        <v>0.1449</v>
      </c>
      <c r="O2056" s="5">
        <v>2</v>
      </c>
      <c r="P2056" s="5">
        <v>134575</v>
      </c>
    </row>
    <row r="2057" spans="1:16" x14ac:dyDescent="0.3">
      <c r="A2057" s="5">
        <v>71</v>
      </c>
      <c r="B2057" s="5" t="s">
        <v>126</v>
      </c>
      <c r="C2057" s="5">
        <v>5</v>
      </c>
      <c r="D2057" s="5" t="s">
        <v>80</v>
      </c>
      <c r="E2057" s="5">
        <v>2024</v>
      </c>
      <c r="F2057" s="5">
        <v>2</v>
      </c>
      <c r="G2057" s="5" t="s">
        <v>59</v>
      </c>
      <c r="H2057" s="5">
        <v>3159040</v>
      </c>
      <c r="I2057" s="5">
        <v>2560391.6</v>
      </c>
      <c r="J2057" s="5">
        <v>43</v>
      </c>
      <c r="K2057" s="5">
        <v>192431</v>
      </c>
      <c r="L2057" s="5">
        <v>3337740</v>
      </c>
      <c r="M2057" s="5">
        <v>598648.4</v>
      </c>
      <c r="N2057" s="5">
        <v>0.1895</v>
      </c>
      <c r="O2057" s="5">
        <v>3</v>
      </c>
      <c r="P2057" s="5">
        <v>130921</v>
      </c>
    </row>
    <row r="2058" spans="1:16" x14ac:dyDescent="0.3">
      <c r="A2058" s="5">
        <v>71</v>
      </c>
      <c r="B2058" s="5" t="s">
        <v>126</v>
      </c>
      <c r="C2058" s="5">
        <v>5</v>
      </c>
      <c r="D2058" s="5" t="s">
        <v>80</v>
      </c>
      <c r="E2058" s="5">
        <v>2024</v>
      </c>
      <c r="F2058" s="5">
        <v>3</v>
      </c>
      <c r="G2058" s="5" t="s">
        <v>60</v>
      </c>
      <c r="H2058" s="5">
        <v>3684451</v>
      </c>
      <c r="I2058" s="5">
        <v>3134675.66</v>
      </c>
      <c r="J2058" s="5">
        <v>60</v>
      </c>
      <c r="K2058" s="5">
        <v>377627</v>
      </c>
      <c r="L2058" s="5">
        <v>4050860</v>
      </c>
      <c r="M2058" s="5">
        <v>549775.34</v>
      </c>
      <c r="N2058" s="5">
        <v>0.1492</v>
      </c>
      <c r="O2058" s="5">
        <v>6</v>
      </c>
      <c r="P2058" s="5">
        <v>121495</v>
      </c>
    </row>
    <row r="2059" spans="1:16" x14ac:dyDescent="0.3">
      <c r="A2059" s="5">
        <v>71</v>
      </c>
      <c r="B2059" s="5" t="s">
        <v>126</v>
      </c>
      <c r="C2059" s="5">
        <v>5</v>
      </c>
      <c r="D2059" s="5" t="s">
        <v>80</v>
      </c>
      <c r="E2059" s="5">
        <v>2024</v>
      </c>
      <c r="F2059" s="5">
        <v>4</v>
      </c>
      <c r="G2059" s="5" t="s">
        <v>61</v>
      </c>
      <c r="H2059" s="5">
        <v>2816096</v>
      </c>
      <c r="I2059" s="5">
        <v>2483582.21</v>
      </c>
      <c r="J2059" s="5">
        <v>56</v>
      </c>
      <c r="K2059" s="5">
        <v>404131</v>
      </c>
      <c r="L2059" s="5">
        <v>3216580</v>
      </c>
      <c r="M2059" s="5">
        <v>332513.78999999998</v>
      </c>
      <c r="N2059" s="5">
        <v>0.1181</v>
      </c>
      <c r="O2059" s="5">
        <v>9</v>
      </c>
      <c r="P2059" s="5">
        <v>186367</v>
      </c>
    </row>
    <row r="2060" spans="1:16" x14ac:dyDescent="0.3">
      <c r="A2060" s="5">
        <v>71</v>
      </c>
      <c r="B2060" s="5" t="s">
        <v>126</v>
      </c>
      <c r="C2060" s="5">
        <v>5</v>
      </c>
      <c r="D2060" s="5" t="s">
        <v>80</v>
      </c>
      <c r="E2060" s="5">
        <v>2024</v>
      </c>
      <c r="F2060" s="5">
        <v>5</v>
      </c>
      <c r="G2060" s="5" t="s">
        <v>62</v>
      </c>
      <c r="H2060" s="5">
        <v>4909546</v>
      </c>
      <c r="I2060" s="5">
        <v>4257743.13</v>
      </c>
      <c r="J2060" s="5">
        <v>75</v>
      </c>
      <c r="K2060" s="5">
        <v>624092</v>
      </c>
      <c r="L2060" s="5">
        <v>5517490</v>
      </c>
      <c r="M2060" s="5">
        <v>651802.87</v>
      </c>
      <c r="N2060" s="5">
        <v>0.1328</v>
      </c>
      <c r="O2060" s="5">
        <v>6</v>
      </c>
      <c r="P2060" s="5">
        <v>240550</v>
      </c>
    </row>
    <row r="2061" spans="1:16" x14ac:dyDescent="0.3">
      <c r="A2061" s="5">
        <v>71</v>
      </c>
      <c r="B2061" s="5" t="s">
        <v>126</v>
      </c>
      <c r="C2061" s="5">
        <v>5</v>
      </c>
      <c r="D2061" s="5" t="s">
        <v>80</v>
      </c>
      <c r="E2061" s="5">
        <v>2024</v>
      </c>
      <c r="F2061" s="5">
        <v>6</v>
      </c>
      <c r="G2061" s="5" t="s">
        <v>63</v>
      </c>
      <c r="H2061" s="5">
        <v>4022653</v>
      </c>
      <c r="I2061" s="5">
        <v>3419053.28</v>
      </c>
      <c r="J2061" s="5">
        <v>62</v>
      </c>
      <c r="K2061" s="5">
        <v>405397</v>
      </c>
      <c r="L2061" s="5">
        <v>4416420</v>
      </c>
      <c r="M2061" s="5">
        <v>603599.72</v>
      </c>
      <c r="N2061" s="5">
        <v>0.15010000000000001</v>
      </c>
      <c r="O2061" s="5">
        <v>2</v>
      </c>
      <c r="P2061" s="5">
        <v>2647</v>
      </c>
    </row>
    <row r="2062" spans="1:16" x14ac:dyDescent="0.3">
      <c r="A2062" s="5">
        <v>71</v>
      </c>
      <c r="B2062" s="5" t="s">
        <v>126</v>
      </c>
      <c r="C2062" s="5">
        <v>5</v>
      </c>
      <c r="D2062" s="5" t="s">
        <v>80</v>
      </c>
      <c r="E2062" s="5">
        <v>2024</v>
      </c>
      <c r="F2062" s="5">
        <v>7</v>
      </c>
      <c r="G2062" s="5" t="s">
        <v>64</v>
      </c>
      <c r="H2062" s="5">
        <v>3669320</v>
      </c>
      <c r="I2062" s="5">
        <v>3025915.77</v>
      </c>
      <c r="J2062" s="5">
        <v>55</v>
      </c>
      <c r="K2062" s="5">
        <v>328490</v>
      </c>
      <c r="L2062" s="5">
        <v>3981800</v>
      </c>
      <c r="M2062" s="5">
        <v>643404.23</v>
      </c>
      <c r="N2062" s="5">
        <v>0.17530000000000001</v>
      </c>
      <c r="O2062" s="5">
        <v>3</v>
      </c>
      <c r="P2062" s="5">
        <v>31992</v>
      </c>
    </row>
    <row r="2063" spans="1:16" x14ac:dyDescent="0.3">
      <c r="A2063" s="5">
        <v>71</v>
      </c>
      <c r="B2063" s="5" t="s">
        <v>126</v>
      </c>
      <c r="C2063" s="5">
        <v>5</v>
      </c>
      <c r="D2063" s="5" t="s">
        <v>80</v>
      </c>
      <c r="E2063" s="5">
        <v>2024</v>
      </c>
      <c r="F2063" s="5">
        <v>8</v>
      </c>
      <c r="G2063" s="5" t="s">
        <v>65</v>
      </c>
      <c r="H2063" s="5">
        <v>4236309</v>
      </c>
      <c r="I2063" s="5">
        <v>3503339.54</v>
      </c>
      <c r="J2063" s="5">
        <v>62</v>
      </c>
      <c r="K2063" s="5">
        <v>458354</v>
      </c>
      <c r="L2063" s="5">
        <v>4680450</v>
      </c>
      <c r="M2063" s="5">
        <v>732969.46</v>
      </c>
      <c r="N2063" s="5">
        <v>0.17299999999999999</v>
      </c>
      <c r="O2063" s="5">
        <v>5</v>
      </c>
      <c r="P2063" s="5">
        <v>295461</v>
      </c>
    </row>
    <row r="2064" spans="1:16" x14ac:dyDescent="0.3">
      <c r="A2064" s="5">
        <v>71</v>
      </c>
      <c r="B2064" s="5" t="s">
        <v>126</v>
      </c>
      <c r="C2064" s="5">
        <v>5</v>
      </c>
      <c r="D2064" s="5" t="s">
        <v>80</v>
      </c>
      <c r="E2064" s="5">
        <v>2024</v>
      </c>
      <c r="F2064" s="5">
        <v>9</v>
      </c>
      <c r="G2064" s="5" t="s">
        <v>66</v>
      </c>
      <c r="H2064" s="5">
        <v>6032936</v>
      </c>
      <c r="I2064" s="5">
        <v>4960706.96</v>
      </c>
      <c r="J2064" s="5">
        <v>78</v>
      </c>
      <c r="K2064" s="5">
        <v>343049</v>
      </c>
      <c r="L2064" s="5">
        <v>6358290</v>
      </c>
      <c r="M2064" s="5">
        <v>1072229.04</v>
      </c>
      <c r="N2064" s="5">
        <v>0.1777</v>
      </c>
      <c r="O2064" s="5">
        <v>9</v>
      </c>
      <c r="P2064" s="5">
        <v>195515</v>
      </c>
    </row>
    <row r="2065" spans="1:16" x14ac:dyDescent="0.3">
      <c r="A2065" s="5">
        <v>71</v>
      </c>
      <c r="B2065" s="5" t="s">
        <v>126</v>
      </c>
      <c r="C2065" s="5">
        <v>5</v>
      </c>
      <c r="D2065" s="5" t="s">
        <v>80</v>
      </c>
      <c r="E2065" s="5">
        <v>2024</v>
      </c>
      <c r="F2065" s="5">
        <v>10</v>
      </c>
      <c r="G2065" s="5" t="s">
        <v>67</v>
      </c>
      <c r="H2065" s="5">
        <v>7860360</v>
      </c>
      <c r="I2065" s="5">
        <v>6355559.7000000002</v>
      </c>
      <c r="J2065" s="5">
        <v>98</v>
      </c>
      <c r="K2065" s="5">
        <v>286010</v>
      </c>
      <c r="L2065" s="5">
        <v>8133490</v>
      </c>
      <c r="M2065" s="5">
        <v>1504800.3</v>
      </c>
      <c r="N2065" s="5">
        <v>0.19139999999999999</v>
      </c>
      <c r="O2065" s="5">
        <v>10</v>
      </c>
      <c r="P2065" s="5">
        <v>214679</v>
      </c>
    </row>
    <row r="2066" spans="1:16" x14ac:dyDescent="0.3">
      <c r="A2066" s="5">
        <v>71</v>
      </c>
      <c r="B2066" s="5" t="s">
        <v>126</v>
      </c>
      <c r="C2066" s="5">
        <v>5</v>
      </c>
      <c r="D2066" s="5" t="s">
        <v>80</v>
      </c>
      <c r="E2066" s="5">
        <v>2024</v>
      </c>
      <c r="F2066" s="5">
        <v>11</v>
      </c>
      <c r="G2066" s="5" t="s">
        <v>68</v>
      </c>
      <c r="H2066" s="5">
        <v>6072641</v>
      </c>
      <c r="I2066" s="5">
        <v>5150921.8600000003</v>
      </c>
      <c r="J2066" s="5">
        <v>91</v>
      </c>
      <c r="K2066" s="5">
        <v>484074</v>
      </c>
      <c r="L2066" s="5">
        <v>6532590</v>
      </c>
      <c r="M2066" s="5">
        <v>921719.14</v>
      </c>
      <c r="N2066" s="5">
        <v>0.15179999999999999</v>
      </c>
      <c r="O2066" s="5">
        <v>6</v>
      </c>
      <c r="P2066" s="5">
        <v>587261</v>
      </c>
    </row>
    <row r="2067" spans="1:16" x14ac:dyDescent="0.3">
      <c r="A2067" s="5">
        <v>71</v>
      </c>
      <c r="B2067" s="5" t="s">
        <v>126</v>
      </c>
      <c r="C2067" s="5">
        <v>5</v>
      </c>
      <c r="D2067" s="5" t="s">
        <v>80</v>
      </c>
      <c r="E2067" s="5">
        <v>2024</v>
      </c>
      <c r="F2067" s="5">
        <v>12</v>
      </c>
      <c r="G2067" s="5" t="s">
        <v>69</v>
      </c>
      <c r="H2067" s="5">
        <v>6237022</v>
      </c>
      <c r="I2067" s="5">
        <v>4912023.18</v>
      </c>
      <c r="J2067" s="5">
        <v>93</v>
      </c>
      <c r="K2067" s="5">
        <v>187495</v>
      </c>
      <c r="L2067" s="5">
        <v>6410340</v>
      </c>
      <c r="M2067" s="5">
        <v>1324998.82</v>
      </c>
      <c r="N2067" s="5">
        <v>0.21240000000000001</v>
      </c>
      <c r="O2067" s="5">
        <v>6</v>
      </c>
      <c r="P2067" s="5">
        <v>202884</v>
      </c>
    </row>
    <row r="2068" spans="1:16" x14ac:dyDescent="0.3">
      <c r="A2068" s="5">
        <v>100</v>
      </c>
      <c r="B2068" s="5" t="s">
        <v>127</v>
      </c>
      <c r="C2068" s="5">
        <v>7</v>
      </c>
      <c r="D2068" s="5" t="s">
        <v>91</v>
      </c>
      <c r="E2068" s="5">
        <v>2021</v>
      </c>
      <c r="F2068" s="5">
        <v>1</v>
      </c>
      <c r="G2068" s="5" t="s">
        <v>22</v>
      </c>
      <c r="H2068" s="5">
        <v>1184363</v>
      </c>
      <c r="I2068" s="5">
        <v>1065850.7</v>
      </c>
      <c r="J2068" s="5">
        <v>21</v>
      </c>
      <c r="K2068" s="5">
        <v>188256</v>
      </c>
      <c r="L2068" s="5">
        <v>1370150</v>
      </c>
      <c r="M2068" s="5">
        <v>118512.3</v>
      </c>
      <c r="N2068" s="5">
        <v>0.10009999999999999</v>
      </c>
      <c r="O2068" s="5">
        <v>2</v>
      </c>
      <c r="P2068" s="5">
        <v>35360</v>
      </c>
    </row>
    <row r="2069" spans="1:16" x14ac:dyDescent="0.3">
      <c r="A2069" s="5">
        <v>100</v>
      </c>
      <c r="B2069" s="5" t="s">
        <v>127</v>
      </c>
      <c r="C2069" s="5">
        <v>7</v>
      </c>
      <c r="D2069" s="5" t="s">
        <v>91</v>
      </c>
      <c r="E2069" s="5">
        <v>2021</v>
      </c>
      <c r="F2069" s="5">
        <v>2</v>
      </c>
      <c r="G2069" s="5" t="s">
        <v>23</v>
      </c>
      <c r="H2069" s="5">
        <v>1576313</v>
      </c>
      <c r="I2069" s="5">
        <v>1400961.94</v>
      </c>
      <c r="J2069" s="5">
        <v>21</v>
      </c>
      <c r="K2069" s="5">
        <v>243365</v>
      </c>
      <c r="L2069" s="5">
        <v>1813660</v>
      </c>
      <c r="M2069" s="5">
        <v>175351.06</v>
      </c>
      <c r="N2069" s="5">
        <v>0.11119999999999999</v>
      </c>
      <c r="O2069" s="5">
        <v>2</v>
      </c>
      <c r="P2069" s="5">
        <v>4299</v>
      </c>
    </row>
    <row r="2070" spans="1:16" x14ac:dyDescent="0.3">
      <c r="A2070" s="5">
        <v>100</v>
      </c>
      <c r="B2070" s="5" t="s">
        <v>127</v>
      </c>
      <c r="C2070" s="5">
        <v>7</v>
      </c>
      <c r="D2070" s="5" t="s">
        <v>91</v>
      </c>
      <c r="E2070" s="5">
        <v>2021</v>
      </c>
      <c r="F2070" s="5">
        <v>3</v>
      </c>
      <c r="G2070" s="5" t="s">
        <v>24</v>
      </c>
      <c r="H2070" s="5">
        <v>1454426</v>
      </c>
      <c r="I2070" s="5">
        <v>1245075.82</v>
      </c>
      <c r="J2070" s="5">
        <v>24</v>
      </c>
      <c r="K2070" s="5">
        <v>112603</v>
      </c>
      <c r="L2070" s="5">
        <v>1564810</v>
      </c>
      <c r="M2070" s="5">
        <v>209350.18</v>
      </c>
      <c r="N2070" s="5">
        <v>0.1439</v>
      </c>
      <c r="O2070" s="5">
        <v>1</v>
      </c>
      <c r="P2070" s="5">
        <v>39751</v>
      </c>
    </row>
    <row r="2071" spans="1:16" x14ac:dyDescent="0.3">
      <c r="A2071" s="5">
        <v>100</v>
      </c>
      <c r="B2071" s="5" t="s">
        <v>127</v>
      </c>
      <c r="C2071" s="5">
        <v>7</v>
      </c>
      <c r="D2071" s="5" t="s">
        <v>91</v>
      </c>
      <c r="E2071" s="5">
        <v>2021</v>
      </c>
      <c r="F2071" s="5">
        <v>4</v>
      </c>
      <c r="G2071" s="5" t="s">
        <v>25</v>
      </c>
      <c r="H2071" s="5">
        <v>2183308</v>
      </c>
      <c r="I2071" s="5">
        <v>2031153.79</v>
      </c>
      <c r="J2071" s="5">
        <v>26</v>
      </c>
      <c r="K2071" s="5">
        <v>369186</v>
      </c>
      <c r="L2071" s="5">
        <v>2549700</v>
      </c>
      <c r="M2071" s="5">
        <v>152154.21</v>
      </c>
      <c r="N2071" s="5">
        <v>6.9699999999999998E-2</v>
      </c>
      <c r="O2071" s="5">
        <v>0</v>
      </c>
      <c r="P2071" s="5">
        <v>0</v>
      </c>
    </row>
    <row r="2072" spans="1:16" x14ac:dyDescent="0.3">
      <c r="A2072" s="5">
        <v>100</v>
      </c>
      <c r="B2072" s="5" t="s">
        <v>127</v>
      </c>
      <c r="C2072" s="5">
        <v>7</v>
      </c>
      <c r="D2072" s="5" t="s">
        <v>91</v>
      </c>
      <c r="E2072" s="5">
        <v>2021</v>
      </c>
      <c r="F2072" s="5">
        <v>5</v>
      </c>
      <c r="G2072" s="5" t="s">
        <v>26</v>
      </c>
      <c r="H2072" s="5">
        <v>2413640</v>
      </c>
      <c r="I2072" s="5">
        <v>2263218.46</v>
      </c>
      <c r="J2072" s="5">
        <v>29</v>
      </c>
      <c r="K2072" s="5">
        <v>482626</v>
      </c>
      <c r="L2072" s="5">
        <v>2889370</v>
      </c>
      <c r="M2072" s="5">
        <v>150421.54</v>
      </c>
      <c r="N2072" s="5">
        <v>6.2300000000000001E-2</v>
      </c>
      <c r="O2072" s="5">
        <v>1</v>
      </c>
      <c r="P2072" s="5">
        <v>30245</v>
      </c>
    </row>
    <row r="2073" spans="1:16" x14ac:dyDescent="0.3">
      <c r="A2073" s="5">
        <v>100</v>
      </c>
      <c r="B2073" s="5" t="s">
        <v>127</v>
      </c>
      <c r="C2073" s="5">
        <v>7</v>
      </c>
      <c r="D2073" s="5" t="s">
        <v>91</v>
      </c>
      <c r="E2073" s="5">
        <v>2021</v>
      </c>
      <c r="F2073" s="5">
        <v>6</v>
      </c>
      <c r="G2073" s="5" t="s">
        <v>27</v>
      </c>
      <c r="H2073" s="5">
        <v>1468549</v>
      </c>
      <c r="I2073" s="5">
        <v>1249841.1200000001</v>
      </c>
      <c r="J2073" s="5">
        <v>28</v>
      </c>
      <c r="K2073" s="5">
        <v>159926</v>
      </c>
      <c r="L2073" s="5">
        <v>1623100</v>
      </c>
      <c r="M2073" s="5">
        <v>218707.88</v>
      </c>
      <c r="N2073" s="5">
        <v>0.1489</v>
      </c>
      <c r="O2073" s="5">
        <v>4</v>
      </c>
      <c r="P2073" s="5">
        <v>143331</v>
      </c>
    </row>
    <row r="2074" spans="1:16" x14ac:dyDescent="0.3">
      <c r="A2074" s="5">
        <v>100</v>
      </c>
      <c r="B2074" s="5" t="s">
        <v>127</v>
      </c>
      <c r="C2074" s="5">
        <v>7</v>
      </c>
      <c r="D2074" s="5" t="s">
        <v>91</v>
      </c>
      <c r="E2074" s="5">
        <v>2021</v>
      </c>
      <c r="F2074" s="5">
        <v>7</v>
      </c>
      <c r="G2074" s="5" t="s">
        <v>28</v>
      </c>
      <c r="H2074" s="5">
        <v>1686118</v>
      </c>
      <c r="I2074" s="5">
        <v>1441038.9</v>
      </c>
      <c r="J2074" s="5">
        <v>28</v>
      </c>
      <c r="K2074" s="5">
        <v>184296</v>
      </c>
      <c r="L2074" s="5">
        <v>1864480</v>
      </c>
      <c r="M2074" s="5">
        <v>245079.1</v>
      </c>
      <c r="N2074" s="5">
        <v>0.1454</v>
      </c>
      <c r="O2074" s="5">
        <v>0</v>
      </c>
      <c r="P2074" s="5">
        <v>0</v>
      </c>
    </row>
    <row r="2075" spans="1:16" x14ac:dyDescent="0.3">
      <c r="A2075" s="5">
        <v>100</v>
      </c>
      <c r="B2075" s="5" t="s">
        <v>127</v>
      </c>
      <c r="C2075" s="5">
        <v>7</v>
      </c>
      <c r="D2075" s="5" t="s">
        <v>91</v>
      </c>
      <c r="E2075" s="5">
        <v>2021</v>
      </c>
      <c r="F2075" s="5">
        <v>8</v>
      </c>
      <c r="G2075" s="5" t="s">
        <v>29</v>
      </c>
      <c r="H2075" s="5">
        <v>1062177</v>
      </c>
      <c r="I2075" s="5">
        <v>855073.04</v>
      </c>
      <c r="J2075" s="5">
        <v>23</v>
      </c>
      <c r="K2075" s="5">
        <v>42171</v>
      </c>
      <c r="L2075" s="5">
        <v>1095250</v>
      </c>
      <c r="M2075" s="5">
        <v>207103.96</v>
      </c>
      <c r="N2075" s="5">
        <v>0.19500000000000001</v>
      </c>
      <c r="O2075" s="5">
        <v>1</v>
      </c>
      <c r="P2075" s="5">
        <v>130545</v>
      </c>
    </row>
    <row r="2076" spans="1:16" x14ac:dyDescent="0.3">
      <c r="A2076" s="5">
        <v>100</v>
      </c>
      <c r="B2076" s="5" t="s">
        <v>127</v>
      </c>
      <c r="C2076" s="5">
        <v>7</v>
      </c>
      <c r="D2076" s="5" t="s">
        <v>91</v>
      </c>
      <c r="E2076" s="5">
        <v>2021</v>
      </c>
      <c r="F2076" s="5">
        <v>9</v>
      </c>
      <c r="G2076" s="5" t="s">
        <v>30</v>
      </c>
      <c r="H2076" s="5">
        <v>1408001</v>
      </c>
      <c r="I2076" s="5">
        <v>1283167.6399999999</v>
      </c>
      <c r="J2076" s="5">
        <v>21</v>
      </c>
      <c r="K2076" s="5">
        <v>223709</v>
      </c>
      <c r="L2076" s="5">
        <v>1628490</v>
      </c>
      <c r="M2076" s="5">
        <v>124833.36</v>
      </c>
      <c r="N2076" s="5">
        <v>8.8700000000000001E-2</v>
      </c>
      <c r="O2076" s="5">
        <v>1</v>
      </c>
      <c r="P2076" s="5">
        <v>3079</v>
      </c>
    </row>
    <row r="2077" spans="1:16" x14ac:dyDescent="0.3">
      <c r="A2077" s="5">
        <v>100</v>
      </c>
      <c r="B2077" s="5" t="s">
        <v>127</v>
      </c>
      <c r="C2077" s="5">
        <v>7</v>
      </c>
      <c r="D2077" s="5" t="s">
        <v>91</v>
      </c>
      <c r="E2077" s="5">
        <v>2021</v>
      </c>
      <c r="F2077" s="5">
        <v>10</v>
      </c>
      <c r="G2077" s="5" t="s">
        <v>31</v>
      </c>
      <c r="H2077" s="5">
        <v>2683285</v>
      </c>
      <c r="I2077" s="5">
        <v>2273067.87</v>
      </c>
      <c r="J2077" s="5">
        <v>42</v>
      </c>
      <c r="K2077" s="5">
        <v>251347</v>
      </c>
      <c r="L2077" s="5">
        <v>2929320</v>
      </c>
      <c r="M2077" s="5">
        <v>410217.13</v>
      </c>
      <c r="N2077" s="5">
        <v>0.15290000000000001</v>
      </c>
      <c r="O2077" s="5">
        <v>5</v>
      </c>
      <c r="P2077" s="5">
        <v>133003</v>
      </c>
    </row>
    <row r="2078" spans="1:16" x14ac:dyDescent="0.3">
      <c r="A2078" s="5">
        <v>100</v>
      </c>
      <c r="B2078" s="5" t="s">
        <v>127</v>
      </c>
      <c r="C2078" s="5">
        <v>7</v>
      </c>
      <c r="D2078" s="5" t="s">
        <v>91</v>
      </c>
      <c r="E2078" s="5">
        <v>2021</v>
      </c>
      <c r="F2078" s="5">
        <v>11</v>
      </c>
      <c r="G2078" s="5" t="s">
        <v>32</v>
      </c>
      <c r="H2078" s="5">
        <v>1995830</v>
      </c>
      <c r="I2078" s="5">
        <v>1595714.86</v>
      </c>
      <c r="J2078" s="5">
        <v>36</v>
      </c>
      <c r="K2078" s="5">
        <v>85613</v>
      </c>
      <c r="L2078" s="5">
        <v>2068350</v>
      </c>
      <c r="M2078" s="5">
        <v>400115.14</v>
      </c>
      <c r="N2078" s="5">
        <v>0.20050000000000001</v>
      </c>
      <c r="O2078" s="5">
        <v>4</v>
      </c>
      <c r="P2078" s="5">
        <v>104710</v>
      </c>
    </row>
    <row r="2079" spans="1:16" x14ac:dyDescent="0.3">
      <c r="A2079" s="5">
        <v>100</v>
      </c>
      <c r="B2079" s="5" t="s">
        <v>127</v>
      </c>
      <c r="C2079" s="5">
        <v>7</v>
      </c>
      <c r="D2079" s="5" t="s">
        <v>91</v>
      </c>
      <c r="E2079" s="5">
        <v>2021</v>
      </c>
      <c r="F2079" s="5">
        <v>12</v>
      </c>
      <c r="G2079" s="5" t="s">
        <v>33</v>
      </c>
      <c r="H2079" s="5">
        <v>2459798</v>
      </c>
      <c r="I2079" s="5">
        <v>2253379.5299999998</v>
      </c>
      <c r="J2079" s="5">
        <v>37</v>
      </c>
      <c r="K2079" s="5">
        <v>396334</v>
      </c>
      <c r="L2079" s="5">
        <v>2852430</v>
      </c>
      <c r="M2079" s="5">
        <v>206418.47</v>
      </c>
      <c r="N2079" s="5">
        <v>8.3900000000000002E-2</v>
      </c>
      <c r="O2079" s="5">
        <v>3</v>
      </c>
      <c r="P2079" s="5">
        <v>48366</v>
      </c>
    </row>
    <row r="2080" spans="1:16" x14ac:dyDescent="0.3">
      <c r="A2080" s="5">
        <v>100</v>
      </c>
      <c r="B2080" s="5" t="s">
        <v>127</v>
      </c>
      <c r="C2080" s="5">
        <v>7</v>
      </c>
      <c r="D2080" s="5" t="s">
        <v>91</v>
      </c>
      <c r="E2080" s="5">
        <v>2022</v>
      </c>
      <c r="F2080" s="5">
        <v>1</v>
      </c>
      <c r="G2080" s="5" t="s">
        <v>34</v>
      </c>
      <c r="H2080" s="5">
        <v>2328829</v>
      </c>
      <c r="I2080" s="5">
        <v>1876878.86</v>
      </c>
      <c r="J2080" s="5">
        <v>31</v>
      </c>
      <c r="K2080" s="5">
        <v>108744</v>
      </c>
      <c r="L2080" s="5">
        <v>2430370</v>
      </c>
      <c r="M2080" s="5">
        <v>451950.14</v>
      </c>
      <c r="N2080" s="5">
        <v>0.19409999999999999</v>
      </c>
      <c r="O2080" s="5">
        <v>2</v>
      </c>
      <c r="P2080" s="5">
        <v>37227</v>
      </c>
    </row>
    <row r="2081" spans="1:16" x14ac:dyDescent="0.3">
      <c r="A2081" s="5">
        <v>100</v>
      </c>
      <c r="B2081" s="5" t="s">
        <v>127</v>
      </c>
      <c r="C2081" s="5">
        <v>7</v>
      </c>
      <c r="D2081" s="5" t="s">
        <v>91</v>
      </c>
      <c r="E2081" s="5">
        <v>2022</v>
      </c>
      <c r="F2081" s="5">
        <v>2</v>
      </c>
      <c r="G2081" s="5" t="s">
        <v>35</v>
      </c>
      <c r="H2081" s="5">
        <v>1298675</v>
      </c>
      <c r="I2081" s="5">
        <v>1074501.97</v>
      </c>
      <c r="J2081" s="5">
        <v>27</v>
      </c>
      <c r="K2081" s="5">
        <v>79571</v>
      </c>
      <c r="L2081" s="5">
        <v>1372470</v>
      </c>
      <c r="M2081" s="5">
        <v>224173.03</v>
      </c>
      <c r="N2081" s="5">
        <v>0.1726</v>
      </c>
      <c r="O2081" s="5">
        <v>0</v>
      </c>
      <c r="P2081" s="5">
        <v>0</v>
      </c>
    </row>
    <row r="2082" spans="1:16" x14ac:dyDescent="0.3">
      <c r="A2082" s="5">
        <v>100</v>
      </c>
      <c r="B2082" s="5" t="s">
        <v>127</v>
      </c>
      <c r="C2082" s="5">
        <v>7</v>
      </c>
      <c r="D2082" s="5" t="s">
        <v>91</v>
      </c>
      <c r="E2082" s="5">
        <v>2022</v>
      </c>
      <c r="F2082" s="5">
        <v>3</v>
      </c>
      <c r="G2082" s="5" t="s">
        <v>36</v>
      </c>
      <c r="H2082" s="5">
        <v>1883774</v>
      </c>
      <c r="I2082" s="5">
        <v>1519425.31</v>
      </c>
      <c r="J2082" s="5">
        <v>30</v>
      </c>
      <c r="K2082" s="5">
        <v>79326</v>
      </c>
      <c r="L2082" s="5">
        <v>1958420</v>
      </c>
      <c r="M2082" s="5">
        <v>364348.69</v>
      </c>
      <c r="N2082" s="5">
        <v>0.19339999999999999</v>
      </c>
      <c r="O2082" s="5">
        <v>2</v>
      </c>
      <c r="P2082" s="5">
        <v>7318</v>
      </c>
    </row>
    <row r="2083" spans="1:16" x14ac:dyDescent="0.3">
      <c r="A2083" s="5">
        <v>100</v>
      </c>
      <c r="B2083" s="5" t="s">
        <v>127</v>
      </c>
      <c r="C2083" s="5">
        <v>7</v>
      </c>
      <c r="D2083" s="5" t="s">
        <v>91</v>
      </c>
      <c r="E2083" s="5">
        <v>2022</v>
      </c>
      <c r="F2083" s="5">
        <v>4</v>
      </c>
      <c r="G2083" s="5" t="s">
        <v>37</v>
      </c>
      <c r="H2083" s="5">
        <v>2195263</v>
      </c>
      <c r="I2083" s="5">
        <v>1823860.26</v>
      </c>
      <c r="J2083" s="5">
        <v>48</v>
      </c>
      <c r="K2083" s="5">
        <v>226206</v>
      </c>
      <c r="L2083" s="5">
        <v>2412450</v>
      </c>
      <c r="M2083" s="5">
        <v>371402.74</v>
      </c>
      <c r="N2083" s="5">
        <v>0.16919999999999999</v>
      </c>
      <c r="O2083" s="5">
        <v>4</v>
      </c>
      <c r="P2083" s="5">
        <v>13758</v>
      </c>
    </row>
    <row r="2084" spans="1:16" x14ac:dyDescent="0.3">
      <c r="A2084" s="5">
        <v>100</v>
      </c>
      <c r="B2084" s="5" t="s">
        <v>127</v>
      </c>
      <c r="C2084" s="5">
        <v>7</v>
      </c>
      <c r="D2084" s="5" t="s">
        <v>91</v>
      </c>
      <c r="E2084" s="5">
        <v>2022</v>
      </c>
      <c r="F2084" s="5">
        <v>5</v>
      </c>
      <c r="G2084" s="5" t="s">
        <v>38</v>
      </c>
      <c r="H2084" s="5">
        <v>3554582</v>
      </c>
      <c r="I2084" s="5">
        <v>3079968.54</v>
      </c>
      <c r="J2084" s="5">
        <v>48</v>
      </c>
      <c r="K2084" s="5">
        <v>342180</v>
      </c>
      <c r="L2084" s="5">
        <v>3884200</v>
      </c>
      <c r="M2084" s="5">
        <v>474613.46</v>
      </c>
      <c r="N2084" s="5">
        <v>0.13350000000000001</v>
      </c>
      <c r="O2084" s="5">
        <v>4</v>
      </c>
      <c r="P2084" s="5">
        <v>130675</v>
      </c>
    </row>
    <row r="2085" spans="1:16" x14ac:dyDescent="0.3">
      <c r="A2085" s="5">
        <v>100</v>
      </c>
      <c r="B2085" s="5" t="s">
        <v>127</v>
      </c>
      <c r="C2085" s="5">
        <v>7</v>
      </c>
      <c r="D2085" s="5" t="s">
        <v>91</v>
      </c>
      <c r="E2085" s="5">
        <v>2022</v>
      </c>
      <c r="F2085" s="5">
        <v>6</v>
      </c>
      <c r="G2085" s="5" t="s">
        <v>39</v>
      </c>
      <c r="H2085" s="5">
        <v>2925930</v>
      </c>
      <c r="I2085" s="5">
        <v>2412843.14</v>
      </c>
      <c r="J2085" s="5">
        <v>43</v>
      </c>
      <c r="K2085" s="5">
        <v>233096</v>
      </c>
      <c r="L2085" s="5">
        <v>3152480</v>
      </c>
      <c r="M2085" s="5">
        <v>513086.86</v>
      </c>
      <c r="N2085" s="5">
        <v>0.1754</v>
      </c>
      <c r="O2085" s="5">
        <v>6</v>
      </c>
      <c r="P2085" s="5">
        <v>121052</v>
      </c>
    </row>
    <row r="2086" spans="1:16" x14ac:dyDescent="0.3">
      <c r="A2086" s="5">
        <v>100</v>
      </c>
      <c r="B2086" s="5" t="s">
        <v>127</v>
      </c>
      <c r="C2086" s="5">
        <v>7</v>
      </c>
      <c r="D2086" s="5" t="s">
        <v>91</v>
      </c>
      <c r="E2086" s="5">
        <v>2022</v>
      </c>
      <c r="F2086" s="5">
        <v>7</v>
      </c>
      <c r="G2086" s="5" t="s">
        <v>40</v>
      </c>
      <c r="H2086" s="5">
        <v>2517718</v>
      </c>
      <c r="I2086" s="5">
        <v>2383679.59</v>
      </c>
      <c r="J2086" s="5">
        <v>41</v>
      </c>
      <c r="K2086" s="5">
        <v>544840</v>
      </c>
      <c r="L2086" s="5">
        <v>3058450</v>
      </c>
      <c r="M2086" s="5">
        <v>134038.41</v>
      </c>
      <c r="N2086" s="5">
        <v>5.3199999999999997E-2</v>
      </c>
      <c r="O2086" s="5">
        <v>1</v>
      </c>
      <c r="P2086" s="5">
        <v>30242</v>
      </c>
    </row>
    <row r="2087" spans="1:16" x14ac:dyDescent="0.3">
      <c r="A2087" s="5">
        <v>100</v>
      </c>
      <c r="B2087" s="5" t="s">
        <v>127</v>
      </c>
      <c r="C2087" s="5">
        <v>7</v>
      </c>
      <c r="D2087" s="5" t="s">
        <v>91</v>
      </c>
      <c r="E2087" s="5">
        <v>2022</v>
      </c>
      <c r="F2087" s="5">
        <v>8</v>
      </c>
      <c r="G2087" s="5" t="s">
        <v>41</v>
      </c>
      <c r="H2087" s="5">
        <v>2699034</v>
      </c>
      <c r="I2087" s="5">
        <v>2640402.39</v>
      </c>
      <c r="J2087" s="5">
        <v>46</v>
      </c>
      <c r="K2087" s="5">
        <v>688159</v>
      </c>
      <c r="L2087" s="5">
        <v>3373380</v>
      </c>
      <c r="M2087" s="5">
        <v>58631.61</v>
      </c>
      <c r="N2087" s="5">
        <v>2.1700000000000001E-2</v>
      </c>
      <c r="O2087" s="5">
        <v>7</v>
      </c>
      <c r="P2087" s="5">
        <v>207346</v>
      </c>
    </row>
    <row r="2088" spans="1:16" x14ac:dyDescent="0.3">
      <c r="A2088" s="5">
        <v>100</v>
      </c>
      <c r="B2088" s="5" t="s">
        <v>127</v>
      </c>
      <c r="C2088" s="5">
        <v>7</v>
      </c>
      <c r="D2088" s="5" t="s">
        <v>91</v>
      </c>
      <c r="E2088" s="5">
        <v>2022</v>
      </c>
      <c r="F2088" s="5">
        <v>9</v>
      </c>
      <c r="G2088" s="5" t="s">
        <v>42</v>
      </c>
      <c r="H2088" s="5">
        <v>3470477</v>
      </c>
      <c r="I2088" s="5">
        <v>2941184.89</v>
      </c>
      <c r="J2088" s="5">
        <v>60</v>
      </c>
      <c r="K2088" s="5">
        <v>331126</v>
      </c>
      <c r="L2088" s="5">
        <v>3781070</v>
      </c>
      <c r="M2088" s="5">
        <v>529292.11</v>
      </c>
      <c r="N2088" s="5">
        <v>0.1525</v>
      </c>
      <c r="O2088" s="5">
        <v>6</v>
      </c>
      <c r="P2088" s="5">
        <v>197471</v>
      </c>
    </row>
    <row r="2089" spans="1:16" x14ac:dyDescent="0.3">
      <c r="A2089" s="5">
        <v>100</v>
      </c>
      <c r="B2089" s="5" t="s">
        <v>127</v>
      </c>
      <c r="C2089" s="5">
        <v>7</v>
      </c>
      <c r="D2089" s="5" t="s">
        <v>91</v>
      </c>
      <c r="E2089" s="5">
        <v>2022</v>
      </c>
      <c r="F2089" s="5">
        <v>10</v>
      </c>
      <c r="G2089" s="5" t="s">
        <v>43</v>
      </c>
      <c r="H2089" s="5">
        <v>4569982</v>
      </c>
      <c r="I2089" s="5">
        <v>4180284.21</v>
      </c>
      <c r="J2089" s="5">
        <v>58</v>
      </c>
      <c r="K2089" s="5">
        <v>645209</v>
      </c>
      <c r="L2089" s="5">
        <v>5204790</v>
      </c>
      <c r="M2089" s="5">
        <v>389697.79</v>
      </c>
      <c r="N2089" s="5">
        <v>8.5300000000000001E-2</v>
      </c>
      <c r="O2089" s="5">
        <v>4</v>
      </c>
      <c r="P2089" s="5">
        <v>335332</v>
      </c>
    </row>
    <row r="2090" spans="1:16" x14ac:dyDescent="0.3">
      <c r="A2090" s="5">
        <v>100</v>
      </c>
      <c r="B2090" s="5" t="s">
        <v>127</v>
      </c>
      <c r="C2090" s="5">
        <v>7</v>
      </c>
      <c r="D2090" s="5" t="s">
        <v>91</v>
      </c>
      <c r="E2090" s="5">
        <v>2022</v>
      </c>
      <c r="F2090" s="5">
        <v>11</v>
      </c>
      <c r="G2090" s="5" t="s">
        <v>44</v>
      </c>
      <c r="H2090" s="5">
        <v>3639842</v>
      </c>
      <c r="I2090" s="5">
        <v>3060847.18</v>
      </c>
      <c r="J2090" s="5">
        <v>65</v>
      </c>
      <c r="K2090" s="5">
        <v>362663</v>
      </c>
      <c r="L2090" s="5">
        <v>3991190</v>
      </c>
      <c r="M2090" s="5">
        <v>578994.81999999995</v>
      </c>
      <c r="N2090" s="5">
        <v>0.15909999999999999</v>
      </c>
      <c r="O2090" s="5">
        <v>7</v>
      </c>
      <c r="P2090" s="5">
        <v>143775</v>
      </c>
    </row>
    <row r="2091" spans="1:16" x14ac:dyDescent="0.3">
      <c r="A2091" s="5">
        <v>100</v>
      </c>
      <c r="B2091" s="5" t="s">
        <v>127</v>
      </c>
      <c r="C2091" s="5">
        <v>7</v>
      </c>
      <c r="D2091" s="5" t="s">
        <v>91</v>
      </c>
      <c r="E2091" s="5">
        <v>2022</v>
      </c>
      <c r="F2091" s="5">
        <v>12</v>
      </c>
      <c r="G2091" s="5" t="s">
        <v>45</v>
      </c>
      <c r="H2091" s="5">
        <v>3933048</v>
      </c>
      <c r="I2091" s="5">
        <v>3282475.77</v>
      </c>
      <c r="J2091" s="5">
        <v>57</v>
      </c>
      <c r="K2091" s="5">
        <v>325575</v>
      </c>
      <c r="L2091" s="5">
        <v>4250070</v>
      </c>
      <c r="M2091" s="5">
        <v>650572.23</v>
      </c>
      <c r="N2091" s="5">
        <v>0.16539999999999999</v>
      </c>
      <c r="O2091" s="5">
        <v>6</v>
      </c>
      <c r="P2091" s="5">
        <v>78030</v>
      </c>
    </row>
    <row r="2092" spans="1:16" x14ac:dyDescent="0.3">
      <c r="A2092" s="5">
        <v>100</v>
      </c>
      <c r="B2092" s="5" t="s">
        <v>127</v>
      </c>
      <c r="C2092" s="5">
        <v>7</v>
      </c>
      <c r="D2092" s="5" t="s">
        <v>91</v>
      </c>
      <c r="E2092" s="5">
        <v>2023</v>
      </c>
      <c r="F2092" s="5">
        <v>1</v>
      </c>
      <c r="G2092" s="5" t="s">
        <v>46</v>
      </c>
      <c r="H2092" s="5">
        <v>2961910</v>
      </c>
      <c r="I2092" s="5">
        <v>2572964.63</v>
      </c>
      <c r="J2092" s="5">
        <v>54</v>
      </c>
      <c r="K2092" s="5">
        <v>416116</v>
      </c>
      <c r="L2092" s="5">
        <v>3363030</v>
      </c>
      <c r="M2092" s="5">
        <v>388945.37</v>
      </c>
      <c r="N2092" s="5">
        <v>0.1313</v>
      </c>
      <c r="O2092" s="5">
        <v>3</v>
      </c>
      <c r="P2092" s="5">
        <v>86603</v>
      </c>
    </row>
    <row r="2093" spans="1:16" x14ac:dyDescent="0.3">
      <c r="A2093" s="5">
        <v>100</v>
      </c>
      <c r="B2093" s="5" t="s">
        <v>127</v>
      </c>
      <c r="C2093" s="5">
        <v>7</v>
      </c>
      <c r="D2093" s="5" t="s">
        <v>91</v>
      </c>
      <c r="E2093" s="5">
        <v>2023</v>
      </c>
      <c r="F2093" s="5">
        <v>2</v>
      </c>
      <c r="G2093" s="5" t="s">
        <v>47</v>
      </c>
      <c r="H2093" s="5">
        <v>1890410</v>
      </c>
      <c r="I2093" s="5">
        <v>1530629.42</v>
      </c>
      <c r="J2093" s="5">
        <v>30</v>
      </c>
      <c r="K2093" s="5">
        <v>149405</v>
      </c>
      <c r="L2093" s="5">
        <v>2028730</v>
      </c>
      <c r="M2093" s="5">
        <v>359780.58</v>
      </c>
      <c r="N2093" s="5">
        <v>0.1903</v>
      </c>
      <c r="O2093" s="5">
        <v>3</v>
      </c>
      <c r="P2093" s="5">
        <v>83482</v>
      </c>
    </row>
    <row r="2094" spans="1:16" x14ac:dyDescent="0.3">
      <c r="A2094" s="5">
        <v>100</v>
      </c>
      <c r="B2094" s="5" t="s">
        <v>127</v>
      </c>
      <c r="C2094" s="5">
        <v>7</v>
      </c>
      <c r="D2094" s="5" t="s">
        <v>91</v>
      </c>
      <c r="E2094" s="5">
        <v>2023</v>
      </c>
      <c r="F2094" s="5">
        <v>3</v>
      </c>
      <c r="G2094" s="5" t="s">
        <v>48</v>
      </c>
      <c r="H2094" s="5">
        <v>5284273</v>
      </c>
      <c r="I2094" s="5">
        <v>4683428.1100000003</v>
      </c>
      <c r="J2094" s="5">
        <v>64</v>
      </c>
      <c r="K2094" s="5">
        <v>668564</v>
      </c>
      <c r="L2094" s="5">
        <v>5944380</v>
      </c>
      <c r="M2094" s="5">
        <v>600844.89</v>
      </c>
      <c r="N2094" s="5">
        <v>0.1137</v>
      </c>
      <c r="O2094" s="5">
        <v>4</v>
      </c>
      <c r="P2094" s="5">
        <v>69203</v>
      </c>
    </row>
    <row r="2095" spans="1:16" x14ac:dyDescent="0.3">
      <c r="A2095" s="5">
        <v>100</v>
      </c>
      <c r="B2095" s="5" t="s">
        <v>127</v>
      </c>
      <c r="C2095" s="5">
        <v>7</v>
      </c>
      <c r="D2095" s="5" t="s">
        <v>91</v>
      </c>
      <c r="E2095" s="5">
        <v>2023</v>
      </c>
      <c r="F2095" s="5">
        <v>4</v>
      </c>
      <c r="G2095" s="5" t="s">
        <v>49</v>
      </c>
      <c r="H2095" s="5">
        <v>3979240</v>
      </c>
      <c r="I2095" s="5">
        <v>3447065.48</v>
      </c>
      <c r="J2095" s="5">
        <v>54</v>
      </c>
      <c r="K2095" s="5">
        <v>438447</v>
      </c>
      <c r="L2095" s="5">
        <v>4404400</v>
      </c>
      <c r="M2095" s="5">
        <v>532174.52</v>
      </c>
      <c r="N2095" s="5">
        <v>0.13370000000000001</v>
      </c>
      <c r="O2095" s="5">
        <v>6</v>
      </c>
      <c r="P2095" s="5">
        <v>249511</v>
      </c>
    </row>
    <row r="2096" spans="1:16" x14ac:dyDescent="0.3">
      <c r="A2096" s="5">
        <v>100</v>
      </c>
      <c r="B2096" s="5" t="s">
        <v>127</v>
      </c>
      <c r="C2096" s="5">
        <v>7</v>
      </c>
      <c r="D2096" s="5" t="s">
        <v>91</v>
      </c>
      <c r="E2096" s="5">
        <v>2023</v>
      </c>
      <c r="F2096" s="5">
        <v>5</v>
      </c>
      <c r="G2096" s="5" t="s">
        <v>50</v>
      </c>
      <c r="H2096" s="5">
        <v>4153622</v>
      </c>
      <c r="I2096" s="5">
        <v>3648102.55</v>
      </c>
      <c r="J2096" s="5">
        <v>54</v>
      </c>
      <c r="K2096" s="5">
        <v>448145</v>
      </c>
      <c r="L2096" s="5">
        <v>4584100</v>
      </c>
      <c r="M2096" s="5">
        <v>505519.45</v>
      </c>
      <c r="N2096" s="5">
        <v>0.1217</v>
      </c>
      <c r="O2096" s="5">
        <v>4</v>
      </c>
      <c r="P2096" s="5">
        <v>195976</v>
      </c>
    </row>
    <row r="2097" spans="1:16" x14ac:dyDescent="0.3">
      <c r="A2097" s="5">
        <v>100</v>
      </c>
      <c r="B2097" s="5" t="s">
        <v>127</v>
      </c>
      <c r="C2097" s="5">
        <v>7</v>
      </c>
      <c r="D2097" s="5" t="s">
        <v>91</v>
      </c>
      <c r="E2097" s="5">
        <v>2023</v>
      </c>
      <c r="F2097" s="5">
        <v>6</v>
      </c>
      <c r="G2097" s="5" t="s">
        <v>51</v>
      </c>
      <c r="H2097" s="5">
        <v>3614116</v>
      </c>
      <c r="I2097" s="5">
        <v>3126678.26</v>
      </c>
      <c r="J2097" s="5">
        <v>54</v>
      </c>
      <c r="K2097" s="5">
        <v>487290</v>
      </c>
      <c r="L2097" s="5">
        <v>4089360</v>
      </c>
      <c r="M2097" s="5">
        <v>487437.74</v>
      </c>
      <c r="N2097" s="5">
        <v>0.13489999999999999</v>
      </c>
      <c r="O2097" s="5">
        <v>5</v>
      </c>
      <c r="P2097" s="5">
        <v>162116</v>
      </c>
    </row>
    <row r="2098" spans="1:16" x14ac:dyDescent="0.3">
      <c r="A2098" s="5">
        <v>100</v>
      </c>
      <c r="B2098" s="5" t="s">
        <v>127</v>
      </c>
      <c r="C2098" s="5">
        <v>7</v>
      </c>
      <c r="D2098" s="5" t="s">
        <v>91</v>
      </c>
      <c r="E2098" s="5">
        <v>2023</v>
      </c>
      <c r="F2098" s="5">
        <v>7</v>
      </c>
      <c r="G2098" s="5" t="s">
        <v>52</v>
      </c>
      <c r="H2098" s="5">
        <v>3714491</v>
      </c>
      <c r="I2098" s="5">
        <v>3351499.01</v>
      </c>
      <c r="J2098" s="5">
        <v>55</v>
      </c>
      <c r="K2098" s="5">
        <v>556732</v>
      </c>
      <c r="L2098" s="5">
        <v>4261370</v>
      </c>
      <c r="M2098" s="5">
        <v>362991.99</v>
      </c>
      <c r="N2098" s="5">
        <v>9.7699999999999995E-2</v>
      </c>
      <c r="O2098" s="5">
        <v>4</v>
      </c>
      <c r="P2098" s="5">
        <v>78514</v>
      </c>
    </row>
    <row r="2099" spans="1:16" x14ac:dyDescent="0.3">
      <c r="A2099" s="5">
        <v>100</v>
      </c>
      <c r="B2099" s="5" t="s">
        <v>127</v>
      </c>
      <c r="C2099" s="5">
        <v>7</v>
      </c>
      <c r="D2099" s="5" t="s">
        <v>91</v>
      </c>
      <c r="E2099" s="5">
        <v>2023</v>
      </c>
      <c r="F2099" s="5">
        <v>8</v>
      </c>
      <c r="G2099" s="5" t="s">
        <v>53</v>
      </c>
      <c r="H2099" s="5">
        <v>2248343</v>
      </c>
      <c r="I2099" s="5">
        <v>1928811.47</v>
      </c>
      <c r="J2099" s="5">
        <v>45</v>
      </c>
      <c r="K2099" s="5">
        <v>290891</v>
      </c>
      <c r="L2099" s="5">
        <v>2531230</v>
      </c>
      <c r="M2099" s="5">
        <v>319531.53000000003</v>
      </c>
      <c r="N2099" s="5">
        <v>0.1421</v>
      </c>
      <c r="O2099" s="5">
        <v>2</v>
      </c>
      <c r="P2099" s="5">
        <v>155528</v>
      </c>
    </row>
    <row r="2100" spans="1:16" x14ac:dyDescent="0.3">
      <c r="A2100" s="5">
        <v>100</v>
      </c>
      <c r="B2100" s="5" t="s">
        <v>127</v>
      </c>
      <c r="C2100" s="5">
        <v>7</v>
      </c>
      <c r="D2100" s="5" t="s">
        <v>91</v>
      </c>
      <c r="E2100" s="5">
        <v>2023</v>
      </c>
      <c r="F2100" s="5">
        <v>9</v>
      </c>
      <c r="G2100" s="5" t="s">
        <v>54</v>
      </c>
      <c r="H2100" s="5">
        <v>4045759</v>
      </c>
      <c r="I2100" s="5">
        <v>3450670.92</v>
      </c>
      <c r="J2100" s="5">
        <v>62</v>
      </c>
      <c r="K2100" s="5">
        <v>447109</v>
      </c>
      <c r="L2100" s="5">
        <v>4479540</v>
      </c>
      <c r="M2100" s="5">
        <v>595088.07999999996</v>
      </c>
      <c r="N2100" s="5">
        <v>0.14710000000000001</v>
      </c>
      <c r="O2100" s="5">
        <v>5</v>
      </c>
      <c r="P2100" s="5">
        <v>164100</v>
      </c>
    </row>
    <row r="2101" spans="1:16" x14ac:dyDescent="0.3">
      <c r="A2101" s="5">
        <v>100</v>
      </c>
      <c r="B2101" s="5" t="s">
        <v>127</v>
      </c>
      <c r="C2101" s="5">
        <v>7</v>
      </c>
      <c r="D2101" s="5" t="s">
        <v>91</v>
      </c>
      <c r="E2101" s="5">
        <v>2023</v>
      </c>
      <c r="F2101" s="5">
        <v>10</v>
      </c>
      <c r="G2101" s="5" t="s">
        <v>55</v>
      </c>
      <c r="H2101" s="5">
        <v>2728592</v>
      </c>
      <c r="I2101" s="5">
        <v>2364112.88</v>
      </c>
      <c r="J2101" s="5">
        <v>58</v>
      </c>
      <c r="K2101" s="5">
        <v>402247</v>
      </c>
      <c r="L2101" s="5">
        <v>3123450</v>
      </c>
      <c r="M2101" s="5">
        <v>364479.12</v>
      </c>
      <c r="N2101" s="5">
        <v>0.1336</v>
      </c>
      <c r="O2101" s="5">
        <v>3</v>
      </c>
      <c r="P2101" s="5">
        <v>93401</v>
      </c>
    </row>
    <row r="2102" spans="1:16" x14ac:dyDescent="0.3">
      <c r="A2102" s="5">
        <v>100</v>
      </c>
      <c r="B2102" s="5" t="s">
        <v>127</v>
      </c>
      <c r="C2102" s="5">
        <v>7</v>
      </c>
      <c r="D2102" s="5" t="s">
        <v>91</v>
      </c>
      <c r="E2102" s="5">
        <v>2023</v>
      </c>
      <c r="F2102" s="5">
        <v>11</v>
      </c>
      <c r="G2102" s="5" t="s">
        <v>56</v>
      </c>
      <c r="H2102" s="5">
        <v>5766225</v>
      </c>
      <c r="I2102" s="5">
        <v>5202411.09</v>
      </c>
      <c r="J2102" s="5">
        <v>79</v>
      </c>
      <c r="K2102" s="5">
        <v>918223</v>
      </c>
      <c r="L2102" s="5">
        <v>6657530</v>
      </c>
      <c r="M2102" s="5">
        <v>563813.91</v>
      </c>
      <c r="N2102" s="5">
        <v>9.7799999999999998E-2</v>
      </c>
      <c r="O2102" s="5">
        <v>5</v>
      </c>
      <c r="P2102" s="5">
        <v>63691</v>
      </c>
    </row>
    <row r="2103" spans="1:16" x14ac:dyDescent="0.3">
      <c r="A2103" s="5">
        <v>100</v>
      </c>
      <c r="B2103" s="5" t="s">
        <v>127</v>
      </c>
      <c r="C2103" s="5">
        <v>7</v>
      </c>
      <c r="D2103" s="5" t="s">
        <v>91</v>
      </c>
      <c r="E2103" s="5">
        <v>2023</v>
      </c>
      <c r="F2103" s="5">
        <v>12</v>
      </c>
      <c r="G2103" s="5" t="s">
        <v>57</v>
      </c>
      <c r="H2103" s="5">
        <v>4034926</v>
      </c>
      <c r="I2103" s="5">
        <v>3611656.65</v>
      </c>
      <c r="J2103" s="5">
        <v>66</v>
      </c>
      <c r="K2103" s="5">
        <v>720716</v>
      </c>
      <c r="L2103" s="5">
        <v>4744160</v>
      </c>
      <c r="M2103" s="5">
        <v>423269.35</v>
      </c>
      <c r="N2103" s="5">
        <v>0.10489999999999999</v>
      </c>
      <c r="O2103" s="5">
        <v>5</v>
      </c>
      <c r="P2103" s="5">
        <v>51585</v>
      </c>
    </row>
    <row r="2104" spans="1:16" x14ac:dyDescent="0.3">
      <c r="A2104" s="5">
        <v>100</v>
      </c>
      <c r="B2104" s="5" t="s">
        <v>127</v>
      </c>
      <c r="C2104" s="5">
        <v>7</v>
      </c>
      <c r="D2104" s="5" t="s">
        <v>91</v>
      </c>
      <c r="E2104" s="5">
        <v>2024</v>
      </c>
      <c r="F2104" s="5">
        <v>1</v>
      </c>
      <c r="G2104" s="5" t="s">
        <v>58</v>
      </c>
      <c r="H2104" s="5">
        <v>2615058</v>
      </c>
      <c r="I2104" s="5">
        <v>2306863.89</v>
      </c>
      <c r="J2104" s="5">
        <v>41</v>
      </c>
      <c r="K2104" s="5">
        <v>304958</v>
      </c>
      <c r="L2104" s="5">
        <v>2912470</v>
      </c>
      <c r="M2104" s="5">
        <v>308194.11</v>
      </c>
      <c r="N2104" s="5">
        <v>0.1179</v>
      </c>
      <c r="O2104" s="5">
        <v>4</v>
      </c>
      <c r="P2104" s="5">
        <v>79421</v>
      </c>
    </row>
    <row r="2105" spans="1:16" x14ac:dyDescent="0.3">
      <c r="A2105" s="5">
        <v>100</v>
      </c>
      <c r="B2105" s="5" t="s">
        <v>127</v>
      </c>
      <c r="C2105" s="5">
        <v>7</v>
      </c>
      <c r="D2105" s="5" t="s">
        <v>91</v>
      </c>
      <c r="E2105" s="5">
        <v>2024</v>
      </c>
      <c r="F2105" s="5">
        <v>2</v>
      </c>
      <c r="G2105" s="5" t="s">
        <v>59</v>
      </c>
      <c r="H2105" s="5">
        <v>3967980</v>
      </c>
      <c r="I2105" s="5">
        <v>3486449.38</v>
      </c>
      <c r="J2105" s="5">
        <v>49</v>
      </c>
      <c r="K2105" s="5">
        <v>445583</v>
      </c>
      <c r="L2105" s="5">
        <v>4408960</v>
      </c>
      <c r="M2105" s="5">
        <v>481530.62</v>
      </c>
      <c r="N2105" s="5">
        <v>0.12139999999999999</v>
      </c>
      <c r="O2105" s="5">
        <v>2</v>
      </c>
      <c r="P2105" s="5">
        <v>8019</v>
      </c>
    </row>
    <row r="2106" spans="1:16" x14ac:dyDescent="0.3">
      <c r="A2106" s="5">
        <v>100</v>
      </c>
      <c r="B2106" s="5" t="s">
        <v>127</v>
      </c>
      <c r="C2106" s="5">
        <v>7</v>
      </c>
      <c r="D2106" s="5" t="s">
        <v>91</v>
      </c>
      <c r="E2106" s="5">
        <v>2024</v>
      </c>
      <c r="F2106" s="5">
        <v>3</v>
      </c>
      <c r="G2106" s="5" t="s">
        <v>60</v>
      </c>
      <c r="H2106" s="5">
        <v>3662416</v>
      </c>
      <c r="I2106" s="5">
        <v>3140303.82</v>
      </c>
      <c r="J2106" s="5">
        <v>56</v>
      </c>
      <c r="K2106" s="5">
        <v>318994</v>
      </c>
      <c r="L2106" s="5">
        <v>3970630</v>
      </c>
      <c r="M2106" s="5">
        <v>522112.18</v>
      </c>
      <c r="N2106" s="5">
        <v>0.1426</v>
      </c>
      <c r="O2106" s="5">
        <v>6</v>
      </c>
      <c r="P2106" s="5">
        <v>304880</v>
      </c>
    </row>
    <row r="2107" spans="1:16" x14ac:dyDescent="0.3">
      <c r="A2107" s="5">
        <v>100</v>
      </c>
      <c r="B2107" s="5" t="s">
        <v>127</v>
      </c>
      <c r="C2107" s="5">
        <v>7</v>
      </c>
      <c r="D2107" s="5" t="s">
        <v>91</v>
      </c>
      <c r="E2107" s="5">
        <v>2024</v>
      </c>
      <c r="F2107" s="5">
        <v>4</v>
      </c>
      <c r="G2107" s="5" t="s">
        <v>61</v>
      </c>
      <c r="H2107" s="5">
        <v>3796265</v>
      </c>
      <c r="I2107" s="5">
        <v>3435705.99</v>
      </c>
      <c r="J2107" s="5">
        <v>59</v>
      </c>
      <c r="K2107" s="5">
        <v>566550</v>
      </c>
      <c r="L2107" s="5">
        <v>4346110</v>
      </c>
      <c r="M2107" s="5">
        <v>360559.01</v>
      </c>
      <c r="N2107" s="5">
        <v>9.5000000000000001E-2</v>
      </c>
      <c r="O2107" s="5">
        <v>6</v>
      </c>
      <c r="P2107" s="5">
        <v>177189</v>
      </c>
    </row>
    <row r="2108" spans="1:16" x14ac:dyDescent="0.3">
      <c r="A2108" s="5">
        <v>100</v>
      </c>
      <c r="B2108" s="5" t="s">
        <v>127</v>
      </c>
      <c r="C2108" s="5">
        <v>7</v>
      </c>
      <c r="D2108" s="5" t="s">
        <v>91</v>
      </c>
      <c r="E2108" s="5">
        <v>2024</v>
      </c>
      <c r="F2108" s="5">
        <v>5</v>
      </c>
      <c r="G2108" s="5" t="s">
        <v>62</v>
      </c>
      <c r="H2108" s="5">
        <v>3860436</v>
      </c>
      <c r="I2108" s="5">
        <v>3526147.94</v>
      </c>
      <c r="J2108" s="5">
        <v>58</v>
      </c>
      <c r="K2108" s="5">
        <v>672756</v>
      </c>
      <c r="L2108" s="5">
        <v>4529710</v>
      </c>
      <c r="M2108" s="5">
        <v>334288.06</v>
      </c>
      <c r="N2108" s="5">
        <v>8.6599999999999996E-2</v>
      </c>
      <c r="O2108" s="5">
        <v>4</v>
      </c>
      <c r="P2108" s="5">
        <v>284491</v>
      </c>
    </row>
    <row r="2109" spans="1:16" x14ac:dyDescent="0.3">
      <c r="A2109" s="5">
        <v>100</v>
      </c>
      <c r="B2109" s="5" t="s">
        <v>127</v>
      </c>
      <c r="C2109" s="5">
        <v>7</v>
      </c>
      <c r="D2109" s="5" t="s">
        <v>91</v>
      </c>
      <c r="E2109" s="5">
        <v>2024</v>
      </c>
      <c r="F2109" s="5">
        <v>6</v>
      </c>
      <c r="G2109" s="5" t="s">
        <v>63</v>
      </c>
      <c r="H2109" s="5">
        <v>3211025</v>
      </c>
      <c r="I2109" s="5">
        <v>2650900.63</v>
      </c>
      <c r="J2109" s="5">
        <v>49</v>
      </c>
      <c r="K2109" s="5">
        <v>202631</v>
      </c>
      <c r="L2109" s="5">
        <v>3406040</v>
      </c>
      <c r="M2109" s="5">
        <v>560124.37</v>
      </c>
      <c r="N2109" s="5">
        <v>0.1744</v>
      </c>
      <c r="O2109" s="5">
        <v>0</v>
      </c>
      <c r="P2109" s="5">
        <v>0</v>
      </c>
    </row>
    <row r="2110" spans="1:16" x14ac:dyDescent="0.3">
      <c r="A2110" s="5">
        <v>100</v>
      </c>
      <c r="B2110" s="5" t="s">
        <v>127</v>
      </c>
      <c r="C2110" s="5">
        <v>7</v>
      </c>
      <c r="D2110" s="5" t="s">
        <v>91</v>
      </c>
      <c r="E2110" s="5">
        <v>2024</v>
      </c>
      <c r="F2110" s="5">
        <v>7</v>
      </c>
      <c r="G2110" s="5" t="s">
        <v>64</v>
      </c>
      <c r="H2110" s="5">
        <v>4668144</v>
      </c>
      <c r="I2110" s="5">
        <v>4075581.99</v>
      </c>
      <c r="J2110" s="5">
        <v>58</v>
      </c>
      <c r="K2110" s="5">
        <v>479428</v>
      </c>
      <c r="L2110" s="5">
        <v>5126550</v>
      </c>
      <c r="M2110" s="5">
        <v>592562.01</v>
      </c>
      <c r="N2110" s="5">
        <v>0.12690000000000001</v>
      </c>
      <c r="O2110" s="5">
        <v>1</v>
      </c>
      <c r="P2110" s="5">
        <v>6409</v>
      </c>
    </row>
    <row r="2111" spans="1:16" x14ac:dyDescent="0.3">
      <c r="A2111" s="5">
        <v>100</v>
      </c>
      <c r="B2111" s="5" t="s">
        <v>127</v>
      </c>
      <c r="C2111" s="5">
        <v>7</v>
      </c>
      <c r="D2111" s="5" t="s">
        <v>91</v>
      </c>
      <c r="E2111" s="5">
        <v>2024</v>
      </c>
      <c r="F2111" s="5">
        <v>8</v>
      </c>
      <c r="G2111" s="5" t="s">
        <v>65</v>
      </c>
      <c r="H2111" s="5">
        <v>2867631</v>
      </c>
      <c r="I2111" s="5">
        <v>2444671.39</v>
      </c>
      <c r="J2111" s="5">
        <v>50</v>
      </c>
      <c r="K2111" s="5">
        <v>333573</v>
      </c>
      <c r="L2111" s="5">
        <v>3198260</v>
      </c>
      <c r="M2111" s="5">
        <v>422959.61</v>
      </c>
      <c r="N2111" s="5">
        <v>0.14749999999999999</v>
      </c>
      <c r="O2111" s="5">
        <v>5</v>
      </c>
      <c r="P2111" s="5">
        <v>90124</v>
      </c>
    </row>
    <row r="2112" spans="1:16" x14ac:dyDescent="0.3">
      <c r="A2112" s="5">
        <v>100</v>
      </c>
      <c r="B2112" s="5" t="s">
        <v>127</v>
      </c>
      <c r="C2112" s="5">
        <v>7</v>
      </c>
      <c r="D2112" s="5" t="s">
        <v>91</v>
      </c>
      <c r="E2112" s="5">
        <v>2024</v>
      </c>
      <c r="F2112" s="5">
        <v>9</v>
      </c>
      <c r="G2112" s="5" t="s">
        <v>66</v>
      </c>
      <c r="H2112" s="5">
        <v>6015207</v>
      </c>
      <c r="I2112" s="5">
        <v>4974628.43</v>
      </c>
      <c r="J2112" s="5">
        <v>71</v>
      </c>
      <c r="K2112" s="5">
        <v>387244</v>
      </c>
      <c r="L2112" s="5">
        <v>6384720</v>
      </c>
      <c r="M2112" s="5">
        <v>1040578.57</v>
      </c>
      <c r="N2112" s="5">
        <v>0.17299999999999999</v>
      </c>
      <c r="O2112" s="5">
        <v>4</v>
      </c>
      <c r="P2112" s="5">
        <v>57351</v>
      </c>
    </row>
    <row r="2113" spans="1:16" x14ac:dyDescent="0.3">
      <c r="A2113" s="5">
        <v>100</v>
      </c>
      <c r="B2113" s="5" t="s">
        <v>127</v>
      </c>
      <c r="C2113" s="5">
        <v>7</v>
      </c>
      <c r="D2113" s="5" t="s">
        <v>91</v>
      </c>
      <c r="E2113" s="5">
        <v>2024</v>
      </c>
      <c r="F2113" s="5">
        <v>10</v>
      </c>
      <c r="G2113" s="5" t="s">
        <v>67</v>
      </c>
      <c r="H2113" s="5">
        <v>7321759</v>
      </c>
      <c r="I2113" s="5">
        <v>5931938.9199999999</v>
      </c>
      <c r="J2113" s="5">
        <v>91</v>
      </c>
      <c r="K2113" s="5">
        <v>245598</v>
      </c>
      <c r="L2113" s="5">
        <v>7535770</v>
      </c>
      <c r="M2113" s="5">
        <v>1389820.08</v>
      </c>
      <c r="N2113" s="5">
        <v>0.1898</v>
      </c>
      <c r="O2113" s="5">
        <v>8</v>
      </c>
      <c r="P2113" s="5">
        <v>230520</v>
      </c>
    </row>
    <row r="2114" spans="1:16" x14ac:dyDescent="0.3">
      <c r="A2114" s="5">
        <v>100</v>
      </c>
      <c r="B2114" s="5" t="s">
        <v>127</v>
      </c>
      <c r="C2114" s="5">
        <v>7</v>
      </c>
      <c r="D2114" s="5" t="s">
        <v>91</v>
      </c>
      <c r="E2114" s="5">
        <v>2024</v>
      </c>
      <c r="F2114" s="5">
        <v>11</v>
      </c>
      <c r="G2114" s="5" t="s">
        <v>68</v>
      </c>
      <c r="H2114" s="5">
        <v>6356126</v>
      </c>
      <c r="I2114" s="5">
        <v>5429596.9500000002</v>
      </c>
      <c r="J2114" s="5">
        <v>83</v>
      </c>
      <c r="K2114" s="5">
        <v>584657</v>
      </c>
      <c r="L2114" s="5">
        <v>6925500</v>
      </c>
      <c r="M2114" s="5">
        <v>926529.05</v>
      </c>
      <c r="N2114" s="5">
        <v>0.14580000000000001</v>
      </c>
      <c r="O2114" s="5">
        <v>4</v>
      </c>
      <c r="P2114" s="5">
        <v>258536</v>
      </c>
    </row>
    <row r="2115" spans="1:16" x14ac:dyDescent="0.3">
      <c r="A2115" s="5">
        <v>100</v>
      </c>
      <c r="B2115" s="5" t="s">
        <v>127</v>
      </c>
      <c r="C2115" s="5">
        <v>7</v>
      </c>
      <c r="D2115" s="5" t="s">
        <v>91</v>
      </c>
      <c r="E2115" s="5">
        <v>2024</v>
      </c>
      <c r="F2115" s="5">
        <v>12</v>
      </c>
      <c r="G2115" s="5" t="s">
        <v>69</v>
      </c>
      <c r="H2115" s="5">
        <v>5399720</v>
      </c>
      <c r="I2115" s="5">
        <v>4260555.8600000003</v>
      </c>
      <c r="J2115" s="5">
        <v>82</v>
      </c>
      <c r="K2115" s="5">
        <v>177789</v>
      </c>
      <c r="L2115" s="5">
        <v>5557770</v>
      </c>
      <c r="M2115" s="5">
        <v>1139164.1399999999</v>
      </c>
      <c r="N2115" s="5">
        <v>0.21099999999999999</v>
      </c>
      <c r="O2115" s="5">
        <v>10</v>
      </c>
      <c r="P2115" s="5">
        <v>392747</v>
      </c>
    </row>
    <row r="2116" spans="1:16" x14ac:dyDescent="0.3">
      <c r="A2116" s="5">
        <v>47</v>
      </c>
      <c r="B2116" s="5" t="s">
        <v>128</v>
      </c>
      <c r="C2116" s="5">
        <v>11</v>
      </c>
      <c r="D2116" s="5" t="s">
        <v>83</v>
      </c>
      <c r="E2116" s="5">
        <v>2021</v>
      </c>
      <c r="F2116" s="5">
        <v>1</v>
      </c>
      <c r="G2116" s="5" t="s">
        <v>22</v>
      </c>
      <c r="H2116" s="5">
        <v>550673</v>
      </c>
      <c r="I2116" s="5">
        <v>457858.07</v>
      </c>
      <c r="J2116" s="5">
        <v>5</v>
      </c>
      <c r="K2116" s="5">
        <v>45420</v>
      </c>
      <c r="L2116" s="5">
        <v>594030</v>
      </c>
      <c r="M2116" s="5">
        <v>92814.93</v>
      </c>
      <c r="N2116" s="5">
        <v>0.16850000000000001</v>
      </c>
      <c r="O2116" s="5">
        <v>0</v>
      </c>
      <c r="P2116" s="5">
        <v>0</v>
      </c>
    </row>
    <row r="2117" spans="1:16" x14ac:dyDescent="0.3">
      <c r="A2117" s="5">
        <v>47</v>
      </c>
      <c r="B2117" s="5" t="s">
        <v>128</v>
      </c>
      <c r="C2117" s="5">
        <v>11</v>
      </c>
      <c r="D2117" s="5" t="s">
        <v>83</v>
      </c>
      <c r="E2117" s="5">
        <v>2021</v>
      </c>
      <c r="F2117" s="5">
        <v>2</v>
      </c>
      <c r="G2117" s="5" t="s">
        <v>23</v>
      </c>
      <c r="H2117" s="5">
        <v>836976</v>
      </c>
      <c r="I2117" s="5">
        <v>708385.38</v>
      </c>
      <c r="J2117" s="5">
        <v>6</v>
      </c>
      <c r="K2117" s="5">
        <v>84510</v>
      </c>
      <c r="L2117" s="5">
        <v>918260</v>
      </c>
      <c r="M2117" s="5">
        <v>128590.62</v>
      </c>
      <c r="N2117" s="5">
        <v>0.15359999999999999</v>
      </c>
      <c r="O2117" s="5">
        <v>0</v>
      </c>
      <c r="P2117" s="5">
        <v>0</v>
      </c>
    </row>
    <row r="2118" spans="1:16" x14ac:dyDescent="0.3">
      <c r="A2118" s="5">
        <v>47</v>
      </c>
      <c r="B2118" s="5" t="s">
        <v>128</v>
      </c>
      <c r="C2118" s="5">
        <v>11</v>
      </c>
      <c r="D2118" s="5" t="s">
        <v>83</v>
      </c>
      <c r="E2118" s="5">
        <v>2021</v>
      </c>
      <c r="F2118" s="5">
        <v>3</v>
      </c>
      <c r="G2118" s="5" t="s">
        <v>24</v>
      </c>
      <c r="H2118" s="5">
        <v>88785</v>
      </c>
      <c r="I2118" s="5">
        <v>55993.24</v>
      </c>
      <c r="J2118" s="5">
        <v>6</v>
      </c>
      <c r="K2118" s="5">
        <v>8378</v>
      </c>
      <c r="L2118" s="5">
        <v>96200</v>
      </c>
      <c r="M2118" s="5">
        <v>32791.760000000002</v>
      </c>
      <c r="N2118" s="5">
        <v>0.36930000000000002</v>
      </c>
      <c r="O2118" s="5">
        <v>0</v>
      </c>
      <c r="P2118" s="5">
        <v>0</v>
      </c>
    </row>
    <row r="2119" spans="1:16" x14ac:dyDescent="0.3">
      <c r="A2119" s="5">
        <v>47</v>
      </c>
      <c r="B2119" s="5" t="s">
        <v>128</v>
      </c>
      <c r="C2119" s="5">
        <v>11</v>
      </c>
      <c r="D2119" s="5" t="s">
        <v>83</v>
      </c>
      <c r="E2119" s="5">
        <v>2021</v>
      </c>
      <c r="F2119" s="5">
        <v>4</v>
      </c>
      <c r="G2119" s="5" t="s">
        <v>25</v>
      </c>
      <c r="H2119" s="5">
        <v>606975</v>
      </c>
      <c r="I2119" s="5">
        <v>545664.44999999995</v>
      </c>
      <c r="J2119" s="5">
        <v>10</v>
      </c>
      <c r="K2119" s="5">
        <v>99323</v>
      </c>
      <c r="L2119" s="5">
        <v>706270</v>
      </c>
      <c r="M2119" s="5">
        <v>61310.55</v>
      </c>
      <c r="N2119" s="5">
        <v>0.10100000000000001</v>
      </c>
      <c r="O2119" s="5">
        <v>0</v>
      </c>
      <c r="P2119" s="5">
        <v>0</v>
      </c>
    </row>
    <row r="2120" spans="1:16" x14ac:dyDescent="0.3">
      <c r="A2120" s="5">
        <v>47</v>
      </c>
      <c r="B2120" s="5" t="s">
        <v>128</v>
      </c>
      <c r="C2120" s="5">
        <v>11</v>
      </c>
      <c r="D2120" s="5" t="s">
        <v>83</v>
      </c>
      <c r="E2120" s="5">
        <v>2021</v>
      </c>
      <c r="F2120" s="5">
        <v>5</v>
      </c>
      <c r="G2120" s="5" t="s">
        <v>26</v>
      </c>
      <c r="H2120" s="5">
        <v>232795</v>
      </c>
      <c r="I2120" s="5">
        <v>213566.6</v>
      </c>
      <c r="J2120" s="5">
        <v>7</v>
      </c>
      <c r="K2120" s="5">
        <v>60581</v>
      </c>
      <c r="L2120" s="5">
        <v>293340</v>
      </c>
      <c r="M2120" s="5">
        <v>19228.400000000001</v>
      </c>
      <c r="N2120" s="5">
        <v>8.2600000000000007E-2</v>
      </c>
      <c r="O2120" s="5">
        <v>1</v>
      </c>
      <c r="P2120" s="5">
        <v>28088</v>
      </c>
    </row>
    <row r="2121" spans="1:16" x14ac:dyDescent="0.3">
      <c r="A2121" s="5">
        <v>47</v>
      </c>
      <c r="B2121" s="5" t="s">
        <v>128</v>
      </c>
      <c r="C2121" s="5">
        <v>11</v>
      </c>
      <c r="D2121" s="5" t="s">
        <v>83</v>
      </c>
      <c r="E2121" s="5">
        <v>2021</v>
      </c>
      <c r="F2121" s="5">
        <v>6</v>
      </c>
      <c r="G2121" s="5" t="s">
        <v>27</v>
      </c>
      <c r="H2121" s="5">
        <v>706293</v>
      </c>
      <c r="I2121" s="5">
        <v>566035.27</v>
      </c>
      <c r="J2121" s="5">
        <v>12</v>
      </c>
      <c r="K2121" s="5">
        <v>37779</v>
      </c>
      <c r="L2121" s="5">
        <v>739460</v>
      </c>
      <c r="M2121" s="5">
        <v>140257.73000000001</v>
      </c>
      <c r="N2121" s="5">
        <v>0.1986</v>
      </c>
      <c r="O2121" s="5">
        <v>0</v>
      </c>
      <c r="P2121" s="5">
        <v>0</v>
      </c>
    </row>
    <row r="2122" spans="1:16" x14ac:dyDescent="0.3">
      <c r="A2122" s="5">
        <v>47</v>
      </c>
      <c r="B2122" s="5" t="s">
        <v>128</v>
      </c>
      <c r="C2122" s="5">
        <v>11</v>
      </c>
      <c r="D2122" s="5" t="s">
        <v>83</v>
      </c>
      <c r="E2122" s="5">
        <v>2021</v>
      </c>
      <c r="F2122" s="5">
        <v>7</v>
      </c>
      <c r="G2122" s="5" t="s">
        <v>28</v>
      </c>
      <c r="H2122" s="5">
        <v>365090</v>
      </c>
      <c r="I2122" s="5">
        <v>369616.81</v>
      </c>
      <c r="J2122" s="5">
        <v>10</v>
      </c>
      <c r="K2122" s="5">
        <v>110700</v>
      </c>
      <c r="L2122" s="5">
        <v>475630</v>
      </c>
      <c r="M2122" s="5">
        <v>-4526.8100000000004</v>
      </c>
      <c r="N2122" s="5">
        <v>-1.24E-2</v>
      </c>
      <c r="O2122" s="5">
        <v>0</v>
      </c>
      <c r="P2122" s="5">
        <v>0</v>
      </c>
    </row>
    <row r="2123" spans="1:16" x14ac:dyDescent="0.3">
      <c r="A2123" s="5">
        <v>47</v>
      </c>
      <c r="B2123" s="5" t="s">
        <v>128</v>
      </c>
      <c r="C2123" s="5">
        <v>11</v>
      </c>
      <c r="D2123" s="5" t="s">
        <v>83</v>
      </c>
      <c r="E2123" s="5">
        <v>2021</v>
      </c>
      <c r="F2123" s="5">
        <v>8</v>
      </c>
      <c r="G2123" s="5" t="s">
        <v>29</v>
      </c>
      <c r="H2123" s="5">
        <v>464873</v>
      </c>
      <c r="I2123" s="5">
        <v>394780.31</v>
      </c>
      <c r="J2123" s="5">
        <v>9</v>
      </c>
      <c r="K2123" s="5">
        <v>25064</v>
      </c>
      <c r="L2123" s="5">
        <v>489120</v>
      </c>
      <c r="M2123" s="5">
        <v>70092.69</v>
      </c>
      <c r="N2123" s="5">
        <v>0.15079999999999999</v>
      </c>
      <c r="O2123" s="5">
        <v>1</v>
      </c>
      <c r="P2123" s="5">
        <v>4553</v>
      </c>
    </row>
    <row r="2124" spans="1:16" x14ac:dyDescent="0.3">
      <c r="A2124" s="5">
        <v>47</v>
      </c>
      <c r="B2124" s="5" t="s">
        <v>128</v>
      </c>
      <c r="C2124" s="5">
        <v>11</v>
      </c>
      <c r="D2124" s="5" t="s">
        <v>83</v>
      </c>
      <c r="E2124" s="5">
        <v>2021</v>
      </c>
      <c r="F2124" s="5">
        <v>9</v>
      </c>
      <c r="G2124" s="5" t="s">
        <v>30</v>
      </c>
      <c r="H2124" s="5">
        <v>485481</v>
      </c>
      <c r="I2124" s="5">
        <v>350016.96</v>
      </c>
      <c r="J2124" s="5">
        <v>8</v>
      </c>
      <c r="K2124" s="5">
        <v>13767</v>
      </c>
      <c r="L2124" s="5">
        <v>496820</v>
      </c>
      <c r="M2124" s="5">
        <v>135464.04</v>
      </c>
      <c r="N2124" s="5">
        <v>0.27900000000000003</v>
      </c>
      <c r="O2124" s="5">
        <v>1</v>
      </c>
      <c r="P2124" s="5">
        <v>33699</v>
      </c>
    </row>
    <row r="2125" spans="1:16" x14ac:dyDescent="0.3">
      <c r="A2125" s="5">
        <v>47</v>
      </c>
      <c r="B2125" s="5" t="s">
        <v>128</v>
      </c>
      <c r="C2125" s="5">
        <v>11</v>
      </c>
      <c r="D2125" s="5" t="s">
        <v>83</v>
      </c>
      <c r="E2125" s="5">
        <v>2021</v>
      </c>
      <c r="F2125" s="5">
        <v>10</v>
      </c>
      <c r="G2125" s="5" t="s">
        <v>31</v>
      </c>
      <c r="H2125" s="5">
        <v>1150814</v>
      </c>
      <c r="I2125" s="5">
        <v>962063.68</v>
      </c>
      <c r="J2125" s="5">
        <v>19</v>
      </c>
      <c r="K2125" s="5">
        <v>134238</v>
      </c>
      <c r="L2125" s="5">
        <v>1282110</v>
      </c>
      <c r="M2125" s="5">
        <v>188750.32</v>
      </c>
      <c r="N2125" s="5">
        <v>0.16400000000000001</v>
      </c>
      <c r="O2125" s="5">
        <v>3</v>
      </c>
      <c r="P2125" s="5">
        <v>87456</v>
      </c>
    </row>
    <row r="2126" spans="1:16" x14ac:dyDescent="0.3">
      <c r="A2126" s="5">
        <v>47</v>
      </c>
      <c r="B2126" s="5" t="s">
        <v>128</v>
      </c>
      <c r="C2126" s="5">
        <v>11</v>
      </c>
      <c r="D2126" s="5" t="s">
        <v>83</v>
      </c>
      <c r="E2126" s="5">
        <v>2021</v>
      </c>
      <c r="F2126" s="5">
        <v>11</v>
      </c>
      <c r="G2126" s="5" t="s">
        <v>32</v>
      </c>
      <c r="H2126" s="5">
        <v>706144</v>
      </c>
      <c r="I2126" s="5">
        <v>585874.23</v>
      </c>
      <c r="J2126" s="5">
        <v>10</v>
      </c>
      <c r="K2126" s="5">
        <v>79621</v>
      </c>
      <c r="L2126" s="5">
        <v>785630</v>
      </c>
      <c r="M2126" s="5">
        <v>120269.77</v>
      </c>
      <c r="N2126" s="5">
        <v>0.17030000000000001</v>
      </c>
      <c r="O2126" s="5">
        <v>0</v>
      </c>
      <c r="P2126" s="5">
        <v>0</v>
      </c>
    </row>
    <row r="2127" spans="1:16" x14ac:dyDescent="0.3">
      <c r="A2127" s="5">
        <v>47</v>
      </c>
      <c r="B2127" s="5" t="s">
        <v>128</v>
      </c>
      <c r="C2127" s="5">
        <v>11</v>
      </c>
      <c r="D2127" s="5" t="s">
        <v>83</v>
      </c>
      <c r="E2127" s="5">
        <v>2021</v>
      </c>
      <c r="F2127" s="5">
        <v>12</v>
      </c>
      <c r="G2127" s="5" t="s">
        <v>33</v>
      </c>
      <c r="H2127" s="5">
        <v>1486921</v>
      </c>
      <c r="I2127" s="5">
        <v>1245953.96</v>
      </c>
      <c r="J2127" s="5">
        <v>15</v>
      </c>
      <c r="K2127" s="5">
        <v>103156</v>
      </c>
      <c r="L2127" s="5">
        <v>1584750</v>
      </c>
      <c r="M2127" s="5">
        <v>240967.04000000001</v>
      </c>
      <c r="N2127" s="5">
        <v>0.16209999999999999</v>
      </c>
      <c r="O2127" s="5">
        <v>3</v>
      </c>
      <c r="P2127" s="5">
        <v>182222</v>
      </c>
    </row>
    <row r="2128" spans="1:16" x14ac:dyDescent="0.3">
      <c r="A2128" s="5">
        <v>47</v>
      </c>
      <c r="B2128" s="5" t="s">
        <v>128</v>
      </c>
      <c r="C2128" s="5">
        <v>11</v>
      </c>
      <c r="D2128" s="5" t="s">
        <v>83</v>
      </c>
      <c r="E2128" s="5">
        <v>2022</v>
      </c>
      <c r="F2128" s="5">
        <v>1</v>
      </c>
      <c r="G2128" s="5" t="s">
        <v>34</v>
      </c>
      <c r="H2128" s="5">
        <v>1980903</v>
      </c>
      <c r="I2128" s="5">
        <v>1627956.63</v>
      </c>
      <c r="J2128" s="5">
        <v>20</v>
      </c>
      <c r="K2128" s="5">
        <v>73862</v>
      </c>
      <c r="L2128" s="5">
        <v>2051100</v>
      </c>
      <c r="M2128" s="5">
        <v>352946.37</v>
      </c>
      <c r="N2128" s="5">
        <v>0.1782</v>
      </c>
      <c r="O2128" s="5">
        <v>1</v>
      </c>
      <c r="P2128" s="5">
        <v>59561</v>
      </c>
    </row>
    <row r="2129" spans="1:16" x14ac:dyDescent="0.3">
      <c r="A2129" s="5">
        <v>47</v>
      </c>
      <c r="B2129" s="5" t="s">
        <v>128</v>
      </c>
      <c r="C2129" s="5">
        <v>11</v>
      </c>
      <c r="D2129" s="5" t="s">
        <v>83</v>
      </c>
      <c r="E2129" s="5">
        <v>2022</v>
      </c>
      <c r="F2129" s="5">
        <v>2</v>
      </c>
      <c r="G2129" s="5" t="s">
        <v>35</v>
      </c>
      <c r="H2129" s="5">
        <v>440533</v>
      </c>
      <c r="I2129" s="5">
        <v>367092.76</v>
      </c>
      <c r="J2129" s="5">
        <v>6</v>
      </c>
      <c r="K2129" s="5">
        <v>58757</v>
      </c>
      <c r="L2129" s="5">
        <v>497950</v>
      </c>
      <c r="M2129" s="5">
        <v>73440.240000000005</v>
      </c>
      <c r="N2129" s="5">
        <v>0.16669999999999999</v>
      </c>
      <c r="O2129" s="5">
        <v>1</v>
      </c>
      <c r="P2129" s="5">
        <v>7699</v>
      </c>
    </row>
    <row r="2130" spans="1:16" x14ac:dyDescent="0.3">
      <c r="A2130" s="5">
        <v>47</v>
      </c>
      <c r="B2130" s="5" t="s">
        <v>128</v>
      </c>
      <c r="C2130" s="5">
        <v>11</v>
      </c>
      <c r="D2130" s="5" t="s">
        <v>83</v>
      </c>
      <c r="E2130" s="5">
        <v>2022</v>
      </c>
      <c r="F2130" s="5">
        <v>3</v>
      </c>
      <c r="G2130" s="5" t="s">
        <v>36</v>
      </c>
      <c r="H2130" s="5">
        <v>1366259</v>
      </c>
      <c r="I2130" s="5">
        <v>1113556.6599999999</v>
      </c>
      <c r="J2130" s="5">
        <v>18</v>
      </c>
      <c r="K2130" s="5">
        <v>49289</v>
      </c>
      <c r="L2130" s="5">
        <v>1411730</v>
      </c>
      <c r="M2130" s="5">
        <v>252702.34</v>
      </c>
      <c r="N2130" s="5">
        <v>0.185</v>
      </c>
      <c r="O2130" s="5">
        <v>1</v>
      </c>
      <c r="P2130" s="5">
        <v>5842</v>
      </c>
    </row>
    <row r="2131" spans="1:16" x14ac:dyDescent="0.3">
      <c r="A2131" s="5">
        <v>47</v>
      </c>
      <c r="B2131" s="5" t="s">
        <v>128</v>
      </c>
      <c r="C2131" s="5">
        <v>11</v>
      </c>
      <c r="D2131" s="5" t="s">
        <v>83</v>
      </c>
      <c r="E2131" s="5">
        <v>2022</v>
      </c>
      <c r="F2131" s="5">
        <v>4</v>
      </c>
      <c r="G2131" s="5" t="s">
        <v>37</v>
      </c>
      <c r="H2131" s="5">
        <v>886271</v>
      </c>
      <c r="I2131" s="5">
        <v>724596.61</v>
      </c>
      <c r="J2131" s="5">
        <v>18</v>
      </c>
      <c r="K2131" s="5">
        <v>39507</v>
      </c>
      <c r="L2131" s="5">
        <v>917580</v>
      </c>
      <c r="M2131" s="5">
        <v>161674.39000000001</v>
      </c>
      <c r="N2131" s="5">
        <v>0.18240000000000001</v>
      </c>
      <c r="O2131" s="5">
        <v>3</v>
      </c>
      <c r="P2131" s="5">
        <v>13080</v>
      </c>
    </row>
    <row r="2132" spans="1:16" x14ac:dyDescent="0.3">
      <c r="A2132" s="5">
        <v>47</v>
      </c>
      <c r="B2132" s="5" t="s">
        <v>128</v>
      </c>
      <c r="C2132" s="5">
        <v>11</v>
      </c>
      <c r="D2132" s="5" t="s">
        <v>83</v>
      </c>
      <c r="E2132" s="5">
        <v>2022</v>
      </c>
      <c r="F2132" s="5">
        <v>5</v>
      </c>
      <c r="G2132" s="5" t="s">
        <v>38</v>
      </c>
      <c r="H2132" s="5">
        <v>809223</v>
      </c>
      <c r="I2132" s="5">
        <v>748126.2</v>
      </c>
      <c r="J2132" s="5">
        <v>21</v>
      </c>
      <c r="K2132" s="5">
        <v>160824</v>
      </c>
      <c r="L2132" s="5">
        <v>968110</v>
      </c>
      <c r="M2132" s="5">
        <v>61096.800000000003</v>
      </c>
      <c r="N2132" s="5">
        <v>7.5499999999999998E-2</v>
      </c>
      <c r="O2132" s="5">
        <v>2</v>
      </c>
      <c r="P2132" s="5">
        <v>4351</v>
      </c>
    </row>
    <row r="2133" spans="1:16" x14ac:dyDescent="0.3">
      <c r="A2133" s="5">
        <v>47</v>
      </c>
      <c r="B2133" s="5" t="s">
        <v>128</v>
      </c>
      <c r="C2133" s="5">
        <v>11</v>
      </c>
      <c r="D2133" s="5" t="s">
        <v>83</v>
      </c>
      <c r="E2133" s="5">
        <v>2022</v>
      </c>
      <c r="F2133" s="5">
        <v>6</v>
      </c>
      <c r="G2133" s="5" t="s">
        <v>39</v>
      </c>
      <c r="H2133" s="5">
        <v>1209861</v>
      </c>
      <c r="I2133" s="5">
        <v>1056361.33</v>
      </c>
      <c r="J2133" s="5">
        <v>16</v>
      </c>
      <c r="K2133" s="5">
        <v>162853</v>
      </c>
      <c r="L2133" s="5">
        <v>1367930</v>
      </c>
      <c r="M2133" s="5">
        <v>153499.67000000001</v>
      </c>
      <c r="N2133" s="5">
        <v>0.12690000000000001</v>
      </c>
      <c r="O2133" s="5">
        <v>0</v>
      </c>
      <c r="P2133" s="5">
        <v>0</v>
      </c>
    </row>
    <row r="2134" spans="1:16" x14ac:dyDescent="0.3">
      <c r="A2134" s="5">
        <v>47</v>
      </c>
      <c r="B2134" s="5" t="s">
        <v>128</v>
      </c>
      <c r="C2134" s="5">
        <v>11</v>
      </c>
      <c r="D2134" s="5" t="s">
        <v>83</v>
      </c>
      <c r="E2134" s="5">
        <v>2022</v>
      </c>
      <c r="F2134" s="5">
        <v>7</v>
      </c>
      <c r="G2134" s="5" t="s">
        <v>40</v>
      </c>
      <c r="H2134" s="5">
        <v>233694</v>
      </c>
      <c r="I2134" s="5">
        <v>210597.03</v>
      </c>
      <c r="J2134" s="5">
        <v>8</v>
      </c>
      <c r="K2134" s="5">
        <v>47907</v>
      </c>
      <c r="L2134" s="5">
        <v>281590</v>
      </c>
      <c r="M2134" s="5">
        <v>23096.97</v>
      </c>
      <c r="N2134" s="5">
        <v>9.8799999999999999E-2</v>
      </c>
      <c r="O2134" s="5">
        <v>1</v>
      </c>
      <c r="P2134" s="5">
        <v>28992</v>
      </c>
    </row>
    <row r="2135" spans="1:16" x14ac:dyDescent="0.3">
      <c r="A2135" s="5">
        <v>47</v>
      </c>
      <c r="B2135" s="5" t="s">
        <v>128</v>
      </c>
      <c r="C2135" s="5">
        <v>11</v>
      </c>
      <c r="D2135" s="5" t="s">
        <v>83</v>
      </c>
      <c r="E2135" s="5">
        <v>2022</v>
      </c>
      <c r="F2135" s="5">
        <v>8</v>
      </c>
      <c r="G2135" s="5" t="s">
        <v>41</v>
      </c>
      <c r="H2135" s="5">
        <v>726823</v>
      </c>
      <c r="I2135" s="5">
        <v>609242.67000000004</v>
      </c>
      <c r="J2135" s="5">
        <v>13</v>
      </c>
      <c r="K2135" s="5">
        <v>65274</v>
      </c>
      <c r="L2135" s="5">
        <v>791630</v>
      </c>
      <c r="M2135" s="5">
        <v>117580.33</v>
      </c>
      <c r="N2135" s="5">
        <v>0.1618</v>
      </c>
      <c r="O2135" s="5">
        <v>0</v>
      </c>
      <c r="P2135" s="5">
        <v>0</v>
      </c>
    </row>
    <row r="2136" spans="1:16" x14ac:dyDescent="0.3">
      <c r="A2136" s="5">
        <v>47</v>
      </c>
      <c r="B2136" s="5" t="s">
        <v>128</v>
      </c>
      <c r="C2136" s="5">
        <v>11</v>
      </c>
      <c r="D2136" s="5" t="s">
        <v>83</v>
      </c>
      <c r="E2136" s="5">
        <v>2022</v>
      </c>
      <c r="F2136" s="5">
        <v>9</v>
      </c>
      <c r="G2136" s="5" t="s">
        <v>42</v>
      </c>
      <c r="H2136" s="5">
        <v>1769092</v>
      </c>
      <c r="I2136" s="5">
        <v>1521639.08</v>
      </c>
      <c r="J2136" s="5">
        <v>26</v>
      </c>
      <c r="K2136" s="5">
        <v>117240</v>
      </c>
      <c r="L2136" s="5">
        <v>1881650</v>
      </c>
      <c r="M2136" s="5">
        <v>247452.92</v>
      </c>
      <c r="N2136" s="5">
        <v>0.1399</v>
      </c>
      <c r="O2136" s="5">
        <v>3</v>
      </c>
      <c r="P2136" s="5">
        <v>20592</v>
      </c>
    </row>
    <row r="2137" spans="1:16" x14ac:dyDescent="0.3">
      <c r="A2137" s="5">
        <v>47</v>
      </c>
      <c r="B2137" s="5" t="s">
        <v>128</v>
      </c>
      <c r="C2137" s="5">
        <v>11</v>
      </c>
      <c r="D2137" s="5" t="s">
        <v>83</v>
      </c>
      <c r="E2137" s="5">
        <v>2022</v>
      </c>
      <c r="F2137" s="5">
        <v>10</v>
      </c>
      <c r="G2137" s="5" t="s">
        <v>43</v>
      </c>
      <c r="H2137" s="5">
        <v>2223808</v>
      </c>
      <c r="I2137" s="5">
        <v>2067132.32</v>
      </c>
      <c r="J2137" s="5">
        <v>24</v>
      </c>
      <c r="K2137" s="5">
        <v>412469</v>
      </c>
      <c r="L2137" s="5">
        <v>2629780</v>
      </c>
      <c r="M2137" s="5">
        <v>156675.68</v>
      </c>
      <c r="N2137" s="5">
        <v>7.0499999999999993E-2</v>
      </c>
      <c r="O2137" s="5">
        <v>2</v>
      </c>
      <c r="P2137" s="5">
        <v>112981</v>
      </c>
    </row>
    <row r="2138" spans="1:16" x14ac:dyDescent="0.3">
      <c r="A2138" s="5">
        <v>47</v>
      </c>
      <c r="B2138" s="5" t="s">
        <v>128</v>
      </c>
      <c r="C2138" s="5">
        <v>11</v>
      </c>
      <c r="D2138" s="5" t="s">
        <v>83</v>
      </c>
      <c r="E2138" s="5">
        <v>2022</v>
      </c>
      <c r="F2138" s="5">
        <v>11</v>
      </c>
      <c r="G2138" s="5" t="s">
        <v>44</v>
      </c>
      <c r="H2138" s="5">
        <v>1383518</v>
      </c>
      <c r="I2138" s="5">
        <v>1191116.07</v>
      </c>
      <c r="J2138" s="5">
        <v>24</v>
      </c>
      <c r="K2138" s="5">
        <v>131831</v>
      </c>
      <c r="L2138" s="5">
        <v>1511600</v>
      </c>
      <c r="M2138" s="5">
        <v>192401.93</v>
      </c>
      <c r="N2138" s="5">
        <v>0.1391</v>
      </c>
      <c r="O2138" s="5">
        <v>2</v>
      </c>
      <c r="P2138" s="5">
        <v>10938</v>
      </c>
    </row>
    <row r="2139" spans="1:16" x14ac:dyDescent="0.3">
      <c r="A2139" s="5">
        <v>47</v>
      </c>
      <c r="B2139" s="5" t="s">
        <v>128</v>
      </c>
      <c r="C2139" s="5">
        <v>11</v>
      </c>
      <c r="D2139" s="5" t="s">
        <v>83</v>
      </c>
      <c r="E2139" s="5">
        <v>2022</v>
      </c>
      <c r="F2139" s="5">
        <v>12</v>
      </c>
      <c r="G2139" s="5" t="s">
        <v>45</v>
      </c>
      <c r="H2139" s="5">
        <v>2678812</v>
      </c>
      <c r="I2139" s="5">
        <v>2294737.7999999998</v>
      </c>
      <c r="J2139" s="5">
        <v>28</v>
      </c>
      <c r="K2139" s="5">
        <v>207638</v>
      </c>
      <c r="L2139" s="5">
        <v>2877560</v>
      </c>
      <c r="M2139" s="5">
        <v>384074.2</v>
      </c>
      <c r="N2139" s="5">
        <v>0.1434</v>
      </c>
      <c r="O2139" s="5">
        <v>3</v>
      </c>
      <c r="P2139" s="5">
        <v>145884</v>
      </c>
    </row>
    <row r="2140" spans="1:16" x14ac:dyDescent="0.3">
      <c r="A2140" s="5">
        <v>47</v>
      </c>
      <c r="B2140" s="5" t="s">
        <v>128</v>
      </c>
      <c r="C2140" s="5">
        <v>11</v>
      </c>
      <c r="D2140" s="5" t="s">
        <v>83</v>
      </c>
      <c r="E2140" s="5">
        <v>2023</v>
      </c>
      <c r="F2140" s="5">
        <v>1</v>
      </c>
      <c r="G2140" s="5" t="s">
        <v>46</v>
      </c>
      <c r="H2140" s="5">
        <v>1569779</v>
      </c>
      <c r="I2140" s="5">
        <v>1416491.75</v>
      </c>
      <c r="J2140" s="5">
        <v>22</v>
      </c>
      <c r="K2140" s="5">
        <v>283036</v>
      </c>
      <c r="L2140" s="5">
        <v>1850070</v>
      </c>
      <c r="M2140" s="5">
        <v>153287.25</v>
      </c>
      <c r="N2140" s="5">
        <v>9.7600000000000006E-2</v>
      </c>
      <c r="O2140" s="5">
        <v>0</v>
      </c>
      <c r="P2140" s="5">
        <v>0</v>
      </c>
    </row>
    <row r="2141" spans="1:16" x14ac:dyDescent="0.3">
      <c r="A2141" s="5">
        <v>47</v>
      </c>
      <c r="B2141" s="5" t="s">
        <v>128</v>
      </c>
      <c r="C2141" s="5">
        <v>11</v>
      </c>
      <c r="D2141" s="5" t="s">
        <v>83</v>
      </c>
      <c r="E2141" s="5">
        <v>2023</v>
      </c>
      <c r="F2141" s="5">
        <v>2</v>
      </c>
      <c r="G2141" s="5" t="s">
        <v>47</v>
      </c>
      <c r="H2141" s="5">
        <v>1108894</v>
      </c>
      <c r="I2141" s="5">
        <v>1002864.01</v>
      </c>
      <c r="J2141" s="5">
        <v>15</v>
      </c>
      <c r="K2141" s="5">
        <v>162989</v>
      </c>
      <c r="L2141" s="5">
        <v>1268890</v>
      </c>
      <c r="M2141" s="5">
        <v>106029.99</v>
      </c>
      <c r="N2141" s="5">
        <v>9.5600000000000004E-2</v>
      </c>
      <c r="O2141" s="5">
        <v>8</v>
      </c>
      <c r="P2141" s="5">
        <v>128598</v>
      </c>
    </row>
    <row r="2142" spans="1:16" x14ac:dyDescent="0.3">
      <c r="A2142" s="5">
        <v>47</v>
      </c>
      <c r="B2142" s="5" t="s">
        <v>128</v>
      </c>
      <c r="C2142" s="5">
        <v>11</v>
      </c>
      <c r="D2142" s="5" t="s">
        <v>83</v>
      </c>
      <c r="E2142" s="5">
        <v>2023</v>
      </c>
      <c r="F2142" s="5">
        <v>3</v>
      </c>
      <c r="G2142" s="5" t="s">
        <v>48</v>
      </c>
      <c r="H2142" s="5">
        <v>1200091</v>
      </c>
      <c r="I2142" s="5">
        <v>1112669.07</v>
      </c>
      <c r="J2142" s="5">
        <v>11</v>
      </c>
      <c r="K2142" s="5">
        <v>165874</v>
      </c>
      <c r="L2142" s="5">
        <v>1363590</v>
      </c>
      <c r="M2142" s="5">
        <v>87421.93</v>
      </c>
      <c r="N2142" s="5">
        <v>7.2800000000000004E-2</v>
      </c>
      <c r="O2142" s="5">
        <v>2</v>
      </c>
      <c r="P2142" s="5">
        <v>49885</v>
      </c>
    </row>
    <row r="2143" spans="1:16" x14ac:dyDescent="0.3">
      <c r="A2143" s="5">
        <v>47</v>
      </c>
      <c r="B2143" s="5" t="s">
        <v>128</v>
      </c>
      <c r="C2143" s="5">
        <v>11</v>
      </c>
      <c r="D2143" s="5" t="s">
        <v>83</v>
      </c>
      <c r="E2143" s="5">
        <v>2023</v>
      </c>
      <c r="F2143" s="5">
        <v>4</v>
      </c>
      <c r="G2143" s="5" t="s">
        <v>49</v>
      </c>
      <c r="H2143" s="5">
        <v>1453982</v>
      </c>
      <c r="I2143" s="5">
        <v>1211221.71</v>
      </c>
      <c r="J2143" s="5">
        <v>28</v>
      </c>
      <c r="K2143" s="5">
        <v>142382</v>
      </c>
      <c r="L2143" s="5">
        <v>1590620</v>
      </c>
      <c r="M2143" s="5">
        <v>242760.29</v>
      </c>
      <c r="N2143" s="5">
        <v>0.16700000000000001</v>
      </c>
      <c r="O2143" s="5">
        <v>2</v>
      </c>
      <c r="P2143" s="5">
        <v>40313</v>
      </c>
    </row>
    <row r="2144" spans="1:16" x14ac:dyDescent="0.3">
      <c r="A2144" s="5">
        <v>47</v>
      </c>
      <c r="B2144" s="5" t="s">
        <v>128</v>
      </c>
      <c r="C2144" s="5">
        <v>11</v>
      </c>
      <c r="D2144" s="5" t="s">
        <v>83</v>
      </c>
      <c r="E2144" s="5">
        <v>2023</v>
      </c>
      <c r="F2144" s="5">
        <v>5</v>
      </c>
      <c r="G2144" s="5" t="s">
        <v>50</v>
      </c>
      <c r="H2144" s="5">
        <v>958514</v>
      </c>
      <c r="I2144" s="5">
        <v>763288.76</v>
      </c>
      <c r="J2144" s="5">
        <v>17</v>
      </c>
      <c r="K2144" s="5">
        <v>72680</v>
      </c>
      <c r="L2144" s="5">
        <v>1027710</v>
      </c>
      <c r="M2144" s="5">
        <v>195225.24</v>
      </c>
      <c r="N2144" s="5">
        <v>0.20369999999999999</v>
      </c>
      <c r="O2144" s="5">
        <v>1</v>
      </c>
      <c r="P2144" s="5">
        <v>94343</v>
      </c>
    </row>
    <row r="2145" spans="1:16" x14ac:dyDescent="0.3">
      <c r="A2145" s="5">
        <v>47</v>
      </c>
      <c r="B2145" s="5" t="s">
        <v>128</v>
      </c>
      <c r="C2145" s="5">
        <v>11</v>
      </c>
      <c r="D2145" s="5" t="s">
        <v>83</v>
      </c>
      <c r="E2145" s="5">
        <v>2023</v>
      </c>
      <c r="F2145" s="5">
        <v>6</v>
      </c>
      <c r="G2145" s="5" t="s">
        <v>51</v>
      </c>
      <c r="H2145" s="5">
        <v>1415417</v>
      </c>
      <c r="I2145" s="5">
        <v>1241911.3700000001</v>
      </c>
      <c r="J2145" s="5">
        <v>23</v>
      </c>
      <c r="K2145" s="5">
        <v>180301</v>
      </c>
      <c r="L2145" s="5">
        <v>1592670</v>
      </c>
      <c r="M2145" s="5">
        <v>173505.63</v>
      </c>
      <c r="N2145" s="5">
        <v>0.1226</v>
      </c>
      <c r="O2145" s="5">
        <v>4</v>
      </c>
      <c r="P2145" s="5">
        <v>119057</v>
      </c>
    </row>
    <row r="2146" spans="1:16" x14ac:dyDescent="0.3">
      <c r="A2146" s="5">
        <v>47</v>
      </c>
      <c r="B2146" s="5" t="s">
        <v>128</v>
      </c>
      <c r="C2146" s="5">
        <v>11</v>
      </c>
      <c r="D2146" s="5" t="s">
        <v>83</v>
      </c>
      <c r="E2146" s="5">
        <v>2023</v>
      </c>
      <c r="F2146" s="5">
        <v>7</v>
      </c>
      <c r="G2146" s="5" t="s">
        <v>52</v>
      </c>
      <c r="H2146" s="5">
        <v>1459024</v>
      </c>
      <c r="I2146" s="5">
        <v>1321522.55</v>
      </c>
      <c r="J2146" s="5">
        <v>21</v>
      </c>
      <c r="K2146" s="5">
        <v>220298</v>
      </c>
      <c r="L2146" s="5">
        <v>1672370</v>
      </c>
      <c r="M2146" s="5">
        <v>137501.45000000001</v>
      </c>
      <c r="N2146" s="5">
        <v>9.4200000000000006E-2</v>
      </c>
      <c r="O2146" s="5">
        <v>5</v>
      </c>
      <c r="P2146" s="5">
        <v>51693</v>
      </c>
    </row>
    <row r="2147" spans="1:16" x14ac:dyDescent="0.3">
      <c r="A2147" s="5">
        <v>47</v>
      </c>
      <c r="B2147" s="5" t="s">
        <v>128</v>
      </c>
      <c r="C2147" s="5">
        <v>11</v>
      </c>
      <c r="D2147" s="5" t="s">
        <v>83</v>
      </c>
      <c r="E2147" s="5">
        <v>2023</v>
      </c>
      <c r="F2147" s="5">
        <v>8</v>
      </c>
      <c r="G2147" s="5" t="s">
        <v>53</v>
      </c>
      <c r="H2147" s="5">
        <v>628977</v>
      </c>
      <c r="I2147" s="5">
        <v>520694.49</v>
      </c>
      <c r="J2147" s="5">
        <v>12</v>
      </c>
      <c r="K2147" s="5">
        <v>98411</v>
      </c>
      <c r="L2147" s="5">
        <v>723340</v>
      </c>
      <c r="M2147" s="5">
        <v>108282.51</v>
      </c>
      <c r="N2147" s="5">
        <v>0.17219999999999999</v>
      </c>
      <c r="O2147" s="5">
        <v>2</v>
      </c>
      <c r="P2147" s="5">
        <v>91914</v>
      </c>
    </row>
    <row r="2148" spans="1:16" x14ac:dyDescent="0.3">
      <c r="A2148" s="5">
        <v>47</v>
      </c>
      <c r="B2148" s="5" t="s">
        <v>128</v>
      </c>
      <c r="C2148" s="5">
        <v>11</v>
      </c>
      <c r="D2148" s="5" t="s">
        <v>83</v>
      </c>
      <c r="E2148" s="5">
        <v>2023</v>
      </c>
      <c r="F2148" s="5">
        <v>9</v>
      </c>
      <c r="G2148" s="5" t="s">
        <v>54</v>
      </c>
      <c r="H2148" s="5">
        <v>816346</v>
      </c>
      <c r="I2148" s="5">
        <v>655887.80000000005</v>
      </c>
      <c r="J2148" s="5">
        <v>14</v>
      </c>
      <c r="K2148" s="5">
        <v>43112</v>
      </c>
      <c r="L2148" s="5">
        <v>853200</v>
      </c>
      <c r="M2148" s="5">
        <v>160458.20000000001</v>
      </c>
      <c r="N2148" s="5">
        <v>0.1966</v>
      </c>
      <c r="O2148" s="5">
        <v>1</v>
      </c>
      <c r="P2148" s="5">
        <v>3189</v>
      </c>
    </row>
    <row r="2149" spans="1:16" x14ac:dyDescent="0.3">
      <c r="A2149" s="5">
        <v>47</v>
      </c>
      <c r="B2149" s="5" t="s">
        <v>128</v>
      </c>
      <c r="C2149" s="5">
        <v>11</v>
      </c>
      <c r="D2149" s="5" t="s">
        <v>83</v>
      </c>
      <c r="E2149" s="5">
        <v>2023</v>
      </c>
      <c r="F2149" s="5">
        <v>10</v>
      </c>
      <c r="G2149" s="5" t="s">
        <v>55</v>
      </c>
      <c r="H2149" s="5">
        <v>1539668</v>
      </c>
      <c r="I2149" s="5">
        <v>1319758.72</v>
      </c>
      <c r="J2149" s="5">
        <v>22</v>
      </c>
      <c r="K2149" s="5">
        <v>115571</v>
      </c>
      <c r="L2149" s="5">
        <v>1650250</v>
      </c>
      <c r="M2149" s="5">
        <v>219909.28</v>
      </c>
      <c r="N2149" s="5">
        <v>0.14280000000000001</v>
      </c>
      <c r="O2149" s="5">
        <v>0</v>
      </c>
      <c r="P2149" s="5">
        <v>0</v>
      </c>
    </row>
    <row r="2150" spans="1:16" x14ac:dyDescent="0.3">
      <c r="A2150" s="5">
        <v>47</v>
      </c>
      <c r="B2150" s="5" t="s">
        <v>128</v>
      </c>
      <c r="C2150" s="5">
        <v>11</v>
      </c>
      <c r="D2150" s="5" t="s">
        <v>83</v>
      </c>
      <c r="E2150" s="5">
        <v>2023</v>
      </c>
      <c r="F2150" s="5">
        <v>11</v>
      </c>
      <c r="G2150" s="5" t="s">
        <v>56</v>
      </c>
      <c r="H2150" s="5">
        <v>1193826</v>
      </c>
      <c r="I2150" s="5">
        <v>1140321.3999999999</v>
      </c>
      <c r="J2150" s="5">
        <v>25</v>
      </c>
      <c r="K2150" s="5">
        <v>271980</v>
      </c>
      <c r="L2150" s="5">
        <v>1461660</v>
      </c>
      <c r="M2150" s="5">
        <v>53504.6</v>
      </c>
      <c r="N2150" s="5">
        <v>4.48E-2</v>
      </c>
      <c r="O2150" s="5">
        <v>1</v>
      </c>
      <c r="P2150" s="5">
        <v>14498</v>
      </c>
    </row>
    <row r="2151" spans="1:16" x14ac:dyDescent="0.3">
      <c r="A2151" s="5">
        <v>47</v>
      </c>
      <c r="B2151" s="5" t="s">
        <v>128</v>
      </c>
      <c r="C2151" s="5">
        <v>11</v>
      </c>
      <c r="D2151" s="5" t="s">
        <v>83</v>
      </c>
      <c r="E2151" s="5">
        <v>2023</v>
      </c>
      <c r="F2151" s="5">
        <v>12</v>
      </c>
      <c r="G2151" s="5" t="s">
        <v>57</v>
      </c>
      <c r="H2151" s="5">
        <v>1314411</v>
      </c>
      <c r="I2151" s="5">
        <v>1143004.1200000001</v>
      </c>
      <c r="J2151" s="5">
        <v>18</v>
      </c>
      <c r="K2151" s="5">
        <v>162766</v>
      </c>
      <c r="L2151" s="5">
        <v>1473670</v>
      </c>
      <c r="M2151" s="5">
        <v>171406.88</v>
      </c>
      <c r="N2151" s="5">
        <v>0.13039999999999999</v>
      </c>
      <c r="O2151" s="5">
        <v>1</v>
      </c>
      <c r="P2151" s="5">
        <v>809</v>
      </c>
    </row>
    <row r="2152" spans="1:16" x14ac:dyDescent="0.3">
      <c r="A2152" s="5">
        <v>47</v>
      </c>
      <c r="B2152" s="5" t="s">
        <v>128</v>
      </c>
      <c r="C2152" s="5">
        <v>11</v>
      </c>
      <c r="D2152" s="5" t="s">
        <v>83</v>
      </c>
      <c r="E2152" s="5">
        <v>2024</v>
      </c>
      <c r="F2152" s="5">
        <v>1</v>
      </c>
      <c r="G2152" s="5" t="s">
        <v>58</v>
      </c>
      <c r="H2152" s="5">
        <v>1943903</v>
      </c>
      <c r="I2152" s="5">
        <v>1752130.76</v>
      </c>
      <c r="J2152" s="5">
        <v>27</v>
      </c>
      <c r="K2152" s="5">
        <v>311459</v>
      </c>
      <c r="L2152" s="5">
        <v>2248360</v>
      </c>
      <c r="M2152" s="5">
        <v>191772.24</v>
      </c>
      <c r="N2152" s="5">
        <v>9.8699999999999996E-2</v>
      </c>
      <c r="O2152" s="5">
        <v>2</v>
      </c>
      <c r="P2152" s="5">
        <v>33866</v>
      </c>
    </row>
    <row r="2153" spans="1:16" x14ac:dyDescent="0.3">
      <c r="A2153" s="5">
        <v>47</v>
      </c>
      <c r="B2153" s="5" t="s">
        <v>128</v>
      </c>
      <c r="C2153" s="5">
        <v>11</v>
      </c>
      <c r="D2153" s="5" t="s">
        <v>83</v>
      </c>
      <c r="E2153" s="5">
        <v>2024</v>
      </c>
      <c r="F2153" s="5">
        <v>2</v>
      </c>
      <c r="G2153" s="5" t="s">
        <v>59</v>
      </c>
      <c r="H2153" s="5">
        <v>366827</v>
      </c>
      <c r="I2153" s="5">
        <v>321990.42</v>
      </c>
      <c r="J2153" s="5">
        <v>11</v>
      </c>
      <c r="K2153" s="5">
        <v>67200</v>
      </c>
      <c r="L2153" s="5">
        <v>433460</v>
      </c>
      <c r="M2153" s="5">
        <v>44836.58</v>
      </c>
      <c r="N2153" s="5">
        <v>0.1222</v>
      </c>
      <c r="O2153" s="5">
        <v>1</v>
      </c>
      <c r="P2153" s="5">
        <v>23542</v>
      </c>
    </row>
    <row r="2154" spans="1:16" x14ac:dyDescent="0.3">
      <c r="A2154" s="5">
        <v>47</v>
      </c>
      <c r="B2154" s="5" t="s">
        <v>128</v>
      </c>
      <c r="C2154" s="5">
        <v>11</v>
      </c>
      <c r="D2154" s="5" t="s">
        <v>83</v>
      </c>
      <c r="E2154" s="5">
        <v>2024</v>
      </c>
      <c r="F2154" s="5">
        <v>3</v>
      </c>
      <c r="G2154" s="5" t="s">
        <v>60</v>
      </c>
      <c r="H2154" s="5">
        <v>932598</v>
      </c>
      <c r="I2154" s="5">
        <v>791229.48</v>
      </c>
      <c r="J2154" s="5">
        <v>17</v>
      </c>
      <c r="K2154" s="5">
        <v>96058</v>
      </c>
      <c r="L2154" s="5">
        <v>1026190</v>
      </c>
      <c r="M2154" s="5">
        <v>141368.51999999999</v>
      </c>
      <c r="N2154" s="5">
        <v>0.15160000000000001</v>
      </c>
      <c r="O2154" s="5">
        <v>2</v>
      </c>
      <c r="P2154" s="5">
        <v>70993</v>
      </c>
    </row>
    <row r="2155" spans="1:16" x14ac:dyDescent="0.3">
      <c r="A2155" s="5">
        <v>47</v>
      </c>
      <c r="B2155" s="5" t="s">
        <v>128</v>
      </c>
      <c r="C2155" s="5">
        <v>11</v>
      </c>
      <c r="D2155" s="5" t="s">
        <v>83</v>
      </c>
      <c r="E2155" s="5">
        <v>2024</v>
      </c>
      <c r="F2155" s="5">
        <v>4</v>
      </c>
      <c r="G2155" s="5" t="s">
        <v>61</v>
      </c>
      <c r="H2155" s="5">
        <v>797306</v>
      </c>
      <c r="I2155" s="5">
        <v>748418.97</v>
      </c>
      <c r="J2155" s="5">
        <v>8</v>
      </c>
      <c r="K2155" s="5">
        <v>128308</v>
      </c>
      <c r="L2155" s="5">
        <v>925030</v>
      </c>
      <c r="M2155" s="5">
        <v>48887.03</v>
      </c>
      <c r="N2155" s="5">
        <v>6.13E-2</v>
      </c>
      <c r="O2155" s="5">
        <v>0</v>
      </c>
      <c r="P2155" s="5">
        <v>0</v>
      </c>
    </row>
    <row r="2156" spans="1:16" x14ac:dyDescent="0.3">
      <c r="A2156" s="5">
        <v>47</v>
      </c>
      <c r="B2156" s="5" t="s">
        <v>128</v>
      </c>
      <c r="C2156" s="5">
        <v>11</v>
      </c>
      <c r="D2156" s="5" t="s">
        <v>83</v>
      </c>
      <c r="E2156" s="5">
        <v>2024</v>
      </c>
      <c r="F2156" s="5">
        <v>5</v>
      </c>
      <c r="G2156" s="5" t="s">
        <v>62</v>
      </c>
      <c r="H2156" s="5">
        <v>2149687</v>
      </c>
      <c r="I2156" s="5">
        <v>1780610.93</v>
      </c>
      <c r="J2156" s="5">
        <v>30</v>
      </c>
      <c r="K2156" s="5">
        <v>190870</v>
      </c>
      <c r="L2156" s="5">
        <v>2327590</v>
      </c>
      <c r="M2156" s="5">
        <v>369076.07</v>
      </c>
      <c r="N2156" s="5">
        <v>0.17169999999999999</v>
      </c>
      <c r="O2156" s="5">
        <v>2</v>
      </c>
      <c r="P2156" s="5">
        <v>19195</v>
      </c>
    </row>
    <row r="2157" spans="1:16" x14ac:dyDescent="0.3">
      <c r="A2157" s="5">
        <v>47</v>
      </c>
      <c r="B2157" s="5" t="s">
        <v>128</v>
      </c>
      <c r="C2157" s="5">
        <v>11</v>
      </c>
      <c r="D2157" s="5" t="s">
        <v>83</v>
      </c>
      <c r="E2157" s="5">
        <v>2024</v>
      </c>
      <c r="F2157" s="5">
        <v>6</v>
      </c>
      <c r="G2157" s="5" t="s">
        <v>63</v>
      </c>
      <c r="H2157" s="5">
        <v>1182793</v>
      </c>
      <c r="I2157" s="5">
        <v>995672.99</v>
      </c>
      <c r="J2157" s="5">
        <v>28</v>
      </c>
      <c r="K2157" s="5">
        <v>119980</v>
      </c>
      <c r="L2157" s="5">
        <v>1297770</v>
      </c>
      <c r="M2157" s="5">
        <v>187120.01</v>
      </c>
      <c r="N2157" s="5">
        <v>0.15820000000000001</v>
      </c>
      <c r="O2157" s="5">
        <v>4</v>
      </c>
      <c r="P2157" s="5">
        <v>47395</v>
      </c>
    </row>
    <row r="2158" spans="1:16" x14ac:dyDescent="0.3">
      <c r="A2158" s="5">
        <v>47</v>
      </c>
      <c r="B2158" s="5" t="s">
        <v>128</v>
      </c>
      <c r="C2158" s="5">
        <v>11</v>
      </c>
      <c r="D2158" s="5" t="s">
        <v>83</v>
      </c>
      <c r="E2158" s="5">
        <v>2024</v>
      </c>
      <c r="F2158" s="5">
        <v>7</v>
      </c>
      <c r="G2158" s="5" t="s">
        <v>64</v>
      </c>
      <c r="H2158" s="5">
        <v>1580010</v>
      </c>
      <c r="I2158" s="5">
        <v>1291657.77</v>
      </c>
      <c r="J2158" s="5">
        <v>19</v>
      </c>
      <c r="K2158" s="5">
        <v>79154</v>
      </c>
      <c r="L2158" s="5">
        <v>1651620</v>
      </c>
      <c r="M2158" s="5">
        <v>288352.23</v>
      </c>
      <c r="N2158" s="5">
        <v>0.1825</v>
      </c>
      <c r="O2158" s="5">
        <v>2</v>
      </c>
      <c r="P2158" s="5">
        <v>10961</v>
      </c>
    </row>
    <row r="2159" spans="1:16" x14ac:dyDescent="0.3">
      <c r="A2159" s="5">
        <v>47</v>
      </c>
      <c r="B2159" s="5" t="s">
        <v>128</v>
      </c>
      <c r="C2159" s="5">
        <v>11</v>
      </c>
      <c r="D2159" s="5" t="s">
        <v>83</v>
      </c>
      <c r="E2159" s="5">
        <v>2024</v>
      </c>
      <c r="F2159" s="5">
        <v>8</v>
      </c>
      <c r="G2159" s="5" t="s">
        <v>65</v>
      </c>
      <c r="H2159" s="5">
        <v>552782</v>
      </c>
      <c r="I2159" s="5">
        <v>526061.06000000006</v>
      </c>
      <c r="J2159" s="5">
        <v>11</v>
      </c>
      <c r="K2159" s="5">
        <v>86005</v>
      </c>
      <c r="L2159" s="5">
        <v>638210</v>
      </c>
      <c r="M2159" s="5">
        <v>26720.94</v>
      </c>
      <c r="N2159" s="5">
        <v>4.8300000000000003E-2</v>
      </c>
      <c r="O2159" s="5">
        <v>0</v>
      </c>
      <c r="P2159" s="5">
        <v>0</v>
      </c>
    </row>
    <row r="2160" spans="1:16" x14ac:dyDescent="0.3">
      <c r="A2160" s="5">
        <v>47</v>
      </c>
      <c r="B2160" s="5" t="s">
        <v>128</v>
      </c>
      <c r="C2160" s="5">
        <v>11</v>
      </c>
      <c r="D2160" s="5" t="s">
        <v>83</v>
      </c>
      <c r="E2160" s="5">
        <v>2024</v>
      </c>
      <c r="F2160" s="5">
        <v>9</v>
      </c>
      <c r="G2160" s="5" t="s">
        <v>66</v>
      </c>
      <c r="H2160" s="5">
        <v>891698</v>
      </c>
      <c r="I2160" s="5">
        <v>764815.06</v>
      </c>
      <c r="J2160" s="5">
        <v>16</v>
      </c>
      <c r="K2160" s="5">
        <v>42027</v>
      </c>
      <c r="L2160" s="5">
        <v>932990</v>
      </c>
      <c r="M2160" s="5">
        <v>126882.94</v>
      </c>
      <c r="N2160" s="5">
        <v>0.14230000000000001</v>
      </c>
      <c r="O2160" s="5">
        <v>1</v>
      </c>
      <c r="P2160" s="5">
        <v>39994</v>
      </c>
    </row>
    <row r="2161" spans="1:16" x14ac:dyDescent="0.3">
      <c r="A2161" s="5">
        <v>47</v>
      </c>
      <c r="B2161" s="5" t="s">
        <v>128</v>
      </c>
      <c r="C2161" s="5">
        <v>11</v>
      </c>
      <c r="D2161" s="5" t="s">
        <v>83</v>
      </c>
      <c r="E2161" s="5">
        <v>2024</v>
      </c>
      <c r="F2161" s="5">
        <v>10</v>
      </c>
      <c r="G2161" s="5" t="s">
        <v>67</v>
      </c>
      <c r="H2161" s="5">
        <v>2354417</v>
      </c>
      <c r="I2161" s="5">
        <v>1877259.34</v>
      </c>
      <c r="J2161" s="5">
        <v>30</v>
      </c>
      <c r="K2161" s="5">
        <v>68125</v>
      </c>
      <c r="L2161" s="5">
        <v>2404990</v>
      </c>
      <c r="M2161" s="5">
        <v>477157.66</v>
      </c>
      <c r="N2161" s="5">
        <v>0.20269999999999999</v>
      </c>
      <c r="O2161" s="5">
        <v>3</v>
      </c>
      <c r="P2161" s="5">
        <v>22102</v>
      </c>
    </row>
    <row r="2162" spans="1:16" x14ac:dyDescent="0.3">
      <c r="A2162" s="5">
        <v>47</v>
      </c>
      <c r="B2162" s="5" t="s">
        <v>128</v>
      </c>
      <c r="C2162" s="5">
        <v>11</v>
      </c>
      <c r="D2162" s="5" t="s">
        <v>83</v>
      </c>
      <c r="E2162" s="5">
        <v>2024</v>
      </c>
      <c r="F2162" s="5">
        <v>11</v>
      </c>
      <c r="G2162" s="5" t="s">
        <v>68</v>
      </c>
      <c r="H2162" s="5">
        <v>2542978</v>
      </c>
      <c r="I2162" s="5">
        <v>2088759.63</v>
      </c>
      <c r="J2162" s="5">
        <v>25</v>
      </c>
      <c r="K2162" s="5">
        <v>115585</v>
      </c>
      <c r="L2162" s="5">
        <v>2640220</v>
      </c>
      <c r="M2162" s="5">
        <v>454218.37</v>
      </c>
      <c r="N2162" s="5">
        <v>0.17860000000000001</v>
      </c>
      <c r="O2162" s="5">
        <v>3</v>
      </c>
      <c r="P2162" s="5">
        <v>77325</v>
      </c>
    </row>
    <row r="2163" spans="1:16" x14ac:dyDescent="0.3">
      <c r="A2163" s="5">
        <v>47</v>
      </c>
      <c r="B2163" s="5" t="s">
        <v>128</v>
      </c>
      <c r="C2163" s="5">
        <v>11</v>
      </c>
      <c r="D2163" s="5" t="s">
        <v>83</v>
      </c>
      <c r="E2163" s="5">
        <v>2024</v>
      </c>
      <c r="F2163" s="5">
        <v>12</v>
      </c>
      <c r="G2163" s="5" t="s">
        <v>69</v>
      </c>
      <c r="H2163" s="5">
        <v>1563808</v>
      </c>
      <c r="I2163" s="5">
        <v>1255062</v>
      </c>
      <c r="J2163" s="5">
        <v>21</v>
      </c>
      <c r="K2163" s="5">
        <v>37237</v>
      </c>
      <c r="L2163" s="5">
        <v>1591530</v>
      </c>
      <c r="M2163" s="5">
        <v>308746</v>
      </c>
      <c r="N2163" s="5">
        <v>0.19739999999999999</v>
      </c>
      <c r="O2163" s="5">
        <v>2</v>
      </c>
      <c r="P2163" s="5">
        <v>101872</v>
      </c>
    </row>
    <row r="2164" spans="1:16" x14ac:dyDescent="0.3">
      <c r="A2164" s="5">
        <v>84</v>
      </c>
      <c r="B2164" s="5" t="s">
        <v>129</v>
      </c>
      <c r="C2164" s="5">
        <v>11</v>
      </c>
      <c r="D2164" s="5" t="s">
        <v>83</v>
      </c>
      <c r="E2164" s="5">
        <v>2021</v>
      </c>
      <c r="F2164" s="5">
        <v>1</v>
      </c>
      <c r="G2164" s="5" t="s">
        <v>22</v>
      </c>
      <c r="H2164" s="5">
        <v>2276648</v>
      </c>
      <c r="I2164" s="5">
        <v>2013262.85</v>
      </c>
      <c r="J2164" s="5">
        <v>33</v>
      </c>
      <c r="K2164" s="5">
        <v>326010</v>
      </c>
      <c r="L2164" s="5">
        <v>2596600</v>
      </c>
      <c r="M2164" s="5">
        <v>263385.15000000002</v>
      </c>
      <c r="N2164" s="5">
        <v>0.1157</v>
      </c>
      <c r="O2164" s="5">
        <v>3</v>
      </c>
      <c r="P2164" s="5">
        <v>6218</v>
      </c>
    </row>
    <row r="2165" spans="1:16" x14ac:dyDescent="0.3">
      <c r="A2165" s="5">
        <v>84</v>
      </c>
      <c r="B2165" s="5" t="s">
        <v>129</v>
      </c>
      <c r="C2165" s="5">
        <v>11</v>
      </c>
      <c r="D2165" s="5" t="s">
        <v>83</v>
      </c>
      <c r="E2165" s="5">
        <v>2021</v>
      </c>
      <c r="F2165" s="5">
        <v>2</v>
      </c>
      <c r="G2165" s="5" t="s">
        <v>23</v>
      </c>
      <c r="H2165" s="5">
        <v>1902446</v>
      </c>
      <c r="I2165" s="5">
        <v>1649680</v>
      </c>
      <c r="J2165" s="5">
        <v>27</v>
      </c>
      <c r="K2165" s="5">
        <v>188620</v>
      </c>
      <c r="L2165" s="5">
        <v>2084320</v>
      </c>
      <c r="M2165" s="5">
        <v>252766</v>
      </c>
      <c r="N2165" s="5">
        <v>0.13289999999999999</v>
      </c>
      <c r="O2165" s="5">
        <v>4</v>
      </c>
      <c r="P2165" s="5">
        <v>45301</v>
      </c>
    </row>
    <row r="2166" spans="1:16" x14ac:dyDescent="0.3">
      <c r="A2166" s="5">
        <v>84</v>
      </c>
      <c r="B2166" s="5" t="s">
        <v>129</v>
      </c>
      <c r="C2166" s="5">
        <v>11</v>
      </c>
      <c r="D2166" s="5" t="s">
        <v>83</v>
      </c>
      <c r="E2166" s="5">
        <v>2021</v>
      </c>
      <c r="F2166" s="5">
        <v>3</v>
      </c>
      <c r="G2166" s="5" t="s">
        <v>24</v>
      </c>
      <c r="H2166" s="5">
        <v>1649528</v>
      </c>
      <c r="I2166" s="5">
        <v>1343100.17</v>
      </c>
      <c r="J2166" s="5">
        <v>32</v>
      </c>
      <c r="K2166" s="5">
        <v>204289</v>
      </c>
      <c r="L2166" s="5">
        <v>1851090</v>
      </c>
      <c r="M2166" s="5">
        <v>306427.83</v>
      </c>
      <c r="N2166" s="5">
        <v>0.18579999999999999</v>
      </c>
      <c r="O2166" s="5">
        <v>3</v>
      </c>
      <c r="P2166" s="5">
        <v>48603</v>
      </c>
    </row>
    <row r="2167" spans="1:16" x14ac:dyDescent="0.3">
      <c r="A2167" s="5">
        <v>84</v>
      </c>
      <c r="B2167" s="5" t="s">
        <v>129</v>
      </c>
      <c r="C2167" s="5">
        <v>11</v>
      </c>
      <c r="D2167" s="5" t="s">
        <v>83</v>
      </c>
      <c r="E2167" s="5">
        <v>2021</v>
      </c>
      <c r="F2167" s="5">
        <v>4</v>
      </c>
      <c r="G2167" s="5" t="s">
        <v>25</v>
      </c>
      <c r="H2167" s="5">
        <v>1389898</v>
      </c>
      <c r="I2167" s="5">
        <v>1207560.24</v>
      </c>
      <c r="J2167" s="5">
        <v>19</v>
      </c>
      <c r="K2167" s="5">
        <v>228557</v>
      </c>
      <c r="L2167" s="5">
        <v>1614240</v>
      </c>
      <c r="M2167" s="5">
        <v>182337.76</v>
      </c>
      <c r="N2167" s="5">
        <v>0.13120000000000001</v>
      </c>
      <c r="O2167" s="5">
        <v>2</v>
      </c>
      <c r="P2167" s="5">
        <v>79634</v>
      </c>
    </row>
    <row r="2168" spans="1:16" x14ac:dyDescent="0.3">
      <c r="A2168" s="5">
        <v>84</v>
      </c>
      <c r="B2168" s="5" t="s">
        <v>129</v>
      </c>
      <c r="C2168" s="5">
        <v>11</v>
      </c>
      <c r="D2168" s="5" t="s">
        <v>83</v>
      </c>
      <c r="E2168" s="5">
        <v>2021</v>
      </c>
      <c r="F2168" s="5">
        <v>5</v>
      </c>
      <c r="G2168" s="5" t="s">
        <v>26</v>
      </c>
      <c r="H2168" s="5">
        <v>1181069</v>
      </c>
      <c r="I2168" s="5">
        <v>1094472.93</v>
      </c>
      <c r="J2168" s="5">
        <v>29</v>
      </c>
      <c r="K2168" s="5">
        <v>278460</v>
      </c>
      <c r="L2168" s="5">
        <v>1457490</v>
      </c>
      <c r="M2168" s="5">
        <v>86596.07</v>
      </c>
      <c r="N2168" s="5">
        <v>7.3300000000000004E-2</v>
      </c>
      <c r="O2168" s="5">
        <v>4</v>
      </c>
      <c r="P2168" s="5">
        <v>36326</v>
      </c>
    </row>
    <row r="2169" spans="1:16" x14ac:dyDescent="0.3">
      <c r="A2169" s="5">
        <v>84</v>
      </c>
      <c r="B2169" s="5" t="s">
        <v>129</v>
      </c>
      <c r="C2169" s="5">
        <v>11</v>
      </c>
      <c r="D2169" s="5" t="s">
        <v>83</v>
      </c>
      <c r="E2169" s="5">
        <v>2021</v>
      </c>
      <c r="F2169" s="5">
        <v>6</v>
      </c>
      <c r="G2169" s="5" t="s">
        <v>27</v>
      </c>
      <c r="H2169" s="5">
        <v>2640931</v>
      </c>
      <c r="I2169" s="5">
        <v>2159955.61</v>
      </c>
      <c r="J2169" s="5">
        <v>31</v>
      </c>
      <c r="K2169" s="5">
        <v>206542</v>
      </c>
      <c r="L2169" s="5">
        <v>2833930</v>
      </c>
      <c r="M2169" s="5">
        <v>480975.39</v>
      </c>
      <c r="N2169" s="5">
        <v>0.18210000000000001</v>
      </c>
      <c r="O2169" s="5">
        <v>2</v>
      </c>
      <c r="P2169" s="5">
        <v>314997</v>
      </c>
    </row>
    <row r="2170" spans="1:16" x14ac:dyDescent="0.3">
      <c r="A2170" s="5">
        <v>84</v>
      </c>
      <c r="B2170" s="5" t="s">
        <v>129</v>
      </c>
      <c r="C2170" s="5">
        <v>11</v>
      </c>
      <c r="D2170" s="5" t="s">
        <v>83</v>
      </c>
      <c r="E2170" s="5">
        <v>2021</v>
      </c>
      <c r="F2170" s="5">
        <v>7</v>
      </c>
      <c r="G2170" s="5" t="s">
        <v>28</v>
      </c>
      <c r="H2170" s="5">
        <v>1276609</v>
      </c>
      <c r="I2170" s="5">
        <v>1258429.08</v>
      </c>
      <c r="J2170" s="5">
        <v>28</v>
      </c>
      <c r="K2170" s="5">
        <v>336698</v>
      </c>
      <c r="L2170" s="5">
        <v>1610820</v>
      </c>
      <c r="M2170" s="5">
        <v>18179.919999999998</v>
      </c>
      <c r="N2170" s="5">
        <v>1.4200000000000001E-2</v>
      </c>
      <c r="O2170" s="5">
        <v>1</v>
      </c>
      <c r="P2170" s="5">
        <v>4914</v>
      </c>
    </row>
    <row r="2171" spans="1:16" x14ac:dyDescent="0.3">
      <c r="A2171" s="5">
        <v>84</v>
      </c>
      <c r="B2171" s="5" t="s">
        <v>129</v>
      </c>
      <c r="C2171" s="5">
        <v>11</v>
      </c>
      <c r="D2171" s="5" t="s">
        <v>83</v>
      </c>
      <c r="E2171" s="5">
        <v>2021</v>
      </c>
      <c r="F2171" s="5">
        <v>8</v>
      </c>
      <c r="G2171" s="5" t="s">
        <v>29</v>
      </c>
      <c r="H2171" s="5">
        <v>1807188</v>
      </c>
      <c r="I2171" s="5">
        <v>1557719.31</v>
      </c>
      <c r="J2171" s="5">
        <v>24</v>
      </c>
      <c r="K2171" s="5">
        <v>168566</v>
      </c>
      <c r="L2171" s="5">
        <v>1970440</v>
      </c>
      <c r="M2171" s="5">
        <v>249468.69</v>
      </c>
      <c r="N2171" s="5">
        <v>0.13800000000000001</v>
      </c>
      <c r="O2171" s="5">
        <v>4</v>
      </c>
      <c r="P2171" s="5">
        <v>190605</v>
      </c>
    </row>
    <row r="2172" spans="1:16" x14ac:dyDescent="0.3">
      <c r="A2172" s="5">
        <v>84</v>
      </c>
      <c r="B2172" s="5" t="s">
        <v>129</v>
      </c>
      <c r="C2172" s="5">
        <v>11</v>
      </c>
      <c r="D2172" s="5" t="s">
        <v>83</v>
      </c>
      <c r="E2172" s="5">
        <v>2021</v>
      </c>
      <c r="F2172" s="5">
        <v>9</v>
      </c>
      <c r="G2172" s="5" t="s">
        <v>30</v>
      </c>
      <c r="H2172" s="5">
        <v>1901701</v>
      </c>
      <c r="I2172" s="5">
        <v>1576127.18</v>
      </c>
      <c r="J2172" s="5">
        <v>30</v>
      </c>
      <c r="K2172" s="5">
        <v>140112</v>
      </c>
      <c r="L2172" s="5">
        <v>2034400</v>
      </c>
      <c r="M2172" s="5">
        <v>325573.82</v>
      </c>
      <c r="N2172" s="5">
        <v>0.17119999999999999</v>
      </c>
      <c r="O2172" s="5">
        <v>0</v>
      </c>
      <c r="P2172" s="5">
        <v>0</v>
      </c>
    </row>
    <row r="2173" spans="1:16" x14ac:dyDescent="0.3">
      <c r="A2173" s="5">
        <v>84</v>
      </c>
      <c r="B2173" s="5" t="s">
        <v>129</v>
      </c>
      <c r="C2173" s="5">
        <v>11</v>
      </c>
      <c r="D2173" s="5" t="s">
        <v>83</v>
      </c>
      <c r="E2173" s="5">
        <v>2021</v>
      </c>
      <c r="F2173" s="5">
        <v>10</v>
      </c>
      <c r="G2173" s="5" t="s">
        <v>31</v>
      </c>
      <c r="H2173" s="5">
        <v>2485317</v>
      </c>
      <c r="I2173" s="5">
        <v>2082091.03</v>
      </c>
      <c r="J2173" s="5">
        <v>42</v>
      </c>
      <c r="K2173" s="5">
        <v>253624</v>
      </c>
      <c r="L2173" s="5">
        <v>2725180</v>
      </c>
      <c r="M2173" s="5">
        <v>403225.97</v>
      </c>
      <c r="N2173" s="5">
        <v>0.16220000000000001</v>
      </c>
      <c r="O2173" s="5">
        <v>4</v>
      </c>
      <c r="P2173" s="5">
        <v>40105</v>
      </c>
    </row>
    <row r="2174" spans="1:16" x14ac:dyDescent="0.3">
      <c r="A2174" s="5">
        <v>84</v>
      </c>
      <c r="B2174" s="5" t="s">
        <v>129</v>
      </c>
      <c r="C2174" s="5">
        <v>11</v>
      </c>
      <c r="D2174" s="5" t="s">
        <v>83</v>
      </c>
      <c r="E2174" s="5">
        <v>2021</v>
      </c>
      <c r="F2174" s="5">
        <v>11</v>
      </c>
      <c r="G2174" s="5" t="s">
        <v>32</v>
      </c>
      <c r="H2174" s="5">
        <v>2288276</v>
      </c>
      <c r="I2174" s="5">
        <v>1899218.84</v>
      </c>
      <c r="J2174" s="5">
        <v>36</v>
      </c>
      <c r="K2174" s="5">
        <v>188874</v>
      </c>
      <c r="L2174" s="5">
        <v>2474710</v>
      </c>
      <c r="M2174" s="5">
        <v>389057.16</v>
      </c>
      <c r="N2174" s="5">
        <v>0.17</v>
      </c>
      <c r="O2174" s="5">
        <v>0</v>
      </c>
      <c r="P2174" s="5">
        <v>0</v>
      </c>
    </row>
    <row r="2175" spans="1:16" x14ac:dyDescent="0.3">
      <c r="A2175" s="5">
        <v>84</v>
      </c>
      <c r="B2175" s="5" t="s">
        <v>129</v>
      </c>
      <c r="C2175" s="5">
        <v>11</v>
      </c>
      <c r="D2175" s="5" t="s">
        <v>83</v>
      </c>
      <c r="E2175" s="5">
        <v>2021</v>
      </c>
      <c r="F2175" s="5">
        <v>12</v>
      </c>
      <c r="G2175" s="5" t="s">
        <v>33</v>
      </c>
      <c r="H2175" s="5">
        <v>2653738</v>
      </c>
      <c r="I2175" s="5">
        <v>2235036.04</v>
      </c>
      <c r="J2175" s="5">
        <v>41</v>
      </c>
      <c r="K2175" s="5">
        <v>197753</v>
      </c>
      <c r="L2175" s="5">
        <v>2837020</v>
      </c>
      <c r="M2175" s="5">
        <v>418701.96</v>
      </c>
      <c r="N2175" s="5">
        <v>0.1578</v>
      </c>
      <c r="O2175" s="5">
        <v>7</v>
      </c>
      <c r="P2175" s="5">
        <v>64275</v>
      </c>
    </row>
    <row r="2176" spans="1:16" x14ac:dyDescent="0.3">
      <c r="A2176" s="5">
        <v>84</v>
      </c>
      <c r="B2176" s="5" t="s">
        <v>129</v>
      </c>
      <c r="C2176" s="5">
        <v>11</v>
      </c>
      <c r="D2176" s="5" t="s">
        <v>83</v>
      </c>
      <c r="E2176" s="5">
        <v>2022</v>
      </c>
      <c r="F2176" s="5">
        <v>1</v>
      </c>
      <c r="G2176" s="5" t="s">
        <v>34</v>
      </c>
      <c r="H2176" s="5">
        <v>2139477</v>
      </c>
      <c r="I2176" s="5">
        <v>1725863.18</v>
      </c>
      <c r="J2176" s="5">
        <v>32</v>
      </c>
      <c r="K2176" s="5">
        <v>132001</v>
      </c>
      <c r="L2176" s="5">
        <v>2268620</v>
      </c>
      <c r="M2176" s="5">
        <v>413613.82</v>
      </c>
      <c r="N2176" s="5">
        <v>0.1933</v>
      </c>
      <c r="O2176" s="5">
        <v>1</v>
      </c>
      <c r="P2176" s="5">
        <v>3706</v>
      </c>
    </row>
    <row r="2177" spans="1:16" x14ac:dyDescent="0.3">
      <c r="A2177" s="5">
        <v>84</v>
      </c>
      <c r="B2177" s="5" t="s">
        <v>129</v>
      </c>
      <c r="C2177" s="5">
        <v>11</v>
      </c>
      <c r="D2177" s="5" t="s">
        <v>83</v>
      </c>
      <c r="E2177" s="5">
        <v>2022</v>
      </c>
      <c r="F2177" s="5">
        <v>2</v>
      </c>
      <c r="G2177" s="5" t="s">
        <v>35</v>
      </c>
      <c r="H2177" s="5">
        <v>1735645</v>
      </c>
      <c r="I2177" s="5">
        <v>1442664.5</v>
      </c>
      <c r="J2177" s="5">
        <v>23</v>
      </c>
      <c r="K2177" s="5">
        <v>101279</v>
      </c>
      <c r="L2177" s="5">
        <v>1830030</v>
      </c>
      <c r="M2177" s="5">
        <v>292980.5</v>
      </c>
      <c r="N2177" s="5">
        <v>0.16880000000000001</v>
      </c>
      <c r="O2177" s="5">
        <v>1</v>
      </c>
      <c r="P2177" s="5">
        <v>4277</v>
      </c>
    </row>
    <row r="2178" spans="1:16" x14ac:dyDescent="0.3">
      <c r="A2178" s="5">
        <v>84</v>
      </c>
      <c r="B2178" s="5" t="s">
        <v>129</v>
      </c>
      <c r="C2178" s="5">
        <v>11</v>
      </c>
      <c r="D2178" s="5" t="s">
        <v>83</v>
      </c>
      <c r="E2178" s="5">
        <v>2022</v>
      </c>
      <c r="F2178" s="5">
        <v>3</v>
      </c>
      <c r="G2178" s="5" t="s">
        <v>36</v>
      </c>
      <c r="H2178" s="5">
        <v>3324188</v>
      </c>
      <c r="I2178" s="5">
        <v>2910295.14</v>
      </c>
      <c r="J2178" s="5">
        <v>45</v>
      </c>
      <c r="K2178" s="5">
        <v>416764</v>
      </c>
      <c r="L2178" s="5">
        <v>3729580</v>
      </c>
      <c r="M2178" s="5">
        <v>413892.86</v>
      </c>
      <c r="N2178" s="5">
        <v>0.1245</v>
      </c>
      <c r="O2178" s="5">
        <v>2</v>
      </c>
      <c r="P2178" s="5">
        <v>4801</v>
      </c>
    </row>
    <row r="2179" spans="1:16" x14ac:dyDescent="0.3">
      <c r="A2179" s="5">
        <v>84</v>
      </c>
      <c r="B2179" s="5" t="s">
        <v>129</v>
      </c>
      <c r="C2179" s="5">
        <v>11</v>
      </c>
      <c r="D2179" s="5" t="s">
        <v>83</v>
      </c>
      <c r="E2179" s="5">
        <v>2022</v>
      </c>
      <c r="F2179" s="5">
        <v>4</v>
      </c>
      <c r="G2179" s="5" t="s">
        <v>37</v>
      </c>
      <c r="H2179" s="5">
        <v>2678684</v>
      </c>
      <c r="I2179" s="5">
        <v>2207078.75</v>
      </c>
      <c r="J2179" s="5">
        <v>44</v>
      </c>
      <c r="K2179" s="5">
        <v>225822</v>
      </c>
      <c r="L2179" s="5">
        <v>2898730</v>
      </c>
      <c r="M2179" s="5">
        <v>471605.25</v>
      </c>
      <c r="N2179" s="5">
        <v>0.17610000000000001</v>
      </c>
      <c r="O2179" s="5">
        <v>2</v>
      </c>
      <c r="P2179" s="5">
        <v>59067</v>
      </c>
    </row>
    <row r="2180" spans="1:16" x14ac:dyDescent="0.3">
      <c r="A2180" s="5">
        <v>84</v>
      </c>
      <c r="B2180" s="5" t="s">
        <v>129</v>
      </c>
      <c r="C2180" s="5">
        <v>11</v>
      </c>
      <c r="D2180" s="5" t="s">
        <v>83</v>
      </c>
      <c r="E2180" s="5">
        <v>2022</v>
      </c>
      <c r="F2180" s="5">
        <v>5</v>
      </c>
      <c r="G2180" s="5" t="s">
        <v>38</v>
      </c>
      <c r="H2180" s="5">
        <v>2935927</v>
      </c>
      <c r="I2180" s="5">
        <v>2554926.5299999998</v>
      </c>
      <c r="J2180" s="5">
        <v>47</v>
      </c>
      <c r="K2180" s="5">
        <v>393508</v>
      </c>
      <c r="L2180" s="5">
        <v>3315860</v>
      </c>
      <c r="M2180" s="5">
        <v>381000.47</v>
      </c>
      <c r="N2180" s="5">
        <v>0.1298</v>
      </c>
      <c r="O2180" s="5">
        <v>6</v>
      </c>
      <c r="P2180" s="5">
        <v>43593</v>
      </c>
    </row>
    <row r="2181" spans="1:16" x14ac:dyDescent="0.3">
      <c r="A2181" s="5">
        <v>84</v>
      </c>
      <c r="B2181" s="5" t="s">
        <v>129</v>
      </c>
      <c r="C2181" s="5">
        <v>11</v>
      </c>
      <c r="D2181" s="5" t="s">
        <v>83</v>
      </c>
      <c r="E2181" s="5">
        <v>2022</v>
      </c>
      <c r="F2181" s="5">
        <v>6</v>
      </c>
      <c r="G2181" s="5" t="s">
        <v>39</v>
      </c>
      <c r="H2181" s="5">
        <v>2940965</v>
      </c>
      <c r="I2181" s="5">
        <v>2585398.06</v>
      </c>
      <c r="J2181" s="5">
        <v>48</v>
      </c>
      <c r="K2181" s="5">
        <v>351703</v>
      </c>
      <c r="L2181" s="5">
        <v>3286450</v>
      </c>
      <c r="M2181" s="5">
        <v>355566.94</v>
      </c>
      <c r="N2181" s="5">
        <v>0.12089999999999999</v>
      </c>
      <c r="O2181" s="5">
        <v>2</v>
      </c>
      <c r="P2181" s="5">
        <v>65578</v>
      </c>
    </row>
    <row r="2182" spans="1:16" x14ac:dyDescent="0.3">
      <c r="A2182" s="5">
        <v>84</v>
      </c>
      <c r="B2182" s="5" t="s">
        <v>129</v>
      </c>
      <c r="C2182" s="5">
        <v>11</v>
      </c>
      <c r="D2182" s="5" t="s">
        <v>83</v>
      </c>
      <c r="E2182" s="5">
        <v>2022</v>
      </c>
      <c r="F2182" s="5">
        <v>7</v>
      </c>
      <c r="G2182" s="5" t="s">
        <v>40</v>
      </c>
      <c r="H2182" s="5">
        <v>3117927</v>
      </c>
      <c r="I2182" s="5">
        <v>2792497.93</v>
      </c>
      <c r="J2182" s="5">
        <v>46</v>
      </c>
      <c r="K2182" s="5">
        <v>427950</v>
      </c>
      <c r="L2182" s="5">
        <v>3537760</v>
      </c>
      <c r="M2182" s="5">
        <v>325429.07</v>
      </c>
      <c r="N2182" s="5">
        <v>0.10440000000000001</v>
      </c>
      <c r="O2182" s="5">
        <v>3</v>
      </c>
      <c r="P2182" s="5">
        <v>146404</v>
      </c>
    </row>
    <row r="2183" spans="1:16" x14ac:dyDescent="0.3">
      <c r="A2183" s="5">
        <v>84</v>
      </c>
      <c r="B2183" s="5" t="s">
        <v>129</v>
      </c>
      <c r="C2183" s="5">
        <v>11</v>
      </c>
      <c r="D2183" s="5" t="s">
        <v>83</v>
      </c>
      <c r="E2183" s="5">
        <v>2022</v>
      </c>
      <c r="F2183" s="5">
        <v>8</v>
      </c>
      <c r="G2183" s="5" t="s">
        <v>41</v>
      </c>
      <c r="H2183" s="5">
        <v>2419597</v>
      </c>
      <c r="I2183" s="5">
        <v>2278984.0499999998</v>
      </c>
      <c r="J2183" s="5">
        <v>35</v>
      </c>
      <c r="K2183" s="5">
        <v>510564</v>
      </c>
      <c r="L2183" s="5">
        <v>2917980</v>
      </c>
      <c r="M2183" s="5">
        <v>140612.95000000001</v>
      </c>
      <c r="N2183" s="5">
        <v>5.8099999999999999E-2</v>
      </c>
      <c r="O2183" s="5">
        <v>2</v>
      </c>
      <c r="P2183" s="5">
        <v>74217</v>
      </c>
    </row>
    <row r="2184" spans="1:16" x14ac:dyDescent="0.3">
      <c r="A2184" s="5">
        <v>84</v>
      </c>
      <c r="B2184" s="5" t="s">
        <v>129</v>
      </c>
      <c r="C2184" s="5">
        <v>11</v>
      </c>
      <c r="D2184" s="5" t="s">
        <v>83</v>
      </c>
      <c r="E2184" s="5">
        <v>2022</v>
      </c>
      <c r="F2184" s="5">
        <v>9</v>
      </c>
      <c r="G2184" s="5" t="s">
        <v>42</v>
      </c>
      <c r="H2184" s="5">
        <v>1655021</v>
      </c>
      <c r="I2184" s="5">
        <v>1505954.39</v>
      </c>
      <c r="J2184" s="5">
        <v>31</v>
      </c>
      <c r="K2184" s="5">
        <v>255692</v>
      </c>
      <c r="L2184" s="5">
        <v>1902850</v>
      </c>
      <c r="M2184" s="5">
        <v>149066.60999999999</v>
      </c>
      <c r="N2184" s="5">
        <v>9.01E-2</v>
      </c>
      <c r="O2184" s="5">
        <v>1</v>
      </c>
      <c r="P2184" s="5">
        <v>79430</v>
      </c>
    </row>
    <row r="2185" spans="1:16" x14ac:dyDescent="0.3">
      <c r="A2185" s="5">
        <v>84</v>
      </c>
      <c r="B2185" s="5" t="s">
        <v>129</v>
      </c>
      <c r="C2185" s="5">
        <v>11</v>
      </c>
      <c r="D2185" s="5" t="s">
        <v>83</v>
      </c>
      <c r="E2185" s="5">
        <v>2022</v>
      </c>
      <c r="F2185" s="5">
        <v>10</v>
      </c>
      <c r="G2185" s="5" t="s">
        <v>43</v>
      </c>
      <c r="H2185" s="5">
        <v>2872989</v>
      </c>
      <c r="I2185" s="5">
        <v>2420270.96</v>
      </c>
      <c r="J2185" s="5">
        <v>47</v>
      </c>
      <c r="K2185" s="5">
        <v>311343</v>
      </c>
      <c r="L2185" s="5">
        <v>3168700</v>
      </c>
      <c r="M2185" s="5">
        <v>452718.04</v>
      </c>
      <c r="N2185" s="5">
        <v>0.15759999999999999</v>
      </c>
      <c r="O2185" s="5">
        <v>5</v>
      </c>
      <c r="P2185" s="5">
        <v>45723</v>
      </c>
    </row>
    <row r="2186" spans="1:16" x14ac:dyDescent="0.3">
      <c r="A2186" s="5">
        <v>84</v>
      </c>
      <c r="B2186" s="5" t="s">
        <v>129</v>
      </c>
      <c r="C2186" s="5">
        <v>11</v>
      </c>
      <c r="D2186" s="5" t="s">
        <v>83</v>
      </c>
      <c r="E2186" s="5">
        <v>2022</v>
      </c>
      <c r="F2186" s="5">
        <v>11</v>
      </c>
      <c r="G2186" s="5" t="s">
        <v>44</v>
      </c>
      <c r="H2186" s="5">
        <v>3746301</v>
      </c>
      <c r="I2186" s="5">
        <v>3146551.05</v>
      </c>
      <c r="J2186" s="5">
        <v>71</v>
      </c>
      <c r="K2186" s="5">
        <v>393970</v>
      </c>
      <c r="L2186" s="5">
        <v>4127360</v>
      </c>
      <c r="M2186" s="5">
        <v>599749.94999999995</v>
      </c>
      <c r="N2186" s="5">
        <v>0.16009999999999999</v>
      </c>
      <c r="O2186" s="5">
        <v>5</v>
      </c>
      <c r="P2186" s="5">
        <v>329438</v>
      </c>
    </row>
    <row r="2187" spans="1:16" x14ac:dyDescent="0.3">
      <c r="A2187" s="5">
        <v>84</v>
      </c>
      <c r="B2187" s="5" t="s">
        <v>129</v>
      </c>
      <c r="C2187" s="5">
        <v>11</v>
      </c>
      <c r="D2187" s="5" t="s">
        <v>83</v>
      </c>
      <c r="E2187" s="5">
        <v>2022</v>
      </c>
      <c r="F2187" s="5">
        <v>12</v>
      </c>
      <c r="G2187" s="5" t="s">
        <v>45</v>
      </c>
      <c r="H2187" s="5">
        <v>4497830</v>
      </c>
      <c r="I2187" s="5">
        <v>3742277.11</v>
      </c>
      <c r="J2187" s="5">
        <v>58</v>
      </c>
      <c r="K2187" s="5">
        <v>350594</v>
      </c>
      <c r="L2187" s="5">
        <v>4833930</v>
      </c>
      <c r="M2187" s="5">
        <v>755552.89</v>
      </c>
      <c r="N2187" s="5">
        <v>0.16800000000000001</v>
      </c>
      <c r="O2187" s="5">
        <v>7</v>
      </c>
      <c r="P2187" s="5">
        <v>118168</v>
      </c>
    </row>
    <row r="2188" spans="1:16" x14ac:dyDescent="0.3">
      <c r="A2188" s="5">
        <v>84</v>
      </c>
      <c r="B2188" s="5" t="s">
        <v>129</v>
      </c>
      <c r="C2188" s="5">
        <v>11</v>
      </c>
      <c r="D2188" s="5" t="s">
        <v>83</v>
      </c>
      <c r="E2188" s="5">
        <v>2023</v>
      </c>
      <c r="F2188" s="5">
        <v>1</v>
      </c>
      <c r="G2188" s="5" t="s">
        <v>46</v>
      </c>
      <c r="H2188" s="5">
        <v>3203518</v>
      </c>
      <c r="I2188" s="5">
        <v>2698658.12</v>
      </c>
      <c r="J2188" s="5">
        <v>42</v>
      </c>
      <c r="K2188" s="5">
        <v>266345</v>
      </c>
      <c r="L2188" s="5">
        <v>3460000</v>
      </c>
      <c r="M2188" s="5">
        <v>504859.88</v>
      </c>
      <c r="N2188" s="5">
        <v>0.15759999999999999</v>
      </c>
      <c r="O2188" s="5">
        <v>0</v>
      </c>
      <c r="P2188" s="5">
        <v>0</v>
      </c>
    </row>
    <row r="2189" spans="1:16" x14ac:dyDescent="0.3">
      <c r="A2189" s="5">
        <v>84</v>
      </c>
      <c r="B2189" s="5" t="s">
        <v>129</v>
      </c>
      <c r="C2189" s="5">
        <v>11</v>
      </c>
      <c r="D2189" s="5" t="s">
        <v>83</v>
      </c>
      <c r="E2189" s="5">
        <v>2023</v>
      </c>
      <c r="F2189" s="5">
        <v>2</v>
      </c>
      <c r="G2189" s="5" t="s">
        <v>47</v>
      </c>
      <c r="H2189" s="5">
        <v>2528758</v>
      </c>
      <c r="I2189" s="5">
        <v>2080848.64</v>
      </c>
      <c r="J2189" s="5">
        <v>41</v>
      </c>
      <c r="K2189" s="5">
        <v>174218</v>
      </c>
      <c r="L2189" s="5">
        <v>2692770</v>
      </c>
      <c r="M2189" s="5">
        <v>447909.36</v>
      </c>
      <c r="N2189" s="5">
        <v>0.17710000000000001</v>
      </c>
      <c r="O2189" s="5">
        <v>0</v>
      </c>
      <c r="P2189" s="5">
        <v>0</v>
      </c>
    </row>
    <row r="2190" spans="1:16" x14ac:dyDescent="0.3">
      <c r="A2190" s="5">
        <v>84</v>
      </c>
      <c r="B2190" s="5" t="s">
        <v>129</v>
      </c>
      <c r="C2190" s="5">
        <v>11</v>
      </c>
      <c r="D2190" s="5" t="s">
        <v>83</v>
      </c>
      <c r="E2190" s="5">
        <v>2023</v>
      </c>
      <c r="F2190" s="5">
        <v>3</v>
      </c>
      <c r="G2190" s="5" t="s">
        <v>48</v>
      </c>
      <c r="H2190" s="5">
        <v>3354233</v>
      </c>
      <c r="I2190" s="5">
        <v>2929600.76</v>
      </c>
      <c r="J2190" s="5">
        <v>42</v>
      </c>
      <c r="K2190" s="5">
        <v>360604</v>
      </c>
      <c r="L2190" s="5">
        <v>3700470</v>
      </c>
      <c r="M2190" s="5">
        <v>424632.24</v>
      </c>
      <c r="N2190" s="5">
        <v>0.12659999999999999</v>
      </c>
      <c r="O2190" s="5">
        <v>2</v>
      </c>
      <c r="P2190" s="5">
        <v>7164</v>
      </c>
    </row>
    <row r="2191" spans="1:16" x14ac:dyDescent="0.3">
      <c r="A2191" s="5">
        <v>84</v>
      </c>
      <c r="B2191" s="5" t="s">
        <v>129</v>
      </c>
      <c r="C2191" s="5">
        <v>11</v>
      </c>
      <c r="D2191" s="5" t="s">
        <v>83</v>
      </c>
      <c r="E2191" s="5">
        <v>2023</v>
      </c>
      <c r="F2191" s="5">
        <v>4</v>
      </c>
      <c r="G2191" s="5" t="s">
        <v>49</v>
      </c>
      <c r="H2191" s="5">
        <v>4462852</v>
      </c>
      <c r="I2191" s="5">
        <v>3938128.58</v>
      </c>
      <c r="J2191" s="5">
        <v>47</v>
      </c>
      <c r="K2191" s="5">
        <v>561703</v>
      </c>
      <c r="L2191" s="5">
        <v>5012190</v>
      </c>
      <c r="M2191" s="5">
        <v>524723.42000000004</v>
      </c>
      <c r="N2191" s="5">
        <v>0.1176</v>
      </c>
      <c r="O2191" s="5">
        <v>3</v>
      </c>
      <c r="P2191" s="5">
        <v>13528</v>
      </c>
    </row>
    <row r="2192" spans="1:16" x14ac:dyDescent="0.3">
      <c r="A2192" s="5">
        <v>84</v>
      </c>
      <c r="B2192" s="5" t="s">
        <v>129</v>
      </c>
      <c r="C2192" s="5">
        <v>11</v>
      </c>
      <c r="D2192" s="5" t="s">
        <v>83</v>
      </c>
      <c r="E2192" s="5">
        <v>2023</v>
      </c>
      <c r="F2192" s="5">
        <v>5</v>
      </c>
      <c r="G2192" s="5" t="s">
        <v>50</v>
      </c>
      <c r="H2192" s="5">
        <v>3616221</v>
      </c>
      <c r="I2192" s="5">
        <v>3226492.43</v>
      </c>
      <c r="J2192" s="5">
        <v>50</v>
      </c>
      <c r="K2192" s="5">
        <v>431023</v>
      </c>
      <c r="L2192" s="5">
        <v>4038500</v>
      </c>
      <c r="M2192" s="5">
        <v>389728.57</v>
      </c>
      <c r="N2192" s="5">
        <v>0.10780000000000001</v>
      </c>
      <c r="O2192" s="5">
        <v>2</v>
      </c>
      <c r="P2192" s="5">
        <v>10407</v>
      </c>
    </row>
    <row r="2193" spans="1:16" x14ac:dyDescent="0.3">
      <c r="A2193" s="5">
        <v>84</v>
      </c>
      <c r="B2193" s="5" t="s">
        <v>129</v>
      </c>
      <c r="C2193" s="5">
        <v>11</v>
      </c>
      <c r="D2193" s="5" t="s">
        <v>83</v>
      </c>
      <c r="E2193" s="5">
        <v>2023</v>
      </c>
      <c r="F2193" s="5">
        <v>6</v>
      </c>
      <c r="G2193" s="5" t="s">
        <v>51</v>
      </c>
      <c r="H2193" s="5">
        <v>3723075</v>
      </c>
      <c r="I2193" s="5">
        <v>3231657.49</v>
      </c>
      <c r="J2193" s="5">
        <v>56</v>
      </c>
      <c r="K2193" s="5">
        <v>386662</v>
      </c>
      <c r="L2193" s="5">
        <v>4094340</v>
      </c>
      <c r="M2193" s="5">
        <v>491417.51</v>
      </c>
      <c r="N2193" s="5">
        <v>0.13200000000000001</v>
      </c>
      <c r="O2193" s="5">
        <v>8</v>
      </c>
      <c r="P2193" s="5">
        <v>326815</v>
      </c>
    </row>
    <row r="2194" spans="1:16" x14ac:dyDescent="0.3">
      <c r="A2194" s="5">
        <v>84</v>
      </c>
      <c r="B2194" s="5" t="s">
        <v>129</v>
      </c>
      <c r="C2194" s="5">
        <v>11</v>
      </c>
      <c r="D2194" s="5" t="s">
        <v>83</v>
      </c>
      <c r="E2194" s="5">
        <v>2023</v>
      </c>
      <c r="F2194" s="5">
        <v>7</v>
      </c>
      <c r="G2194" s="5" t="s">
        <v>52</v>
      </c>
      <c r="H2194" s="5">
        <v>3074071</v>
      </c>
      <c r="I2194" s="5">
        <v>2752022.97</v>
      </c>
      <c r="J2194" s="5">
        <v>57</v>
      </c>
      <c r="K2194" s="5">
        <v>381379</v>
      </c>
      <c r="L2194" s="5">
        <v>3444590</v>
      </c>
      <c r="M2194" s="5">
        <v>322048.03000000003</v>
      </c>
      <c r="N2194" s="5">
        <v>0.1048</v>
      </c>
      <c r="O2194" s="5">
        <v>6</v>
      </c>
      <c r="P2194" s="5">
        <v>33197</v>
      </c>
    </row>
    <row r="2195" spans="1:16" x14ac:dyDescent="0.3">
      <c r="A2195" s="5">
        <v>84</v>
      </c>
      <c r="B2195" s="5" t="s">
        <v>129</v>
      </c>
      <c r="C2195" s="5">
        <v>11</v>
      </c>
      <c r="D2195" s="5" t="s">
        <v>83</v>
      </c>
      <c r="E2195" s="5">
        <v>2023</v>
      </c>
      <c r="F2195" s="5">
        <v>8</v>
      </c>
      <c r="G2195" s="5" t="s">
        <v>53</v>
      </c>
      <c r="H2195" s="5">
        <v>3430492</v>
      </c>
      <c r="I2195" s="5">
        <v>3021707.96</v>
      </c>
      <c r="J2195" s="5">
        <v>48</v>
      </c>
      <c r="K2195" s="5">
        <v>416560</v>
      </c>
      <c r="L2195" s="5">
        <v>3841090</v>
      </c>
      <c r="M2195" s="5">
        <v>408784.04</v>
      </c>
      <c r="N2195" s="5">
        <v>0.1192</v>
      </c>
      <c r="O2195" s="5">
        <v>3</v>
      </c>
      <c r="P2195" s="5">
        <v>48914</v>
      </c>
    </row>
    <row r="2196" spans="1:16" x14ac:dyDescent="0.3">
      <c r="A2196" s="5">
        <v>84</v>
      </c>
      <c r="B2196" s="5" t="s">
        <v>129</v>
      </c>
      <c r="C2196" s="5">
        <v>11</v>
      </c>
      <c r="D2196" s="5" t="s">
        <v>83</v>
      </c>
      <c r="E2196" s="5">
        <v>2023</v>
      </c>
      <c r="F2196" s="5">
        <v>9</v>
      </c>
      <c r="G2196" s="5" t="s">
        <v>54</v>
      </c>
      <c r="H2196" s="5">
        <v>4304268</v>
      </c>
      <c r="I2196" s="5">
        <v>3954138.02</v>
      </c>
      <c r="J2196" s="5">
        <v>62</v>
      </c>
      <c r="K2196" s="5">
        <v>767272</v>
      </c>
      <c r="L2196" s="5">
        <v>5060440</v>
      </c>
      <c r="M2196" s="5">
        <v>350129.98</v>
      </c>
      <c r="N2196" s="5">
        <v>8.1299999999999997E-2</v>
      </c>
      <c r="O2196" s="5">
        <v>7</v>
      </c>
      <c r="P2196" s="5">
        <v>239258</v>
      </c>
    </row>
    <row r="2197" spans="1:16" x14ac:dyDescent="0.3">
      <c r="A2197" s="5">
        <v>84</v>
      </c>
      <c r="B2197" s="5" t="s">
        <v>129</v>
      </c>
      <c r="C2197" s="5">
        <v>11</v>
      </c>
      <c r="D2197" s="5" t="s">
        <v>83</v>
      </c>
      <c r="E2197" s="5">
        <v>2023</v>
      </c>
      <c r="F2197" s="5">
        <v>10</v>
      </c>
      <c r="G2197" s="5" t="s">
        <v>55</v>
      </c>
      <c r="H2197" s="5">
        <v>5224028</v>
      </c>
      <c r="I2197" s="5">
        <v>4377267.7</v>
      </c>
      <c r="J2197" s="5">
        <v>74</v>
      </c>
      <c r="K2197" s="5">
        <v>453158</v>
      </c>
      <c r="L2197" s="5">
        <v>5662040</v>
      </c>
      <c r="M2197" s="5">
        <v>846760.3</v>
      </c>
      <c r="N2197" s="5">
        <v>0.16209999999999999</v>
      </c>
      <c r="O2197" s="5">
        <v>8</v>
      </c>
      <c r="P2197" s="5">
        <v>440420</v>
      </c>
    </row>
    <row r="2198" spans="1:16" x14ac:dyDescent="0.3">
      <c r="A2198" s="5">
        <v>84</v>
      </c>
      <c r="B2198" s="5" t="s">
        <v>129</v>
      </c>
      <c r="C2198" s="5">
        <v>11</v>
      </c>
      <c r="D2198" s="5" t="s">
        <v>83</v>
      </c>
      <c r="E2198" s="5">
        <v>2023</v>
      </c>
      <c r="F2198" s="5">
        <v>11</v>
      </c>
      <c r="G2198" s="5" t="s">
        <v>56</v>
      </c>
      <c r="H2198" s="5">
        <v>4084791</v>
      </c>
      <c r="I2198" s="5">
        <v>3510230.78</v>
      </c>
      <c r="J2198" s="5">
        <v>67</v>
      </c>
      <c r="K2198" s="5">
        <v>532539</v>
      </c>
      <c r="L2198" s="5">
        <v>4604320</v>
      </c>
      <c r="M2198" s="5">
        <v>574560.22</v>
      </c>
      <c r="N2198" s="5">
        <v>0.14069999999999999</v>
      </c>
      <c r="O2198" s="5">
        <v>9</v>
      </c>
      <c r="P2198" s="5">
        <v>342171</v>
      </c>
    </row>
    <row r="2199" spans="1:16" x14ac:dyDescent="0.3">
      <c r="A2199" s="5">
        <v>84</v>
      </c>
      <c r="B2199" s="5" t="s">
        <v>129</v>
      </c>
      <c r="C2199" s="5">
        <v>11</v>
      </c>
      <c r="D2199" s="5" t="s">
        <v>83</v>
      </c>
      <c r="E2199" s="5">
        <v>2023</v>
      </c>
      <c r="F2199" s="5">
        <v>12</v>
      </c>
      <c r="G2199" s="5" t="s">
        <v>57</v>
      </c>
      <c r="H2199" s="5">
        <v>5828400</v>
      </c>
      <c r="I2199" s="5">
        <v>5122491.4800000004</v>
      </c>
      <c r="J2199" s="5">
        <v>78</v>
      </c>
      <c r="K2199" s="5">
        <v>801499</v>
      </c>
      <c r="L2199" s="5">
        <v>6605990</v>
      </c>
      <c r="M2199" s="5">
        <v>705908.52</v>
      </c>
      <c r="N2199" s="5">
        <v>0.1211</v>
      </c>
      <c r="O2199" s="5">
        <v>6</v>
      </c>
      <c r="P2199" s="5">
        <v>262096</v>
      </c>
    </row>
    <row r="2200" spans="1:16" x14ac:dyDescent="0.3">
      <c r="A2200" s="5">
        <v>84</v>
      </c>
      <c r="B2200" s="5" t="s">
        <v>129</v>
      </c>
      <c r="C2200" s="5">
        <v>11</v>
      </c>
      <c r="D2200" s="5" t="s">
        <v>83</v>
      </c>
      <c r="E2200" s="5">
        <v>2024</v>
      </c>
      <c r="F2200" s="5">
        <v>1</v>
      </c>
      <c r="G2200" s="5" t="s">
        <v>58</v>
      </c>
      <c r="H2200" s="5">
        <v>3062123</v>
      </c>
      <c r="I2200" s="5">
        <v>2712656.63</v>
      </c>
      <c r="J2200" s="5">
        <v>51</v>
      </c>
      <c r="K2200" s="5">
        <v>415750</v>
      </c>
      <c r="L2200" s="5">
        <v>3470980</v>
      </c>
      <c r="M2200" s="5">
        <v>349466.37</v>
      </c>
      <c r="N2200" s="5">
        <v>0.11409999999999999</v>
      </c>
      <c r="O2200" s="5">
        <v>5</v>
      </c>
      <c r="P2200" s="5">
        <v>280166</v>
      </c>
    </row>
    <row r="2201" spans="1:16" x14ac:dyDescent="0.3">
      <c r="A2201" s="5">
        <v>84</v>
      </c>
      <c r="B2201" s="5" t="s">
        <v>129</v>
      </c>
      <c r="C2201" s="5">
        <v>11</v>
      </c>
      <c r="D2201" s="5" t="s">
        <v>83</v>
      </c>
      <c r="E2201" s="5">
        <v>2024</v>
      </c>
      <c r="F2201" s="5">
        <v>2</v>
      </c>
      <c r="G2201" s="5" t="s">
        <v>59</v>
      </c>
      <c r="H2201" s="5">
        <v>3892327</v>
      </c>
      <c r="I2201" s="5">
        <v>3283003.66</v>
      </c>
      <c r="J2201" s="5">
        <v>53</v>
      </c>
      <c r="K2201" s="5">
        <v>283565</v>
      </c>
      <c r="L2201" s="5">
        <v>4153240</v>
      </c>
      <c r="M2201" s="5">
        <v>609323.34</v>
      </c>
      <c r="N2201" s="5">
        <v>0.1565</v>
      </c>
      <c r="O2201" s="5">
        <v>5</v>
      </c>
      <c r="P2201" s="5">
        <v>175469</v>
      </c>
    </row>
    <row r="2202" spans="1:16" x14ac:dyDescent="0.3">
      <c r="A2202" s="5">
        <v>84</v>
      </c>
      <c r="B2202" s="5" t="s">
        <v>129</v>
      </c>
      <c r="C2202" s="5">
        <v>11</v>
      </c>
      <c r="D2202" s="5" t="s">
        <v>83</v>
      </c>
      <c r="E2202" s="5">
        <v>2024</v>
      </c>
      <c r="F2202" s="5">
        <v>3</v>
      </c>
      <c r="G2202" s="5" t="s">
        <v>60</v>
      </c>
      <c r="H2202" s="5">
        <v>2958257</v>
      </c>
      <c r="I2202" s="5">
        <v>2636341.54</v>
      </c>
      <c r="J2202" s="5">
        <v>45</v>
      </c>
      <c r="K2202" s="5">
        <v>433721</v>
      </c>
      <c r="L2202" s="5">
        <v>3382740</v>
      </c>
      <c r="M2202" s="5">
        <v>321915.46000000002</v>
      </c>
      <c r="N2202" s="5">
        <v>0.10879999999999999</v>
      </c>
      <c r="O2202" s="5">
        <v>4</v>
      </c>
      <c r="P2202" s="5">
        <v>41863</v>
      </c>
    </row>
    <row r="2203" spans="1:16" x14ac:dyDescent="0.3">
      <c r="A2203" s="5">
        <v>84</v>
      </c>
      <c r="B2203" s="5" t="s">
        <v>129</v>
      </c>
      <c r="C2203" s="5">
        <v>11</v>
      </c>
      <c r="D2203" s="5" t="s">
        <v>83</v>
      </c>
      <c r="E2203" s="5">
        <v>2024</v>
      </c>
      <c r="F2203" s="5">
        <v>4</v>
      </c>
      <c r="G2203" s="5" t="s">
        <v>61</v>
      </c>
      <c r="H2203" s="5">
        <v>3765515</v>
      </c>
      <c r="I2203" s="5">
        <v>3228300.46</v>
      </c>
      <c r="J2203" s="5">
        <v>65</v>
      </c>
      <c r="K2203" s="5">
        <v>410172</v>
      </c>
      <c r="L2203" s="5">
        <v>4167370</v>
      </c>
      <c r="M2203" s="5">
        <v>537214.54</v>
      </c>
      <c r="N2203" s="5">
        <v>0.14269999999999999</v>
      </c>
      <c r="O2203" s="5">
        <v>2</v>
      </c>
      <c r="P2203" s="5">
        <v>91679</v>
      </c>
    </row>
    <row r="2204" spans="1:16" x14ac:dyDescent="0.3">
      <c r="A2204" s="5">
        <v>84</v>
      </c>
      <c r="B2204" s="5" t="s">
        <v>129</v>
      </c>
      <c r="C2204" s="5">
        <v>11</v>
      </c>
      <c r="D2204" s="5" t="s">
        <v>83</v>
      </c>
      <c r="E2204" s="5">
        <v>2024</v>
      </c>
      <c r="F2204" s="5">
        <v>5</v>
      </c>
      <c r="G2204" s="5" t="s">
        <v>62</v>
      </c>
      <c r="H2204" s="5">
        <v>4054470</v>
      </c>
      <c r="I2204" s="5">
        <v>3590020.7</v>
      </c>
      <c r="J2204" s="5">
        <v>67</v>
      </c>
      <c r="K2204" s="5">
        <v>518745</v>
      </c>
      <c r="L2204" s="5">
        <v>4566140</v>
      </c>
      <c r="M2204" s="5">
        <v>464449.3</v>
      </c>
      <c r="N2204" s="5">
        <v>0.11459999999999999</v>
      </c>
      <c r="O2204" s="5">
        <v>7</v>
      </c>
      <c r="P2204" s="5">
        <v>99603</v>
      </c>
    </row>
    <row r="2205" spans="1:16" x14ac:dyDescent="0.3">
      <c r="A2205" s="5">
        <v>84</v>
      </c>
      <c r="B2205" s="5" t="s">
        <v>129</v>
      </c>
      <c r="C2205" s="5">
        <v>11</v>
      </c>
      <c r="D2205" s="5" t="s">
        <v>83</v>
      </c>
      <c r="E2205" s="5">
        <v>2024</v>
      </c>
      <c r="F2205" s="5">
        <v>6</v>
      </c>
      <c r="G2205" s="5" t="s">
        <v>63</v>
      </c>
      <c r="H2205" s="5">
        <v>3627359</v>
      </c>
      <c r="I2205" s="5">
        <v>3149780.59</v>
      </c>
      <c r="J2205" s="5">
        <v>49</v>
      </c>
      <c r="K2205" s="5">
        <v>446359</v>
      </c>
      <c r="L2205" s="5">
        <v>4064630</v>
      </c>
      <c r="M2205" s="5">
        <v>477578.41</v>
      </c>
      <c r="N2205" s="5">
        <v>0.13170000000000001</v>
      </c>
      <c r="O2205" s="5">
        <v>7</v>
      </c>
      <c r="P2205" s="5">
        <v>237032</v>
      </c>
    </row>
    <row r="2206" spans="1:16" x14ac:dyDescent="0.3">
      <c r="A2206" s="5">
        <v>84</v>
      </c>
      <c r="B2206" s="5" t="s">
        <v>129</v>
      </c>
      <c r="C2206" s="5">
        <v>11</v>
      </c>
      <c r="D2206" s="5" t="s">
        <v>83</v>
      </c>
      <c r="E2206" s="5">
        <v>2024</v>
      </c>
      <c r="F2206" s="5">
        <v>7</v>
      </c>
      <c r="G2206" s="5" t="s">
        <v>64</v>
      </c>
      <c r="H2206" s="5">
        <v>4805097</v>
      </c>
      <c r="I2206" s="5">
        <v>4157520.64</v>
      </c>
      <c r="J2206" s="5">
        <v>60</v>
      </c>
      <c r="K2206" s="5">
        <v>431049</v>
      </c>
      <c r="L2206" s="5">
        <v>5219040</v>
      </c>
      <c r="M2206" s="5">
        <v>647576.36</v>
      </c>
      <c r="N2206" s="5">
        <v>0.1348</v>
      </c>
      <c r="O2206" s="5">
        <v>6</v>
      </c>
      <c r="P2206" s="5">
        <v>104237</v>
      </c>
    </row>
    <row r="2207" spans="1:16" x14ac:dyDescent="0.3">
      <c r="A2207" s="5">
        <v>84</v>
      </c>
      <c r="B2207" s="5" t="s">
        <v>129</v>
      </c>
      <c r="C2207" s="5">
        <v>11</v>
      </c>
      <c r="D2207" s="5" t="s">
        <v>83</v>
      </c>
      <c r="E2207" s="5">
        <v>2024</v>
      </c>
      <c r="F2207" s="5">
        <v>8</v>
      </c>
      <c r="G2207" s="5" t="s">
        <v>65</v>
      </c>
      <c r="H2207" s="5">
        <v>3403386</v>
      </c>
      <c r="I2207" s="5">
        <v>2857552.43</v>
      </c>
      <c r="J2207" s="5">
        <v>58</v>
      </c>
      <c r="K2207" s="5">
        <v>312030</v>
      </c>
      <c r="L2207" s="5">
        <v>3702280</v>
      </c>
      <c r="M2207" s="5">
        <v>545833.56999999995</v>
      </c>
      <c r="N2207" s="5">
        <v>0.16039999999999999</v>
      </c>
      <c r="O2207" s="5">
        <v>8</v>
      </c>
      <c r="P2207" s="5">
        <v>304073</v>
      </c>
    </row>
    <row r="2208" spans="1:16" x14ac:dyDescent="0.3">
      <c r="A2208" s="5">
        <v>84</v>
      </c>
      <c r="B2208" s="5" t="s">
        <v>129</v>
      </c>
      <c r="C2208" s="5">
        <v>11</v>
      </c>
      <c r="D2208" s="5" t="s">
        <v>83</v>
      </c>
      <c r="E2208" s="5">
        <v>2024</v>
      </c>
      <c r="F2208" s="5">
        <v>9</v>
      </c>
      <c r="G2208" s="5" t="s">
        <v>66</v>
      </c>
      <c r="H2208" s="5">
        <v>4455836</v>
      </c>
      <c r="I2208" s="5">
        <v>3604980.93</v>
      </c>
      <c r="J2208" s="5">
        <v>71</v>
      </c>
      <c r="K2208" s="5">
        <v>293519</v>
      </c>
      <c r="L2208" s="5">
        <v>4727420</v>
      </c>
      <c r="M2208" s="5">
        <v>850855.07</v>
      </c>
      <c r="N2208" s="5">
        <v>0.191</v>
      </c>
      <c r="O2208" s="5">
        <v>4</v>
      </c>
      <c r="P2208" s="5">
        <v>82117</v>
      </c>
    </row>
    <row r="2209" spans="1:16" x14ac:dyDescent="0.3">
      <c r="A2209" s="5">
        <v>84</v>
      </c>
      <c r="B2209" s="5" t="s">
        <v>129</v>
      </c>
      <c r="C2209" s="5">
        <v>11</v>
      </c>
      <c r="D2209" s="5" t="s">
        <v>83</v>
      </c>
      <c r="E2209" s="5">
        <v>2024</v>
      </c>
      <c r="F2209" s="5">
        <v>10</v>
      </c>
      <c r="G2209" s="5" t="s">
        <v>67</v>
      </c>
      <c r="H2209" s="5">
        <v>6820849</v>
      </c>
      <c r="I2209" s="5">
        <v>5599968.9699999997</v>
      </c>
      <c r="J2209" s="5">
        <v>81</v>
      </c>
      <c r="K2209" s="5">
        <v>297579</v>
      </c>
      <c r="L2209" s="5">
        <v>7103000</v>
      </c>
      <c r="M2209" s="5">
        <v>1220880.03</v>
      </c>
      <c r="N2209" s="5">
        <v>0.17899999999999999</v>
      </c>
      <c r="O2209" s="5">
        <v>7</v>
      </c>
      <c r="P2209" s="5">
        <v>390368</v>
      </c>
    </row>
    <row r="2210" spans="1:16" x14ac:dyDescent="0.3">
      <c r="A2210" s="5">
        <v>84</v>
      </c>
      <c r="B2210" s="5" t="s">
        <v>129</v>
      </c>
      <c r="C2210" s="5">
        <v>11</v>
      </c>
      <c r="D2210" s="5" t="s">
        <v>83</v>
      </c>
      <c r="E2210" s="5">
        <v>2024</v>
      </c>
      <c r="F2210" s="5">
        <v>11</v>
      </c>
      <c r="G2210" s="5" t="s">
        <v>68</v>
      </c>
      <c r="H2210" s="5">
        <v>5421679</v>
      </c>
      <c r="I2210" s="5">
        <v>4616524.53</v>
      </c>
      <c r="J2210" s="5">
        <v>70</v>
      </c>
      <c r="K2210" s="5">
        <v>487690</v>
      </c>
      <c r="L2210" s="5">
        <v>5887650</v>
      </c>
      <c r="M2210" s="5">
        <v>805154.47</v>
      </c>
      <c r="N2210" s="5">
        <v>0.14849999999999999</v>
      </c>
      <c r="O2210" s="5">
        <v>3</v>
      </c>
      <c r="P2210" s="5">
        <v>79858</v>
      </c>
    </row>
    <row r="2211" spans="1:16" x14ac:dyDescent="0.3">
      <c r="A2211" s="5">
        <v>84</v>
      </c>
      <c r="B2211" s="5" t="s">
        <v>129</v>
      </c>
      <c r="C2211" s="5">
        <v>11</v>
      </c>
      <c r="D2211" s="5" t="s">
        <v>83</v>
      </c>
      <c r="E2211" s="5">
        <v>2024</v>
      </c>
      <c r="F2211" s="5">
        <v>12</v>
      </c>
      <c r="G2211" s="5" t="s">
        <v>69</v>
      </c>
      <c r="H2211" s="5">
        <v>4372121</v>
      </c>
      <c r="I2211" s="5">
        <v>3445714.37</v>
      </c>
      <c r="J2211" s="5">
        <v>73</v>
      </c>
      <c r="K2211" s="5">
        <v>152831</v>
      </c>
      <c r="L2211" s="5">
        <v>4517250</v>
      </c>
      <c r="M2211" s="5">
        <v>926406.63</v>
      </c>
      <c r="N2211" s="5">
        <v>0.21190000000000001</v>
      </c>
      <c r="O2211" s="5">
        <v>10</v>
      </c>
      <c r="P2211" s="5">
        <v>388932</v>
      </c>
    </row>
    <row r="2212" spans="1:16" x14ac:dyDescent="0.3">
      <c r="A2212" s="5">
        <v>16</v>
      </c>
      <c r="B2212" s="5" t="s">
        <v>130</v>
      </c>
      <c r="C2212" s="5">
        <v>11</v>
      </c>
      <c r="D2212" s="5" t="s">
        <v>83</v>
      </c>
      <c r="E2212" s="5">
        <v>2021</v>
      </c>
      <c r="F2212" s="5">
        <v>1</v>
      </c>
      <c r="G2212" s="5" t="s">
        <v>22</v>
      </c>
      <c r="H2212" s="5">
        <v>2412830</v>
      </c>
      <c r="I2212" s="5">
        <v>2123856.46</v>
      </c>
      <c r="J2212" s="5">
        <v>33</v>
      </c>
      <c r="K2212" s="5">
        <v>329162</v>
      </c>
      <c r="L2212" s="5">
        <v>2734630</v>
      </c>
      <c r="M2212" s="5">
        <v>288973.53999999998</v>
      </c>
      <c r="N2212" s="5">
        <v>0.1198</v>
      </c>
      <c r="O2212" s="5">
        <v>1</v>
      </c>
      <c r="P2212" s="5">
        <v>35118</v>
      </c>
    </row>
    <row r="2213" spans="1:16" x14ac:dyDescent="0.3">
      <c r="A2213" s="5">
        <v>16</v>
      </c>
      <c r="B2213" s="5" t="s">
        <v>130</v>
      </c>
      <c r="C2213" s="5">
        <v>11</v>
      </c>
      <c r="D2213" s="5" t="s">
        <v>83</v>
      </c>
      <c r="E2213" s="5">
        <v>2021</v>
      </c>
      <c r="F2213" s="5">
        <v>2</v>
      </c>
      <c r="G2213" s="5" t="s">
        <v>23</v>
      </c>
      <c r="H2213" s="5">
        <v>1901441</v>
      </c>
      <c r="I2213" s="5">
        <v>1824404.18</v>
      </c>
      <c r="J2213" s="5">
        <v>27</v>
      </c>
      <c r="K2213" s="5">
        <v>389767</v>
      </c>
      <c r="L2213" s="5">
        <v>2289230</v>
      </c>
      <c r="M2213" s="5">
        <v>77036.820000000007</v>
      </c>
      <c r="N2213" s="5">
        <v>4.0500000000000001E-2</v>
      </c>
      <c r="O2213" s="5">
        <v>2</v>
      </c>
      <c r="P2213" s="5">
        <v>58249</v>
      </c>
    </row>
    <row r="2214" spans="1:16" x14ac:dyDescent="0.3">
      <c r="A2214" s="5">
        <v>16</v>
      </c>
      <c r="B2214" s="5" t="s">
        <v>130</v>
      </c>
      <c r="C2214" s="5">
        <v>11</v>
      </c>
      <c r="D2214" s="5" t="s">
        <v>83</v>
      </c>
      <c r="E2214" s="5">
        <v>2021</v>
      </c>
      <c r="F2214" s="5">
        <v>3</v>
      </c>
      <c r="G2214" s="5" t="s">
        <v>24</v>
      </c>
      <c r="H2214" s="5">
        <v>2761575</v>
      </c>
      <c r="I2214" s="5">
        <v>2240323.52</v>
      </c>
      <c r="J2214" s="5">
        <v>44</v>
      </c>
      <c r="K2214" s="5">
        <v>169841</v>
      </c>
      <c r="L2214" s="5">
        <v>2922660</v>
      </c>
      <c r="M2214" s="5">
        <v>521251.48</v>
      </c>
      <c r="N2214" s="5">
        <v>0.1888</v>
      </c>
      <c r="O2214" s="5">
        <v>2</v>
      </c>
      <c r="P2214" s="5">
        <v>25494</v>
      </c>
    </row>
    <row r="2215" spans="1:16" x14ac:dyDescent="0.3">
      <c r="A2215" s="5">
        <v>16</v>
      </c>
      <c r="B2215" s="5" t="s">
        <v>130</v>
      </c>
      <c r="C2215" s="5">
        <v>11</v>
      </c>
      <c r="D2215" s="5" t="s">
        <v>83</v>
      </c>
      <c r="E2215" s="5">
        <v>2021</v>
      </c>
      <c r="F2215" s="5">
        <v>4</v>
      </c>
      <c r="G2215" s="5" t="s">
        <v>25</v>
      </c>
      <c r="H2215" s="5">
        <v>1569694</v>
      </c>
      <c r="I2215" s="5">
        <v>1319120.3799999999</v>
      </c>
      <c r="J2215" s="5">
        <v>41</v>
      </c>
      <c r="K2215" s="5">
        <v>180719</v>
      </c>
      <c r="L2215" s="5">
        <v>1744640</v>
      </c>
      <c r="M2215" s="5">
        <v>250573.62</v>
      </c>
      <c r="N2215" s="5">
        <v>0.15959999999999999</v>
      </c>
      <c r="O2215" s="5">
        <v>2</v>
      </c>
      <c r="P2215" s="5">
        <v>59292</v>
      </c>
    </row>
    <row r="2216" spans="1:16" x14ac:dyDescent="0.3">
      <c r="A2216" s="5">
        <v>16</v>
      </c>
      <c r="B2216" s="5" t="s">
        <v>130</v>
      </c>
      <c r="C2216" s="5">
        <v>11</v>
      </c>
      <c r="D2216" s="5" t="s">
        <v>83</v>
      </c>
      <c r="E2216" s="5">
        <v>2021</v>
      </c>
      <c r="F2216" s="5">
        <v>5</v>
      </c>
      <c r="G2216" s="5" t="s">
        <v>26</v>
      </c>
      <c r="H2216" s="5">
        <v>3103650</v>
      </c>
      <c r="I2216" s="5">
        <v>2918129.13</v>
      </c>
      <c r="J2216" s="5">
        <v>60</v>
      </c>
      <c r="K2216" s="5">
        <v>708372</v>
      </c>
      <c r="L2216" s="5">
        <v>3803170</v>
      </c>
      <c r="M2216" s="5">
        <v>185520.87</v>
      </c>
      <c r="N2216" s="5">
        <v>5.9799999999999999E-2</v>
      </c>
      <c r="O2216" s="5">
        <v>3</v>
      </c>
      <c r="P2216" s="5">
        <v>301768</v>
      </c>
    </row>
    <row r="2217" spans="1:16" x14ac:dyDescent="0.3">
      <c r="A2217" s="5">
        <v>16</v>
      </c>
      <c r="B2217" s="5" t="s">
        <v>130</v>
      </c>
      <c r="C2217" s="5">
        <v>11</v>
      </c>
      <c r="D2217" s="5" t="s">
        <v>83</v>
      </c>
      <c r="E2217" s="5">
        <v>2021</v>
      </c>
      <c r="F2217" s="5">
        <v>6</v>
      </c>
      <c r="G2217" s="5" t="s">
        <v>27</v>
      </c>
      <c r="H2217" s="5">
        <v>3359113</v>
      </c>
      <c r="I2217" s="5">
        <v>2846119.09</v>
      </c>
      <c r="J2217" s="5">
        <v>49</v>
      </c>
      <c r="K2217" s="5">
        <v>288396</v>
      </c>
      <c r="L2217" s="5">
        <v>3635560</v>
      </c>
      <c r="M2217" s="5">
        <v>512993.91</v>
      </c>
      <c r="N2217" s="5">
        <v>0.1527</v>
      </c>
      <c r="O2217" s="5">
        <v>1</v>
      </c>
      <c r="P2217" s="5">
        <v>124640</v>
      </c>
    </row>
    <row r="2218" spans="1:16" x14ac:dyDescent="0.3">
      <c r="A2218" s="5">
        <v>16</v>
      </c>
      <c r="B2218" s="5" t="s">
        <v>130</v>
      </c>
      <c r="C2218" s="5">
        <v>11</v>
      </c>
      <c r="D2218" s="5" t="s">
        <v>83</v>
      </c>
      <c r="E2218" s="5">
        <v>2021</v>
      </c>
      <c r="F2218" s="5">
        <v>7</v>
      </c>
      <c r="G2218" s="5" t="s">
        <v>28</v>
      </c>
      <c r="H2218" s="5">
        <v>2072009</v>
      </c>
      <c r="I2218" s="5">
        <v>1810215.07</v>
      </c>
      <c r="J2218" s="5">
        <v>42</v>
      </c>
      <c r="K2218" s="5">
        <v>315854</v>
      </c>
      <c r="L2218" s="5">
        <v>2382490</v>
      </c>
      <c r="M2218" s="5">
        <v>261793.93</v>
      </c>
      <c r="N2218" s="5">
        <v>0.1263</v>
      </c>
      <c r="O2218" s="5">
        <v>3</v>
      </c>
      <c r="P2218" s="5">
        <v>100134</v>
      </c>
    </row>
    <row r="2219" spans="1:16" x14ac:dyDescent="0.3">
      <c r="A2219" s="5">
        <v>16</v>
      </c>
      <c r="B2219" s="5" t="s">
        <v>130</v>
      </c>
      <c r="C2219" s="5">
        <v>11</v>
      </c>
      <c r="D2219" s="5" t="s">
        <v>83</v>
      </c>
      <c r="E2219" s="5">
        <v>2021</v>
      </c>
      <c r="F2219" s="5">
        <v>8</v>
      </c>
      <c r="G2219" s="5" t="s">
        <v>29</v>
      </c>
      <c r="H2219" s="5">
        <v>2771118</v>
      </c>
      <c r="I2219" s="5">
        <v>2360903.94</v>
      </c>
      <c r="J2219" s="5">
        <v>44</v>
      </c>
      <c r="K2219" s="5">
        <v>278274</v>
      </c>
      <c r="L2219" s="5">
        <v>3036720</v>
      </c>
      <c r="M2219" s="5">
        <v>410214.06</v>
      </c>
      <c r="N2219" s="5">
        <v>0.14799999999999999</v>
      </c>
      <c r="O2219" s="5">
        <v>6</v>
      </c>
      <c r="P2219" s="5">
        <v>598597</v>
      </c>
    </row>
    <row r="2220" spans="1:16" x14ac:dyDescent="0.3">
      <c r="A2220" s="5">
        <v>16</v>
      </c>
      <c r="B2220" s="5" t="s">
        <v>130</v>
      </c>
      <c r="C2220" s="5">
        <v>11</v>
      </c>
      <c r="D2220" s="5" t="s">
        <v>83</v>
      </c>
      <c r="E2220" s="5">
        <v>2021</v>
      </c>
      <c r="F2220" s="5">
        <v>9</v>
      </c>
      <c r="G2220" s="5" t="s">
        <v>30</v>
      </c>
      <c r="H2220" s="5">
        <v>3386529</v>
      </c>
      <c r="I2220" s="5">
        <v>2946205.65</v>
      </c>
      <c r="J2220" s="5">
        <v>50</v>
      </c>
      <c r="K2220" s="5">
        <v>365371</v>
      </c>
      <c r="L2220" s="5">
        <v>3741350</v>
      </c>
      <c r="M2220" s="5">
        <v>440323.35</v>
      </c>
      <c r="N2220" s="5">
        <v>0.13</v>
      </c>
      <c r="O2220" s="5">
        <v>2</v>
      </c>
      <c r="P2220" s="5">
        <v>169824</v>
      </c>
    </row>
    <row r="2221" spans="1:16" x14ac:dyDescent="0.3">
      <c r="A2221" s="5">
        <v>16</v>
      </c>
      <c r="B2221" s="5" t="s">
        <v>130</v>
      </c>
      <c r="C2221" s="5">
        <v>11</v>
      </c>
      <c r="D2221" s="5" t="s">
        <v>83</v>
      </c>
      <c r="E2221" s="5">
        <v>2021</v>
      </c>
      <c r="F2221" s="5">
        <v>10</v>
      </c>
      <c r="G2221" s="5" t="s">
        <v>31</v>
      </c>
      <c r="H2221" s="5">
        <v>5339228</v>
      </c>
      <c r="I2221" s="5">
        <v>4498371.41</v>
      </c>
      <c r="J2221" s="5">
        <v>76</v>
      </c>
      <c r="K2221" s="5">
        <v>467146</v>
      </c>
      <c r="L2221" s="5">
        <v>5779360</v>
      </c>
      <c r="M2221" s="5">
        <v>840856.59</v>
      </c>
      <c r="N2221" s="5">
        <v>0.1575</v>
      </c>
      <c r="O2221" s="5">
        <v>4</v>
      </c>
      <c r="P2221" s="5">
        <v>175931</v>
      </c>
    </row>
    <row r="2222" spans="1:16" x14ac:dyDescent="0.3">
      <c r="A2222" s="5">
        <v>16</v>
      </c>
      <c r="B2222" s="5" t="s">
        <v>130</v>
      </c>
      <c r="C2222" s="5">
        <v>11</v>
      </c>
      <c r="D2222" s="5" t="s">
        <v>83</v>
      </c>
      <c r="E2222" s="5">
        <v>2021</v>
      </c>
      <c r="F2222" s="5">
        <v>11</v>
      </c>
      <c r="G2222" s="5" t="s">
        <v>32</v>
      </c>
      <c r="H2222" s="5">
        <v>5416412</v>
      </c>
      <c r="I2222" s="5">
        <v>4463609.1900000004</v>
      </c>
      <c r="J2222" s="5">
        <v>73</v>
      </c>
      <c r="K2222" s="5">
        <v>381050</v>
      </c>
      <c r="L2222" s="5">
        <v>5770960</v>
      </c>
      <c r="M2222" s="5">
        <v>952802.81</v>
      </c>
      <c r="N2222" s="5">
        <v>0.1759</v>
      </c>
      <c r="O2222" s="5">
        <v>6</v>
      </c>
      <c r="P2222" s="5">
        <v>91220</v>
      </c>
    </row>
    <row r="2223" spans="1:16" x14ac:dyDescent="0.3">
      <c r="A2223" s="5">
        <v>16</v>
      </c>
      <c r="B2223" s="5" t="s">
        <v>130</v>
      </c>
      <c r="C2223" s="5">
        <v>11</v>
      </c>
      <c r="D2223" s="5" t="s">
        <v>83</v>
      </c>
      <c r="E2223" s="5">
        <v>2021</v>
      </c>
      <c r="F2223" s="5">
        <v>12</v>
      </c>
      <c r="G2223" s="5" t="s">
        <v>33</v>
      </c>
      <c r="H2223" s="5">
        <v>4290871</v>
      </c>
      <c r="I2223" s="5">
        <v>3488721.8</v>
      </c>
      <c r="J2223" s="5">
        <v>72</v>
      </c>
      <c r="K2223" s="5">
        <v>327744</v>
      </c>
      <c r="L2223" s="5">
        <v>4592860</v>
      </c>
      <c r="M2223" s="5">
        <v>802149.2</v>
      </c>
      <c r="N2223" s="5">
        <v>0.18690000000000001</v>
      </c>
      <c r="O2223" s="5">
        <v>9</v>
      </c>
      <c r="P2223" s="5">
        <v>247159</v>
      </c>
    </row>
    <row r="2224" spans="1:16" x14ac:dyDescent="0.3">
      <c r="A2224" s="5">
        <v>16</v>
      </c>
      <c r="B2224" s="5" t="s">
        <v>130</v>
      </c>
      <c r="C2224" s="5">
        <v>11</v>
      </c>
      <c r="D2224" s="5" t="s">
        <v>83</v>
      </c>
      <c r="E2224" s="5">
        <v>2022</v>
      </c>
      <c r="F2224" s="5">
        <v>1</v>
      </c>
      <c r="G2224" s="5" t="s">
        <v>34</v>
      </c>
      <c r="H2224" s="5">
        <v>5472592</v>
      </c>
      <c r="I2224" s="5">
        <v>4440157.25</v>
      </c>
      <c r="J2224" s="5">
        <v>67</v>
      </c>
      <c r="K2224" s="5">
        <v>278713</v>
      </c>
      <c r="L2224" s="5">
        <v>5726630</v>
      </c>
      <c r="M2224" s="5">
        <v>1032434.75</v>
      </c>
      <c r="N2224" s="5">
        <v>0.18870000000000001</v>
      </c>
      <c r="O2224" s="5">
        <v>4</v>
      </c>
      <c r="P2224" s="5">
        <v>176283</v>
      </c>
    </row>
    <row r="2225" spans="1:16" x14ac:dyDescent="0.3">
      <c r="A2225" s="5">
        <v>16</v>
      </c>
      <c r="B2225" s="5" t="s">
        <v>130</v>
      </c>
      <c r="C2225" s="5">
        <v>11</v>
      </c>
      <c r="D2225" s="5" t="s">
        <v>83</v>
      </c>
      <c r="E2225" s="5">
        <v>2022</v>
      </c>
      <c r="F2225" s="5">
        <v>2</v>
      </c>
      <c r="G2225" s="5" t="s">
        <v>35</v>
      </c>
      <c r="H2225" s="5">
        <v>2400100</v>
      </c>
      <c r="I2225" s="5">
        <v>1903389.53</v>
      </c>
      <c r="J2225" s="5">
        <v>41</v>
      </c>
      <c r="K2225" s="5">
        <v>137905</v>
      </c>
      <c r="L2225" s="5">
        <v>2533390</v>
      </c>
      <c r="M2225" s="5">
        <v>496710.47</v>
      </c>
      <c r="N2225" s="5">
        <v>0.20699999999999999</v>
      </c>
      <c r="O2225" s="5">
        <v>4</v>
      </c>
      <c r="P2225" s="5">
        <v>89364</v>
      </c>
    </row>
    <row r="2226" spans="1:16" x14ac:dyDescent="0.3">
      <c r="A2226" s="5">
        <v>16</v>
      </c>
      <c r="B2226" s="5" t="s">
        <v>130</v>
      </c>
      <c r="C2226" s="5">
        <v>11</v>
      </c>
      <c r="D2226" s="5" t="s">
        <v>83</v>
      </c>
      <c r="E2226" s="5">
        <v>2022</v>
      </c>
      <c r="F2226" s="5">
        <v>3</v>
      </c>
      <c r="G2226" s="5" t="s">
        <v>36</v>
      </c>
      <c r="H2226" s="5">
        <v>4075390</v>
      </c>
      <c r="I2226" s="5">
        <v>3330113.39</v>
      </c>
      <c r="J2226" s="5">
        <v>66</v>
      </c>
      <c r="K2226" s="5">
        <v>292583</v>
      </c>
      <c r="L2226" s="5">
        <v>4348050</v>
      </c>
      <c r="M2226" s="5">
        <v>745276.61</v>
      </c>
      <c r="N2226" s="5">
        <v>0.18290000000000001</v>
      </c>
      <c r="O2226" s="5">
        <v>4</v>
      </c>
      <c r="P2226" s="5">
        <v>135118</v>
      </c>
    </row>
    <row r="2227" spans="1:16" x14ac:dyDescent="0.3">
      <c r="A2227" s="5">
        <v>16</v>
      </c>
      <c r="B2227" s="5" t="s">
        <v>130</v>
      </c>
      <c r="C2227" s="5">
        <v>11</v>
      </c>
      <c r="D2227" s="5" t="s">
        <v>83</v>
      </c>
      <c r="E2227" s="5">
        <v>2022</v>
      </c>
      <c r="F2227" s="5">
        <v>4</v>
      </c>
      <c r="G2227" s="5" t="s">
        <v>37</v>
      </c>
      <c r="H2227" s="5">
        <v>5406761</v>
      </c>
      <c r="I2227" s="5">
        <v>4756188.43</v>
      </c>
      <c r="J2227" s="5">
        <v>75</v>
      </c>
      <c r="K2227" s="5">
        <v>703835</v>
      </c>
      <c r="L2227" s="5">
        <v>6094220</v>
      </c>
      <c r="M2227" s="5">
        <v>650572.56999999995</v>
      </c>
      <c r="N2227" s="5">
        <v>0.1203</v>
      </c>
      <c r="O2227" s="5">
        <v>4</v>
      </c>
      <c r="P2227" s="5">
        <v>243876</v>
      </c>
    </row>
    <row r="2228" spans="1:16" x14ac:dyDescent="0.3">
      <c r="A2228" s="5">
        <v>16</v>
      </c>
      <c r="B2228" s="5" t="s">
        <v>130</v>
      </c>
      <c r="C2228" s="5">
        <v>11</v>
      </c>
      <c r="D2228" s="5" t="s">
        <v>83</v>
      </c>
      <c r="E2228" s="5">
        <v>2022</v>
      </c>
      <c r="F2228" s="5">
        <v>5</v>
      </c>
      <c r="G2228" s="5" t="s">
        <v>38</v>
      </c>
      <c r="H2228" s="5">
        <v>4785861</v>
      </c>
      <c r="I2228" s="5">
        <v>4312434.55</v>
      </c>
      <c r="J2228" s="5">
        <v>66</v>
      </c>
      <c r="K2228" s="5">
        <v>779192</v>
      </c>
      <c r="L2228" s="5">
        <v>5548840</v>
      </c>
      <c r="M2228" s="5">
        <v>473426.45</v>
      </c>
      <c r="N2228" s="5">
        <v>9.8900000000000002E-2</v>
      </c>
      <c r="O2228" s="5">
        <v>7</v>
      </c>
      <c r="P2228" s="5">
        <v>346775</v>
      </c>
    </row>
    <row r="2229" spans="1:16" x14ac:dyDescent="0.3">
      <c r="A2229" s="5">
        <v>16</v>
      </c>
      <c r="B2229" s="5" t="s">
        <v>130</v>
      </c>
      <c r="C2229" s="5">
        <v>11</v>
      </c>
      <c r="D2229" s="5" t="s">
        <v>83</v>
      </c>
      <c r="E2229" s="5">
        <v>2022</v>
      </c>
      <c r="F2229" s="5">
        <v>6</v>
      </c>
      <c r="G2229" s="5" t="s">
        <v>39</v>
      </c>
      <c r="H2229" s="5">
        <v>5212202</v>
      </c>
      <c r="I2229" s="5">
        <v>4411253.04</v>
      </c>
      <c r="J2229" s="5">
        <v>73</v>
      </c>
      <c r="K2229" s="5">
        <v>523314</v>
      </c>
      <c r="L2229" s="5">
        <v>5715060</v>
      </c>
      <c r="M2229" s="5">
        <v>800948.96</v>
      </c>
      <c r="N2229" s="5">
        <v>0.1537</v>
      </c>
      <c r="O2229" s="5">
        <v>6</v>
      </c>
      <c r="P2229" s="5">
        <v>234614</v>
      </c>
    </row>
    <row r="2230" spans="1:16" x14ac:dyDescent="0.3">
      <c r="A2230" s="5">
        <v>16</v>
      </c>
      <c r="B2230" s="5" t="s">
        <v>130</v>
      </c>
      <c r="C2230" s="5">
        <v>11</v>
      </c>
      <c r="D2230" s="5" t="s">
        <v>83</v>
      </c>
      <c r="E2230" s="5">
        <v>2022</v>
      </c>
      <c r="F2230" s="5">
        <v>7</v>
      </c>
      <c r="G2230" s="5" t="s">
        <v>40</v>
      </c>
      <c r="H2230" s="5">
        <v>4963866</v>
      </c>
      <c r="I2230" s="5">
        <v>4305631.82</v>
      </c>
      <c r="J2230" s="5">
        <v>79</v>
      </c>
      <c r="K2230" s="5">
        <v>672473</v>
      </c>
      <c r="L2230" s="5">
        <v>5626590</v>
      </c>
      <c r="M2230" s="5">
        <v>658234.18000000005</v>
      </c>
      <c r="N2230" s="5">
        <v>0.1326</v>
      </c>
      <c r="O2230" s="5">
        <v>9</v>
      </c>
      <c r="P2230" s="5">
        <v>174230</v>
      </c>
    </row>
    <row r="2231" spans="1:16" x14ac:dyDescent="0.3">
      <c r="A2231" s="5">
        <v>16</v>
      </c>
      <c r="B2231" s="5" t="s">
        <v>130</v>
      </c>
      <c r="C2231" s="5">
        <v>11</v>
      </c>
      <c r="D2231" s="5" t="s">
        <v>83</v>
      </c>
      <c r="E2231" s="5">
        <v>2022</v>
      </c>
      <c r="F2231" s="5">
        <v>8</v>
      </c>
      <c r="G2231" s="5" t="s">
        <v>41</v>
      </c>
      <c r="H2231" s="5">
        <v>4409322</v>
      </c>
      <c r="I2231" s="5">
        <v>4477453.04</v>
      </c>
      <c r="J2231" s="5">
        <v>73</v>
      </c>
      <c r="K2231" s="5">
        <v>1440213</v>
      </c>
      <c r="L2231" s="5">
        <v>5841440</v>
      </c>
      <c r="M2231" s="5">
        <v>-68131.039999999994</v>
      </c>
      <c r="N2231" s="5">
        <v>-1.55E-2</v>
      </c>
      <c r="O2231" s="5">
        <v>3</v>
      </c>
      <c r="P2231" s="5">
        <v>42038</v>
      </c>
    </row>
    <row r="2232" spans="1:16" x14ac:dyDescent="0.3">
      <c r="A2232" s="5">
        <v>16</v>
      </c>
      <c r="B2232" s="5" t="s">
        <v>130</v>
      </c>
      <c r="C2232" s="5">
        <v>11</v>
      </c>
      <c r="D2232" s="5" t="s">
        <v>83</v>
      </c>
      <c r="E2232" s="5">
        <v>2022</v>
      </c>
      <c r="F2232" s="5">
        <v>9</v>
      </c>
      <c r="G2232" s="5" t="s">
        <v>42</v>
      </c>
      <c r="H2232" s="5">
        <v>4984896</v>
      </c>
      <c r="I2232" s="5">
        <v>4304552.04</v>
      </c>
      <c r="J2232" s="5">
        <v>68</v>
      </c>
      <c r="K2232" s="5">
        <v>485483</v>
      </c>
      <c r="L2232" s="5">
        <v>5439730</v>
      </c>
      <c r="M2232" s="5">
        <v>680343.96</v>
      </c>
      <c r="N2232" s="5">
        <v>0.13650000000000001</v>
      </c>
      <c r="O2232" s="5">
        <v>4</v>
      </c>
      <c r="P2232" s="5">
        <v>158402</v>
      </c>
    </row>
    <row r="2233" spans="1:16" x14ac:dyDescent="0.3">
      <c r="A2233" s="5">
        <v>16</v>
      </c>
      <c r="B2233" s="5" t="s">
        <v>130</v>
      </c>
      <c r="C2233" s="5">
        <v>11</v>
      </c>
      <c r="D2233" s="5" t="s">
        <v>83</v>
      </c>
      <c r="E2233" s="5">
        <v>2022</v>
      </c>
      <c r="F2233" s="5">
        <v>10</v>
      </c>
      <c r="G2233" s="5" t="s">
        <v>43</v>
      </c>
      <c r="H2233" s="5">
        <v>5997882</v>
      </c>
      <c r="I2233" s="5">
        <v>5669895.6600000001</v>
      </c>
      <c r="J2233" s="5">
        <v>105</v>
      </c>
      <c r="K2233" s="5">
        <v>1186958</v>
      </c>
      <c r="L2233" s="5">
        <v>7170530</v>
      </c>
      <c r="M2233" s="5">
        <v>327986.34000000003</v>
      </c>
      <c r="N2233" s="5">
        <v>5.4699999999999999E-2</v>
      </c>
      <c r="O2233" s="5">
        <v>7</v>
      </c>
      <c r="P2233" s="5">
        <v>102167</v>
      </c>
    </row>
    <row r="2234" spans="1:16" x14ac:dyDescent="0.3">
      <c r="A2234" s="5">
        <v>16</v>
      </c>
      <c r="B2234" s="5" t="s">
        <v>130</v>
      </c>
      <c r="C2234" s="5">
        <v>11</v>
      </c>
      <c r="D2234" s="5" t="s">
        <v>83</v>
      </c>
      <c r="E2234" s="5">
        <v>2022</v>
      </c>
      <c r="F2234" s="5">
        <v>11</v>
      </c>
      <c r="G2234" s="5" t="s">
        <v>44</v>
      </c>
      <c r="H2234" s="5">
        <v>5829555</v>
      </c>
      <c r="I2234" s="5">
        <v>4802276.3600000003</v>
      </c>
      <c r="J2234" s="5">
        <v>97</v>
      </c>
      <c r="K2234" s="5">
        <v>470071</v>
      </c>
      <c r="L2234" s="5">
        <v>6279570</v>
      </c>
      <c r="M2234" s="5">
        <v>1027278.64</v>
      </c>
      <c r="N2234" s="5">
        <v>0.1762</v>
      </c>
      <c r="O2234" s="5">
        <v>4</v>
      </c>
      <c r="P2234" s="5">
        <v>151510</v>
      </c>
    </row>
    <row r="2235" spans="1:16" x14ac:dyDescent="0.3">
      <c r="A2235" s="5">
        <v>16</v>
      </c>
      <c r="B2235" s="5" t="s">
        <v>130</v>
      </c>
      <c r="C2235" s="5">
        <v>11</v>
      </c>
      <c r="D2235" s="5" t="s">
        <v>83</v>
      </c>
      <c r="E2235" s="5">
        <v>2022</v>
      </c>
      <c r="F2235" s="5">
        <v>12</v>
      </c>
      <c r="G2235" s="5" t="s">
        <v>45</v>
      </c>
      <c r="H2235" s="5">
        <v>6905970</v>
      </c>
      <c r="I2235" s="5">
        <v>5707152.8099999996</v>
      </c>
      <c r="J2235" s="5">
        <v>95</v>
      </c>
      <c r="K2235" s="5">
        <v>478531</v>
      </c>
      <c r="L2235" s="5">
        <v>7356490</v>
      </c>
      <c r="M2235" s="5">
        <v>1198817.19</v>
      </c>
      <c r="N2235" s="5">
        <v>0.1736</v>
      </c>
      <c r="O2235" s="5">
        <v>7</v>
      </c>
      <c r="P2235" s="5">
        <v>177905</v>
      </c>
    </row>
    <row r="2236" spans="1:16" x14ac:dyDescent="0.3">
      <c r="A2236" s="5">
        <v>16</v>
      </c>
      <c r="B2236" s="5" t="s">
        <v>130</v>
      </c>
      <c r="C2236" s="5">
        <v>11</v>
      </c>
      <c r="D2236" s="5" t="s">
        <v>83</v>
      </c>
      <c r="E2236" s="5">
        <v>2023</v>
      </c>
      <c r="F2236" s="5">
        <v>1</v>
      </c>
      <c r="G2236" s="5" t="s">
        <v>46</v>
      </c>
      <c r="H2236" s="5">
        <v>5888191</v>
      </c>
      <c r="I2236" s="5">
        <v>5229213.51</v>
      </c>
      <c r="J2236" s="5">
        <v>76</v>
      </c>
      <c r="K2236" s="5">
        <v>762138</v>
      </c>
      <c r="L2236" s="5">
        <v>6630980</v>
      </c>
      <c r="M2236" s="5">
        <v>658977.49</v>
      </c>
      <c r="N2236" s="5">
        <v>0.1119</v>
      </c>
      <c r="O2236" s="5">
        <v>3</v>
      </c>
      <c r="P2236" s="5">
        <v>13450</v>
      </c>
    </row>
    <row r="2237" spans="1:16" x14ac:dyDescent="0.3">
      <c r="A2237" s="5">
        <v>16</v>
      </c>
      <c r="B2237" s="5" t="s">
        <v>130</v>
      </c>
      <c r="C2237" s="5">
        <v>11</v>
      </c>
      <c r="D2237" s="5" t="s">
        <v>83</v>
      </c>
      <c r="E2237" s="5">
        <v>2023</v>
      </c>
      <c r="F2237" s="5">
        <v>2</v>
      </c>
      <c r="G2237" s="5" t="s">
        <v>47</v>
      </c>
      <c r="H2237" s="5">
        <v>4138967</v>
      </c>
      <c r="I2237" s="5">
        <v>3513100.37</v>
      </c>
      <c r="J2237" s="5">
        <v>67</v>
      </c>
      <c r="K2237" s="5">
        <v>430104</v>
      </c>
      <c r="L2237" s="5">
        <v>4552900</v>
      </c>
      <c r="M2237" s="5">
        <v>625866.63</v>
      </c>
      <c r="N2237" s="5">
        <v>0.1512</v>
      </c>
      <c r="O2237" s="5">
        <v>2</v>
      </c>
      <c r="P2237" s="5">
        <v>33942</v>
      </c>
    </row>
    <row r="2238" spans="1:16" x14ac:dyDescent="0.3">
      <c r="A2238" s="5">
        <v>16</v>
      </c>
      <c r="B2238" s="5" t="s">
        <v>130</v>
      </c>
      <c r="C2238" s="5">
        <v>11</v>
      </c>
      <c r="D2238" s="5" t="s">
        <v>83</v>
      </c>
      <c r="E2238" s="5">
        <v>2023</v>
      </c>
      <c r="F2238" s="5">
        <v>3</v>
      </c>
      <c r="G2238" s="5" t="s">
        <v>48</v>
      </c>
      <c r="H2238" s="5">
        <v>6002314</v>
      </c>
      <c r="I2238" s="5">
        <v>5272709.78</v>
      </c>
      <c r="J2238" s="5">
        <v>76</v>
      </c>
      <c r="K2238" s="5">
        <v>719148</v>
      </c>
      <c r="L2238" s="5">
        <v>6695400</v>
      </c>
      <c r="M2238" s="5">
        <v>729604.22</v>
      </c>
      <c r="N2238" s="5">
        <v>0.1216</v>
      </c>
      <c r="O2238" s="5">
        <v>10</v>
      </c>
      <c r="P2238" s="5">
        <v>325643</v>
      </c>
    </row>
    <row r="2239" spans="1:16" x14ac:dyDescent="0.3">
      <c r="A2239" s="5">
        <v>16</v>
      </c>
      <c r="B2239" s="5" t="s">
        <v>130</v>
      </c>
      <c r="C2239" s="5">
        <v>11</v>
      </c>
      <c r="D2239" s="5" t="s">
        <v>83</v>
      </c>
      <c r="E2239" s="5">
        <v>2023</v>
      </c>
      <c r="F2239" s="5">
        <v>4</v>
      </c>
      <c r="G2239" s="5" t="s">
        <v>49</v>
      </c>
      <c r="H2239" s="5">
        <v>4622634</v>
      </c>
      <c r="I2239" s="5">
        <v>4027807</v>
      </c>
      <c r="J2239" s="5">
        <v>87</v>
      </c>
      <c r="K2239" s="5">
        <v>619372</v>
      </c>
      <c r="L2239" s="5">
        <v>5228380</v>
      </c>
      <c r="M2239" s="5">
        <v>594827</v>
      </c>
      <c r="N2239" s="5">
        <v>0.12870000000000001</v>
      </c>
      <c r="O2239" s="5">
        <v>4</v>
      </c>
      <c r="P2239" s="5">
        <v>68507</v>
      </c>
    </row>
    <row r="2240" spans="1:16" x14ac:dyDescent="0.3">
      <c r="A2240" s="5">
        <v>16</v>
      </c>
      <c r="B2240" s="5" t="s">
        <v>130</v>
      </c>
      <c r="C2240" s="5">
        <v>11</v>
      </c>
      <c r="D2240" s="5" t="s">
        <v>83</v>
      </c>
      <c r="E2240" s="5">
        <v>2023</v>
      </c>
      <c r="F2240" s="5">
        <v>5</v>
      </c>
      <c r="G2240" s="5" t="s">
        <v>50</v>
      </c>
      <c r="H2240" s="5">
        <v>4683753</v>
      </c>
      <c r="I2240" s="5">
        <v>4103687.1</v>
      </c>
      <c r="J2240" s="5">
        <v>86</v>
      </c>
      <c r="K2240" s="5">
        <v>678510</v>
      </c>
      <c r="L2240" s="5">
        <v>5351800</v>
      </c>
      <c r="M2240" s="5">
        <v>580065.9</v>
      </c>
      <c r="N2240" s="5">
        <v>0.12379999999999999</v>
      </c>
      <c r="O2240" s="5">
        <v>8</v>
      </c>
      <c r="P2240" s="5">
        <v>125299</v>
      </c>
    </row>
    <row r="2241" spans="1:16" x14ac:dyDescent="0.3">
      <c r="A2241" s="5">
        <v>16</v>
      </c>
      <c r="B2241" s="5" t="s">
        <v>130</v>
      </c>
      <c r="C2241" s="5">
        <v>11</v>
      </c>
      <c r="D2241" s="5" t="s">
        <v>83</v>
      </c>
      <c r="E2241" s="5">
        <v>2023</v>
      </c>
      <c r="F2241" s="5">
        <v>6</v>
      </c>
      <c r="G2241" s="5" t="s">
        <v>51</v>
      </c>
      <c r="H2241" s="5">
        <v>5245044</v>
      </c>
      <c r="I2241" s="5">
        <v>4519401.91</v>
      </c>
      <c r="J2241" s="5">
        <v>84</v>
      </c>
      <c r="K2241" s="5">
        <v>588184</v>
      </c>
      <c r="L2241" s="5">
        <v>5815970</v>
      </c>
      <c r="M2241" s="5">
        <v>725642.09</v>
      </c>
      <c r="N2241" s="5">
        <v>0.13830000000000001</v>
      </c>
      <c r="O2241" s="5">
        <v>8</v>
      </c>
      <c r="P2241" s="5">
        <v>189888</v>
      </c>
    </row>
    <row r="2242" spans="1:16" x14ac:dyDescent="0.3">
      <c r="A2242" s="5">
        <v>16</v>
      </c>
      <c r="B2242" s="5" t="s">
        <v>130</v>
      </c>
      <c r="C2242" s="5">
        <v>11</v>
      </c>
      <c r="D2242" s="5" t="s">
        <v>83</v>
      </c>
      <c r="E2242" s="5">
        <v>2023</v>
      </c>
      <c r="F2242" s="5">
        <v>7</v>
      </c>
      <c r="G2242" s="5" t="s">
        <v>52</v>
      </c>
      <c r="H2242" s="5">
        <v>3001217</v>
      </c>
      <c r="I2242" s="5">
        <v>2715586.51</v>
      </c>
      <c r="J2242" s="5">
        <v>57</v>
      </c>
      <c r="K2242" s="5">
        <v>501050</v>
      </c>
      <c r="L2242" s="5">
        <v>3493950</v>
      </c>
      <c r="M2242" s="5">
        <v>285630.49</v>
      </c>
      <c r="N2242" s="5">
        <v>9.5200000000000007E-2</v>
      </c>
      <c r="O2242" s="5">
        <v>5</v>
      </c>
      <c r="P2242" s="5">
        <v>35357</v>
      </c>
    </row>
    <row r="2243" spans="1:16" x14ac:dyDescent="0.3">
      <c r="A2243" s="5">
        <v>16</v>
      </c>
      <c r="B2243" s="5" t="s">
        <v>130</v>
      </c>
      <c r="C2243" s="5">
        <v>11</v>
      </c>
      <c r="D2243" s="5" t="s">
        <v>83</v>
      </c>
      <c r="E2243" s="5">
        <v>2023</v>
      </c>
      <c r="F2243" s="5">
        <v>8</v>
      </c>
      <c r="G2243" s="5" t="s">
        <v>53</v>
      </c>
      <c r="H2243" s="5">
        <v>4595185</v>
      </c>
      <c r="I2243" s="5">
        <v>3845805.08</v>
      </c>
      <c r="J2243" s="5">
        <v>93</v>
      </c>
      <c r="K2243" s="5">
        <v>497178</v>
      </c>
      <c r="L2243" s="5">
        <v>5076370</v>
      </c>
      <c r="M2243" s="5">
        <v>749379.92</v>
      </c>
      <c r="N2243" s="5">
        <v>0.16309999999999999</v>
      </c>
      <c r="O2243" s="5">
        <v>5</v>
      </c>
      <c r="P2243" s="5">
        <v>289998</v>
      </c>
    </row>
    <row r="2244" spans="1:16" x14ac:dyDescent="0.3">
      <c r="A2244" s="5">
        <v>16</v>
      </c>
      <c r="B2244" s="5" t="s">
        <v>130</v>
      </c>
      <c r="C2244" s="5">
        <v>11</v>
      </c>
      <c r="D2244" s="5" t="s">
        <v>83</v>
      </c>
      <c r="E2244" s="5">
        <v>2023</v>
      </c>
      <c r="F2244" s="5">
        <v>9</v>
      </c>
      <c r="G2244" s="5" t="s">
        <v>54</v>
      </c>
      <c r="H2244" s="5">
        <v>6382877</v>
      </c>
      <c r="I2244" s="5">
        <v>5747202.1600000001</v>
      </c>
      <c r="J2244" s="5">
        <v>104</v>
      </c>
      <c r="K2244" s="5">
        <v>985907</v>
      </c>
      <c r="L2244" s="5">
        <v>7351170</v>
      </c>
      <c r="M2244" s="5">
        <v>635674.84</v>
      </c>
      <c r="N2244" s="5">
        <v>9.9599999999999994E-2</v>
      </c>
      <c r="O2244" s="5">
        <v>7</v>
      </c>
      <c r="P2244" s="5">
        <v>197200</v>
      </c>
    </row>
    <row r="2245" spans="1:16" x14ac:dyDescent="0.3">
      <c r="A2245" s="5">
        <v>16</v>
      </c>
      <c r="B2245" s="5" t="s">
        <v>130</v>
      </c>
      <c r="C2245" s="5">
        <v>11</v>
      </c>
      <c r="D2245" s="5" t="s">
        <v>83</v>
      </c>
      <c r="E2245" s="5">
        <v>2023</v>
      </c>
      <c r="F2245" s="5">
        <v>10</v>
      </c>
      <c r="G2245" s="5" t="s">
        <v>55</v>
      </c>
      <c r="H2245" s="5">
        <v>6136379</v>
      </c>
      <c r="I2245" s="5">
        <v>5257136.66</v>
      </c>
      <c r="J2245" s="5">
        <v>122</v>
      </c>
      <c r="K2245" s="5">
        <v>689742</v>
      </c>
      <c r="L2245" s="5">
        <v>6805840</v>
      </c>
      <c r="M2245" s="5">
        <v>879242.34</v>
      </c>
      <c r="N2245" s="5">
        <v>0.14330000000000001</v>
      </c>
      <c r="O2245" s="5">
        <v>7</v>
      </c>
      <c r="P2245" s="5">
        <v>186066</v>
      </c>
    </row>
    <row r="2246" spans="1:16" x14ac:dyDescent="0.3">
      <c r="A2246" s="5">
        <v>16</v>
      </c>
      <c r="B2246" s="5" t="s">
        <v>130</v>
      </c>
      <c r="C2246" s="5">
        <v>11</v>
      </c>
      <c r="D2246" s="5" t="s">
        <v>83</v>
      </c>
      <c r="E2246" s="5">
        <v>2023</v>
      </c>
      <c r="F2246" s="5">
        <v>11</v>
      </c>
      <c r="G2246" s="5" t="s">
        <v>56</v>
      </c>
      <c r="H2246" s="5">
        <v>6403108</v>
      </c>
      <c r="I2246" s="5">
        <v>5623984.8200000003</v>
      </c>
      <c r="J2246" s="5">
        <v>122</v>
      </c>
      <c r="K2246" s="5">
        <v>896038</v>
      </c>
      <c r="L2246" s="5">
        <v>7277360</v>
      </c>
      <c r="M2246" s="5">
        <v>779123.18</v>
      </c>
      <c r="N2246" s="5">
        <v>0.1217</v>
      </c>
      <c r="O2246" s="5">
        <v>9</v>
      </c>
      <c r="P2246" s="5">
        <v>217769</v>
      </c>
    </row>
    <row r="2247" spans="1:16" x14ac:dyDescent="0.3">
      <c r="A2247" s="5">
        <v>16</v>
      </c>
      <c r="B2247" s="5" t="s">
        <v>130</v>
      </c>
      <c r="C2247" s="5">
        <v>11</v>
      </c>
      <c r="D2247" s="5" t="s">
        <v>83</v>
      </c>
      <c r="E2247" s="5">
        <v>2023</v>
      </c>
      <c r="F2247" s="5">
        <v>12</v>
      </c>
      <c r="G2247" s="5" t="s">
        <v>57</v>
      </c>
      <c r="H2247" s="5">
        <v>8816045</v>
      </c>
      <c r="I2247" s="5">
        <v>7900729.3300000001</v>
      </c>
      <c r="J2247" s="5">
        <v>137</v>
      </c>
      <c r="K2247" s="5">
        <v>1316580</v>
      </c>
      <c r="L2247" s="5">
        <v>10103540</v>
      </c>
      <c r="M2247" s="5">
        <v>915315.67</v>
      </c>
      <c r="N2247" s="5">
        <v>0.1038</v>
      </c>
      <c r="O2247" s="5">
        <v>6</v>
      </c>
      <c r="P2247" s="5">
        <v>116093</v>
      </c>
    </row>
    <row r="2248" spans="1:16" x14ac:dyDescent="0.3">
      <c r="A2248" s="5">
        <v>16</v>
      </c>
      <c r="B2248" s="5" t="s">
        <v>130</v>
      </c>
      <c r="C2248" s="5">
        <v>11</v>
      </c>
      <c r="D2248" s="5" t="s">
        <v>83</v>
      </c>
      <c r="E2248" s="5">
        <v>2024</v>
      </c>
      <c r="F2248" s="5">
        <v>1</v>
      </c>
      <c r="G2248" s="5" t="s">
        <v>58</v>
      </c>
      <c r="H2248" s="5">
        <v>6405042</v>
      </c>
      <c r="I2248" s="5">
        <v>5728981.5599999996</v>
      </c>
      <c r="J2248" s="5">
        <v>86</v>
      </c>
      <c r="K2248" s="5">
        <v>895922</v>
      </c>
      <c r="L2248" s="5">
        <v>7272060</v>
      </c>
      <c r="M2248" s="5">
        <v>676060.44</v>
      </c>
      <c r="N2248" s="5">
        <v>0.1056</v>
      </c>
      <c r="O2248" s="5">
        <v>11</v>
      </c>
      <c r="P2248" s="5">
        <v>597649</v>
      </c>
    </row>
    <row r="2249" spans="1:16" x14ac:dyDescent="0.3">
      <c r="A2249" s="5">
        <v>16</v>
      </c>
      <c r="B2249" s="5" t="s">
        <v>130</v>
      </c>
      <c r="C2249" s="5">
        <v>11</v>
      </c>
      <c r="D2249" s="5" t="s">
        <v>83</v>
      </c>
      <c r="E2249" s="5">
        <v>2024</v>
      </c>
      <c r="F2249" s="5">
        <v>2</v>
      </c>
      <c r="G2249" s="5" t="s">
        <v>59</v>
      </c>
      <c r="H2249" s="5">
        <v>5695040</v>
      </c>
      <c r="I2249" s="5">
        <v>4832649.4000000004</v>
      </c>
      <c r="J2249" s="5">
        <v>73</v>
      </c>
      <c r="K2249" s="5">
        <v>625381</v>
      </c>
      <c r="L2249" s="5">
        <v>6293720</v>
      </c>
      <c r="M2249" s="5">
        <v>862390.6</v>
      </c>
      <c r="N2249" s="5">
        <v>0.15140000000000001</v>
      </c>
      <c r="O2249" s="5">
        <v>8</v>
      </c>
      <c r="P2249" s="5">
        <v>367179</v>
      </c>
    </row>
    <row r="2250" spans="1:16" x14ac:dyDescent="0.3">
      <c r="A2250" s="5">
        <v>16</v>
      </c>
      <c r="B2250" s="5" t="s">
        <v>130</v>
      </c>
      <c r="C2250" s="5">
        <v>11</v>
      </c>
      <c r="D2250" s="5" t="s">
        <v>83</v>
      </c>
      <c r="E2250" s="5">
        <v>2024</v>
      </c>
      <c r="F2250" s="5">
        <v>3</v>
      </c>
      <c r="G2250" s="5" t="s">
        <v>60</v>
      </c>
      <c r="H2250" s="5">
        <v>6441146</v>
      </c>
      <c r="I2250" s="5">
        <v>5624635.25</v>
      </c>
      <c r="J2250" s="5">
        <v>104</v>
      </c>
      <c r="K2250" s="5">
        <v>823265</v>
      </c>
      <c r="L2250" s="5">
        <v>7242000</v>
      </c>
      <c r="M2250" s="5">
        <v>816510.75</v>
      </c>
      <c r="N2250" s="5">
        <v>0.1268</v>
      </c>
      <c r="O2250" s="5">
        <v>7</v>
      </c>
      <c r="P2250" s="5">
        <v>237091</v>
      </c>
    </row>
    <row r="2251" spans="1:16" x14ac:dyDescent="0.3">
      <c r="A2251" s="5">
        <v>16</v>
      </c>
      <c r="B2251" s="5" t="s">
        <v>130</v>
      </c>
      <c r="C2251" s="5">
        <v>11</v>
      </c>
      <c r="D2251" s="5" t="s">
        <v>83</v>
      </c>
      <c r="E2251" s="5">
        <v>2024</v>
      </c>
      <c r="F2251" s="5">
        <v>4</v>
      </c>
      <c r="G2251" s="5" t="s">
        <v>61</v>
      </c>
      <c r="H2251" s="5">
        <v>7436741</v>
      </c>
      <c r="I2251" s="5">
        <v>6476681.8799999999</v>
      </c>
      <c r="J2251" s="5">
        <v>95</v>
      </c>
      <c r="K2251" s="5">
        <v>824692</v>
      </c>
      <c r="L2251" s="5">
        <v>8233030</v>
      </c>
      <c r="M2251" s="5">
        <v>960059.12</v>
      </c>
      <c r="N2251" s="5">
        <v>0.12909999999999999</v>
      </c>
      <c r="O2251" s="5">
        <v>7</v>
      </c>
      <c r="P2251" s="5">
        <v>141932</v>
      </c>
    </row>
    <row r="2252" spans="1:16" x14ac:dyDescent="0.3">
      <c r="A2252" s="5">
        <v>16</v>
      </c>
      <c r="B2252" s="5" t="s">
        <v>130</v>
      </c>
      <c r="C2252" s="5">
        <v>11</v>
      </c>
      <c r="D2252" s="5" t="s">
        <v>83</v>
      </c>
      <c r="E2252" s="5">
        <v>2024</v>
      </c>
      <c r="F2252" s="5">
        <v>5</v>
      </c>
      <c r="G2252" s="5" t="s">
        <v>62</v>
      </c>
      <c r="H2252" s="5">
        <v>6659049</v>
      </c>
      <c r="I2252" s="5">
        <v>5792748.9400000004</v>
      </c>
      <c r="J2252" s="5">
        <v>100</v>
      </c>
      <c r="K2252" s="5">
        <v>899251</v>
      </c>
      <c r="L2252" s="5">
        <v>7530260</v>
      </c>
      <c r="M2252" s="5">
        <v>866300.06</v>
      </c>
      <c r="N2252" s="5">
        <v>0.13009999999999999</v>
      </c>
      <c r="O2252" s="5">
        <v>15</v>
      </c>
      <c r="P2252" s="5">
        <v>422485</v>
      </c>
    </row>
    <row r="2253" spans="1:16" x14ac:dyDescent="0.3">
      <c r="A2253" s="5">
        <v>16</v>
      </c>
      <c r="B2253" s="5" t="s">
        <v>130</v>
      </c>
      <c r="C2253" s="5">
        <v>11</v>
      </c>
      <c r="D2253" s="5" t="s">
        <v>83</v>
      </c>
      <c r="E2253" s="5">
        <v>2024</v>
      </c>
      <c r="F2253" s="5">
        <v>6</v>
      </c>
      <c r="G2253" s="5" t="s">
        <v>63</v>
      </c>
      <c r="H2253" s="5">
        <v>7566083</v>
      </c>
      <c r="I2253" s="5">
        <v>6320225.6399999997</v>
      </c>
      <c r="J2253" s="5">
        <v>120</v>
      </c>
      <c r="K2253" s="5">
        <v>692823</v>
      </c>
      <c r="L2253" s="5">
        <v>8240670</v>
      </c>
      <c r="M2253" s="5">
        <v>1245857.3600000001</v>
      </c>
      <c r="N2253" s="5">
        <v>0.16470000000000001</v>
      </c>
      <c r="O2253" s="5">
        <v>15</v>
      </c>
      <c r="P2253" s="5">
        <v>418336</v>
      </c>
    </row>
    <row r="2254" spans="1:16" x14ac:dyDescent="0.3">
      <c r="A2254" s="5">
        <v>16</v>
      </c>
      <c r="B2254" s="5" t="s">
        <v>130</v>
      </c>
      <c r="C2254" s="5">
        <v>11</v>
      </c>
      <c r="D2254" s="5" t="s">
        <v>83</v>
      </c>
      <c r="E2254" s="5">
        <v>2024</v>
      </c>
      <c r="F2254" s="5">
        <v>7</v>
      </c>
      <c r="G2254" s="5" t="s">
        <v>64</v>
      </c>
      <c r="H2254" s="5">
        <v>5739715</v>
      </c>
      <c r="I2254" s="5">
        <v>4915148.97</v>
      </c>
      <c r="J2254" s="5">
        <v>99</v>
      </c>
      <c r="K2254" s="5">
        <v>591774</v>
      </c>
      <c r="L2254" s="5">
        <v>6309610</v>
      </c>
      <c r="M2254" s="5">
        <v>824566.03</v>
      </c>
      <c r="N2254" s="5">
        <v>0.14369999999999999</v>
      </c>
      <c r="O2254" s="5">
        <v>9</v>
      </c>
      <c r="P2254" s="5">
        <v>292410</v>
      </c>
    </row>
    <row r="2255" spans="1:16" x14ac:dyDescent="0.3">
      <c r="A2255" s="5">
        <v>16</v>
      </c>
      <c r="B2255" s="5" t="s">
        <v>130</v>
      </c>
      <c r="C2255" s="5">
        <v>11</v>
      </c>
      <c r="D2255" s="5" t="s">
        <v>83</v>
      </c>
      <c r="E2255" s="5">
        <v>2024</v>
      </c>
      <c r="F2255" s="5">
        <v>8</v>
      </c>
      <c r="G2255" s="5" t="s">
        <v>65</v>
      </c>
      <c r="H2255" s="5">
        <v>6921117</v>
      </c>
      <c r="I2255" s="5">
        <v>5961133.5899999999</v>
      </c>
      <c r="J2255" s="5">
        <v>101</v>
      </c>
      <c r="K2255" s="5">
        <v>735393</v>
      </c>
      <c r="L2255" s="5">
        <v>7634300</v>
      </c>
      <c r="M2255" s="5">
        <v>959983.41</v>
      </c>
      <c r="N2255" s="5">
        <v>0.13869999999999999</v>
      </c>
      <c r="O2255" s="5">
        <v>10</v>
      </c>
      <c r="P2255" s="5">
        <v>275639</v>
      </c>
    </row>
    <row r="2256" spans="1:16" x14ac:dyDescent="0.3">
      <c r="A2256" s="5">
        <v>16</v>
      </c>
      <c r="B2256" s="5" t="s">
        <v>130</v>
      </c>
      <c r="C2256" s="5">
        <v>11</v>
      </c>
      <c r="D2256" s="5" t="s">
        <v>83</v>
      </c>
      <c r="E2256" s="5">
        <v>2024</v>
      </c>
      <c r="F2256" s="5">
        <v>9</v>
      </c>
      <c r="G2256" s="5" t="s">
        <v>66</v>
      </c>
      <c r="H2256" s="5">
        <v>8373086</v>
      </c>
      <c r="I2256" s="5">
        <v>6830235.3399999999</v>
      </c>
      <c r="J2256" s="5">
        <v>125</v>
      </c>
      <c r="K2256" s="5">
        <v>523334</v>
      </c>
      <c r="L2256" s="5">
        <v>8876990</v>
      </c>
      <c r="M2256" s="5">
        <v>1542850.66</v>
      </c>
      <c r="N2256" s="5">
        <v>0.18429999999999999</v>
      </c>
      <c r="O2256" s="5">
        <v>12</v>
      </c>
      <c r="P2256" s="5">
        <v>456086</v>
      </c>
    </row>
    <row r="2257" spans="1:16" x14ac:dyDescent="0.3">
      <c r="A2257" s="5">
        <v>16</v>
      </c>
      <c r="B2257" s="5" t="s">
        <v>130</v>
      </c>
      <c r="C2257" s="5">
        <v>11</v>
      </c>
      <c r="D2257" s="5" t="s">
        <v>83</v>
      </c>
      <c r="E2257" s="5">
        <v>2024</v>
      </c>
      <c r="F2257" s="5">
        <v>10</v>
      </c>
      <c r="G2257" s="5" t="s">
        <v>67</v>
      </c>
      <c r="H2257" s="5">
        <v>9743284</v>
      </c>
      <c r="I2257" s="5">
        <v>7861825.3300000001</v>
      </c>
      <c r="J2257" s="5">
        <v>135</v>
      </c>
      <c r="K2257" s="5">
        <v>357867</v>
      </c>
      <c r="L2257" s="5">
        <v>10061080</v>
      </c>
      <c r="M2257" s="5">
        <v>1881458.67</v>
      </c>
      <c r="N2257" s="5">
        <v>0.19309999999999999</v>
      </c>
      <c r="O2257" s="5">
        <v>20</v>
      </c>
      <c r="P2257" s="5">
        <v>572387</v>
      </c>
    </row>
    <row r="2258" spans="1:16" x14ac:dyDescent="0.3">
      <c r="A2258" s="5">
        <v>16</v>
      </c>
      <c r="B2258" s="5" t="s">
        <v>130</v>
      </c>
      <c r="C2258" s="5">
        <v>11</v>
      </c>
      <c r="D2258" s="5" t="s">
        <v>83</v>
      </c>
      <c r="E2258" s="5">
        <v>2024</v>
      </c>
      <c r="F2258" s="5">
        <v>11</v>
      </c>
      <c r="G2258" s="5" t="s">
        <v>68</v>
      </c>
      <c r="H2258" s="5">
        <v>9427184</v>
      </c>
      <c r="I2258" s="5">
        <v>7811487.46</v>
      </c>
      <c r="J2258" s="5">
        <v>138</v>
      </c>
      <c r="K2258" s="5">
        <v>757480</v>
      </c>
      <c r="L2258" s="5">
        <v>10150840</v>
      </c>
      <c r="M2258" s="5">
        <v>1615696.54</v>
      </c>
      <c r="N2258" s="5">
        <v>0.1714</v>
      </c>
      <c r="O2258" s="5">
        <v>9</v>
      </c>
      <c r="P2258" s="5">
        <v>445174</v>
      </c>
    </row>
    <row r="2259" spans="1:16" x14ac:dyDescent="0.3">
      <c r="A2259" s="5">
        <v>16</v>
      </c>
      <c r="B2259" s="5" t="s">
        <v>130</v>
      </c>
      <c r="C2259" s="5">
        <v>11</v>
      </c>
      <c r="D2259" s="5" t="s">
        <v>83</v>
      </c>
      <c r="E2259" s="5">
        <v>2024</v>
      </c>
      <c r="F2259" s="5">
        <v>12</v>
      </c>
      <c r="G2259" s="5" t="s">
        <v>69</v>
      </c>
      <c r="H2259" s="5">
        <v>6968610</v>
      </c>
      <c r="I2259" s="5">
        <v>5521281.8499999996</v>
      </c>
      <c r="J2259" s="5">
        <v>108</v>
      </c>
      <c r="K2259" s="5">
        <v>284282</v>
      </c>
      <c r="L2259" s="5">
        <v>7238010</v>
      </c>
      <c r="M2259" s="5">
        <v>1447328.15</v>
      </c>
      <c r="N2259" s="5">
        <v>0.2077</v>
      </c>
      <c r="O2259" s="5">
        <v>7</v>
      </c>
      <c r="P2259" s="5">
        <v>448211</v>
      </c>
    </row>
    <row r="2260" spans="1:16" x14ac:dyDescent="0.3">
      <c r="A2260" s="5">
        <v>75</v>
      </c>
      <c r="B2260" s="5" t="s">
        <v>131</v>
      </c>
      <c r="C2260" s="5">
        <v>11</v>
      </c>
      <c r="D2260" s="5" t="s">
        <v>83</v>
      </c>
      <c r="E2260" s="5">
        <v>2021</v>
      </c>
      <c r="F2260" s="5">
        <v>1</v>
      </c>
      <c r="G2260" s="5" t="s">
        <v>22</v>
      </c>
      <c r="H2260" s="5">
        <v>1382594</v>
      </c>
      <c r="I2260" s="5">
        <v>1215889.6499999999</v>
      </c>
      <c r="J2260" s="5">
        <v>20</v>
      </c>
      <c r="K2260" s="5">
        <v>194472</v>
      </c>
      <c r="L2260" s="5">
        <v>1569680</v>
      </c>
      <c r="M2260" s="5">
        <v>166704.35</v>
      </c>
      <c r="N2260" s="5">
        <v>0.1206</v>
      </c>
      <c r="O2260" s="5">
        <v>2</v>
      </c>
      <c r="P2260" s="5">
        <v>79305</v>
      </c>
    </row>
    <row r="2261" spans="1:16" x14ac:dyDescent="0.3">
      <c r="A2261" s="5">
        <v>75</v>
      </c>
      <c r="B2261" s="5" t="s">
        <v>131</v>
      </c>
      <c r="C2261" s="5">
        <v>11</v>
      </c>
      <c r="D2261" s="5" t="s">
        <v>83</v>
      </c>
      <c r="E2261" s="5">
        <v>2021</v>
      </c>
      <c r="F2261" s="5">
        <v>2</v>
      </c>
      <c r="G2261" s="5" t="s">
        <v>23</v>
      </c>
      <c r="H2261" s="5">
        <v>880517</v>
      </c>
      <c r="I2261" s="5">
        <v>770379.55</v>
      </c>
      <c r="J2261" s="5">
        <v>15</v>
      </c>
      <c r="K2261" s="5">
        <v>141599</v>
      </c>
      <c r="L2261" s="5">
        <v>1017730</v>
      </c>
      <c r="M2261" s="5">
        <v>110137.45</v>
      </c>
      <c r="N2261" s="5">
        <v>0.12509999999999999</v>
      </c>
      <c r="O2261" s="5">
        <v>1</v>
      </c>
      <c r="P2261" s="5">
        <v>138059</v>
      </c>
    </row>
    <row r="2262" spans="1:16" x14ac:dyDescent="0.3">
      <c r="A2262" s="5">
        <v>75</v>
      </c>
      <c r="B2262" s="5" t="s">
        <v>131</v>
      </c>
      <c r="C2262" s="5">
        <v>11</v>
      </c>
      <c r="D2262" s="5" t="s">
        <v>83</v>
      </c>
      <c r="E2262" s="5">
        <v>2021</v>
      </c>
      <c r="F2262" s="5">
        <v>3</v>
      </c>
      <c r="G2262" s="5" t="s">
        <v>24</v>
      </c>
      <c r="H2262" s="5">
        <v>888782</v>
      </c>
      <c r="I2262" s="5">
        <v>708281.56</v>
      </c>
      <c r="J2262" s="5">
        <v>18</v>
      </c>
      <c r="K2262" s="5">
        <v>30995</v>
      </c>
      <c r="L2262" s="5">
        <v>918410</v>
      </c>
      <c r="M2262" s="5">
        <v>180500.44</v>
      </c>
      <c r="N2262" s="5">
        <v>0.2031</v>
      </c>
      <c r="O2262" s="5">
        <v>4</v>
      </c>
      <c r="P2262" s="5">
        <v>232238</v>
      </c>
    </row>
    <row r="2263" spans="1:16" x14ac:dyDescent="0.3">
      <c r="A2263" s="5">
        <v>75</v>
      </c>
      <c r="B2263" s="5" t="s">
        <v>131</v>
      </c>
      <c r="C2263" s="5">
        <v>11</v>
      </c>
      <c r="D2263" s="5" t="s">
        <v>83</v>
      </c>
      <c r="E2263" s="5">
        <v>2021</v>
      </c>
      <c r="F2263" s="5">
        <v>4</v>
      </c>
      <c r="G2263" s="5" t="s">
        <v>25</v>
      </c>
      <c r="H2263" s="5">
        <v>1113673</v>
      </c>
      <c r="I2263" s="5">
        <v>882768.75</v>
      </c>
      <c r="J2263" s="5">
        <v>17</v>
      </c>
      <c r="K2263" s="5">
        <v>23786</v>
      </c>
      <c r="L2263" s="5">
        <v>1127800</v>
      </c>
      <c r="M2263" s="5">
        <v>230904.25</v>
      </c>
      <c r="N2263" s="5">
        <v>0.20730000000000001</v>
      </c>
      <c r="O2263" s="5">
        <v>1</v>
      </c>
      <c r="P2263" s="5">
        <v>4448</v>
      </c>
    </row>
    <row r="2264" spans="1:16" x14ac:dyDescent="0.3">
      <c r="A2264" s="5">
        <v>75</v>
      </c>
      <c r="B2264" s="5" t="s">
        <v>131</v>
      </c>
      <c r="C2264" s="5">
        <v>11</v>
      </c>
      <c r="D2264" s="5" t="s">
        <v>83</v>
      </c>
      <c r="E2264" s="5">
        <v>2021</v>
      </c>
      <c r="F2264" s="5">
        <v>5</v>
      </c>
      <c r="G2264" s="5" t="s">
        <v>26</v>
      </c>
      <c r="H2264" s="5">
        <v>2035851</v>
      </c>
      <c r="I2264" s="5">
        <v>1719747.75</v>
      </c>
      <c r="J2264" s="5">
        <v>19</v>
      </c>
      <c r="K2264" s="5">
        <v>235283</v>
      </c>
      <c r="L2264" s="5">
        <v>2268450</v>
      </c>
      <c r="M2264" s="5">
        <v>316103.25</v>
      </c>
      <c r="N2264" s="5">
        <v>0.15529999999999999</v>
      </c>
      <c r="O2264" s="5">
        <v>0</v>
      </c>
      <c r="P2264" s="5">
        <v>0</v>
      </c>
    </row>
    <row r="2265" spans="1:16" x14ac:dyDescent="0.3">
      <c r="A2265" s="5">
        <v>75</v>
      </c>
      <c r="B2265" s="5" t="s">
        <v>131</v>
      </c>
      <c r="C2265" s="5">
        <v>11</v>
      </c>
      <c r="D2265" s="5" t="s">
        <v>83</v>
      </c>
      <c r="E2265" s="5">
        <v>2021</v>
      </c>
      <c r="F2265" s="5">
        <v>6</v>
      </c>
      <c r="G2265" s="5" t="s">
        <v>27</v>
      </c>
      <c r="H2265" s="5">
        <v>1304538</v>
      </c>
      <c r="I2265" s="5">
        <v>1061351.26</v>
      </c>
      <c r="J2265" s="5">
        <v>18</v>
      </c>
      <c r="K2265" s="5">
        <v>39484</v>
      </c>
      <c r="L2265" s="5">
        <v>1339770</v>
      </c>
      <c r="M2265" s="5">
        <v>243186.74</v>
      </c>
      <c r="N2265" s="5">
        <v>0.18640000000000001</v>
      </c>
      <c r="O2265" s="5">
        <v>2</v>
      </c>
      <c r="P2265" s="5">
        <v>4368</v>
      </c>
    </row>
    <row r="2266" spans="1:16" x14ac:dyDescent="0.3">
      <c r="A2266" s="5">
        <v>75</v>
      </c>
      <c r="B2266" s="5" t="s">
        <v>131</v>
      </c>
      <c r="C2266" s="5">
        <v>11</v>
      </c>
      <c r="D2266" s="5" t="s">
        <v>83</v>
      </c>
      <c r="E2266" s="5">
        <v>2021</v>
      </c>
      <c r="F2266" s="5">
        <v>7</v>
      </c>
      <c r="G2266" s="5" t="s">
        <v>28</v>
      </c>
      <c r="H2266" s="5">
        <v>1848674</v>
      </c>
      <c r="I2266" s="5">
        <v>1712892.52</v>
      </c>
      <c r="J2266" s="5">
        <v>22</v>
      </c>
      <c r="K2266" s="5">
        <v>415128</v>
      </c>
      <c r="L2266" s="5">
        <v>2262200</v>
      </c>
      <c r="M2266" s="5">
        <v>135781.48000000001</v>
      </c>
      <c r="N2266" s="5">
        <v>7.3400000000000007E-2</v>
      </c>
      <c r="O2266" s="5">
        <v>0</v>
      </c>
      <c r="P2266" s="5">
        <v>0</v>
      </c>
    </row>
    <row r="2267" spans="1:16" x14ac:dyDescent="0.3">
      <c r="A2267" s="5">
        <v>75</v>
      </c>
      <c r="B2267" s="5" t="s">
        <v>131</v>
      </c>
      <c r="C2267" s="5">
        <v>11</v>
      </c>
      <c r="D2267" s="5" t="s">
        <v>83</v>
      </c>
      <c r="E2267" s="5">
        <v>2021</v>
      </c>
      <c r="F2267" s="5">
        <v>8</v>
      </c>
      <c r="G2267" s="5" t="s">
        <v>29</v>
      </c>
      <c r="H2267" s="5">
        <v>2414184</v>
      </c>
      <c r="I2267" s="5">
        <v>2021225.15</v>
      </c>
      <c r="J2267" s="5">
        <v>18</v>
      </c>
      <c r="K2267" s="5">
        <v>170632</v>
      </c>
      <c r="L2267" s="5">
        <v>2572070</v>
      </c>
      <c r="M2267" s="5">
        <v>392958.85</v>
      </c>
      <c r="N2267" s="5">
        <v>0.1628</v>
      </c>
      <c r="O2267" s="5">
        <v>1</v>
      </c>
      <c r="P2267" s="5">
        <v>2152</v>
      </c>
    </row>
    <row r="2268" spans="1:16" x14ac:dyDescent="0.3">
      <c r="A2268" s="5">
        <v>75</v>
      </c>
      <c r="B2268" s="5" t="s">
        <v>131</v>
      </c>
      <c r="C2268" s="5">
        <v>11</v>
      </c>
      <c r="D2268" s="5" t="s">
        <v>83</v>
      </c>
      <c r="E2268" s="5">
        <v>2021</v>
      </c>
      <c r="F2268" s="5">
        <v>9</v>
      </c>
      <c r="G2268" s="5" t="s">
        <v>30</v>
      </c>
      <c r="H2268" s="5">
        <v>1322632</v>
      </c>
      <c r="I2268" s="5">
        <v>1095518.31</v>
      </c>
      <c r="J2268" s="5">
        <v>22</v>
      </c>
      <c r="K2268" s="5">
        <v>152876</v>
      </c>
      <c r="L2268" s="5">
        <v>1472230</v>
      </c>
      <c r="M2268" s="5">
        <v>227113.69</v>
      </c>
      <c r="N2268" s="5">
        <v>0.17169999999999999</v>
      </c>
      <c r="O2268" s="5">
        <v>0</v>
      </c>
      <c r="P2268" s="5">
        <v>0</v>
      </c>
    </row>
    <row r="2269" spans="1:16" x14ac:dyDescent="0.3">
      <c r="A2269" s="5">
        <v>75</v>
      </c>
      <c r="B2269" s="5" t="s">
        <v>131</v>
      </c>
      <c r="C2269" s="5">
        <v>11</v>
      </c>
      <c r="D2269" s="5" t="s">
        <v>83</v>
      </c>
      <c r="E2269" s="5">
        <v>2021</v>
      </c>
      <c r="F2269" s="5">
        <v>10</v>
      </c>
      <c r="G2269" s="5" t="s">
        <v>31</v>
      </c>
      <c r="H2269" s="5">
        <v>2677793</v>
      </c>
      <c r="I2269" s="5">
        <v>2301677.58</v>
      </c>
      <c r="J2269" s="5">
        <v>33</v>
      </c>
      <c r="K2269" s="5">
        <v>245110</v>
      </c>
      <c r="L2269" s="5">
        <v>2915200</v>
      </c>
      <c r="M2269" s="5">
        <v>376115.42</v>
      </c>
      <c r="N2269" s="5">
        <v>0.14050000000000001</v>
      </c>
      <c r="O2269" s="5">
        <v>7</v>
      </c>
      <c r="P2269" s="5">
        <v>20725</v>
      </c>
    </row>
    <row r="2270" spans="1:16" x14ac:dyDescent="0.3">
      <c r="A2270" s="5">
        <v>75</v>
      </c>
      <c r="B2270" s="5" t="s">
        <v>131</v>
      </c>
      <c r="C2270" s="5">
        <v>11</v>
      </c>
      <c r="D2270" s="5" t="s">
        <v>83</v>
      </c>
      <c r="E2270" s="5">
        <v>2021</v>
      </c>
      <c r="F2270" s="5">
        <v>11</v>
      </c>
      <c r="G2270" s="5" t="s">
        <v>32</v>
      </c>
      <c r="H2270" s="5">
        <v>1951270</v>
      </c>
      <c r="I2270" s="5">
        <v>1723105.33</v>
      </c>
      <c r="J2270" s="5">
        <v>25</v>
      </c>
      <c r="K2270" s="5">
        <v>198173</v>
      </c>
      <c r="L2270" s="5">
        <v>2149270</v>
      </c>
      <c r="M2270" s="5">
        <v>228164.67</v>
      </c>
      <c r="N2270" s="5">
        <v>0.1169</v>
      </c>
      <c r="O2270" s="5">
        <v>6</v>
      </c>
      <c r="P2270" s="5">
        <v>347403</v>
      </c>
    </row>
    <row r="2271" spans="1:16" x14ac:dyDescent="0.3">
      <c r="A2271" s="5">
        <v>75</v>
      </c>
      <c r="B2271" s="5" t="s">
        <v>131</v>
      </c>
      <c r="C2271" s="5">
        <v>11</v>
      </c>
      <c r="D2271" s="5" t="s">
        <v>83</v>
      </c>
      <c r="E2271" s="5">
        <v>2021</v>
      </c>
      <c r="F2271" s="5">
        <v>12</v>
      </c>
      <c r="G2271" s="5" t="s">
        <v>33</v>
      </c>
      <c r="H2271" s="5">
        <v>1667492</v>
      </c>
      <c r="I2271" s="5">
        <v>1488066.91</v>
      </c>
      <c r="J2271" s="5">
        <v>26</v>
      </c>
      <c r="K2271" s="5">
        <v>251376</v>
      </c>
      <c r="L2271" s="5">
        <v>1913120</v>
      </c>
      <c r="M2271" s="5">
        <v>179425.09</v>
      </c>
      <c r="N2271" s="5">
        <v>0.1076</v>
      </c>
      <c r="O2271" s="5">
        <v>0</v>
      </c>
      <c r="P2271" s="5">
        <v>0</v>
      </c>
    </row>
    <row r="2272" spans="1:16" x14ac:dyDescent="0.3">
      <c r="A2272" s="5">
        <v>75</v>
      </c>
      <c r="B2272" s="5" t="s">
        <v>131</v>
      </c>
      <c r="C2272" s="5">
        <v>11</v>
      </c>
      <c r="D2272" s="5" t="s">
        <v>83</v>
      </c>
      <c r="E2272" s="5">
        <v>2022</v>
      </c>
      <c r="F2272" s="5">
        <v>1</v>
      </c>
      <c r="G2272" s="5" t="s">
        <v>34</v>
      </c>
      <c r="H2272" s="5">
        <v>1615860</v>
      </c>
      <c r="I2272" s="5">
        <v>1304634.1499999999</v>
      </c>
      <c r="J2272" s="5">
        <v>26</v>
      </c>
      <c r="K2272" s="5">
        <v>130618</v>
      </c>
      <c r="L2272" s="5">
        <v>1742230</v>
      </c>
      <c r="M2272" s="5">
        <v>311225.84999999998</v>
      </c>
      <c r="N2272" s="5">
        <v>0.19259999999999999</v>
      </c>
      <c r="O2272" s="5">
        <v>2</v>
      </c>
      <c r="P2272" s="5">
        <v>129141</v>
      </c>
    </row>
    <row r="2273" spans="1:16" x14ac:dyDescent="0.3">
      <c r="A2273" s="5">
        <v>75</v>
      </c>
      <c r="B2273" s="5" t="s">
        <v>131</v>
      </c>
      <c r="C2273" s="5">
        <v>11</v>
      </c>
      <c r="D2273" s="5" t="s">
        <v>83</v>
      </c>
      <c r="E2273" s="5">
        <v>2022</v>
      </c>
      <c r="F2273" s="5">
        <v>2</v>
      </c>
      <c r="G2273" s="5" t="s">
        <v>35</v>
      </c>
      <c r="H2273" s="5">
        <v>2215094</v>
      </c>
      <c r="I2273" s="5">
        <v>1824606.97</v>
      </c>
      <c r="J2273" s="5">
        <v>31</v>
      </c>
      <c r="K2273" s="5">
        <v>147750</v>
      </c>
      <c r="L2273" s="5">
        <v>2356230</v>
      </c>
      <c r="M2273" s="5">
        <v>390487.03</v>
      </c>
      <c r="N2273" s="5">
        <v>0.17630000000000001</v>
      </c>
      <c r="O2273" s="5">
        <v>2</v>
      </c>
      <c r="P2273" s="5">
        <v>31767</v>
      </c>
    </row>
    <row r="2274" spans="1:16" x14ac:dyDescent="0.3">
      <c r="A2274" s="5">
        <v>75</v>
      </c>
      <c r="B2274" s="5" t="s">
        <v>131</v>
      </c>
      <c r="C2274" s="5">
        <v>11</v>
      </c>
      <c r="D2274" s="5" t="s">
        <v>83</v>
      </c>
      <c r="E2274" s="5">
        <v>2022</v>
      </c>
      <c r="F2274" s="5">
        <v>3</v>
      </c>
      <c r="G2274" s="5" t="s">
        <v>36</v>
      </c>
      <c r="H2274" s="5">
        <v>3364489</v>
      </c>
      <c r="I2274" s="5">
        <v>3093229.15</v>
      </c>
      <c r="J2274" s="5">
        <v>37</v>
      </c>
      <c r="K2274" s="5">
        <v>558205</v>
      </c>
      <c r="L2274" s="5">
        <v>3913400</v>
      </c>
      <c r="M2274" s="5">
        <v>271259.84999999998</v>
      </c>
      <c r="N2274" s="5">
        <v>8.0600000000000005E-2</v>
      </c>
      <c r="O2274" s="5">
        <v>1</v>
      </c>
      <c r="P2274" s="5">
        <v>61674</v>
      </c>
    </row>
    <row r="2275" spans="1:16" x14ac:dyDescent="0.3">
      <c r="A2275" s="5">
        <v>75</v>
      </c>
      <c r="B2275" s="5" t="s">
        <v>131</v>
      </c>
      <c r="C2275" s="5">
        <v>11</v>
      </c>
      <c r="D2275" s="5" t="s">
        <v>83</v>
      </c>
      <c r="E2275" s="5">
        <v>2022</v>
      </c>
      <c r="F2275" s="5">
        <v>4</v>
      </c>
      <c r="G2275" s="5" t="s">
        <v>37</v>
      </c>
      <c r="H2275" s="5">
        <v>2728813</v>
      </c>
      <c r="I2275" s="5">
        <v>2382900.4900000002</v>
      </c>
      <c r="J2275" s="5">
        <v>36</v>
      </c>
      <c r="K2275" s="5">
        <v>387198</v>
      </c>
      <c r="L2275" s="5">
        <v>3105480</v>
      </c>
      <c r="M2275" s="5">
        <v>345912.51</v>
      </c>
      <c r="N2275" s="5">
        <v>0.1268</v>
      </c>
      <c r="O2275" s="5">
        <v>2</v>
      </c>
      <c r="P2275" s="5">
        <v>12439</v>
      </c>
    </row>
    <row r="2276" spans="1:16" x14ac:dyDescent="0.3">
      <c r="A2276" s="5">
        <v>75</v>
      </c>
      <c r="B2276" s="5" t="s">
        <v>131</v>
      </c>
      <c r="C2276" s="5">
        <v>11</v>
      </c>
      <c r="D2276" s="5" t="s">
        <v>83</v>
      </c>
      <c r="E2276" s="5">
        <v>2022</v>
      </c>
      <c r="F2276" s="5">
        <v>5</v>
      </c>
      <c r="G2276" s="5" t="s">
        <v>38</v>
      </c>
      <c r="H2276" s="5">
        <v>3217760</v>
      </c>
      <c r="I2276" s="5">
        <v>2785909.61</v>
      </c>
      <c r="J2276" s="5">
        <v>31</v>
      </c>
      <c r="K2276" s="5">
        <v>399708</v>
      </c>
      <c r="L2276" s="5">
        <v>3613520</v>
      </c>
      <c r="M2276" s="5">
        <v>431850.39</v>
      </c>
      <c r="N2276" s="5">
        <v>0.13420000000000001</v>
      </c>
      <c r="O2276" s="5">
        <v>1</v>
      </c>
      <c r="P2276" s="5">
        <v>46836</v>
      </c>
    </row>
    <row r="2277" spans="1:16" x14ac:dyDescent="0.3">
      <c r="A2277" s="5">
        <v>75</v>
      </c>
      <c r="B2277" s="5" t="s">
        <v>131</v>
      </c>
      <c r="C2277" s="5">
        <v>11</v>
      </c>
      <c r="D2277" s="5" t="s">
        <v>83</v>
      </c>
      <c r="E2277" s="5">
        <v>2022</v>
      </c>
      <c r="F2277" s="5">
        <v>6</v>
      </c>
      <c r="G2277" s="5" t="s">
        <v>39</v>
      </c>
      <c r="H2277" s="5">
        <v>2377795</v>
      </c>
      <c r="I2277" s="5">
        <v>1938167.62</v>
      </c>
      <c r="J2277" s="5">
        <v>34</v>
      </c>
      <c r="K2277" s="5">
        <v>134050</v>
      </c>
      <c r="L2277" s="5">
        <v>2496020</v>
      </c>
      <c r="M2277" s="5">
        <v>439627.38</v>
      </c>
      <c r="N2277" s="5">
        <v>0.18490000000000001</v>
      </c>
      <c r="O2277" s="5">
        <v>5</v>
      </c>
      <c r="P2277" s="5">
        <v>129978</v>
      </c>
    </row>
    <row r="2278" spans="1:16" x14ac:dyDescent="0.3">
      <c r="A2278" s="5">
        <v>75</v>
      </c>
      <c r="B2278" s="5" t="s">
        <v>131</v>
      </c>
      <c r="C2278" s="5">
        <v>11</v>
      </c>
      <c r="D2278" s="5" t="s">
        <v>83</v>
      </c>
      <c r="E2278" s="5">
        <v>2022</v>
      </c>
      <c r="F2278" s="5">
        <v>7</v>
      </c>
      <c r="G2278" s="5" t="s">
        <v>40</v>
      </c>
      <c r="H2278" s="5">
        <v>2387662</v>
      </c>
      <c r="I2278" s="5">
        <v>2169246.11</v>
      </c>
      <c r="J2278" s="5">
        <v>32</v>
      </c>
      <c r="K2278" s="5">
        <v>370865</v>
      </c>
      <c r="L2278" s="5">
        <v>2748720</v>
      </c>
      <c r="M2278" s="5">
        <v>218415.89</v>
      </c>
      <c r="N2278" s="5">
        <v>9.1499999999999998E-2</v>
      </c>
      <c r="O2278" s="5">
        <v>2</v>
      </c>
      <c r="P2278" s="5">
        <v>3316</v>
      </c>
    </row>
    <row r="2279" spans="1:16" x14ac:dyDescent="0.3">
      <c r="A2279" s="5">
        <v>75</v>
      </c>
      <c r="B2279" s="5" t="s">
        <v>131</v>
      </c>
      <c r="C2279" s="5">
        <v>11</v>
      </c>
      <c r="D2279" s="5" t="s">
        <v>83</v>
      </c>
      <c r="E2279" s="5">
        <v>2022</v>
      </c>
      <c r="F2279" s="5">
        <v>8</v>
      </c>
      <c r="G2279" s="5" t="s">
        <v>41</v>
      </c>
      <c r="H2279" s="5">
        <v>2984951</v>
      </c>
      <c r="I2279" s="5">
        <v>2735780.34</v>
      </c>
      <c r="J2279" s="5">
        <v>35</v>
      </c>
      <c r="K2279" s="5">
        <v>458631</v>
      </c>
      <c r="L2279" s="5">
        <v>3422980</v>
      </c>
      <c r="M2279" s="5">
        <v>249170.66</v>
      </c>
      <c r="N2279" s="5">
        <v>8.3500000000000005E-2</v>
      </c>
      <c r="O2279" s="5">
        <v>2</v>
      </c>
      <c r="P2279" s="5">
        <v>18111</v>
      </c>
    </row>
    <row r="2280" spans="1:16" x14ac:dyDescent="0.3">
      <c r="A2280" s="5">
        <v>75</v>
      </c>
      <c r="B2280" s="5" t="s">
        <v>131</v>
      </c>
      <c r="C2280" s="5">
        <v>11</v>
      </c>
      <c r="D2280" s="5" t="s">
        <v>83</v>
      </c>
      <c r="E2280" s="5">
        <v>2022</v>
      </c>
      <c r="F2280" s="5">
        <v>9</v>
      </c>
      <c r="G2280" s="5" t="s">
        <v>42</v>
      </c>
      <c r="H2280" s="5">
        <v>2902786</v>
      </c>
      <c r="I2280" s="5">
        <v>2565500.52</v>
      </c>
      <c r="J2280" s="5">
        <v>46</v>
      </c>
      <c r="K2280" s="5">
        <v>475456</v>
      </c>
      <c r="L2280" s="5">
        <v>3372600</v>
      </c>
      <c r="M2280" s="5">
        <v>337285.48</v>
      </c>
      <c r="N2280" s="5">
        <v>0.1162</v>
      </c>
      <c r="O2280" s="5">
        <v>8</v>
      </c>
      <c r="P2280" s="5">
        <v>31737</v>
      </c>
    </row>
    <row r="2281" spans="1:16" x14ac:dyDescent="0.3">
      <c r="A2281" s="5">
        <v>75</v>
      </c>
      <c r="B2281" s="5" t="s">
        <v>131</v>
      </c>
      <c r="C2281" s="5">
        <v>11</v>
      </c>
      <c r="D2281" s="5" t="s">
        <v>83</v>
      </c>
      <c r="E2281" s="5">
        <v>2022</v>
      </c>
      <c r="F2281" s="5">
        <v>10</v>
      </c>
      <c r="G2281" s="5" t="s">
        <v>43</v>
      </c>
      <c r="H2281" s="5">
        <v>2793171</v>
      </c>
      <c r="I2281" s="5">
        <v>2370940.2799999998</v>
      </c>
      <c r="J2281" s="5">
        <v>46</v>
      </c>
      <c r="K2281" s="5">
        <v>251593</v>
      </c>
      <c r="L2281" s="5">
        <v>3023670</v>
      </c>
      <c r="M2281" s="5">
        <v>422230.72</v>
      </c>
      <c r="N2281" s="5">
        <v>0.1512</v>
      </c>
      <c r="O2281" s="5">
        <v>6</v>
      </c>
      <c r="P2281" s="5">
        <v>134638</v>
      </c>
    </row>
    <row r="2282" spans="1:16" x14ac:dyDescent="0.3">
      <c r="A2282" s="5">
        <v>75</v>
      </c>
      <c r="B2282" s="5" t="s">
        <v>131</v>
      </c>
      <c r="C2282" s="5">
        <v>11</v>
      </c>
      <c r="D2282" s="5" t="s">
        <v>83</v>
      </c>
      <c r="E2282" s="5">
        <v>2022</v>
      </c>
      <c r="F2282" s="5">
        <v>11</v>
      </c>
      <c r="G2282" s="5" t="s">
        <v>44</v>
      </c>
      <c r="H2282" s="5">
        <v>3925523</v>
      </c>
      <c r="I2282" s="5">
        <v>3223237.19</v>
      </c>
      <c r="J2282" s="5">
        <v>52</v>
      </c>
      <c r="K2282" s="5">
        <v>337647</v>
      </c>
      <c r="L2282" s="5">
        <v>4252330</v>
      </c>
      <c r="M2282" s="5">
        <v>702285.81</v>
      </c>
      <c r="N2282" s="5">
        <v>0.1789</v>
      </c>
      <c r="O2282" s="5">
        <v>3</v>
      </c>
      <c r="P2282" s="5">
        <v>65857</v>
      </c>
    </row>
    <row r="2283" spans="1:16" x14ac:dyDescent="0.3">
      <c r="A2283" s="5">
        <v>75</v>
      </c>
      <c r="B2283" s="5" t="s">
        <v>131</v>
      </c>
      <c r="C2283" s="5">
        <v>11</v>
      </c>
      <c r="D2283" s="5" t="s">
        <v>83</v>
      </c>
      <c r="E2283" s="5">
        <v>2022</v>
      </c>
      <c r="F2283" s="5">
        <v>12</v>
      </c>
      <c r="G2283" s="5" t="s">
        <v>45</v>
      </c>
      <c r="H2283" s="5">
        <v>3423088</v>
      </c>
      <c r="I2283" s="5">
        <v>2801574.53</v>
      </c>
      <c r="J2283" s="5">
        <v>55</v>
      </c>
      <c r="K2283" s="5">
        <v>194845</v>
      </c>
      <c r="L2283" s="5">
        <v>3605990</v>
      </c>
      <c r="M2283" s="5">
        <v>621513.47</v>
      </c>
      <c r="N2283" s="5">
        <v>0.18160000000000001</v>
      </c>
      <c r="O2283" s="5">
        <v>7</v>
      </c>
      <c r="P2283" s="5">
        <v>391459</v>
      </c>
    </row>
    <row r="2284" spans="1:16" x14ac:dyDescent="0.3">
      <c r="A2284" s="5">
        <v>75</v>
      </c>
      <c r="B2284" s="5" t="s">
        <v>131</v>
      </c>
      <c r="C2284" s="5">
        <v>11</v>
      </c>
      <c r="D2284" s="5" t="s">
        <v>83</v>
      </c>
      <c r="E2284" s="5">
        <v>2023</v>
      </c>
      <c r="F2284" s="5">
        <v>1</v>
      </c>
      <c r="G2284" s="5" t="s">
        <v>46</v>
      </c>
      <c r="H2284" s="5">
        <v>5032843</v>
      </c>
      <c r="I2284" s="5">
        <v>4449925.58</v>
      </c>
      <c r="J2284" s="5">
        <v>48</v>
      </c>
      <c r="K2284" s="5">
        <v>642412</v>
      </c>
      <c r="L2284" s="5">
        <v>5664640</v>
      </c>
      <c r="M2284" s="5">
        <v>582917.42000000004</v>
      </c>
      <c r="N2284" s="5">
        <v>0.1158</v>
      </c>
      <c r="O2284" s="5">
        <v>5</v>
      </c>
      <c r="P2284" s="5">
        <v>312615</v>
      </c>
    </row>
    <row r="2285" spans="1:16" x14ac:dyDescent="0.3">
      <c r="A2285" s="5">
        <v>75</v>
      </c>
      <c r="B2285" s="5" t="s">
        <v>131</v>
      </c>
      <c r="C2285" s="5">
        <v>11</v>
      </c>
      <c r="D2285" s="5" t="s">
        <v>83</v>
      </c>
      <c r="E2285" s="5">
        <v>2023</v>
      </c>
      <c r="F2285" s="5">
        <v>2</v>
      </c>
      <c r="G2285" s="5" t="s">
        <v>47</v>
      </c>
      <c r="H2285" s="5">
        <v>1645695</v>
      </c>
      <c r="I2285" s="5">
        <v>1373146.07</v>
      </c>
      <c r="J2285" s="5">
        <v>30</v>
      </c>
      <c r="K2285" s="5">
        <v>113874</v>
      </c>
      <c r="L2285" s="5">
        <v>1751470</v>
      </c>
      <c r="M2285" s="5">
        <v>272548.93</v>
      </c>
      <c r="N2285" s="5">
        <v>0.1656</v>
      </c>
      <c r="O2285" s="5">
        <v>0</v>
      </c>
      <c r="P2285" s="5">
        <v>0</v>
      </c>
    </row>
    <row r="2286" spans="1:16" x14ac:dyDescent="0.3">
      <c r="A2286" s="5">
        <v>75</v>
      </c>
      <c r="B2286" s="5" t="s">
        <v>131</v>
      </c>
      <c r="C2286" s="5">
        <v>11</v>
      </c>
      <c r="D2286" s="5" t="s">
        <v>83</v>
      </c>
      <c r="E2286" s="5">
        <v>2023</v>
      </c>
      <c r="F2286" s="5">
        <v>3</v>
      </c>
      <c r="G2286" s="5" t="s">
        <v>48</v>
      </c>
      <c r="H2286" s="5">
        <v>2584350</v>
      </c>
      <c r="I2286" s="5">
        <v>2313855.58</v>
      </c>
      <c r="J2286" s="5">
        <v>39</v>
      </c>
      <c r="K2286" s="5">
        <v>362171</v>
      </c>
      <c r="L2286" s="5">
        <v>2942860</v>
      </c>
      <c r="M2286" s="5">
        <v>270494.42</v>
      </c>
      <c r="N2286" s="5">
        <v>0.1047</v>
      </c>
      <c r="O2286" s="5">
        <v>5</v>
      </c>
      <c r="P2286" s="5">
        <v>86392</v>
      </c>
    </row>
    <row r="2287" spans="1:16" x14ac:dyDescent="0.3">
      <c r="A2287" s="5">
        <v>75</v>
      </c>
      <c r="B2287" s="5" t="s">
        <v>131</v>
      </c>
      <c r="C2287" s="5">
        <v>11</v>
      </c>
      <c r="D2287" s="5" t="s">
        <v>83</v>
      </c>
      <c r="E2287" s="5">
        <v>2023</v>
      </c>
      <c r="F2287" s="5">
        <v>4</v>
      </c>
      <c r="G2287" s="5" t="s">
        <v>49</v>
      </c>
      <c r="H2287" s="5">
        <v>3222784</v>
      </c>
      <c r="I2287" s="5">
        <v>2930247.6</v>
      </c>
      <c r="J2287" s="5">
        <v>54</v>
      </c>
      <c r="K2287" s="5">
        <v>493991</v>
      </c>
      <c r="L2287" s="5">
        <v>3705290</v>
      </c>
      <c r="M2287" s="5">
        <v>292536.40000000002</v>
      </c>
      <c r="N2287" s="5">
        <v>9.0800000000000006E-2</v>
      </c>
      <c r="O2287" s="5">
        <v>3</v>
      </c>
      <c r="P2287" s="5">
        <v>143904</v>
      </c>
    </row>
    <row r="2288" spans="1:16" x14ac:dyDescent="0.3">
      <c r="A2288" s="5">
        <v>75</v>
      </c>
      <c r="B2288" s="5" t="s">
        <v>131</v>
      </c>
      <c r="C2288" s="5">
        <v>11</v>
      </c>
      <c r="D2288" s="5" t="s">
        <v>83</v>
      </c>
      <c r="E2288" s="5">
        <v>2023</v>
      </c>
      <c r="F2288" s="5">
        <v>5</v>
      </c>
      <c r="G2288" s="5" t="s">
        <v>50</v>
      </c>
      <c r="H2288" s="5">
        <v>3401797</v>
      </c>
      <c r="I2288" s="5">
        <v>2942024.24</v>
      </c>
      <c r="J2288" s="5">
        <v>53</v>
      </c>
      <c r="K2288" s="5">
        <v>401238</v>
      </c>
      <c r="L2288" s="5">
        <v>3789130</v>
      </c>
      <c r="M2288" s="5">
        <v>459772.76</v>
      </c>
      <c r="N2288" s="5">
        <v>0.13519999999999999</v>
      </c>
      <c r="O2288" s="5">
        <v>5</v>
      </c>
      <c r="P2288" s="5">
        <v>64142</v>
      </c>
    </row>
    <row r="2289" spans="1:16" x14ac:dyDescent="0.3">
      <c r="A2289" s="5">
        <v>75</v>
      </c>
      <c r="B2289" s="5" t="s">
        <v>131</v>
      </c>
      <c r="C2289" s="5">
        <v>11</v>
      </c>
      <c r="D2289" s="5" t="s">
        <v>83</v>
      </c>
      <c r="E2289" s="5">
        <v>2023</v>
      </c>
      <c r="F2289" s="5">
        <v>6</v>
      </c>
      <c r="G2289" s="5" t="s">
        <v>51</v>
      </c>
      <c r="H2289" s="5">
        <v>2033052</v>
      </c>
      <c r="I2289" s="5">
        <v>1790588.1</v>
      </c>
      <c r="J2289" s="5">
        <v>30</v>
      </c>
      <c r="K2289" s="5">
        <v>234639</v>
      </c>
      <c r="L2289" s="5">
        <v>2264830</v>
      </c>
      <c r="M2289" s="5">
        <v>242463.9</v>
      </c>
      <c r="N2289" s="5">
        <v>0.1193</v>
      </c>
      <c r="O2289" s="5">
        <v>3</v>
      </c>
      <c r="P2289" s="5">
        <v>88039</v>
      </c>
    </row>
    <row r="2290" spans="1:16" x14ac:dyDescent="0.3">
      <c r="A2290" s="5">
        <v>75</v>
      </c>
      <c r="B2290" s="5" t="s">
        <v>131</v>
      </c>
      <c r="C2290" s="5">
        <v>11</v>
      </c>
      <c r="D2290" s="5" t="s">
        <v>83</v>
      </c>
      <c r="E2290" s="5">
        <v>2023</v>
      </c>
      <c r="F2290" s="5">
        <v>7</v>
      </c>
      <c r="G2290" s="5" t="s">
        <v>52</v>
      </c>
      <c r="H2290" s="5">
        <v>2962248</v>
      </c>
      <c r="I2290" s="5">
        <v>2581972.08</v>
      </c>
      <c r="J2290" s="5">
        <v>41</v>
      </c>
      <c r="K2290" s="5">
        <v>353975</v>
      </c>
      <c r="L2290" s="5">
        <v>3307440</v>
      </c>
      <c r="M2290" s="5">
        <v>380275.92</v>
      </c>
      <c r="N2290" s="5">
        <v>0.12839999999999999</v>
      </c>
      <c r="O2290" s="5">
        <v>5</v>
      </c>
      <c r="P2290" s="5">
        <v>278921</v>
      </c>
    </row>
    <row r="2291" spans="1:16" x14ac:dyDescent="0.3">
      <c r="A2291" s="5">
        <v>75</v>
      </c>
      <c r="B2291" s="5" t="s">
        <v>131</v>
      </c>
      <c r="C2291" s="5">
        <v>11</v>
      </c>
      <c r="D2291" s="5" t="s">
        <v>83</v>
      </c>
      <c r="E2291" s="5">
        <v>2023</v>
      </c>
      <c r="F2291" s="5">
        <v>8</v>
      </c>
      <c r="G2291" s="5" t="s">
        <v>53</v>
      </c>
      <c r="H2291" s="5">
        <v>2816788</v>
      </c>
      <c r="I2291" s="5">
        <v>2523837.92</v>
      </c>
      <c r="J2291" s="5">
        <v>49</v>
      </c>
      <c r="K2291" s="5">
        <v>431430</v>
      </c>
      <c r="L2291" s="5">
        <v>3241450</v>
      </c>
      <c r="M2291" s="5">
        <v>292950.08</v>
      </c>
      <c r="N2291" s="5">
        <v>0.104</v>
      </c>
      <c r="O2291" s="5">
        <v>2</v>
      </c>
      <c r="P2291" s="5">
        <v>106559</v>
      </c>
    </row>
    <row r="2292" spans="1:16" x14ac:dyDescent="0.3">
      <c r="A2292" s="5">
        <v>75</v>
      </c>
      <c r="B2292" s="5" t="s">
        <v>131</v>
      </c>
      <c r="C2292" s="5">
        <v>11</v>
      </c>
      <c r="D2292" s="5" t="s">
        <v>83</v>
      </c>
      <c r="E2292" s="5">
        <v>2023</v>
      </c>
      <c r="F2292" s="5">
        <v>9</v>
      </c>
      <c r="G2292" s="5" t="s">
        <v>54</v>
      </c>
      <c r="H2292" s="5">
        <v>2683159</v>
      </c>
      <c r="I2292" s="5">
        <v>2648204.61</v>
      </c>
      <c r="J2292" s="5">
        <v>42</v>
      </c>
      <c r="K2292" s="5">
        <v>655412</v>
      </c>
      <c r="L2292" s="5">
        <v>3333480</v>
      </c>
      <c r="M2292" s="5">
        <v>34954.39</v>
      </c>
      <c r="N2292" s="5">
        <v>1.2999999999999999E-2</v>
      </c>
      <c r="O2292" s="5">
        <v>1</v>
      </c>
      <c r="P2292" s="5">
        <v>19940</v>
      </c>
    </row>
    <row r="2293" spans="1:16" x14ac:dyDescent="0.3">
      <c r="A2293" s="5">
        <v>75</v>
      </c>
      <c r="B2293" s="5" t="s">
        <v>131</v>
      </c>
      <c r="C2293" s="5">
        <v>11</v>
      </c>
      <c r="D2293" s="5" t="s">
        <v>83</v>
      </c>
      <c r="E2293" s="5">
        <v>2023</v>
      </c>
      <c r="F2293" s="5">
        <v>10</v>
      </c>
      <c r="G2293" s="5" t="s">
        <v>55</v>
      </c>
      <c r="H2293" s="5">
        <v>2124959</v>
      </c>
      <c r="I2293" s="5">
        <v>1809710.14</v>
      </c>
      <c r="J2293" s="5">
        <v>49</v>
      </c>
      <c r="K2293" s="5">
        <v>253825</v>
      </c>
      <c r="L2293" s="5">
        <v>2375020</v>
      </c>
      <c r="M2293" s="5">
        <v>315248.86</v>
      </c>
      <c r="N2293" s="5">
        <v>0.1484</v>
      </c>
      <c r="O2293" s="5">
        <v>3</v>
      </c>
      <c r="P2293" s="5">
        <v>58019</v>
      </c>
    </row>
    <row r="2294" spans="1:16" x14ac:dyDescent="0.3">
      <c r="A2294" s="5">
        <v>75</v>
      </c>
      <c r="B2294" s="5" t="s">
        <v>131</v>
      </c>
      <c r="C2294" s="5">
        <v>11</v>
      </c>
      <c r="D2294" s="5" t="s">
        <v>83</v>
      </c>
      <c r="E2294" s="5">
        <v>2023</v>
      </c>
      <c r="F2294" s="5">
        <v>11</v>
      </c>
      <c r="G2294" s="5" t="s">
        <v>56</v>
      </c>
      <c r="H2294" s="5">
        <v>4314169</v>
      </c>
      <c r="I2294" s="5">
        <v>3937297.5</v>
      </c>
      <c r="J2294" s="5">
        <v>62</v>
      </c>
      <c r="K2294" s="5">
        <v>790261</v>
      </c>
      <c r="L2294" s="5">
        <v>5090900</v>
      </c>
      <c r="M2294" s="5">
        <v>376871.5</v>
      </c>
      <c r="N2294" s="5">
        <v>8.7400000000000005E-2</v>
      </c>
      <c r="O2294" s="5">
        <v>7</v>
      </c>
      <c r="P2294" s="5">
        <v>125589</v>
      </c>
    </row>
    <row r="2295" spans="1:16" x14ac:dyDescent="0.3">
      <c r="A2295" s="5">
        <v>75</v>
      </c>
      <c r="B2295" s="5" t="s">
        <v>131</v>
      </c>
      <c r="C2295" s="5">
        <v>11</v>
      </c>
      <c r="D2295" s="5" t="s">
        <v>83</v>
      </c>
      <c r="E2295" s="5">
        <v>2023</v>
      </c>
      <c r="F2295" s="5">
        <v>12</v>
      </c>
      <c r="G2295" s="5" t="s">
        <v>57</v>
      </c>
      <c r="H2295" s="5">
        <v>3682026</v>
      </c>
      <c r="I2295" s="5">
        <v>3204556.97</v>
      </c>
      <c r="J2295" s="5">
        <v>64</v>
      </c>
      <c r="K2295" s="5">
        <v>511699</v>
      </c>
      <c r="L2295" s="5">
        <v>4182030</v>
      </c>
      <c r="M2295" s="5">
        <v>477469.03</v>
      </c>
      <c r="N2295" s="5">
        <v>0.12970000000000001</v>
      </c>
      <c r="O2295" s="5">
        <v>8</v>
      </c>
      <c r="P2295" s="5">
        <v>109990</v>
      </c>
    </row>
    <row r="2296" spans="1:16" x14ac:dyDescent="0.3">
      <c r="A2296" s="5">
        <v>75</v>
      </c>
      <c r="B2296" s="5" t="s">
        <v>131</v>
      </c>
      <c r="C2296" s="5">
        <v>11</v>
      </c>
      <c r="D2296" s="5" t="s">
        <v>83</v>
      </c>
      <c r="E2296" s="5">
        <v>2024</v>
      </c>
      <c r="F2296" s="5">
        <v>1</v>
      </c>
      <c r="G2296" s="5" t="s">
        <v>58</v>
      </c>
      <c r="H2296" s="5">
        <v>3295422</v>
      </c>
      <c r="I2296" s="5">
        <v>2895346.25</v>
      </c>
      <c r="J2296" s="5">
        <v>50</v>
      </c>
      <c r="K2296" s="5">
        <v>406389</v>
      </c>
      <c r="L2296" s="5">
        <v>3680880</v>
      </c>
      <c r="M2296" s="5">
        <v>400075.75</v>
      </c>
      <c r="N2296" s="5">
        <v>0.12139999999999999</v>
      </c>
      <c r="O2296" s="5">
        <v>6</v>
      </c>
      <c r="P2296" s="5">
        <v>222487</v>
      </c>
    </row>
    <row r="2297" spans="1:16" x14ac:dyDescent="0.3">
      <c r="A2297" s="5">
        <v>75</v>
      </c>
      <c r="B2297" s="5" t="s">
        <v>131</v>
      </c>
      <c r="C2297" s="5">
        <v>11</v>
      </c>
      <c r="D2297" s="5" t="s">
        <v>83</v>
      </c>
      <c r="E2297" s="5">
        <v>2024</v>
      </c>
      <c r="F2297" s="5">
        <v>2</v>
      </c>
      <c r="G2297" s="5" t="s">
        <v>59</v>
      </c>
      <c r="H2297" s="5">
        <v>1876805</v>
      </c>
      <c r="I2297" s="5">
        <v>1509829.14</v>
      </c>
      <c r="J2297" s="5">
        <v>42</v>
      </c>
      <c r="K2297" s="5">
        <v>170689</v>
      </c>
      <c r="L2297" s="5">
        <v>2040270</v>
      </c>
      <c r="M2297" s="5">
        <v>366975.86</v>
      </c>
      <c r="N2297" s="5">
        <v>0.19550000000000001</v>
      </c>
      <c r="O2297" s="5">
        <v>6</v>
      </c>
      <c r="P2297" s="5">
        <v>39770</v>
      </c>
    </row>
    <row r="2298" spans="1:16" x14ac:dyDescent="0.3">
      <c r="A2298" s="5">
        <v>75</v>
      </c>
      <c r="B2298" s="5" t="s">
        <v>131</v>
      </c>
      <c r="C2298" s="5">
        <v>11</v>
      </c>
      <c r="D2298" s="5" t="s">
        <v>83</v>
      </c>
      <c r="E2298" s="5">
        <v>2024</v>
      </c>
      <c r="F2298" s="5">
        <v>3</v>
      </c>
      <c r="G2298" s="5" t="s">
        <v>60</v>
      </c>
      <c r="H2298" s="5">
        <v>2411193</v>
      </c>
      <c r="I2298" s="5">
        <v>2054730.63</v>
      </c>
      <c r="J2298" s="5">
        <v>42</v>
      </c>
      <c r="K2298" s="5">
        <v>221491</v>
      </c>
      <c r="L2298" s="5">
        <v>2625200</v>
      </c>
      <c r="M2298" s="5">
        <v>356462.37</v>
      </c>
      <c r="N2298" s="5">
        <v>0.14779999999999999</v>
      </c>
      <c r="O2298" s="5">
        <v>2</v>
      </c>
      <c r="P2298" s="5">
        <v>12525</v>
      </c>
    </row>
    <row r="2299" spans="1:16" x14ac:dyDescent="0.3">
      <c r="A2299" s="5">
        <v>75</v>
      </c>
      <c r="B2299" s="5" t="s">
        <v>131</v>
      </c>
      <c r="C2299" s="5">
        <v>11</v>
      </c>
      <c r="D2299" s="5" t="s">
        <v>83</v>
      </c>
      <c r="E2299" s="5">
        <v>2024</v>
      </c>
      <c r="F2299" s="5">
        <v>4</v>
      </c>
      <c r="G2299" s="5" t="s">
        <v>61</v>
      </c>
      <c r="H2299" s="5">
        <v>2694628</v>
      </c>
      <c r="I2299" s="5">
        <v>2292145.7400000002</v>
      </c>
      <c r="J2299" s="5">
        <v>52</v>
      </c>
      <c r="K2299" s="5">
        <v>341729</v>
      </c>
      <c r="L2299" s="5">
        <v>3030450</v>
      </c>
      <c r="M2299" s="5">
        <v>402482.26</v>
      </c>
      <c r="N2299" s="5">
        <v>0.14940000000000001</v>
      </c>
      <c r="O2299" s="5">
        <v>5</v>
      </c>
      <c r="P2299" s="5">
        <v>158698</v>
      </c>
    </row>
    <row r="2300" spans="1:16" x14ac:dyDescent="0.3">
      <c r="A2300" s="5">
        <v>75</v>
      </c>
      <c r="B2300" s="5" t="s">
        <v>131</v>
      </c>
      <c r="C2300" s="5">
        <v>11</v>
      </c>
      <c r="D2300" s="5" t="s">
        <v>83</v>
      </c>
      <c r="E2300" s="5">
        <v>2024</v>
      </c>
      <c r="F2300" s="5">
        <v>5</v>
      </c>
      <c r="G2300" s="5" t="s">
        <v>62</v>
      </c>
      <c r="H2300" s="5">
        <v>3010881</v>
      </c>
      <c r="I2300" s="5">
        <v>2647044.94</v>
      </c>
      <c r="J2300" s="5">
        <v>38</v>
      </c>
      <c r="K2300" s="5">
        <v>372194</v>
      </c>
      <c r="L2300" s="5">
        <v>3377780</v>
      </c>
      <c r="M2300" s="5">
        <v>363836.06</v>
      </c>
      <c r="N2300" s="5">
        <v>0.1208</v>
      </c>
      <c r="O2300" s="5">
        <v>1</v>
      </c>
      <c r="P2300" s="5">
        <v>45824</v>
      </c>
    </row>
    <row r="2301" spans="1:16" x14ac:dyDescent="0.3">
      <c r="A2301" s="5">
        <v>75</v>
      </c>
      <c r="B2301" s="5" t="s">
        <v>131</v>
      </c>
      <c r="C2301" s="5">
        <v>11</v>
      </c>
      <c r="D2301" s="5" t="s">
        <v>83</v>
      </c>
      <c r="E2301" s="5">
        <v>2024</v>
      </c>
      <c r="F2301" s="5">
        <v>6</v>
      </c>
      <c r="G2301" s="5" t="s">
        <v>63</v>
      </c>
      <c r="H2301" s="5">
        <v>4486132</v>
      </c>
      <c r="I2301" s="5">
        <v>3876424.2</v>
      </c>
      <c r="J2301" s="5">
        <v>57</v>
      </c>
      <c r="K2301" s="5">
        <v>450468</v>
      </c>
      <c r="L2301" s="5">
        <v>4922790</v>
      </c>
      <c r="M2301" s="5">
        <v>609707.80000000005</v>
      </c>
      <c r="N2301" s="5">
        <v>0.13589999999999999</v>
      </c>
      <c r="O2301" s="5">
        <v>7</v>
      </c>
      <c r="P2301" s="5">
        <v>91530</v>
      </c>
    </row>
    <row r="2302" spans="1:16" x14ac:dyDescent="0.3">
      <c r="A2302" s="5">
        <v>75</v>
      </c>
      <c r="B2302" s="5" t="s">
        <v>131</v>
      </c>
      <c r="C2302" s="5">
        <v>11</v>
      </c>
      <c r="D2302" s="5" t="s">
        <v>83</v>
      </c>
      <c r="E2302" s="5">
        <v>2024</v>
      </c>
      <c r="F2302" s="5">
        <v>7</v>
      </c>
      <c r="G2302" s="5" t="s">
        <v>64</v>
      </c>
      <c r="H2302" s="5">
        <v>2950635</v>
      </c>
      <c r="I2302" s="5">
        <v>2505617.88</v>
      </c>
      <c r="J2302" s="5">
        <v>48</v>
      </c>
      <c r="K2302" s="5">
        <v>312048</v>
      </c>
      <c r="L2302" s="5">
        <v>3249990</v>
      </c>
      <c r="M2302" s="5">
        <v>445017.12</v>
      </c>
      <c r="N2302" s="5">
        <v>0.15079999999999999</v>
      </c>
      <c r="O2302" s="5">
        <v>2</v>
      </c>
      <c r="P2302" s="5">
        <v>27392</v>
      </c>
    </row>
    <row r="2303" spans="1:16" x14ac:dyDescent="0.3">
      <c r="A2303" s="5">
        <v>75</v>
      </c>
      <c r="B2303" s="5" t="s">
        <v>131</v>
      </c>
      <c r="C2303" s="5">
        <v>11</v>
      </c>
      <c r="D2303" s="5" t="s">
        <v>83</v>
      </c>
      <c r="E2303" s="5">
        <v>2024</v>
      </c>
      <c r="F2303" s="5">
        <v>8</v>
      </c>
      <c r="G2303" s="5" t="s">
        <v>65</v>
      </c>
      <c r="H2303" s="5">
        <v>3433196</v>
      </c>
      <c r="I2303" s="5">
        <v>2962404.16</v>
      </c>
      <c r="J2303" s="5">
        <v>49</v>
      </c>
      <c r="K2303" s="5">
        <v>316599</v>
      </c>
      <c r="L2303" s="5">
        <v>3744390</v>
      </c>
      <c r="M2303" s="5">
        <v>470791.84</v>
      </c>
      <c r="N2303" s="5">
        <v>0.1371</v>
      </c>
      <c r="O2303" s="5">
        <v>4</v>
      </c>
      <c r="P2303" s="5">
        <v>36153</v>
      </c>
    </row>
    <row r="2304" spans="1:16" x14ac:dyDescent="0.3">
      <c r="A2304" s="5">
        <v>75</v>
      </c>
      <c r="B2304" s="5" t="s">
        <v>131</v>
      </c>
      <c r="C2304" s="5">
        <v>11</v>
      </c>
      <c r="D2304" s="5" t="s">
        <v>83</v>
      </c>
      <c r="E2304" s="5">
        <v>2024</v>
      </c>
      <c r="F2304" s="5">
        <v>9</v>
      </c>
      <c r="G2304" s="5" t="s">
        <v>66</v>
      </c>
      <c r="H2304" s="5">
        <v>3237599</v>
      </c>
      <c r="I2304" s="5">
        <v>2588219.9300000002</v>
      </c>
      <c r="J2304" s="5">
        <v>59</v>
      </c>
      <c r="K2304" s="5">
        <v>151295</v>
      </c>
      <c r="L2304" s="5">
        <v>3376550</v>
      </c>
      <c r="M2304" s="5">
        <v>649379.06999999995</v>
      </c>
      <c r="N2304" s="5">
        <v>0.2006</v>
      </c>
      <c r="O2304" s="5">
        <v>5</v>
      </c>
      <c r="P2304" s="5">
        <v>41984</v>
      </c>
    </row>
    <row r="2305" spans="1:16" x14ac:dyDescent="0.3">
      <c r="A2305" s="5">
        <v>75</v>
      </c>
      <c r="B2305" s="5" t="s">
        <v>131</v>
      </c>
      <c r="C2305" s="5">
        <v>11</v>
      </c>
      <c r="D2305" s="5" t="s">
        <v>83</v>
      </c>
      <c r="E2305" s="5">
        <v>2024</v>
      </c>
      <c r="F2305" s="5">
        <v>10</v>
      </c>
      <c r="G2305" s="5" t="s">
        <v>67</v>
      </c>
      <c r="H2305" s="5">
        <v>5940615</v>
      </c>
      <c r="I2305" s="5">
        <v>4639859.26</v>
      </c>
      <c r="J2305" s="5">
        <v>77</v>
      </c>
      <c r="K2305" s="5">
        <v>154245</v>
      </c>
      <c r="L2305" s="5">
        <v>6062160</v>
      </c>
      <c r="M2305" s="5">
        <v>1300755.74</v>
      </c>
      <c r="N2305" s="5">
        <v>0.219</v>
      </c>
      <c r="O2305" s="5">
        <v>9</v>
      </c>
      <c r="P2305" s="5">
        <v>221727</v>
      </c>
    </row>
    <row r="2306" spans="1:16" x14ac:dyDescent="0.3">
      <c r="A2306" s="5">
        <v>75</v>
      </c>
      <c r="B2306" s="5" t="s">
        <v>131</v>
      </c>
      <c r="C2306" s="5">
        <v>11</v>
      </c>
      <c r="D2306" s="5" t="s">
        <v>83</v>
      </c>
      <c r="E2306" s="5">
        <v>2024</v>
      </c>
      <c r="F2306" s="5">
        <v>11</v>
      </c>
      <c r="G2306" s="5" t="s">
        <v>68</v>
      </c>
      <c r="H2306" s="5">
        <v>5825625</v>
      </c>
      <c r="I2306" s="5">
        <v>4896906.68</v>
      </c>
      <c r="J2306" s="5">
        <v>78</v>
      </c>
      <c r="K2306" s="5">
        <v>430860</v>
      </c>
      <c r="L2306" s="5">
        <v>6235730</v>
      </c>
      <c r="M2306" s="5">
        <v>928718.32</v>
      </c>
      <c r="N2306" s="5">
        <v>0.15939999999999999</v>
      </c>
      <c r="O2306" s="5">
        <v>6</v>
      </c>
      <c r="P2306" s="5">
        <v>84651</v>
      </c>
    </row>
    <row r="2307" spans="1:16" x14ac:dyDescent="0.3">
      <c r="A2307" s="5">
        <v>75</v>
      </c>
      <c r="B2307" s="5" t="s">
        <v>131</v>
      </c>
      <c r="C2307" s="5">
        <v>11</v>
      </c>
      <c r="D2307" s="5" t="s">
        <v>83</v>
      </c>
      <c r="E2307" s="5">
        <v>2024</v>
      </c>
      <c r="F2307" s="5">
        <v>12</v>
      </c>
      <c r="G2307" s="5" t="s">
        <v>69</v>
      </c>
      <c r="H2307" s="5">
        <v>3909364</v>
      </c>
      <c r="I2307" s="5">
        <v>3153195.2</v>
      </c>
      <c r="J2307" s="5">
        <v>64</v>
      </c>
      <c r="K2307" s="5">
        <v>121416</v>
      </c>
      <c r="L2307" s="5">
        <v>4022230</v>
      </c>
      <c r="M2307" s="5">
        <v>756168.8</v>
      </c>
      <c r="N2307" s="5">
        <v>0.19339999999999999</v>
      </c>
      <c r="O2307" s="5">
        <v>8</v>
      </c>
      <c r="P2307" s="5">
        <v>87159</v>
      </c>
    </row>
    <row r="2308" spans="1:16" x14ac:dyDescent="0.3">
      <c r="A2308" s="5">
        <v>111</v>
      </c>
      <c r="B2308" s="5" t="s">
        <v>132</v>
      </c>
      <c r="C2308" s="5">
        <v>12</v>
      </c>
      <c r="D2308" s="5" t="s">
        <v>89</v>
      </c>
      <c r="E2308" s="5">
        <v>2021</v>
      </c>
      <c r="F2308" s="5">
        <v>1</v>
      </c>
      <c r="G2308" s="5" t="s">
        <v>22</v>
      </c>
      <c r="H2308" s="5">
        <v>11126810</v>
      </c>
      <c r="I2308" s="5">
        <v>10063325.85</v>
      </c>
      <c r="J2308" s="5">
        <v>166</v>
      </c>
      <c r="K2308" s="5">
        <v>1833195</v>
      </c>
      <c r="L2308" s="5">
        <v>12917360</v>
      </c>
      <c r="M2308" s="5">
        <v>1063484.1499999999</v>
      </c>
      <c r="N2308" s="5">
        <v>9.5600000000000004E-2</v>
      </c>
      <c r="O2308" s="5">
        <v>19</v>
      </c>
      <c r="P2308" s="5">
        <v>555807</v>
      </c>
    </row>
    <row r="2309" spans="1:16" x14ac:dyDescent="0.3">
      <c r="A2309" s="5">
        <v>111</v>
      </c>
      <c r="B2309" s="5" t="s">
        <v>132</v>
      </c>
      <c r="C2309" s="5">
        <v>12</v>
      </c>
      <c r="D2309" s="5" t="s">
        <v>89</v>
      </c>
      <c r="E2309" s="5">
        <v>2021</v>
      </c>
      <c r="F2309" s="5">
        <v>2</v>
      </c>
      <c r="G2309" s="5" t="s">
        <v>23</v>
      </c>
      <c r="H2309" s="5">
        <v>7964067</v>
      </c>
      <c r="I2309" s="5">
        <v>7071302.6799999997</v>
      </c>
      <c r="J2309" s="5">
        <v>125</v>
      </c>
      <c r="K2309" s="5">
        <v>1120537</v>
      </c>
      <c r="L2309" s="5">
        <v>9061490</v>
      </c>
      <c r="M2309" s="5">
        <v>892764.32</v>
      </c>
      <c r="N2309" s="5">
        <v>0.11210000000000001</v>
      </c>
      <c r="O2309" s="5">
        <v>9</v>
      </c>
      <c r="P2309" s="5">
        <v>231720</v>
      </c>
    </row>
    <row r="2310" spans="1:16" x14ac:dyDescent="0.3">
      <c r="A2310" s="5">
        <v>111</v>
      </c>
      <c r="B2310" s="5" t="s">
        <v>132</v>
      </c>
      <c r="C2310" s="5">
        <v>12</v>
      </c>
      <c r="D2310" s="5" t="s">
        <v>89</v>
      </c>
      <c r="E2310" s="5">
        <v>2021</v>
      </c>
      <c r="F2310" s="5">
        <v>3</v>
      </c>
      <c r="G2310" s="5" t="s">
        <v>24</v>
      </c>
      <c r="H2310" s="5">
        <v>11677226</v>
      </c>
      <c r="I2310" s="5">
        <v>10060663.93</v>
      </c>
      <c r="J2310" s="5">
        <v>153</v>
      </c>
      <c r="K2310" s="5">
        <v>1139608</v>
      </c>
      <c r="L2310" s="5">
        <v>12777630</v>
      </c>
      <c r="M2310" s="5">
        <v>1616562.07</v>
      </c>
      <c r="N2310" s="5">
        <v>0.1384</v>
      </c>
      <c r="O2310" s="5">
        <v>12</v>
      </c>
      <c r="P2310" s="5">
        <v>484744</v>
      </c>
    </row>
    <row r="2311" spans="1:16" x14ac:dyDescent="0.3">
      <c r="A2311" s="5">
        <v>111</v>
      </c>
      <c r="B2311" s="5" t="s">
        <v>132</v>
      </c>
      <c r="C2311" s="5">
        <v>12</v>
      </c>
      <c r="D2311" s="5" t="s">
        <v>89</v>
      </c>
      <c r="E2311" s="5">
        <v>2021</v>
      </c>
      <c r="F2311" s="5">
        <v>4</v>
      </c>
      <c r="G2311" s="5" t="s">
        <v>25</v>
      </c>
      <c r="H2311" s="5">
        <v>10175166</v>
      </c>
      <c r="I2311" s="5">
        <v>9038862.5500000007</v>
      </c>
      <c r="J2311" s="5">
        <v>154</v>
      </c>
      <c r="K2311" s="5">
        <v>1494564</v>
      </c>
      <c r="L2311" s="5">
        <v>11643230</v>
      </c>
      <c r="M2311" s="5">
        <v>1136303.45</v>
      </c>
      <c r="N2311" s="5">
        <v>0.11169999999999999</v>
      </c>
      <c r="O2311" s="5">
        <v>11</v>
      </c>
      <c r="P2311" s="5">
        <v>375891</v>
      </c>
    </row>
    <row r="2312" spans="1:16" x14ac:dyDescent="0.3">
      <c r="A2312" s="5">
        <v>111</v>
      </c>
      <c r="B2312" s="5" t="s">
        <v>132</v>
      </c>
      <c r="C2312" s="5">
        <v>12</v>
      </c>
      <c r="D2312" s="5" t="s">
        <v>89</v>
      </c>
      <c r="E2312" s="5">
        <v>2021</v>
      </c>
      <c r="F2312" s="5">
        <v>5</v>
      </c>
      <c r="G2312" s="5" t="s">
        <v>26</v>
      </c>
      <c r="H2312" s="5">
        <v>11890416</v>
      </c>
      <c r="I2312" s="5">
        <v>10193473.09</v>
      </c>
      <c r="J2312" s="5">
        <v>185</v>
      </c>
      <c r="K2312" s="5">
        <v>1322863</v>
      </c>
      <c r="L2312" s="5">
        <v>13170590</v>
      </c>
      <c r="M2312" s="5">
        <v>1696942.91</v>
      </c>
      <c r="N2312" s="5">
        <v>0.14269999999999999</v>
      </c>
      <c r="O2312" s="5">
        <v>15</v>
      </c>
      <c r="P2312" s="5">
        <v>308629</v>
      </c>
    </row>
    <row r="2313" spans="1:16" x14ac:dyDescent="0.3">
      <c r="A2313" s="5">
        <v>111</v>
      </c>
      <c r="B2313" s="5" t="s">
        <v>132</v>
      </c>
      <c r="C2313" s="5">
        <v>12</v>
      </c>
      <c r="D2313" s="5" t="s">
        <v>89</v>
      </c>
      <c r="E2313" s="5">
        <v>2021</v>
      </c>
      <c r="F2313" s="5">
        <v>6</v>
      </c>
      <c r="G2313" s="5" t="s">
        <v>27</v>
      </c>
      <c r="H2313" s="5">
        <v>11668955</v>
      </c>
      <c r="I2313" s="5">
        <v>10136139.25</v>
      </c>
      <c r="J2313" s="5">
        <v>148</v>
      </c>
      <c r="K2313" s="5">
        <v>1379944</v>
      </c>
      <c r="L2313" s="5">
        <v>13005680</v>
      </c>
      <c r="M2313" s="5">
        <v>1532815.75</v>
      </c>
      <c r="N2313" s="5">
        <v>0.13139999999999999</v>
      </c>
      <c r="O2313" s="5">
        <v>17</v>
      </c>
      <c r="P2313" s="5">
        <v>1073680</v>
      </c>
    </row>
    <row r="2314" spans="1:16" x14ac:dyDescent="0.3">
      <c r="A2314" s="5">
        <v>111</v>
      </c>
      <c r="B2314" s="5" t="s">
        <v>132</v>
      </c>
      <c r="C2314" s="5">
        <v>12</v>
      </c>
      <c r="D2314" s="5" t="s">
        <v>89</v>
      </c>
      <c r="E2314" s="5">
        <v>2021</v>
      </c>
      <c r="F2314" s="5">
        <v>7</v>
      </c>
      <c r="G2314" s="5" t="s">
        <v>28</v>
      </c>
      <c r="H2314" s="5">
        <v>11108400</v>
      </c>
      <c r="I2314" s="5">
        <v>9685919.5899999999</v>
      </c>
      <c r="J2314" s="5">
        <v>159</v>
      </c>
      <c r="K2314" s="5">
        <v>1331632</v>
      </c>
      <c r="L2314" s="5">
        <v>12404760</v>
      </c>
      <c r="M2314" s="5">
        <v>1422480.41</v>
      </c>
      <c r="N2314" s="5">
        <v>0.12809999999999999</v>
      </c>
      <c r="O2314" s="5">
        <v>15</v>
      </c>
      <c r="P2314" s="5">
        <v>157914</v>
      </c>
    </row>
    <row r="2315" spans="1:16" x14ac:dyDescent="0.3">
      <c r="A2315" s="5">
        <v>111</v>
      </c>
      <c r="B2315" s="5" t="s">
        <v>132</v>
      </c>
      <c r="C2315" s="5">
        <v>12</v>
      </c>
      <c r="D2315" s="5" t="s">
        <v>89</v>
      </c>
      <c r="E2315" s="5">
        <v>2021</v>
      </c>
      <c r="F2315" s="5">
        <v>8</v>
      </c>
      <c r="G2315" s="5" t="s">
        <v>29</v>
      </c>
      <c r="H2315" s="5">
        <v>12466612</v>
      </c>
      <c r="I2315" s="5">
        <v>10499951.99</v>
      </c>
      <c r="J2315" s="5">
        <v>178</v>
      </c>
      <c r="K2315" s="5">
        <v>1052521</v>
      </c>
      <c r="L2315" s="5">
        <v>13485460</v>
      </c>
      <c r="M2315" s="5">
        <v>1966660.01</v>
      </c>
      <c r="N2315" s="5">
        <v>0.1578</v>
      </c>
      <c r="O2315" s="5">
        <v>17</v>
      </c>
      <c r="P2315" s="5">
        <v>657690</v>
      </c>
    </row>
    <row r="2316" spans="1:16" x14ac:dyDescent="0.3">
      <c r="A2316" s="5">
        <v>111</v>
      </c>
      <c r="B2316" s="5" t="s">
        <v>132</v>
      </c>
      <c r="C2316" s="5">
        <v>12</v>
      </c>
      <c r="D2316" s="5" t="s">
        <v>89</v>
      </c>
      <c r="E2316" s="5">
        <v>2021</v>
      </c>
      <c r="F2316" s="5">
        <v>9</v>
      </c>
      <c r="G2316" s="5" t="s">
        <v>30</v>
      </c>
      <c r="H2316" s="5">
        <v>13386308</v>
      </c>
      <c r="I2316" s="5">
        <v>11978749.67</v>
      </c>
      <c r="J2316" s="5">
        <v>184</v>
      </c>
      <c r="K2316" s="5">
        <v>1961158</v>
      </c>
      <c r="L2316" s="5">
        <v>15315580</v>
      </c>
      <c r="M2316" s="5">
        <v>1407558.33</v>
      </c>
      <c r="N2316" s="5">
        <v>0.1051</v>
      </c>
      <c r="O2316" s="5">
        <v>16</v>
      </c>
      <c r="P2316" s="5">
        <v>474946</v>
      </c>
    </row>
    <row r="2317" spans="1:16" x14ac:dyDescent="0.3">
      <c r="A2317" s="5">
        <v>111</v>
      </c>
      <c r="B2317" s="5" t="s">
        <v>132</v>
      </c>
      <c r="C2317" s="5">
        <v>12</v>
      </c>
      <c r="D2317" s="5" t="s">
        <v>89</v>
      </c>
      <c r="E2317" s="5">
        <v>2021</v>
      </c>
      <c r="F2317" s="5">
        <v>10</v>
      </c>
      <c r="G2317" s="5" t="s">
        <v>31</v>
      </c>
      <c r="H2317" s="5">
        <v>16177539</v>
      </c>
      <c r="I2317" s="5">
        <v>13758926.550000001</v>
      </c>
      <c r="J2317" s="5">
        <v>252</v>
      </c>
      <c r="K2317" s="5">
        <v>1621944</v>
      </c>
      <c r="L2317" s="5">
        <v>17758070</v>
      </c>
      <c r="M2317" s="5">
        <v>2418612.4500000002</v>
      </c>
      <c r="N2317" s="5">
        <v>0.14949999999999999</v>
      </c>
      <c r="O2317" s="5">
        <v>29</v>
      </c>
      <c r="P2317" s="5">
        <v>385668</v>
      </c>
    </row>
    <row r="2318" spans="1:16" x14ac:dyDescent="0.3">
      <c r="A2318" s="5">
        <v>111</v>
      </c>
      <c r="B2318" s="5" t="s">
        <v>132</v>
      </c>
      <c r="C2318" s="5">
        <v>12</v>
      </c>
      <c r="D2318" s="5" t="s">
        <v>89</v>
      </c>
      <c r="E2318" s="5">
        <v>2021</v>
      </c>
      <c r="F2318" s="5">
        <v>11</v>
      </c>
      <c r="G2318" s="5" t="s">
        <v>32</v>
      </c>
      <c r="H2318" s="5">
        <v>17847916</v>
      </c>
      <c r="I2318" s="5">
        <v>14931350.359999999</v>
      </c>
      <c r="J2318" s="5">
        <v>240</v>
      </c>
      <c r="K2318" s="5">
        <v>1228231</v>
      </c>
      <c r="L2318" s="5">
        <v>19021970</v>
      </c>
      <c r="M2318" s="5">
        <v>2916565.64</v>
      </c>
      <c r="N2318" s="5">
        <v>0.16339999999999999</v>
      </c>
      <c r="O2318" s="5">
        <v>21</v>
      </c>
      <c r="P2318" s="5">
        <v>668993</v>
      </c>
    </row>
    <row r="2319" spans="1:16" x14ac:dyDescent="0.3">
      <c r="A2319" s="5">
        <v>111</v>
      </c>
      <c r="B2319" s="5" t="s">
        <v>132</v>
      </c>
      <c r="C2319" s="5">
        <v>12</v>
      </c>
      <c r="D2319" s="5" t="s">
        <v>89</v>
      </c>
      <c r="E2319" s="5">
        <v>2021</v>
      </c>
      <c r="F2319" s="5">
        <v>12</v>
      </c>
      <c r="G2319" s="5" t="s">
        <v>33</v>
      </c>
      <c r="H2319" s="5">
        <v>17683418</v>
      </c>
      <c r="I2319" s="5">
        <v>14712661.539999999</v>
      </c>
      <c r="J2319" s="5">
        <v>247</v>
      </c>
      <c r="K2319" s="5">
        <v>1309369</v>
      </c>
      <c r="L2319" s="5">
        <v>18930610</v>
      </c>
      <c r="M2319" s="5">
        <v>2970756.46</v>
      </c>
      <c r="N2319" s="5">
        <v>0.16800000000000001</v>
      </c>
      <c r="O2319" s="5">
        <v>20</v>
      </c>
      <c r="P2319" s="5">
        <v>568571</v>
      </c>
    </row>
    <row r="2320" spans="1:16" x14ac:dyDescent="0.3">
      <c r="A2320" s="5">
        <v>111</v>
      </c>
      <c r="B2320" s="5" t="s">
        <v>132</v>
      </c>
      <c r="C2320" s="5">
        <v>12</v>
      </c>
      <c r="D2320" s="5" t="s">
        <v>89</v>
      </c>
      <c r="E2320" s="5">
        <v>2022</v>
      </c>
      <c r="F2320" s="5">
        <v>1</v>
      </c>
      <c r="G2320" s="5" t="s">
        <v>34</v>
      </c>
      <c r="H2320" s="5">
        <v>14796478</v>
      </c>
      <c r="I2320" s="5">
        <v>12199285.470000001</v>
      </c>
      <c r="J2320" s="5">
        <v>222</v>
      </c>
      <c r="K2320" s="5">
        <v>973980</v>
      </c>
      <c r="L2320" s="5">
        <v>15713990</v>
      </c>
      <c r="M2320" s="5">
        <v>2597192.5299999998</v>
      </c>
      <c r="N2320" s="5">
        <v>0.17549999999999999</v>
      </c>
      <c r="O2320" s="5">
        <v>13</v>
      </c>
      <c r="P2320" s="5">
        <v>309041</v>
      </c>
    </row>
    <row r="2321" spans="1:16" x14ac:dyDescent="0.3">
      <c r="A2321" s="5">
        <v>111</v>
      </c>
      <c r="B2321" s="5" t="s">
        <v>132</v>
      </c>
      <c r="C2321" s="5">
        <v>12</v>
      </c>
      <c r="D2321" s="5" t="s">
        <v>89</v>
      </c>
      <c r="E2321" s="5">
        <v>2022</v>
      </c>
      <c r="F2321" s="5">
        <v>2</v>
      </c>
      <c r="G2321" s="5" t="s">
        <v>35</v>
      </c>
      <c r="H2321" s="5">
        <v>13296983</v>
      </c>
      <c r="I2321" s="5">
        <v>11008918.699999999</v>
      </c>
      <c r="J2321" s="5">
        <v>192</v>
      </c>
      <c r="K2321" s="5">
        <v>915341</v>
      </c>
      <c r="L2321" s="5">
        <v>14176680</v>
      </c>
      <c r="M2321" s="5">
        <v>2288064.2999999998</v>
      </c>
      <c r="N2321" s="5">
        <v>0.1721</v>
      </c>
      <c r="O2321" s="5">
        <v>21</v>
      </c>
      <c r="P2321" s="5">
        <v>439559</v>
      </c>
    </row>
    <row r="2322" spans="1:16" x14ac:dyDescent="0.3">
      <c r="A2322" s="5">
        <v>111</v>
      </c>
      <c r="B2322" s="5" t="s">
        <v>132</v>
      </c>
      <c r="C2322" s="5">
        <v>12</v>
      </c>
      <c r="D2322" s="5" t="s">
        <v>89</v>
      </c>
      <c r="E2322" s="5">
        <v>2022</v>
      </c>
      <c r="F2322" s="5">
        <v>3</v>
      </c>
      <c r="G2322" s="5" t="s">
        <v>36</v>
      </c>
      <c r="H2322" s="5">
        <v>14115964</v>
      </c>
      <c r="I2322" s="5">
        <v>12216451.57</v>
      </c>
      <c r="J2322" s="5">
        <v>209</v>
      </c>
      <c r="K2322" s="5">
        <v>1741550</v>
      </c>
      <c r="L2322" s="5">
        <v>15825700</v>
      </c>
      <c r="M2322" s="5">
        <v>1899512.43</v>
      </c>
      <c r="N2322" s="5">
        <v>0.1346</v>
      </c>
      <c r="O2322" s="5">
        <v>15</v>
      </c>
      <c r="P2322" s="5">
        <v>637866</v>
      </c>
    </row>
    <row r="2323" spans="1:16" x14ac:dyDescent="0.3">
      <c r="A2323" s="5">
        <v>111</v>
      </c>
      <c r="B2323" s="5" t="s">
        <v>132</v>
      </c>
      <c r="C2323" s="5">
        <v>12</v>
      </c>
      <c r="D2323" s="5" t="s">
        <v>89</v>
      </c>
      <c r="E2323" s="5">
        <v>2022</v>
      </c>
      <c r="F2323" s="5">
        <v>4</v>
      </c>
      <c r="G2323" s="5" t="s">
        <v>37</v>
      </c>
      <c r="H2323" s="5">
        <v>14735464</v>
      </c>
      <c r="I2323" s="5">
        <v>12568701.199999999</v>
      </c>
      <c r="J2323" s="5">
        <v>218</v>
      </c>
      <c r="K2323" s="5">
        <v>1461356</v>
      </c>
      <c r="L2323" s="5">
        <v>16135800</v>
      </c>
      <c r="M2323" s="5">
        <v>2166762.7999999998</v>
      </c>
      <c r="N2323" s="5">
        <v>0.14699999999999999</v>
      </c>
      <c r="O2323" s="5">
        <v>13</v>
      </c>
      <c r="P2323" s="5">
        <v>368652</v>
      </c>
    </row>
    <row r="2324" spans="1:16" x14ac:dyDescent="0.3">
      <c r="A2324" s="5">
        <v>111</v>
      </c>
      <c r="B2324" s="5" t="s">
        <v>132</v>
      </c>
      <c r="C2324" s="5">
        <v>12</v>
      </c>
      <c r="D2324" s="5" t="s">
        <v>89</v>
      </c>
      <c r="E2324" s="5">
        <v>2022</v>
      </c>
      <c r="F2324" s="5">
        <v>5</v>
      </c>
      <c r="G2324" s="5" t="s">
        <v>38</v>
      </c>
      <c r="H2324" s="5">
        <v>17347183</v>
      </c>
      <c r="I2324" s="5">
        <v>15351648.640000001</v>
      </c>
      <c r="J2324" s="5">
        <v>250</v>
      </c>
      <c r="K2324" s="5">
        <v>2170093</v>
      </c>
      <c r="L2324" s="5">
        <v>19453110</v>
      </c>
      <c r="M2324" s="5">
        <v>1995534.36</v>
      </c>
      <c r="N2324" s="5">
        <v>0.115</v>
      </c>
      <c r="O2324" s="5">
        <v>28</v>
      </c>
      <c r="P2324" s="5">
        <v>762869</v>
      </c>
    </row>
    <row r="2325" spans="1:16" x14ac:dyDescent="0.3">
      <c r="A2325" s="5">
        <v>111</v>
      </c>
      <c r="B2325" s="5" t="s">
        <v>132</v>
      </c>
      <c r="C2325" s="5">
        <v>12</v>
      </c>
      <c r="D2325" s="5" t="s">
        <v>89</v>
      </c>
      <c r="E2325" s="5">
        <v>2022</v>
      </c>
      <c r="F2325" s="5">
        <v>6</v>
      </c>
      <c r="G2325" s="5" t="s">
        <v>39</v>
      </c>
      <c r="H2325" s="5">
        <v>15781038</v>
      </c>
      <c r="I2325" s="5">
        <v>13541917.789999999</v>
      </c>
      <c r="J2325" s="5">
        <v>231</v>
      </c>
      <c r="K2325" s="5">
        <v>1669661</v>
      </c>
      <c r="L2325" s="5">
        <v>17408140</v>
      </c>
      <c r="M2325" s="5">
        <v>2239120.21</v>
      </c>
      <c r="N2325" s="5">
        <v>0.1419</v>
      </c>
      <c r="O2325" s="5">
        <v>16</v>
      </c>
      <c r="P2325" s="5">
        <v>352692</v>
      </c>
    </row>
    <row r="2326" spans="1:16" x14ac:dyDescent="0.3">
      <c r="A2326" s="5">
        <v>111</v>
      </c>
      <c r="B2326" s="5" t="s">
        <v>132</v>
      </c>
      <c r="C2326" s="5">
        <v>12</v>
      </c>
      <c r="D2326" s="5" t="s">
        <v>89</v>
      </c>
      <c r="E2326" s="5">
        <v>2022</v>
      </c>
      <c r="F2326" s="5">
        <v>7</v>
      </c>
      <c r="G2326" s="5" t="s">
        <v>40</v>
      </c>
      <c r="H2326" s="5">
        <v>13641826</v>
      </c>
      <c r="I2326" s="5">
        <v>12055855.289999999</v>
      </c>
      <c r="J2326" s="5">
        <v>217</v>
      </c>
      <c r="K2326" s="5">
        <v>2041299</v>
      </c>
      <c r="L2326" s="5">
        <v>15634700</v>
      </c>
      <c r="M2326" s="5">
        <v>1585970.71</v>
      </c>
      <c r="N2326" s="5">
        <v>0.1163</v>
      </c>
      <c r="O2326" s="5">
        <v>20</v>
      </c>
      <c r="P2326" s="5">
        <v>491734</v>
      </c>
    </row>
    <row r="2327" spans="1:16" x14ac:dyDescent="0.3">
      <c r="A2327" s="5">
        <v>111</v>
      </c>
      <c r="B2327" s="5" t="s">
        <v>132</v>
      </c>
      <c r="C2327" s="5">
        <v>12</v>
      </c>
      <c r="D2327" s="5" t="s">
        <v>89</v>
      </c>
      <c r="E2327" s="5">
        <v>2022</v>
      </c>
      <c r="F2327" s="5">
        <v>8</v>
      </c>
      <c r="G2327" s="5" t="s">
        <v>41</v>
      </c>
      <c r="H2327" s="5">
        <v>15062213</v>
      </c>
      <c r="I2327" s="5">
        <v>14391049.130000001</v>
      </c>
      <c r="J2327" s="5">
        <v>238</v>
      </c>
      <c r="K2327" s="5">
        <v>3474631</v>
      </c>
      <c r="L2327" s="5">
        <v>18485520</v>
      </c>
      <c r="M2327" s="5">
        <v>671163.87</v>
      </c>
      <c r="N2327" s="5">
        <v>4.4600000000000001E-2</v>
      </c>
      <c r="O2327" s="5">
        <v>25</v>
      </c>
      <c r="P2327" s="5">
        <v>679567</v>
      </c>
    </row>
    <row r="2328" spans="1:16" x14ac:dyDescent="0.3">
      <c r="A2328" s="5">
        <v>111</v>
      </c>
      <c r="B2328" s="5" t="s">
        <v>132</v>
      </c>
      <c r="C2328" s="5">
        <v>12</v>
      </c>
      <c r="D2328" s="5" t="s">
        <v>89</v>
      </c>
      <c r="E2328" s="5">
        <v>2022</v>
      </c>
      <c r="F2328" s="5">
        <v>9</v>
      </c>
      <c r="G2328" s="5" t="s">
        <v>42</v>
      </c>
      <c r="H2328" s="5">
        <v>20635762</v>
      </c>
      <c r="I2328" s="5">
        <v>18016426.699999999</v>
      </c>
      <c r="J2328" s="5">
        <v>275</v>
      </c>
      <c r="K2328" s="5">
        <v>2639706</v>
      </c>
      <c r="L2328" s="5">
        <v>23207650</v>
      </c>
      <c r="M2328" s="5">
        <v>2619335.2999999998</v>
      </c>
      <c r="N2328" s="5">
        <v>0.12690000000000001</v>
      </c>
      <c r="O2328" s="5">
        <v>13</v>
      </c>
      <c r="P2328" s="5">
        <v>388025</v>
      </c>
    </row>
    <row r="2329" spans="1:16" x14ac:dyDescent="0.3">
      <c r="A2329" s="5">
        <v>111</v>
      </c>
      <c r="B2329" s="5" t="s">
        <v>132</v>
      </c>
      <c r="C2329" s="5">
        <v>12</v>
      </c>
      <c r="D2329" s="5" t="s">
        <v>89</v>
      </c>
      <c r="E2329" s="5">
        <v>2022</v>
      </c>
      <c r="F2329" s="5">
        <v>10</v>
      </c>
      <c r="G2329" s="5" t="s">
        <v>43</v>
      </c>
      <c r="H2329" s="5">
        <v>18768095</v>
      </c>
      <c r="I2329" s="5">
        <v>17271083.469999999</v>
      </c>
      <c r="J2329" s="5">
        <v>313</v>
      </c>
      <c r="K2329" s="5">
        <v>3430965</v>
      </c>
      <c r="L2329" s="5">
        <v>22143390</v>
      </c>
      <c r="M2329" s="5">
        <v>1497011.53</v>
      </c>
      <c r="N2329" s="5">
        <v>7.9799999999999996E-2</v>
      </c>
      <c r="O2329" s="5">
        <v>25</v>
      </c>
      <c r="P2329" s="5">
        <v>501588</v>
      </c>
    </row>
    <row r="2330" spans="1:16" x14ac:dyDescent="0.3">
      <c r="A2330" s="5">
        <v>111</v>
      </c>
      <c r="B2330" s="5" t="s">
        <v>132</v>
      </c>
      <c r="C2330" s="5">
        <v>12</v>
      </c>
      <c r="D2330" s="5" t="s">
        <v>89</v>
      </c>
      <c r="E2330" s="5">
        <v>2022</v>
      </c>
      <c r="F2330" s="5">
        <v>11</v>
      </c>
      <c r="G2330" s="5" t="s">
        <v>44</v>
      </c>
      <c r="H2330" s="5">
        <v>21233815</v>
      </c>
      <c r="I2330" s="5">
        <v>18061545.079999998</v>
      </c>
      <c r="J2330" s="5">
        <v>331</v>
      </c>
      <c r="K2330" s="5">
        <v>2136637</v>
      </c>
      <c r="L2330" s="5">
        <v>23291420</v>
      </c>
      <c r="M2330" s="5">
        <v>3172269.92</v>
      </c>
      <c r="N2330" s="5">
        <v>0.14940000000000001</v>
      </c>
      <c r="O2330" s="5">
        <v>25</v>
      </c>
      <c r="P2330" s="5">
        <v>846222</v>
      </c>
    </row>
    <row r="2331" spans="1:16" x14ac:dyDescent="0.3">
      <c r="A2331" s="5">
        <v>111</v>
      </c>
      <c r="B2331" s="5" t="s">
        <v>132</v>
      </c>
      <c r="C2331" s="5">
        <v>12</v>
      </c>
      <c r="D2331" s="5" t="s">
        <v>89</v>
      </c>
      <c r="E2331" s="5">
        <v>2022</v>
      </c>
      <c r="F2331" s="5">
        <v>12</v>
      </c>
      <c r="G2331" s="5" t="s">
        <v>45</v>
      </c>
      <c r="H2331" s="5">
        <v>22946765</v>
      </c>
      <c r="I2331" s="5">
        <v>18897773.140000001</v>
      </c>
      <c r="J2331" s="5">
        <v>313</v>
      </c>
      <c r="K2331" s="5">
        <v>1557339</v>
      </c>
      <c r="L2331" s="5">
        <v>24409910</v>
      </c>
      <c r="M2331" s="5">
        <v>4048991.86</v>
      </c>
      <c r="N2331" s="5">
        <v>0.17649999999999999</v>
      </c>
      <c r="O2331" s="5">
        <v>22</v>
      </c>
      <c r="P2331" s="5">
        <v>505127</v>
      </c>
    </row>
    <row r="2332" spans="1:16" x14ac:dyDescent="0.3">
      <c r="A2332" s="5">
        <v>111</v>
      </c>
      <c r="B2332" s="5" t="s">
        <v>132</v>
      </c>
      <c r="C2332" s="5">
        <v>12</v>
      </c>
      <c r="D2332" s="5" t="s">
        <v>89</v>
      </c>
      <c r="E2332" s="5">
        <v>2023</v>
      </c>
      <c r="F2332" s="5">
        <v>1</v>
      </c>
      <c r="G2332" s="5" t="s">
        <v>46</v>
      </c>
      <c r="H2332" s="5">
        <v>19104935</v>
      </c>
      <c r="I2332" s="5">
        <v>16847733.09</v>
      </c>
      <c r="J2332" s="5">
        <v>267</v>
      </c>
      <c r="K2332" s="5">
        <v>2593378</v>
      </c>
      <c r="L2332" s="5">
        <v>21645630</v>
      </c>
      <c r="M2332" s="5">
        <v>2257201.91</v>
      </c>
      <c r="N2332" s="5">
        <v>0.1181</v>
      </c>
      <c r="O2332" s="5">
        <v>21</v>
      </c>
      <c r="P2332" s="5">
        <v>453114</v>
      </c>
    </row>
    <row r="2333" spans="1:16" x14ac:dyDescent="0.3">
      <c r="A2333" s="5">
        <v>111</v>
      </c>
      <c r="B2333" s="5" t="s">
        <v>132</v>
      </c>
      <c r="C2333" s="5">
        <v>12</v>
      </c>
      <c r="D2333" s="5" t="s">
        <v>89</v>
      </c>
      <c r="E2333" s="5">
        <v>2023</v>
      </c>
      <c r="F2333" s="5">
        <v>2</v>
      </c>
      <c r="G2333" s="5" t="s">
        <v>47</v>
      </c>
      <c r="H2333" s="5">
        <v>18006499</v>
      </c>
      <c r="I2333" s="5">
        <v>15170523.32</v>
      </c>
      <c r="J2333" s="5">
        <v>261</v>
      </c>
      <c r="K2333" s="5">
        <v>1677308</v>
      </c>
      <c r="L2333" s="5">
        <v>19604530</v>
      </c>
      <c r="M2333" s="5">
        <v>2835975.68</v>
      </c>
      <c r="N2333" s="5">
        <v>0.1575</v>
      </c>
      <c r="O2333" s="5">
        <v>28</v>
      </c>
      <c r="P2333" s="5">
        <v>895436</v>
      </c>
    </row>
    <row r="2334" spans="1:16" x14ac:dyDescent="0.3">
      <c r="A2334" s="5">
        <v>111</v>
      </c>
      <c r="B2334" s="5" t="s">
        <v>132</v>
      </c>
      <c r="C2334" s="5">
        <v>12</v>
      </c>
      <c r="D2334" s="5" t="s">
        <v>89</v>
      </c>
      <c r="E2334" s="5">
        <v>2023</v>
      </c>
      <c r="F2334" s="5">
        <v>3</v>
      </c>
      <c r="G2334" s="5" t="s">
        <v>48</v>
      </c>
      <c r="H2334" s="5">
        <v>19498931</v>
      </c>
      <c r="I2334" s="5">
        <v>16901889.329999998</v>
      </c>
      <c r="J2334" s="5">
        <v>259</v>
      </c>
      <c r="K2334" s="5">
        <v>2240230</v>
      </c>
      <c r="L2334" s="5">
        <v>21658060</v>
      </c>
      <c r="M2334" s="5">
        <v>2597041.67</v>
      </c>
      <c r="N2334" s="5">
        <v>0.13320000000000001</v>
      </c>
      <c r="O2334" s="5">
        <v>14</v>
      </c>
      <c r="P2334" s="5">
        <v>877997</v>
      </c>
    </row>
    <row r="2335" spans="1:16" x14ac:dyDescent="0.3">
      <c r="A2335" s="5">
        <v>111</v>
      </c>
      <c r="B2335" s="5" t="s">
        <v>132</v>
      </c>
      <c r="C2335" s="5">
        <v>12</v>
      </c>
      <c r="D2335" s="5" t="s">
        <v>89</v>
      </c>
      <c r="E2335" s="5">
        <v>2023</v>
      </c>
      <c r="F2335" s="5">
        <v>4</v>
      </c>
      <c r="G2335" s="5" t="s">
        <v>49</v>
      </c>
      <c r="H2335" s="5">
        <v>19284524</v>
      </c>
      <c r="I2335" s="5">
        <v>17093087.780000001</v>
      </c>
      <c r="J2335" s="5">
        <v>315</v>
      </c>
      <c r="K2335" s="5">
        <v>2720856</v>
      </c>
      <c r="L2335" s="5">
        <v>21949670</v>
      </c>
      <c r="M2335" s="5">
        <v>2191436.2200000002</v>
      </c>
      <c r="N2335" s="5">
        <v>0.11360000000000001</v>
      </c>
      <c r="O2335" s="5">
        <v>20</v>
      </c>
      <c r="P2335" s="5">
        <v>821939</v>
      </c>
    </row>
    <row r="2336" spans="1:16" x14ac:dyDescent="0.3">
      <c r="A2336" s="5">
        <v>111</v>
      </c>
      <c r="B2336" s="5" t="s">
        <v>132</v>
      </c>
      <c r="C2336" s="5">
        <v>12</v>
      </c>
      <c r="D2336" s="5" t="s">
        <v>89</v>
      </c>
      <c r="E2336" s="5">
        <v>2023</v>
      </c>
      <c r="F2336" s="5">
        <v>5</v>
      </c>
      <c r="G2336" s="5" t="s">
        <v>50</v>
      </c>
      <c r="H2336" s="5">
        <v>21453807</v>
      </c>
      <c r="I2336" s="5">
        <v>18648734.510000002</v>
      </c>
      <c r="J2336" s="5">
        <v>324</v>
      </c>
      <c r="K2336" s="5">
        <v>2579888</v>
      </c>
      <c r="L2336" s="5">
        <v>23976030</v>
      </c>
      <c r="M2336" s="5">
        <v>2805072.49</v>
      </c>
      <c r="N2336" s="5">
        <v>0.13070000000000001</v>
      </c>
      <c r="O2336" s="5">
        <v>31</v>
      </c>
      <c r="P2336" s="5">
        <v>838609</v>
      </c>
    </row>
    <row r="2337" spans="1:16" x14ac:dyDescent="0.3">
      <c r="A2337" s="5">
        <v>111</v>
      </c>
      <c r="B2337" s="5" t="s">
        <v>132</v>
      </c>
      <c r="C2337" s="5">
        <v>12</v>
      </c>
      <c r="D2337" s="5" t="s">
        <v>89</v>
      </c>
      <c r="E2337" s="5">
        <v>2023</v>
      </c>
      <c r="F2337" s="5">
        <v>6</v>
      </c>
      <c r="G2337" s="5" t="s">
        <v>51</v>
      </c>
      <c r="H2337" s="5">
        <v>19488106</v>
      </c>
      <c r="I2337" s="5">
        <v>16718128.16</v>
      </c>
      <c r="J2337" s="5">
        <v>284</v>
      </c>
      <c r="K2337" s="5">
        <v>2158959</v>
      </c>
      <c r="L2337" s="5">
        <v>21595040</v>
      </c>
      <c r="M2337" s="5">
        <v>2769977.84</v>
      </c>
      <c r="N2337" s="5">
        <v>0.1421</v>
      </c>
      <c r="O2337" s="5">
        <v>20</v>
      </c>
      <c r="P2337" s="5">
        <v>887616</v>
      </c>
    </row>
    <row r="2338" spans="1:16" x14ac:dyDescent="0.3">
      <c r="A2338" s="5">
        <v>111</v>
      </c>
      <c r="B2338" s="5" t="s">
        <v>132</v>
      </c>
      <c r="C2338" s="5">
        <v>12</v>
      </c>
      <c r="D2338" s="5" t="s">
        <v>89</v>
      </c>
      <c r="E2338" s="5">
        <v>2023</v>
      </c>
      <c r="F2338" s="5">
        <v>7</v>
      </c>
      <c r="G2338" s="5" t="s">
        <v>52</v>
      </c>
      <c r="H2338" s="5">
        <v>20984741</v>
      </c>
      <c r="I2338" s="5">
        <v>18301337.960000001</v>
      </c>
      <c r="J2338" s="5">
        <v>301</v>
      </c>
      <c r="K2338" s="5">
        <v>2594278</v>
      </c>
      <c r="L2338" s="5">
        <v>23493640</v>
      </c>
      <c r="M2338" s="5">
        <v>2683403.04</v>
      </c>
      <c r="N2338" s="5">
        <v>0.12790000000000001</v>
      </c>
      <c r="O2338" s="5">
        <v>34</v>
      </c>
      <c r="P2338" s="5">
        <v>660178</v>
      </c>
    </row>
    <row r="2339" spans="1:16" x14ac:dyDescent="0.3">
      <c r="A2339" s="5">
        <v>111</v>
      </c>
      <c r="B2339" s="5" t="s">
        <v>132</v>
      </c>
      <c r="C2339" s="5">
        <v>12</v>
      </c>
      <c r="D2339" s="5" t="s">
        <v>89</v>
      </c>
      <c r="E2339" s="5">
        <v>2023</v>
      </c>
      <c r="F2339" s="5">
        <v>8</v>
      </c>
      <c r="G2339" s="5" t="s">
        <v>53</v>
      </c>
      <c r="H2339" s="5">
        <v>19589954</v>
      </c>
      <c r="I2339" s="5">
        <v>17113362.620000001</v>
      </c>
      <c r="J2339" s="5">
        <v>284</v>
      </c>
      <c r="K2339" s="5">
        <v>2778822</v>
      </c>
      <c r="L2339" s="5">
        <v>22293420</v>
      </c>
      <c r="M2339" s="5">
        <v>2476591.38</v>
      </c>
      <c r="N2339" s="5">
        <v>0.12640000000000001</v>
      </c>
      <c r="O2339" s="5">
        <v>26</v>
      </c>
      <c r="P2339" s="5">
        <v>773111</v>
      </c>
    </row>
    <row r="2340" spans="1:16" x14ac:dyDescent="0.3">
      <c r="A2340" s="5">
        <v>111</v>
      </c>
      <c r="B2340" s="5" t="s">
        <v>132</v>
      </c>
      <c r="C2340" s="5">
        <v>12</v>
      </c>
      <c r="D2340" s="5" t="s">
        <v>89</v>
      </c>
      <c r="E2340" s="5">
        <v>2023</v>
      </c>
      <c r="F2340" s="5">
        <v>9</v>
      </c>
      <c r="G2340" s="5" t="s">
        <v>54</v>
      </c>
      <c r="H2340" s="5">
        <v>21001388</v>
      </c>
      <c r="I2340" s="5">
        <v>18883469.390000001</v>
      </c>
      <c r="J2340" s="5">
        <v>335</v>
      </c>
      <c r="K2340" s="5">
        <v>3356040</v>
      </c>
      <c r="L2340" s="5">
        <v>24279180</v>
      </c>
      <c r="M2340" s="5">
        <v>2117918.61</v>
      </c>
      <c r="N2340" s="5">
        <v>0.1008</v>
      </c>
      <c r="O2340" s="5">
        <v>28</v>
      </c>
      <c r="P2340" s="5">
        <v>753972</v>
      </c>
    </row>
    <row r="2341" spans="1:16" x14ac:dyDescent="0.3">
      <c r="A2341" s="5">
        <v>111</v>
      </c>
      <c r="B2341" s="5" t="s">
        <v>132</v>
      </c>
      <c r="C2341" s="5">
        <v>12</v>
      </c>
      <c r="D2341" s="5" t="s">
        <v>89</v>
      </c>
      <c r="E2341" s="5">
        <v>2023</v>
      </c>
      <c r="F2341" s="5">
        <v>10</v>
      </c>
      <c r="G2341" s="5" t="s">
        <v>55</v>
      </c>
      <c r="H2341" s="5">
        <v>30374307</v>
      </c>
      <c r="I2341" s="5">
        <v>26404892.440000001</v>
      </c>
      <c r="J2341" s="5">
        <v>455</v>
      </c>
      <c r="K2341" s="5">
        <v>3716756</v>
      </c>
      <c r="L2341" s="5">
        <v>34003490</v>
      </c>
      <c r="M2341" s="5">
        <v>3969414.56</v>
      </c>
      <c r="N2341" s="5">
        <v>0.13070000000000001</v>
      </c>
      <c r="O2341" s="5">
        <v>39</v>
      </c>
      <c r="P2341" s="5">
        <v>934382</v>
      </c>
    </row>
    <row r="2342" spans="1:16" x14ac:dyDescent="0.3">
      <c r="A2342" s="5">
        <v>111</v>
      </c>
      <c r="B2342" s="5" t="s">
        <v>132</v>
      </c>
      <c r="C2342" s="5">
        <v>12</v>
      </c>
      <c r="D2342" s="5" t="s">
        <v>89</v>
      </c>
      <c r="E2342" s="5">
        <v>2023</v>
      </c>
      <c r="F2342" s="5">
        <v>11</v>
      </c>
      <c r="G2342" s="5" t="s">
        <v>56</v>
      </c>
      <c r="H2342" s="5">
        <v>26579494</v>
      </c>
      <c r="I2342" s="5">
        <v>23927890.219999999</v>
      </c>
      <c r="J2342" s="5">
        <v>426</v>
      </c>
      <c r="K2342" s="5">
        <v>4230062</v>
      </c>
      <c r="L2342" s="5">
        <v>30701530</v>
      </c>
      <c r="M2342" s="5">
        <v>2651603.7799999998</v>
      </c>
      <c r="N2342" s="5">
        <v>9.98E-2</v>
      </c>
      <c r="O2342" s="5">
        <v>42</v>
      </c>
      <c r="P2342" s="5">
        <v>927106</v>
      </c>
    </row>
    <row r="2343" spans="1:16" x14ac:dyDescent="0.3">
      <c r="A2343" s="5">
        <v>111</v>
      </c>
      <c r="B2343" s="5" t="s">
        <v>132</v>
      </c>
      <c r="C2343" s="5">
        <v>12</v>
      </c>
      <c r="D2343" s="5" t="s">
        <v>89</v>
      </c>
      <c r="E2343" s="5">
        <v>2023</v>
      </c>
      <c r="F2343" s="5">
        <v>12</v>
      </c>
      <c r="G2343" s="5" t="s">
        <v>57</v>
      </c>
      <c r="H2343" s="5">
        <v>27762877</v>
      </c>
      <c r="I2343" s="5">
        <v>25113425.079999998</v>
      </c>
      <c r="J2343" s="5">
        <v>433</v>
      </c>
      <c r="K2343" s="5">
        <v>4741105</v>
      </c>
      <c r="L2343" s="5">
        <v>32403860</v>
      </c>
      <c r="M2343" s="5">
        <v>2649451.92</v>
      </c>
      <c r="N2343" s="5">
        <v>9.5399999999999999E-2</v>
      </c>
      <c r="O2343" s="5">
        <v>37</v>
      </c>
      <c r="P2343" s="5">
        <v>697739</v>
      </c>
    </row>
    <row r="2344" spans="1:16" x14ac:dyDescent="0.3">
      <c r="A2344" s="5">
        <v>111</v>
      </c>
      <c r="B2344" s="5" t="s">
        <v>132</v>
      </c>
      <c r="C2344" s="5">
        <v>12</v>
      </c>
      <c r="D2344" s="5" t="s">
        <v>89</v>
      </c>
      <c r="E2344" s="5">
        <v>2024</v>
      </c>
      <c r="F2344" s="5">
        <v>1</v>
      </c>
      <c r="G2344" s="5" t="s">
        <v>58</v>
      </c>
      <c r="H2344" s="5">
        <v>16533347</v>
      </c>
      <c r="I2344" s="5">
        <v>14424982.42</v>
      </c>
      <c r="J2344" s="5">
        <v>268</v>
      </c>
      <c r="K2344" s="5">
        <v>2177874</v>
      </c>
      <c r="L2344" s="5">
        <v>18635100</v>
      </c>
      <c r="M2344" s="5">
        <v>2108364.58</v>
      </c>
      <c r="N2344" s="5">
        <v>0.1275</v>
      </c>
      <c r="O2344" s="5">
        <v>23</v>
      </c>
      <c r="P2344" s="5">
        <v>646432</v>
      </c>
    </row>
    <row r="2345" spans="1:16" x14ac:dyDescent="0.3">
      <c r="A2345" s="5">
        <v>111</v>
      </c>
      <c r="B2345" s="5" t="s">
        <v>132</v>
      </c>
      <c r="C2345" s="5">
        <v>12</v>
      </c>
      <c r="D2345" s="5" t="s">
        <v>89</v>
      </c>
      <c r="E2345" s="5">
        <v>2024</v>
      </c>
      <c r="F2345" s="5">
        <v>2</v>
      </c>
      <c r="G2345" s="5" t="s">
        <v>59</v>
      </c>
      <c r="H2345" s="5">
        <v>18787759</v>
      </c>
      <c r="I2345" s="5">
        <v>15978450.779999999</v>
      </c>
      <c r="J2345" s="5">
        <v>277</v>
      </c>
      <c r="K2345" s="5">
        <v>1880135</v>
      </c>
      <c r="L2345" s="5">
        <v>20598890</v>
      </c>
      <c r="M2345" s="5">
        <v>2809308.22</v>
      </c>
      <c r="N2345" s="5">
        <v>0.14949999999999999</v>
      </c>
      <c r="O2345" s="5">
        <v>27</v>
      </c>
      <c r="P2345" s="5">
        <v>633900</v>
      </c>
    </row>
    <row r="2346" spans="1:16" x14ac:dyDescent="0.3">
      <c r="A2346" s="5">
        <v>111</v>
      </c>
      <c r="B2346" s="5" t="s">
        <v>132</v>
      </c>
      <c r="C2346" s="5">
        <v>12</v>
      </c>
      <c r="D2346" s="5" t="s">
        <v>89</v>
      </c>
      <c r="E2346" s="5">
        <v>2024</v>
      </c>
      <c r="F2346" s="5">
        <v>3</v>
      </c>
      <c r="G2346" s="5" t="s">
        <v>60</v>
      </c>
      <c r="H2346" s="5">
        <v>21791558</v>
      </c>
      <c r="I2346" s="5">
        <v>18684676.09</v>
      </c>
      <c r="J2346" s="5">
        <v>322</v>
      </c>
      <c r="K2346" s="5">
        <v>2403267</v>
      </c>
      <c r="L2346" s="5">
        <v>24126440</v>
      </c>
      <c r="M2346" s="5">
        <v>3106881.91</v>
      </c>
      <c r="N2346" s="5">
        <v>0.1426</v>
      </c>
      <c r="O2346" s="5">
        <v>31</v>
      </c>
      <c r="P2346" s="5">
        <v>665196</v>
      </c>
    </row>
    <row r="2347" spans="1:16" x14ac:dyDescent="0.3">
      <c r="A2347" s="5">
        <v>111</v>
      </c>
      <c r="B2347" s="5" t="s">
        <v>132</v>
      </c>
      <c r="C2347" s="5">
        <v>12</v>
      </c>
      <c r="D2347" s="5" t="s">
        <v>89</v>
      </c>
      <c r="E2347" s="5">
        <v>2024</v>
      </c>
      <c r="F2347" s="5">
        <v>4</v>
      </c>
      <c r="G2347" s="5" t="s">
        <v>61</v>
      </c>
      <c r="H2347" s="5">
        <v>20313235</v>
      </c>
      <c r="I2347" s="5">
        <v>17787353.059999999</v>
      </c>
      <c r="J2347" s="5">
        <v>320</v>
      </c>
      <c r="K2347" s="5">
        <v>2630799</v>
      </c>
      <c r="L2347" s="5">
        <v>22911770</v>
      </c>
      <c r="M2347" s="5">
        <v>2525881.94</v>
      </c>
      <c r="N2347" s="5">
        <v>0.12429999999999999</v>
      </c>
      <c r="O2347" s="5">
        <v>15</v>
      </c>
      <c r="P2347" s="5">
        <v>513105</v>
      </c>
    </row>
    <row r="2348" spans="1:16" x14ac:dyDescent="0.3">
      <c r="A2348" s="5">
        <v>111</v>
      </c>
      <c r="B2348" s="5" t="s">
        <v>132</v>
      </c>
      <c r="C2348" s="5">
        <v>12</v>
      </c>
      <c r="D2348" s="5" t="s">
        <v>89</v>
      </c>
      <c r="E2348" s="5">
        <v>2024</v>
      </c>
      <c r="F2348" s="5">
        <v>5</v>
      </c>
      <c r="G2348" s="5" t="s">
        <v>62</v>
      </c>
      <c r="H2348" s="5">
        <v>23612795</v>
      </c>
      <c r="I2348" s="5">
        <v>20934002.460000001</v>
      </c>
      <c r="J2348" s="5">
        <v>331</v>
      </c>
      <c r="K2348" s="5">
        <v>3402108</v>
      </c>
      <c r="L2348" s="5">
        <v>26920200</v>
      </c>
      <c r="M2348" s="5">
        <v>2678792.54</v>
      </c>
      <c r="N2348" s="5">
        <v>0.1134</v>
      </c>
      <c r="O2348" s="5">
        <v>19</v>
      </c>
      <c r="P2348" s="5">
        <v>660366</v>
      </c>
    </row>
    <row r="2349" spans="1:16" x14ac:dyDescent="0.3">
      <c r="A2349" s="5">
        <v>111</v>
      </c>
      <c r="B2349" s="5" t="s">
        <v>132</v>
      </c>
      <c r="C2349" s="5">
        <v>12</v>
      </c>
      <c r="D2349" s="5" t="s">
        <v>89</v>
      </c>
      <c r="E2349" s="5">
        <v>2024</v>
      </c>
      <c r="F2349" s="5">
        <v>6</v>
      </c>
      <c r="G2349" s="5" t="s">
        <v>63</v>
      </c>
      <c r="H2349" s="5">
        <v>23932138</v>
      </c>
      <c r="I2349" s="5">
        <v>19923008.789999999</v>
      </c>
      <c r="J2349" s="5">
        <v>352</v>
      </c>
      <c r="K2349" s="5">
        <v>2001376</v>
      </c>
      <c r="L2349" s="5">
        <v>25856270</v>
      </c>
      <c r="M2349" s="5">
        <v>4009129.21</v>
      </c>
      <c r="N2349" s="5">
        <v>0.16750000000000001</v>
      </c>
      <c r="O2349" s="5">
        <v>27</v>
      </c>
      <c r="P2349" s="5">
        <v>557627</v>
      </c>
    </row>
    <row r="2350" spans="1:16" x14ac:dyDescent="0.3">
      <c r="A2350" s="5">
        <v>111</v>
      </c>
      <c r="B2350" s="5" t="s">
        <v>132</v>
      </c>
      <c r="C2350" s="5">
        <v>12</v>
      </c>
      <c r="D2350" s="5" t="s">
        <v>89</v>
      </c>
      <c r="E2350" s="5">
        <v>2024</v>
      </c>
      <c r="F2350" s="5">
        <v>7</v>
      </c>
      <c r="G2350" s="5" t="s">
        <v>64</v>
      </c>
      <c r="H2350" s="5">
        <v>20823468</v>
      </c>
      <c r="I2350" s="5">
        <v>17888454.02</v>
      </c>
      <c r="J2350" s="5">
        <v>300</v>
      </c>
      <c r="K2350" s="5">
        <v>2083960</v>
      </c>
      <c r="L2350" s="5">
        <v>22824860</v>
      </c>
      <c r="M2350" s="5">
        <v>2935013.98</v>
      </c>
      <c r="N2350" s="5">
        <v>0.1409</v>
      </c>
      <c r="O2350" s="5">
        <v>18</v>
      </c>
      <c r="P2350" s="5">
        <v>572471</v>
      </c>
    </row>
    <row r="2351" spans="1:16" x14ac:dyDescent="0.3">
      <c r="A2351" s="5">
        <v>111</v>
      </c>
      <c r="B2351" s="5" t="s">
        <v>132</v>
      </c>
      <c r="C2351" s="5">
        <v>12</v>
      </c>
      <c r="D2351" s="5" t="s">
        <v>89</v>
      </c>
      <c r="E2351" s="5">
        <v>2024</v>
      </c>
      <c r="F2351" s="5">
        <v>8</v>
      </c>
      <c r="G2351" s="5" t="s">
        <v>65</v>
      </c>
      <c r="H2351" s="5">
        <v>19714249</v>
      </c>
      <c r="I2351" s="5">
        <v>16560920.359999999</v>
      </c>
      <c r="J2351" s="5">
        <v>321</v>
      </c>
      <c r="K2351" s="5">
        <v>1569234</v>
      </c>
      <c r="L2351" s="5">
        <v>21192240</v>
      </c>
      <c r="M2351" s="5">
        <v>3153328.64</v>
      </c>
      <c r="N2351" s="5">
        <v>0.16</v>
      </c>
      <c r="O2351" s="5">
        <v>23</v>
      </c>
      <c r="P2351" s="5">
        <v>601221</v>
      </c>
    </row>
    <row r="2352" spans="1:16" x14ac:dyDescent="0.3">
      <c r="A2352" s="5">
        <v>111</v>
      </c>
      <c r="B2352" s="5" t="s">
        <v>132</v>
      </c>
      <c r="C2352" s="5">
        <v>12</v>
      </c>
      <c r="D2352" s="5" t="s">
        <v>89</v>
      </c>
      <c r="E2352" s="5">
        <v>2024</v>
      </c>
      <c r="F2352" s="5">
        <v>9</v>
      </c>
      <c r="G2352" s="5" t="s">
        <v>66</v>
      </c>
      <c r="H2352" s="5">
        <v>29659305</v>
      </c>
      <c r="I2352" s="5">
        <v>24602034.879999999</v>
      </c>
      <c r="J2352" s="5">
        <v>374</v>
      </c>
      <c r="K2352" s="5">
        <v>1823518</v>
      </c>
      <c r="L2352" s="5">
        <v>31382680</v>
      </c>
      <c r="M2352" s="5">
        <v>5057270.12</v>
      </c>
      <c r="N2352" s="5">
        <v>0.17050000000000001</v>
      </c>
      <c r="O2352" s="5">
        <v>29</v>
      </c>
      <c r="P2352" s="5">
        <v>724086</v>
      </c>
    </row>
    <row r="2353" spans="1:16" x14ac:dyDescent="0.3">
      <c r="A2353" s="5">
        <v>111</v>
      </c>
      <c r="B2353" s="5" t="s">
        <v>132</v>
      </c>
      <c r="C2353" s="5">
        <v>12</v>
      </c>
      <c r="D2353" s="5" t="s">
        <v>89</v>
      </c>
      <c r="E2353" s="5">
        <v>2024</v>
      </c>
      <c r="F2353" s="5">
        <v>10</v>
      </c>
      <c r="G2353" s="5" t="s">
        <v>67</v>
      </c>
      <c r="H2353" s="5">
        <v>36534653</v>
      </c>
      <c r="I2353" s="5">
        <v>29526802.969999999</v>
      </c>
      <c r="J2353" s="5">
        <v>490</v>
      </c>
      <c r="K2353" s="5">
        <v>1217908</v>
      </c>
      <c r="L2353" s="5">
        <v>37631740</v>
      </c>
      <c r="M2353" s="5">
        <v>7007850.0300000003</v>
      </c>
      <c r="N2353" s="5">
        <v>0.1918</v>
      </c>
      <c r="O2353" s="5">
        <v>39</v>
      </c>
      <c r="P2353" s="5">
        <v>980689</v>
      </c>
    </row>
    <row r="2354" spans="1:16" x14ac:dyDescent="0.3">
      <c r="A2354" s="5">
        <v>111</v>
      </c>
      <c r="B2354" s="5" t="s">
        <v>132</v>
      </c>
      <c r="C2354" s="5">
        <v>12</v>
      </c>
      <c r="D2354" s="5" t="s">
        <v>89</v>
      </c>
      <c r="E2354" s="5">
        <v>2024</v>
      </c>
      <c r="F2354" s="5">
        <v>11</v>
      </c>
      <c r="G2354" s="5" t="s">
        <v>68</v>
      </c>
      <c r="H2354" s="5">
        <v>33827621</v>
      </c>
      <c r="I2354" s="5">
        <v>28143736.379999999</v>
      </c>
      <c r="J2354" s="5">
        <v>477</v>
      </c>
      <c r="K2354" s="5">
        <v>2697054</v>
      </c>
      <c r="L2354" s="5">
        <v>36403860</v>
      </c>
      <c r="M2354" s="5">
        <v>5683884.6200000001</v>
      </c>
      <c r="N2354" s="5">
        <v>0.16800000000000001</v>
      </c>
      <c r="O2354" s="5">
        <v>37</v>
      </c>
      <c r="P2354" s="5">
        <v>880441</v>
      </c>
    </row>
    <row r="2355" spans="1:16" x14ac:dyDescent="0.3">
      <c r="A2355" s="5">
        <v>111</v>
      </c>
      <c r="B2355" s="5" t="s">
        <v>132</v>
      </c>
      <c r="C2355" s="5">
        <v>12</v>
      </c>
      <c r="D2355" s="5" t="s">
        <v>89</v>
      </c>
      <c r="E2355" s="5">
        <v>2024</v>
      </c>
      <c r="F2355" s="5">
        <v>12</v>
      </c>
      <c r="G2355" s="5" t="s">
        <v>69</v>
      </c>
      <c r="H2355" s="5">
        <v>32027464</v>
      </c>
      <c r="I2355" s="5">
        <v>25507664.93</v>
      </c>
      <c r="J2355" s="5">
        <v>447</v>
      </c>
      <c r="K2355" s="5">
        <v>1030135</v>
      </c>
      <c r="L2355" s="5">
        <v>32930810</v>
      </c>
      <c r="M2355" s="5">
        <v>6519799.0700000003</v>
      </c>
      <c r="N2355" s="5">
        <v>0.2036</v>
      </c>
      <c r="O2355" s="5">
        <v>29</v>
      </c>
      <c r="P2355" s="5">
        <v>926972</v>
      </c>
    </row>
    <row r="2356" spans="1:16" x14ac:dyDescent="0.3">
      <c r="A2356" s="5">
        <v>54</v>
      </c>
      <c r="B2356" s="5" t="s">
        <v>133</v>
      </c>
      <c r="C2356" s="5">
        <v>10</v>
      </c>
      <c r="D2356" s="5" t="s">
        <v>86</v>
      </c>
      <c r="E2356" s="5">
        <v>2021</v>
      </c>
      <c r="F2356" s="5">
        <v>1</v>
      </c>
      <c r="G2356" s="5" t="s">
        <v>22</v>
      </c>
      <c r="H2356" s="5">
        <v>197652</v>
      </c>
      <c r="I2356" s="5">
        <v>200134.46</v>
      </c>
      <c r="J2356" s="5">
        <v>5</v>
      </c>
      <c r="K2356" s="5">
        <v>64382</v>
      </c>
      <c r="L2356" s="5">
        <v>262010</v>
      </c>
      <c r="M2356" s="5">
        <v>-2482.46</v>
      </c>
      <c r="N2356" s="5">
        <v>-1.26E-2</v>
      </c>
      <c r="O2356" s="5">
        <v>0</v>
      </c>
      <c r="P2356" s="5">
        <v>0</v>
      </c>
    </row>
    <row r="2357" spans="1:16" x14ac:dyDescent="0.3">
      <c r="A2357" s="5">
        <v>54</v>
      </c>
      <c r="B2357" s="5" t="s">
        <v>133</v>
      </c>
      <c r="C2357" s="5">
        <v>10</v>
      </c>
      <c r="D2357" s="5" t="s">
        <v>86</v>
      </c>
      <c r="E2357" s="5">
        <v>2021</v>
      </c>
      <c r="F2357" s="5">
        <v>2</v>
      </c>
      <c r="G2357" s="5" t="s">
        <v>23</v>
      </c>
      <c r="H2357" s="5">
        <v>708395</v>
      </c>
      <c r="I2357" s="5">
        <v>793574.73</v>
      </c>
      <c r="J2357" s="5">
        <v>2</v>
      </c>
      <c r="K2357" s="5">
        <v>237775</v>
      </c>
      <c r="L2357" s="5">
        <v>946170</v>
      </c>
      <c r="M2357" s="5">
        <v>-85179.73</v>
      </c>
      <c r="N2357" s="5">
        <v>-0.1202</v>
      </c>
      <c r="O2357" s="5">
        <v>0</v>
      </c>
      <c r="P2357" s="5">
        <v>0</v>
      </c>
    </row>
    <row r="2358" spans="1:16" x14ac:dyDescent="0.3">
      <c r="A2358" s="5">
        <v>54</v>
      </c>
      <c r="B2358" s="5" t="s">
        <v>133</v>
      </c>
      <c r="C2358" s="5">
        <v>10</v>
      </c>
      <c r="D2358" s="5" t="s">
        <v>86</v>
      </c>
      <c r="E2358" s="5">
        <v>2021</v>
      </c>
      <c r="F2358" s="5">
        <v>3</v>
      </c>
      <c r="G2358" s="5" t="s">
        <v>24</v>
      </c>
      <c r="H2358" s="5">
        <v>952986</v>
      </c>
      <c r="I2358" s="5">
        <v>891600.2</v>
      </c>
      <c r="J2358" s="5">
        <v>8</v>
      </c>
      <c r="K2358" s="5">
        <v>169539</v>
      </c>
      <c r="L2358" s="5">
        <v>1121940</v>
      </c>
      <c r="M2358" s="5">
        <v>61385.8</v>
      </c>
      <c r="N2358" s="5">
        <v>6.4399999999999999E-2</v>
      </c>
      <c r="O2358" s="5">
        <v>1</v>
      </c>
      <c r="P2358" s="5">
        <v>3562</v>
      </c>
    </row>
    <row r="2359" spans="1:16" x14ac:dyDescent="0.3">
      <c r="A2359" s="5">
        <v>54</v>
      </c>
      <c r="B2359" s="5" t="s">
        <v>133</v>
      </c>
      <c r="C2359" s="5">
        <v>10</v>
      </c>
      <c r="D2359" s="5" t="s">
        <v>86</v>
      </c>
      <c r="E2359" s="5">
        <v>2021</v>
      </c>
      <c r="F2359" s="5">
        <v>4</v>
      </c>
      <c r="G2359" s="5" t="s">
        <v>25</v>
      </c>
      <c r="H2359" s="5">
        <v>358528</v>
      </c>
      <c r="I2359" s="5">
        <v>330289.17</v>
      </c>
      <c r="J2359" s="5">
        <v>7</v>
      </c>
      <c r="K2359" s="5">
        <v>72357</v>
      </c>
      <c r="L2359" s="5">
        <v>430830</v>
      </c>
      <c r="M2359" s="5">
        <v>28238.83</v>
      </c>
      <c r="N2359" s="5">
        <v>7.8799999999999995E-2</v>
      </c>
      <c r="O2359" s="5">
        <v>0</v>
      </c>
      <c r="P2359" s="5">
        <v>0</v>
      </c>
    </row>
    <row r="2360" spans="1:16" x14ac:dyDescent="0.3">
      <c r="A2360" s="5">
        <v>54</v>
      </c>
      <c r="B2360" s="5" t="s">
        <v>133</v>
      </c>
      <c r="C2360" s="5">
        <v>10</v>
      </c>
      <c r="D2360" s="5" t="s">
        <v>86</v>
      </c>
      <c r="E2360" s="5">
        <v>2021</v>
      </c>
      <c r="F2360" s="5">
        <v>5</v>
      </c>
      <c r="G2360" s="5" t="s">
        <v>26</v>
      </c>
      <c r="H2360" s="5">
        <v>865199</v>
      </c>
      <c r="I2360" s="5">
        <v>826395.28</v>
      </c>
      <c r="J2360" s="5">
        <v>9</v>
      </c>
      <c r="K2360" s="5">
        <v>166448</v>
      </c>
      <c r="L2360" s="5">
        <v>1029330</v>
      </c>
      <c r="M2360" s="5">
        <v>38803.72</v>
      </c>
      <c r="N2360" s="5">
        <v>4.48E-2</v>
      </c>
      <c r="O2360" s="5">
        <v>1</v>
      </c>
      <c r="P2360" s="5">
        <v>2814</v>
      </c>
    </row>
    <row r="2361" spans="1:16" x14ac:dyDescent="0.3">
      <c r="A2361" s="5">
        <v>54</v>
      </c>
      <c r="B2361" s="5" t="s">
        <v>133</v>
      </c>
      <c r="C2361" s="5">
        <v>10</v>
      </c>
      <c r="D2361" s="5" t="s">
        <v>86</v>
      </c>
      <c r="E2361" s="5">
        <v>2021</v>
      </c>
      <c r="F2361" s="5">
        <v>6</v>
      </c>
      <c r="G2361" s="5" t="s">
        <v>27</v>
      </c>
      <c r="H2361" s="5">
        <v>1052010</v>
      </c>
      <c r="I2361" s="5">
        <v>898177.06</v>
      </c>
      <c r="J2361" s="5">
        <v>13</v>
      </c>
      <c r="K2361" s="5">
        <v>108003</v>
      </c>
      <c r="L2361" s="5">
        <v>1150400</v>
      </c>
      <c r="M2361" s="5">
        <v>153832.94</v>
      </c>
      <c r="N2361" s="5">
        <v>0.1462</v>
      </c>
      <c r="O2361" s="5">
        <v>2</v>
      </c>
      <c r="P2361" s="5">
        <v>117792</v>
      </c>
    </row>
    <row r="2362" spans="1:16" x14ac:dyDescent="0.3">
      <c r="A2362" s="5">
        <v>54</v>
      </c>
      <c r="B2362" s="5" t="s">
        <v>133</v>
      </c>
      <c r="C2362" s="5">
        <v>10</v>
      </c>
      <c r="D2362" s="5" t="s">
        <v>86</v>
      </c>
      <c r="E2362" s="5">
        <v>2021</v>
      </c>
      <c r="F2362" s="5">
        <v>7</v>
      </c>
      <c r="G2362" s="5" t="s">
        <v>28</v>
      </c>
      <c r="H2362" s="5">
        <v>272662</v>
      </c>
      <c r="I2362" s="5">
        <v>251197.5</v>
      </c>
      <c r="J2362" s="5">
        <v>9</v>
      </c>
      <c r="K2362" s="5">
        <v>57732</v>
      </c>
      <c r="L2362" s="5">
        <v>329870</v>
      </c>
      <c r="M2362" s="5">
        <v>21464.5</v>
      </c>
      <c r="N2362" s="5">
        <v>7.8700000000000006E-2</v>
      </c>
      <c r="O2362" s="5">
        <v>1</v>
      </c>
      <c r="P2362" s="5">
        <v>6335</v>
      </c>
    </row>
    <row r="2363" spans="1:16" x14ac:dyDescent="0.3">
      <c r="A2363" s="5">
        <v>54</v>
      </c>
      <c r="B2363" s="5" t="s">
        <v>133</v>
      </c>
      <c r="C2363" s="5">
        <v>10</v>
      </c>
      <c r="D2363" s="5" t="s">
        <v>86</v>
      </c>
      <c r="E2363" s="5">
        <v>2021</v>
      </c>
      <c r="F2363" s="5">
        <v>8</v>
      </c>
      <c r="G2363" s="5" t="s">
        <v>29</v>
      </c>
      <c r="H2363" s="5">
        <v>516271</v>
      </c>
      <c r="I2363" s="5">
        <v>446038.76</v>
      </c>
      <c r="J2363" s="5">
        <v>7</v>
      </c>
      <c r="K2363" s="5">
        <v>41171</v>
      </c>
      <c r="L2363" s="5">
        <v>556900</v>
      </c>
      <c r="M2363" s="5">
        <v>70232.240000000005</v>
      </c>
      <c r="N2363" s="5">
        <v>0.13600000000000001</v>
      </c>
      <c r="O2363" s="5">
        <v>2</v>
      </c>
      <c r="P2363" s="5">
        <v>9873</v>
      </c>
    </row>
    <row r="2364" spans="1:16" x14ac:dyDescent="0.3">
      <c r="A2364" s="5">
        <v>54</v>
      </c>
      <c r="B2364" s="5" t="s">
        <v>133</v>
      </c>
      <c r="C2364" s="5">
        <v>10</v>
      </c>
      <c r="D2364" s="5" t="s">
        <v>86</v>
      </c>
      <c r="E2364" s="5">
        <v>2021</v>
      </c>
      <c r="F2364" s="5">
        <v>9</v>
      </c>
      <c r="G2364" s="5" t="s">
        <v>30</v>
      </c>
      <c r="H2364" s="5">
        <v>886120</v>
      </c>
      <c r="I2364" s="5">
        <v>694340.61</v>
      </c>
      <c r="J2364" s="5">
        <v>8</v>
      </c>
      <c r="K2364" s="5">
        <v>40968</v>
      </c>
      <c r="L2364" s="5">
        <v>918080</v>
      </c>
      <c r="M2364" s="5">
        <v>191779.39</v>
      </c>
      <c r="N2364" s="5">
        <v>0.21640000000000001</v>
      </c>
      <c r="O2364" s="5">
        <v>1</v>
      </c>
      <c r="P2364" s="5">
        <v>95308</v>
      </c>
    </row>
    <row r="2365" spans="1:16" x14ac:dyDescent="0.3">
      <c r="A2365" s="5">
        <v>54</v>
      </c>
      <c r="B2365" s="5" t="s">
        <v>133</v>
      </c>
      <c r="C2365" s="5">
        <v>10</v>
      </c>
      <c r="D2365" s="5" t="s">
        <v>86</v>
      </c>
      <c r="E2365" s="5">
        <v>2021</v>
      </c>
      <c r="F2365" s="5">
        <v>10</v>
      </c>
      <c r="G2365" s="5" t="s">
        <v>31</v>
      </c>
      <c r="H2365" s="5">
        <v>1251415</v>
      </c>
      <c r="I2365" s="5">
        <v>1029052.76</v>
      </c>
      <c r="J2365" s="5">
        <v>14</v>
      </c>
      <c r="K2365" s="5">
        <v>37442</v>
      </c>
      <c r="L2365" s="5">
        <v>1280950</v>
      </c>
      <c r="M2365" s="5">
        <v>222362.23999999999</v>
      </c>
      <c r="N2365" s="5">
        <v>0.1777</v>
      </c>
      <c r="O2365" s="5">
        <v>2</v>
      </c>
      <c r="P2365" s="5">
        <v>142505</v>
      </c>
    </row>
    <row r="2366" spans="1:16" x14ac:dyDescent="0.3">
      <c r="A2366" s="5">
        <v>54</v>
      </c>
      <c r="B2366" s="5" t="s">
        <v>133</v>
      </c>
      <c r="C2366" s="5">
        <v>10</v>
      </c>
      <c r="D2366" s="5" t="s">
        <v>86</v>
      </c>
      <c r="E2366" s="5">
        <v>2021</v>
      </c>
      <c r="F2366" s="5">
        <v>11</v>
      </c>
      <c r="G2366" s="5" t="s">
        <v>32</v>
      </c>
      <c r="H2366" s="5">
        <v>938072</v>
      </c>
      <c r="I2366" s="5">
        <v>773805.15</v>
      </c>
      <c r="J2366" s="5">
        <v>13</v>
      </c>
      <c r="K2366" s="5">
        <v>17167</v>
      </c>
      <c r="L2366" s="5">
        <v>947140</v>
      </c>
      <c r="M2366" s="5">
        <v>164266.85</v>
      </c>
      <c r="N2366" s="5">
        <v>0.17510000000000001</v>
      </c>
      <c r="O2366" s="5">
        <v>2</v>
      </c>
      <c r="P2366" s="5">
        <v>8012</v>
      </c>
    </row>
    <row r="2367" spans="1:16" x14ac:dyDescent="0.3">
      <c r="A2367" s="5">
        <v>54</v>
      </c>
      <c r="B2367" s="5" t="s">
        <v>133</v>
      </c>
      <c r="C2367" s="5">
        <v>10</v>
      </c>
      <c r="D2367" s="5" t="s">
        <v>86</v>
      </c>
      <c r="E2367" s="5">
        <v>2021</v>
      </c>
      <c r="F2367" s="5">
        <v>12</v>
      </c>
      <c r="G2367" s="5" t="s">
        <v>33</v>
      </c>
      <c r="H2367" s="5">
        <v>987697</v>
      </c>
      <c r="I2367" s="5">
        <v>808290.59</v>
      </c>
      <c r="J2367" s="5">
        <v>10</v>
      </c>
      <c r="K2367" s="5">
        <v>65448</v>
      </c>
      <c r="L2367" s="5">
        <v>1051710</v>
      </c>
      <c r="M2367" s="5">
        <v>179406.41</v>
      </c>
      <c r="N2367" s="5">
        <v>0.18160000000000001</v>
      </c>
      <c r="O2367" s="5">
        <v>1</v>
      </c>
      <c r="P2367" s="5">
        <v>40745</v>
      </c>
    </row>
    <row r="2368" spans="1:16" x14ac:dyDescent="0.3">
      <c r="A2368" s="5">
        <v>54</v>
      </c>
      <c r="B2368" s="5" t="s">
        <v>133</v>
      </c>
      <c r="C2368" s="5">
        <v>10</v>
      </c>
      <c r="D2368" s="5" t="s">
        <v>86</v>
      </c>
      <c r="E2368" s="5">
        <v>2022</v>
      </c>
      <c r="F2368" s="5">
        <v>1</v>
      </c>
      <c r="G2368" s="5" t="s">
        <v>34</v>
      </c>
      <c r="H2368" s="5">
        <v>1352415</v>
      </c>
      <c r="I2368" s="5">
        <v>1154558.56</v>
      </c>
      <c r="J2368" s="5">
        <v>11</v>
      </c>
      <c r="K2368" s="5">
        <v>78040</v>
      </c>
      <c r="L2368" s="5">
        <v>1419090</v>
      </c>
      <c r="M2368" s="5">
        <v>197856.44</v>
      </c>
      <c r="N2368" s="5">
        <v>0.14630000000000001</v>
      </c>
      <c r="O2368" s="5">
        <v>1</v>
      </c>
      <c r="P2368" s="5">
        <v>3046</v>
      </c>
    </row>
    <row r="2369" spans="1:16" x14ac:dyDescent="0.3">
      <c r="A2369" s="5">
        <v>54</v>
      </c>
      <c r="B2369" s="5" t="s">
        <v>133</v>
      </c>
      <c r="C2369" s="5">
        <v>10</v>
      </c>
      <c r="D2369" s="5" t="s">
        <v>86</v>
      </c>
      <c r="E2369" s="5">
        <v>2022</v>
      </c>
      <c r="F2369" s="5">
        <v>2</v>
      </c>
      <c r="G2369" s="5" t="s">
        <v>35</v>
      </c>
      <c r="H2369" s="5">
        <v>620766</v>
      </c>
      <c r="I2369" s="5">
        <v>535465.86</v>
      </c>
      <c r="J2369" s="5">
        <v>10</v>
      </c>
      <c r="K2369" s="5">
        <v>90660</v>
      </c>
      <c r="L2369" s="5">
        <v>710360</v>
      </c>
      <c r="M2369" s="5">
        <v>85300.14</v>
      </c>
      <c r="N2369" s="5">
        <v>0.13739999999999999</v>
      </c>
      <c r="O2369" s="5">
        <v>1</v>
      </c>
      <c r="P2369" s="5">
        <v>45084</v>
      </c>
    </row>
    <row r="2370" spans="1:16" x14ac:dyDescent="0.3">
      <c r="A2370" s="5">
        <v>54</v>
      </c>
      <c r="B2370" s="5" t="s">
        <v>133</v>
      </c>
      <c r="C2370" s="5">
        <v>10</v>
      </c>
      <c r="D2370" s="5" t="s">
        <v>86</v>
      </c>
      <c r="E2370" s="5">
        <v>2022</v>
      </c>
      <c r="F2370" s="5">
        <v>3</v>
      </c>
      <c r="G2370" s="5" t="s">
        <v>36</v>
      </c>
      <c r="H2370" s="5">
        <v>715614</v>
      </c>
      <c r="I2370" s="5">
        <v>626680.68999999994</v>
      </c>
      <c r="J2370" s="5">
        <v>7</v>
      </c>
      <c r="K2370" s="5">
        <v>86101</v>
      </c>
      <c r="L2370" s="5">
        <v>801170</v>
      </c>
      <c r="M2370" s="5">
        <v>88933.31</v>
      </c>
      <c r="N2370" s="5">
        <v>0.12429999999999999</v>
      </c>
      <c r="O2370" s="5">
        <v>0</v>
      </c>
      <c r="P2370" s="5">
        <v>0</v>
      </c>
    </row>
    <row r="2371" spans="1:16" x14ac:dyDescent="0.3">
      <c r="A2371" s="5">
        <v>54</v>
      </c>
      <c r="B2371" s="5" t="s">
        <v>133</v>
      </c>
      <c r="C2371" s="5">
        <v>10</v>
      </c>
      <c r="D2371" s="5" t="s">
        <v>86</v>
      </c>
      <c r="E2371" s="5">
        <v>2022</v>
      </c>
      <c r="F2371" s="5">
        <v>4</v>
      </c>
      <c r="G2371" s="5" t="s">
        <v>37</v>
      </c>
      <c r="H2371" s="5">
        <v>1600434</v>
      </c>
      <c r="I2371" s="5">
        <v>1307566.8500000001</v>
      </c>
      <c r="J2371" s="5">
        <v>19</v>
      </c>
      <c r="K2371" s="5">
        <v>79540</v>
      </c>
      <c r="L2371" s="5">
        <v>1673720</v>
      </c>
      <c r="M2371" s="5">
        <v>292867.15000000002</v>
      </c>
      <c r="N2371" s="5">
        <v>0.183</v>
      </c>
      <c r="O2371" s="5">
        <v>2</v>
      </c>
      <c r="P2371" s="5">
        <v>6700</v>
      </c>
    </row>
    <row r="2372" spans="1:16" x14ac:dyDescent="0.3">
      <c r="A2372" s="5">
        <v>54</v>
      </c>
      <c r="B2372" s="5" t="s">
        <v>133</v>
      </c>
      <c r="C2372" s="5">
        <v>10</v>
      </c>
      <c r="D2372" s="5" t="s">
        <v>86</v>
      </c>
      <c r="E2372" s="5">
        <v>2022</v>
      </c>
      <c r="F2372" s="5">
        <v>5</v>
      </c>
      <c r="G2372" s="5" t="s">
        <v>38</v>
      </c>
      <c r="H2372" s="5">
        <v>567887</v>
      </c>
      <c r="I2372" s="5">
        <v>539487.54</v>
      </c>
      <c r="J2372" s="5">
        <v>11</v>
      </c>
      <c r="K2372" s="5">
        <v>90389</v>
      </c>
      <c r="L2372" s="5">
        <v>657530</v>
      </c>
      <c r="M2372" s="5">
        <v>28399.46</v>
      </c>
      <c r="N2372" s="5">
        <v>0.05</v>
      </c>
      <c r="O2372" s="5">
        <v>0</v>
      </c>
      <c r="P2372" s="5">
        <v>0</v>
      </c>
    </row>
    <row r="2373" spans="1:16" x14ac:dyDescent="0.3">
      <c r="A2373" s="5">
        <v>54</v>
      </c>
      <c r="B2373" s="5" t="s">
        <v>133</v>
      </c>
      <c r="C2373" s="5">
        <v>10</v>
      </c>
      <c r="D2373" s="5" t="s">
        <v>86</v>
      </c>
      <c r="E2373" s="5">
        <v>2022</v>
      </c>
      <c r="F2373" s="5">
        <v>6</v>
      </c>
      <c r="G2373" s="5" t="s">
        <v>39</v>
      </c>
      <c r="H2373" s="5">
        <v>368209</v>
      </c>
      <c r="I2373" s="5">
        <v>292484.73</v>
      </c>
      <c r="J2373" s="5">
        <v>7</v>
      </c>
      <c r="K2373" s="5">
        <v>13293</v>
      </c>
      <c r="L2373" s="5">
        <v>380510</v>
      </c>
      <c r="M2373" s="5">
        <v>75724.27</v>
      </c>
      <c r="N2373" s="5">
        <v>0.20569999999999999</v>
      </c>
      <c r="O2373" s="5">
        <v>1</v>
      </c>
      <c r="P2373" s="5">
        <v>54762</v>
      </c>
    </row>
    <row r="2374" spans="1:16" x14ac:dyDescent="0.3">
      <c r="A2374" s="5">
        <v>54</v>
      </c>
      <c r="B2374" s="5" t="s">
        <v>133</v>
      </c>
      <c r="C2374" s="5">
        <v>10</v>
      </c>
      <c r="D2374" s="5" t="s">
        <v>86</v>
      </c>
      <c r="E2374" s="5">
        <v>2022</v>
      </c>
      <c r="F2374" s="5">
        <v>7</v>
      </c>
      <c r="G2374" s="5" t="s">
        <v>40</v>
      </c>
      <c r="H2374" s="5">
        <v>881303</v>
      </c>
      <c r="I2374" s="5">
        <v>723908.04</v>
      </c>
      <c r="J2374" s="5">
        <v>14</v>
      </c>
      <c r="K2374" s="5">
        <v>54494</v>
      </c>
      <c r="L2374" s="5">
        <v>928880</v>
      </c>
      <c r="M2374" s="5">
        <v>157394.96</v>
      </c>
      <c r="N2374" s="5">
        <v>0.17860000000000001</v>
      </c>
      <c r="O2374" s="5">
        <v>2</v>
      </c>
      <c r="P2374" s="5">
        <v>31053</v>
      </c>
    </row>
    <row r="2375" spans="1:16" x14ac:dyDescent="0.3">
      <c r="A2375" s="5">
        <v>54</v>
      </c>
      <c r="B2375" s="5" t="s">
        <v>133</v>
      </c>
      <c r="C2375" s="5">
        <v>10</v>
      </c>
      <c r="D2375" s="5" t="s">
        <v>86</v>
      </c>
      <c r="E2375" s="5">
        <v>2022</v>
      </c>
      <c r="F2375" s="5">
        <v>8</v>
      </c>
      <c r="G2375" s="5" t="s">
        <v>41</v>
      </c>
      <c r="H2375" s="5">
        <v>887273</v>
      </c>
      <c r="I2375" s="5">
        <v>897856.79</v>
      </c>
      <c r="J2375" s="5">
        <v>13</v>
      </c>
      <c r="K2375" s="5">
        <v>267018</v>
      </c>
      <c r="L2375" s="5">
        <v>1152540</v>
      </c>
      <c r="M2375" s="5">
        <v>-10583.79</v>
      </c>
      <c r="N2375" s="5">
        <v>-1.1900000000000001E-2</v>
      </c>
      <c r="O2375" s="5">
        <v>2</v>
      </c>
      <c r="P2375" s="5">
        <v>42982</v>
      </c>
    </row>
    <row r="2376" spans="1:16" x14ac:dyDescent="0.3">
      <c r="A2376" s="5">
        <v>54</v>
      </c>
      <c r="B2376" s="5" t="s">
        <v>133</v>
      </c>
      <c r="C2376" s="5">
        <v>10</v>
      </c>
      <c r="D2376" s="5" t="s">
        <v>86</v>
      </c>
      <c r="E2376" s="5">
        <v>2022</v>
      </c>
      <c r="F2376" s="5">
        <v>9</v>
      </c>
      <c r="G2376" s="5" t="s">
        <v>42</v>
      </c>
      <c r="H2376" s="5">
        <v>680864</v>
      </c>
      <c r="I2376" s="5">
        <v>634070.18999999994</v>
      </c>
      <c r="J2376" s="5">
        <v>11</v>
      </c>
      <c r="K2376" s="5">
        <v>113426</v>
      </c>
      <c r="L2376" s="5">
        <v>794290</v>
      </c>
      <c r="M2376" s="5">
        <v>46793.81</v>
      </c>
      <c r="N2376" s="5">
        <v>6.8699999999999997E-2</v>
      </c>
      <c r="O2376" s="5">
        <v>0</v>
      </c>
      <c r="P2376" s="5">
        <v>0</v>
      </c>
    </row>
    <row r="2377" spans="1:16" x14ac:dyDescent="0.3">
      <c r="A2377" s="5">
        <v>54</v>
      </c>
      <c r="B2377" s="5" t="s">
        <v>133</v>
      </c>
      <c r="C2377" s="5">
        <v>10</v>
      </c>
      <c r="D2377" s="5" t="s">
        <v>86</v>
      </c>
      <c r="E2377" s="5">
        <v>2022</v>
      </c>
      <c r="F2377" s="5">
        <v>10</v>
      </c>
      <c r="G2377" s="5" t="s">
        <v>43</v>
      </c>
      <c r="H2377" s="5">
        <v>1030385</v>
      </c>
      <c r="I2377" s="5">
        <v>931428.22</v>
      </c>
      <c r="J2377" s="5">
        <v>24</v>
      </c>
      <c r="K2377" s="5">
        <v>178367</v>
      </c>
      <c r="L2377" s="5">
        <v>1207250</v>
      </c>
      <c r="M2377" s="5">
        <v>98956.78</v>
      </c>
      <c r="N2377" s="5">
        <v>9.6000000000000002E-2</v>
      </c>
      <c r="O2377" s="5">
        <v>2</v>
      </c>
      <c r="P2377" s="5">
        <v>12919</v>
      </c>
    </row>
    <row r="2378" spans="1:16" x14ac:dyDescent="0.3">
      <c r="A2378" s="5">
        <v>54</v>
      </c>
      <c r="B2378" s="5" t="s">
        <v>133</v>
      </c>
      <c r="C2378" s="5">
        <v>10</v>
      </c>
      <c r="D2378" s="5" t="s">
        <v>86</v>
      </c>
      <c r="E2378" s="5">
        <v>2022</v>
      </c>
      <c r="F2378" s="5">
        <v>11</v>
      </c>
      <c r="G2378" s="5" t="s">
        <v>44</v>
      </c>
      <c r="H2378" s="5">
        <v>975373</v>
      </c>
      <c r="I2378" s="5">
        <v>891727.69</v>
      </c>
      <c r="J2378" s="5">
        <v>23</v>
      </c>
      <c r="K2378" s="5">
        <v>161797</v>
      </c>
      <c r="L2378" s="5">
        <v>1136040</v>
      </c>
      <c r="M2378" s="5">
        <v>83645.31</v>
      </c>
      <c r="N2378" s="5">
        <v>8.5800000000000001E-2</v>
      </c>
      <c r="O2378" s="5">
        <v>1</v>
      </c>
      <c r="P2378" s="5">
        <v>6739</v>
      </c>
    </row>
    <row r="2379" spans="1:16" x14ac:dyDescent="0.3">
      <c r="A2379" s="5">
        <v>54</v>
      </c>
      <c r="B2379" s="5" t="s">
        <v>133</v>
      </c>
      <c r="C2379" s="5">
        <v>10</v>
      </c>
      <c r="D2379" s="5" t="s">
        <v>86</v>
      </c>
      <c r="E2379" s="5">
        <v>2022</v>
      </c>
      <c r="F2379" s="5">
        <v>12</v>
      </c>
      <c r="G2379" s="5" t="s">
        <v>45</v>
      </c>
      <c r="H2379" s="5">
        <v>1960357</v>
      </c>
      <c r="I2379" s="5">
        <v>1638634.33</v>
      </c>
      <c r="J2379" s="5">
        <v>30</v>
      </c>
      <c r="K2379" s="5">
        <v>128575</v>
      </c>
      <c r="L2379" s="5">
        <v>2083180</v>
      </c>
      <c r="M2379" s="5">
        <v>321722.67</v>
      </c>
      <c r="N2379" s="5">
        <v>0.1641</v>
      </c>
      <c r="O2379" s="5">
        <v>0</v>
      </c>
      <c r="P2379" s="5">
        <v>0</v>
      </c>
    </row>
    <row r="2380" spans="1:16" x14ac:dyDescent="0.3">
      <c r="A2380" s="5">
        <v>54</v>
      </c>
      <c r="B2380" s="5" t="s">
        <v>133</v>
      </c>
      <c r="C2380" s="5">
        <v>10</v>
      </c>
      <c r="D2380" s="5" t="s">
        <v>86</v>
      </c>
      <c r="E2380" s="5">
        <v>2023</v>
      </c>
      <c r="F2380" s="5">
        <v>1</v>
      </c>
      <c r="G2380" s="5" t="s">
        <v>46</v>
      </c>
      <c r="H2380" s="5">
        <v>681824</v>
      </c>
      <c r="I2380" s="5">
        <v>591750.74</v>
      </c>
      <c r="J2380" s="5">
        <v>10</v>
      </c>
      <c r="K2380" s="5">
        <v>68797</v>
      </c>
      <c r="L2380" s="5">
        <v>748000</v>
      </c>
      <c r="M2380" s="5">
        <v>90073.26</v>
      </c>
      <c r="N2380" s="5">
        <v>0.1321</v>
      </c>
      <c r="O2380" s="5">
        <v>1</v>
      </c>
      <c r="P2380" s="5">
        <v>13458</v>
      </c>
    </row>
    <row r="2381" spans="1:16" x14ac:dyDescent="0.3">
      <c r="A2381" s="5">
        <v>54</v>
      </c>
      <c r="B2381" s="5" t="s">
        <v>133</v>
      </c>
      <c r="C2381" s="5">
        <v>10</v>
      </c>
      <c r="D2381" s="5" t="s">
        <v>86</v>
      </c>
      <c r="E2381" s="5">
        <v>2023</v>
      </c>
      <c r="F2381" s="5">
        <v>2</v>
      </c>
      <c r="G2381" s="5" t="s">
        <v>47</v>
      </c>
      <c r="H2381" s="5">
        <v>901465</v>
      </c>
      <c r="I2381" s="5">
        <v>750433.44</v>
      </c>
      <c r="J2381" s="5">
        <v>11</v>
      </c>
      <c r="K2381" s="5">
        <v>54276</v>
      </c>
      <c r="L2381" s="5">
        <v>954510</v>
      </c>
      <c r="M2381" s="5">
        <v>151031.56</v>
      </c>
      <c r="N2381" s="5">
        <v>0.16750000000000001</v>
      </c>
      <c r="O2381" s="5">
        <v>1</v>
      </c>
      <c r="P2381" s="5">
        <v>3011</v>
      </c>
    </row>
    <row r="2382" spans="1:16" x14ac:dyDescent="0.3">
      <c r="A2382" s="5">
        <v>54</v>
      </c>
      <c r="B2382" s="5" t="s">
        <v>133</v>
      </c>
      <c r="C2382" s="5">
        <v>10</v>
      </c>
      <c r="D2382" s="5" t="s">
        <v>86</v>
      </c>
      <c r="E2382" s="5">
        <v>2023</v>
      </c>
      <c r="F2382" s="5">
        <v>3</v>
      </c>
      <c r="G2382" s="5" t="s">
        <v>48</v>
      </c>
      <c r="H2382" s="5">
        <v>890695</v>
      </c>
      <c r="I2382" s="5">
        <v>750673.61</v>
      </c>
      <c r="J2382" s="5">
        <v>13</v>
      </c>
      <c r="K2382" s="5">
        <v>81072</v>
      </c>
      <c r="L2382" s="5">
        <v>970940</v>
      </c>
      <c r="M2382" s="5">
        <v>140021.39000000001</v>
      </c>
      <c r="N2382" s="5">
        <v>0.15720000000000001</v>
      </c>
      <c r="O2382" s="5">
        <v>0</v>
      </c>
      <c r="P2382" s="5">
        <v>0</v>
      </c>
    </row>
    <row r="2383" spans="1:16" x14ac:dyDescent="0.3">
      <c r="A2383" s="5">
        <v>54</v>
      </c>
      <c r="B2383" s="5" t="s">
        <v>133</v>
      </c>
      <c r="C2383" s="5">
        <v>10</v>
      </c>
      <c r="D2383" s="5" t="s">
        <v>86</v>
      </c>
      <c r="E2383" s="5">
        <v>2023</v>
      </c>
      <c r="F2383" s="5">
        <v>4</v>
      </c>
      <c r="G2383" s="5" t="s">
        <v>49</v>
      </c>
      <c r="H2383" s="5">
        <v>1325613</v>
      </c>
      <c r="I2383" s="5">
        <v>1183580.76</v>
      </c>
      <c r="J2383" s="5">
        <v>17</v>
      </c>
      <c r="K2383" s="5">
        <v>155904</v>
      </c>
      <c r="L2383" s="5">
        <v>1480590</v>
      </c>
      <c r="M2383" s="5">
        <v>142032.24</v>
      </c>
      <c r="N2383" s="5">
        <v>0.1071</v>
      </c>
      <c r="O2383" s="5">
        <v>1</v>
      </c>
      <c r="P2383" s="5">
        <v>2688</v>
      </c>
    </row>
    <row r="2384" spans="1:16" x14ac:dyDescent="0.3">
      <c r="A2384" s="5">
        <v>54</v>
      </c>
      <c r="B2384" s="5" t="s">
        <v>133</v>
      </c>
      <c r="C2384" s="5">
        <v>10</v>
      </c>
      <c r="D2384" s="5" t="s">
        <v>86</v>
      </c>
      <c r="E2384" s="5">
        <v>2023</v>
      </c>
      <c r="F2384" s="5">
        <v>5</v>
      </c>
      <c r="G2384" s="5" t="s">
        <v>50</v>
      </c>
      <c r="H2384" s="5">
        <v>1350988</v>
      </c>
      <c r="I2384" s="5">
        <v>1171792.1399999999</v>
      </c>
      <c r="J2384" s="5">
        <v>15</v>
      </c>
      <c r="K2384" s="5">
        <v>164014</v>
      </c>
      <c r="L2384" s="5">
        <v>1509630</v>
      </c>
      <c r="M2384" s="5">
        <v>179195.86</v>
      </c>
      <c r="N2384" s="5">
        <v>0.1326</v>
      </c>
      <c r="O2384" s="5">
        <v>0</v>
      </c>
      <c r="P2384" s="5">
        <v>0</v>
      </c>
    </row>
    <row r="2385" spans="1:16" x14ac:dyDescent="0.3">
      <c r="A2385" s="5">
        <v>54</v>
      </c>
      <c r="B2385" s="5" t="s">
        <v>133</v>
      </c>
      <c r="C2385" s="5">
        <v>10</v>
      </c>
      <c r="D2385" s="5" t="s">
        <v>86</v>
      </c>
      <c r="E2385" s="5">
        <v>2023</v>
      </c>
      <c r="F2385" s="5">
        <v>6</v>
      </c>
      <c r="G2385" s="5" t="s">
        <v>51</v>
      </c>
      <c r="H2385" s="5">
        <v>262358</v>
      </c>
      <c r="I2385" s="5">
        <v>207537.49</v>
      </c>
      <c r="J2385" s="5">
        <v>7</v>
      </c>
      <c r="K2385" s="5">
        <v>16198</v>
      </c>
      <c r="L2385" s="5">
        <v>278050</v>
      </c>
      <c r="M2385" s="5">
        <v>54820.51</v>
      </c>
      <c r="N2385" s="5">
        <v>0.20899999999999999</v>
      </c>
      <c r="O2385" s="5">
        <v>0</v>
      </c>
      <c r="P2385" s="5">
        <v>0</v>
      </c>
    </row>
    <row r="2386" spans="1:16" x14ac:dyDescent="0.3">
      <c r="A2386" s="5">
        <v>54</v>
      </c>
      <c r="B2386" s="5" t="s">
        <v>133</v>
      </c>
      <c r="C2386" s="5">
        <v>10</v>
      </c>
      <c r="D2386" s="5" t="s">
        <v>86</v>
      </c>
      <c r="E2386" s="5">
        <v>2023</v>
      </c>
      <c r="F2386" s="5">
        <v>7</v>
      </c>
      <c r="G2386" s="5" t="s">
        <v>52</v>
      </c>
      <c r="H2386" s="5">
        <v>586112</v>
      </c>
      <c r="I2386" s="5">
        <v>493149.16</v>
      </c>
      <c r="J2386" s="5">
        <v>12</v>
      </c>
      <c r="K2386" s="5">
        <v>40422</v>
      </c>
      <c r="L2386" s="5">
        <v>625780</v>
      </c>
      <c r="M2386" s="5">
        <v>92962.84</v>
      </c>
      <c r="N2386" s="5">
        <v>0.15859999999999999</v>
      </c>
      <c r="O2386" s="5">
        <v>0</v>
      </c>
      <c r="P2386" s="5">
        <v>0</v>
      </c>
    </row>
    <row r="2387" spans="1:16" x14ac:dyDescent="0.3">
      <c r="A2387" s="5">
        <v>54</v>
      </c>
      <c r="B2387" s="5" t="s">
        <v>133</v>
      </c>
      <c r="C2387" s="5">
        <v>10</v>
      </c>
      <c r="D2387" s="5" t="s">
        <v>86</v>
      </c>
      <c r="E2387" s="5">
        <v>2023</v>
      </c>
      <c r="F2387" s="5">
        <v>8</v>
      </c>
      <c r="G2387" s="5" t="s">
        <v>53</v>
      </c>
      <c r="H2387" s="5">
        <v>357667</v>
      </c>
      <c r="I2387" s="5">
        <v>308244.03999999998</v>
      </c>
      <c r="J2387" s="5">
        <v>7</v>
      </c>
      <c r="K2387" s="5">
        <v>43965</v>
      </c>
      <c r="L2387" s="5">
        <v>399420</v>
      </c>
      <c r="M2387" s="5">
        <v>49422.96</v>
      </c>
      <c r="N2387" s="5">
        <v>0.13819999999999999</v>
      </c>
      <c r="O2387" s="5">
        <v>0</v>
      </c>
      <c r="P2387" s="5">
        <v>0</v>
      </c>
    </row>
    <row r="2388" spans="1:16" x14ac:dyDescent="0.3">
      <c r="A2388" s="5">
        <v>54</v>
      </c>
      <c r="B2388" s="5" t="s">
        <v>133</v>
      </c>
      <c r="C2388" s="5">
        <v>10</v>
      </c>
      <c r="D2388" s="5" t="s">
        <v>86</v>
      </c>
      <c r="E2388" s="5">
        <v>2023</v>
      </c>
      <c r="F2388" s="5">
        <v>9</v>
      </c>
      <c r="G2388" s="5" t="s">
        <v>54</v>
      </c>
      <c r="H2388" s="5">
        <v>764647</v>
      </c>
      <c r="I2388" s="5">
        <v>671212.93</v>
      </c>
      <c r="J2388" s="5">
        <v>11</v>
      </c>
      <c r="K2388" s="5">
        <v>101460</v>
      </c>
      <c r="L2388" s="5">
        <v>863940</v>
      </c>
      <c r="M2388" s="5">
        <v>93434.07</v>
      </c>
      <c r="N2388" s="5">
        <v>0.1222</v>
      </c>
      <c r="O2388" s="5">
        <v>0</v>
      </c>
      <c r="P2388" s="5">
        <v>0</v>
      </c>
    </row>
    <row r="2389" spans="1:16" x14ac:dyDescent="0.3">
      <c r="A2389" s="5">
        <v>54</v>
      </c>
      <c r="B2389" s="5" t="s">
        <v>133</v>
      </c>
      <c r="C2389" s="5">
        <v>10</v>
      </c>
      <c r="D2389" s="5" t="s">
        <v>86</v>
      </c>
      <c r="E2389" s="5">
        <v>2023</v>
      </c>
      <c r="F2389" s="5">
        <v>10</v>
      </c>
      <c r="G2389" s="5" t="s">
        <v>55</v>
      </c>
      <c r="H2389" s="5">
        <v>1991221</v>
      </c>
      <c r="I2389" s="5">
        <v>1744528.91</v>
      </c>
      <c r="J2389" s="5">
        <v>19</v>
      </c>
      <c r="K2389" s="5">
        <v>277530</v>
      </c>
      <c r="L2389" s="5">
        <v>2263380</v>
      </c>
      <c r="M2389" s="5">
        <v>246692.09</v>
      </c>
      <c r="N2389" s="5">
        <v>0.1239</v>
      </c>
      <c r="O2389" s="5">
        <v>0</v>
      </c>
      <c r="P2389" s="5">
        <v>0</v>
      </c>
    </row>
    <row r="2390" spans="1:16" x14ac:dyDescent="0.3">
      <c r="A2390" s="5">
        <v>54</v>
      </c>
      <c r="B2390" s="5" t="s">
        <v>133</v>
      </c>
      <c r="C2390" s="5">
        <v>10</v>
      </c>
      <c r="D2390" s="5" t="s">
        <v>86</v>
      </c>
      <c r="E2390" s="5">
        <v>2023</v>
      </c>
      <c r="F2390" s="5">
        <v>11</v>
      </c>
      <c r="G2390" s="5" t="s">
        <v>56</v>
      </c>
      <c r="H2390" s="5">
        <v>1014500</v>
      </c>
      <c r="I2390" s="5">
        <v>913404.46</v>
      </c>
      <c r="J2390" s="5">
        <v>21</v>
      </c>
      <c r="K2390" s="5">
        <v>167531</v>
      </c>
      <c r="L2390" s="5">
        <v>1179220</v>
      </c>
      <c r="M2390" s="5">
        <v>101095.54</v>
      </c>
      <c r="N2390" s="5">
        <v>9.9699999999999997E-2</v>
      </c>
      <c r="O2390" s="5">
        <v>2</v>
      </c>
      <c r="P2390" s="5">
        <v>23408</v>
      </c>
    </row>
    <row r="2391" spans="1:16" x14ac:dyDescent="0.3">
      <c r="A2391" s="5">
        <v>54</v>
      </c>
      <c r="B2391" s="5" t="s">
        <v>133</v>
      </c>
      <c r="C2391" s="5">
        <v>10</v>
      </c>
      <c r="D2391" s="5" t="s">
        <v>86</v>
      </c>
      <c r="E2391" s="5">
        <v>2023</v>
      </c>
      <c r="F2391" s="5">
        <v>12</v>
      </c>
      <c r="G2391" s="5" t="s">
        <v>57</v>
      </c>
      <c r="H2391" s="5">
        <v>1137576</v>
      </c>
      <c r="I2391" s="5">
        <v>1030553.19</v>
      </c>
      <c r="J2391" s="5">
        <v>23</v>
      </c>
      <c r="K2391" s="5">
        <v>166645</v>
      </c>
      <c r="L2391" s="5">
        <v>1302520</v>
      </c>
      <c r="M2391" s="5">
        <v>107022.81</v>
      </c>
      <c r="N2391" s="5">
        <v>9.4100000000000003E-2</v>
      </c>
      <c r="O2391" s="5">
        <v>0</v>
      </c>
      <c r="P2391" s="5">
        <v>0</v>
      </c>
    </row>
    <row r="2392" spans="1:16" x14ac:dyDescent="0.3">
      <c r="A2392" s="5">
        <v>54</v>
      </c>
      <c r="B2392" s="5" t="s">
        <v>133</v>
      </c>
      <c r="C2392" s="5">
        <v>10</v>
      </c>
      <c r="D2392" s="5" t="s">
        <v>86</v>
      </c>
      <c r="E2392" s="5">
        <v>2024</v>
      </c>
      <c r="F2392" s="5">
        <v>1</v>
      </c>
      <c r="G2392" s="5" t="s">
        <v>58</v>
      </c>
      <c r="H2392" s="5">
        <v>596760</v>
      </c>
      <c r="I2392" s="5">
        <v>538595.18999999994</v>
      </c>
      <c r="J2392" s="5">
        <v>16</v>
      </c>
      <c r="K2392" s="5">
        <v>111639</v>
      </c>
      <c r="L2392" s="5">
        <v>706610</v>
      </c>
      <c r="M2392" s="5">
        <v>58164.81</v>
      </c>
      <c r="N2392" s="5">
        <v>9.7500000000000003E-2</v>
      </c>
      <c r="O2392" s="5">
        <v>1</v>
      </c>
      <c r="P2392" s="5">
        <v>4099</v>
      </c>
    </row>
    <row r="2393" spans="1:16" x14ac:dyDescent="0.3">
      <c r="A2393" s="5">
        <v>54</v>
      </c>
      <c r="B2393" s="5" t="s">
        <v>133</v>
      </c>
      <c r="C2393" s="5">
        <v>10</v>
      </c>
      <c r="D2393" s="5" t="s">
        <v>86</v>
      </c>
      <c r="E2393" s="5">
        <v>2024</v>
      </c>
      <c r="F2393" s="5">
        <v>2</v>
      </c>
      <c r="G2393" s="5" t="s">
        <v>59</v>
      </c>
      <c r="H2393" s="5">
        <v>789267</v>
      </c>
      <c r="I2393" s="5">
        <v>717294.27</v>
      </c>
      <c r="J2393" s="5">
        <v>14</v>
      </c>
      <c r="K2393" s="5">
        <v>130675</v>
      </c>
      <c r="L2393" s="5">
        <v>918050</v>
      </c>
      <c r="M2393" s="5">
        <v>71972.73</v>
      </c>
      <c r="N2393" s="5">
        <v>9.1200000000000003E-2</v>
      </c>
      <c r="O2393" s="5">
        <v>0</v>
      </c>
      <c r="P2393" s="5">
        <v>0</v>
      </c>
    </row>
    <row r="2394" spans="1:16" x14ac:dyDescent="0.3">
      <c r="A2394" s="5">
        <v>54</v>
      </c>
      <c r="B2394" s="5" t="s">
        <v>133</v>
      </c>
      <c r="C2394" s="5">
        <v>10</v>
      </c>
      <c r="D2394" s="5" t="s">
        <v>86</v>
      </c>
      <c r="E2394" s="5">
        <v>2024</v>
      </c>
      <c r="F2394" s="5">
        <v>3</v>
      </c>
      <c r="G2394" s="5" t="s">
        <v>60</v>
      </c>
      <c r="H2394" s="5">
        <v>1743340</v>
      </c>
      <c r="I2394" s="5">
        <v>1499333.83</v>
      </c>
      <c r="J2394" s="5">
        <v>23</v>
      </c>
      <c r="K2394" s="5">
        <v>162463</v>
      </c>
      <c r="L2394" s="5">
        <v>1894840</v>
      </c>
      <c r="M2394" s="5">
        <v>244006.17</v>
      </c>
      <c r="N2394" s="5">
        <v>0.14000000000000001</v>
      </c>
      <c r="O2394" s="5">
        <v>3</v>
      </c>
      <c r="P2394" s="5">
        <v>95879</v>
      </c>
    </row>
    <row r="2395" spans="1:16" x14ac:dyDescent="0.3">
      <c r="A2395" s="5">
        <v>54</v>
      </c>
      <c r="B2395" s="5" t="s">
        <v>133</v>
      </c>
      <c r="C2395" s="5">
        <v>10</v>
      </c>
      <c r="D2395" s="5" t="s">
        <v>86</v>
      </c>
      <c r="E2395" s="5">
        <v>2024</v>
      </c>
      <c r="F2395" s="5">
        <v>4</v>
      </c>
      <c r="G2395" s="5" t="s">
        <v>61</v>
      </c>
      <c r="H2395" s="5">
        <v>2232424</v>
      </c>
      <c r="I2395" s="5">
        <v>1992642.92</v>
      </c>
      <c r="J2395" s="5">
        <v>30</v>
      </c>
      <c r="K2395" s="5">
        <v>336714</v>
      </c>
      <c r="L2395" s="5">
        <v>2568200</v>
      </c>
      <c r="M2395" s="5">
        <v>239781.08</v>
      </c>
      <c r="N2395" s="5">
        <v>0.1074</v>
      </c>
      <c r="O2395" s="5">
        <v>2</v>
      </c>
      <c r="P2395" s="5">
        <v>58530</v>
      </c>
    </row>
    <row r="2396" spans="1:16" x14ac:dyDescent="0.3">
      <c r="A2396" s="5">
        <v>54</v>
      </c>
      <c r="B2396" s="5" t="s">
        <v>133</v>
      </c>
      <c r="C2396" s="5">
        <v>10</v>
      </c>
      <c r="D2396" s="5" t="s">
        <v>86</v>
      </c>
      <c r="E2396" s="5">
        <v>2024</v>
      </c>
      <c r="F2396" s="5">
        <v>5</v>
      </c>
      <c r="G2396" s="5" t="s">
        <v>62</v>
      </c>
      <c r="H2396" s="5">
        <v>959977</v>
      </c>
      <c r="I2396" s="5">
        <v>901862.93</v>
      </c>
      <c r="J2396" s="5">
        <v>22</v>
      </c>
      <c r="K2396" s="5">
        <v>234552</v>
      </c>
      <c r="L2396" s="5">
        <v>1193910</v>
      </c>
      <c r="M2396" s="5">
        <v>58114.07</v>
      </c>
      <c r="N2396" s="5">
        <v>6.0499999999999998E-2</v>
      </c>
      <c r="O2396" s="5">
        <v>4</v>
      </c>
      <c r="P2396" s="5">
        <v>87216</v>
      </c>
    </row>
    <row r="2397" spans="1:16" x14ac:dyDescent="0.3">
      <c r="A2397" s="5">
        <v>54</v>
      </c>
      <c r="B2397" s="5" t="s">
        <v>133</v>
      </c>
      <c r="C2397" s="5">
        <v>10</v>
      </c>
      <c r="D2397" s="5" t="s">
        <v>86</v>
      </c>
      <c r="E2397" s="5">
        <v>2024</v>
      </c>
      <c r="F2397" s="5">
        <v>6</v>
      </c>
      <c r="G2397" s="5" t="s">
        <v>63</v>
      </c>
      <c r="H2397" s="5">
        <v>1045380</v>
      </c>
      <c r="I2397" s="5">
        <v>834679.31</v>
      </c>
      <c r="J2397" s="5">
        <v>18</v>
      </c>
      <c r="K2397" s="5">
        <v>49349</v>
      </c>
      <c r="L2397" s="5">
        <v>1088720</v>
      </c>
      <c r="M2397" s="5">
        <v>210700.69</v>
      </c>
      <c r="N2397" s="5">
        <v>0.2016</v>
      </c>
      <c r="O2397" s="5">
        <v>2</v>
      </c>
      <c r="P2397" s="5">
        <v>45173</v>
      </c>
    </row>
    <row r="2398" spans="1:16" x14ac:dyDescent="0.3">
      <c r="A2398" s="5">
        <v>54</v>
      </c>
      <c r="B2398" s="5" t="s">
        <v>133</v>
      </c>
      <c r="C2398" s="5">
        <v>10</v>
      </c>
      <c r="D2398" s="5" t="s">
        <v>86</v>
      </c>
      <c r="E2398" s="5">
        <v>2024</v>
      </c>
      <c r="F2398" s="5">
        <v>7</v>
      </c>
      <c r="G2398" s="5" t="s">
        <v>64</v>
      </c>
      <c r="H2398" s="5">
        <v>1251824</v>
      </c>
      <c r="I2398" s="5">
        <v>974731.21</v>
      </c>
      <c r="J2398" s="5">
        <v>17</v>
      </c>
      <c r="K2398" s="5">
        <v>66399</v>
      </c>
      <c r="L2398" s="5">
        <v>1314880</v>
      </c>
      <c r="M2398" s="5">
        <v>277092.78999999998</v>
      </c>
      <c r="N2398" s="5">
        <v>0.22140000000000001</v>
      </c>
      <c r="O2398" s="5">
        <v>0</v>
      </c>
      <c r="P2398" s="5">
        <v>0</v>
      </c>
    </row>
    <row r="2399" spans="1:16" x14ac:dyDescent="0.3">
      <c r="A2399" s="5">
        <v>54</v>
      </c>
      <c r="B2399" s="5" t="s">
        <v>133</v>
      </c>
      <c r="C2399" s="5">
        <v>10</v>
      </c>
      <c r="D2399" s="5" t="s">
        <v>86</v>
      </c>
      <c r="E2399" s="5">
        <v>2024</v>
      </c>
      <c r="F2399" s="5">
        <v>8</v>
      </c>
      <c r="G2399" s="5" t="s">
        <v>65</v>
      </c>
      <c r="H2399" s="5">
        <v>1379869</v>
      </c>
      <c r="I2399" s="5">
        <v>1156098.0900000001</v>
      </c>
      <c r="J2399" s="5">
        <v>15</v>
      </c>
      <c r="K2399" s="5">
        <v>130073</v>
      </c>
      <c r="L2399" s="5">
        <v>1500560</v>
      </c>
      <c r="M2399" s="5">
        <v>223770.91</v>
      </c>
      <c r="N2399" s="5">
        <v>0.16220000000000001</v>
      </c>
      <c r="O2399" s="5">
        <v>0</v>
      </c>
      <c r="P2399" s="5">
        <v>0</v>
      </c>
    </row>
    <row r="2400" spans="1:16" x14ac:dyDescent="0.3">
      <c r="A2400" s="5">
        <v>54</v>
      </c>
      <c r="B2400" s="5" t="s">
        <v>133</v>
      </c>
      <c r="C2400" s="5">
        <v>10</v>
      </c>
      <c r="D2400" s="5" t="s">
        <v>86</v>
      </c>
      <c r="E2400" s="5">
        <v>2024</v>
      </c>
      <c r="F2400" s="5">
        <v>9</v>
      </c>
      <c r="G2400" s="5" t="s">
        <v>66</v>
      </c>
      <c r="H2400" s="5">
        <v>1229444</v>
      </c>
      <c r="I2400" s="5">
        <v>1057353.6100000001</v>
      </c>
      <c r="J2400" s="5">
        <v>12</v>
      </c>
      <c r="K2400" s="5">
        <v>94767</v>
      </c>
      <c r="L2400" s="5">
        <v>1319740</v>
      </c>
      <c r="M2400" s="5">
        <v>172090.39</v>
      </c>
      <c r="N2400" s="5">
        <v>0.14000000000000001</v>
      </c>
      <c r="O2400" s="5">
        <v>1</v>
      </c>
      <c r="P2400" s="5">
        <v>248</v>
      </c>
    </row>
    <row r="2401" spans="1:16" x14ac:dyDescent="0.3">
      <c r="A2401" s="5">
        <v>54</v>
      </c>
      <c r="B2401" s="5" t="s">
        <v>133</v>
      </c>
      <c r="C2401" s="5">
        <v>10</v>
      </c>
      <c r="D2401" s="5" t="s">
        <v>86</v>
      </c>
      <c r="E2401" s="5">
        <v>2024</v>
      </c>
      <c r="F2401" s="5">
        <v>10</v>
      </c>
      <c r="G2401" s="5" t="s">
        <v>67</v>
      </c>
      <c r="H2401" s="5">
        <v>1173025</v>
      </c>
      <c r="I2401" s="5">
        <v>951437.68</v>
      </c>
      <c r="J2401" s="5">
        <v>24</v>
      </c>
      <c r="K2401" s="5">
        <v>47676</v>
      </c>
      <c r="L2401" s="5">
        <v>1218920</v>
      </c>
      <c r="M2401" s="5">
        <v>221587.32</v>
      </c>
      <c r="N2401" s="5">
        <v>0.18890000000000001</v>
      </c>
      <c r="O2401" s="5">
        <v>3</v>
      </c>
      <c r="P2401" s="5">
        <v>12516</v>
      </c>
    </row>
    <row r="2402" spans="1:16" x14ac:dyDescent="0.3">
      <c r="A2402" s="5">
        <v>54</v>
      </c>
      <c r="B2402" s="5" t="s">
        <v>133</v>
      </c>
      <c r="C2402" s="5">
        <v>10</v>
      </c>
      <c r="D2402" s="5" t="s">
        <v>86</v>
      </c>
      <c r="E2402" s="5">
        <v>2024</v>
      </c>
      <c r="F2402" s="5">
        <v>11</v>
      </c>
      <c r="G2402" s="5" t="s">
        <v>68</v>
      </c>
      <c r="H2402" s="5">
        <v>2524212</v>
      </c>
      <c r="I2402" s="5">
        <v>2138488.94</v>
      </c>
      <c r="J2402" s="5">
        <v>33</v>
      </c>
      <c r="K2402" s="5">
        <v>171610</v>
      </c>
      <c r="L2402" s="5">
        <v>2683250</v>
      </c>
      <c r="M2402" s="5">
        <v>385723.06</v>
      </c>
      <c r="N2402" s="5">
        <v>0.15279999999999999</v>
      </c>
      <c r="O2402" s="5">
        <v>3</v>
      </c>
      <c r="P2402" s="5">
        <v>6950</v>
      </c>
    </row>
    <row r="2403" spans="1:16" x14ac:dyDescent="0.3">
      <c r="A2403" s="5">
        <v>54</v>
      </c>
      <c r="B2403" s="5" t="s">
        <v>133</v>
      </c>
      <c r="C2403" s="5">
        <v>10</v>
      </c>
      <c r="D2403" s="5" t="s">
        <v>86</v>
      </c>
      <c r="E2403" s="5">
        <v>2024</v>
      </c>
      <c r="F2403" s="5">
        <v>12</v>
      </c>
      <c r="G2403" s="5" t="s">
        <v>69</v>
      </c>
      <c r="H2403" s="5">
        <v>2247737</v>
      </c>
      <c r="I2403" s="5">
        <v>1794148.68</v>
      </c>
      <c r="J2403" s="5">
        <v>27</v>
      </c>
      <c r="K2403" s="5">
        <v>88348</v>
      </c>
      <c r="L2403" s="5">
        <v>2333590</v>
      </c>
      <c r="M2403" s="5">
        <v>453588.32</v>
      </c>
      <c r="N2403" s="5">
        <v>0.20180000000000001</v>
      </c>
      <c r="O2403" s="5">
        <v>0</v>
      </c>
      <c r="P2403" s="5">
        <v>0</v>
      </c>
    </row>
    <row r="2404" spans="1:16" x14ac:dyDescent="0.3">
      <c r="A2404" s="5">
        <v>38</v>
      </c>
      <c r="B2404" s="5" t="s">
        <v>134</v>
      </c>
      <c r="C2404" s="5">
        <v>10</v>
      </c>
      <c r="D2404" s="5" t="s">
        <v>86</v>
      </c>
      <c r="E2404" s="5">
        <v>2021</v>
      </c>
      <c r="F2404" s="5">
        <v>1</v>
      </c>
      <c r="G2404" s="5" t="s">
        <v>22</v>
      </c>
      <c r="H2404" s="5">
        <v>674176</v>
      </c>
      <c r="I2404" s="5">
        <v>582681.51</v>
      </c>
      <c r="J2404" s="5">
        <v>17</v>
      </c>
      <c r="K2404" s="5">
        <v>73333</v>
      </c>
      <c r="L2404" s="5">
        <v>742110</v>
      </c>
      <c r="M2404" s="5">
        <v>91494.49</v>
      </c>
      <c r="N2404" s="5">
        <v>0.13569999999999999</v>
      </c>
      <c r="O2404" s="5">
        <v>0</v>
      </c>
      <c r="P2404" s="5">
        <v>0</v>
      </c>
    </row>
    <row r="2405" spans="1:16" x14ac:dyDescent="0.3">
      <c r="A2405" s="5">
        <v>57</v>
      </c>
      <c r="B2405" s="5" t="s">
        <v>134</v>
      </c>
      <c r="C2405" s="5">
        <v>10</v>
      </c>
      <c r="D2405" s="5" t="s">
        <v>86</v>
      </c>
      <c r="E2405" s="5">
        <v>2021</v>
      </c>
      <c r="F2405" s="5">
        <v>1</v>
      </c>
      <c r="G2405" s="5" t="s">
        <v>22</v>
      </c>
      <c r="H2405" s="5">
        <v>2271725</v>
      </c>
      <c r="I2405" s="5">
        <v>1925147.35</v>
      </c>
      <c r="J2405" s="5">
        <v>40</v>
      </c>
      <c r="K2405" s="5">
        <v>298699</v>
      </c>
      <c r="L2405" s="5">
        <v>2563310</v>
      </c>
      <c r="M2405" s="5">
        <v>346577.65</v>
      </c>
      <c r="N2405" s="5">
        <v>0.15260000000000001</v>
      </c>
      <c r="O2405" s="5">
        <v>5</v>
      </c>
      <c r="P2405" s="5">
        <v>47087</v>
      </c>
    </row>
    <row r="2406" spans="1:16" x14ac:dyDescent="0.3">
      <c r="A2406" s="5">
        <v>38</v>
      </c>
      <c r="B2406" s="5" t="s">
        <v>134</v>
      </c>
      <c r="C2406" s="5">
        <v>10</v>
      </c>
      <c r="D2406" s="5" t="s">
        <v>86</v>
      </c>
      <c r="E2406" s="5">
        <v>2021</v>
      </c>
      <c r="F2406" s="5">
        <v>2</v>
      </c>
      <c r="G2406" s="5" t="s">
        <v>23</v>
      </c>
      <c r="H2406" s="5">
        <v>567160</v>
      </c>
      <c r="I2406" s="5">
        <v>500675.12</v>
      </c>
      <c r="J2406" s="5">
        <v>10</v>
      </c>
      <c r="K2406" s="5">
        <v>88888</v>
      </c>
      <c r="L2406" s="5">
        <v>653950</v>
      </c>
      <c r="M2406" s="5">
        <v>66484.88</v>
      </c>
      <c r="N2406" s="5">
        <v>0.1172</v>
      </c>
      <c r="O2406" s="5">
        <v>2</v>
      </c>
      <c r="P2406" s="5">
        <v>9029</v>
      </c>
    </row>
    <row r="2407" spans="1:16" x14ac:dyDescent="0.3">
      <c r="A2407" s="5">
        <v>57</v>
      </c>
      <c r="B2407" s="5" t="s">
        <v>134</v>
      </c>
      <c r="C2407" s="5">
        <v>10</v>
      </c>
      <c r="D2407" s="5" t="s">
        <v>86</v>
      </c>
      <c r="E2407" s="5">
        <v>2021</v>
      </c>
      <c r="F2407" s="5">
        <v>2</v>
      </c>
      <c r="G2407" s="5" t="s">
        <v>23</v>
      </c>
      <c r="H2407" s="5">
        <v>2620413</v>
      </c>
      <c r="I2407" s="5">
        <v>2277292.81</v>
      </c>
      <c r="J2407" s="5">
        <v>42</v>
      </c>
      <c r="K2407" s="5">
        <v>341509</v>
      </c>
      <c r="L2407" s="5">
        <v>2951070</v>
      </c>
      <c r="M2407" s="5">
        <v>343120.19</v>
      </c>
      <c r="N2407" s="5">
        <v>0.13089999999999999</v>
      </c>
      <c r="O2407" s="5">
        <v>0</v>
      </c>
      <c r="P2407" s="5">
        <v>0</v>
      </c>
    </row>
    <row r="2408" spans="1:16" x14ac:dyDescent="0.3">
      <c r="A2408" s="5">
        <v>38</v>
      </c>
      <c r="B2408" s="5" t="s">
        <v>134</v>
      </c>
      <c r="C2408" s="5">
        <v>10</v>
      </c>
      <c r="D2408" s="5" t="s">
        <v>86</v>
      </c>
      <c r="E2408" s="5">
        <v>2021</v>
      </c>
      <c r="F2408" s="5">
        <v>3</v>
      </c>
      <c r="G2408" s="5" t="s">
        <v>24</v>
      </c>
      <c r="H2408" s="5">
        <v>420402</v>
      </c>
      <c r="I2408" s="5">
        <v>310903.65000000002</v>
      </c>
      <c r="J2408" s="5">
        <v>8</v>
      </c>
      <c r="K2408" s="5">
        <v>10794</v>
      </c>
      <c r="L2408" s="5">
        <v>426540</v>
      </c>
      <c r="M2408" s="5">
        <v>109498.35</v>
      </c>
      <c r="N2408" s="5">
        <v>0.26050000000000001</v>
      </c>
      <c r="O2408" s="5">
        <v>0</v>
      </c>
      <c r="P2408" s="5">
        <v>0</v>
      </c>
    </row>
    <row r="2409" spans="1:16" x14ac:dyDescent="0.3">
      <c r="A2409" s="5">
        <v>57</v>
      </c>
      <c r="B2409" s="5" t="s">
        <v>134</v>
      </c>
      <c r="C2409" s="5">
        <v>10</v>
      </c>
      <c r="D2409" s="5" t="s">
        <v>86</v>
      </c>
      <c r="E2409" s="5">
        <v>2021</v>
      </c>
      <c r="F2409" s="5">
        <v>3</v>
      </c>
      <c r="G2409" s="5" t="s">
        <v>24</v>
      </c>
      <c r="H2409" s="5">
        <v>3874967</v>
      </c>
      <c r="I2409" s="5">
        <v>3116082.3</v>
      </c>
      <c r="J2409" s="5">
        <v>48</v>
      </c>
      <c r="K2409" s="5">
        <v>203942</v>
      </c>
      <c r="L2409" s="5">
        <v>4060460</v>
      </c>
      <c r="M2409" s="5">
        <v>758884.7</v>
      </c>
      <c r="N2409" s="5">
        <v>0.1958</v>
      </c>
      <c r="O2409" s="5">
        <v>5</v>
      </c>
      <c r="P2409" s="5">
        <v>16597</v>
      </c>
    </row>
    <row r="2410" spans="1:16" x14ac:dyDescent="0.3">
      <c r="A2410" s="5">
        <v>38</v>
      </c>
      <c r="B2410" s="5" t="s">
        <v>134</v>
      </c>
      <c r="C2410" s="5">
        <v>10</v>
      </c>
      <c r="D2410" s="5" t="s">
        <v>86</v>
      </c>
      <c r="E2410" s="5">
        <v>2021</v>
      </c>
      <c r="F2410" s="5">
        <v>4</v>
      </c>
      <c r="G2410" s="5" t="s">
        <v>25</v>
      </c>
      <c r="H2410" s="5">
        <v>865317</v>
      </c>
      <c r="I2410" s="5">
        <v>773670.22</v>
      </c>
      <c r="J2410" s="5">
        <v>11</v>
      </c>
      <c r="K2410" s="5">
        <v>121441</v>
      </c>
      <c r="L2410" s="5">
        <v>985330</v>
      </c>
      <c r="M2410" s="5">
        <v>91646.78</v>
      </c>
      <c r="N2410" s="5">
        <v>0.10589999999999999</v>
      </c>
      <c r="O2410" s="5">
        <v>1</v>
      </c>
      <c r="P2410" s="5">
        <v>3522</v>
      </c>
    </row>
    <row r="2411" spans="1:16" x14ac:dyDescent="0.3">
      <c r="A2411" s="5">
        <v>57</v>
      </c>
      <c r="B2411" s="5" t="s">
        <v>134</v>
      </c>
      <c r="C2411" s="5">
        <v>10</v>
      </c>
      <c r="D2411" s="5" t="s">
        <v>86</v>
      </c>
      <c r="E2411" s="5">
        <v>2021</v>
      </c>
      <c r="F2411" s="5">
        <v>4</v>
      </c>
      <c r="G2411" s="5" t="s">
        <v>25</v>
      </c>
      <c r="H2411" s="5">
        <v>3851937</v>
      </c>
      <c r="I2411" s="5">
        <v>3296632.47</v>
      </c>
      <c r="J2411" s="5">
        <v>43</v>
      </c>
      <c r="K2411" s="5">
        <v>282706</v>
      </c>
      <c r="L2411" s="5">
        <v>4127800</v>
      </c>
      <c r="M2411" s="5">
        <v>555304.53</v>
      </c>
      <c r="N2411" s="5">
        <v>0.14419999999999999</v>
      </c>
      <c r="O2411" s="5">
        <v>3</v>
      </c>
      <c r="P2411" s="5">
        <v>244738</v>
      </c>
    </row>
    <row r="2412" spans="1:16" x14ac:dyDescent="0.3">
      <c r="A2412" s="5">
        <v>38</v>
      </c>
      <c r="B2412" s="5" t="s">
        <v>134</v>
      </c>
      <c r="C2412" s="5">
        <v>10</v>
      </c>
      <c r="D2412" s="5" t="s">
        <v>86</v>
      </c>
      <c r="E2412" s="5">
        <v>2021</v>
      </c>
      <c r="F2412" s="5">
        <v>5</v>
      </c>
      <c r="G2412" s="5" t="s">
        <v>26</v>
      </c>
      <c r="H2412" s="5">
        <v>1153113</v>
      </c>
      <c r="I2412" s="5">
        <v>990721.3</v>
      </c>
      <c r="J2412" s="5">
        <v>17</v>
      </c>
      <c r="K2412" s="5">
        <v>129720</v>
      </c>
      <c r="L2412" s="5">
        <v>1280680</v>
      </c>
      <c r="M2412" s="5">
        <v>162391.70000000001</v>
      </c>
      <c r="N2412" s="5">
        <v>0.14080000000000001</v>
      </c>
      <c r="O2412" s="5">
        <v>0</v>
      </c>
      <c r="P2412" s="5">
        <v>0</v>
      </c>
    </row>
    <row r="2413" spans="1:16" x14ac:dyDescent="0.3">
      <c r="A2413" s="5">
        <v>57</v>
      </c>
      <c r="B2413" s="5" t="s">
        <v>134</v>
      </c>
      <c r="C2413" s="5">
        <v>10</v>
      </c>
      <c r="D2413" s="5" t="s">
        <v>86</v>
      </c>
      <c r="E2413" s="5">
        <v>2021</v>
      </c>
      <c r="F2413" s="5">
        <v>5</v>
      </c>
      <c r="G2413" s="5" t="s">
        <v>26</v>
      </c>
      <c r="H2413" s="5">
        <v>3291254</v>
      </c>
      <c r="I2413" s="5">
        <v>2884378.76</v>
      </c>
      <c r="J2413" s="5">
        <v>46</v>
      </c>
      <c r="K2413" s="5">
        <v>430959</v>
      </c>
      <c r="L2413" s="5">
        <v>3711060</v>
      </c>
      <c r="M2413" s="5">
        <v>406875.24</v>
      </c>
      <c r="N2413" s="5">
        <v>0.1236</v>
      </c>
      <c r="O2413" s="5">
        <v>4</v>
      </c>
      <c r="P2413" s="5">
        <v>111890</v>
      </c>
    </row>
    <row r="2414" spans="1:16" x14ac:dyDescent="0.3">
      <c r="A2414" s="5">
        <v>38</v>
      </c>
      <c r="B2414" s="5" t="s">
        <v>134</v>
      </c>
      <c r="C2414" s="5">
        <v>10</v>
      </c>
      <c r="D2414" s="5" t="s">
        <v>86</v>
      </c>
      <c r="E2414" s="5">
        <v>2021</v>
      </c>
      <c r="F2414" s="5">
        <v>6</v>
      </c>
      <c r="G2414" s="5" t="s">
        <v>27</v>
      </c>
      <c r="H2414" s="5">
        <v>271930</v>
      </c>
      <c r="I2414" s="5">
        <v>265234.65000000002</v>
      </c>
      <c r="J2414" s="5">
        <v>11</v>
      </c>
      <c r="K2414" s="5">
        <v>66401</v>
      </c>
      <c r="L2414" s="5">
        <v>337380</v>
      </c>
      <c r="M2414" s="5">
        <v>6695.35</v>
      </c>
      <c r="N2414" s="5">
        <v>2.46E-2</v>
      </c>
      <c r="O2414" s="5">
        <v>0</v>
      </c>
      <c r="P2414" s="5">
        <v>0</v>
      </c>
    </row>
    <row r="2415" spans="1:16" x14ac:dyDescent="0.3">
      <c r="A2415" s="5">
        <v>57</v>
      </c>
      <c r="B2415" s="5" t="s">
        <v>134</v>
      </c>
      <c r="C2415" s="5">
        <v>10</v>
      </c>
      <c r="D2415" s="5" t="s">
        <v>86</v>
      </c>
      <c r="E2415" s="5">
        <v>2021</v>
      </c>
      <c r="F2415" s="5">
        <v>6</v>
      </c>
      <c r="G2415" s="5" t="s">
        <v>27</v>
      </c>
      <c r="H2415" s="5">
        <v>3109795</v>
      </c>
      <c r="I2415" s="5">
        <v>2741398.95</v>
      </c>
      <c r="J2415" s="5">
        <v>49</v>
      </c>
      <c r="K2415" s="5">
        <v>415281</v>
      </c>
      <c r="L2415" s="5">
        <v>3514560</v>
      </c>
      <c r="M2415" s="5">
        <v>368396.05</v>
      </c>
      <c r="N2415" s="5">
        <v>0.11849999999999999</v>
      </c>
      <c r="O2415" s="5">
        <v>4</v>
      </c>
      <c r="P2415" s="5">
        <v>178847</v>
      </c>
    </row>
    <row r="2416" spans="1:16" x14ac:dyDescent="0.3">
      <c r="A2416" s="5">
        <v>38</v>
      </c>
      <c r="B2416" s="5" t="s">
        <v>134</v>
      </c>
      <c r="C2416" s="5">
        <v>10</v>
      </c>
      <c r="D2416" s="5" t="s">
        <v>86</v>
      </c>
      <c r="E2416" s="5">
        <v>2021</v>
      </c>
      <c r="F2416" s="5">
        <v>7</v>
      </c>
      <c r="G2416" s="5" t="s">
        <v>28</v>
      </c>
      <c r="H2416" s="5">
        <v>464573</v>
      </c>
      <c r="I2416" s="5">
        <v>397554.45</v>
      </c>
      <c r="J2416" s="5">
        <v>11</v>
      </c>
      <c r="K2416" s="5">
        <v>57404</v>
      </c>
      <c r="L2416" s="5">
        <v>520990</v>
      </c>
      <c r="M2416" s="5">
        <v>67018.55</v>
      </c>
      <c r="N2416" s="5">
        <v>0.14430000000000001</v>
      </c>
      <c r="O2416" s="5">
        <v>2</v>
      </c>
      <c r="P2416" s="5">
        <v>68479</v>
      </c>
    </row>
    <row r="2417" spans="1:16" x14ac:dyDescent="0.3">
      <c r="A2417" s="5">
        <v>57</v>
      </c>
      <c r="B2417" s="5" t="s">
        <v>134</v>
      </c>
      <c r="C2417" s="5">
        <v>10</v>
      </c>
      <c r="D2417" s="5" t="s">
        <v>86</v>
      </c>
      <c r="E2417" s="5">
        <v>2021</v>
      </c>
      <c r="F2417" s="5">
        <v>7</v>
      </c>
      <c r="G2417" s="5" t="s">
        <v>28</v>
      </c>
      <c r="H2417" s="5">
        <v>2369147</v>
      </c>
      <c r="I2417" s="5">
        <v>2039107.24</v>
      </c>
      <c r="J2417" s="5">
        <v>40</v>
      </c>
      <c r="K2417" s="5">
        <v>288497</v>
      </c>
      <c r="L2417" s="5">
        <v>2653340</v>
      </c>
      <c r="M2417" s="5">
        <v>330039.76</v>
      </c>
      <c r="N2417" s="5">
        <v>0.13930000000000001</v>
      </c>
      <c r="O2417" s="5">
        <v>5</v>
      </c>
      <c r="P2417" s="5">
        <v>90252</v>
      </c>
    </row>
    <row r="2418" spans="1:16" x14ac:dyDescent="0.3">
      <c r="A2418" s="5">
        <v>38</v>
      </c>
      <c r="B2418" s="5" t="s">
        <v>134</v>
      </c>
      <c r="C2418" s="5">
        <v>10</v>
      </c>
      <c r="D2418" s="5" t="s">
        <v>86</v>
      </c>
      <c r="E2418" s="5">
        <v>2021</v>
      </c>
      <c r="F2418" s="5">
        <v>8</v>
      </c>
      <c r="G2418" s="5" t="s">
        <v>29</v>
      </c>
      <c r="H2418" s="5">
        <v>982606</v>
      </c>
      <c r="I2418" s="5">
        <v>837438.11</v>
      </c>
      <c r="J2418" s="5">
        <v>11</v>
      </c>
      <c r="K2418" s="5">
        <v>90804</v>
      </c>
      <c r="L2418" s="5">
        <v>1072520</v>
      </c>
      <c r="M2418" s="5">
        <v>145167.89000000001</v>
      </c>
      <c r="N2418" s="5">
        <v>0.1477</v>
      </c>
      <c r="O2418" s="5">
        <v>1</v>
      </c>
      <c r="P2418" s="5">
        <v>38363</v>
      </c>
    </row>
    <row r="2419" spans="1:16" x14ac:dyDescent="0.3">
      <c r="A2419" s="5">
        <v>57</v>
      </c>
      <c r="B2419" s="5" t="s">
        <v>134</v>
      </c>
      <c r="C2419" s="5">
        <v>10</v>
      </c>
      <c r="D2419" s="5" t="s">
        <v>86</v>
      </c>
      <c r="E2419" s="5">
        <v>2021</v>
      </c>
      <c r="F2419" s="5">
        <v>8</v>
      </c>
      <c r="G2419" s="5" t="s">
        <v>29</v>
      </c>
      <c r="H2419" s="5">
        <v>2601687</v>
      </c>
      <c r="I2419" s="5">
        <v>2141185.4</v>
      </c>
      <c r="J2419" s="5">
        <v>35</v>
      </c>
      <c r="K2419" s="5">
        <v>186306</v>
      </c>
      <c r="L2419" s="5">
        <v>2774900</v>
      </c>
      <c r="M2419" s="5">
        <v>460501.6</v>
      </c>
      <c r="N2419" s="5">
        <v>0.17699999999999999</v>
      </c>
      <c r="O2419" s="5">
        <v>1</v>
      </c>
      <c r="P2419" s="5">
        <v>1291</v>
      </c>
    </row>
    <row r="2420" spans="1:16" x14ac:dyDescent="0.3">
      <c r="A2420" s="5">
        <v>38</v>
      </c>
      <c r="B2420" s="5" t="s">
        <v>134</v>
      </c>
      <c r="C2420" s="5">
        <v>10</v>
      </c>
      <c r="D2420" s="5" t="s">
        <v>86</v>
      </c>
      <c r="E2420" s="5">
        <v>2021</v>
      </c>
      <c r="F2420" s="5">
        <v>9</v>
      </c>
      <c r="G2420" s="5" t="s">
        <v>30</v>
      </c>
      <c r="H2420" s="5">
        <v>316996</v>
      </c>
      <c r="I2420" s="5">
        <v>301593.65000000002</v>
      </c>
      <c r="J2420" s="5">
        <v>11</v>
      </c>
      <c r="K2420" s="5">
        <v>79704</v>
      </c>
      <c r="L2420" s="5">
        <v>396000</v>
      </c>
      <c r="M2420" s="5">
        <v>15402.35</v>
      </c>
      <c r="N2420" s="5">
        <v>4.8599999999999997E-2</v>
      </c>
      <c r="O2420" s="5">
        <v>1</v>
      </c>
      <c r="P2420" s="5">
        <v>9909</v>
      </c>
    </row>
    <row r="2421" spans="1:16" x14ac:dyDescent="0.3">
      <c r="A2421" s="5">
        <v>57</v>
      </c>
      <c r="B2421" s="5" t="s">
        <v>134</v>
      </c>
      <c r="C2421" s="5">
        <v>10</v>
      </c>
      <c r="D2421" s="5" t="s">
        <v>86</v>
      </c>
      <c r="E2421" s="5">
        <v>2021</v>
      </c>
      <c r="F2421" s="5">
        <v>9</v>
      </c>
      <c r="G2421" s="5" t="s">
        <v>30</v>
      </c>
      <c r="H2421" s="5">
        <v>4016176</v>
      </c>
      <c r="I2421" s="5">
        <v>3555230.23</v>
      </c>
      <c r="J2421" s="5">
        <v>50</v>
      </c>
      <c r="K2421" s="5">
        <v>545925</v>
      </c>
      <c r="L2421" s="5">
        <v>4549980</v>
      </c>
      <c r="M2421" s="5">
        <v>460945.77</v>
      </c>
      <c r="N2421" s="5">
        <v>0.1148</v>
      </c>
      <c r="O2421" s="5">
        <v>7</v>
      </c>
      <c r="P2421" s="5">
        <v>306254</v>
      </c>
    </row>
    <row r="2422" spans="1:16" x14ac:dyDescent="0.3">
      <c r="A2422" s="5">
        <v>38</v>
      </c>
      <c r="B2422" s="5" t="s">
        <v>134</v>
      </c>
      <c r="C2422" s="5">
        <v>10</v>
      </c>
      <c r="D2422" s="5" t="s">
        <v>86</v>
      </c>
      <c r="E2422" s="5">
        <v>2021</v>
      </c>
      <c r="F2422" s="5">
        <v>10</v>
      </c>
      <c r="G2422" s="5" t="s">
        <v>31</v>
      </c>
      <c r="H2422" s="5">
        <v>1157570</v>
      </c>
      <c r="I2422" s="5">
        <v>927212.59</v>
      </c>
      <c r="J2422" s="5">
        <v>18</v>
      </c>
      <c r="K2422" s="5">
        <v>63873</v>
      </c>
      <c r="L2422" s="5">
        <v>1213630</v>
      </c>
      <c r="M2422" s="5">
        <v>230357.41</v>
      </c>
      <c r="N2422" s="5">
        <v>0.19900000000000001</v>
      </c>
      <c r="O2422" s="5">
        <v>1</v>
      </c>
      <c r="P2422" s="5">
        <v>20109</v>
      </c>
    </row>
    <row r="2423" spans="1:16" x14ac:dyDescent="0.3">
      <c r="A2423" s="5">
        <v>57</v>
      </c>
      <c r="B2423" s="5" t="s">
        <v>134</v>
      </c>
      <c r="C2423" s="5">
        <v>10</v>
      </c>
      <c r="D2423" s="5" t="s">
        <v>86</v>
      </c>
      <c r="E2423" s="5">
        <v>2021</v>
      </c>
      <c r="F2423" s="5">
        <v>10</v>
      </c>
      <c r="G2423" s="5" t="s">
        <v>31</v>
      </c>
      <c r="H2423" s="5">
        <v>6856087</v>
      </c>
      <c r="I2423" s="5">
        <v>6041035.96</v>
      </c>
      <c r="J2423" s="5">
        <v>92</v>
      </c>
      <c r="K2423" s="5">
        <v>845266</v>
      </c>
      <c r="L2423" s="5">
        <v>7682840</v>
      </c>
      <c r="M2423" s="5">
        <v>815051.04</v>
      </c>
      <c r="N2423" s="5">
        <v>0.11890000000000001</v>
      </c>
      <c r="O2423" s="5">
        <v>7</v>
      </c>
      <c r="P2423" s="5">
        <v>100599</v>
      </c>
    </row>
    <row r="2424" spans="1:16" x14ac:dyDescent="0.3">
      <c r="A2424" s="5">
        <v>38</v>
      </c>
      <c r="B2424" s="5" t="s">
        <v>134</v>
      </c>
      <c r="C2424" s="5">
        <v>10</v>
      </c>
      <c r="D2424" s="5" t="s">
        <v>86</v>
      </c>
      <c r="E2424" s="5">
        <v>2021</v>
      </c>
      <c r="F2424" s="5">
        <v>11</v>
      </c>
      <c r="G2424" s="5" t="s">
        <v>32</v>
      </c>
      <c r="H2424" s="5">
        <v>1426263</v>
      </c>
      <c r="I2424" s="5">
        <v>1209797.1399999999</v>
      </c>
      <c r="J2424" s="5">
        <v>18</v>
      </c>
      <c r="K2424" s="5">
        <v>102486</v>
      </c>
      <c r="L2424" s="5">
        <v>1526650</v>
      </c>
      <c r="M2424" s="5">
        <v>216465.86</v>
      </c>
      <c r="N2424" s="5">
        <v>0.15179999999999999</v>
      </c>
      <c r="O2424" s="5">
        <v>1</v>
      </c>
      <c r="P2424" s="5">
        <v>51208</v>
      </c>
    </row>
    <row r="2425" spans="1:16" x14ac:dyDescent="0.3">
      <c r="A2425" s="5">
        <v>57</v>
      </c>
      <c r="B2425" s="5" t="s">
        <v>134</v>
      </c>
      <c r="C2425" s="5">
        <v>10</v>
      </c>
      <c r="D2425" s="5" t="s">
        <v>86</v>
      </c>
      <c r="E2425" s="5">
        <v>2021</v>
      </c>
      <c r="F2425" s="5">
        <v>11</v>
      </c>
      <c r="G2425" s="5" t="s">
        <v>32</v>
      </c>
      <c r="H2425" s="5">
        <v>4432937</v>
      </c>
      <c r="I2425" s="5">
        <v>3607285.74</v>
      </c>
      <c r="J2425" s="5">
        <v>75</v>
      </c>
      <c r="K2425" s="5">
        <v>256443</v>
      </c>
      <c r="L2425" s="5">
        <v>4679150</v>
      </c>
      <c r="M2425" s="5">
        <v>825651.26</v>
      </c>
      <c r="N2425" s="5">
        <v>0.18629999999999999</v>
      </c>
      <c r="O2425" s="5">
        <v>5</v>
      </c>
      <c r="P2425" s="5">
        <v>44961</v>
      </c>
    </row>
    <row r="2426" spans="1:16" x14ac:dyDescent="0.3">
      <c r="A2426" s="5">
        <v>38</v>
      </c>
      <c r="B2426" s="5" t="s">
        <v>134</v>
      </c>
      <c r="C2426" s="5">
        <v>10</v>
      </c>
      <c r="D2426" s="5" t="s">
        <v>86</v>
      </c>
      <c r="E2426" s="5">
        <v>2021</v>
      </c>
      <c r="F2426" s="5">
        <v>12</v>
      </c>
      <c r="G2426" s="5" t="s">
        <v>33</v>
      </c>
      <c r="H2426" s="5">
        <v>713160</v>
      </c>
      <c r="I2426" s="5">
        <v>596472.01</v>
      </c>
      <c r="J2426" s="5">
        <v>13</v>
      </c>
      <c r="K2426" s="5">
        <v>72687</v>
      </c>
      <c r="L2426" s="5">
        <v>783350</v>
      </c>
      <c r="M2426" s="5">
        <v>116687.99</v>
      </c>
      <c r="N2426" s="5">
        <v>0.1636</v>
      </c>
      <c r="O2426" s="5">
        <v>0</v>
      </c>
      <c r="P2426" s="5">
        <v>0</v>
      </c>
    </row>
    <row r="2427" spans="1:16" x14ac:dyDescent="0.3">
      <c r="A2427" s="5">
        <v>57</v>
      </c>
      <c r="B2427" s="5" t="s">
        <v>134</v>
      </c>
      <c r="C2427" s="5">
        <v>10</v>
      </c>
      <c r="D2427" s="5" t="s">
        <v>86</v>
      </c>
      <c r="E2427" s="5">
        <v>2021</v>
      </c>
      <c r="F2427" s="5">
        <v>12</v>
      </c>
      <c r="G2427" s="5" t="s">
        <v>33</v>
      </c>
      <c r="H2427" s="5">
        <v>3595911</v>
      </c>
      <c r="I2427" s="5">
        <v>2956976.57</v>
      </c>
      <c r="J2427" s="5">
        <v>65</v>
      </c>
      <c r="K2427" s="5">
        <v>148909</v>
      </c>
      <c r="L2427" s="5">
        <v>3733270</v>
      </c>
      <c r="M2427" s="5">
        <v>638934.43000000005</v>
      </c>
      <c r="N2427" s="5">
        <v>0.1777</v>
      </c>
      <c r="O2427" s="5">
        <v>5</v>
      </c>
      <c r="P2427" s="5">
        <v>87852</v>
      </c>
    </row>
    <row r="2428" spans="1:16" x14ac:dyDescent="0.3">
      <c r="A2428" s="5">
        <v>38</v>
      </c>
      <c r="B2428" s="5" t="s">
        <v>134</v>
      </c>
      <c r="C2428" s="5">
        <v>10</v>
      </c>
      <c r="D2428" s="5" t="s">
        <v>86</v>
      </c>
      <c r="E2428" s="5">
        <v>2022</v>
      </c>
      <c r="F2428" s="5">
        <v>1</v>
      </c>
      <c r="G2428" s="5" t="s">
        <v>34</v>
      </c>
      <c r="H2428" s="5">
        <v>1101750</v>
      </c>
      <c r="I2428" s="5">
        <v>974243.53</v>
      </c>
      <c r="J2428" s="5">
        <v>18</v>
      </c>
      <c r="K2428" s="5">
        <v>175953</v>
      </c>
      <c r="L2428" s="5">
        <v>1277490</v>
      </c>
      <c r="M2428" s="5">
        <v>127506.47</v>
      </c>
      <c r="N2428" s="5">
        <v>0.1157</v>
      </c>
      <c r="O2428" s="5">
        <v>2</v>
      </c>
      <c r="P2428" s="5">
        <v>12496</v>
      </c>
    </row>
    <row r="2429" spans="1:16" x14ac:dyDescent="0.3">
      <c r="A2429" s="5">
        <v>57</v>
      </c>
      <c r="B2429" s="5" t="s">
        <v>134</v>
      </c>
      <c r="C2429" s="5">
        <v>10</v>
      </c>
      <c r="D2429" s="5" t="s">
        <v>86</v>
      </c>
      <c r="E2429" s="5">
        <v>2022</v>
      </c>
      <c r="F2429" s="5">
        <v>1</v>
      </c>
      <c r="G2429" s="5" t="s">
        <v>34</v>
      </c>
      <c r="H2429" s="5">
        <v>6805757</v>
      </c>
      <c r="I2429" s="5">
        <v>5609744.8300000001</v>
      </c>
      <c r="J2429" s="5">
        <v>77</v>
      </c>
      <c r="K2429" s="5">
        <v>451236</v>
      </c>
      <c r="L2429" s="5">
        <v>7237010</v>
      </c>
      <c r="M2429" s="5">
        <v>1196012.17</v>
      </c>
      <c r="N2429" s="5">
        <v>0.1757</v>
      </c>
      <c r="O2429" s="5">
        <v>9</v>
      </c>
      <c r="P2429" s="5">
        <v>210988</v>
      </c>
    </row>
    <row r="2430" spans="1:16" x14ac:dyDescent="0.3">
      <c r="A2430" s="5">
        <v>38</v>
      </c>
      <c r="B2430" s="5" t="s">
        <v>134</v>
      </c>
      <c r="C2430" s="5">
        <v>10</v>
      </c>
      <c r="D2430" s="5" t="s">
        <v>86</v>
      </c>
      <c r="E2430" s="5">
        <v>2022</v>
      </c>
      <c r="F2430" s="5">
        <v>2</v>
      </c>
      <c r="G2430" s="5" t="s">
        <v>35</v>
      </c>
      <c r="H2430" s="5">
        <v>959167</v>
      </c>
      <c r="I2430" s="5">
        <v>792539.11</v>
      </c>
      <c r="J2430" s="5">
        <v>12</v>
      </c>
      <c r="K2430" s="5">
        <v>79468</v>
      </c>
      <c r="L2430" s="5">
        <v>1036450</v>
      </c>
      <c r="M2430" s="5">
        <v>166627.89000000001</v>
      </c>
      <c r="N2430" s="5">
        <v>0.17369999999999999</v>
      </c>
      <c r="O2430" s="5">
        <v>1</v>
      </c>
      <c r="P2430" s="5">
        <v>827</v>
      </c>
    </row>
    <row r="2431" spans="1:16" x14ac:dyDescent="0.3">
      <c r="A2431" s="5">
        <v>57</v>
      </c>
      <c r="B2431" s="5" t="s">
        <v>134</v>
      </c>
      <c r="C2431" s="5">
        <v>10</v>
      </c>
      <c r="D2431" s="5" t="s">
        <v>86</v>
      </c>
      <c r="E2431" s="5">
        <v>2022</v>
      </c>
      <c r="F2431" s="5">
        <v>2</v>
      </c>
      <c r="G2431" s="5" t="s">
        <v>35</v>
      </c>
      <c r="H2431" s="5">
        <v>4300812</v>
      </c>
      <c r="I2431" s="5">
        <v>3505575.75</v>
      </c>
      <c r="J2431" s="5">
        <v>72</v>
      </c>
      <c r="K2431" s="5">
        <v>268900</v>
      </c>
      <c r="L2431" s="5">
        <v>4559790</v>
      </c>
      <c r="M2431" s="5">
        <v>795236.25</v>
      </c>
      <c r="N2431" s="5">
        <v>0.18490000000000001</v>
      </c>
      <c r="O2431" s="5">
        <v>4</v>
      </c>
      <c r="P2431" s="5">
        <v>48334</v>
      </c>
    </row>
    <row r="2432" spans="1:16" x14ac:dyDescent="0.3">
      <c r="A2432" s="5">
        <v>38</v>
      </c>
      <c r="B2432" s="5" t="s">
        <v>134</v>
      </c>
      <c r="C2432" s="5">
        <v>10</v>
      </c>
      <c r="D2432" s="5" t="s">
        <v>86</v>
      </c>
      <c r="E2432" s="5">
        <v>2022</v>
      </c>
      <c r="F2432" s="5">
        <v>3</v>
      </c>
      <c r="G2432" s="5" t="s">
        <v>36</v>
      </c>
      <c r="H2432" s="5">
        <v>1485892</v>
      </c>
      <c r="I2432" s="5">
        <v>1253739.8500000001</v>
      </c>
      <c r="J2432" s="5">
        <v>20</v>
      </c>
      <c r="K2432" s="5">
        <v>119254</v>
      </c>
      <c r="L2432" s="5">
        <v>1601700</v>
      </c>
      <c r="M2432" s="5">
        <v>232152.15</v>
      </c>
      <c r="N2432" s="5">
        <v>0.15620000000000001</v>
      </c>
      <c r="O2432" s="5">
        <v>2</v>
      </c>
      <c r="P2432" s="5">
        <v>41604</v>
      </c>
    </row>
    <row r="2433" spans="1:16" x14ac:dyDescent="0.3">
      <c r="A2433" s="5">
        <v>57</v>
      </c>
      <c r="B2433" s="5" t="s">
        <v>134</v>
      </c>
      <c r="C2433" s="5">
        <v>10</v>
      </c>
      <c r="D2433" s="5" t="s">
        <v>86</v>
      </c>
      <c r="E2433" s="5">
        <v>2022</v>
      </c>
      <c r="F2433" s="5">
        <v>3</v>
      </c>
      <c r="G2433" s="5" t="s">
        <v>36</v>
      </c>
      <c r="H2433" s="5">
        <v>3786781</v>
      </c>
      <c r="I2433" s="5">
        <v>3294289.49</v>
      </c>
      <c r="J2433" s="5">
        <v>70</v>
      </c>
      <c r="K2433" s="5">
        <v>411559</v>
      </c>
      <c r="L2433" s="5">
        <v>4193500</v>
      </c>
      <c r="M2433" s="5">
        <v>492491.51</v>
      </c>
      <c r="N2433" s="5">
        <v>0.13009999999999999</v>
      </c>
      <c r="O2433" s="5">
        <v>5</v>
      </c>
      <c r="P2433" s="5">
        <v>67524</v>
      </c>
    </row>
    <row r="2434" spans="1:16" x14ac:dyDescent="0.3">
      <c r="A2434" s="5">
        <v>38</v>
      </c>
      <c r="B2434" s="5" t="s">
        <v>134</v>
      </c>
      <c r="C2434" s="5">
        <v>10</v>
      </c>
      <c r="D2434" s="5" t="s">
        <v>86</v>
      </c>
      <c r="E2434" s="5">
        <v>2022</v>
      </c>
      <c r="F2434" s="5">
        <v>4</v>
      </c>
      <c r="G2434" s="5" t="s">
        <v>37</v>
      </c>
      <c r="H2434" s="5">
        <v>1232275</v>
      </c>
      <c r="I2434" s="5">
        <v>998033.49</v>
      </c>
      <c r="J2434" s="5">
        <v>11</v>
      </c>
      <c r="K2434" s="5">
        <v>63538</v>
      </c>
      <c r="L2434" s="5">
        <v>1289450</v>
      </c>
      <c r="M2434" s="5">
        <v>234241.51</v>
      </c>
      <c r="N2434" s="5">
        <v>0.19009999999999999</v>
      </c>
      <c r="O2434" s="5">
        <v>0</v>
      </c>
      <c r="P2434" s="5">
        <v>0</v>
      </c>
    </row>
    <row r="2435" spans="1:16" x14ac:dyDescent="0.3">
      <c r="A2435" s="5">
        <v>57</v>
      </c>
      <c r="B2435" s="5" t="s">
        <v>134</v>
      </c>
      <c r="C2435" s="5">
        <v>10</v>
      </c>
      <c r="D2435" s="5" t="s">
        <v>86</v>
      </c>
      <c r="E2435" s="5">
        <v>2022</v>
      </c>
      <c r="F2435" s="5">
        <v>4</v>
      </c>
      <c r="G2435" s="5" t="s">
        <v>37</v>
      </c>
      <c r="H2435" s="5">
        <v>3864210</v>
      </c>
      <c r="I2435" s="5">
        <v>3430480.88</v>
      </c>
      <c r="J2435" s="5">
        <v>54</v>
      </c>
      <c r="K2435" s="5">
        <v>564805</v>
      </c>
      <c r="L2435" s="5">
        <v>4415890</v>
      </c>
      <c r="M2435" s="5">
        <v>433729.12</v>
      </c>
      <c r="N2435" s="5">
        <v>0.11219999999999999</v>
      </c>
      <c r="O2435" s="5">
        <v>3</v>
      </c>
      <c r="P2435" s="5">
        <v>29205</v>
      </c>
    </row>
    <row r="2436" spans="1:16" x14ac:dyDescent="0.3">
      <c r="A2436" s="5">
        <v>38</v>
      </c>
      <c r="B2436" s="5" t="s">
        <v>134</v>
      </c>
      <c r="C2436" s="5">
        <v>10</v>
      </c>
      <c r="D2436" s="5" t="s">
        <v>86</v>
      </c>
      <c r="E2436" s="5">
        <v>2022</v>
      </c>
      <c r="F2436" s="5">
        <v>5</v>
      </c>
      <c r="G2436" s="5" t="s">
        <v>38</v>
      </c>
      <c r="H2436" s="5">
        <v>982501</v>
      </c>
      <c r="I2436" s="5">
        <v>845581.66</v>
      </c>
      <c r="J2436" s="5">
        <v>14</v>
      </c>
      <c r="K2436" s="5">
        <v>73592</v>
      </c>
      <c r="L2436" s="5">
        <v>1052080</v>
      </c>
      <c r="M2436" s="5">
        <v>136919.34</v>
      </c>
      <c r="N2436" s="5">
        <v>0.1394</v>
      </c>
      <c r="O2436" s="5">
        <v>1</v>
      </c>
      <c r="P2436" s="5">
        <v>10114</v>
      </c>
    </row>
    <row r="2437" spans="1:16" x14ac:dyDescent="0.3">
      <c r="A2437" s="5">
        <v>57</v>
      </c>
      <c r="B2437" s="5" t="s">
        <v>134</v>
      </c>
      <c r="C2437" s="5">
        <v>10</v>
      </c>
      <c r="D2437" s="5" t="s">
        <v>86</v>
      </c>
      <c r="E2437" s="5">
        <v>2022</v>
      </c>
      <c r="F2437" s="5">
        <v>5</v>
      </c>
      <c r="G2437" s="5" t="s">
        <v>38</v>
      </c>
      <c r="H2437" s="5">
        <v>5129550</v>
      </c>
      <c r="I2437" s="5">
        <v>4490209.46</v>
      </c>
      <c r="J2437" s="5">
        <v>73</v>
      </c>
      <c r="K2437" s="5">
        <v>642549</v>
      </c>
      <c r="L2437" s="5">
        <v>5754330</v>
      </c>
      <c r="M2437" s="5">
        <v>639340.54</v>
      </c>
      <c r="N2437" s="5">
        <v>0.1246</v>
      </c>
      <c r="O2437" s="5">
        <v>10</v>
      </c>
      <c r="P2437" s="5">
        <v>120134</v>
      </c>
    </row>
    <row r="2438" spans="1:16" x14ac:dyDescent="0.3">
      <c r="A2438" s="5">
        <v>38</v>
      </c>
      <c r="B2438" s="5" t="s">
        <v>134</v>
      </c>
      <c r="C2438" s="5">
        <v>10</v>
      </c>
      <c r="D2438" s="5" t="s">
        <v>86</v>
      </c>
      <c r="E2438" s="5">
        <v>2022</v>
      </c>
      <c r="F2438" s="5">
        <v>6</v>
      </c>
      <c r="G2438" s="5" t="s">
        <v>39</v>
      </c>
      <c r="H2438" s="5">
        <v>965006</v>
      </c>
      <c r="I2438" s="5">
        <v>780630.87</v>
      </c>
      <c r="J2438" s="5">
        <v>16</v>
      </c>
      <c r="K2438" s="5">
        <v>73720</v>
      </c>
      <c r="L2438" s="5">
        <v>1034010</v>
      </c>
      <c r="M2438" s="5">
        <v>184375.13</v>
      </c>
      <c r="N2438" s="5">
        <v>0.19109999999999999</v>
      </c>
      <c r="O2438" s="5">
        <v>3</v>
      </c>
      <c r="P2438" s="5">
        <v>113070</v>
      </c>
    </row>
    <row r="2439" spans="1:16" x14ac:dyDescent="0.3">
      <c r="A2439" s="5">
        <v>57</v>
      </c>
      <c r="B2439" s="5" t="s">
        <v>134</v>
      </c>
      <c r="C2439" s="5">
        <v>10</v>
      </c>
      <c r="D2439" s="5" t="s">
        <v>86</v>
      </c>
      <c r="E2439" s="5">
        <v>2022</v>
      </c>
      <c r="F2439" s="5">
        <v>6</v>
      </c>
      <c r="G2439" s="5" t="s">
        <v>39</v>
      </c>
      <c r="H2439" s="5">
        <v>3480539</v>
      </c>
      <c r="I2439" s="5">
        <v>3048213.73</v>
      </c>
      <c r="J2439" s="5">
        <v>61</v>
      </c>
      <c r="K2439" s="5">
        <v>460596</v>
      </c>
      <c r="L2439" s="5">
        <v>3932350</v>
      </c>
      <c r="M2439" s="5">
        <v>432325.27</v>
      </c>
      <c r="N2439" s="5">
        <v>0.1242</v>
      </c>
      <c r="O2439" s="5">
        <v>7</v>
      </c>
      <c r="P2439" s="5">
        <v>179352</v>
      </c>
    </row>
    <row r="2440" spans="1:16" x14ac:dyDescent="0.3">
      <c r="A2440" s="5">
        <v>38</v>
      </c>
      <c r="B2440" s="5" t="s">
        <v>134</v>
      </c>
      <c r="C2440" s="5">
        <v>10</v>
      </c>
      <c r="D2440" s="5" t="s">
        <v>86</v>
      </c>
      <c r="E2440" s="5">
        <v>2022</v>
      </c>
      <c r="F2440" s="5">
        <v>7</v>
      </c>
      <c r="G2440" s="5" t="s">
        <v>40</v>
      </c>
      <c r="H2440" s="5">
        <v>1383929</v>
      </c>
      <c r="I2440" s="5">
        <v>1259188.3400000001</v>
      </c>
      <c r="J2440" s="5">
        <v>14</v>
      </c>
      <c r="K2440" s="5">
        <v>240796</v>
      </c>
      <c r="L2440" s="5">
        <v>1623140</v>
      </c>
      <c r="M2440" s="5">
        <v>124740.66</v>
      </c>
      <c r="N2440" s="5">
        <v>9.01E-2</v>
      </c>
      <c r="O2440" s="5">
        <v>1</v>
      </c>
      <c r="P2440" s="5">
        <v>72020</v>
      </c>
    </row>
    <row r="2441" spans="1:16" x14ac:dyDescent="0.3">
      <c r="A2441" s="5">
        <v>57</v>
      </c>
      <c r="B2441" s="5" t="s">
        <v>134</v>
      </c>
      <c r="C2441" s="5">
        <v>10</v>
      </c>
      <c r="D2441" s="5" t="s">
        <v>86</v>
      </c>
      <c r="E2441" s="5">
        <v>2022</v>
      </c>
      <c r="F2441" s="5">
        <v>7</v>
      </c>
      <c r="G2441" s="5" t="s">
        <v>40</v>
      </c>
      <c r="H2441" s="5">
        <v>5003136</v>
      </c>
      <c r="I2441" s="5">
        <v>4398983.3099999996</v>
      </c>
      <c r="J2441" s="5">
        <v>62</v>
      </c>
      <c r="K2441" s="5">
        <v>574982</v>
      </c>
      <c r="L2441" s="5">
        <v>5553220</v>
      </c>
      <c r="M2441" s="5">
        <v>604152.68999999994</v>
      </c>
      <c r="N2441" s="5">
        <v>0.1208</v>
      </c>
      <c r="O2441" s="5">
        <v>4</v>
      </c>
      <c r="P2441" s="5">
        <v>274443</v>
      </c>
    </row>
    <row r="2442" spans="1:16" x14ac:dyDescent="0.3">
      <c r="A2442" s="5">
        <v>38</v>
      </c>
      <c r="B2442" s="5" t="s">
        <v>134</v>
      </c>
      <c r="C2442" s="5">
        <v>10</v>
      </c>
      <c r="D2442" s="5" t="s">
        <v>86</v>
      </c>
      <c r="E2442" s="5">
        <v>2022</v>
      </c>
      <c r="F2442" s="5">
        <v>8</v>
      </c>
      <c r="G2442" s="5" t="s">
        <v>41</v>
      </c>
      <c r="H2442" s="5">
        <v>1144062</v>
      </c>
      <c r="I2442" s="5">
        <v>1069983.96</v>
      </c>
      <c r="J2442" s="5">
        <v>20</v>
      </c>
      <c r="K2442" s="5">
        <v>221370</v>
      </c>
      <c r="L2442" s="5">
        <v>1362320</v>
      </c>
      <c r="M2442" s="5">
        <v>74078.039999999994</v>
      </c>
      <c r="N2442" s="5">
        <v>6.4799999999999996E-2</v>
      </c>
      <c r="O2442" s="5">
        <v>1</v>
      </c>
      <c r="P2442" s="5">
        <v>28534</v>
      </c>
    </row>
    <row r="2443" spans="1:16" x14ac:dyDescent="0.3">
      <c r="A2443" s="5">
        <v>57</v>
      </c>
      <c r="B2443" s="5" t="s">
        <v>134</v>
      </c>
      <c r="C2443" s="5">
        <v>10</v>
      </c>
      <c r="D2443" s="5" t="s">
        <v>86</v>
      </c>
      <c r="E2443" s="5">
        <v>2022</v>
      </c>
      <c r="F2443" s="5">
        <v>8</v>
      </c>
      <c r="G2443" s="5" t="s">
        <v>41</v>
      </c>
      <c r="H2443" s="5">
        <v>4517687</v>
      </c>
      <c r="I2443" s="5">
        <v>4165470.74</v>
      </c>
      <c r="J2443" s="5">
        <v>57</v>
      </c>
      <c r="K2443" s="5">
        <v>863881</v>
      </c>
      <c r="L2443" s="5">
        <v>5373500</v>
      </c>
      <c r="M2443" s="5">
        <v>352216.26</v>
      </c>
      <c r="N2443" s="5">
        <v>7.8E-2</v>
      </c>
      <c r="O2443" s="5">
        <v>4</v>
      </c>
      <c r="P2443" s="5">
        <v>11694</v>
      </c>
    </row>
    <row r="2444" spans="1:16" x14ac:dyDescent="0.3">
      <c r="A2444" s="5">
        <v>38</v>
      </c>
      <c r="B2444" s="5" t="s">
        <v>134</v>
      </c>
      <c r="C2444" s="5">
        <v>10</v>
      </c>
      <c r="D2444" s="5" t="s">
        <v>86</v>
      </c>
      <c r="E2444" s="5">
        <v>2022</v>
      </c>
      <c r="F2444" s="5">
        <v>9</v>
      </c>
      <c r="G2444" s="5" t="s">
        <v>42</v>
      </c>
      <c r="H2444" s="5">
        <v>1912218</v>
      </c>
      <c r="I2444" s="5">
        <v>1614690.28</v>
      </c>
      <c r="J2444" s="5">
        <v>23</v>
      </c>
      <c r="K2444" s="5">
        <v>213516</v>
      </c>
      <c r="L2444" s="5">
        <v>2108340</v>
      </c>
      <c r="M2444" s="5">
        <v>297527.71999999997</v>
      </c>
      <c r="N2444" s="5">
        <v>0.15559999999999999</v>
      </c>
      <c r="O2444" s="5">
        <v>0</v>
      </c>
      <c r="P2444" s="5">
        <v>0</v>
      </c>
    </row>
    <row r="2445" spans="1:16" x14ac:dyDescent="0.3">
      <c r="A2445" s="5">
        <v>57</v>
      </c>
      <c r="B2445" s="5" t="s">
        <v>134</v>
      </c>
      <c r="C2445" s="5">
        <v>10</v>
      </c>
      <c r="D2445" s="5" t="s">
        <v>86</v>
      </c>
      <c r="E2445" s="5">
        <v>2022</v>
      </c>
      <c r="F2445" s="5">
        <v>9</v>
      </c>
      <c r="G2445" s="5" t="s">
        <v>42</v>
      </c>
      <c r="H2445" s="5">
        <v>5758605</v>
      </c>
      <c r="I2445" s="5">
        <v>4968317.74</v>
      </c>
      <c r="J2445" s="5">
        <v>84</v>
      </c>
      <c r="K2445" s="5">
        <v>670629</v>
      </c>
      <c r="L2445" s="5">
        <v>6405040</v>
      </c>
      <c r="M2445" s="5">
        <v>790287.26</v>
      </c>
      <c r="N2445" s="5">
        <v>0.13719999999999999</v>
      </c>
      <c r="O2445" s="5">
        <v>8</v>
      </c>
      <c r="P2445" s="5">
        <v>546097</v>
      </c>
    </row>
    <row r="2446" spans="1:16" x14ac:dyDescent="0.3">
      <c r="A2446" s="5">
        <v>38</v>
      </c>
      <c r="B2446" s="5" t="s">
        <v>134</v>
      </c>
      <c r="C2446" s="5">
        <v>10</v>
      </c>
      <c r="D2446" s="5" t="s">
        <v>86</v>
      </c>
      <c r="E2446" s="5">
        <v>2022</v>
      </c>
      <c r="F2446" s="5">
        <v>10</v>
      </c>
      <c r="G2446" s="5" t="s">
        <v>43</v>
      </c>
      <c r="H2446" s="5">
        <v>2064167</v>
      </c>
      <c r="I2446" s="5">
        <v>1750142.53</v>
      </c>
      <c r="J2446" s="5">
        <v>27</v>
      </c>
      <c r="K2446" s="5">
        <v>216121</v>
      </c>
      <c r="L2446" s="5">
        <v>2272760</v>
      </c>
      <c r="M2446" s="5">
        <v>314024.46999999997</v>
      </c>
      <c r="N2446" s="5">
        <v>0.15210000000000001</v>
      </c>
      <c r="O2446" s="5">
        <v>2</v>
      </c>
      <c r="P2446" s="5">
        <v>39093</v>
      </c>
    </row>
    <row r="2447" spans="1:16" x14ac:dyDescent="0.3">
      <c r="A2447" s="5">
        <v>57</v>
      </c>
      <c r="B2447" s="5" t="s">
        <v>134</v>
      </c>
      <c r="C2447" s="5">
        <v>10</v>
      </c>
      <c r="D2447" s="5" t="s">
        <v>86</v>
      </c>
      <c r="E2447" s="5">
        <v>2022</v>
      </c>
      <c r="F2447" s="5">
        <v>10</v>
      </c>
      <c r="G2447" s="5" t="s">
        <v>43</v>
      </c>
      <c r="H2447" s="5">
        <v>6562665</v>
      </c>
      <c r="I2447" s="5">
        <v>5770251.71</v>
      </c>
      <c r="J2447" s="5">
        <v>104</v>
      </c>
      <c r="K2447" s="5">
        <v>865355</v>
      </c>
      <c r="L2447" s="5">
        <v>7390900</v>
      </c>
      <c r="M2447" s="5">
        <v>792413.29</v>
      </c>
      <c r="N2447" s="5">
        <v>0.1207</v>
      </c>
      <c r="O2447" s="5">
        <v>8</v>
      </c>
      <c r="P2447" s="5">
        <v>116650</v>
      </c>
    </row>
    <row r="2448" spans="1:16" x14ac:dyDescent="0.3">
      <c r="A2448" s="5">
        <v>38</v>
      </c>
      <c r="B2448" s="5" t="s">
        <v>134</v>
      </c>
      <c r="C2448" s="5">
        <v>10</v>
      </c>
      <c r="D2448" s="5" t="s">
        <v>86</v>
      </c>
      <c r="E2448" s="5">
        <v>2022</v>
      </c>
      <c r="F2448" s="5">
        <v>11</v>
      </c>
      <c r="G2448" s="5" t="s">
        <v>44</v>
      </c>
      <c r="H2448" s="5">
        <v>1834338</v>
      </c>
      <c r="I2448" s="5">
        <v>1564624.77</v>
      </c>
      <c r="J2448" s="5">
        <v>28</v>
      </c>
      <c r="K2448" s="5">
        <v>198710</v>
      </c>
      <c r="L2448" s="5">
        <v>2031010</v>
      </c>
      <c r="M2448" s="5">
        <v>269713.23</v>
      </c>
      <c r="N2448" s="5">
        <v>0.14699999999999999</v>
      </c>
      <c r="O2448" s="5">
        <v>2</v>
      </c>
      <c r="P2448" s="5">
        <v>12693</v>
      </c>
    </row>
    <row r="2449" spans="1:16" x14ac:dyDescent="0.3">
      <c r="A2449" s="5">
        <v>57</v>
      </c>
      <c r="B2449" s="5" t="s">
        <v>134</v>
      </c>
      <c r="C2449" s="5">
        <v>10</v>
      </c>
      <c r="D2449" s="5" t="s">
        <v>86</v>
      </c>
      <c r="E2449" s="5">
        <v>2022</v>
      </c>
      <c r="F2449" s="5">
        <v>11</v>
      </c>
      <c r="G2449" s="5" t="s">
        <v>44</v>
      </c>
      <c r="H2449" s="5">
        <v>7870446</v>
      </c>
      <c r="I2449" s="5">
        <v>6805169.0899999999</v>
      </c>
      <c r="J2449" s="5">
        <v>113</v>
      </c>
      <c r="K2449" s="5">
        <v>763252</v>
      </c>
      <c r="L2449" s="5">
        <v>8605980</v>
      </c>
      <c r="M2449" s="5">
        <v>1065276.9099999999</v>
      </c>
      <c r="N2449" s="5">
        <v>0.13539999999999999</v>
      </c>
      <c r="O2449" s="5">
        <v>11</v>
      </c>
      <c r="P2449" s="5">
        <v>250323</v>
      </c>
    </row>
    <row r="2450" spans="1:16" x14ac:dyDescent="0.3">
      <c r="A2450" s="5">
        <v>38</v>
      </c>
      <c r="B2450" s="5" t="s">
        <v>134</v>
      </c>
      <c r="C2450" s="5">
        <v>10</v>
      </c>
      <c r="D2450" s="5" t="s">
        <v>86</v>
      </c>
      <c r="E2450" s="5">
        <v>2022</v>
      </c>
      <c r="F2450" s="5">
        <v>12</v>
      </c>
      <c r="G2450" s="5" t="s">
        <v>45</v>
      </c>
      <c r="H2450" s="5">
        <v>1205667</v>
      </c>
      <c r="I2450" s="5">
        <v>1038745.96</v>
      </c>
      <c r="J2450" s="5">
        <v>25</v>
      </c>
      <c r="K2450" s="5">
        <v>151077</v>
      </c>
      <c r="L2450" s="5">
        <v>1355700</v>
      </c>
      <c r="M2450" s="5">
        <v>166921.04</v>
      </c>
      <c r="N2450" s="5">
        <v>0.1384</v>
      </c>
      <c r="O2450" s="5">
        <v>0</v>
      </c>
      <c r="P2450" s="5">
        <v>0</v>
      </c>
    </row>
    <row r="2451" spans="1:16" x14ac:dyDescent="0.3">
      <c r="A2451" s="5">
        <v>57</v>
      </c>
      <c r="B2451" s="5" t="s">
        <v>134</v>
      </c>
      <c r="C2451" s="5">
        <v>10</v>
      </c>
      <c r="D2451" s="5" t="s">
        <v>86</v>
      </c>
      <c r="E2451" s="5">
        <v>2022</v>
      </c>
      <c r="F2451" s="5">
        <v>12</v>
      </c>
      <c r="G2451" s="5" t="s">
        <v>45</v>
      </c>
      <c r="H2451" s="5">
        <v>7429523</v>
      </c>
      <c r="I2451" s="5">
        <v>6242637.5099999998</v>
      </c>
      <c r="J2451" s="5">
        <v>106</v>
      </c>
      <c r="K2451" s="5">
        <v>555542</v>
      </c>
      <c r="L2451" s="5">
        <v>7967200</v>
      </c>
      <c r="M2451" s="5">
        <v>1186885.49</v>
      </c>
      <c r="N2451" s="5">
        <v>0.1598</v>
      </c>
      <c r="O2451" s="5">
        <v>11</v>
      </c>
      <c r="P2451" s="5">
        <v>246834</v>
      </c>
    </row>
    <row r="2452" spans="1:16" x14ac:dyDescent="0.3">
      <c r="A2452" s="5">
        <v>38</v>
      </c>
      <c r="B2452" s="5" t="s">
        <v>134</v>
      </c>
      <c r="C2452" s="5">
        <v>10</v>
      </c>
      <c r="D2452" s="5" t="s">
        <v>86</v>
      </c>
      <c r="E2452" s="5">
        <v>2023</v>
      </c>
      <c r="F2452" s="5">
        <v>1</v>
      </c>
      <c r="G2452" s="5" t="s">
        <v>46</v>
      </c>
      <c r="H2452" s="5">
        <v>2189763</v>
      </c>
      <c r="I2452" s="5">
        <v>2018031.87</v>
      </c>
      <c r="J2452" s="5">
        <v>24</v>
      </c>
      <c r="K2452" s="5">
        <v>317204</v>
      </c>
      <c r="L2452" s="5">
        <v>2504120</v>
      </c>
      <c r="M2452" s="5">
        <v>171731.13</v>
      </c>
      <c r="N2452" s="5">
        <v>7.8399999999999997E-2</v>
      </c>
      <c r="O2452" s="5">
        <v>2</v>
      </c>
      <c r="P2452" s="5">
        <v>51477</v>
      </c>
    </row>
    <row r="2453" spans="1:16" x14ac:dyDescent="0.3">
      <c r="A2453" s="5">
        <v>57</v>
      </c>
      <c r="B2453" s="5" t="s">
        <v>134</v>
      </c>
      <c r="C2453" s="5">
        <v>10</v>
      </c>
      <c r="D2453" s="5" t="s">
        <v>86</v>
      </c>
      <c r="E2453" s="5">
        <v>2023</v>
      </c>
      <c r="F2453" s="5">
        <v>1</v>
      </c>
      <c r="G2453" s="5" t="s">
        <v>46</v>
      </c>
      <c r="H2453" s="5">
        <v>4842441</v>
      </c>
      <c r="I2453" s="5">
        <v>4179371.89</v>
      </c>
      <c r="J2453" s="5">
        <v>61</v>
      </c>
      <c r="K2453" s="5">
        <v>427295</v>
      </c>
      <c r="L2453" s="5">
        <v>5254900</v>
      </c>
      <c r="M2453" s="5">
        <v>663069.11</v>
      </c>
      <c r="N2453" s="5">
        <v>0.13689999999999999</v>
      </c>
      <c r="O2453" s="5">
        <v>4</v>
      </c>
      <c r="P2453" s="5">
        <v>7200</v>
      </c>
    </row>
    <row r="2454" spans="1:16" x14ac:dyDescent="0.3">
      <c r="A2454" s="5">
        <v>38</v>
      </c>
      <c r="B2454" s="5" t="s">
        <v>134</v>
      </c>
      <c r="C2454" s="5">
        <v>10</v>
      </c>
      <c r="D2454" s="5" t="s">
        <v>86</v>
      </c>
      <c r="E2454" s="5">
        <v>2023</v>
      </c>
      <c r="F2454" s="5">
        <v>2</v>
      </c>
      <c r="G2454" s="5" t="s">
        <v>47</v>
      </c>
      <c r="H2454" s="5">
        <v>945434</v>
      </c>
      <c r="I2454" s="5">
        <v>824821.66</v>
      </c>
      <c r="J2454" s="5">
        <v>19</v>
      </c>
      <c r="K2454" s="5">
        <v>119774</v>
      </c>
      <c r="L2454" s="5">
        <v>1064690</v>
      </c>
      <c r="M2454" s="5">
        <v>120612.34</v>
      </c>
      <c r="N2454" s="5">
        <v>0.12759999999999999</v>
      </c>
      <c r="O2454" s="5">
        <v>3</v>
      </c>
      <c r="P2454" s="5">
        <v>132750</v>
      </c>
    </row>
    <row r="2455" spans="1:16" x14ac:dyDescent="0.3">
      <c r="A2455" s="5">
        <v>57</v>
      </c>
      <c r="B2455" s="5" t="s">
        <v>134</v>
      </c>
      <c r="C2455" s="5">
        <v>10</v>
      </c>
      <c r="D2455" s="5" t="s">
        <v>86</v>
      </c>
      <c r="E2455" s="5">
        <v>2023</v>
      </c>
      <c r="F2455" s="5">
        <v>2</v>
      </c>
      <c r="G2455" s="5" t="s">
        <v>47</v>
      </c>
      <c r="H2455" s="5">
        <v>4228748</v>
      </c>
      <c r="I2455" s="5">
        <v>3850692.16</v>
      </c>
      <c r="J2455" s="5">
        <v>75</v>
      </c>
      <c r="K2455" s="5">
        <v>673049</v>
      </c>
      <c r="L2455" s="5">
        <v>4898330</v>
      </c>
      <c r="M2455" s="5">
        <v>378055.84</v>
      </c>
      <c r="N2455" s="5">
        <v>8.9399999999999993E-2</v>
      </c>
      <c r="O2455" s="5">
        <v>4</v>
      </c>
      <c r="P2455" s="5">
        <v>9425</v>
      </c>
    </row>
    <row r="2456" spans="1:16" x14ac:dyDescent="0.3">
      <c r="A2456" s="5">
        <v>38</v>
      </c>
      <c r="B2456" s="5" t="s">
        <v>134</v>
      </c>
      <c r="C2456" s="5">
        <v>10</v>
      </c>
      <c r="D2456" s="5" t="s">
        <v>86</v>
      </c>
      <c r="E2456" s="5">
        <v>2023</v>
      </c>
      <c r="F2456" s="5">
        <v>3</v>
      </c>
      <c r="G2456" s="5" t="s">
        <v>48</v>
      </c>
      <c r="H2456" s="5">
        <v>1914921</v>
      </c>
      <c r="I2456" s="5">
        <v>1685991.63</v>
      </c>
      <c r="J2456" s="5">
        <v>23</v>
      </c>
      <c r="K2456" s="5">
        <v>175112</v>
      </c>
      <c r="L2456" s="5">
        <v>2082690</v>
      </c>
      <c r="M2456" s="5">
        <v>228929.37</v>
      </c>
      <c r="N2456" s="5">
        <v>0.1196</v>
      </c>
      <c r="O2456" s="5">
        <v>0</v>
      </c>
      <c r="P2456" s="5">
        <v>0</v>
      </c>
    </row>
    <row r="2457" spans="1:16" x14ac:dyDescent="0.3">
      <c r="A2457" s="5">
        <v>57</v>
      </c>
      <c r="B2457" s="5" t="s">
        <v>134</v>
      </c>
      <c r="C2457" s="5">
        <v>10</v>
      </c>
      <c r="D2457" s="5" t="s">
        <v>86</v>
      </c>
      <c r="E2457" s="5">
        <v>2023</v>
      </c>
      <c r="F2457" s="5">
        <v>3</v>
      </c>
      <c r="G2457" s="5" t="s">
        <v>48</v>
      </c>
      <c r="H2457" s="5">
        <v>6265282</v>
      </c>
      <c r="I2457" s="5">
        <v>5442445.0199999996</v>
      </c>
      <c r="J2457" s="5">
        <v>93</v>
      </c>
      <c r="K2457" s="5">
        <v>737847</v>
      </c>
      <c r="L2457" s="5">
        <v>6981320</v>
      </c>
      <c r="M2457" s="5">
        <v>822836.98</v>
      </c>
      <c r="N2457" s="5">
        <v>0.1313</v>
      </c>
      <c r="O2457" s="5">
        <v>3</v>
      </c>
      <c r="P2457" s="5">
        <v>17292</v>
      </c>
    </row>
    <row r="2458" spans="1:16" x14ac:dyDescent="0.3">
      <c r="A2458" s="5">
        <v>38</v>
      </c>
      <c r="B2458" s="5" t="s">
        <v>134</v>
      </c>
      <c r="C2458" s="5">
        <v>10</v>
      </c>
      <c r="D2458" s="5" t="s">
        <v>86</v>
      </c>
      <c r="E2458" s="5">
        <v>2023</v>
      </c>
      <c r="F2458" s="5">
        <v>4</v>
      </c>
      <c r="G2458" s="5" t="s">
        <v>49</v>
      </c>
      <c r="H2458" s="5">
        <v>1549417</v>
      </c>
      <c r="I2458" s="5">
        <v>1388476.02</v>
      </c>
      <c r="J2458" s="5">
        <v>22</v>
      </c>
      <c r="K2458" s="5">
        <v>245956</v>
      </c>
      <c r="L2458" s="5">
        <v>1793850</v>
      </c>
      <c r="M2458" s="5">
        <v>160940.98000000001</v>
      </c>
      <c r="N2458" s="5">
        <v>0.10390000000000001</v>
      </c>
      <c r="O2458" s="5">
        <v>1</v>
      </c>
      <c r="P2458" s="5">
        <v>2641</v>
      </c>
    </row>
    <row r="2459" spans="1:16" x14ac:dyDescent="0.3">
      <c r="A2459" s="5">
        <v>57</v>
      </c>
      <c r="B2459" s="5" t="s">
        <v>134</v>
      </c>
      <c r="C2459" s="5">
        <v>10</v>
      </c>
      <c r="D2459" s="5" t="s">
        <v>86</v>
      </c>
      <c r="E2459" s="5">
        <v>2023</v>
      </c>
      <c r="F2459" s="5">
        <v>4</v>
      </c>
      <c r="G2459" s="5" t="s">
        <v>49</v>
      </c>
      <c r="H2459" s="5">
        <v>6585323</v>
      </c>
      <c r="I2459" s="5">
        <v>5923140.3799999999</v>
      </c>
      <c r="J2459" s="5">
        <v>103</v>
      </c>
      <c r="K2459" s="5">
        <v>1119745</v>
      </c>
      <c r="L2459" s="5">
        <v>7685230</v>
      </c>
      <c r="M2459" s="5">
        <v>662182.62</v>
      </c>
      <c r="N2459" s="5">
        <v>0.10059999999999999</v>
      </c>
      <c r="O2459" s="5">
        <v>8</v>
      </c>
      <c r="P2459" s="5">
        <v>149175</v>
      </c>
    </row>
    <row r="2460" spans="1:16" x14ac:dyDescent="0.3">
      <c r="A2460" s="5">
        <v>38</v>
      </c>
      <c r="B2460" s="5" t="s">
        <v>134</v>
      </c>
      <c r="C2460" s="5">
        <v>10</v>
      </c>
      <c r="D2460" s="5" t="s">
        <v>86</v>
      </c>
      <c r="E2460" s="5">
        <v>2023</v>
      </c>
      <c r="F2460" s="5">
        <v>5</v>
      </c>
      <c r="G2460" s="5" t="s">
        <v>50</v>
      </c>
      <c r="H2460" s="5">
        <v>1452075</v>
      </c>
      <c r="I2460" s="5">
        <v>1356417.05</v>
      </c>
      <c r="J2460" s="5">
        <v>17</v>
      </c>
      <c r="K2460" s="5">
        <v>282819</v>
      </c>
      <c r="L2460" s="5">
        <v>1730020</v>
      </c>
      <c r="M2460" s="5">
        <v>95657.95</v>
      </c>
      <c r="N2460" s="5">
        <v>6.59E-2</v>
      </c>
      <c r="O2460" s="5">
        <v>1</v>
      </c>
      <c r="P2460" s="5">
        <v>2913</v>
      </c>
    </row>
    <row r="2461" spans="1:16" x14ac:dyDescent="0.3">
      <c r="A2461" s="5">
        <v>57</v>
      </c>
      <c r="B2461" s="5" t="s">
        <v>134</v>
      </c>
      <c r="C2461" s="5">
        <v>10</v>
      </c>
      <c r="D2461" s="5" t="s">
        <v>86</v>
      </c>
      <c r="E2461" s="5">
        <v>2023</v>
      </c>
      <c r="F2461" s="5">
        <v>5</v>
      </c>
      <c r="G2461" s="5" t="s">
        <v>50</v>
      </c>
      <c r="H2461" s="5">
        <v>6299215</v>
      </c>
      <c r="I2461" s="5">
        <v>5417573.7699999996</v>
      </c>
      <c r="J2461" s="5">
        <v>101</v>
      </c>
      <c r="K2461" s="5">
        <v>751239</v>
      </c>
      <c r="L2461" s="5">
        <v>7023790</v>
      </c>
      <c r="M2461" s="5">
        <v>881641.23</v>
      </c>
      <c r="N2461" s="5">
        <v>0.14000000000000001</v>
      </c>
      <c r="O2461" s="5">
        <v>13</v>
      </c>
      <c r="P2461" s="5">
        <v>296001</v>
      </c>
    </row>
    <row r="2462" spans="1:16" x14ac:dyDescent="0.3">
      <c r="A2462" s="5">
        <v>38</v>
      </c>
      <c r="B2462" s="5" t="s">
        <v>134</v>
      </c>
      <c r="C2462" s="5">
        <v>10</v>
      </c>
      <c r="D2462" s="5" t="s">
        <v>86</v>
      </c>
      <c r="E2462" s="5">
        <v>2023</v>
      </c>
      <c r="F2462" s="5">
        <v>6</v>
      </c>
      <c r="G2462" s="5" t="s">
        <v>51</v>
      </c>
      <c r="H2462" s="5">
        <v>1846668</v>
      </c>
      <c r="I2462" s="5">
        <v>1503210.19</v>
      </c>
      <c r="J2462" s="5">
        <v>31</v>
      </c>
      <c r="K2462" s="5">
        <v>155018</v>
      </c>
      <c r="L2462" s="5">
        <v>1994310</v>
      </c>
      <c r="M2462" s="5">
        <v>343457.81</v>
      </c>
      <c r="N2462" s="5">
        <v>0.186</v>
      </c>
      <c r="O2462" s="5">
        <v>2</v>
      </c>
      <c r="P2462" s="5">
        <v>173591</v>
      </c>
    </row>
    <row r="2463" spans="1:16" x14ac:dyDescent="0.3">
      <c r="A2463" s="5">
        <v>57</v>
      </c>
      <c r="B2463" s="5" t="s">
        <v>134</v>
      </c>
      <c r="C2463" s="5">
        <v>10</v>
      </c>
      <c r="D2463" s="5" t="s">
        <v>86</v>
      </c>
      <c r="E2463" s="5">
        <v>2023</v>
      </c>
      <c r="F2463" s="5">
        <v>6</v>
      </c>
      <c r="G2463" s="5" t="s">
        <v>51</v>
      </c>
      <c r="H2463" s="5">
        <v>5133080</v>
      </c>
      <c r="I2463" s="5">
        <v>4420021.72</v>
      </c>
      <c r="J2463" s="5">
        <v>83</v>
      </c>
      <c r="K2463" s="5">
        <v>604454</v>
      </c>
      <c r="L2463" s="5">
        <v>5711970</v>
      </c>
      <c r="M2463" s="5">
        <v>713058.28</v>
      </c>
      <c r="N2463" s="5">
        <v>0.1389</v>
      </c>
      <c r="O2463" s="5">
        <v>11</v>
      </c>
      <c r="P2463" s="5">
        <v>533779</v>
      </c>
    </row>
    <row r="2464" spans="1:16" x14ac:dyDescent="0.3">
      <c r="A2464" s="5">
        <v>38</v>
      </c>
      <c r="B2464" s="5" t="s">
        <v>134</v>
      </c>
      <c r="C2464" s="5">
        <v>10</v>
      </c>
      <c r="D2464" s="5" t="s">
        <v>86</v>
      </c>
      <c r="E2464" s="5">
        <v>2023</v>
      </c>
      <c r="F2464" s="5">
        <v>7</v>
      </c>
      <c r="G2464" s="5" t="s">
        <v>52</v>
      </c>
      <c r="H2464" s="5">
        <v>1218331</v>
      </c>
      <c r="I2464" s="5">
        <v>1040076.52</v>
      </c>
      <c r="J2464" s="5">
        <v>22</v>
      </c>
      <c r="K2464" s="5">
        <v>149260</v>
      </c>
      <c r="L2464" s="5">
        <v>1362740</v>
      </c>
      <c r="M2464" s="5">
        <v>178254.48</v>
      </c>
      <c r="N2464" s="5">
        <v>0.14630000000000001</v>
      </c>
      <c r="O2464" s="5">
        <v>2</v>
      </c>
      <c r="P2464" s="5">
        <v>4339</v>
      </c>
    </row>
    <row r="2465" spans="1:16" x14ac:dyDescent="0.3">
      <c r="A2465" s="5">
        <v>57</v>
      </c>
      <c r="B2465" s="5" t="s">
        <v>134</v>
      </c>
      <c r="C2465" s="5">
        <v>10</v>
      </c>
      <c r="D2465" s="5" t="s">
        <v>86</v>
      </c>
      <c r="E2465" s="5">
        <v>2023</v>
      </c>
      <c r="F2465" s="5">
        <v>7</v>
      </c>
      <c r="G2465" s="5" t="s">
        <v>52</v>
      </c>
      <c r="H2465" s="5">
        <v>5293398</v>
      </c>
      <c r="I2465" s="5">
        <v>4784198.62</v>
      </c>
      <c r="J2465" s="5">
        <v>87</v>
      </c>
      <c r="K2465" s="5">
        <v>942612</v>
      </c>
      <c r="L2465" s="5">
        <v>6225980</v>
      </c>
      <c r="M2465" s="5">
        <v>509199.38</v>
      </c>
      <c r="N2465" s="5">
        <v>9.6199999999999994E-2</v>
      </c>
      <c r="O2465" s="5">
        <v>13</v>
      </c>
      <c r="P2465" s="5">
        <v>283141</v>
      </c>
    </row>
    <row r="2466" spans="1:16" x14ac:dyDescent="0.3">
      <c r="A2466" s="5">
        <v>38</v>
      </c>
      <c r="B2466" s="5" t="s">
        <v>134</v>
      </c>
      <c r="C2466" s="5">
        <v>10</v>
      </c>
      <c r="D2466" s="5" t="s">
        <v>86</v>
      </c>
      <c r="E2466" s="5">
        <v>2023</v>
      </c>
      <c r="F2466" s="5">
        <v>8</v>
      </c>
      <c r="G2466" s="5" t="s">
        <v>53</v>
      </c>
      <c r="H2466" s="5">
        <v>1300468</v>
      </c>
      <c r="I2466" s="5">
        <v>1157178.2</v>
      </c>
      <c r="J2466" s="5">
        <v>21</v>
      </c>
      <c r="K2466" s="5">
        <v>185659</v>
      </c>
      <c r="L2466" s="5">
        <v>1479850</v>
      </c>
      <c r="M2466" s="5">
        <v>143289.79999999999</v>
      </c>
      <c r="N2466" s="5">
        <v>0.11020000000000001</v>
      </c>
      <c r="O2466" s="5">
        <v>1</v>
      </c>
      <c r="P2466" s="5">
        <v>62450</v>
      </c>
    </row>
    <row r="2467" spans="1:16" x14ac:dyDescent="0.3">
      <c r="A2467" s="5">
        <v>57</v>
      </c>
      <c r="B2467" s="5" t="s">
        <v>134</v>
      </c>
      <c r="C2467" s="5">
        <v>10</v>
      </c>
      <c r="D2467" s="5" t="s">
        <v>86</v>
      </c>
      <c r="E2467" s="5">
        <v>2023</v>
      </c>
      <c r="F2467" s="5">
        <v>8</v>
      </c>
      <c r="G2467" s="5" t="s">
        <v>53</v>
      </c>
      <c r="H2467" s="5">
        <v>5429600</v>
      </c>
      <c r="I2467" s="5">
        <v>4788138.49</v>
      </c>
      <c r="J2467" s="5">
        <v>101</v>
      </c>
      <c r="K2467" s="5">
        <v>886869</v>
      </c>
      <c r="L2467" s="5">
        <v>6294530</v>
      </c>
      <c r="M2467" s="5">
        <v>641461.51</v>
      </c>
      <c r="N2467" s="5">
        <v>0.1181</v>
      </c>
      <c r="O2467" s="5">
        <v>9</v>
      </c>
      <c r="P2467" s="5">
        <v>242812</v>
      </c>
    </row>
    <row r="2468" spans="1:16" x14ac:dyDescent="0.3">
      <c r="A2468" s="5">
        <v>38</v>
      </c>
      <c r="B2468" s="5" t="s">
        <v>134</v>
      </c>
      <c r="C2468" s="5">
        <v>10</v>
      </c>
      <c r="D2468" s="5" t="s">
        <v>86</v>
      </c>
      <c r="E2468" s="5">
        <v>2023</v>
      </c>
      <c r="F2468" s="5">
        <v>9</v>
      </c>
      <c r="G2468" s="5" t="s">
        <v>54</v>
      </c>
      <c r="H2468" s="5">
        <v>1452612</v>
      </c>
      <c r="I2468" s="5">
        <v>1301603.1100000001</v>
      </c>
      <c r="J2468" s="5">
        <v>21</v>
      </c>
      <c r="K2468" s="5">
        <v>223091</v>
      </c>
      <c r="L2468" s="5">
        <v>1667800</v>
      </c>
      <c r="M2468" s="5">
        <v>151008.89000000001</v>
      </c>
      <c r="N2468" s="5">
        <v>0.104</v>
      </c>
      <c r="O2468" s="5">
        <v>0</v>
      </c>
      <c r="P2468" s="5">
        <v>0</v>
      </c>
    </row>
    <row r="2469" spans="1:16" x14ac:dyDescent="0.3">
      <c r="A2469" s="5">
        <v>57</v>
      </c>
      <c r="B2469" s="5" t="s">
        <v>134</v>
      </c>
      <c r="C2469" s="5">
        <v>10</v>
      </c>
      <c r="D2469" s="5" t="s">
        <v>86</v>
      </c>
      <c r="E2469" s="5">
        <v>2023</v>
      </c>
      <c r="F2469" s="5">
        <v>9</v>
      </c>
      <c r="G2469" s="5" t="s">
        <v>54</v>
      </c>
      <c r="H2469" s="5">
        <v>5161019</v>
      </c>
      <c r="I2469" s="5">
        <v>4569444.71</v>
      </c>
      <c r="J2469" s="5">
        <v>81</v>
      </c>
      <c r="K2469" s="5">
        <v>650185</v>
      </c>
      <c r="L2469" s="5">
        <v>5793730</v>
      </c>
      <c r="M2469" s="5">
        <v>591574.29</v>
      </c>
      <c r="N2469" s="5">
        <v>0.11459999999999999</v>
      </c>
      <c r="O2469" s="5">
        <v>6</v>
      </c>
      <c r="P2469" s="5">
        <v>234430</v>
      </c>
    </row>
    <row r="2470" spans="1:16" x14ac:dyDescent="0.3">
      <c r="A2470" s="5">
        <v>38</v>
      </c>
      <c r="B2470" s="5" t="s">
        <v>134</v>
      </c>
      <c r="C2470" s="5">
        <v>10</v>
      </c>
      <c r="D2470" s="5" t="s">
        <v>86</v>
      </c>
      <c r="E2470" s="5">
        <v>2023</v>
      </c>
      <c r="F2470" s="5">
        <v>10</v>
      </c>
      <c r="G2470" s="5" t="s">
        <v>55</v>
      </c>
      <c r="H2470" s="5">
        <v>2184832</v>
      </c>
      <c r="I2470" s="5">
        <v>1870291.42</v>
      </c>
      <c r="J2470" s="5">
        <v>28</v>
      </c>
      <c r="K2470" s="5">
        <v>223585</v>
      </c>
      <c r="L2470" s="5">
        <v>2398870</v>
      </c>
      <c r="M2470" s="5">
        <v>314540.58</v>
      </c>
      <c r="N2470" s="5">
        <v>0.14399999999999999</v>
      </c>
      <c r="O2470" s="5">
        <v>5</v>
      </c>
      <c r="P2470" s="5">
        <v>127156</v>
      </c>
    </row>
    <row r="2471" spans="1:16" x14ac:dyDescent="0.3">
      <c r="A2471" s="5">
        <v>57</v>
      </c>
      <c r="B2471" s="5" t="s">
        <v>134</v>
      </c>
      <c r="C2471" s="5">
        <v>10</v>
      </c>
      <c r="D2471" s="5" t="s">
        <v>86</v>
      </c>
      <c r="E2471" s="5">
        <v>2023</v>
      </c>
      <c r="F2471" s="5">
        <v>10</v>
      </c>
      <c r="G2471" s="5" t="s">
        <v>55</v>
      </c>
      <c r="H2471" s="5">
        <v>9125382</v>
      </c>
      <c r="I2471" s="5">
        <v>7873911.79</v>
      </c>
      <c r="J2471" s="5">
        <v>114</v>
      </c>
      <c r="K2471" s="5">
        <v>1096506</v>
      </c>
      <c r="L2471" s="5">
        <v>10181390</v>
      </c>
      <c r="M2471" s="5">
        <v>1251470.21</v>
      </c>
      <c r="N2471" s="5">
        <v>0.1371</v>
      </c>
      <c r="O2471" s="5">
        <v>12</v>
      </c>
      <c r="P2471" s="5">
        <v>749690</v>
      </c>
    </row>
    <row r="2472" spans="1:16" x14ac:dyDescent="0.3">
      <c r="A2472" s="5">
        <v>38</v>
      </c>
      <c r="B2472" s="5" t="s">
        <v>134</v>
      </c>
      <c r="C2472" s="5">
        <v>10</v>
      </c>
      <c r="D2472" s="5" t="s">
        <v>86</v>
      </c>
      <c r="E2472" s="5">
        <v>2023</v>
      </c>
      <c r="F2472" s="5">
        <v>11</v>
      </c>
      <c r="G2472" s="5" t="s">
        <v>56</v>
      </c>
      <c r="H2472" s="5">
        <v>2336364</v>
      </c>
      <c r="I2472" s="5">
        <v>2042700.88</v>
      </c>
      <c r="J2472" s="5">
        <v>27</v>
      </c>
      <c r="K2472" s="5">
        <v>242289</v>
      </c>
      <c r="L2472" s="5">
        <v>2570690</v>
      </c>
      <c r="M2472" s="5">
        <v>293663.12</v>
      </c>
      <c r="N2472" s="5">
        <v>0.12570000000000001</v>
      </c>
      <c r="O2472" s="5">
        <v>0</v>
      </c>
      <c r="P2472" s="5">
        <v>0</v>
      </c>
    </row>
    <row r="2473" spans="1:16" x14ac:dyDescent="0.3">
      <c r="A2473" s="5">
        <v>57</v>
      </c>
      <c r="B2473" s="5" t="s">
        <v>134</v>
      </c>
      <c r="C2473" s="5">
        <v>10</v>
      </c>
      <c r="D2473" s="5" t="s">
        <v>86</v>
      </c>
      <c r="E2473" s="5">
        <v>2023</v>
      </c>
      <c r="F2473" s="5">
        <v>11</v>
      </c>
      <c r="G2473" s="5" t="s">
        <v>56</v>
      </c>
      <c r="H2473" s="5">
        <v>7190556</v>
      </c>
      <c r="I2473" s="5">
        <v>6379327.8799999999</v>
      </c>
      <c r="J2473" s="5">
        <v>131</v>
      </c>
      <c r="K2473" s="5">
        <v>1140500</v>
      </c>
      <c r="L2473" s="5">
        <v>8318360</v>
      </c>
      <c r="M2473" s="5">
        <v>811228.12</v>
      </c>
      <c r="N2473" s="5">
        <v>0.1128</v>
      </c>
      <c r="O2473" s="5">
        <v>10</v>
      </c>
      <c r="P2473" s="5">
        <v>342327</v>
      </c>
    </row>
    <row r="2474" spans="1:16" x14ac:dyDescent="0.3">
      <c r="A2474" s="5">
        <v>38</v>
      </c>
      <c r="B2474" s="5" t="s">
        <v>134</v>
      </c>
      <c r="C2474" s="5">
        <v>10</v>
      </c>
      <c r="D2474" s="5" t="s">
        <v>86</v>
      </c>
      <c r="E2474" s="5">
        <v>2023</v>
      </c>
      <c r="F2474" s="5">
        <v>12</v>
      </c>
      <c r="G2474" s="5" t="s">
        <v>57</v>
      </c>
      <c r="H2474" s="5">
        <v>2129148</v>
      </c>
      <c r="I2474" s="5">
        <v>1949885.94</v>
      </c>
      <c r="J2474" s="5">
        <v>31</v>
      </c>
      <c r="K2474" s="5">
        <v>342701</v>
      </c>
      <c r="L2474" s="5">
        <v>2467520</v>
      </c>
      <c r="M2474" s="5">
        <v>179262.06</v>
      </c>
      <c r="N2474" s="5">
        <v>8.4199999999999997E-2</v>
      </c>
      <c r="O2474" s="5">
        <v>2</v>
      </c>
      <c r="P2474" s="5">
        <v>258823</v>
      </c>
    </row>
    <row r="2475" spans="1:16" x14ac:dyDescent="0.3">
      <c r="A2475" s="5">
        <v>57</v>
      </c>
      <c r="B2475" s="5" t="s">
        <v>134</v>
      </c>
      <c r="C2475" s="5">
        <v>10</v>
      </c>
      <c r="D2475" s="5" t="s">
        <v>86</v>
      </c>
      <c r="E2475" s="5">
        <v>2023</v>
      </c>
      <c r="F2475" s="5">
        <v>12</v>
      </c>
      <c r="G2475" s="5" t="s">
        <v>57</v>
      </c>
      <c r="H2475" s="5">
        <v>10547057</v>
      </c>
      <c r="I2475" s="5">
        <v>9440976.8699999992</v>
      </c>
      <c r="J2475" s="5">
        <v>134</v>
      </c>
      <c r="K2475" s="5">
        <v>1708557</v>
      </c>
      <c r="L2475" s="5">
        <v>12229830</v>
      </c>
      <c r="M2475" s="5">
        <v>1106080.1299999999</v>
      </c>
      <c r="N2475" s="5">
        <v>0.10489999999999999</v>
      </c>
      <c r="O2475" s="5">
        <v>10</v>
      </c>
      <c r="P2475" s="5">
        <v>395315</v>
      </c>
    </row>
    <row r="2476" spans="1:16" x14ac:dyDescent="0.3">
      <c r="A2476" s="5">
        <v>38</v>
      </c>
      <c r="B2476" s="5" t="s">
        <v>134</v>
      </c>
      <c r="C2476" s="5">
        <v>10</v>
      </c>
      <c r="D2476" s="5" t="s">
        <v>86</v>
      </c>
      <c r="E2476" s="5">
        <v>2024</v>
      </c>
      <c r="F2476" s="5">
        <v>1</v>
      </c>
      <c r="G2476" s="5" t="s">
        <v>58</v>
      </c>
      <c r="H2476" s="5">
        <v>1432294</v>
      </c>
      <c r="I2476" s="5">
        <v>1257952.29</v>
      </c>
      <c r="J2476" s="5">
        <v>24</v>
      </c>
      <c r="K2476" s="5">
        <v>170268</v>
      </c>
      <c r="L2476" s="5">
        <v>1593770</v>
      </c>
      <c r="M2476" s="5">
        <v>174341.71</v>
      </c>
      <c r="N2476" s="5">
        <v>0.1217</v>
      </c>
      <c r="O2476" s="5">
        <v>1</v>
      </c>
      <c r="P2476" s="5">
        <v>50119</v>
      </c>
    </row>
    <row r="2477" spans="1:16" x14ac:dyDescent="0.3">
      <c r="A2477" s="5">
        <v>57</v>
      </c>
      <c r="B2477" s="5" t="s">
        <v>134</v>
      </c>
      <c r="C2477" s="5">
        <v>10</v>
      </c>
      <c r="D2477" s="5" t="s">
        <v>86</v>
      </c>
      <c r="E2477" s="5">
        <v>2024</v>
      </c>
      <c r="F2477" s="5">
        <v>1</v>
      </c>
      <c r="G2477" s="5" t="s">
        <v>58</v>
      </c>
      <c r="H2477" s="5">
        <v>4723455</v>
      </c>
      <c r="I2477" s="5">
        <v>4209449.25</v>
      </c>
      <c r="J2477" s="5">
        <v>82</v>
      </c>
      <c r="K2477" s="5">
        <v>725666</v>
      </c>
      <c r="L2477" s="5">
        <v>5436310</v>
      </c>
      <c r="M2477" s="5">
        <v>514005.75</v>
      </c>
      <c r="N2477" s="5">
        <v>0.10879999999999999</v>
      </c>
      <c r="O2477" s="5">
        <v>7</v>
      </c>
      <c r="P2477" s="5">
        <v>45914</v>
      </c>
    </row>
    <row r="2478" spans="1:16" x14ac:dyDescent="0.3">
      <c r="A2478" s="5">
        <v>38</v>
      </c>
      <c r="B2478" s="5" t="s">
        <v>134</v>
      </c>
      <c r="C2478" s="5">
        <v>10</v>
      </c>
      <c r="D2478" s="5" t="s">
        <v>86</v>
      </c>
      <c r="E2478" s="5">
        <v>2024</v>
      </c>
      <c r="F2478" s="5">
        <v>2</v>
      </c>
      <c r="G2478" s="5" t="s">
        <v>59</v>
      </c>
      <c r="H2478" s="5">
        <v>728193</v>
      </c>
      <c r="I2478" s="5">
        <v>635944.24</v>
      </c>
      <c r="J2478" s="5">
        <v>14</v>
      </c>
      <c r="K2478" s="5">
        <v>75200</v>
      </c>
      <c r="L2478" s="5">
        <v>800630</v>
      </c>
      <c r="M2478" s="5">
        <v>92248.76</v>
      </c>
      <c r="N2478" s="5">
        <v>0.12670000000000001</v>
      </c>
      <c r="O2478" s="5">
        <v>0</v>
      </c>
      <c r="P2478" s="5">
        <v>0</v>
      </c>
    </row>
    <row r="2479" spans="1:16" x14ac:dyDescent="0.3">
      <c r="A2479" s="5">
        <v>57</v>
      </c>
      <c r="B2479" s="5" t="s">
        <v>134</v>
      </c>
      <c r="C2479" s="5">
        <v>10</v>
      </c>
      <c r="D2479" s="5" t="s">
        <v>86</v>
      </c>
      <c r="E2479" s="5">
        <v>2024</v>
      </c>
      <c r="F2479" s="5">
        <v>2</v>
      </c>
      <c r="G2479" s="5" t="s">
        <v>59</v>
      </c>
      <c r="H2479" s="5">
        <v>5819996</v>
      </c>
      <c r="I2479" s="5">
        <v>4919811.5999999996</v>
      </c>
      <c r="J2479" s="5">
        <v>76</v>
      </c>
      <c r="K2479" s="5">
        <v>585908</v>
      </c>
      <c r="L2479" s="5">
        <v>6387490</v>
      </c>
      <c r="M2479" s="5">
        <v>900184.4</v>
      </c>
      <c r="N2479" s="5">
        <v>0.1547</v>
      </c>
      <c r="O2479" s="5">
        <v>5</v>
      </c>
      <c r="P2479" s="5">
        <v>80527</v>
      </c>
    </row>
    <row r="2480" spans="1:16" x14ac:dyDescent="0.3">
      <c r="A2480" s="5">
        <v>38</v>
      </c>
      <c r="B2480" s="5" t="s">
        <v>134</v>
      </c>
      <c r="C2480" s="5">
        <v>10</v>
      </c>
      <c r="D2480" s="5" t="s">
        <v>86</v>
      </c>
      <c r="E2480" s="5">
        <v>2024</v>
      </c>
      <c r="F2480" s="5">
        <v>3</v>
      </c>
      <c r="G2480" s="5" t="s">
        <v>60</v>
      </c>
      <c r="H2480" s="5">
        <v>1381102</v>
      </c>
      <c r="I2480" s="5">
        <v>1154897.07</v>
      </c>
      <c r="J2480" s="5">
        <v>25</v>
      </c>
      <c r="K2480" s="5">
        <v>109161</v>
      </c>
      <c r="L2480" s="5">
        <v>1478660</v>
      </c>
      <c r="M2480" s="5">
        <v>226204.93</v>
      </c>
      <c r="N2480" s="5">
        <v>0.1638</v>
      </c>
      <c r="O2480" s="5">
        <v>1</v>
      </c>
      <c r="P2480" s="5">
        <v>12238</v>
      </c>
    </row>
    <row r="2481" spans="1:16" x14ac:dyDescent="0.3">
      <c r="A2481" s="5">
        <v>57</v>
      </c>
      <c r="B2481" s="5" t="s">
        <v>134</v>
      </c>
      <c r="C2481" s="5">
        <v>10</v>
      </c>
      <c r="D2481" s="5" t="s">
        <v>86</v>
      </c>
      <c r="E2481" s="5">
        <v>2024</v>
      </c>
      <c r="F2481" s="5">
        <v>3</v>
      </c>
      <c r="G2481" s="5" t="s">
        <v>60</v>
      </c>
      <c r="H2481" s="5">
        <v>5654493</v>
      </c>
      <c r="I2481" s="5">
        <v>4830512.07</v>
      </c>
      <c r="J2481" s="5">
        <v>85</v>
      </c>
      <c r="K2481" s="5">
        <v>580930</v>
      </c>
      <c r="L2481" s="5">
        <v>6217260</v>
      </c>
      <c r="M2481" s="5">
        <v>823980.93</v>
      </c>
      <c r="N2481" s="5">
        <v>0.1457</v>
      </c>
      <c r="O2481" s="5">
        <v>6</v>
      </c>
      <c r="P2481" s="5">
        <v>41005</v>
      </c>
    </row>
    <row r="2482" spans="1:16" x14ac:dyDescent="0.3">
      <c r="A2482" s="5">
        <v>38</v>
      </c>
      <c r="B2482" s="5" t="s">
        <v>134</v>
      </c>
      <c r="C2482" s="5">
        <v>10</v>
      </c>
      <c r="D2482" s="5" t="s">
        <v>86</v>
      </c>
      <c r="E2482" s="5">
        <v>2024</v>
      </c>
      <c r="F2482" s="5">
        <v>4</v>
      </c>
      <c r="G2482" s="5" t="s">
        <v>61</v>
      </c>
      <c r="H2482" s="5">
        <v>1184394</v>
      </c>
      <c r="I2482" s="5">
        <v>1046716.7</v>
      </c>
      <c r="J2482" s="5">
        <v>16</v>
      </c>
      <c r="K2482" s="5">
        <v>172684</v>
      </c>
      <c r="L2482" s="5">
        <v>1355640</v>
      </c>
      <c r="M2482" s="5">
        <v>137677.29999999999</v>
      </c>
      <c r="N2482" s="5">
        <v>0.1162</v>
      </c>
      <c r="O2482" s="5">
        <v>1</v>
      </c>
      <c r="P2482" s="5">
        <v>8013</v>
      </c>
    </row>
    <row r="2483" spans="1:16" x14ac:dyDescent="0.3">
      <c r="A2483" s="5">
        <v>57</v>
      </c>
      <c r="B2483" s="5" t="s">
        <v>134</v>
      </c>
      <c r="C2483" s="5">
        <v>10</v>
      </c>
      <c r="D2483" s="5" t="s">
        <v>86</v>
      </c>
      <c r="E2483" s="5">
        <v>2024</v>
      </c>
      <c r="F2483" s="5">
        <v>4</v>
      </c>
      <c r="G2483" s="5" t="s">
        <v>61</v>
      </c>
      <c r="H2483" s="5">
        <v>8570554</v>
      </c>
      <c r="I2483" s="5">
        <v>7297948.8600000003</v>
      </c>
      <c r="J2483" s="5">
        <v>100</v>
      </c>
      <c r="K2483" s="5">
        <v>843668</v>
      </c>
      <c r="L2483" s="5">
        <v>9387590</v>
      </c>
      <c r="M2483" s="5">
        <v>1272605.1399999999</v>
      </c>
      <c r="N2483" s="5">
        <v>0.14849999999999999</v>
      </c>
      <c r="O2483" s="5">
        <v>10</v>
      </c>
      <c r="P2483" s="5">
        <v>93235</v>
      </c>
    </row>
    <row r="2484" spans="1:16" x14ac:dyDescent="0.3">
      <c r="A2484" s="5">
        <v>38</v>
      </c>
      <c r="B2484" s="5" t="s">
        <v>134</v>
      </c>
      <c r="C2484" s="5">
        <v>10</v>
      </c>
      <c r="D2484" s="5" t="s">
        <v>86</v>
      </c>
      <c r="E2484" s="5">
        <v>2024</v>
      </c>
      <c r="F2484" s="5">
        <v>5</v>
      </c>
      <c r="G2484" s="5" t="s">
        <v>62</v>
      </c>
      <c r="H2484" s="5">
        <v>2271423</v>
      </c>
      <c r="I2484" s="5">
        <v>1943763.92</v>
      </c>
      <c r="J2484" s="5">
        <v>33</v>
      </c>
      <c r="K2484" s="5">
        <v>268572</v>
      </c>
      <c r="L2484" s="5">
        <v>2528120</v>
      </c>
      <c r="M2484" s="5">
        <v>327659.08</v>
      </c>
      <c r="N2484" s="5">
        <v>0.14430000000000001</v>
      </c>
      <c r="O2484" s="5">
        <v>2</v>
      </c>
      <c r="P2484" s="5">
        <v>95639</v>
      </c>
    </row>
    <row r="2485" spans="1:16" x14ac:dyDescent="0.3">
      <c r="A2485" s="5">
        <v>57</v>
      </c>
      <c r="B2485" s="5" t="s">
        <v>134</v>
      </c>
      <c r="C2485" s="5">
        <v>10</v>
      </c>
      <c r="D2485" s="5" t="s">
        <v>86</v>
      </c>
      <c r="E2485" s="5">
        <v>2024</v>
      </c>
      <c r="F2485" s="5">
        <v>5</v>
      </c>
      <c r="G2485" s="5" t="s">
        <v>62</v>
      </c>
      <c r="H2485" s="5">
        <v>6526051</v>
      </c>
      <c r="I2485" s="5">
        <v>5683656.3200000003</v>
      </c>
      <c r="J2485" s="5">
        <v>106</v>
      </c>
      <c r="K2485" s="5">
        <v>763489</v>
      </c>
      <c r="L2485" s="5">
        <v>7271830</v>
      </c>
      <c r="M2485" s="5">
        <v>842394.68</v>
      </c>
      <c r="N2485" s="5">
        <v>0.12909999999999999</v>
      </c>
      <c r="O2485" s="5">
        <v>9</v>
      </c>
      <c r="P2485" s="5">
        <v>201979</v>
      </c>
    </row>
    <row r="2486" spans="1:16" x14ac:dyDescent="0.3">
      <c r="A2486" s="5">
        <v>38</v>
      </c>
      <c r="B2486" s="5" t="s">
        <v>134</v>
      </c>
      <c r="C2486" s="5">
        <v>10</v>
      </c>
      <c r="D2486" s="5" t="s">
        <v>86</v>
      </c>
      <c r="E2486" s="5">
        <v>2024</v>
      </c>
      <c r="F2486" s="5">
        <v>6</v>
      </c>
      <c r="G2486" s="5" t="s">
        <v>63</v>
      </c>
      <c r="H2486" s="5">
        <v>650667</v>
      </c>
      <c r="I2486" s="5">
        <v>552115.63</v>
      </c>
      <c r="J2486" s="5">
        <v>13</v>
      </c>
      <c r="K2486" s="5">
        <v>50744</v>
      </c>
      <c r="L2486" s="5">
        <v>701190</v>
      </c>
      <c r="M2486" s="5">
        <v>98551.37</v>
      </c>
      <c r="N2486" s="5">
        <v>0.1515</v>
      </c>
      <c r="O2486" s="5">
        <v>0</v>
      </c>
      <c r="P2486" s="5">
        <v>0</v>
      </c>
    </row>
    <row r="2487" spans="1:16" x14ac:dyDescent="0.3">
      <c r="A2487" s="5">
        <v>57</v>
      </c>
      <c r="B2487" s="5" t="s">
        <v>134</v>
      </c>
      <c r="C2487" s="5">
        <v>10</v>
      </c>
      <c r="D2487" s="5" t="s">
        <v>86</v>
      </c>
      <c r="E2487" s="5">
        <v>2024</v>
      </c>
      <c r="F2487" s="5">
        <v>6</v>
      </c>
      <c r="G2487" s="5" t="s">
        <v>63</v>
      </c>
      <c r="H2487" s="5">
        <v>6040937</v>
      </c>
      <c r="I2487" s="5">
        <v>4947156.8499999996</v>
      </c>
      <c r="J2487" s="5">
        <v>85</v>
      </c>
      <c r="K2487" s="5">
        <v>396121</v>
      </c>
      <c r="L2487" s="5">
        <v>6413250</v>
      </c>
      <c r="M2487" s="5">
        <v>1093780.1499999999</v>
      </c>
      <c r="N2487" s="5">
        <v>0.18110000000000001</v>
      </c>
      <c r="O2487" s="5">
        <v>12</v>
      </c>
      <c r="P2487" s="5">
        <v>339653</v>
      </c>
    </row>
    <row r="2488" spans="1:16" x14ac:dyDescent="0.3">
      <c r="A2488" s="5">
        <v>38</v>
      </c>
      <c r="B2488" s="5" t="s">
        <v>134</v>
      </c>
      <c r="C2488" s="5">
        <v>10</v>
      </c>
      <c r="D2488" s="5" t="s">
        <v>86</v>
      </c>
      <c r="E2488" s="5">
        <v>2024</v>
      </c>
      <c r="F2488" s="5">
        <v>7</v>
      </c>
      <c r="G2488" s="5" t="s">
        <v>64</v>
      </c>
      <c r="H2488" s="5">
        <v>1122921</v>
      </c>
      <c r="I2488" s="5">
        <v>990460.04</v>
      </c>
      <c r="J2488" s="5">
        <v>19</v>
      </c>
      <c r="K2488" s="5">
        <v>157311</v>
      </c>
      <c r="L2488" s="5">
        <v>1277980</v>
      </c>
      <c r="M2488" s="5">
        <v>132460.96</v>
      </c>
      <c r="N2488" s="5">
        <v>0.11799999999999999</v>
      </c>
      <c r="O2488" s="5">
        <v>1</v>
      </c>
      <c r="P2488" s="5">
        <v>62220</v>
      </c>
    </row>
    <row r="2489" spans="1:16" x14ac:dyDescent="0.3">
      <c r="A2489" s="5">
        <v>57</v>
      </c>
      <c r="B2489" s="5" t="s">
        <v>134</v>
      </c>
      <c r="C2489" s="5">
        <v>10</v>
      </c>
      <c r="D2489" s="5" t="s">
        <v>86</v>
      </c>
      <c r="E2489" s="5">
        <v>2024</v>
      </c>
      <c r="F2489" s="5">
        <v>7</v>
      </c>
      <c r="G2489" s="5" t="s">
        <v>64</v>
      </c>
      <c r="H2489" s="5">
        <v>6517490</v>
      </c>
      <c r="I2489" s="5">
        <v>5581602.04</v>
      </c>
      <c r="J2489" s="5">
        <v>114</v>
      </c>
      <c r="K2489" s="5">
        <v>812607</v>
      </c>
      <c r="L2489" s="5">
        <v>7315570</v>
      </c>
      <c r="M2489" s="5">
        <v>935887.96</v>
      </c>
      <c r="N2489" s="5">
        <v>0.14360000000000001</v>
      </c>
      <c r="O2489" s="5">
        <v>4</v>
      </c>
      <c r="P2489" s="5">
        <v>39445</v>
      </c>
    </row>
    <row r="2490" spans="1:16" x14ac:dyDescent="0.3">
      <c r="A2490" s="5">
        <v>38</v>
      </c>
      <c r="B2490" s="5" t="s">
        <v>134</v>
      </c>
      <c r="C2490" s="5">
        <v>10</v>
      </c>
      <c r="D2490" s="5" t="s">
        <v>86</v>
      </c>
      <c r="E2490" s="5">
        <v>2024</v>
      </c>
      <c r="F2490" s="5">
        <v>8</v>
      </c>
      <c r="G2490" s="5" t="s">
        <v>65</v>
      </c>
      <c r="H2490" s="5">
        <v>2096527</v>
      </c>
      <c r="I2490" s="5">
        <v>1856115.1</v>
      </c>
      <c r="J2490" s="5">
        <v>25</v>
      </c>
      <c r="K2490" s="5">
        <v>245853</v>
      </c>
      <c r="L2490" s="5">
        <v>2336660</v>
      </c>
      <c r="M2490" s="5">
        <v>240411.9</v>
      </c>
      <c r="N2490" s="5">
        <v>0.1147</v>
      </c>
      <c r="O2490" s="5">
        <v>3</v>
      </c>
      <c r="P2490" s="5">
        <v>47378</v>
      </c>
    </row>
    <row r="2491" spans="1:16" x14ac:dyDescent="0.3">
      <c r="A2491" s="5">
        <v>57</v>
      </c>
      <c r="B2491" s="5" t="s">
        <v>134</v>
      </c>
      <c r="C2491" s="5">
        <v>10</v>
      </c>
      <c r="D2491" s="5" t="s">
        <v>86</v>
      </c>
      <c r="E2491" s="5">
        <v>2024</v>
      </c>
      <c r="F2491" s="5">
        <v>8</v>
      </c>
      <c r="G2491" s="5" t="s">
        <v>65</v>
      </c>
      <c r="H2491" s="5">
        <v>8511591</v>
      </c>
      <c r="I2491" s="5">
        <v>7113806.6699999999</v>
      </c>
      <c r="J2491" s="5">
        <v>116</v>
      </c>
      <c r="K2491" s="5">
        <v>682348</v>
      </c>
      <c r="L2491" s="5">
        <v>9154430</v>
      </c>
      <c r="M2491" s="5">
        <v>1397784.33</v>
      </c>
      <c r="N2491" s="5">
        <v>0.16420000000000001</v>
      </c>
      <c r="O2491" s="5">
        <v>10</v>
      </c>
      <c r="P2491" s="5">
        <v>454034</v>
      </c>
    </row>
    <row r="2492" spans="1:16" x14ac:dyDescent="0.3">
      <c r="A2492" s="5">
        <v>38</v>
      </c>
      <c r="B2492" s="5" t="s">
        <v>134</v>
      </c>
      <c r="C2492" s="5">
        <v>10</v>
      </c>
      <c r="D2492" s="5" t="s">
        <v>86</v>
      </c>
      <c r="E2492" s="5">
        <v>2024</v>
      </c>
      <c r="F2492" s="5">
        <v>9</v>
      </c>
      <c r="G2492" s="5" t="s">
        <v>66</v>
      </c>
      <c r="H2492" s="5">
        <v>1953709</v>
      </c>
      <c r="I2492" s="5">
        <v>1563234.71</v>
      </c>
      <c r="J2492" s="5">
        <v>35</v>
      </c>
      <c r="K2492" s="5">
        <v>86155</v>
      </c>
      <c r="L2492" s="5">
        <v>2031210</v>
      </c>
      <c r="M2492" s="5">
        <v>390474.29</v>
      </c>
      <c r="N2492" s="5">
        <v>0.19989999999999999</v>
      </c>
      <c r="O2492" s="5">
        <v>5</v>
      </c>
      <c r="P2492" s="5">
        <v>159216</v>
      </c>
    </row>
    <row r="2493" spans="1:16" x14ac:dyDescent="0.3">
      <c r="A2493" s="5">
        <v>57</v>
      </c>
      <c r="B2493" s="5" t="s">
        <v>134</v>
      </c>
      <c r="C2493" s="5">
        <v>10</v>
      </c>
      <c r="D2493" s="5" t="s">
        <v>86</v>
      </c>
      <c r="E2493" s="5">
        <v>2024</v>
      </c>
      <c r="F2493" s="5">
        <v>9</v>
      </c>
      <c r="G2493" s="5" t="s">
        <v>66</v>
      </c>
      <c r="H2493" s="5">
        <v>7027481</v>
      </c>
      <c r="I2493" s="5">
        <v>5766328.3200000003</v>
      </c>
      <c r="J2493" s="5">
        <v>102</v>
      </c>
      <c r="K2493" s="5">
        <v>449210</v>
      </c>
      <c r="L2493" s="5">
        <v>7454290</v>
      </c>
      <c r="M2493" s="5">
        <v>1261152.68</v>
      </c>
      <c r="N2493" s="5">
        <v>0.17949999999999999</v>
      </c>
      <c r="O2493" s="5">
        <v>6</v>
      </c>
      <c r="P2493" s="5">
        <v>135176</v>
      </c>
    </row>
    <row r="2494" spans="1:16" x14ac:dyDescent="0.3">
      <c r="A2494" s="5">
        <v>38</v>
      </c>
      <c r="B2494" s="5" t="s">
        <v>134</v>
      </c>
      <c r="C2494" s="5">
        <v>10</v>
      </c>
      <c r="D2494" s="5" t="s">
        <v>86</v>
      </c>
      <c r="E2494" s="5">
        <v>2024</v>
      </c>
      <c r="F2494" s="5">
        <v>10</v>
      </c>
      <c r="G2494" s="5" t="s">
        <v>67</v>
      </c>
      <c r="H2494" s="5">
        <v>2679474</v>
      </c>
      <c r="I2494" s="5">
        <v>2213831.2200000002</v>
      </c>
      <c r="J2494" s="5">
        <v>33</v>
      </c>
      <c r="K2494" s="5">
        <v>108978</v>
      </c>
      <c r="L2494" s="5">
        <v>2784350</v>
      </c>
      <c r="M2494" s="5">
        <v>465642.78</v>
      </c>
      <c r="N2494" s="5">
        <v>0.17380000000000001</v>
      </c>
      <c r="O2494" s="5">
        <v>2</v>
      </c>
      <c r="P2494" s="5">
        <v>101849</v>
      </c>
    </row>
    <row r="2495" spans="1:16" x14ac:dyDescent="0.3">
      <c r="A2495" s="5">
        <v>57</v>
      </c>
      <c r="B2495" s="5" t="s">
        <v>134</v>
      </c>
      <c r="C2495" s="5">
        <v>10</v>
      </c>
      <c r="D2495" s="5" t="s">
        <v>86</v>
      </c>
      <c r="E2495" s="5">
        <v>2024</v>
      </c>
      <c r="F2495" s="5">
        <v>10</v>
      </c>
      <c r="G2495" s="5" t="s">
        <v>67</v>
      </c>
      <c r="H2495" s="5">
        <v>10239701</v>
      </c>
      <c r="I2495" s="5">
        <v>8127195.6200000001</v>
      </c>
      <c r="J2495" s="5">
        <v>134</v>
      </c>
      <c r="K2495" s="5">
        <v>360882</v>
      </c>
      <c r="L2495" s="5">
        <v>10563690</v>
      </c>
      <c r="M2495" s="5">
        <v>2112505.38</v>
      </c>
      <c r="N2495" s="5">
        <v>0.20630000000000001</v>
      </c>
      <c r="O2495" s="5">
        <v>10</v>
      </c>
      <c r="P2495" s="5">
        <v>213483</v>
      </c>
    </row>
    <row r="2496" spans="1:16" x14ac:dyDescent="0.3">
      <c r="A2496" s="5">
        <v>38</v>
      </c>
      <c r="B2496" s="5" t="s">
        <v>134</v>
      </c>
      <c r="C2496" s="5">
        <v>10</v>
      </c>
      <c r="D2496" s="5" t="s">
        <v>86</v>
      </c>
      <c r="E2496" s="5">
        <v>2024</v>
      </c>
      <c r="F2496" s="5">
        <v>11</v>
      </c>
      <c r="G2496" s="5" t="s">
        <v>68</v>
      </c>
      <c r="H2496" s="5">
        <v>3072028</v>
      </c>
      <c r="I2496" s="5">
        <v>2540940.2000000002</v>
      </c>
      <c r="J2496" s="5">
        <v>52</v>
      </c>
      <c r="K2496" s="5">
        <v>231980</v>
      </c>
      <c r="L2496" s="5">
        <v>3296100</v>
      </c>
      <c r="M2496" s="5">
        <v>531087.80000000005</v>
      </c>
      <c r="N2496" s="5">
        <v>0.1729</v>
      </c>
      <c r="O2496" s="5">
        <v>7</v>
      </c>
      <c r="P2496" s="5">
        <v>80361</v>
      </c>
    </row>
    <row r="2497" spans="1:16" x14ac:dyDescent="0.3">
      <c r="A2497" s="5">
        <v>57</v>
      </c>
      <c r="B2497" s="5" t="s">
        <v>134</v>
      </c>
      <c r="C2497" s="5">
        <v>10</v>
      </c>
      <c r="D2497" s="5" t="s">
        <v>86</v>
      </c>
      <c r="E2497" s="5">
        <v>2024</v>
      </c>
      <c r="F2497" s="5">
        <v>11</v>
      </c>
      <c r="G2497" s="5" t="s">
        <v>68</v>
      </c>
      <c r="H2497" s="5">
        <v>9355019</v>
      </c>
      <c r="I2497" s="5">
        <v>7959511.1500000004</v>
      </c>
      <c r="J2497" s="5">
        <v>154</v>
      </c>
      <c r="K2497" s="5">
        <v>936660</v>
      </c>
      <c r="L2497" s="5">
        <v>10261450</v>
      </c>
      <c r="M2497" s="5">
        <v>1395507.85</v>
      </c>
      <c r="N2497" s="5">
        <v>0.1492</v>
      </c>
      <c r="O2497" s="5">
        <v>12</v>
      </c>
      <c r="P2497" s="5">
        <v>293753</v>
      </c>
    </row>
    <row r="2498" spans="1:16" x14ac:dyDescent="0.3">
      <c r="A2498" s="5">
        <v>38</v>
      </c>
      <c r="B2498" s="5" t="s">
        <v>134</v>
      </c>
      <c r="C2498" s="5">
        <v>10</v>
      </c>
      <c r="D2498" s="5" t="s">
        <v>86</v>
      </c>
      <c r="E2498" s="5">
        <v>2024</v>
      </c>
      <c r="F2498" s="5">
        <v>12</v>
      </c>
      <c r="G2498" s="5" t="s">
        <v>69</v>
      </c>
      <c r="H2498" s="5">
        <v>3678681</v>
      </c>
      <c r="I2498" s="5">
        <v>2994327.85</v>
      </c>
      <c r="J2498" s="5">
        <v>36</v>
      </c>
      <c r="K2498" s="5">
        <v>87610</v>
      </c>
      <c r="L2498" s="5">
        <v>3756530</v>
      </c>
      <c r="M2498" s="5">
        <v>684353.15</v>
      </c>
      <c r="N2498" s="5">
        <v>0.186</v>
      </c>
      <c r="O2498" s="5">
        <v>2</v>
      </c>
      <c r="P2498" s="5">
        <v>125717</v>
      </c>
    </row>
    <row r="2499" spans="1:16" x14ac:dyDescent="0.3">
      <c r="A2499" s="5">
        <v>57</v>
      </c>
      <c r="B2499" s="5" t="s">
        <v>134</v>
      </c>
      <c r="C2499" s="5">
        <v>10</v>
      </c>
      <c r="D2499" s="5" t="s">
        <v>86</v>
      </c>
      <c r="E2499" s="5">
        <v>2024</v>
      </c>
      <c r="F2499" s="5">
        <v>12</v>
      </c>
      <c r="G2499" s="5" t="s">
        <v>69</v>
      </c>
      <c r="H2499" s="5">
        <v>11377564</v>
      </c>
      <c r="I2499" s="5">
        <v>9263364.5800000001</v>
      </c>
      <c r="J2499" s="5">
        <v>135</v>
      </c>
      <c r="K2499" s="5">
        <v>461014</v>
      </c>
      <c r="L2499" s="5">
        <v>11816670</v>
      </c>
      <c r="M2499" s="5">
        <v>2114199.42</v>
      </c>
      <c r="N2499" s="5">
        <v>0.18579999999999999</v>
      </c>
      <c r="O2499" s="5">
        <v>5</v>
      </c>
      <c r="P2499" s="5">
        <v>31035</v>
      </c>
    </row>
    <row r="2500" spans="1:16" x14ac:dyDescent="0.3">
      <c r="A2500" s="5">
        <v>6</v>
      </c>
      <c r="B2500" s="5" t="s">
        <v>135</v>
      </c>
      <c r="C2500" s="5">
        <v>12</v>
      </c>
      <c r="D2500" s="5" t="s">
        <v>89</v>
      </c>
      <c r="E2500" s="5">
        <v>2021</v>
      </c>
      <c r="F2500" s="5">
        <v>1</v>
      </c>
      <c r="G2500" s="5" t="s">
        <v>22</v>
      </c>
      <c r="H2500" s="5">
        <v>354598</v>
      </c>
      <c r="I2500" s="5">
        <v>350533.69</v>
      </c>
      <c r="J2500" s="5">
        <v>12</v>
      </c>
      <c r="K2500" s="5">
        <v>106254</v>
      </c>
      <c r="L2500" s="5">
        <v>459890</v>
      </c>
      <c r="M2500" s="5">
        <v>4064.31</v>
      </c>
      <c r="N2500" s="5">
        <v>1.15E-2</v>
      </c>
      <c r="O2500" s="5">
        <v>0</v>
      </c>
      <c r="P2500" s="5">
        <v>0</v>
      </c>
    </row>
    <row r="2501" spans="1:16" x14ac:dyDescent="0.3">
      <c r="A2501" s="5">
        <v>6</v>
      </c>
      <c r="B2501" s="5" t="s">
        <v>135</v>
      </c>
      <c r="C2501" s="5">
        <v>12</v>
      </c>
      <c r="D2501" s="5" t="s">
        <v>89</v>
      </c>
      <c r="E2501" s="5">
        <v>2021</v>
      </c>
      <c r="F2501" s="5">
        <v>2</v>
      </c>
      <c r="G2501" s="5" t="s">
        <v>23</v>
      </c>
      <c r="H2501" s="5">
        <v>1274325</v>
      </c>
      <c r="I2501" s="5">
        <v>1145337.5</v>
      </c>
      <c r="J2501" s="5">
        <v>13</v>
      </c>
      <c r="K2501" s="5">
        <v>203905</v>
      </c>
      <c r="L2501" s="5">
        <v>1478200</v>
      </c>
      <c r="M2501" s="5">
        <v>128987.5</v>
      </c>
      <c r="N2501" s="5">
        <v>0.1012</v>
      </c>
      <c r="O2501" s="5">
        <v>0</v>
      </c>
      <c r="P2501" s="5">
        <v>0</v>
      </c>
    </row>
    <row r="2502" spans="1:16" x14ac:dyDescent="0.3">
      <c r="A2502" s="5">
        <v>6</v>
      </c>
      <c r="B2502" s="5" t="s">
        <v>135</v>
      </c>
      <c r="C2502" s="5">
        <v>12</v>
      </c>
      <c r="D2502" s="5" t="s">
        <v>89</v>
      </c>
      <c r="E2502" s="5">
        <v>2021</v>
      </c>
      <c r="F2502" s="5">
        <v>3</v>
      </c>
      <c r="G2502" s="5" t="s">
        <v>24</v>
      </c>
      <c r="H2502" s="5">
        <v>837965</v>
      </c>
      <c r="I2502" s="5">
        <v>671621.08</v>
      </c>
      <c r="J2502" s="5">
        <v>11</v>
      </c>
      <c r="K2502" s="5">
        <v>49373</v>
      </c>
      <c r="L2502" s="5">
        <v>885910</v>
      </c>
      <c r="M2502" s="5">
        <v>166343.92000000001</v>
      </c>
      <c r="N2502" s="5">
        <v>0.19850000000000001</v>
      </c>
      <c r="O2502" s="5">
        <v>1</v>
      </c>
      <c r="P2502" s="5">
        <v>84050</v>
      </c>
    </row>
    <row r="2503" spans="1:16" x14ac:dyDescent="0.3">
      <c r="A2503" s="5">
        <v>6</v>
      </c>
      <c r="B2503" s="5" t="s">
        <v>135</v>
      </c>
      <c r="C2503" s="5">
        <v>12</v>
      </c>
      <c r="D2503" s="5" t="s">
        <v>89</v>
      </c>
      <c r="E2503" s="5">
        <v>2021</v>
      </c>
      <c r="F2503" s="5">
        <v>4</v>
      </c>
      <c r="G2503" s="5" t="s">
        <v>25</v>
      </c>
      <c r="H2503" s="5">
        <v>1138649</v>
      </c>
      <c r="I2503" s="5">
        <v>1080103.3400000001</v>
      </c>
      <c r="J2503" s="5">
        <v>10</v>
      </c>
      <c r="K2503" s="5">
        <v>169271</v>
      </c>
      <c r="L2503" s="5">
        <v>1305510</v>
      </c>
      <c r="M2503" s="5">
        <v>58545.66</v>
      </c>
      <c r="N2503" s="5">
        <v>5.1400000000000001E-2</v>
      </c>
      <c r="O2503" s="5">
        <v>2</v>
      </c>
      <c r="P2503" s="5">
        <v>84800</v>
      </c>
    </row>
    <row r="2504" spans="1:16" x14ac:dyDescent="0.3">
      <c r="A2504" s="5">
        <v>6</v>
      </c>
      <c r="B2504" s="5" t="s">
        <v>135</v>
      </c>
      <c r="C2504" s="5">
        <v>12</v>
      </c>
      <c r="D2504" s="5" t="s">
        <v>89</v>
      </c>
      <c r="E2504" s="5">
        <v>2021</v>
      </c>
      <c r="F2504" s="5">
        <v>5</v>
      </c>
      <c r="G2504" s="5" t="s">
        <v>26</v>
      </c>
      <c r="H2504" s="5">
        <v>2584402</v>
      </c>
      <c r="I2504" s="5">
        <v>2342285.56</v>
      </c>
      <c r="J2504" s="5">
        <v>23</v>
      </c>
      <c r="K2504" s="5">
        <v>415221</v>
      </c>
      <c r="L2504" s="5">
        <v>2998440</v>
      </c>
      <c r="M2504" s="5">
        <v>242116.44</v>
      </c>
      <c r="N2504" s="5">
        <v>9.3700000000000006E-2</v>
      </c>
      <c r="O2504" s="5">
        <v>1</v>
      </c>
      <c r="P2504" s="5">
        <v>46351</v>
      </c>
    </row>
    <row r="2505" spans="1:16" x14ac:dyDescent="0.3">
      <c r="A2505" s="5">
        <v>6</v>
      </c>
      <c r="B2505" s="5" t="s">
        <v>135</v>
      </c>
      <c r="C2505" s="5">
        <v>12</v>
      </c>
      <c r="D2505" s="5" t="s">
        <v>89</v>
      </c>
      <c r="E2505" s="5">
        <v>2021</v>
      </c>
      <c r="F2505" s="5">
        <v>6</v>
      </c>
      <c r="G2505" s="5" t="s">
        <v>27</v>
      </c>
      <c r="H2505" s="5">
        <v>858929</v>
      </c>
      <c r="I2505" s="5">
        <v>785099.53</v>
      </c>
      <c r="J2505" s="5">
        <v>14</v>
      </c>
      <c r="K2505" s="5">
        <v>118875</v>
      </c>
      <c r="L2505" s="5">
        <v>976120</v>
      </c>
      <c r="M2505" s="5">
        <v>73829.47</v>
      </c>
      <c r="N2505" s="5">
        <v>8.5999999999999993E-2</v>
      </c>
      <c r="O2505" s="5">
        <v>1</v>
      </c>
      <c r="P2505" s="5">
        <v>135384</v>
      </c>
    </row>
    <row r="2506" spans="1:16" x14ac:dyDescent="0.3">
      <c r="A2506" s="5">
        <v>6</v>
      </c>
      <c r="B2506" s="5" t="s">
        <v>135</v>
      </c>
      <c r="C2506" s="5">
        <v>12</v>
      </c>
      <c r="D2506" s="5" t="s">
        <v>89</v>
      </c>
      <c r="E2506" s="5">
        <v>2021</v>
      </c>
      <c r="F2506" s="5">
        <v>7</v>
      </c>
      <c r="G2506" s="5" t="s">
        <v>28</v>
      </c>
      <c r="H2506" s="5">
        <v>931242</v>
      </c>
      <c r="I2506" s="5">
        <v>800807.6</v>
      </c>
      <c r="J2506" s="5">
        <v>12</v>
      </c>
      <c r="K2506" s="5">
        <v>89318</v>
      </c>
      <c r="L2506" s="5">
        <v>1015830</v>
      </c>
      <c r="M2506" s="5">
        <v>130434.4</v>
      </c>
      <c r="N2506" s="5">
        <v>0.1401</v>
      </c>
      <c r="O2506" s="5">
        <v>1</v>
      </c>
      <c r="P2506" s="5">
        <v>22476</v>
      </c>
    </row>
    <row r="2507" spans="1:16" x14ac:dyDescent="0.3">
      <c r="A2507" s="5">
        <v>6</v>
      </c>
      <c r="B2507" s="5" t="s">
        <v>135</v>
      </c>
      <c r="C2507" s="5">
        <v>12</v>
      </c>
      <c r="D2507" s="5" t="s">
        <v>89</v>
      </c>
      <c r="E2507" s="5">
        <v>2021</v>
      </c>
      <c r="F2507" s="5">
        <v>8</v>
      </c>
      <c r="G2507" s="5" t="s">
        <v>29</v>
      </c>
      <c r="H2507" s="5">
        <v>1009381</v>
      </c>
      <c r="I2507" s="5">
        <v>811204.87</v>
      </c>
      <c r="J2507" s="5">
        <v>12</v>
      </c>
      <c r="K2507" s="5">
        <v>40418</v>
      </c>
      <c r="L2507" s="5">
        <v>1046940</v>
      </c>
      <c r="M2507" s="5">
        <v>198176.13</v>
      </c>
      <c r="N2507" s="5">
        <v>0.1963</v>
      </c>
      <c r="O2507" s="5">
        <v>0</v>
      </c>
      <c r="P2507" s="5">
        <v>0</v>
      </c>
    </row>
    <row r="2508" spans="1:16" x14ac:dyDescent="0.3">
      <c r="A2508" s="5">
        <v>6</v>
      </c>
      <c r="B2508" s="5" t="s">
        <v>135</v>
      </c>
      <c r="C2508" s="5">
        <v>12</v>
      </c>
      <c r="D2508" s="5" t="s">
        <v>89</v>
      </c>
      <c r="E2508" s="5">
        <v>2021</v>
      </c>
      <c r="F2508" s="5">
        <v>9</v>
      </c>
      <c r="G2508" s="5" t="s">
        <v>30</v>
      </c>
      <c r="H2508" s="5">
        <v>1841486</v>
      </c>
      <c r="I2508" s="5">
        <v>1625639.93</v>
      </c>
      <c r="J2508" s="5">
        <v>21</v>
      </c>
      <c r="K2508" s="5">
        <v>279381</v>
      </c>
      <c r="L2508" s="5">
        <v>2116750</v>
      </c>
      <c r="M2508" s="5">
        <v>215846.07</v>
      </c>
      <c r="N2508" s="5">
        <v>0.1172</v>
      </c>
      <c r="O2508" s="5">
        <v>3</v>
      </c>
      <c r="P2508" s="5">
        <v>6223</v>
      </c>
    </row>
    <row r="2509" spans="1:16" x14ac:dyDescent="0.3">
      <c r="A2509" s="5">
        <v>6</v>
      </c>
      <c r="B2509" s="5" t="s">
        <v>135</v>
      </c>
      <c r="C2509" s="5">
        <v>12</v>
      </c>
      <c r="D2509" s="5" t="s">
        <v>89</v>
      </c>
      <c r="E2509" s="5">
        <v>2021</v>
      </c>
      <c r="F2509" s="5">
        <v>10</v>
      </c>
      <c r="G2509" s="5" t="s">
        <v>31</v>
      </c>
      <c r="H2509" s="5">
        <v>1003533</v>
      </c>
      <c r="I2509" s="5">
        <v>881084.52</v>
      </c>
      <c r="J2509" s="5">
        <v>17</v>
      </c>
      <c r="K2509" s="5">
        <v>140025</v>
      </c>
      <c r="L2509" s="5">
        <v>1142830</v>
      </c>
      <c r="M2509" s="5">
        <v>122448.48</v>
      </c>
      <c r="N2509" s="5">
        <v>0.122</v>
      </c>
      <c r="O2509" s="5">
        <v>2</v>
      </c>
      <c r="P2509" s="5">
        <v>33095</v>
      </c>
    </row>
    <row r="2510" spans="1:16" x14ac:dyDescent="0.3">
      <c r="A2510" s="5">
        <v>6</v>
      </c>
      <c r="B2510" s="5" t="s">
        <v>135</v>
      </c>
      <c r="C2510" s="5">
        <v>12</v>
      </c>
      <c r="D2510" s="5" t="s">
        <v>89</v>
      </c>
      <c r="E2510" s="5">
        <v>2021</v>
      </c>
      <c r="F2510" s="5">
        <v>11</v>
      </c>
      <c r="G2510" s="5" t="s">
        <v>32</v>
      </c>
      <c r="H2510" s="5">
        <v>949023</v>
      </c>
      <c r="I2510" s="5">
        <v>742975.9</v>
      </c>
      <c r="J2510" s="5">
        <v>19</v>
      </c>
      <c r="K2510" s="5">
        <v>45496</v>
      </c>
      <c r="L2510" s="5">
        <v>992640</v>
      </c>
      <c r="M2510" s="5">
        <v>206047.1</v>
      </c>
      <c r="N2510" s="5">
        <v>0.21709999999999999</v>
      </c>
      <c r="O2510" s="5">
        <v>2</v>
      </c>
      <c r="P2510" s="5">
        <v>166775</v>
      </c>
    </row>
    <row r="2511" spans="1:16" x14ac:dyDescent="0.3">
      <c r="A2511" s="5">
        <v>6</v>
      </c>
      <c r="B2511" s="5" t="s">
        <v>135</v>
      </c>
      <c r="C2511" s="5">
        <v>12</v>
      </c>
      <c r="D2511" s="5" t="s">
        <v>89</v>
      </c>
      <c r="E2511" s="5">
        <v>2021</v>
      </c>
      <c r="F2511" s="5">
        <v>12</v>
      </c>
      <c r="G2511" s="5" t="s">
        <v>33</v>
      </c>
      <c r="H2511" s="5">
        <v>2067925</v>
      </c>
      <c r="I2511" s="5">
        <v>1640967.75</v>
      </c>
      <c r="J2511" s="5">
        <v>24</v>
      </c>
      <c r="K2511" s="5">
        <v>73645</v>
      </c>
      <c r="L2511" s="5">
        <v>2134310</v>
      </c>
      <c r="M2511" s="5">
        <v>426957.25</v>
      </c>
      <c r="N2511" s="5">
        <v>0.20649999999999999</v>
      </c>
      <c r="O2511" s="5">
        <v>1</v>
      </c>
      <c r="P2511" s="5">
        <v>32243</v>
      </c>
    </row>
    <row r="2512" spans="1:16" x14ac:dyDescent="0.3">
      <c r="A2512" s="5">
        <v>6</v>
      </c>
      <c r="B2512" s="5" t="s">
        <v>135</v>
      </c>
      <c r="C2512" s="5">
        <v>12</v>
      </c>
      <c r="D2512" s="5" t="s">
        <v>89</v>
      </c>
      <c r="E2512" s="5">
        <v>2022</v>
      </c>
      <c r="F2512" s="5">
        <v>1</v>
      </c>
      <c r="G2512" s="5" t="s">
        <v>34</v>
      </c>
      <c r="H2512" s="5">
        <v>695325</v>
      </c>
      <c r="I2512" s="5">
        <v>570229.51</v>
      </c>
      <c r="J2512" s="5">
        <v>12</v>
      </c>
      <c r="K2512" s="5">
        <v>36097</v>
      </c>
      <c r="L2512" s="5">
        <v>726660</v>
      </c>
      <c r="M2512" s="5">
        <v>125095.49</v>
      </c>
      <c r="N2512" s="5">
        <v>0.1799</v>
      </c>
      <c r="O2512" s="5">
        <v>2</v>
      </c>
      <c r="P2512" s="5">
        <v>44873</v>
      </c>
    </row>
    <row r="2513" spans="1:16" x14ac:dyDescent="0.3">
      <c r="A2513" s="5">
        <v>6</v>
      </c>
      <c r="B2513" s="5" t="s">
        <v>135</v>
      </c>
      <c r="C2513" s="5">
        <v>12</v>
      </c>
      <c r="D2513" s="5" t="s">
        <v>89</v>
      </c>
      <c r="E2513" s="5">
        <v>2022</v>
      </c>
      <c r="F2513" s="5">
        <v>2</v>
      </c>
      <c r="G2513" s="5" t="s">
        <v>35</v>
      </c>
      <c r="H2513" s="5">
        <v>1026278</v>
      </c>
      <c r="I2513" s="5">
        <v>877414.15</v>
      </c>
      <c r="J2513" s="5">
        <v>16</v>
      </c>
      <c r="K2513" s="5">
        <v>140369</v>
      </c>
      <c r="L2513" s="5">
        <v>1162350</v>
      </c>
      <c r="M2513" s="5">
        <v>148863.85</v>
      </c>
      <c r="N2513" s="5">
        <v>0.14510000000000001</v>
      </c>
      <c r="O2513" s="5">
        <v>1</v>
      </c>
      <c r="P2513" s="5">
        <v>119869</v>
      </c>
    </row>
    <row r="2514" spans="1:16" x14ac:dyDescent="0.3">
      <c r="A2514" s="5">
        <v>6</v>
      </c>
      <c r="B2514" s="5" t="s">
        <v>135</v>
      </c>
      <c r="C2514" s="5">
        <v>12</v>
      </c>
      <c r="D2514" s="5" t="s">
        <v>89</v>
      </c>
      <c r="E2514" s="5">
        <v>2022</v>
      </c>
      <c r="F2514" s="5">
        <v>3</v>
      </c>
      <c r="G2514" s="5" t="s">
        <v>36</v>
      </c>
      <c r="H2514" s="5">
        <v>1389260</v>
      </c>
      <c r="I2514" s="5">
        <v>1212839.68</v>
      </c>
      <c r="J2514" s="5">
        <v>22</v>
      </c>
      <c r="K2514" s="5">
        <v>156019</v>
      </c>
      <c r="L2514" s="5">
        <v>1544880</v>
      </c>
      <c r="M2514" s="5">
        <v>176420.32</v>
      </c>
      <c r="N2514" s="5">
        <v>0.127</v>
      </c>
      <c r="O2514" s="5">
        <v>4</v>
      </c>
      <c r="P2514" s="5">
        <v>133177</v>
      </c>
    </row>
    <row r="2515" spans="1:16" x14ac:dyDescent="0.3">
      <c r="A2515" s="5">
        <v>6</v>
      </c>
      <c r="B2515" s="5" t="s">
        <v>135</v>
      </c>
      <c r="C2515" s="5">
        <v>12</v>
      </c>
      <c r="D2515" s="5" t="s">
        <v>89</v>
      </c>
      <c r="E2515" s="5">
        <v>2022</v>
      </c>
      <c r="F2515" s="5">
        <v>4</v>
      </c>
      <c r="G2515" s="5" t="s">
        <v>37</v>
      </c>
      <c r="H2515" s="5">
        <v>1702403</v>
      </c>
      <c r="I2515" s="5">
        <v>1345778.37</v>
      </c>
      <c r="J2515" s="5">
        <v>22</v>
      </c>
      <c r="K2515" s="5">
        <v>76222</v>
      </c>
      <c r="L2515" s="5">
        <v>1759300</v>
      </c>
      <c r="M2515" s="5">
        <v>356624.63</v>
      </c>
      <c r="N2515" s="5">
        <v>0.20949999999999999</v>
      </c>
      <c r="O2515" s="5">
        <v>2</v>
      </c>
      <c r="P2515" s="5">
        <v>100118</v>
      </c>
    </row>
    <row r="2516" spans="1:16" x14ac:dyDescent="0.3">
      <c r="A2516" s="5">
        <v>6</v>
      </c>
      <c r="B2516" s="5" t="s">
        <v>135</v>
      </c>
      <c r="C2516" s="5">
        <v>12</v>
      </c>
      <c r="D2516" s="5" t="s">
        <v>89</v>
      </c>
      <c r="E2516" s="5">
        <v>2022</v>
      </c>
      <c r="F2516" s="5">
        <v>5</v>
      </c>
      <c r="G2516" s="5" t="s">
        <v>38</v>
      </c>
      <c r="H2516" s="5">
        <v>837974</v>
      </c>
      <c r="I2516" s="5">
        <v>810679.2</v>
      </c>
      <c r="J2516" s="5">
        <v>21</v>
      </c>
      <c r="K2516" s="5">
        <v>193980</v>
      </c>
      <c r="L2516" s="5">
        <v>1029740</v>
      </c>
      <c r="M2516" s="5">
        <v>27294.799999999999</v>
      </c>
      <c r="N2516" s="5">
        <v>3.2599999999999997E-2</v>
      </c>
      <c r="O2516" s="5">
        <v>1</v>
      </c>
      <c r="P2516" s="5">
        <v>16372</v>
      </c>
    </row>
    <row r="2517" spans="1:16" x14ac:dyDescent="0.3">
      <c r="A2517" s="5">
        <v>6</v>
      </c>
      <c r="B2517" s="5" t="s">
        <v>135</v>
      </c>
      <c r="C2517" s="5">
        <v>12</v>
      </c>
      <c r="D2517" s="5" t="s">
        <v>89</v>
      </c>
      <c r="E2517" s="5">
        <v>2022</v>
      </c>
      <c r="F2517" s="5">
        <v>6</v>
      </c>
      <c r="G2517" s="5" t="s">
        <v>39</v>
      </c>
      <c r="H2517" s="5">
        <v>686953</v>
      </c>
      <c r="I2517" s="5">
        <v>637571.01</v>
      </c>
      <c r="J2517" s="5">
        <v>10</v>
      </c>
      <c r="K2517" s="5">
        <v>151843</v>
      </c>
      <c r="L2517" s="5">
        <v>837980</v>
      </c>
      <c r="M2517" s="5">
        <v>49381.99</v>
      </c>
      <c r="N2517" s="5">
        <v>7.1900000000000006E-2</v>
      </c>
      <c r="O2517" s="5">
        <v>0</v>
      </c>
      <c r="P2517" s="5">
        <v>0</v>
      </c>
    </row>
    <row r="2518" spans="1:16" x14ac:dyDescent="0.3">
      <c r="A2518" s="5">
        <v>6</v>
      </c>
      <c r="B2518" s="5" t="s">
        <v>135</v>
      </c>
      <c r="C2518" s="5">
        <v>12</v>
      </c>
      <c r="D2518" s="5" t="s">
        <v>89</v>
      </c>
      <c r="E2518" s="5">
        <v>2022</v>
      </c>
      <c r="F2518" s="5">
        <v>7</v>
      </c>
      <c r="G2518" s="5" t="s">
        <v>40</v>
      </c>
      <c r="H2518" s="5">
        <v>2321591</v>
      </c>
      <c r="I2518" s="5">
        <v>2104774.59</v>
      </c>
      <c r="J2518" s="5">
        <v>31</v>
      </c>
      <c r="K2518" s="5">
        <v>384667</v>
      </c>
      <c r="L2518" s="5">
        <v>2700150</v>
      </c>
      <c r="M2518" s="5">
        <v>216816.41</v>
      </c>
      <c r="N2518" s="5">
        <v>9.3399999999999997E-2</v>
      </c>
      <c r="O2518" s="5">
        <v>4</v>
      </c>
      <c r="P2518" s="5">
        <v>59160</v>
      </c>
    </row>
    <row r="2519" spans="1:16" x14ac:dyDescent="0.3">
      <c r="A2519" s="5">
        <v>6</v>
      </c>
      <c r="B2519" s="5" t="s">
        <v>135</v>
      </c>
      <c r="C2519" s="5">
        <v>12</v>
      </c>
      <c r="D2519" s="5" t="s">
        <v>89</v>
      </c>
      <c r="E2519" s="5">
        <v>2022</v>
      </c>
      <c r="F2519" s="5">
        <v>8</v>
      </c>
      <c r="G2519" s="5" t="s">
        <v>41</v>
      </c>
      <c r="H2519" s="5">
        <v>337502</v>
      </c>
      <c r="I2519" s="5">
        <v>282989.37</v>
      </c>
      <c r="J2519" s="5">
        <v>10</v>
      </c>
      <c r="K2519" s="5">
        <v>29900</v>
      </c>
      <c r="L2519" s="5">
        <v>365750</v>
      </c>
      <c r="M2519" s="5">
        <v>54512.63</v>
      </c>
      <c r="N2519" s="5">
        <v>0.1615</v>
      </c>
      <c r="O2519" s="5">
        <v>0</v>
      </c>
      <c r="P2519" s="5">
        <v>0</v>
      </c>
    </row>
    <row r="2520" spans="1:16" x14ac:dyDescent="0.3">
      <c r="A2520" s="5">
        <v>6</v>
      </c>
      <c r="B2520" s="5" t="s">
        <v>135</v>
      </c>
      <c r="C2520" s="5">
        <v>12</v>
      </c>
      <c r="D2520" s="5" t="s">
        <v>89</v>
      </c>
      <c r="E2520" s="5">
        <v>2022</v>
      </c>
      <c r="F2520" s="5">
        <v>9</v>
      </c>
      <c r="G2520" s="5" t="s">
        <v>42</v>
      </c>
      <c r="H2520" s="5">
        <v>1611217</v>
      </c>
      <c r="I2520" s="5">
        <v>1354006.32</v>
      </c>
      <c r="J2520" s="5">
        <v>24</v>
      </c>
      <c r="K2520" s="5">
        <v>130056</v>
      </c>
      <c r="L2520" s="5">
        <v>1735300</v>
      </c>
      <c r="M2520" s="5">
        <v>257210.68</v>
      </c>
      <c r="N2520" s="5">
        <v>0.15959999999999999</v>
      </c>
      <c r="O2520" s="5">
        <v>2</v>
      </c>
      <c r="P2520" s="5">
        <v>65206</v>
      </c>
    </row>
    <row r="2521" spans="1:16" x14ac:dyDescent="0.3">
      <c r="A2521" s="5">
        <v>6</v>
      </c>
      <c r="B2521" s="5" t="s">
        <v>135</v>
      </c>
      <c r="C2521" s="5">
        <v>12</v>
      </c>
      <c r="D2521" s="5" t="s">
        <v>89</v>
      </c>
      <c r="E2521" s="5">
        <v>2022</v>
      </c>
      <c r="F2521" s="5">
        <v>10</v>
      </c>
      <c r="G2521" s="5" t="s">
        <v>43</v>
      </c>
      <c r="H2521" s="5">
        <v>2770822</v>
      </c>
      <c r="I2521" s="5">
        <v>2413265.2999999998</v>
      </c>
      <c r="J2521" s="5">
        <v>36</v>
      </c>
      <c r="K2521" s="5">
        <v>347416</v>
      </c>
      <c r="L2521" s="5">
        <v>3104790</v>
      </c>
      <c r="M2521" s="5">
        <v>357556.7</v>
      </c>
      <c r="N2521" s="5">
        <v>0.129</v>
      </c>
      <c r="O2521" s="5">
        <v>2</v>
      </c>
      <c r="P2521" s="5">
        <v>19624</v>
      </c>
    </row>
    <row r="2522" spans="1:16" x14ac:dyDescent="0.3">
      <c r="A2522" s="5">
        <v>6</v>
      </c>
      <c r="B2522" s="5" t="s">
        <v>135</v>
      </c>
      <c r="C2522" s="5">
        <v>12</v>
      </c>
      <c r="D2522" s="5" t="s">
        <v>89</v>
      </c>
      <c r="E2522" s="5">
        <v>2022</v>
      </c>
      <c r="F2522" s="5">
        <v>11</v>
      </c>
      <c r="G2522" s="5" t="s">
        <v>44</v>
      </c>
      <c r="H2522" s="5">
        <v>1506515</v>
      </c>
      <c r="I2522" s="5">
        <v>1352429.48</v>
      </c>
      <c r="J2522" s="5">
        <v>26</v>
      </c>
      <c r="K2522" s="5">
        <v>250074</v>
      </c>
      <c r="L2522" s="5">
        <v>1752780</v>
      </c>
      <c r="M2522" s="5">
        <v>154085.51999999999</v>
      </c>
      <c r="N2522" s="5">
        <v>0.1023</v>
      </c>
      <c r="O2522" s="5">
        <v>0</v>
      </c>
      <c r="P2522" s="5">
        <v>0</v>
      </c>
    </row>
    <row r="2523" spans="1:16" x14ac:dyDescent="0.3">
      <c r="A2523" s="5">
        <v>6</v>
      </c>
      <c r="B2523" s="5" t="s">
        <v>135</v>
      </c>
      <c r="C2523" s="5">
        <v>12</v>
      </c>
      <c r="D2523" s="5" t="s">
        <v>89</v>
      </c>
      <c r="E2523" s="5">
        <v>2022</v>
      </c>
      <c r="F2523" s="5">
        <v>12</v>
      </c>
      <c r="G2523" s="5" t="s">
        <v>45</v>
      </c>
      <c r="H2523" s="5">
        <v>2726226</v>
      </c>
      <c r="I2523" s="5">
        <v>2299158.0099999998</v>
      </c>
      <c r="J2523" s="5">
        <v>32</v>
      </c>
      <c r="K2523" s="5">
        <v>183363</v>
      </c>
      <c r="L2523" s="5">
        <v>2900120</v>
      </c>
      <c r="M2523" s="5">
        <v>427067.99</v>
      </c>
      <c r="N2523" s="5">
        <v>0.15670000000000001</v>
      </c>
      <c r="O2523" s="5">
        <v>1</v>
      </c>
      <c r="P2523" s="5">
        <v>130730</v>
      </c>
    </row>
    <row r="2524" spans="1:16" x14ac:dyDescent="0.3">
      <c r="A2524" s="5">
        <v>6</v>
      </c>
      <c r="B2524" s="5" t="s">
        <v>135</v>
      </c>
      <c r="C2524" s="5">
        <v>12</v>
      </c>
      <c r="D2524" s="5" t="s">
        <v>89</v>
      </c>
      <c r="E2524" s="5">
        <v>2023</v>
      </c>
      <c r="F2524" s="5">
        <v>1</v>
      </c>
      <c r="G2524" s="5" t="s">
        <v>46</v>
      </c>
      <c r="H2524" s="5">
        <v>1573580</v>
      </c>
      <c r="I2524" s="5">
        <v>1613203</v>
      </c>
      <c r="J2524" s="5">
        <v>23</v>
      </c>
      <c r="K2524" s="5">
        <v>437384</v>
      </c>
      <c r="L2524" s="5">
        <v>2009530</v>
      </c>
      <c r="M2524" s="5">
        <v>-39623</v>
      </c>
      <c r="N2524" s="5">
        <v>-2.52E-2</v>
      </c>
      <c r="O2524" s="5">
        <v>5</v>
      </c>
      <c r="P2524" s="5">
        <v>202030</v>
      </c>
    </row>
    <row r="2525" spans="1:16" x14ac:dyDescent="0.3">
      <c r="A2525" s="5">
        <v>6</v>
      </c>
      <c r="B2525" s="5" t="s">
        <v>135</v>
      </c>
      <c r="C2525" s="5">
        <v>12</v>
      </c>
      <c r="D2525" s="5" t="s">
        <v>89</v>
      </c>
      <c r="E2525" s="5">
        <v>2023</v>
      </c>
      <c r="F2525" s="5">
        <v>2</v>
      </c>
      <c r="G2525" s="5" t="s">
        <v>47</v>
      </c>
      <c r="H2525" s="5">
        <v>1806352</v>
      </c>
      <c r="I2525" s="5">
        <v>1583337.02</v>
      </c>
      <c r="J2525" s="5">
        <v>17</v>
      </c>
      <c r="K2525" s="5">
        <v>143667</v>
      </c>
      <c r="L2525" s="5">
        <v>1947520</v>
      </c>
      <c r="M2525" s="5">
        <v>223014.98</v>
      </c>
      <c r="N2525" s="5">
        <v>0.1235</v>
      </c>
      <c r="O2525" s="5">
        <v>3</v>
      </c>
      <c r="P2525" s="5">
        <v>87881</v>
      </c>
    </row>
    <row r="2526" spans="1:16" x14ac:dyDescent="0.3">
      <c r="A2526" s="5">
        <v>6</v>
      </c>
      <c r="B2526" s="5" t="s">
        <v>135</v>
      </c>
      <c r="C2526" s="5">
        <v>12</v>
      </c>
      <c r="D2526" s="5" t="s">
        <v>89</v>
      </c>
      <c r="E2526" s="5">
        <v>2023</v>
      </c>
      <c r="F2526" s="5">
        <v>3</v>
      </c>
      <c r="G2526" s="5" t="s">
        <v>48</v>
      </c>
      <c r="H2526" s="5">
        <v>2194717</v>
      </c>
      <c r="I2526" s="5">
        <v>1949286.23</v>
      </c>
      <c r="J2526" s="5">
        <v>29</v>
      </c>
      <c r="K2526" s="5">
        <v>243054</v>
      </c>
      <c r="L2526" s="5">
        <v>2426270</v>
      </c>
      <c r="M2526" s="5">
        <v>245430.77</v>
      </c>
      <c r="N2526" s="5">
        <v>0.1118</v>
      </c>
      <c r="O2526" s="5">
        <v>3</v>
      </c>
      <c r="P2526" s="5">
        <v>17717</v>
      </c>
    </row>
    <row r="2527" spans="1:16" x14ac:dyDescent="0.3">
      <c r="A2527" s="5">
        <v>6</v>
      </c>
      <c r="B2527" s="5" t="s">
        <v>135</v>
      </c>
      <c r="C2527" s="5">
        <v>12</v>
      </c>
      <c r="D2527" s="5" t="s">
        <v>89</v>
      </c>
      <c r="E2527" s="5">
        <v>2023</v>
      </c>
      <c r="F2527" s="5">
        <v>4</v>
      </c>
      <c r="G2527" s="5" t="s">
        <v>49</v>
      </c>
      <c r="H2527" s="5">
        <v>818779</v>
      </c>
      <c r="I2527" s="5">
        <v>706321.12</v>
      </c>
      <c r="J2527" s="5">
        <v>24</v>
      </c>
      <c r="K2527" s="5">
        <v>121817</v>
      </c>
      <c r="L2527" s="5">
        <v>939030</v>
      </c>
      <c r="M2527" s="5">
        <v>112457.88</v>
      </c>
      <c r="N2527" s="5">
        <v>0.13730000000000001</v>
      </c>
      <c r="O2527" s="5">
        <v>1</v>
      </c>
      <c r="P2527" s="5">
        <v>13399</v>
      </c>
    </row>
    <row r="2528" spans="1:16" x14ac:dyDescent="0.3">
      <c r="A2528" s="5">
        <v>6</v>
      </c>
      <c r="B2528" s="5" t="s">
        <v>135</v>
      </c>
      <c r="C2528" s="5">
        <v>12</v>
      </c>
      <c r="D2528" s="5" t="s">
        <v>89</v>
      </c>
      <c r="E2528" s="5">
        <v>2023</v>
      </c>
      <c r="F2528" s="5">
        <v>5</v>
      </c>
      <c r="G2528" s="5" t="s">
        <v>50</v>
      </c>
      <c r="H2528" s="5">
        <v>1929611</v>
      </c>
      <c r="I2528" s="5">
        <v>1687984.22</v>
      </c>
      <c r="J2528" s="5">
        <v>27</v>
      </c>
      <c r="K2528" s="5">
        <v>228006</v>
      </c>
      <c r="L2528" s="5">
        <v>2155080</v>
      </c>
      <c r="M2528" s="5">
        <v>241626.78</v>
      </c>
      <c r="N2528" s="5">
        <v>0.12520000000000001</v>
      </c>
      <c r="O2528" s="5">
        <v>0</v>
      </c>
      <c r="P2528" s="5">
        <v>0</v>
      </c>
    </row>
    <row r="2529" spans="1:16" x14ac:dyDescent="0.3">
      <c r="A2529" s="5">
        <v>6</v>
      </c>
      <c r="B2529" s="5" t="s">
        <v>135</v>
      </c>
      <c r="C2529" s="5">
        <v>12</v>
      </c>
      <c r="D2529" s="5" t="s">
        <v>89</v>
      </c>
      <c r="E2529" s="5">
        <v>2023</v>
      </c>
      <c r="F2529" s="5">
        <v>6</v>
      </c>
      <c r="G2529" s="5" t="s">
        <v>51</v>
      </c>
      <c r="H2529" s="5">
        <v>2246148</v>
      </c>
      <c r="I2529" s="5">
        <v>2026481.35</v>
      </c>
      <c r="J2529" s="5">
        <v>23</v>
      </c>
      <c r="K2529" s="5">
        <v>300720</v>
      </c>
      <c r="L2529" s="5">
        <v>2543270</v>
      </c>
      <c r="M2529" s="5">
        <v>219666.65</v>
      </c>
      <c r="N2529" s="5">
        <v>9.7799999999999998E-2</v>
      </c>
      <c r="O2529" s="5">
        <v>5</v>
      </c>
      <c r="P2529" s="5">
        <v>319210</v>
      </c>
    </row>
    <row r="2530" spans="1:16" x14ac:dyDescent="0.3">
      <c r="A2530" s="5">
        <v>6</v>
      </c>
      <c r="B2530" s="5" t="s">
        <v>135</v>
      </c>
      <c r="C2530" s="5">
        <v>12</v>
      </c>
      <c r="D2530" s="5" t="s">
        <v>89</v>
      </c>
      <c r="E2530" s="5">
        <v>2023</v>
      </c>
      <c r="F2530" s="5">
        <v>7</v>
      </c>
      <c r="G2530" s="5" t="s">
        <v>52</v>
      </c>
      <c r="H2530" s="5">
        <v>838369</v>
      </c>
      <c r="I2530" s="5">
        <v>763409.88</v>
      </c>
      <c r="J2530" s="5">
        <v>17</v>
      </c>
      <c r="K2530" s="5">
        <v>182444</v>
      </c>
      <c r="L2530" s="5">
        <v>1018580</v>
      </c>
      <c r="M2530" s="5">
        <v>74959.12</v>
      </c>
      <c r="N2530" s="5">
        <v>8.9399999999999993E-2</v>
      </c>
      <c r="O2530" s="5">
        <v>1</v>
      </c>
      <c r="P2530" s="5">
        <v>20681</v>
      </c>
    </row>
    <row r="2531" spans="1:16" x14ac:dyDescent="0.3">
      <c r="A2531" s="5">
        <v>6</v>
      </c>
      <c r="B2531" s="5" t="s">
        <v>135</v>
      </c>
      <c r="C2531" s="5">
        <v>12</v>
      </c>
      <c r="D2531" s="5" t="s">
        <v>89</v>
      </c>
      <c r="E2531" s="5">
        <v>2023</v>
      </c>
      <c r="F2531" s="5">
        <v>8</v>
      </c>
      <c r="G2531" s="5" t="s">
        <v>53</v>
      </c>
      <c r="H2531" s="5">
        <v>2962091</v>
      </c>
      <c r="I2531" s="5">
        <v>2695027.99</v>
      </c>
      <c r="J2531" s="5">
        <v>39</v>
      </c>
      <c r="K2531" s="5">
        <v>410321</v>
      </c>
      <c r="L2531" s="5">
        <v>3365390</v>
      </c>
      <c r="M2531" s="5">
        <v>267063.01</v>
      </c>
      <c r="N2531" s="5">
        <v>9.0200000000000002E-2</v>
      </c>
      <c r="O2531" s="5">
        <v>5</v>
      </c>
      <c r="P2531" s="5">
        <v>28893</v>
      </c>
    </row>
    <row r="2532" spans="1:16" x14ac:dyDescent="0.3">
      <c r="A2532" s="5">
        <v>6</v>
      </c>
      <c r="B2532" s="5" t="s">
        <v>135</v>
      </c>
      <c r="C2532" s="5">
        <v>12</v>
      </c>
      <c r="D2532" s="5" t="s">
        <v>89</v>
      </c>
      <c r="E2532" s="5">
        <v>2023</v>
      </c>
      <c r="F2532" s="5">
        <v>9</v>
      </c>
      <c r="G2532" s="5" t="s">
        <v>54</v>
      </c>
      <c r="H2532" s="5">
        <v>1689633</v>
      </c>
      <c r="I2532" s="5">
        <v>1484146.32</v>
      </c>
      <c r="J2532" s="5">
        <v>28</v>
      </c>
      <c r="K2532" s="5">
        <v>229629</v>
      </c>
      <c r="L2532" s="5">
        <v>1917490</v>
      </c>
      <c r="M2532" s="5">
        <v>205486.68</v>
      </c>
      <c r="N2532" s="5">
        <v>0.1216</v>
      </c>
      <c r="O2532" s="5">
        <v>2</v>
      </c>
      <c r="P2532" s="5">
        <v>31417</v>
      </c>
    </row>
    <row r="2533" spans="1:16" x14ac:dyDescent="0.3">
      <c r="A2533" s="5">
        <v>6</v>
      </c>
      <c r="B2533" s="5" t="s">
        <v>135</v>
      </c>
      <c r="C2533" s="5">
        <v>12</v>
      </c>
      <c r="D2533" s="5" t="s">
        <v>89</v>
      </c>
      <c r="E2533" s="5">
        <v>2023</v>
      </c>
      <c r="F2533" s="5">
        <v>10</v>
      </c>
      <c r="G2533" s="5" t="s">
        <v>55</v>
      </c>
      <c r="H2533" s="5">
        <v>2109310</v>
      </c>
      <c r="I2533" s="5">
        <v>1781166.64</v>
      </c>
      <c r="J2533" s="5">
        <v>30</v>
      </c>
      <c r="K2533" s="5">
        <v>200439</v>
      </c>
      <c r="L2533" s="5">
        <v>2304790</v>
      </c>
      <c r="M2533" s="5">
        <v>328143.35999999999</v>
      </c>
      <c r="N2533" s="5">
        <v>0.15559999999999999</v>
      </c>
      <c r="O2533" s="5">
        <v>4</v>
      </c>
      <c r="P2533" s="5">
        <v>190842</v>
      </c>
    </row>
    <row r="2534" spans="1:16" x14ac:dyDescent="0.3">
      <c r="A2534" s="5">
        <v>6</v>
      </c>
      <c r="B2534" s="5" t="s">
        <v>135</v>
      </c>
      <c r="C2534" s="5">
        <v>12</v>
      </c>
      <c r="D2534" s="5" t="s">
        <v>89</v>
      </c>
      <c r="E2534" s="5">
        <v>2023</v>
      </c>
      <c r="F2534" s="5">
        <v>11</v>
      </c>
      <c r="G2534" s="5" t="s">
        <v>56</v>
      </c>
      <c r="H2534" s="5">
        <v>2674063</v>
      </c>
      <c r="I2534" s="5">
        <v>2366392.91</v>
      </c>
      <c r="J2534" s="5">
        <v>42</v>
      </c>
      <c r="K2534" s="5">
        <v>407855</v>
      </c>
      <c r="L2534" s="5">
        <v>3068800</v>
      </c>
      <c r="M2534" s="5">
        <v>307670.09000000003</v>
      </c>
      <c r="N2534" s="5">
        <v>0.11509999999999999</v>
      </c>
      <c r="O2534" s="5">
        <v>3</v>
      </c>
      <c r="P2534" s="5">
        <v>118037</v>
      </c>
    </row>
    <row r="2535" spans="1:16" x14ac:dyDescent="0.3">
      <c r="A2535" s="5">
        <v>6</v>
      </c>
      <c r="B2535" s="5" t="s">
        <v>135</v>
      </c>
      <c r="C2535" s="5">
        <v>12</v>
      </c>
      <c r="D2535" s="5" t="s">
        <v>89</v>
      </c>
      <c r="E2535" s="5">
        <v>2023</v>
      </c>
      <c r="F2535" s="5">
        <v>12</v>
      </c>
      <c r="G2535" s="5" t="s">
        <v>57</v>
      </c>
      <c r="H2535" s="5">
        <v>2203438</v>
      </c>
      <c r="I2535" s="5">
        <v>2107559.54</v>
      </c>
      <c r="J2535" s="5">
        <v>47</v>
      </c>
      <c r="K2535" s="5">
        <v>484683</v>
      </c>
      <c r="L2535" s="5">
        <v>2683210</v>
      </c>
      <c r="M2535" s="5">
        <v>95878.46</v>
      </c>
      <c r="N2535" s="5">
        <v>4.3499999999999997E-2</v>
      </c>
      <c r="O2535" s="5">
        <v>0</v>
      </c>
      <c r="P2535" s="5">
        <v>0</v>
      </c>
    </row>
    <row r="2536" spans="1:16" x14ac:dyDescent="0.3">
      <c r="A2536" s="5">
        <v>6</v>
      </c>
      <c r="B2536" s="5" t="s">
        <v>135</v>
      </c>
      <c r="C2536" s="5">
        <v>12</v>
      </c>
      <c r="D2536" s="5" t="s">
        <v>89</v>
      </c>
      <c r="E2536" s="5">
        <v>2024</v>
      </c>
      <c r="F2536" s="5">
        <v>1</v>
      </c>
      <c r="G2536" s="5" t="s">
        <v>58</v>
      </c>
      <c r="H2536" s="5">
        <v>2158721</v>
      </c>
      <c r="I2536" s="5">
        <v>1906219.25</v>
      </c>
      <c r="J2536" s="5">
        <v>28</v>
      </c>
      <c r="K2536" s="5">
        <v>279636</v>
      </c>
      <c r="L2536" s="5">
        <v>2429840</v>
      </c>
      <c r="M2536" s="5">
        <v>252501.75</v>
      </c>
      <c r="N2536" s="5">
        <v>0.11700000000000001</v>
      </c>
      <c r="O2536" s="5">
        <v>4</v>
      </c>
      <c r="P2536" s="5">
        <v>494770</v>
      </c>
    </row>
    <row r="2537" spans="1:16" x14ac:dyDescent="0.3">
      <c r="A2537" s="5">
        <v>6</v>
      </c>
      <c r="B2537" s="5" t="s">
        <v>135</v>
      </c>
      <c r="C2537" s="5">
        <v>12</v>
      </c>
      <c r="D2537" s="5" t="s">
        <v>89</v>
      </c>
      <c r="E2537" s="5">
        <v>2024</v>
      </c>
      <c r="F2537" s="5">
        <v>2</v>
      </c>
      <c r="G2537" s="5" t="s">
        <v>59</v>
      </c>
      <c r="H2537" s="5">
        <v>1778287</v>
      </c>
      <c r="I2537" s="5">
        <v>1482856.73</v>
      </c>
      <c r="J2537" s="5">
        <v>17</v>
      </c>
      <c r="K2537" s="5">
        <v>117956</v>
      </c>
      <c r="L2537" s="5">
        <v>1890560</v>
      </c>
      <c r="M2537" s="5">
        <v>295430.27</v>
      </c>
      <c r="N2537" s="5">
        <v>0.1661</v>
      </c>
      <c r="O2537" s="5">
        <v>1</v>
      </c>
      <c r="P2537" s="5">
        <v>2822</v>
      </c>
    </row>
    <row r="2538" spans="1:16" x14ac:dyDescent="0.3">
      <c r="A2538" s="5">
        <v>6</v>
      </c>
      <c r="B2538" s="5" t="s">
        <v>135</v>
      </c>
      <c r="C2538" s="5">
        <v>12</v>
      </c>
      <c r="D2538" s="5" t="s">
        <v>89</v>
      </c>
      <c r="E2538" s="5">
        <v>2024</v>
      </c>
      <c r="F2538" s="5">
        <v>3</v>
      </c>
      <c r="G2538" s="5" t="s">
        <v>60</v>
      </c>
      <c r="H2538" s="5">
        <v>2438606</v>
      </c>
      <c r="I2538" s="5">
        <v>2008580.63</v>
      </c>
      <c r="J2538" s="5">
        <v>31</v>
      </c>
      <c r="K2538" s="5">
        <v>180667</v>
      </c>
      <c r="L2538" s="5">
        <v>2602490</v>
      </c>
      <c r="M2538" s="5">
        <v>430025.37</v>
      </c>
      <c r="N2538" s="5">
        <v>0.17630000000000001</v>
      </c>
      <c r="O2538" s="5">
        <v>3</v>
      </c>
      <c r="P2538" s="5">
        <v>171328</v>
      </c>
    </row>
    <row r="2539" spans="1:16" x14ac:dyDescent="0.3">
      <c r="A2539" s="5">
        <v>6</v>
      </c>
      <c r="B2539" s="5" t="s">
        <v>135</v>
      </c>
      <c r="C2539" s="5">
        <v>12</v>
      </c>
      <c r="D2539" s="5" t="s">
        <v>89</v>
      </c>
      <c r="E2539" s="5">
        <v>2024</v>
      </c>
      <c r="F2539" s="5">
        <v>4</v>
      </c>
      <c r="G2539" s="5" t="s">
        <v>61</v>
      </c>
      <c r="H2539" s="5">
        <v>1622028</v>
      </c>
      <c r="I2539" s="5">
        <v>1439588.22</v>
      </c>
      <c r="J2539" s="5">
        <v>26</v>
      </c>
      <c r="K2539" s="5">
        <v>234071</v>
      </c>
      <c r="L2539" s="5">
        <v>1854290</v>
      </c>
      <c r="M2539" s="5">
        <v>182439.78</v>
      </c>
      <c r="N2539" s="5">
        <v>0.1125</v>
      </c>
      <c r="O2539" s="5">
        <v>3</v>
      </c>
      <c r="P2539" s="5">
        <v>240036</v>
      </c>
    </row>
    <row r="2540" spans="1:16" x14ac:dyDescent="0.3">
      <c r="A2540" s="5">
        <v>6</v>
      </c>
      <c r="B2540" s="5" t="s">
        <v>135</v>
      </c>
      <c r="C2540" s="5">
        <v>12</v>
      </c>
      <c r="D2540" s="5" t="s">
        <v>89</v>
      </c>
      <c r="E2540" s="5">
        <v>2024</v>
      </c>
      <c r="F2540" s="5">
        <v>5</v>
      </c>
      <c r="G2540" s="5" t="s">
        <v>62</v>
      </c>
      <c r="H2540" s="5">
        <v>1255884</v>
      </c>
      <c r="I2540" s="5">
        <v>1047958.21</v>
      </c>
      <c r="J2540" s="5">
        <v>24</v>
      </c>
      <c r="K2540" s="5">
        <v>125328</v>
      </c>
      <c r="L2540" s="5">
        <v>1379860</v>
      </c>
      <c r="M2540" s="5">
        <v>207925.79</v>
      </c>
      <c r="N2540" s="5">
        <v>0.1656</v>
      </c>
      <c r="O2540" s="5">
        <v>1</v>
      </c>
      <c r="P2540" s="5">
        <v>45490</v>
      </c>
    </row>
    <row r="2541" spans="1:16" x14ac:dyDescent="0.3">
      <c r="A2541" s="5">
        <v>6</v>
      </c>
      <c r="B2541" s="5" t="s">
        <v>135</v>
      </c>
      <c r="C2541" s="5">
        <v>12</v>
      </c>
      <c r="D2541" s="5" t="s">
        <v>89</v>
      </c>
      <c r="E2541" s="5">
        <v>2024</v>
      </c>
      <c r="F2541" s="5">
        <v>6</v>
      </c>
      <c r="G2541" s="5" t="s">
        <v>63</v>
      </c>
      <c r="H2541" s="5">
        <v>531207</v>
      </c>
      <c r="I2541" s="5">
        <v>382319.07</v>
      </c>
      <c r="J2541" s="5">
        <v>16</v>
      </c>
      <c r="K2541" s="5">
        <v>15354</v>
      </c>
      <c r="L2541" s="5">
        <v>543480</v>
      </c>
      <c r="M2541" s="5">
        <v>148887.93</v>
      </c>
      <c r="N2541" s="5">
        <v>0.28029999999999999</v>
      </c>
      <c r="O2541" s="5">
        <v>1</v>
      </c>
      <c r="P2541" s="5">
        <v>26151</v>
      </c>
    </row>
    <row r="2542" spans="1:16" x14ac:dyDescent="0.3">
      <c r="A2542" s="5">
        <v>6</v>
      </c>
      <c r="B2542" s="5" t="s">
        <v>135</v>
      </c>
      <c r="C2542" s="5">
        <v>12</v>
      </c>
      <c r="D2542" s="5" t="s">
        <v>89</v>
      </c>
      <c r="E2542" s="5">
        <v>2024</v>
      </c>
      <c r="F2542" s="5">
        <v>7</v>
      </c>
      <c r="G2542" s="5" t="s">
        <v>64</v>
      </c>
      <c r="H2542" s="5">
        <v>1336247</v>
      </c>
      <c r="I2542" s="5">
        <v>1119920.76</v>
      </c>
      <c r="J2542" s="5">
        <v>25</v>
      </c>
      <c r="K2542" s="5">
        <v>153282</v>
      </c>
      <c r="L2542" s="5">
        <v>1485080</v>
      </c>
      <c r="M2542" s="5">
        <v>216326.24</v>
      </c>
      <c r="N2542" s="5">
        <v>0.16189999999999999</v>
      </c>
      <c r="O2542" s="5">
        <v>2</v>
      </c>
      <c r="P2542" s="5">
        <v>10413</v>
      </c>
    </row>
    <row r="2543" spans="1:16" x14ac:dyDescent="0.3">
      <c r="A2543" s="5">
        <v>6</v>
      </c>
      <c r="B2543" s="5" t="s">
        <v>135</v>
      </c>
      <c r="C2543" s="5">
        <v>12</v>
      </c>
      <c r="D2543" s="5" t="s">
        <v>89</v>
      </c>
      <c r="E2543" s="5">
        <v>2024</v>
      </c>
      <c r="F2543" s="5">
        <v>8</v>
      </c>
      <c r="G2543" s="5" t="s">
        <v>65</v>
      </c>
      <c r="H2543" s="5">
        <v>1542900</v>
      </c>
      <c r="I2543" s="5">
        <v>1366769.08</v>
      </c>
      <c r="J2543" s="5">
        <v>28</v>
      </c>
      <c r="K2543" s="5">
        <v>223039</v>
      </c>
      <c r="L2543" s="5">
        <v>1762710</v>
      </c>
      <c r="M2543" s="5">
        <v>176130.92</v>
      </c>
      <c r="N2543" s="5">
        <v>0.1142</v>
      </c>
      <c r="O2543" s="5">
        <v>1</v>
      </c>
      <c r="P2543" s="5">
        <v>16145</v>
      </c>
    </row>
    <row r="2544" spans="1:16" x14ac:dyDescent="0.3">
      <c r="A2544" s="5">
        <v>6</v>
      </c>
      <c r="B2544" s="5" t="s">
        <v>135</v>
      </c>
      <c r="C2544" s="5">
        <v>12</v>
      </c>
      <c r="D2544" s="5" t="s">
        <v>89</v>
      </c>
      <c r="E2544" s="5">
        <v>2024</v>
      </c>
      <c r="F2544" s="5">
        <v>9</v>
      </c>
      <c r="G2544" s="5" t="s">
        <v>66</v>
      </c>
      <c r="H2544" s="5">
        <v>1872246</v>
      </c>
      <c r="I2544" s="5">
        <v>1538595.93</v>
      </c>
      <c r="J2544" s="5">
        <v>28</v>
      </c>
      <c r="K2544" s="5">
        <v>156069</v>
      </c>
      <c r="L2544" s="5">
        <v>2021630</v>
      </c>
      <c r="M2544" s="5">
        <v>333650.07</v>
      </c>
      <c r="N2544" s="5">
        <v>0.1782</v>
      </c>
      <c r="O2544" s="5">
        <v>3</v>
      </c>
      <c r="P2544" s="5">
        <v>101519</v>
      </c>
    </row>
    <row r="2545" spans="1:16" x14ac:dyDescent="0.3">
      <c r="A2545" s="5">
        <v>6</v>
      </c>
      <c r="B2545" s="5" t="s">
        <v>135</v>
      </c>
      <c r="C2545" s="5">
        <v>12</v>
      </c>
      <c r="D2545" s="5" t="s">
        <v>89</v>
      </c>
      <c r="E2545" s="5">
        <v>2024</v>
      </c>
      <c r="F2545" s="5">
        <v>10</v>
      </c>
      <c r="G2545" s="5" t="s">
        <v>67</v>
      </c>
      <c r="H2545" s="5">
        <v>2947126</v>
      </c>
      <c r="I2545" s="5">
        <v>2361552.84</v>
      </c>
      <c r="J2545" s="5">
        <v>34</v>
      </c>
      <c r="K2545" s="5">
        <v>112846</v>
      </c>
      <c r="L2545" s="5">
        <v>3052590</v>
      </c>
      <c r="M2545" s="5">
        <v>585573.16</v>
      </c>
      <c r="N2545" s="5">
        <v>0.19869999999999999</v>
      </c>
      <c r="O2545" s="5">
        <v>5</v>
      </c>
      <c r="P2545" s="5">
        <v>307419</v>
      </c>
    </row>
    <row r="2546" spans="1:16" x14ac:dyDescent="0.3">
      <c r="A2546" s="5">
        <v>6</v>
      </c>
      <c r="B2546" s="5" t="s">
        <v>135</v>
      </c>
      <c r="C2546" s="5">
        <v>12</v>
      </c>
      <c r="D2546" s="5" t="s">
        <v>89</v>
      </c>
      <c r="E2546" s="5">
        <v>2024</v>
      </c>
      <c r="F2546" s="5">
        <v>11</v>
      </c>
      <c r="G2546" s="5" t="s">
        <v>68</v>
      </c>
      <c r="H2546" s="5">
        <v>2437753</v>
      </c>
      <c r="I2546" s="5">
        <v>1994504.13</v>
      </c>
      <c r="J2546" s="5">
        <v>41</v>
      </c>
      <c r="K2546" s="5">
        <v>191303</v>
      </c>
      <c r="L2546" s="5">
        <v>2623230</v>
      </c>
      <c r="M2546" s="5">
        <v>443248.87</v>
      </c>
      <c r="N2546" s="5">
        <v>0.18179999999999999</v>
      </c>
      <c r="O2546" s="5">
        <v>5</v>
      </c>
      <c r="P2546" s="5">
        <v>25289</v>
      </c>
    </row>
    <row r="2547" spans="1:16" x14ac:dyDescent="0.3">
      <c r="A2547" s="5">
        <v>6</v>
      </c>
      <c r="B2547" s="5" t="s">
        <v>135</v>
      </c>
      <c r="C2547" s="5">
        <v>12</v>
      </c>
      <c r="D2547" s="5" t="s">
        <v>89</v>
      </c>
      <c r="E2547" s="5">
        <v>2024</v>
      </c>
      <c r="F2547" s="5">
        <v>12</v>
      </c>
      <c r="G2547" s="5" t="s">
        <v>69</v>
      </c>
      <c r="H2547" s="5">
        <v>3486160</v>
      </c>
      <c r="I2547" s="5">
        <v>2834193.5</v>
      </c>
      <c r="J2547" s="5">
        <v>45</v>
      </c>
      <c r="K2547" s="5">
        <v>127541</v>
      </c>
      <c r="L2547" s="5">
        <v>3608740</v>
      </c>
      <c r="M2547" s="5">
        <v>651966.5</v>
      </c>
      <c r="N2547" s="5">
        <v>0.187</v>
      </c>
      <c r="O2547" s="5">
        <v>3</v>
      </c>
      <c r="P2547" s="5">
        <v>7608</v>
      </c>
    </row>
    <row r="2548" spans="1:16" x14ac:dyDescent="0.3">
      <c r="A2548" s="5">
        <v>24</v>
      </c>
      <c r="B2548" s="5" t="s">
        <v>136</v>
      </c>
      <c r="C2548" s="5">
        <v>2</v>
      </c>
      <c r="D2548" s="5" t="s">
        <v>88</v>
      </c>
      <c r="E2548" s="5">
        <v>2021</v>
      </c>
      <c r="F2548" s="5">
        <v>1</v>
      </c>
      <c r="G2548" s="5" t="s">
        <v>22</v>
      </c>
      <c r="H2548" s="5">
        <v>3166781</v>
      </c>
      <c r="I2548" s="5">
        <v>2942265.69</v>
      </c>
      <c r="J2548" s="5">
        <v>38</v>
      </c>
      <c r="K2548" s="5">
        <v>426464</v>
      </c>
      <c r="L2548" s="5">
        <v>3588450</v>
      </c>
      <c r="M2548" s="5">
        <v>224515.31</v>
      </c>
      <c r="N2548" s="5">
        <v>7.0900000000000005E-2</v>
      </c>
      <c r="O2548" s="5">
        <v>1</v>
      </c>
      <c r="P2548" s="5">
        <v>2106</v>
      </c>
    </row>
    <row r="2549" spans="1:16" x14ac:dyDescent="0.3">
      <c r="A2549" s="5">
        <v>34</v>
      </c>
      <c r="B2549" s="5" t="s">
        <v>136</v>
      </c>
      <c r="C2549" s="5">
        <v>2</v>
      </c>
      <c r="D2549" s="5" t="s">
        <v>88</v>
      </c>
      <c r="E2549" s="5">
        <v>2021</v>
      </c>
      <c r="F2549" s="5">
        <v>1</v>
      </c>
      <c r="G2549" s="5" t="s">
        <v>22</v>
      </c>
      <c r="H2549" s="5">
        <v>683777</v>
      </c>
      <c r="I2549" s="5">
        <v>585951.68000000005</v>
      </c>
      <c r="J2549" s="5">
        <v>10</v>
      </c>
      <c r="K2549" s="5">
        <v>72257</v>
      </c>
      <c r="L2549" s="5">
        <v>753110</v>
      </c>
      <c r="M2549" s="5">
        <v>97825.32</v>
      </c>
      <c r="N2549" s="5">
        <v>0.1431</v>
      </c>
      <c r="O2549" s="5">
        <v>2</v>
      </c>
      <c r="P2549" s="5">
        <v>131808</v>
      </c>
    </row>
    <row r="2550" spans="1:16" x14ac:dyDescent="0.3">
      <c r="A2550" s="5">
        <v>24</v>
      </c>
      <c r="B2550" s="5" t="s">
        <v>136</v>
      </c>
      <c r="C2550" s="5">
        <v>2</v>
      </c>
      <c r="D2550" s="5" t="s">
        <v>88</v>
      </c>
      <c r="E2550" s="5">
        <v>2021</v>
      </c>
      <c r="F2550" s="5">
        <v>2</v>
      </c>
      <c r="G2550" s="5" t="s">
        <v>23</v>
      </c>
      <c r="H2550" s="5">
        <v>886103</v>
      </c>
      <c r="I2550" s="5">
        <v>743953.01</v>
      </c>
      <c r="J2550" s="5">
        <v>23</v>
      </c>
      <c r="K2550" s="5">
        <v>93687</v>
      </c>
      <c r="L2550" s="5">
        <v>975900</v>
      </c>
      <c r="M2550" s="5">
        <v>142149.99</v>
      </c>
      <c r="N2550" s="5">
        <v>0.16039999999999999</v>
      </c>
      <c r="O2550" s="5">
        <v>2</v>
      </c>
      <c r="P2550" s="5">
        <v>13650</v>
      </c>
    </row>
    <row r="2551" spans="1:16" x14ac:dyDescent="0.3">
      <c r="A2551" s="5">
        <v>34</v>
      </c>
      <c r="B2551" s="5" t="s">
        <v>136</v>
      </c>
      <c r="C2551" s="5">
        <v>2</v>
      </c>
      <c r="D2551" s="5" t="s">
        <v>88</v>
      </c>
      <c r="E2551" s="5">
        <v>2021</v>
      </c>
      <c r="F2551" s="5">
        <v>2</v>
      </c>
      <c r="G2551" s="5" t="s">
        <v>23</v>
      </c>
      <c r="H2551" s="5">
        <v>876097</v>
      </c>
      <c r="I2551" s="5">
        <v>796951.6</v>
      </c>
      <c r="J2551" s="5">
        <v>12</v>
      </c>
      <c r="K2551" s="5">
        <v>140988</v>
      </c>
      <c r="L2551" s="5">
        <v>1016130</v>
      </c>
      <c r="M2551" s="5">
        <v>79145.399999999994</v>
      </c>
      <c r="N2551" s="5">
        <v>9.0300000000000005E-2</v>
      </c>
      <c r="O2551" s="5">
        <v>1</v>
      </c>
      <c r="P2551" s="5">
        <v>41507</v>
      </c>
    </row>
    <row r="2552" spans="1:16" x14ac:dyDescent="0.3">
      <c r="A2552" s="5">
        <v>24</v>
      </c>
      <c r="B2552" s="5" t="s">
        <v>136</v>
      </c>
      <c r="C2552" s="5">
        <v>2</v>
      </c>
      <c r="D2552" s="5" t="s">
        <v>88</v>
      </c>
      <c r="E2552" s="5">
        <v>2021</v>
      </c>
      <c r="F2552" s="5">
        <v>3</v>
      </c>
      <c r="G2552" s="5" t="s">
        <v>24</v>
      </c>
      <c r="H2552" s="5">
        <v>2211913</v>
      </c>
      <c r="I2552" s="5">
        <v>1878940.18</v>
      </c>
      <c r="J2552" s="5">
        <v>19</v>
      </c>
      <c r="K2552" s="5">
        <v>188483</v>
      </c>
      <c r="L2552" s="5">
        <v>2398020</v>
      </c>
      <c r="M2552" s="5">
        <v>332972.82</v>
      </c>
      <c r="N2552" s="5">
        <v>0.15049999999999999</v>
      </c>
      <c r="O2552" s="5">
        <v>0</v>
      </c>
      <c r="P2552" s="5">
        <v>0</v>
      </c>
    </row>
    <row r="2553" spans="1:16" x14ac:dyDescent="0.3">
      <c r="A2553" s="5">
        <v>34</v>
      </c>
      <c r="B2553" s="5" t="s">
        <v>136</v>
      </c>
      <c r="C2553" s="5">
        <v>2</v>
      </c>
      <c r="D2553" s="5" t="s">
        <v>88</v>
      </c>
      <c r="E2553" s="5">
        <v>2021</v>
      </c>
      <c r="F2553" s="5">
        <v>3</v>
      </c>
      <c r="G2553" s="5" t="s">
        <v>24</v>
      </c>
      <c r="H2553" s="5">
        <v>1205984</v>
      </c>
      <c r="I2553" s="5">
        <v>1047644.96</v>
      </c>
      <c r="J2553" s="5">
        <v>10</v>
      </c>
      <c r="K2553" s="5">
        <v>94563</v>
      </c>
      <c r="L2553" s="5">
        <v>1300160</v>
      </c>
      <c r="M2553" s="5">
        <v>158339.04</v>
      </c>
      <c r="N2553" s="5">
        <v>0.1313</v>
      </c>
      <c r="O2553" s="5">
        <v>1</v>
      </c>
      <c r="P2553" s="5">
        <v>17723</v>
      </c>
    </row>
    <row r="2554" spans="1:16" x14ac:dyDescent="0.3">
      <c r="A2554" s="5">
        <v>24</v>
      </c>
      <c r="B2554" s="5" t="s">
        <v>136</v>
      </c>
      <c r="C2554" s="5">
        <v>2</v>
      </c>
      <c r="D2554" s="5" t="s">
        <v>88</v>
      </c>
      <c r="E2554" s="5">
        <v>2021</v>
      </c>
      <c r="F2554" s="5">
        <v>4</v>
      </c>
      <c r="G2554" s="5" t="s">
        <v>25</v>
      </c>
      <c r="H2554" s="5">
        <v>2482297</v>
      </c>
      <c r="I2554" s="5">
        <v>2192680.81</v>
      </c>
      <c r="J2554" s="5">
        <v>39</v>
      </c>
      <c r="K2554" s="5">
        <v>332711</v>
      </c>
      <c r="L2554" s="5">
        <v>2800680</v>
      </c>
      <c r="M2554" s="5">
        <v>289616.19</v>
      </c>
      <c r="N2554" s="5">
        <v>0.1167</v>
      </c>
      <c r="O2554" s="5">
        <v>2</v>
      </c>
      <c r="P2554" s="5">
        <v>45260</v>
      </c>
    </row>
    <row r="2555" spans="1:16" x14ac:dyDescent="0.3">
      <c r="A2555" s="5">
        <v>34</v>
      </c>
      <c r="B2555" s="5" t="s">
        <v>136</v>
      </c>
      <c r="C2555" s="5">
        <v>2</v>
      </c>
      <c r="D2555" s="5" t="s">
        <v>88</v>
      </c>
      <c r="E2555" s="5">
        <v>2021</v>
      </c>
      <c r="F2555" s="5">
        <v>4</v>
      </c>
      <c r="G2555" s="5" t="s">
        <v>25</v>
      </c>
      <c r="H2555" s="5">
        <v>671026</v>
      </c>
      <c r="I2555" s="5">
        <v>588998.15</v>
      </c>
      <c r="J2555" s="5">
        <v>11</v>
      </c>
      <c r="K2555" s="5">
        <v>68556</v>
      </c>
      <c r="L2555" s="5">
        <v>738010</v>
      </c>
      <c r="M2555" s="5">
        <v>82027.850000000006</v>
      </c>
      <c r="N2555" s="5">
        <v>0.1222</v>
      </c>
      <c r="O2555" s="5">
        <v>1</v>
      </c>
      <c r="P2555" s="5">
        <v>469</v>
      </c>
    </row>
    <row r="2556" spans="1:16" x14ac:dyDescent="0.3">
      <c r="A2556" s="5">
        <v>24</v>
      </c>
      <c r="B2556" s="5" t="s">
        <v>136</v>
      </c>
      <c r="C2556" s="5">
        <v>2</v>
      </c>
      <c r="D2556" s="5" t="s">
        <v>88</v>
      </c>
      <c r="E2556" s="5">
        <v>2021</v>
      </c>
      <c r="F2556" s="5">
        <v>5</v>
      </c>
      <c r="G2556" s="5" t="s">
        <v>26</v>
      </c>
      <c r="H2556" s="5">
        <v>1948521</v>
      </c>
      <c r="I2556" s="5">
        <v>1699848.39</v>
      </c>
      <c r="J2556" s="5">
        <v>37</v>
      </c>
      <c r="K2556" s="5">
        <v>218921</v>
      </c>
      <c r="L2556" s="5">
        <v>2162030</v>
      </c>
      <c r="M2556" s="5">
        <v>248672.61</v>
      </c>
      <c r="N2556" s="5">
        <v>0.12759999999999999</v>
      </c>
      <c r="O2556" s="5">
        <v>4</v>
      </c>
      <c r="P2556" s="5">
        <v>23988</v>
      </c>
    </row>
    <row r="2557" spans="1:16" x14ac:dyDescent="0.3">
      <c r="A2557" s="5">
        <v>34</v>
      </c>
      <c r="B2557" s="5" t="s">
        <v>136</v>
      </c>
      <c r="C2557" s="5">
        <v>2</v>
      </c>
      <c r="D2557" s="5" t="s">
        <v>88</v>
      </c>
      <c r="E2557" s="5">
        <v>2021</v>
      </c>
      <c r="F2557" s="5">
        <v>5</v>
      </c>
      <c r="G2557" s="5" t="s">
        <v>26</v>
      </c>
      <c r="H2557" s="5">
        <v>569785</v>
      </c>
      <c r="I2557" s="5">
        <v>484154.94</v>
      </c>
      <c r="J2557" s="5">
        <v>8</v>
      </c>
      <c r="K2557" s="5">
        <v>79043</v>
      </c>
      <c r="L2557" s="5">
        <v>647200</v>
      </c>
      <c r="M2557" s="5">
        <v>85630.06</v>
      </c>
      <c r="N2557" s="5">
        <v>0.15029999999999999</v>
      </c>
      <c r="O2557" s="5">
        <v>0</v>
      </c>
      <c r="P2557" s="5">
        <v>0</v>
      </c>
    </row>
    <row r="2558" spans="1:16" x14ac:dyDescent="0.3">
      <c r="A2558" s="5">
        <v>24</v>
      </c>
      <c r="B2558" s="5" t="s">
        <v>136</v>
      </c>
      <c r="C2558" s="5">
        <v>2</v>
      </c>
      <c r="D2558" s="5" t="s">
        <v>88</v>
      </c>
      <c r="E2558" s="5">
        <v>2021</v>
      </c>
      <c r="F2558" s="5">
        <v>6</v>
      </c>
      <c r="G2558" s="5" t="s">
        <v>27</v>
      </c>
      <c r="H2558" s="5">
        <v>1878999</v>
      </c>
      <c r="I2558" s="5">
        <v>1617590.55</v>
      </c>
      <c r="J2558" s="5">
        <v>24</v>
      </c>
      <c r="K2558" s="5">
        <v>237740</v>
      </c>
      <c r="L2558" s="5">
        <v>2107180</v>
      </c>
      <c r="M2558" s="5">
        <v>261408.45</v>
      </c>
      <c r="N2558" s="5">
        <v>0.1391</v>
      </c>
      <c r="O2558" s="5">
        <v>0</v>
      </c>
      <c r="P2558" s="5">
        <v>0</v>
      </c>
    </row>
    <row r="2559" spans="1:16" x14ac:dyDescent="0.3">
      <c r="A2559" s="5">
        <v>34</v>
      </c>
      <c r="B2559" s="5" t="s">
        <v>136</v>
      </c>
      <c r="C2559" s="5">
        <v>2</v>
      </c>
      <c r="D2559" s="5" t="s">
        <v>88</v>
      </c>
      <c r="E2559" s="5">
        <v>2021</v>
      </c>
      <c r="F2559" s="5">
        <v>6</v>
      </c>
      <c r="G2559" s="5" t="s">
        <v>27</v>
      </c>
      <c r="H2559" s="5">
        <v>803766</v>
      </c>
      <c r="I2559" s="5">
        <v>725274.76</v>
      </c>
      <c r="J2559" s="5">
        <v>10</v>
      </c>
      <c r="K2559" s="5">
        <v>106482</v>
      </c>
      <c r="L2559" s="5">
        <v>910210</v>
      </c>
      <c r="M2559" s="5">
        <v>78491.240000000005</v>
      </c>
      <c r="N2559" s="5">
        <v>9.7699999999999995E-2</v>
      </c>
      <c r="O2559" s="5">
        <v>2</v>
      </c>
      <c r="P2559" s="5">
        <v>49421</v>
      </c>
    </row>
    <row r="2560" spans="1:16" x14ac:dyDescent="0.3">
      <c r="A2560" s="5">
        <v>24</v>
      </c>
      <c r="B2560" s="5" t="s">
        <v>136</v>
      </c>
      <c r="C2560" s="5">
        <v>2</v>
      </c>
      <c r="D2560" s="5" t="s">
        <v>88</v>
      </c>
      <c r="E2560" s="5">
        <v>2021</v>
      </c>
      <c r="F2560" s="5">
        <v>7</v>
      </c>
      <c r="G2560" s="5" t="s">
        <v>28</v>
      </c>
      <c r="H2560" s="5">
        <v>928258</v>
      </c>
      <c r="I2560" s="5">
        <v>770398.34</v>
      </c>
      <c r="J2560" s="5">
        <v>21</v>
      </c>
      <c r="K2560" s="5">
        <v>77057</v>
      </c>
      <c r="L2560" s="5">
        <v>998600</v>
      </c>
      <c r="M2560" s="5">
        <v>157859.66</v>
      </c>
      <c r="N2560" s="5">
        <v>0.1701</v>
      </c>
      <c r="O2560" s="5">
        <v>1</v>
      </c>
      <c r="P2560" s="5">
        <v>2154</v>
      </c>
    </row>
    <row r="2561" spans="1:16" x14ac:dyDescent="0.3">
      <c r="A2561" s="5">
        <v>34</v>
      </c>
      <c r="B2561" s="5" t="s">
        <v>136</v>
      </c>
      <c r="C2561" s="5">
        <v>2</v>
      </c>
      <c r="D2561" s="5" t="s">
        <v>88</v>
      </c>
      <c r="E2561" s="5">
        <v>2021</v>
      </c>
      <c r="F2561" s="5">
        <v>7</v>
      </c>
      <c r="G2561" s="5" t="s">
        <v>28</v>
      </c>
      <c r="H2561" s="5">
        <v>379243</v>
      </c>
      <c r="I2561" s="5">
        <v>316058.92</v>
      </c>
      <c r="J2561" s="5">
        <v>9</v>
      </c>
      <c r="K2561" s="5">
        <v>43900</v>
      </c>
      <c r="L2561" s="5">
        <v>422050</v>
      </c>
      <c r="M2561" s="5">
        <v>63184.08</v>
      </c>
      <c r="N2561" s="5">
        <v>0.1666</v>
      </c>
      <c r="O2561" s="5">
        <v>0</v>
      </c>
      <c r="P2561" s="5">
        <v>0</v>
      </c>
    </row>
    <row r="2562" spans="1:16" x14ac:dyDescent="0.3">
      <c r="A2562" s="5">
        <v>24</v>
      </c>
      <c r="B2562" s="5" t="s">
        <v>136</v>
      </c>
      <c r="C2562" s="5">
        <v>2</v>
      </c>
      <c r="D2562" s="5" t="s">
        <v>88</v>
      </c>
      <c r="E2562" s="5">
        <v>2021</v>
      </c>
      <c r="F2562" s="5">
        <v>8</v>
      </c>
      <c r="G2562" s="5" t="s">
        <v>29</v>
      </c>
      <c r="H2562" s="5">
        <v>1012702</v>
      </c>
      <c r="I2562" s="5">
        <v>797781.97</v>
      </c>
      <c r="J2562" s="5">
        <v>23</v>
      </c>
      <c r="K2562" s="5">
        <v>64615</v>
      </c>
      <c r="L2562" s="5">
        <v>1067770</v>
      </c>
      <c r="M2562" s="5">
        <v>214920.03</v>
      </c>
      <c r="N2562" s="5">
        <v>0.2122</v>
      </c>
      <c r="O2562" s="5">
        <v>2</v>
      </c>
      <c r="P2562" s="5">
        <v>31358</v>
      </c>
    </row>
    <row r="2563" spans="1:16" x14ac:dyDescent="0.3">
      <c r="A2563" s="5">
        <v>34</v>
      </c>
      <c r="B2563" s="5" t="s">
        <v>136</v>
      </c>
      <c r="C2563" s="5">
        <v>2</v>
      </c>
      <c r="D2563" s="5" t="s">
        <v>88</v>
      </c>
      <c r="E2563" s="5">
        <v>2021</v>
      </c>
      <c r="F2563" s="5">
        <v>8</v>
      </c>
      <c r="G2563" s="5" t="s">
        <v>29</v>
      </c>
      <c r="H2563" s="5">
        <v>767618</v>
      </c>
      <c r="I2563" s="5">
        <v>686656.88</v>
      </c>
      <c r="J2563" s="5">
        <v>11</v>
      </c>
      <c r="K2563" s="5">
        <v>85737</v>
      </c>
      <c r="L2563" s="5">
        <v>852350</v>
      </c>
      <c r="M2563" s="5">
        <v>80961.119999999995</v>
      </c>
      <c r="N2563" s="5">
        <v>0.1055</v>
      </c>
      <c r="O2563" s="5">
        <v>1</v>
      </c>
      <c r="P2563" s="5">
        <v>1933</v>
      </c>
    </row>
    <row r="2564" spans="1:16" x14ac:dyDescent="0.3">
      <c r="A2564" s="5">
        <v>24</v>
      </c>
      <c r="B2564" s="5" t="s">
        <v>136</v>
      </c>
      <c r="C2564" s="5">
        <v>2</v>
      </c>
      <c r="D2564" s="5" t="s">
        <v>88</v>
      </c>
      <c r="E2564" s="5">
        <v>2021</v>
      </c>
      <c r="F2564" s="5">
        <v>9</v>
      </c>
      <c r="G2564" s="5" t="s">
        <v>30</v>
      </c>
      <c r="H2564" s="5">
        <v>1222651</v>
      </c>
      <c r="I2564" s="5">
        <v>1020133.1</v>
      </c>
      <c r="J2564" s="5">
        <v>28</v>
      </c>
      <c r="K2564" s="5">
        <v>110771</v>
      </c>
      <c r="L2564" s="5">
        <v>1329830</v>
      </c>
      <c r="M2564" s="5">
        <v>202517.9</v>
      </c>
      <c r="N2564" s="5">
        <v>0.1656</v>
      </c>
      <c r="O2564" s="5">
        <v>1</v>
      </c>
      <c r="P2564" s="5">
        <v>666</v>
      </c>
    </row>
    <row r="2565" spans="1:16" x14ac:dyDescent="0.3">
      <c r="A2565" s="5">
        <v>34</v>
      </c>
      <c r="B2565" s="5" t="s">
        <v>136</v>
      </c>
      <c r="C2565" s="5">
        <v>2</v>
      </c>
      <c r="D2565" s="5" t="s">
        <v>88</v>
      </c>
      <c r="E2565" s="5">
        <v>2021</v>
      </c>
      <c r="F2565" s="5">
        <v>9</v>
      </c>
      <c r="G2565" s="5" t="s">
        <v>30</v>
      </c>
      <c r="H2565" s="5">
        <v>386068</v>
      </c>
      <c r="I2565" s="5">
        <v>381051.71</v>
      </c>
      <c r="J2565" s="5">
        <v>7</v>
      </c>
      <c r="K2565" s="5">
        <v>90630</v>
      </c>
      <c r="L2565" s="5">
        <v>475990</v>
      </c>
      <c r="M2565" s="5">
        <v>5016.29</v>
      </c>
      <c r="N2565" s="5">
        <v>1.2999999999999999E-2</v>
      </c>
      <c r="O2565" s="5">
        <v>1</v>
      </c>
      <c r="P2565" s="5">
        <v>100162</v>
      </c>
    </row>
    <row r="2566" spans="1:16" x14ac:dyDescent="0.3">
      <c r="A2566" s="5">
        <v>24</v>
      </c>
      <c r="B2566" s="5" t="s">
        <v>136</v>
      </c>
      <c r="C2566" s="5">
        <v>2</v>
      </c>
      <c r="D2566" s="5" t="s">
        <v>88</v>
      </c>
      <c r="E2566" s="5">
        <v>2021</v>
      </c>
      <c r="F2566" s="5">
        <v>10</v>
      </c>
      <c r="G2566" s="5" t="s">
        <v>31</v>
      </c>
      <c r="H2566" s="5">
        <v>3403604</v>
      </c>
      <c r="I2566" s="5">
        <v>2863728.4</v>
      </c>
      <c r="J2566" s="5">
        <v>49</v>
      </c>
      <c r="K2566" s="5">
        <v>335486</v>
      </c>
      <c r="L2566" s="5">
        <v>3727400</v>
      </c>
      <c r="M2566" s="5">
        <v>539875.6</v>
      </c>
      <c r="N2566" s="5">
        <v>0.15859999999999999</v>
      </c>
      <c r="O2566" s="5">
        <v>10</v>
      </c>
      <c r="P2566" s="5">
        <v>212785</v>
      </c>
    </row>
    <row r="2567" spans="1:16" x14ac:dyDescent="0.3">
      <c r="A2567" s="5">
        <v>34</v>
      </c>
      <c r="B2567" s="5" t="s">
        <v>136</v>
      </c>
      <c r="C2567" s="5">
        <v>2</v>
      </c>
      <c r="D2567" s="5" t="s">
        <v>88</v>
      </c>
      <c r="E2567" s="5">
        <v>2021</v>
      </c>
      <c r="F2567" s="5">
        <v>10</v>
      </c>
      <c r="G2567" s="5" t="s">
        <v>31</v>
      </c>
      <c r="H2567" s="5">
        <v>1232814</v>
      </c>
      <c r="I2567" s="5">
        <v>1060778.49</v>
      </c>
      <c r="J2567" s="5">
        <v>20</v>
      </c>
      <c r="K2567" s="5">
        <v>124307</v>
      </c>
      <c r="L2567" s="5">
        <v>1352030</v>
      </c>
      <c r="M2567" s="5">
        <v>172035.51</v>
      </c>
      <c r="N2567" s="5">
        <v>0.13950000000000001</v>
      </c>
      <c r="O2567" s="5">
        <v>1</v>
      </c>
      <c r="P2567" s="5">
        <v>124679</v>
      </c>
    </row>
    <row r="2568" spans="1:16" x14ac:dyDescent="0.3">
      <c r="A2568" s="5">
        <v>24</v>
      </c>
      <c r="B2568" s="5" t="s">
        <v>136</v>
      </c>
      <c r="C2568" s="5">
        <v>2</v>
      </c>
      <c r="D2568" s="5" t="s">
        <v>88</v>
      </c>
      <c r="E2568" s="5">
        <v>2021</v>
      </c>
      <c r="F2568" s="5">
        <v>11</v>
      </c>
      <c r="G2568" s="5" t="s">
        <v>32</v>
      </c>
      <c r="H2568" s="5">
        <v>3136807</v>
      </c>
      <c r="I2568" s="5">
        <v>2653771.27</v>
      </c>
      <c r="J2568" s="5">
        <v>38</v>
      </c>
      <c r="K2568" s="5">
        <v>246758</v>
      </c>
      <c r="L2568" s="5">
        <v>3371900</v>
      </c>
      <c r="M2568" s="5">
        <v>483035.73</v>
      </c>
      <c r="N2568" s="5">
        <v>0.154</v>
      </c>
      <c r="O2568" s="5">
        <v>1</v>
      </c>
      <c r="P2568" s="5">
        <v>33903</v>
      </c>
    </row>
    <row r="2569" spans="1:16" x14ac:dyDescent="0.3">
      <c r="A2569" s="5">
        <v>34</v>
      </c>
      <c r="B2569" s="5" t="s">
        <v>136</v>
      </c>
      <c r="C2569" s="5">
        <v>2</v>
      </c>
      <c r="D2569" s="5" t="s">
        <v>88</v>
      </c>
      <c r="E2569" s="5">
        <v>2021</v>
      </c>
      <c r="F2569" s="5">
        <v>11</v>
      </c>
      <c r="G2569" s="5" t="s">
        <v>32</v>
      </c>
      <c r="H2569" s="5">
        <v>941230</v>
      </c>
      <c r="I2569" s="5">
        <v>807044.08</v>
      </c>
      <c r="J2569" s="5">
        <v>18</v>
      </c>
      <c r="K2569" s="5">
        <v>111853</v>
      </c>
      <c r="L2569" s="5">
        <v>1052470</v>
      </c>
      <c r="M2569" s="5">
        <v>134185.92000000001</v>
      </c>
      <c r="N2569" s="5">
        <v>0.1426</v>
      </c>
      <c r="O2569" s="5">
        <v>1</v>
      </c>
      <c r="P2569" s="5">
        <v>5280</v>
      </c>
    </row>
    <row r="2570" spans="1:16" x14ac:dyDescent="0.3">
      <c r="A2570" s="5">
        <v>24</v>
      </c>
      <c r="B2570" s="5" t="s">
        <v>136</v>
      </c>
      <c r="C2570" s="5">
        <v>2</v>
      </c>
      <c r="D2570" s="5" t="s">
        <v>88</v>
      </c>
      <c r="E2570" s="5">
        <v>2021</v>
      </c>
      <c r="F2570" s="5">
        <v>12</v>
      </c>
      <c r="G2570" s="5" t="s">
        <v>33</v>
      </c>
      <c r="H2570" s="5">
        <v>1370793</v>
      </c>
      <c r="I2570" s="5">
        <v>1201939.93</v>
      </c>
      <c r="J2570" s="5">
        <v>23</v>
      </c>
      <c r="K2570" s="5">
        <v>187244</v>
      </c>
      <c r="L2570" s="5">
        <v>1553050</v>
      </c>
      <c r="M2570" s="5">
        <v>168853.07</v>
      </c>
      <c r="N2570" s="5">
        <v>0.1232</v>
      </c>
      <c r="O2570" s="5">
        <v>0</v>
      </c>
      <c r="P2570" s="5">
        <v>0</v>
      </c>
    </row>
    <row r="2571" spans="1:16" x14ac:dyDescent="0.3">
      <c r="A2571" s="5">
        <v>34</v>
      </c>
      <c r="B2571" s="5" t="s">
        <v>136</v>
      </c>
      <c r="C2571" s="5">
        <v>2</v>
      </c>
      <c r="D2571" s="5" t="s">
        <v>88</v>
      </c>
      <c r="E2571" s="5">
        <v>2021</v>
      </c>
      <c r="F2571" s="5">
        <v>12</v>
      </c>
      <c r="G2571" s="5" t="s">
        <v>33</v>
      </c>
      <c r="H2571" s="5">
        <v>928882</v>
      </c>
      <c r="I2571" s="5">
        <v>835713.51</v>
      </c>
      <c r="J2571" s="5">
        <v>12</v>
      </c>
      <c r="K2571" s="5">
        <v>136922</v>
      </c>
      <c r="L2571" s="5">
        <v>1064950</v>
      </c>
      <c r="M2571" s="5">
        <v>93168.49</v>
      </c>
      <c r="N2571" s="5">
        <v>0.1003</v>
      </c>
      <c r="O2571" s="5">
        <v>0</v>
      </c>
      <c r="P2571" s="5">
        <v>0</v>
      </c>
    </row>
    <row r="2572" spans="1:16" x14ac:dyDescent="0.3">
      <c r="A2572" s="5">
        <v>24</v>
      </c>
      <c r="B2572" s="5" t="s">
        <v>136</v>
      </c>
      <c r="C2572" s="5">
        <v>2</v>
      </c>
      <c r="D2572" s="5" t="s">
        <v>88</v>
      </c>
      <c r="E2572" s="5">
        <v>2022</v>
      </c>
      <c r="F2572" s="5">
        <v>1</v>
      </c>
      <c r="G2572" s="5" t="s">
        <v>34</v>
      </c>
      <c r="H2572" s="5">
        <v>2356543</v>
      </c>
      <c r="I2572" s="5">
        <v>2064642.32</v>
      </c>
      <c r="J2572" s="5">
        <v>34</v>
      </c>
      <c r="K2572" s="5">
        <v>268326</v>
      </c>
      <c r="L2572" s="5">
        <v>2621680</v>
      </c>
      <c r="M2572" s="5">
        <v>291900.68</v>
      </c>
      <c r="N2572" s="5">
        <v>0.1239</v>
      </c>
      <c r="O2572" s="5">
        <v>1</v>
      </c>
      <c r="P2572" s="5">
        <v>6713</v>
      </c>
    </row>
    <row r="2573" spans="1:16" x14ac:dyDescent="0.3">
      <c r="A2573" s="5">
        <v>34</v>
      </c>
      <c r="B2573" s="5" t="s">
        <v>136</v>
      </c>
      <c r="C2573" s="5">
        <v>2</v>
      </c>
      <c r="D2573" s="5" t="s">
        <v>88</v>
      </c>
      <c r="E2573" s="5">
        <v>2022</v>
      </c>
      <c r="F2573" s="5">
        <v>1</v>
      </c>
      <c r="G2573" s="5" t="s">
        <v>34</v>
      </c>
      <c r="H2573" s="5">
        <v>1376700</v>
      </c>
      <c r="I2573" s="5">
        <v>1199480.33</v>
      </c>
      <c r="J2573" s="5">
        <v>15</v>
      </c>
      <c r="K2573" s="5">
        <v>130262</v>
      </c>
      <c r="L2573" s="5">
        <v>1506530</v>
      </c>
      <c r="M2573" s="5">
        <v>177219.67</v>
      </c>
      <c r="N2573" s="5">
        <v>0.12870000000000001</v>
      </c>
      <c r="O2573" s="5">
        <v>3</v>
      </c>
      <c r="P2573" s="5">
        <v>11597</v>
      </c>
    </row>
    <row r="2574" spans="1:16" x14ac:dyDescent="0.3">
      <c r="A2574" s="5">
        <v>24</v>
      </c>
      <c r="B2574" s="5" t="s">
        <v>136</v>
      </c>
      <c r="C2574" s="5">
        <v>2</v>
      </c>
      <c r="D2574" s="5" t="s">
        <v>88</v>
      </c>
      <c r="E2574" s="5">
        <v>2022</v>
      </c>
      <c r="F2574" s="5">
        <v>2</v>
      </c>
      <c r="G2574" s="5" t="s">
        <v>35</v>
      </c>
      <c r="H2574" s="5">
        <v>2321069</v>
      </c>
      <c r="I2574" s="5">
        <v>1954723.43</v>
      </c>
      <c r="J2574" s="5">
        <v>34</v>
      </c>
      <c r="K2574" s="5">
        <v>170337</v>
      </c>
      <c r="L2574" s="5">
        <v>2477180</v>
      </c>
      <c r="M2574" s="5">
        <v>366345.57</v>
      </c>
      <c r="N2574" s="5">
        <v>0.1578</v>
      </c>
      <c r="O2574" s="5">
        <v>2</v>
      </c>
      <c r="P2574" s="5">
        <v>172237</v>
      </c>
    </row>
    <row r="2575" spans="1:16" x14ac:dyDescent="0.3">
      <c r="A2575" s="5">
        <v>34</v>
      </c>
      <c r="B2575" s="5" t="s">
        <v>136</v>
      </c>
      <c r="C2575" s="5">
        <v>2</v>
      </c>
      <c r="D2575" s="5" t="s">
        <v>88</v>
      </c>
      <c r="E2575" s="5">
        <v>2022</v>
      </c>
      <c r="F2575" s="5">
        <v>2</v>
      </c>
      <c r="G2575" s="5" t="s">
        <v>35</v>
      </c>
      <c r="H2575" s="5">
        <v>1360819</v>
      </c>
      <c r="I2575" s="5">
        <v>1144319.46</v>
      </c>
      <c r="J2575" s="5">
        <v>15</v>
      </c>
      <c r="K2575" s="5">
        <v>131901</v>
      </c>
      <c r="L2575" s="5">
        <v>1486920</v>
      </c>
      <c r="M2575" s="5">
        <v>216499.54</v>
      </c>
      <c r="N2575" s="5">
        <v>0.15909999999999999</v>
      </c>
      <c r="O2575" s="5">
        <v>2</v>
      </c>
      <c r="P2575" s="5">
        <v>16177</v>
      </c>
    </row>
    <row r="2576" spans="1:16" x14ac:dyDescent="0.3">
      <c r="A2576" s="5">
        <v>24</v>
      </c>
      <c r="B2576" s="5" t="s">
        <v>136</v>
      </c>
      <c r="C2576" s="5">
        <v>2</v>
      </c>
      <c r="D2576" s="5" t="s">
        <v>88</v>
      </c>
      <c r="E2576" s="5">
        <v>2022</v>
      </c>
      <c r="F2576" s="5">
        <v>3</v>
      </c>
      <c r="G2576" s="5" t="s">
        <v>36</v>
      </c>
      <c r="H2576" s="5">
        <v>2718308</v>
      </c>
      <c r="I2576" s="5">
        <v>2196997.14</v>
      </c>
      <c r="J2576" s="5">
        <v>34</v>
      </c>
      <c r="K2576" s="5">
        <v>109185</v>
      </c>
      <c r="L2576" s="5">
        <v>2809220</v>
      </c>
      <c r="M2576" s="5">
        <v>521310.86</v>
      </c>
      <c r="N2576" s="5">
        <v>0.1918</v>
      </c>
      <c r="O2576" s="5">
        <v>5</v>
      </c>
      <c r="P2576" s="5">
        <v>62948</v>
      </c>
    </row>
    <row r="2577" spans="1:16" x14ac:dyDescent="0.3">
      <c r="A2577" s="5">
        <v>34</v>
      </c>
      <c r="B2577" s="5" t="s">
        <v>136</v>
      </c>
      <c r="C2577" s="5">
        <v>2</v>
      </c>
      <c r="D2577" s="5" t="s">
        <v>88</v>
      </c>
      <c r="E2577" s="5">
        <v>2022</v>
      </c>
      <c r="F2577" s="5">
        <v>3</v>
      </c>
      <c r="G2577" s="5" t="s">
        <v>36</v>
      </c>
      <c r="H2577" s="5">
        <v>429299</v>
      </c>
      <c r="I2577" s="5">
        <v>311764.05</v>
      </c>
      <c r="J2577" s="5">
        <v>11</v>
      </c>
      <c r="K2577" s="5">
        <v>9298</v>
      </c>
      <c r="L2577" s="5">
        <v>434100</v>
      </c>
      <c r="M2577" s="5">
        <v>117534.95</v>
      </c>
      <c r="N2577" s="5">
        <v>0.27379999999999999</v>
      </c>
      <c r="O2577" s="5">
        <v>1</v>
      </c>
      <c r="P2577" s="5">
        <v>5742</v>
      </c>
    </row>
    <row r="2578" spans="1:16" x14ac:dyDescent="0.3">
      <c r="A2578" s="5">
        <v>24</v>
      </c>
      <c r="B2578" s="5" t="s">
        <v>136</v>
      </c>
      <c r="C2578" s="5">
        <v>2</v>
      </c>
      <c r="D2578" s="5" t="s">
        <v>88</v>
      </c>
      <c r="E2578" s="5">
        <v>2022</v>
      </c>
      <c r="F2578" s="5">
        <v>4</v>
      </c>
      <c r="G2578" s="5" t="s">
        <v>37</v>
      </c>
      <c r="H2578" s="5">
        <v>2583378</v>
      </c>
      <c r="I2578" s="5">
        <v>2233451.1</v>
      </c>
      <c r="J2578" s="5">
        <v>32</v>
      </c>
      <c r="K2578" s="5">
        <v>298978</v>
      </c>
      <c r="L2578" s="5">
        <v>2881060</v>
      </c>
      <c r="M2578" s="5">
        <v>349926.9</v>
      </c>
      <c r="N2578" s="5">
        <v>0.13550000000000001</v>
      </c>
      <c r="O2578" s="5">
        <v>4</v>
      </c>
      <c r="P2578" s="5">
        <v>238421</v>
      </c>
    </row>
    <row r="2579" spans="1:16" x14ac:dyDescent="0.3">
      <c r="A2579" s="5">
        <v>34</v>
      </c>
      <c r="B2579" s="5" t="s">
        <v>136</v>
      </c>
      <c r="C2579" s="5">
        <v>2</v>
      </c>
      <c r="D2579" s="5" t="s">
        <v>88</v>
      </c>
      <c r="E2579" s="5">
        <v>2022</v>
      </c>
      <c r="F2579" s="5">
        <v>4</v>
      </c>
      <c r="G2579" s="5" t="s">
        <v>37</v>
      </c>
      <c r="H2579" s="5">
        <v>353036</v>
      </c>
      <c r="I2579" s="5">
        <v>299578.7</v>
      </c>
      <c r="J2579" s="5">
        <v>12</v>
      </c>
      <c r="K2579" s="5">
        <v>47018</v>
      </c>
      <c r="L2579" s="5">
        <v>398200</v>
      </c>
      <c r="M2579" s="5">
        <v>53457.3</v>
      </c>
      <c r="N2579" s="5">
        <v>0.15140000000000001</v>
      </c>
      <c r="O2579" s="5">
        <v>2</v>
      </c>
      <c r="P2579" s="5">
        <v>38681</v>
      </c>
    </row>
    <row r="2580" spans="1:16" x14ac:dyDescent="0.3">
      <c r="A2580" s="5">
        <v>24</v>
      </c>
      <c r="B2580" s="5" t="s">
        <v>136</v>
      </c>
      <c r="C2580" s="5">
        <v>2</v>
      </c>
      <c r="D2580" s="5" t="s">
        <v>88</v>
      </c>
      <c r="E2580" s="5">
        <v>2022</v>
      </c>
      <c r="F2580" s="5">
        <v>5</v>
      </c>
      <c r="G2580" s="5" t="s">
        <v>38</v>
      </c>
      <c r="H2580" s="5">
        <v>2936552</v>
      </c>
      <c r="I2580" s="5">
        <v>2541047.1800000002</v>
      </c>
      <c r="J2580" s="5">
        <v>47</v>
      </c>
      <c r="K2580" s="5">
        <v>277623</v>
      </c>
      <c r="L2580" s="5">
        <v>3198760</v>
      </c>
      <c r="M2580" s="5">
        <v>395504.82</v>
      </c>
      <c r="N2580" s="5">
        <v>0.13469999999999999</v>
      </c>
      <c r="O2580" s="5">
        <v>4</v>
      </c>
      <c r="P2580" s="5">
        <v>91332</v>
      </c>
    </row>
    <row r="2581" spans="1:16" x14ac:dyDescent="0.3">
      <c r="A2581" s="5">
        <v>34</v>
      </c>
      <c r="B2581" s="5" t="s">
        <v>136</v>
      </c>
      <c r="C2581" s="5">
        <v>2</v>
      </c>
      <c r="D2581" s="5" t="s">
        <v>88</v>
      </c>
      <c r="E2581" s="5">
        <v>2022</v>
      </c>
      <c r="F2581" s="5">
        <v>5</v>
      </c>
      <c r="G2581" s="5" t="s">
        <v>38</v>
      </c>
      <c r="H2581" s="5">
        <v>978239</v>
      </c>
      <c r="I2581" s="5">
        <v>848037.66</v>
      </c>
      <c r="J2581" s="5">
        <v>17</v>
      </c>
      <c r="K2581" s="5">
        <v>112897</v>
      </c>
      <c r="L2581" s="5">
        <v>1090110</v>
      </c>
      <c r="M2581" s="5">
        <v>130201.34</v>
      </c>
      <c r="N2581" s="5">
        <v>0.1331</v>
      </c>
      <c r="O2581" s="5">
        <v>2</v>
      </c>
      <c r="P2581" s="5">
        <v>16093</v>
      </c>
    </row>
    <row r="2582" spans="1:16" x14ac:dyDescent="0.3">
      <c r="A2582" s="5">
        <v>24</v>
      </c>
      <c r="B2582" s="5" t="s">
        <v>136</v>
      </c>
      <c r="C2582" s="5">
        <v>2</v>
      </c>
      <c r="D2582" s="5" t="s">
        <v>88</v>
      </c>
      <c r="E2582" s="5">
        <v>2022</v>
      </c>
      <c r="F2582" s="5">
        <v>6</v>
      </c>
      <c r="G2582" s="5" t="s">
        <v>39</v>
      </c>
      <c r="H2582" s="5">
        <v>2412316</v>
      </c>
      <c r="I2582" s="5">
        <v>2124303.8199999998</v>
      </c>
      <c r="J2582" s="5">
        <v>34</v>
      </c>
      <c r="K2582" s="5">
        <v>354931</v>
      </c>
      <c r="L2582" s="5">
        <v>2761470</v>
      </c>
      <c r="M2582" s="5">
        <v>288012.18</v>
      </c>
      <c r="N2582" s="5">
        <v>0.11940000000000001</v>
      </c>
      <c r="O2582" s="5">
        <v>2</v>
      </c>
      <c r="P2582" s="5">
        <v>93239</v>
      </c>
    </row>
    <row r="2583" spans="1:16" x14ac:dyDescent="0.3">
      <c r="A2583" s="5">
        <v>34</v>
      </c>
      <c r="B2583" s="5" t="s">
        <v>136</v>
      </c>
      <c r="C2583" s="5">
        <v>2</v>
      </c>
      <c r="D2583" s="5" t="s">
        <v>88</v>
      </c>
      <c r="E2583" s="5">
        <v>2022</v>
      </c>
      <c r="F2583" s="5">
        <v>6</v>
      </c>
      <c r="G2583" s="5" t="s">
        <v>39</v>
      </c>
      <c r="H2583" s="5">
        <v>1864277</v>
      </c>
      <c r="I2583" s="5">
        <v>1566064.44</v>
      </c>
      <c r="J2583" s="5">
        <v>23</v>
      </c>
      <c r="K2583" s="5">
        <v>172029</v>
      </c>
      <c r="L2583" s="5">
        <v>2024300</v>
      </c>
      <c r="M2583" s="5">
        <v>298212.56</v>
      </c>
      <c r="N2583" s="5">
        <v>0.16</v>
      </c>
      <c r="O2583" s="5">
        <v>1</v>
      </c>
      <c r="P2583" s="5">
        <v>148084</v>
      </c>
    </row>
    <row r="2584" spans="1:16" x14ac:dyDescent="0.3">
      <c r="A2584" s="5">
        <v>24</v>
      </c>
      <c r="B2584" s="5" t="s">
        <v>136</v>
      </c>
      <c r="C2584" s="5">
        <v>2</v>
      </c>
      <c r="D2584" s="5" t="s">
        <v>88</v>
      </c>
      <c r="E2584" s="5">
        <v>2022</v>
      </c>
      <c r="F2584" s="5">
        <v>7</v>
      </c>
      <c r="G2584" s="5" t="s">
        <v>40</v>
      </c>
      <c r="H2584" s="5">
        <v>2438125</v>
      </c>
      <c r="I2584" s="5">
        <v>2300683.0499999998</v>
      </c>
      <c r="J2584" s="5">
        <v>40</v>
      </c>
      <c r="K2584" s="5">
        <v>561504</v>
      </c>
      <c r="L2584" s="5">
        <v>2995860</v>
      </c>
      <c r="M2584" s="5">
        <v>137441.95000000001</v>
      </c>
      <c r="N2584" s="5">
        <v>5.6399999999999999E-2</v>
      </c>
      <c r="O2584" s="5">
        <v>3</v>
      </c>
      <c r="P2584" s="5">
        <v>70275</v>
      </c>
    </row>
    <row r="2585" spans="1:16" x14ac:dyDescent="0.3">
      <c r="A2585" s="5">
        <v>34</v>
      </c>
      <c r="B2585" s="5" t="s">
        <v>136</v>
      </c>
      <c r="C2585" s="5">
        <v>2</v>
      </c>
      <c r="D2585" s="5" t="s">
        <v>88</v>
      </c>
      <c r="E2585" s="5">
        <v>2022</v>
      </c>
      <c r="F2585" s="5">
        <v>7</v>
      </c>
      <c r="G2585" s="5" t="s">
        <v>40</v>
      </c>
      <c r="H2585" s="5">
        <v>667081</v>
      </c>
      <c r="I2585" s="5">
        <v>537393.56000000006</v>
      </c>
      <c r="J2585" s="5">
        <v>20</v>
      </c>
      <c r="K2585" s="5">
        <v>40440</v>
      </c>
      <c r="L2585" s="5">
        <v>704280</v>
      </c>
      <c r="M2585" s="5">
        <v>129687.44</v>
      </c>
      <c r="N2585" s="5">
        <v>0.19439999999999999</v>
      </c>
      <c r="O2585" s="5">
        <v>1</v>
      </c>
      <c r="P2585" s="5">
        <v>1093</v>
      </c>
    </row>
    <row r="2586" spans="1:16" x14ac:dyDescent="0.3">
      <c r="A2586" s="5">
        <v>24</v>
      </c>
      <c r="B2586" s="5" t="s">
        <v>136</v>
      </c>
      <c r="C2586" s="5">
        <v>2</v>
      </c>
      <c r="D2586" s="5" t="s">
        <v>88</v>
      </c>
      <c r="E2586" s="5">
        <v>2022</v>
      </c>
      <c r="F2586" s="5">
        <v>8</v>
      </c>
      <c r="G2586" s="5" t="s">
        <v>41</v>
      </c>
      <c r="H2586" s="5">
        <v>3435358</v>
      </c>
      <c r="I2586" s="5">
        <v>3009705.75</v>
      </c>
      <c r="J2586" s="5">
        <v>50</v>
      </c>
      <c r="K2586" s="5">
        <v>414374</v>
      </c>
      <c r="L2586" s="5">
        <v>3836120</v>
      </c>
      <c r="M2586" s="5">
        <v>425652.25</v>
      </c>
      <c r="N2586" s="5">
        <v>0.1239</v>
      </c>
      <c r="O2586" s="5">
        <v>5</v>
      </c>
      <c r="P2586" s="5">
        <v>613102</v>
      </c>
    </row>
    <row r="2587" spans="1:16" x14ac:dyDescent="0.3">
      <c r="A2587" s="5">
        <v>34</v>
      </c>
      <c r="B2587" s="5" t="s">
        <v>136</v>
      </c>
      <c r="C2587" s="5">
        <v>2</v>
      </c>
      <c r="D2587" s="5" t="s">
        <v>88</v>
      </c>
      <c r="E2587" s="5">
        <v>2022</v>
      </c>
      <c r="F2587" s="5">
        <v>8</v>
      </c>
      <c r="G2587" s="5" t="s">
        <v>41</v>
      </c>
      <c r="H2587" s="5">
        <v>755870</v>
      </c>
      <c r="I2587" s="5">
        <v>638071.76</v>
      </c>
      <c r="J2587" s="5">
        <v>14</v>
      </c>
      <c r="K2587" s="5">
        <v>104955</v>
      </c>
      <c r="L2587" s="5">
        <v>857200</v>
      </c>
      <c r="M2587" s="5">
        <v>117798.24</v>
      </c>
      <c r="N2587" s="5">
        <v>0.15579999999999999</v>
      </c>
      <c r="O2587" s="5">
        <v>1</v>
      </c>
      <c r="P2587" s="5">
        <v>1864</v>
      </c>
    </row>
    <row r="2588" spans="1:16" x14ac:dyDescent="0.3">
      <c r="A2588" s="5">
        <v>24</v>
      </c>
      <c r="B2588" s="5" t="s">
        <v>136</v>
      </c>
      <c r="C2588" s="5">
        <v>2</v>
      </c>
      <c r="D2588" s="5" t="s">
        <v>88</v>
      </c>
      <c r="E2588" s="5">
        <v>2022</v>
      </c>
      <c r="F2588" s="5">
        <v>9</v>
      </c>
      <c r="G2588" s="5" t="s">
        <v>42</v>
      </c>
      <c r="H2588" s="5">
        <v>3053325</v>
      </c>
      <c r="I2588" s="5">
        <v>2759294.86</v>
      </c>
      <c r="J2588" s="5">
        <v>42</v>
      </c>
      <c r="K2588" s="5">
        <v>467789</v>
      </c>
      <c r="L2588" s="5">
        <v>3512450</v>
      </c>
      <c r="M2588" s="5">
        <v>294030.14</v>
      </c>
      <c r="N2588" s="5">
        <v>9.6299999999999997E-2</v>
      </c>
      <c r="O2588" s="5">
        <v>5</v>
      </c>
      <c r="P2588" s="5">
        <v>71114</v>
      </c>
    </row>
    <row r="2589" spans="1:16" x14ac:dyDescent="0.3">
      <c r="A2589" s="5">
        <v>34</v>
      </c>
      <c r="B2589" s="5" t="s">
        <v>136</v>
      </c>
      <c r="C2589" s="5">
        <v>2</v>
      </c>
      <c r="D2589" s="5" t="s">
        <v>88</v>
      </c>
      <c r="E2589" s="5">
        <v>2022</v>
      </c>
      <c r="F2589" s="5">
        <v>9</v>
      </c>
      <c r="G2589" s="5" t="s">
        <v>42</v>
      </c>
      <c r="H2589" s="5">
        <v>609878</v>
      </c>
      <c r="I2589" s="5">
        <v>551454.67000000004</v>
      </c>
      <c r="J2589" s="5">
        <v>16</v>
      </c>
      <c r="K2589" s="5">
        <v>92651</v>
      </c>
      <c r="L2589" s="5">
        <v>700190</v>
      </c>
      <c r="M2589" s="5">
        <v>58423.33</v>
      </c>
      <c r="N2589" s="5">
        <v>9.5799999999999996E-2</v>
      </c>
      <c r="O2589" s="5">
        <v>1</v>
      </c>
      <c r="P2589" s="5">
        <v>7717</v>
      </c>
    </row>
    <row r="2590" spans="1:16" x14ac:dyDescent="0.3">
      <c r="A2590" s="5">
        <v>24</v>
      </c>
      <c r="B2590" s="5" t="s">
        <v>136</v>
      </c>
      <c r="C2590" s="5">
        <v>2</v>
      </c>
      <c r="D2590" s="5" t="s">
        <v>88</v>
      </c>
      <c r="E2590" s="5">
        <v>2022</v>
      </c>
      <c r="F2590" s="5">
        <v>10</v>
      </c>
      <c r="G2590" s="5" t="s">
        <v>43</v>
      </c>
      <c r="H2590" s="5">
        <v>3543546</v>
      </c>
      <c r="I2590" s="5">
        <v>3206518.9</v>
      </c>
      <c r="J2590" s="5">
        <v>61</v>
      </c>
      <c r="K2590" s="5">
        <v>667361</v>
      </c>
      <c r="L2590" s="5">
        <v>4200720</v>
      </c>
      <c r="M2590" s="5">
        <v>337027.1</v>
      </c>
      <c r="N2590" s="5">
        <v>9.5100000000000004E-2</v>
      </c>
      <c r="O2590" s="5">
        <v>5</v>
      </c>
      <c r="P2590" s="5">
        <v>296806</v>
      </c>
    </row>
    <row r="2591" spans="1:16" x14ac:dyDescent="0.3">
      <c r="A2591" s="5">
        <v>34</v>
      </c>
      <c r="B2591" s="5" t="s">
        <v>136</v>
      </c>
      <c r="C2591" s="5">
        <v>2</v>
      </c>
      <c r="D2591" s="5" t="s">
        <v>88</v>
      </c>
      <c r="E2591" s="5">
        <v>2022</v>
      </c>
      <c r="F2591" s="5">
        <v>10</v>
      </c>
      <c r="G2591" s="5" t="s">
        <v>43</v>
      </c>
      <c r="H2591" s="5">
        <v>1295545</v>
      </c>
      <c r="I2591" s="5">
        <v>1134569.75</v>
      </c>
      <c r="J2591" s="5">
        <v>21</v>
      </c>
      <c r="K2591" s="5">
        <v>202982</v>
      </c>
      <c r="L2591" s="5">
        <v>1495410</v>
      </c>
      <c r="M2591" s="5">
        <v>160975.25</v>
      </c>
      <c r="N2591" s="5">
        <v>0.12429999999999999</v>
      </c>
      <c r="O2591" s="5">
        <v>1</v>
      </c>
      <c r="P2591" s="5">
        <v>12094</v>
      </c>
    </row>
    <row r="2592" spans="1:16" x14ac:dyDescent="0.3">
      <c r="A2592" s="5">
        <v>24</v>
      </c>
      <c r="B2592" s="5" t="s">
        <v>136</v>
      </c>
      <c r="C2592" s="5">
        <v>2</v>
      </c>
      <c r="D2592" s="5" t="s">
        <v>88</v>
      </c>
      <c r="E2592" s="5">
        <v>2022</v>
      </c>
      <c r="F2592" s="5">
        <v>11</v>
      </c>
      <c r="G2592" s="5" t="s">
        <v>44</v>
      </c>
      <c r="H2592" s="5">
        <v>4995136</v>
      </c>
      <c r="I2592" s="5">
        <v>4251649.22</v>
      </c>
      <c r="J2592" s="5">
        <v>59</v>
      </c>
      <c r="K2592" s="5">
        <v>453086</v>
      </c>
      <c r="L2592" s="5">
        <v>5435100</v>
      </c>
      <c r="M2592" s="5">
        <v>743486.78</v>
      </c>
      <c r="N2592" s="5">
        <v>0.14879999999999999</v>
      </c>
      <c r="O2592" s="5">
        <v>3</v>
      </c>
      <c r="P2592" s="5">
        <v>80685</v>
      </c>
    </row>
    <row r="2593" spans="1:16" x14ac:dyDescent="0.3">
      <c r="A2593" s="5">
        <v>34</v>
      </c>
      <c r="B2593" s="5" t="s">
        <v>136</v>
      </c>
      <c r="C2593" s="5">
        <v>2</v>
      </c>
      <c r="D2593" s="5" t="s">
        <v>88</v>
      </c>
      <c r="E2593" s="5">
        <v>2022</v>
      </c>
      <c r="F2593" s="5">
        <v>11</v>
      </c>
      <c r="G2593" s="5" t="s">
        <v>44</v>
      </c>
      <c r="H2593" s="5">
        <v>1842682</v>
      </c>
      <c r="I2593" s="5">
        <v>1641809.58</v>
      </c>
      <c r="J2593" s="5">
        <v>21</v>
      </c>
      <c r="K2593" s="5">
        <v>242957</v>
      </c>
      <c r="L2593" s="5">
        <v>2082670</v>
      </c>
      <c r="M2593" s="5">
        <v>200872.42</v>
      </c>
      <c r="N2593" s="5">
        <v>0.109</v>
      </c>
      <c r="O2593" s="5">
        <v>3</v>
      </c>
      <c r="P2593" s="5">
        <v>8609</v>
      </c>
    </row>
    <row r="2594" spans="1:16" x14ac:dyDescent="0.3">
      <c r="A2594" s="5">
        <v>24</v>
      </c>
      <c r="B2594" s="5" t="s">
        <v>136</v>
      </c>
      <c r="C2594" s="5">
        <v>2</v>
      </c>
      <c r="D2594" s="5" t="s">
        <v>88</v>
      </c>
      <c r="E2594" s="5">
        <v>2022</v>
      </c>
      <c r="F2594" s="5">
        <v>12</v>
      </c>
      <c r="G2594" s="5" t="s">
        <v>45</v>
      </c>
      <c r="H2594" s="5">
        <v>4150586</v>
      </c>
      <c r="I2594" s="5">
        <v>3532051.78</v>
      </c>
      <c r="J2594" s="5">
        <v>61</v>
      </c>
      <c r="K2594" s="5">
        <v>370362</v>
      </c>
      <c r="L2594" s="5">
        <v>4515360</v>
      </c>
      <c r="M2594" s="5">
        <v>618534.22</v>
      </c>
      <c r="N2594" s="5">
        <v>0.14899999999999999</v>
      </c>
      <c r="O2594" s="5">
        <v>2</v>
      </c>
      <c r="P2594" s="5">
        <v>41988</v>
      </c>
    </row>
    <row r="2595" spans="1:16" x14ac:dyDescent="0.3">
      <c r="A2595" s="5">
        <v>34</v>
      </c>
      <c r="B2595" s="5" t="s">
        <v>136</v>
      </c>
      <c r="C2595" s="5">
        <v>2</v>
      </c>
      <c r="D2595" s="5" t="s">
        <v>88</v>
      </c>
      <c r="E2595" s="5">
        <v>2022</v>
      </c>
      <c r="F2595" s="5">
        <v>12</v>
      </c>
      <c r="G2595" s="5" t="s">
        <v>45</v>
      </c>
      <c r="H2595" s="5">
        <v>1204497</v>
      </c>
      <c r="I2595" s="5">
        <v>969287.64</v>
      </c>
      <c r="J2595" s="5">
        <v>16</v>
      </c>
      <c r="K2595" s="5">
        <v>54793</v>
      </c>
      <c r="L2595" s="5">
        <v>1252960</v>
      </c>
      <c r="M2595" s="5">
        <v>235209.36</v>
      </c>
      <c r="N2595" s="5">
        <v>0.1953</v>
      </c>
      <c r="O2595" s="5">
        <v>4</v>
      </c>
      <c r="P2595" s="5">
        <v>64578</v>
      </c>
    </row>
    <row r="2596" spans="1:16" x14ac:dyDescent="0.3">
      <c r="A2596" s="5">
        <v>24</v>
      </c>
      <c r="B2596" s="5" t="s">
        <v>136</v>
      </c>
      <c r="C2596" s="5">
        <v>2</v>
      </c>
      <c r="D2596" s="5" t="s">
        <v>88</v>
      </c>
      <c r="E2596" s="5">
        <v>2023</v>
      </c>
      <c r="F2596" s="5">
        <v>1</v>
      </c>
      <c r="G2596" s="5" t="s">
        <v>46</v>
      </c>
      <c r="H2596" s="5">
        <v>3355606</v>
      </c>
      <c r="I2596" s="5">
        <v>2933871.43</v>
      </c>
      <c r="J2596" s="5">
        <v>46</v>
      </c>
      <c r="K2596" s="5">
        <v>393975</v>
      </c>
      <c r="L2596" s="5">
        <v>3732080</v>
      </c>
      <c r="M2596" s="5">
        <v>421734.57</v>
      </c>
      <c r="N2596" s="5">
        <v>0.12570000000000001</v>
      </c>
      <c r="O2596" s="5">
        <v>4</v>
      </c>
      <c r="P2596" s="5">
        <v>241930</v>
      </c>
    </row>
    <row r="2597" spans="1:16" x14ac:dyDescent="0.3">
      <c r="A2597" s="5">
        <v>34</v>
      </c>
      <c r="B2597" s="5" t="s">
        <v>136</v>
      </c>
      <c r="C2597" s="5">
        <v>2</v>
      </c>
      <c r="D2597" s="5" t="s">
        <v>88</v>
      </c>
      <c r="E2597" s="5">
        <v>2023</v>
      </c>
      <c r="F2597" s="5">
        <v>1</v>
      </c>
      <c r="G2597" s="5" t="s">
        <v>46</v>
      </c>
      <c r="H2597" s="5">
        <v>2007804</v>
      </c>
      <c r="I2597" s="5">
        <v>1797917.56</v>
      </c>
      <c r="J2597" s="5">
        <v>22</v>
      </c>
      <c r="K2597" s="5">
        <v>248889</v>
      </c>
      <c r="L2597" s="5">
        <v>2251760</v>
      </c>
      <c r="M2597" s="5">
        <v>209886.44</v>
      </c>
      <c r="N2597" s="5">
        <v>0.1045</v>
      </c>
      <c r="O2597" s="5">
        <v>0</v>
      </c>
      <c r="P2597" s="5">
        <v>0</v>
      </c>
    </row>
    <row r="2598" spans="1:16" x14ac:dyDescent="0.3">
      <c r="A2598" s="5">
        <v>24</v>
      </c>
      <c r="B2598" s="5" t="s">
        <v>136</v>
      </c>
      <c r="C2598" s="5">
        <v>2</v>
      </c>
      <c r="D2598" s="5" t="s">
        <v>88</v>
      </c>
      <c r="E2598" s="5">
        <v>2023</v>
      </c>
      <c r="F2598" s="5">
        <v>2</v>
      </c>
      <c r="G2598" s="5" t="s">
        <v>47</v>
      </c>
      <c r="H2598" s="5">
        <v>2936507</v>
      </c>
      <c r="I2598" s="5">
        <v>2430082.92</v>
      </c>
      <c r="J2598" s="5">
        <v>41</v>
      </c>
      <c r="K2598" s="5">
        <v>174872</v>
      </c>
      <c r="L2598" s="5">
        <v>3099010</v>
      </c>
      <c r="M2598" s="5">
        <v>506424.08</v>
      </c>
      <c r="N2598" s="5">
        <v>0.17249999999999999</v>
      </c>
      <c r="O2598" s="5">
        <v>3</v>
      </c>
      <c r="P2598" s="5">
        <v>73012</v>
      </c>
    </row>
    <row r="2599" spans="1:16" x14ac:dyDescent="0.3">
      <c r="A2599" s="5">
        <v>34</v>
      </c>
      <c r="B2599" s="5" t="s">
        <v>136</v>
      </c>
      <c r="C2599" s="5">
        <v>2</v>
      </c>
      <c r="D2599" s="5" t="s">
        <v>88</v>
      </c>
      <c r="E2599" s="5">
        <v>2023</v>
      </c>
      <c r="F2599" s="5">
        <v>2</v>
      </c>
      <c r="G2599" s="5" t="s">
        <v>47</v>
      </c>
      <c r="H2599" s="5">
        <v>1419136</v>
      </c>
      <c r="I2599" s="5">
        <v>1143960.81</v>
      </c>
      <c r="J2599" s="5">
        <v>17</v>
      </c>
      <c r="K2599" s="5">
        <v>72999</v>
      </c>
      <c r="L2599" s="5">
        <v>1484170</v>
      </c>
      <c r="M2599" s="5">
        <v>275175.19</v>
      </c>
      <c r="N2599" s="5">
        <v>0.19389999999999999</v>
      </c>
      <c r="O2599" s="5">
        <v>2</v>
      </c>
      <c r="P2599" s="5">
        <v>98252</v>
      </c>
    </row>
    <row r="2600" spans="1:16" x14ac:dyDescent="0.3">
      <c r="A2600" s="5">
        <v>24</v>
      </c>
      <c r="B2600" s="5" t="s">
        <v>136</v>
      </c>
      <c r="C2600" s="5">
        <v>2</v>
      </c>
      <c r="D2600" s="5" t="s">
        <v>88</v>
      </c>
      <c r="E2600" s="5">
        <v>2023</v>
      </c>
      <c r="F2600" s="5">
        <v>3</v>
      </c>
      <c r="G2600" s="5" t="s">
        <v>48</v>
      </c>
      <c r="H2600" s="5">
        <v>3042313</v>
      </c>
      <c r="I2600" s="5">
        <v>2562370.2999999998</v>
      </c>
      <c r="J2600" s="5">
        <v>60</v>
      </c>
      <c r="K2600" s="5">
        <v>367732</v>
      </c>
      <c r="L2600" s="5">
        <v>3399280</v>
      </c>
      <c r="M2600" s="5">
        <v>479942.7</v>
      </c>
      <c r="N2600" s="5">
        <v>0.1578</v>
      </c>
      <c r="O2600" s="5">
        <v>2</v>
      </c>
      <c r="P2600" s="5">
        <v>3610</v>
      </c>
    </row>
    <row r="2601" spans="1:16" x14ac:dyDescent="0.3">
      <c r="A2601" s="5">
        <v>34</v>
      </c>
      <c r="B2601" s="5" t="s">
        <v>136</v>
      </c>
      <c r="C2601" s="5">
        <v>2</v>
      </c>
      <c r="D2601" s="5" t="s">
        <v>88</v>
      </c>
      <c r="E2601" s="5">
        <v>2023</v>
      </c>
      <c r="F2601" s="5">
        <v>3</v>
      </c>
      <c r="G2601" s="5" t="s">
        <v>48</v>
      </c>
      <c r="H2601" s="5">
        <v>1452317</v>
      </c>
      <c r="I2601" s="5">
        <v>1301089.9099999999</v>
      </c>
      <c r="J2601" s="5">
        <v>18</v>
      </c>
      <c r="K2601" s="5">
        <v>195017</v>
      </c>
      <c r="L2601" s="5">
        <v>1642370</v>
      </c>
      <c r="M2601" s="5">
        <v>151227.09</v>
      </c>
      <c r="N2601" s="5">
        <v>0.1041</v>
      </c>
      <c r="O2601" s="5">
        <v>4</v>
      </c>
      <c r="P2601" s="5">
        <v>152062</v>
      </c>
    </row>
    <row r="2602" spans="1:16" x14ac:dyDescent="0.3">
      <c r="A2602" s="5">
        <v>24</v>
      </c>
      <c r="B2602" s="5" t="s">
        <v>136</v>
      </c>
      <c r="C2602" s="5">
        <v>2</v>
      </c>
      <c r="D2602" s="5" t="s">
        <v>88</v>
      </c>
      <c r="E2602" s="5">
        <v>2023</v>
      </c>
      <c r="F2602" s="5">
        <v>4</v>
      </c>
      <c r="G2602" s="5" t="s">
        <v>49</v>
      </c>
      <c r="H2602" s="5">
        <v>4402627</v>
      </c>
      <c r="I2602" s="5">
        <v>3961074.15</v>
      </c>
      <c r="J2602" s="5">
        <v>47</v>
      </c>
      <c r="K2602" s="5">
        <v>609142</v>
      </c>
      <c r="L2602" s="5">
        <v>4996930</v>
      </c>
      <c r="M2602" s="5">
        <v>441552.85</v>
      </c>
      <c r="N2602" s="5">
        <v>0.1003</v>
      </c>
      <c r="O2602" s="5">
        <v>6</v>
      </c>
      <c r="P2602" s="5">
        <v>723740</v>
      </c>
    </row>
    <row r="2603" spans="1:16" x14ac:dyDescent="0.3">
      <c r="A2603" s="5">
        <v>34</v>
      </c>
      <c r="B2603" s="5" t="s">
        <v>136</v>
      </c>
      <c r="C2603" s="5">
        <v>2</v>
      </c>
      <c r="D2603" s="5" t="s">
        <v>88</v>
      </c>
      <c r="E2603" s="5">
        <v>2023</v>
      </c>
      <c r="F2603" s="5">
        <v>4</v>
      </c>
      <c r="G2603" s="5" t="s">
        <v>49</v>
      </c>
      <c r="H2603" s="5">
        <v>2317368</v>
      </c>
      <c r="I2603" s="5">
        <v>2042039.4</v>
      </c>
      <c r="J2603" s="5">
        <v>26</v>
      </c>
      <c r="K2603" s="5">
        <v>258879</v>
      </c>
      <c r="L2603" s="5">
        <v>2569570</v>
      </c>
      <c r="M2603" s="5">
        <v>275328.59999999998</v>
      </c>
      <c r="N2603" s="5">
        <v>0.1188</v>
      </c>
      <c r="O2603" s="5">
        <v>2</v>
      </c>
      <c r="P2603" s="5">
        <v>108914</v>
      </c>
    </row>
    <row r="2604" spans="1:16" x14ac:dyDescent="0.3">
      <c r="A2604" s="5">
        <v>24</v>
      </c>
      <c r="B2604" s="5" t="s">
        <v>136</v>
      </c>
      <c r="C2604" s="5">
        <v>2</v>
      </c>
      <c r="D2604" s="5" t="s">
        <v>88</v>
      </c>
      <c r="E2604" s="5">
        <v>2023</v>
      </c>
      <c r="F2604" s="5">
        <v>5</v>
      </c>
      <c r="G2604" s="5" t="s">
        <v>50</v>
      </c>
      <c r="H2604" s="5">
        <v>5394658</v>
      </c>
      <c r="I2604" s="5">
        <v>4700307.79</v>
      </c>
      <c r="J2604" s="5">
        <v>66</v>
      </c>
      <c r="K2604" s="5">
        <v>565192</v>
      </c>
      <c r="L2604" s="5">
        <v>5940950</v>
      </c>
      <c r="M2604" s="5">
        <v>694350.21</v>
      </c>
      <c r="N2604" s="5">
        <v>0.12870000000000001</v>
      </c>
      <c r="O2604" s="5">
        <v>3</v>
      </c>
      <c r="P2604" s="5">
        <v>10821</v>
      </c>
    </row>
    <row r="2605" spans="1:16" x14ac:dyDescent="0.3">
      <c r="A2605" s="5">
        <v>34</v>
      </c>
      <c r="B2605" s="5" t="s">
        <v>136</v>
      </c>
      <c r="C2605" s="5">
        <v>2</v>
      </c>
      <c r="D2605" s="5" t="s">
        <v>88</v>
      </c>
      <c r="E2605" s="5">
        <v>2023</v>
      </c>
      <c r="F2605" s="5">
        <v>5</v>
      </c>
      <c r="G2605" s="5" t="s">
        <v>50</v>
      </c>
      <c r="H2605" s="5">
        <v>1324124</v>
      </c>
      <c r="I2605" s="5">
        <v>1196066.76</v>
      </c>
      <c r="J2605" s="5">
        <v>22</v>
      </c>
      <c r="K2605" s="5">
        <v>194872</v>
      </c>
      <c r="L2605" s="5">
        <v>1517870</v>
      </c>
      <c r="M2605" s="5">
        <v>128057.24</v>
      </c>
      <c r="N2605" s="5">
        <v>9.6699999999999994E-2</v>
      </c>
      <c r="O2605" s="5">
        <v>1</v>
      </c>
      <c r="P2605" s="5">
        <v>3183</v>
      </c>
    </row>
    <row r="2606" spans="1:16" x14ac:dyDescent="0.3">
      <c r="A2606" s="5">
        <v>24</v>
      </c>
      <c r="B2606" s="5" t="s">
        <v>136</v>
      </c>
      <c r="C2606" s="5">
        <v>2</v>
      </c>
      <c r="D2606" s="5" t="s">
        <v>88</v>
      </c>
      <c r="E2606" s="5">
        <v>2023</v>
      </c>
      <c r="F2606" s="5">
        <v>6</v>
      </c>
      <c r="G2606" s="5" t="s">
        <v>51</v>
      </c>
      <c r="H2606" s="5">
        <v>4021928</v>
      </c>
      <c r="I2606" s="5">
        <v>3454409.74</v>
      </c>
      <c r="J2606" s="5">
        <v>48</v>
      </c>
      <c r="K2606" s="5">
        <v>379641</v>
      </c>
      <c r="L2606" s="5">
        <v>4385590</v>
      </c>
      <c r="M2606" s="5">
        <v>567518.26</v>
      </c>
      <c r="N2606" s="5">
        <v>0.1411</v>
      </c>
      <c r="O2606" s="5">
        <v>2</v>
      </c>
      <c r="P2606" s="5">
        <v>7333</v>
      </c>
    </row>
    <row r="2607" spans="1:16" x14ac:dyDescent="0.3">
      <c r="A2607" s="5">
        <v>34</v>
      </c>
      <c r="B2607" s="5" t="s">
        <v>136</v>
      </c>
      <c r="C2607" s="5">
        <v>2</v>
      </c>
      <c r="D2607" s="5" t="s">
        <v>88</v>
      </c>
      <c r="E2607" s="5">
        <v>2023</v>
      </c>
      <c r="F2607" s="5">
        <v>6</v>
      </c>
      <c r="G2607" s="5" t="s">
        <v>51</v>
      </c>
      <c r="H2607" s="5">
        <v>1548302</v>
      </c>
      <c r="I2607" s="5">
        <v>1291532.95</v>
      </c>
      <c r="J2607" s="5">
        <v>21</v>
      </c>
      <c r="K2607" s="5">
        <v>165729</v>
      </c>
      <c r="L2607" s="5">
        <v>1708770</v>
      </c>
      <c r="M2607" s="5">
        <v>256769.05</v>
      </c>
      <c r="N2607" s="5">
        <v>0.1658</v>
      </c>
      <c r="O2607" s="5">
        <v>2</v>
      </c>
      <c r="P2607" s="5">
        <v>50746</v>
      </c>
    </row>
    <row r="2608" spans="1:16" x14ac:dyDescent="0.3">
      <c r="A2608" s="5">
        <v>24</v>
      </c>
      <c r="B2608" s="5" t="s">
        <v>136</v>
      </c>
      <c r="C2608" s="5">
        <v>2</v>
      </c>
      <c r="D2608" s="5" t="s">
        <v>88</v>
      </c>
      <c r="E2608" s="5">
        <v>2023</v>
      </c>
      <c r="F2608" s="5">
        <v>7</v>
      </c>
      <c r="G2608" s="5" t="s">
        <v>52</v>
      </c>
      <c r="H2608" s="5">
        <v>2800252</v>
      </c>
      <c r="I2608" s="5">
        <v>2472423.5</v>
      </c>
      <c r="J2608" s="5">
        <v>36</v>
      </c>
      <c r="K2608" s="5">
        <v>453726</v>
      </c>
      <c r="L2608" s="5">
        <v>3244650</v>
      </c>
      <c r="M2608" s="5">
        <v>327828.5</v>
      </c>
      <c r="N2608" s="5">
        <v>0.1171</v>
      </c>
      <c r="O2608" s="5">
        <v>4</v>
      </c>
      <c r="P2608" s="5">
        <v>140090</v>
      </c>
    </row>
    <row r="2609" spans="1:16" x14ac:dyDescent="0.3">
      <c r="A2609" s="5">
        <v>34</v>
      </c>
      <c r="B2609" s="5" t="s">
        <v>136</v>
      </c>
      <c r="C2609" s="5">
        <v>2</v>
      </c>
      <c r="D2609" s="5" t="s">
        <v>88</v>
      </c>
      <c r="E2609" s="5">
        <v>2023</v>
      </c>
      <c r="F2609" s="5">
        <v>7</v>
      </c>
      <c r="G2609" s="5" t="s">
        <v>52</v>
      </c>
      <c r="H2609" s="5">
        <v>1600326</v>
      </c>
      <c r="I2609" s="5">
        <v>1371583.66</v>
      </c>
      <c r="J2609" s="5">
        <v>16</v>
      </c>
      <c r="K2609" s="5">
        <v>141726</v>
      </c>
      <c r="L2609" s="5">
        <v>1737010</v>
      </c>
      <c r="M2609" s="5">
        <v>228742.34</v>
      </c>
      <c r="N2609" s="5">
        <v>0.1429</v>
      </c>
      <c r="O2609" s="5">
        <v>4</v>
      </c>
      <c r="P2609" s="5">
        <v>73391</v>
      </c>
    </row>
    <row r="2610" spans="1:16" x14ac:dyDescent="0.3">
      <c r="A2610" s="5">
        <v>24</v>
      </c>
      <c r="B2610" s="5" t="s">
        <v>136</v>
      </c>
      <c r="C2610" s="5">
        <v>2</v>
      </c>
      <c r="D2610" s="5" t="s">
        <v>88</v>
      </c>
      <c r="E2610" s="5">
        <v>2023</v>
      </c>
      <c r="F2610" s="5">
        <v>8</v>
      </c>
      <c r="G2610" s="5" t="s">
        <v>53</v>
      </c>
      <c r="H2610" s="5">
        <v>2518405</v>
      </c>
      <c r="I2610" s="5">
        <v>2245731.56</v>
      </c>
      <c r="J2610" s="5">
        <v>50</v>
      </c>
      <c r="K2610" s="5">
        <v>379935</v>
      </c>
      <c r="L2610" s="5">
        <v>2892150</v>
      </c>
      <c r="M2610" s="5">
        <v>272673.44</v>
      </c>
      <c r="N2610" s="5">
        <v>0.10829999999999999</v>
      </c>
      <c r="O2610" s="5">
        <v>3</v>
      </c>
      <c r="P2610" s="5">
        <v>124573</v>
      </c>
    </row>
    <row r="2611" spans="1:16" x14ac:dyDescent="0.3">
      <c r="A2611" s="5">
        <v>34</v>
      </c>
      <c r="B2611" s="5" t="s">
        <v>136</v>
      </c>
      <c r="C2611" s="5">
        <v>2</v>
      </c>
      <c r="D2611" s="5" t="s">
        <v>88</v>
      </c>
      <c r="E2611" s="5">
        <v>2023</v>
      </c>
      <c r="F2611" s="5">
        <v>8</v>
      </c>
      <c r="G2611" s="5" t="s">
        <v>53</v>
      </c>
      <c r="H2611" s="5">
        <v>1738762</v>
      </c>
      <c r="I2611" s="5">
        <v>1554658.58</v>
      </c>
      <c r="J2611" s="5">
        <v>23</v>
      </c>
      <c r="K2611" s="5">
        <v>218420</v>
      </c>
      <c r="L2611" s="5">
        <v>1954000</v>
      </c>
      <c r="M2611" s="5">
        <v>184103.42</v>
      </c>
      <c r="N2611" s="5">
        <v>0.10589999999999999</v>
      </c>
      <c r="O2611" s="5">
        <v>2</v>
      </c>
      <c r="P2611" s="5">
        <v>35610</v>
      </c>
    </row>
    <row r="2612" spans="1:16" x14ac:dyDescent="0.3">
      <c r="A2612" s="5">
        <v>24</v>
      </c>
      <c r="B2612" s="5" t="s">
        <v>136</v>
      </c>
      <c r="C2612" s="5">
        <v>2</v>
      </c>
      <c r="D2612" s="5" t="s">
        <v>88</v>
      </c>
      <c r="E2612" s="5">
        <v>2023</v>
      </c>
      <c r="F2612" s="5">
        <v>9</v>
      </c>
      <c r="G2612" s="5" t="s">
        <v>54</v>
      </c>
      <c r="H2612" s="5">
        <v>3563368</v>
      </c>
      <c r="I2612" s="5">
        <v>3297434</v>
      </c>
      <c r="J2612" s="5">
        <v>58</v>
      </c>
      <c r="K2612" s="5">
        <v>667057</v>
      </c>
      <c r="L2612" s="5">
        <v>4218730</v>
      </c>
      <c r="M2612" s="5">
        <v>265934</v>
      </c>
      <c r="N2612" s="5">
        <v>7.46E-2</v>
      </c>
      <c r="O2612" s="5">
        <v>5</v>
      </c>
      <c r="P2612" s="5">
        <v>145513</v>
      </c>
    </row>
    <row r="2613" spans="1:16" x14ac:dyDescent="0.3">
      <c r="A2613" s="5">
        <v>34</v>
      </c>
      <c r="B2613" s="5" t="s">
        <v>136</v>
      </c>
      <c r="C2613" s="5">
        <v>2</v>
      </c>
      <c r="D2613" s="5" t="s">
        <v>88</v>
      </c>
      <c r="E2613" s="5">
        <v>2023</v>
      </c>
      <c r="F2613" s="5">
        <v>9</v>
      </c>
      <c r="G2613" s="5" t="s">
        <v>54</v>
      </c>
      <c r="H2613" s="5">
        <v>1186505</v>
      </c>
      <c r="I2613" s="5">
        <v>1054485.1100000001</v>
      </c>
      <c r="J2613" s="5">
        <v>20</v>
      </c>
      <c r="K2613" s="5">
        <v>174974</v>
      </c>
      <c r="L2613" s="5">
        <v>1359940</v>
      </c>
      <c r="M2613" s="5">
        <v>132019.89000000001</v>
      </c>
      <c r="N2613" s="5">
        <v>0.1113</v>
      </c>
      <c r="O2613" s="5">
        <v>0</v>
      </c>
      <c r="P2613" s="5">
        <v>0</v>
      </c>
    </row>
    <row r="2614" spans="1:16" x14ac:dyDescent="0.3">
      <c r="A2614" s="5">
        <v>24</v>
      </c>
      <c r="B2614" s="5" t="s">
        <v>136</v>
      </c>
      <c r="C2614" s="5">
        <v>2</v>
      </c>
      <c r="D2614" s="5" t="s">
        <v>88</v>
      </c>
      <c r="E2614" s="5">
        <v>2023</v>
      </c>
      <c r="F2614" s="5">
        <v>10</v>
      </c>
      <c r="G2614" s="5" t="s">
        <v>55</v>
      </c>
      <c r="H2614" s="5">
        <v>5035416</v>
      </c>
      <c r="I2614" s="5">
        <v>4335197.62</v>
      </c>
      <c r="J2614" s="5">
        <v>61</v>
      </c>
      <c r="K2614" s="5">
        <v>542266</v>
      </c>
      <c r="L2614" s="5">
        <v>5563770</v>
      </c>
      <c r="M2614" s="5">
        <v>700218.38</v>
      </c>
      <c r="N2614" s="5">
        <v>0.1391</v>
      </c>
      <c r="O2614" s="5">
        <v>5</v>
      </c>
      <c r="P2614" s="5">
        <v>254968</v>
      </c>
    </row>
    <row r="2615" spans="1:16" x14ac:dyDescent="0.3">
      <c r="A2615" s="5">
        <v>34</v>
      </c>
      <c r="B2615" s="5" t="s">
        <v>136</v>
      </c>
      <c r="C2615" s="5">
        <v>2</v>
      </c>
      <c r="D2615" s="5" t="s">
        <v>88</v>
      </c>
      <c r="E2615" s="5">
        <v>2023</v>
      </c>
      <c r="F2615" s="5">
        <v>10</v>
      </c>
      <c r="G2615" s="5" t="s">
        <v>55</v>
      </c>
      <c r="H2615" s="5">
        <v>2338224</v>
      </c>
      <c r="I2615" s="5">
        <v>2104775.0499999998</v>
      </c>
      <c r="J2615" s="5">
        <v>27</v>
      </c>
      <c r="K2615" s="5">
        <v>367288</v>
      </c>
      <c r="L2615" s="5">
        <v>2705100</v>
      </c>
      <c r="M2615" s="5">
        <v>233448.95</v>
      </c>
      <c r="N2615" s="5">
        <v>9.98E-2</v>
      </c>
      <c r="O2615" s="5">
        <v>4</v>
      </c>
      <c r="P2615" s="5">
        <v>155205</v>
      </c>
    </row>
    <row r="2616" spans="1:16" x14ac:dyDescent="0.3">
      <c r="A2616" s="5">
        <v>24</v>
      </c>
      <c r="B2616" s="5" t="s">
        <v>136</v>
      </c>
      <c r="C2616" s="5">
        <v>2</v>
      </c>
      <c r="D2616" s="5" t="s">
        <v>88</v>
      </c>
      <c r="E2616" s="5">
        <v>2023</v>
      </c>
      <c r="F2616" s="5">
        <v>11</v>
      </c>
      <c r="G2616" s="5" t="s">
        <v>56</v>
      </c>
      <c r="H2616" s="5">
        <v>4137802</v>
      </c>
      <c r="I2616" s="5">
        <v>3459479.77</v>
      </c>
      <c r="J2616" s="5">
        <v>75</v>
      </c>
      <c r="K2616" s="5">
        <v>499683</v>
      </c>
      <c r="L2616" s="5">
        <v>4619420</v>
      </c>
      <c r="M2616" s="5">
        <v>678322.23</v>
      </c>
      <c r="N2616" s="5">
        <v>0.16389999999999999</v>
      </c>
      <c r="O2616" s="5">
        <v>6</v>
      </c>
      <c r="P2616" s="5">
        <v>526496</v>
      </c>
    </row>
    <row r="2617" spans="1:16" x14ac:dyDescent="0.3">
      <c r="A2617" s="5">
        <v>34</v>
      </c>
      <c r="B2617" s="5" t="s">
        <v>136</v>
      </c>
      <c r="C2617" s="5">
        <v>2</v>
      </c>
      <c r="D2617" s="5" t="s">
        <v>88</v>
      </c>
      <c r="E2617" s="5">
        <v>2023</v>
      </c>
      <c r="F2617" s="5">
        <v>11</v>
      </c>
      <c r="G2617" s="5" t="s">
        <v>56</v>
      </c>
      <c r="H2617" s="5">
        <v>2631862</v>
      </c>
      <c r="I2617" s="5">
        <v>2317240.62</v>
      </c>
      <c r="J2617" s="5">
        <v>33</v>
      </c>
      <c r="K2617" s="5">
        <v>314733</v>
      </c>
      <c r="L2617" s="5">
        <v>2934810</v>
      </c>
      <c r="M2617" s="5">
        <v>314621.38</v>
      </c>
      <c r="N2617" s="5">
        <v>0.1195</v>
      </c>
      <c r="O2617" s="5">
        <v>1</v>
      </c>
      <c r="P2617" s="5">
        <v>7048</v>
      </c>
    </row>
    <row r="2618" spans="1:16" x14ac:dyDescent="0.3">
      <c r="A2618" s="5">
        <v>24</v>
      </c>
      <c r="B2618" s="5" t="s">
        <v>136</v>
      </c>
      <c r="C2618" s="5">
        <v>2</v>
      </c>
      <c r="D2618" s="5" t="s">
        <v>88</v>
      </c>
      <c r="E2618" s="5">
        <v>2023</v>
      </c>
      <c r="F2618" s="5">
        <v>12</v>
      </c>
      <c r="G2618" s="5" t="s">
        <v>57</v>
      </c>
      <c r="H2618" s="5">
        <v>5520457</v>
      </c>
      <c r="I2618" s="5">
        <v>5118735.96</v>
      </c>
      <c r="J2618" s="5">
        <v>75</v>
      </c>
      <c r="K2618" s="5">
        <v>1006178</v>
      </c>
      <c r="L2618" s="5">
        <v>6508520</v>
      </c>
      <c r="M2618" s="5">
        <v>401721.04</v>
      </c>
      <c r="N2618" s="5">
        <v>7.2800000000000004E-2</v>
      </c>
      <c r="O2618" s="5">
        <v>5</v>
      </c>
      <c r="P2618" s="5">
        <v>133082</v>
      </c>
    </row>
    <row r="2619" spans="1:16" x14ac:dyDescent="0.3">
      <c r="A2619" s="5">
        <v>34</v>
      </c>
      <c r="B2619" s="5" t="s">
        <v>136</v>
      </c>
      <c r="C2619" s="5">
        <v>2</v>
      </c>
      <c r="D2619" s="5" t="s">
        <v>88</v>
      </c>
      <c r="E2619" s="5">
        <v>2023</v>
      </c>
      <c r="F2619" s="5">
        <v>12</v>
      </c>
      <c r="G2619" s="5" t="s">
        <v>57</v>
      </c>
      <c r="H2619" s="5">
        <v>1449436</v>
      </c>
      <c r="I2619" s="5">
        <v>1266919</v>
      </c>
      <c r="J2619" s="5">
        <v>27</v>
      </c>
      <c r="K2619" s="5">
        <v>156711</v>
      </c>
      <c r="L2619" s="5">
        <v>1599070</v>
      </c>
      <c r="M2619" s="5">
        <v>182517</v>
      </c>
      <c r="N2619" s="5">
        <v>0.12590000000000001</v>
      </c>
      <c r="O2619" s="5">
        <v>1</v>
      </c>
      <c r="P2619" s="5">
        <v>92761</v>
      </c>
    </row>
    <row r="2620" spans="1:16" x14ac:dyDescent="0.3">
      <c r="A2620" s="5">
        <v>24</v>
      </c>
      <c r="B2620" s="5" t="s">
        <v>136</v>
      </c>
      <c r="C2620" s="5">
        <v>2</v>
      </c>
      <c r="D2620" s="5" t="s">
        <v>88</v>
      </c>
      <c r="E2620" s="5">
        <v>2024</v>
      </c>
      <c r="F2620" s="5">
        <v>1</v>
      </c>
      <c r="G2620" s="5" t="s">
        <v>58</v>
      </c>
      <c r="H2620" s="5">
        <v>2559527</v>
      </c>
      <c r="I2620" s="5">
        <v>2173151.13</v>
      </c>
      <c r="J2620" s="5">
        <v>48</v>
      </c>
      <c r="K2620" s="5">
        <v>320926</v>
      </c>
      <c r="L2620" s="5">
        <v>2868560</v>
      </c>
      <c r="M2620" s="5">
        <v>386375.87</v>
      </c>
      <c r="N2620" s="5">
        <v>0.151</v>
      </c>
      <c r="O2620" s="5">
        <v>3</v>
      </c>
      <c r="P2620" s="5">
        <v>58812</v>
      </c>
    </row>
    <row r="2621" spans="1:16" x14ac:dyDescent="0.3">
      <c r="A2621" s="5">
        <v>34</v>
      </c>
      <c r="B2621" s="5" t="s">
        <v>136</v>
      </c>
      <c r="C2621" s="5">
        <v>2</v>
      </c>
      <c r="D2621" s="5" t="s">
        <v>88</v>
      </c>
      <c r="E2621" s="5">
        <v>2024</v>
      </c>
      <c r="F2621" s="5">
        <v>1</v>
      </c>
      <c r="G2621" s="5" t="s">
        <v>58</v>
      </c>
      <c r="H2621" s="5">
        <v>1724292</v>
      </c>
      <c r="I2621" s="5">
        <v>1580454.76</v>
      </c>
      <c r="J2621" s="5">
        <v>21</v>
      </c>
      <c r="K2621" s="5">
        <v>320566</v>
      </c>
      <c r="L2621" s="5">
        <v>2040430</v>
      </c>
      <c r="M2621" s="5">
        <v>143837.24</v>
      </c>
      <c r="N2621" s="5">
        <v>8.3400000000000002E-2</v>
      </c>
      <c r="O2621" s="5">
        <v>2</v>
      </c>
      <c r="P2621" s="5">
        <v>113917</v>
      </c>
    </row>
    <row r="2622" spans="1:16" x14ac:dyDescent="0.3">
      <c r="A2622" s="5">
        <v>24</v>
      </c>
      <c r="B2622" s="5" t="s">
        <v>136</v>
      </c>
      <c r="C2622" s="5">
        <v>2</v>
      </c>
      <c r="D2622" s="5" t="s">
        <v>88</v>
      </c>
      <c r="E2622" s="5">
        <v>2024</v>
      </c>
      <c r="F2622" s="5">
        <v>2</v>
      </c>
      <c r="G2622" s="5" t="s">
        <v>59</v>
      </c>
      <c r="H2622" s="5">
        <v>3367662</v>
      </c>
      <c r="I2622" s="5">
        <v>3002517.92</v>
      </c>
      <c r="J2622" s="5">
        <v>41</v>
      </c>
      <c r="K2622" s="5">
        <v>411336</v>
      </c>
      <c r="L2622" s="5">
        <v>3767110</v>
      </c>
      <c r="M2622" s="5">
        <v>365144.08</v>
      </c>
      <c r="N2622" s="5">
        <v>0.1084</v>
      </c>
      <c r="O2622" s="5">
        <v>7</v>
      </c>
      <c r="P2622" s="5">
        <v>146680</v>
      </c>
    </row>
    <row r="2623" spans="1:16" x14ac:dyDescent="0.3">
      <c r="A2623" s="5">
        <v>34</v>
      </c>
      <c r="B2623" s="5" t="s">
        <v>136</v>
      </c>
      <c r="C2623" s="5">
        <v>2</v>
      </c>
      <c r="D2623" s="5" t="s">
        <v>88</v>
      </c>
      <c r="E2623" s="5">
        <v>2024</v>
      </c>
      <c r="F2623" s="5">
        <v>2</v>
      </c>
      <c r="G2623" s="5" t="s">
        <v>59</v>
      </c>
      <c r="H2623" s="5">
        <v>1231168</v>
      </c>
      <c r="I2623" s="5">
        <v>977443.05</v>
      </c>
      <c r="J2623" s="5">
        <v>20</v>
      </c>
      <c r="K2623" s="5">
        <v>54734</v>
      </c>
      <c r="L2623" s="5">
        <v>1281030</v>
      </c>
      <c r="M2623" s="5">
        <v>253724.95</v>
      </c>
      <c r="N2623" s="5">
        <v>0.20610000000000001</v>
      </c>
      <c r="O2623" s="5">
        <v>3</v>
      </c>
      <c r="P2623" s="5">
        <v>37421</v>
      </c>
    </row>
    <row r="2624" spans="1:16" x14ac:dyDescent="0.3">
      <c r="A2624" s="5">
        <v>24</v>
      </c>
      <c r="B2624" s="5" t="s">
        <v>136</v>
      </c>
      <c r="C2624" s="5">
        <v>2</v>
      </c>
      <c r="D2624" s="5" t="s">
        <v>88</v>
      </c>
      <c r="E2624" s="5">
        <v>2024</v>
      </c>
      <c r="F2624" s="5">
        <v>3</v>
      </c>
      <c r="G2624" s="5" t="s">
        <v>60</v>
      </c>
      <c r="H2624" s="5">
        <v>4524634</v>
      </c>
      <c r="I2624" s="5">
        <v>4138076</v>
      </c>
      <c r="J2624" s="5">
        <v>49</v>
      </c>
      <c r="K2624" s="5">
        <v>635274</v>
      </c>
      <c r="L2624" s="5">
        <v>5142580</v>
      </c>
      <c r="M2624" s="5">
        <v>386558</v>
      </c>
      <c r="N2624" s="5">
        <v>8.5400000000000004E-2</v>
      </c>
      <c r="O2624" s="5">
        <v>8</v>
      </c>
      <c r="P2624" s="5">
        <v>192820</v>
      </c>
    </row>
    <row r="2625" spans="1:16" x14ac:dyDescent="0.3">
      <c r="A2625" s="5">
        <v>34</v>
      </c>
      <c r="B2625" s="5" t="s">
        <v>136</v>
      </c>
      <c r="C2625" s="5">
        <v>2</v>
      </c>
      <c r="D2625" s="5" t="s">
        <v>88</v>
      </c>
      <c r="E2625" s="5">
        <v>2024</v>
      </c>
      <c r="F2625" s="5">
        <v>3</v>
      </c>
      <c r="G2625" s="5" t="s">
        <v>60</v>
      </c>
      <c r="H2625" s="5">
        <v>1703242</v>
      </c>
      <c r="I2625" s="5">
        <v>1418431.18</v>
      </c>
      <c r="J2625" s="5">
        <v>23</v>
      </c>
      <c r="K2625" s="5">
        <v>161138</v>
      </c>
      <c r="L2625" s="5">
        <v>1861160</v>
      </c>
      <c r="M2625" s="5">
        <v>284810.82</v>
      </c>
      <c r="N2625" s="5">
        <v>0.16719999999999999</v>
      </c>
      <c r="O2625" s="5">
        <v>2</v>
      </c>
      <c r="P2625" s="5">
        <v>4931</v>
      </c>
    </row>
    <row r="2626" spans="1:16" x14ac:dyDescent="0.3">
      <c r="A2626" s="5">
        <v>24</v>
      </c>
      <c r="B2626" s="5" t="s">
        <v>136</v>
      </c>
      <c r="C2626" s="5">
        <v>2</v>
      </c>
      <c r="D2626" s="5" t="s">
        <v>88</v>
      </c>
      <c r="E2626" s="5">
        <v>2024</v>
      </c>
      <c r="F2626" s="5">
        <v>4</v>
      </c>
      <c r="G2626" s="5" t="s">
        <v>61</v>
      </c>
      <c r="H2626" s="5">
        <v>3467163</v>
      </c>
      <c r="I2626" s="5">
        <v>3021409.01</v>
      </c>
      <c r="J2626" s="5">
        <v>52</v>
      </c>
      <c r="K2626" s="5">
        <v>410724</v>
      </c>
      <c r="L2626" s="5">
        <v>3865750</v>
      </c>
      <c r="M2626" s="5">
        <v>445753.99</v>
      </c>
      <c r="N2626" s="5">
        <v>0.12859999999999999</v>
      </c>
      <c r="O2626" s="5">
        <v>5</v>
      </c>
      <c r="P2626" s="5">
        <v>64326</v>
      </c>
    </row>
    <row r="2627" spans="1:16" x14ac:dyDescent="0.3">
      <c r="A2627" s="5">
        <v>34</v>
      </c>
      <c r="B2627" s="5" t="s">
        <v>136</v>
      </c>
      <c r="C2627" s="5">
        <v>2</v>
      </c>
      <c r="D2627" s="5" t="s">
        <v>88</v>
      </c>
      <c r="E2627" s="5">
        <v>2024</v>
      </c>
      <c r="F2627" s="5">
        <v>4</v>
      </c>
      <c r="G2627" s="5" t="s">
        <v>61</v>
      </c>
      <c r="H2627" s="5">
        <v>1559005</v>
      </c>
      <c r="I2627" s="5">
        <v>1343285.08</v>
      </c>
      <c r="J2627" s="5">
        <v>21</v>
      </c>
      <c r="K2627" s="5">
        <v>151574</v>
      </c>
      <c r="L2627" s="5">
        <v>1705720</v>
      </c>
      <c r="M2627" s="5">
        <v>215719.92</v>
      </c>
      <c r="N2627" s="5">
        <v>0.1384</v>
      </c>
      <c r="O2627" s="5">
        <v>1</v>
      </c>
      <c r="P2627" s="5">
        <v>8271</v>
      </c>
    </row>
    <row r="2628" spans="1:16" x14ac:dyDescent="0.3">
      <c r="A2628" s="5">
        <v>24</v>
      </c>
      <c r="B2628" s="5" t="s">
        <v>136</v>
      </c>
      <c r="C2628" s="5">
        <v>2</v>
      </c>
      <c r="D2628" s="5" t="s">
        <v>88</v>
      </c>
      <c r="E2628" s="5">
        <v>2024</v>
      </c>
      <c r="F2628" s="5">
        <v>5</v>
      </c>
      <c r="G2628" s="5" t="s">
        <v>62</v>
      </c>
      <c r="H2628" s="5">
        <v>3419714</v>
      </c>
      <c r="I2628" s="5">
        <v>3018338.62</v>
      </c>
      <c r="J2628" s="5">
        <v>60</v>
      </c>
      <c r="K2628" s="5">
        <v>543269</v>
      </c>
      <c r="L2628" s="5">
        <v>3949000</v>
      </c>
      <c r="M2628" s="5">
        <v>401375.38</v>
      </c>
      <c r="N2628" s="5">
        <v>0.1174</v>
      </c>
      <c r="O2628" s="5">
        <v>1</v>
      </c>
      <c r="P2628" s="5">
        <v>3308</v>
      </c>
    </row>
    <row r="2629" spans="1:16" x14ac:dyDescent="0.3">
      <c r="A2629" s="5">
        <v>34</v>
      </c>
      <c r="B2629" s="5" t="s">
        <v>136</v>
      </c>
      <c r="C2629" s="5">
        <v>2</v>
      </c>
      <c r="D2629" s="5" t="s">
        <v>88</v>
      </c>
      <c r="E2629" s="5">
        <v>2024</v>
      </c>
      <c r="F2629" s="5">
        <v>5</v>
      </c>
      <c r="G2629" s="5" t="s">
        <v>62</v>
      </c>
      <c r="H2629" s="5">
        <v>816418</v>
      </c>
      <c r="I2629" s="5">
        <v>744122.4</v>
      </c>
      <c r="J2629" s="5">
        <v>15</v>
      </c>
      <c r="K2629" s="5">
        <v>176396</v>
      </c>
      <c r="L2629" s="5">
        <v>992170</v>
      </c>
      <c r="M2629" s="5">
        <v>72295.600000000006</v>
      </c>
      <c r="N2629" s="5">
        <v>8.8599999999999998E-2</v>
      </c>
      <c r="O2629" s="5">
        <v>2</v>
      </c>
      <c r="P2629" s="5">
        <v>23694</v>
      </c>
    </row>
    <row r="2630" spans="1:16" x14ac:dyDescent="0.3">
      <c r="A2630" s="5">
        <v>24</v>
      </c>
      <c r="B2630" s="5" t="s">
        <v>136</v>
      </c>
      <c r="C2630" s="5">
        <v>2</v>
      </c>
      <c r="D2630" s="5" t="s">
        <v>88</v>
      </c>
      <c r="E2630" s="5">
        <v>2024</v>
      </c>
      <c r="F2630" s="5">
        <v>6</v>
      </c>
      <c r="G2630" s="5" t="s">
        <v>63</v>
      </c>
      <c r="H2630" s="5">
        <v>3785667</v>
      </c>
      <c r="I2630" s="5">
        <v>3196953.61</v>
      </c>
      <c r="J2630" s="5">
        <v>57</v>
      </c>
      <c r="K2630" s="5">
        <v>269837</v>
      </c>
      <c r="L2630" s="5">
        <v>4049990</v>
      </c>
      <c r="M2630" s="5">
        <v>588713.39</v>
      </c>
      <c r="N2630" s="5">
        <v>0.1555</v>
      </c>
      <c r="O2630" s="5">
        <v>5</v>
      </c>
      <c r="P2630" s="5">
        <v>21314</v>
      </c>
    </row>
    <row r="2631" spans="1:16" x14ac:dyDescent="0.3">
      <c r="A2631" s="5">
        <v>34</v>
      </c>
      <c r="B2631" s="5" t="s">
        <v>136</v>
      </c>
      <c r="C2631" s="5">
        <v>2</v>
      </c>
      <c r="D2631" s="5" t="s">
        <v>88</v>
      </c>
      <c r="E2631" s="5">
        <v>2024</v>
      </c>
      <c r="F2631" s="5">
        <v>6</v>
      </c>
      <c r="G2631" s="5" t="s">
        <v>63</v>
      </c>
      <c r="H2631" s="5">
        <v>1572380</v>
      </c>
      <c r="I2631" s="5">
        <v>1306983.56</v>
      </c>
      <c r="J2631" s="5">
        <v>29</v>
      </c>
      <c r="K2631" s="5">
        <v>98309</v>
      </c>
      <c r="L2631" s="5">
        <v>1664540</v>
      </c>
      <c r="M2631" s="5">
        <v>265396.44</v>
      </c>
      <c r="N2631" s="5">
        <v>0.16880000000000001</v>
      </c>
      <c r="O2631" s="5">
        <v>3</v>
      </c>
      <c r="P2631" s="5">
        <v>64540</v>
      </c>
    </row>
    <row r="2632" spans="1:16" x14ac:dyDescent="0.3">
      <c r="A2632" s="5">
        <v>24</v>
      </c>
      <c r="B2632" s="5" t="s">
        <v>136</v>
      </c>
      <c r="C2632" s="5">
        <v>2</v>
      </c>
      <c r="D2632" s="5" t="s">
        <v>88</v>
      </c>
      <c r="E2632" s="5">
        <v>2024</v>
      </c>
      <c r="F2632" s="5">
        <v>7</v>
      </c>
      <c r="G2632" s="5" t="s">
        <v>64</v>
      </c>
      <c r="H2632" s="5">
        <v>2658341</v>
      </c>
      <c r="I2632" s="5">
        <v>2221112.7000000002</v>
      </c>
      <c r="J2632" s="5">
        <v>45</v>
      </c>
      <c r="K2632" s="5">
        <v>307988</v>
      </c>
      <c r="L2632" s="5">
        <v>2963190</v>
      </c>
      <c r="M2632" s="5">
        <v>437228.3</v>
      </c>
      <c r="N2632" s="5">
        <v>0.16450000000000001</v>
      </c>
      <c r="O2632" s="5">
        <v>7</v>
      </c>
      <c r="P2632" s="5">
        <v>197493</v>
      </c>
    </row>
    <row r="2633" spans="1:16" x14ac:dyDescent="0.3">
      <c r="A2633" s="5">
        <v>34</v>
      </c>
      <c r="B2633" s="5" t="s">
        <v>136</v>
      </c>
      <c r="C2633" s="5">
        <v>2</v>
      </c>
      <c r="D2633" s="5" t="s">
        <v>88</v>
      </c>
      <c r="E2633" s="5">
        <v>2024</v>
      </c>
      <c r="F2633" s="5">
        <v>7</v>
      </c>
      <c r="G2633" s="5" t="s">
        <v>64</v>
      </c>
      <c r="H2633" s="5">
        <v>847993</v>
      </c>
      <c r="I2633" s="5">
        <v>705941.82</v>
      </c>
      <c r="J2633" s="5">
        <v>14</v>
      </c>
      <c r="K2633" s="5">
        <v>102651</v>
      </c>
      <c r="L2633" s="5">
        <v>944390</v>
      </c>
      <c r="M2633" s="5">
        <v>142051.18</v>
      </c>
      <c r="N2633" s="5">
        <v>0.16750000000000001</v>
      </c>
      <c r="O2633" s="5">
        <v>0</v>
      </c>
      <c r="P2633" s="5">
        <v>0</v>
      </c>
    </row>
    <row r="2634" spans="1:16" x14ac:dyDescent="0.3">
      <c r="A2634" s="5">
        <v>24</v>
      </c>
      <c r="B2634" s="5" t="s">
        <v>136</v>
      </c>
      <c r="C2634" s="5">
        <v>2</v>
      </c>
      <c r="D2634" s="5" t="s">
        <v>88</v>
      </c>
      <c r="E2634" s="5">
        <v>2024</v>
      </c>
      <c r="F2634" s="5">
        <v>8</v>
      </c>
      <c r="G2634" s="5" t="s">
        <v>65</v>
      </c>
      <c r="H2634" s="5">
        <v>4417280</v>
      </c>
      <c r="I2634" s="5">
        <v>3787518.31</v>
      </c>
      <c r="J2634" s="5">
        <v>53</v>
      </c>
      <c r="K2634" s="5">
        <v>463391</v>
      </c>
      <c r="L2634" s="5">
        <v>4867860</v>
      </c>
      <c r="M2634" s="5">
        <v>629761.68999999994</v>
      </c>
      <c r="N2634" s="5">
        <v>0.1426</v>
      </c>
      <c r="O2634" s="5">
        <v>5</v>
      </c>
      <c r="P2634" s="5">
        <v>245796</v>
      </c>
    </row>
    <row r="2635" spans="1:16" x14ac:dyDescent="0.3">
      <c r="A2635" s="5">
        <v>34</v>
      </c>
      <c r="B2635" s="5" t="s">
        <v>136</v>
      </c>
      <c r="C2635" s="5">
        <v>2</v>
      </c>
      <c r="D2635" s="5" t="s">
        <v>88</v>
      </c>
      <c r="E2635" s="5">
        <v>2024</v>
      </c>
      <c r="F2635" s="5">
        <v>8</v>
      </c>
      <c r="G2635" s="5" t="s">
        <v>65</v>
      </c>
      <c r="H2635" s="5">
        <v>1732082</v>
      </c>
      <c r="I2635" s="5">
        <v>1446168.39</v>
      </c>
      <c r="J2635" s="5">
        <v>23</v>
      </c>
      <c r="K2635" s="5">
        <v>142612</v>
      </c>
      <c r="L2635" s="5">
        <v>1871330</v>
      </c>
      <c r="M2635" s="5">
        <v>285913.61</v>
      </c>
      <c r="N2635" s="5">
        <v>0.1651</v>
      </c>
      <c r="O2635" s="5">
        <v>1</v>
      </c>
      <c r="P2635" s="5">
        <v>4980</v>
      </c>
    </row>
    <row r="2636" spans="1:16" x14ac:dyDescent="0.3">
      <c r="A2636" s="5">
        <v>24</v>
      </c>
      <c r="B2636" s="5" t="s">
        <v>136</v>
      </c>
      <c r="C2636" s="5">
        <v>2</v>
      </c>
      <c r="D2636" s="5" t="s">
        <v>88</v>
      </c>
      <c r="E2636" s="5">
        <v>2024</v>
      </c>
      <c r="F2636" s="5">
        <v>9</v>
      </c>
      <c r="G2636" s="5" t="s">
        <v>66</v>
      </c>
      <c r="H2636" s="5">
        <v>4513038</v>
      </c>
      <c r="I2636" s="5">
        <v>3811315.82</v>
      </c>
      <c r="J2636" s="5">
        <v>64</v>
      </c>
      <c r="K2636" s="5">
        <v>335100</v>
      </c>
      <c r="L2636" s="5">
        <v>4830900</v>
      </c>
      <c r="M2636" s="5">
        <v>701722.18</v>
      </c>
      <c r="N2636" s="5">
        <v>0.1555</v>
      </c>
      <c r="O2636" s="5">
        <v>4</v>
      </c>
      <c r="P2636" s="5">
        <v>413558</v>
      </c>
    </row>
    <row r="2637" spans="1:16" x14ac:dyDescent="0.3">
      <c r="A2637" s="5">
        <v>34</v>
      </c>
      <c r="B2637" s="5" t="s">
        <v>136</v>
      </c>
      <c r="C2637" s="5">
        <v>2</v>
      </c>
      <c r="D2637" s="5" t="s">
        <v>88</v>
      </c>
      <c r="E2637" s="5">
        <v>2024</v>
      </c>
      <c r="F2637" s="5">
        <v>9</v>
      </c>
      <c r="G2637" s="5" t="s">
        <v>66</v>
      </c>
      <c r="H2637" s="5">
        <v>961261</v>
      </c>
      <c r="I2637" s="5">
        <v>743545.27</v>
      </c>
      <c r="J2637" s="5">
        <v>19</v>
      </c>
      <c r="K2637" s="5">
        <v>37907</v>
      </c>
      <c r="L2637" s="5">
        <v>994890</v>
      </c>
      <c r="M2637" s="5">
        <v>217715.73</v>
      </c>
      <c r="N2637" s="5">
        <v>0.22650000000000001</v>
      </c>
      <c r="O2637" s="5">
        <v>1</v>
      </c>
      <c r="P2637" s="5">
        <v>294458</v>
      </c>
    </row>
    <row r="2638" spans="1:16" x14ac:dyDescent="0.3">
      <c r="A2638" s="5">
        <v>24</v>
      </c>
      <c r="B2638" s="5" t="s">
        <v>136</v>
      </c>
      <c r="C2638" s="5">
        <v>2</v>
      </c>
      <c r="D2638" s="5" t="s">
        <v>88</v>
      </c>
      <c r="E2638" s="5">
        <v>2024</v>
      </c>
      <c r="F2638" s="5">
        <v>10</v>
      </c>
      <c r="G2638" s="5" t="s">
        <v>67</v>
      </c>
      <c r="H2638" s="5">
        <v>5045106</v>
      </c>
      <c r="I2638" s="5">
        <v>4016828.37</v>
      </c>
      <c r="J2638" s="5">
        <v>79</v>
      </c>
      <c r="K2638" s="5">
        <v>171561</v>
      </c>
      <c r="L2638" s="5">
        <v>5202750</v>
      </c>
      <c r="M2638" s="5">
        <v>1028277.63</v>
      </c>
      <c r="N2638" s="5">
        <v>0.20380000000000001</v>
      </c>
      <c r="O2638" s="5">
        <v>2</v>
      </c>
      <c r="P2638" s="5">
        <v>6371</v>
      </c>
    </row>
    <row r="2639" spans="1:16" x14ac:dyDescent="0.3">
      <c r="A2639" s="5">
        <v>34</v>
      </c>
      <c r="B2639" s="5" t="s">
        <v>136</v>
      </c>
      <c r="C2639" s="5">
        <v>2</v>
      </c>
      <c r="D2639" s="5" t="s">
        <v>88</v>
      </c>
      <c r="E2639" s="5">
        <v>2024</v>
      </c>
      <c r="F2639" s="5">
        <v>10</v>
      </c>
      <c r="G2639" s="5" t="s">
        <v>67</v>
      </c>
      <c r="H2639" s="5">
        <v>2461414</v>
      </c>
      <c r="I2639" s="5">
        <v>1968007.76</v>
      </c>
      <c r="J2639" s="5">
        <v>25</v>
      </c>
      <c r="K2639" s="5">
        <v>62004</v>
      </c>
      <c r="L2639" s="5">
        <v>2511290</v>
      </c>
      <c r="M2639" s="5">
        <v>493406.24</v>
      </c>
      <c r="N2639" s="5">
        <v>0.20050000000000001</v>
      </c>
      <c r="O2639" s="5">
        <v>2</v>
      </c>
      <c r="P2639" s="5">
        <v>187430</v>
      </c>
    </row>
    <row r="2640" spans="1:16" x14ac:dyDescent="0.3">
      <c r="A2640" s="5">
        <v>24</v>
      </c>
      <c r="B2640" s="5" t="s">
        <v>136</v>
      </c>
      <c r="C2640" s="5">
        <v>2</v>
      </c>
      <c r="D2640" s="5" t="s">
        <v>88</v>
      </c>
      <c r="E2640" s="5">
        <v>2024</v>
      </c>
      <c r="F2640" s="5">
        <v>11</v>
      </c>
      <c r="G2640" s="5" t="s">
        <v>68</v>
      </c>
      <c r="H2640" s="5">
        <v>5229802</v>
      </c>
      <c r="I2640" s="5">
        <v>4295472.03</v>
      </c>
      <c r="J2640" s="5">
        <v>89</v>
      </c>
      <c r="K2640" s="5">
        <v>328607</v>
      </c>
      <c r="L2640" s="5">
        <v>5538740</v>
      </c>
      <c r="M2640" s="5">
        <v>934329.97</v>
      </c>
      <c r="N2640" s="5">
        <v>0.1787</v>
      </c>
      <c r="O2640" s="5">
        <v>7</v>
      </c>
      <c r="P2640" s="5">
        <v>148579</v>
      </c>
    </row>
    <row r="2641" spans="1:16" x14ac:dyDescent="0.3">
      <c r="A2641" s="5">
        <v>34</v>
      </c>
      <c r="B2641" s="5" t="s">
        <v>136</v>
      </c>
      <c r="C2641" s="5">
        <v>2</v>
      </c>
      <c r="D2641" s="5" t="s">
        <v>88</v>
      </c>
      <c r="E2641" s="5">
        <v>2024</v>
      </c>
      <c r="F2641" s="5">
        <v>11</v>
      </c>
      <c r="G2641" s="5" t="s">
        <v>68</v>
      </c>
      <c r="H2641" s="5">
        <v>1918493</v>
      </c>
      <c r="I2641" s="5">
        <v>1659494.41</v>
      </c>
      <c r="J2641" s="5">
        <v>28</v>
      </c>
      <c r="K2641" s="5">
        <v>207290</v>
      </c>
      <c r="L2641" s="5">
        <v>2122550</v>
      </c>
      <c r="M2641" s="5">
        <v>258998.59</v>
      </c>
      <c r="N2641" s="5">
        <v>0.13500000000000001</v>
      </c>
      <c r="O2641" s="5">
        <v>7</v>
      </c>
      <c r="P2641" s="5">
        <v>347901</v>
      </c>
    </row>
    <row r="2642" spans="1:16" x14ac:dyDescent="0.3">
      <c r="A2642" s="5">
        <v>24</v>
      </c>
      <c r="B2642" s="5" t="s">
        <v>136</v>
      </c>
      <c r="C2642" s="5">
        <v>2</v>
      </c>
      <c r="D2642" s="5" t="s">
        <v>88</v>
      </c>
      <c r="E2642" s="5">
        <v>2024</v>
      </c>
      <c r="F2642" s="5">
        <v>12</v>
      </c>
      <c r="G2642" s="5" t="s">
        <v>69</v>
      </c>
      <c r="H2642" s="5">
        <v>5535887</v>
      </c>
      <c r="I2642" s="5">
        <v>4459488.0599999996</v>
      </c>
      <c r="J2642" s="5">
        <v>83</v>
      </c>
      <c r="K2642" s="5">
        <v>231743</v>
      </c>
      <c r="L2642" s="5">
        <v>5759090</v>
      </c>
      <c r="M2642" s="5">
        <v>1076398.94</v>
      </c>
      <c r="N2642" s="5">
        <v>0.19439999999999999</v>
      </c>
      <c r="O2642" s="5">
        <v>4</v>
      </c>
      <c r="P2642" s="5">
        <v>75178</v>
      </c>
    </row>
    <row r="2643" spans="1:16" x14ac:dyDescent="0.3">
      <c r="A2643" s="5">
        <v>34</v>
      </c>
      <c r="B2643" s="5" t="s">
        <v>136</v>
      </c>
      <c r="C2643" s="5">
        <v>2</v>
      </c>
      <c r="D2643" s="5" t="s">
        <v>88</v>
      </c>
      <c r="E2643" s="5">
        <v>2024</v>
      </c>
      <c r="F2643" s="5">
        <v>12</v>
      </c>
      <c r="G2643" s="5" t="s">
        <v>69</v>
      </c>
      <c r="H2643" s="5">
        <v>2372536</v>
      </c>
      <c r="I2643" s="5">
        <v>1877290.28</v>
      </c>
      <c r="J2643" s="5">
        <v>39</v>
      </c>
      <c r="K2643" s="5">
        <v>74235</v>
      </c>
      <c r="L2643" s="5">
        <v>2441190</v>
      </c>
      <c r="M2643" s="5">
        <v>495245.72</v>
      </c>
      <c r="N2643" s="5">
        <v>0.2087</v>
      </c>
      <c r="O2643" s="5">
        <v>3</v>
      </c>
      <c r="P2643" s="5">
        <v>145767</v>
      </c>
    </row>
    <row r="2644" spans="1:16" x14ac:dyDescent="0.3">
      <c r="A2644" s="5">
        <v>107</v>
      </c>
      <c r="B2644" s="5" t="s">
        <v>137</v>
      </c>
      <c r="C2644" s="5">
        <v>8</v>
      </c>
      <c r="D2644" s="5" t="s">
        <v>82</v>
      </c>
      <c r="E2644" s="5">
        <v>2021</v>
      </c>
      <c r="F2644" s="5">
        <v>1</v>
      </c>
      <c r="G2644" s="5" t="s">
        <v>22</v>
      </c>
      <c r="H2644" s="5">
        <v>3284191</v>
      </c>
      <c r="I2644" s="5">
        <v>2863336.83</v>
      </c>
      <c r="J2644" s="5">
        <v>41</v>
      </c>
      <c r="K2644" s="5">
        <v>472552</v>
      </c>
      <c r="L2644" s="5">
        <v>3743300</v>
      </c>
      <c r="M2644" s="5">
        <v>420854.17</v>
      </c>
      <c r="N2644" s="5">
        <v>0.12809999999999999</v>
      </c>
      <c r="O2644" s="5">
        <v>5</v>
      </c>
      <c r="P2644" s="5">
        <v>335626</v>
      </c>
    </row>
    <row r="2645" spans="1:16" x14ac:dyDescent="0.3">
      <c r="A2645" s="5">
        <v>107</v>
      </c>
      <c r="B2645" s="5" t="s">
        <v>137</v>
      </c>
      <c r="C2645" s="5">
        <v>8</v>
      </c>
      <c r="D2645" s="5" t="s">
        <v>82</v>
      </c>
      <c r="E2645" s="5">
        <v>2021</v>
      </c>
      <c r="F2645" s="5">
        <v>2</v>
      </c>
      <c r="G2645" s="5" t="s">
        <v>23</v>
      </c>
      <c r="H2645" s="5">
        <v>1482452</v>
      </c>
      <c r="I2645" s="5">
        <v>1305460.58</v>
      </c>
      <c r="J2645" s="5">
        <v>30</v>
      </c>
      <c r="K2645" s="5">
        <v>197854</v>
      </c>
      <c r="L2645" s="5">
        <v>1675130</v>
      </c>
      <c r="M2645" s="5">
        <v>176991.42</v>
      </c>
      <c r="N2645" s="5">
        <v>0.11940000000000001</v>
      </c>
      <c r="O2645" s="5">
        <v>1</v>
      </c>
      <c r="P2645" s="5">
        <v>3078</v>
      </c>
    </row>
    <row r="2646" spans="1:16" x14ac:dyDescent="0.3">
      <c r="A2646" s="5">
        <v>107</v>
      </c>
      <c r="B2646" s="5" t="s">
        <v>137</v>
      </c>
      <c r="C2646" s="5">
        <v>8</v>
      </c>
      <c r="D2646" s="5" t="s">
        <v>82</v>
      </c>
      <c r="E2646" s="5">
        <v>2021</v>
      </c>
      <c r="F2646" s="5">
        <v>3</v>
      </c>
      <c r="G2646" s="5" t="s">
        <v>24</v>
      </c>
      <c r="H2646" s="5">
        <v>3304273</v>
      </c>
      <c r="I2646" s="5">
        <v>2799469.45</v>
      </c>
      <c r="J2646" s="5">
        <v>45</v>
      </c>
      <c r="K2646" s="5">
        <v>304351</v>
      </c>
      <c r="L2646" s="5">
        <v>3596200</v>
      </c>
      <c r="M2646" s="5">
        <v>504803.55</v>
      </c>
      <c r="N2646" s="5">
        <v>0.15279999999999999</v>
      </c>
      <c r="O2646" s="5">
        <v>1</v>
      </c>
      <c r="P2646" s="5">
        <v>56496</v>
      </c>
    </row>
    <row r="2647" spans="1:16" x14ac:dyDescent="0.3">
      <c r="A2647" s="5">
        <v>107</v>
      </c>
      <c r="B2647" s="5" t="s">
        <v>137</v>
      </c>
      <c r="C2647" s="5">
        <v>8</v>
      </c>
      <c r="D2647" s="5" t="s">
        <v>82</v>
      </c>
      <c r="E2647" s="5">
        <v>2021</v>
      </c>
      <c r="F2647" s="5">
        <v>4</v>
      </c>
      <c r="G2647" s="5" t="s">
        <v>25</v>
      </c>
      <c r="H2647" s="5">
        <v>2936737</v>
      </c>
      <c r="I2647" s="5">
        <v>2576092.2000000002</v>
      </c>
      <c r="J2647" s="5">
        <v>43</v>
      </c>
      <c r="K2647" s="5">
        <v>390952</v>
      </c>
      <c r="L2647" s="5">
        <v>3311720</v>
      </c>
      <c r="M2647" s="5">
        <v>360644.8</v>
      </c>
      <c r="N2647" s="5">
        <v>0.12280000000000001</v>
      </c>
      <c r="O2647" s="5">
        <v>2</v>
      </c>
      <c r="P2647" s="5">
        <v>4578</v>
      </c>
    </row>
    <row r="2648" spans="1:16" x14ac:dyDescent="0.3">
      <c r="A2648" s="5">
        <v>107</v>
      </c>
      <c r="B2648" s="5" t="s">
        <v>137</v>
      </c>
      <c r="C2648" s="5">
        <v>8</v>
      </c>
      <c r="D2648" s="5" t="s">
        <v>82</v>
      </c>
      <c r="E2648" s="5">
        <v>2021</v>
      </c>
      <c r="F2648" s="5">
        <v>5</v>
      </c>
      <c r="G2648" s="5" t="s">
        <v>26</v>
      </c>
      <c r="H2648" s="5">
        <v>3514529</v>
      </c>
      <c r="I2648" s="5">
        <v>3348135.88</v>
      </c>
      <c r="J2648" s="5">
        <v>54</v>
      </c>
      <c r="K2648" s="5">
        <v>730700</v>
      </c>
      <c r="L2648" s="5">
        <v>4234710</v>
      </c>
      <c r="M2648" s="5">
        <v>166393.12</v>
      </c>
      <c r="N2648" s="5">
        <v>4.7300000000000002E-2</v>
      </c>
      <c r="O2648" s="5">
        <v>3</v>
      </c>
      <c r="P2648" s="5">
        <v>146635</v>
      </c>
    </row>
    <row r="2649" spans="1:16" x14ac:dyDescent="0.3">
      <c r="A2649" s="5">
        <v>107</v>
      </c>
      <c r="B2649" s="5" t="s">
        <v>137</v>
      </c>
      <c r="C2649" s="5">
        <v>8</v>
      </c>
      <c r="D2649" s="5" t="s">
        <v>82</v>
      </c>
      <c r="E2649" s="5">
        <v>2021</v>
      </c>
      <c r="F2649" s="5">
        <v>6</v>
      </c>
      <c r="G2649" s="5" t="s">
        <v>27</v>
      </c>
      <c r="H2649" s="5">
        <v>2020884</v>
      </c>
      <c r="I2649" s="5">
        <v>1776445.51</v>
      </c>
      <c r="J2649" s="5">
        <v>44</v>
      </c>
      <c r="K2649" s="5">
        <v>272895</v>
      </c>
      <c r="L2649" s="5">
        <v>2280870</v>
      </c>
      <c r="M2649" s="5">
        <v>244438.49</v>
      </c>
      <c r="N2649" s="5">
        <v>0.121</v>
      </c>
      <c r="O2649" s="5">
        <v>6</v>
      </c>
      <c r="P2649" s="5">
        <v>32684</v>
      </c>
    </row>
    <row r="2650" spans="1:16" x14ac:dyDescent="0.3">
      <c r="A2650" s="5">
        <v>107</v>
      </c>
      <c r="B2650" s="5" t="s">
        <v>137</v>
      </c>
      <c r="C2650" s="5">
        <v>8</v>
      </c>
      <c r="D2650" s="5" t="s">
        <v>82</v>
      </c>
      <c r="E2650" s="5">
        <v>2021</v>
      </c>
      <c r="F2650" s="5">
        <v>7</v>
      </c>
      <c r="G2650" s="5" t="s">
        <v>28</v>
      </c>
      <c r="H2650" s="5">
        <v>2068422</v>
      </c>
      <c r="I2650" s="5">
        <v>1718932.28</v>
      </c>
      <c r="J2650" s="5">
        <v>41</v>
      </c>
      <c r="K2650" s="5">
        <v>214397</v>
      </c>
      <c r="L2650" s="5">
        <v>2277050</v>
      </c>
      <c r="M2650" s="5">
        <v>349489.72</v>
      </c>
      <c r="N2650" s="5">
        <v>0.16900000000000001</v>
      </c>
      <c r="O2650" s="5">
        <v>4</v>
      </c>
      <c r="P2650" s="5">
        <v>93609</v>
      </c>
    </row>
    <row r="2651" spans="1:16" x14ac:dyDescent="0.3">
      <c r="A2651" s="5">
        <v>107</v>
      </c>
      <c r="B2651" s="5" t="s">
        <v>137</v>
      </c>
      <c r="C2651" s="5">
        <v>8</v>
      </c>
      <c r="D2651" s="5" t="s">
        <v>82</v>
      </c>
      <c r="E2651" s="5">
        <v>2021</v>
      </c>
      <c r="F2651" s="5">
        <v>8</v>
      </c>
      <c r="G2651" s="5" t="s">
        <v>29</v>
      </c>
      <c r="H2651" s="5">
        <v>2956286</v>
      </c>
      <c r="I2651" s="5">
        <v>2557766.09</v>
      </c>
      <c r="J2651" s="5">
        <v>41</v>
      </c>
      <c r="K2651" s="5">
        <v>274504</v>
      </c>
      <c r="L2651" s="5">
        <v>3223810</v>
      </c>
      <c r="M2651" s="5">
        <v>398519.91</v>
      </c>
      <c r="N2651" s="5">
        <v>0.1348</v>
      </c>
      <c r="O2651" s="5">
        <v>4</v>
      </c>
      <c r="P2651" s="5">
        <v>124297</v>
      </c>
    </row>
    <row r="2652" spans="1:16" x14ac:dyDescent="0.3">
      <c r="A2652" s="5">
        <v>107</v>
      </c>
      <c r="B2652" s="5" t="s">
        <v>137</v>
      </c>
      <c r="C2652" s="5">
        <v>8</v>
      </c>
      <c r="D2652" s="5" t="s">
        <v>82</v>
      </c>
      <c r="E2652" s="5">
        <v>2021</v>
      </c>
      <c r="F2652" s="5">
        <v>9</v>
      </c>
      <c r="G2652" s="5" t="s">
        <v>30</v>
      </c>
      <c r="H2652" s="5">
        <v>2837387</v>
      </c>
      <c r="I2652" s="5">
        <v>2536742.9700000002</v>
      </c>
      <c r="J2652" s="5">
        <v>51</v>
      </c>
      <c r="K2652" s="5">
        <v>407941</v>
      </c>
      <c r="L2652" s="5">
        <v>3236740</v>
      </c>
      <c r="M2652" s="5">
        <v>300644.03000000003</v>
      </c>
      <c r="N2652" s="5">
        <v>0.106</v>
      </c>
      <c r="O2652" s="5">
        <v>5</v>
      </c>
      <c r="P2652" s="5">
        <v>88099</v>
      </c>
    </row>
    <row r="2653" spans="1:16" x14ac:dyDescent="0.3">
      <c r="A2653" s="5">
        <v>107</v>
      </c>
      <c r="B2653" s="5" t="s">
        <v>137</v>
      </c>
      <c r="C2653" s="5">
        <v>8</v>
      </c>
      <c r="D2653" s="5" t="s">
        <v>82</v>
      </c>
      <c r="E2653" s="5">
        <v>2021</v>
      </c>
      <c r="F2653" s="5">
        <v>10</v>
      </c>
      <c r="G2653" s="5" t="s">
        <v>31</v>
      </c>
      <c r="H2653" s="5">
        <v>3452703</v>
      </c>
      <c r="I2653" s="5">
        <v>2815049.68</v>
      </c>
      <c r="J2653" s="5">
        <v>61</v>
      </c>
      <c r="K2653" s="5">
        <v>286113</v>
      </c>
      <c r="L2653" s="5">
        <v>3726640</v>
      </c>
      <c r="M2653" s="5">
        <v>637653.31999999995</v>
      </c>
      <c r="N2653" s="5">
        <v>0.1847</v>
      </c>
      <c r="O2653" s="5">
        <v>5</v>
      </c>
      <c r="P2653" s="5">
        <v>107532</v>
      </c>
    </row>
    <row r="2654" spans="1:16" x14ac:dyDescent="0.3">
      <c r="A2654" s="5">
        <v>107</v>
      </c>
      <c r="B2654" s="5" t="s">
        <v>137</v>
      </c>
      <c r="C2654" s="5">
        <v>8</v>
      </c>
      <c r="D2654" s="5" t="s">
        <v>82</v>
      </c>
      <c r="E2654" s="5">
        <v>2021</v>
      </c>
      <c r="F2654" s="5">
        <v>11</v>
      </c>
      <c r="G2654" s="5" t="s">
        <v>32</v>
      </c>
      <c r="H2654" s="5">
        <v>4173575</v>
      </c>
      <c r="I2654" s="5">
        <v>3372132.67</v>
      </c>
      <c r="J2654" s="5">
        <v>61</v>
      </c>
      <c r="K2654" s="5">
        <v>267238</v>
      </c>
      <c r="L2654" s="5">
        <v>4427870</v>
      </c>
      <c r="M2654" s="5">
        <v>801442.33</v>
      </c>
      <c r="N2654" s="5">
        <v>0.192</v>
      </c>
      <c r="O2654" s="5">
        <v>3</v>
      </c>
      <c r="P2654" s="5">
        <v>75231</v>
      </c>
    </row>
    <row r="2655" spans="1:16" x14ac:dyDescent="0.3">
      <c r="A2655" s="5">
        <v>107</v>
      </c>
      <c r="B2655" s="5" t="s">
        <v>137</v>
      </c>
      <c r="C2655" s="5">
        <v>8</v>
      </c>
      <c r="D2655" s="5" t="s">
        <v>82</v>
      </c>
      <c r="E2655" s="5">
        <v>2021</v>
      </c>
      <c r="F2655" s="5">
        <v>12</v>
      </c>
      <c r="G2655" s="5" t="s">
        <v>33</v>
      </c>
      <c r="H2655" s="5">
        <v>5122510</v>
      </c>
      <c r="I2655" s="5">
        <v>4379232.07</v>
      </c>
      <c r="J2655" s="5">
        <v>68</v>
      </c>
      <c r="K2655" s="5">
        <v>436218</v>
      </c>
      <c r="L2655" s="5">
        <v>5537710</v>
      </c>
      <c r="M2655" s="5">
        <v>743277.93</v>
      </c>
      <c r="N2655" s="5">
        <v>0.14510000000000001</v>
      </c>
      <c r="O2655" s="5">
        <v>2</v>
      </c>
      <c r="P2655" s="5">
        <v>115634</v>
      </c>
    </row>
    <row r="2656" spans="1:16" x14ac:dyDescent="0.3">
      <c r="A2656" s="5">
        <v>107</v>
      </c>
      <c r="B2656" s="5" t="s">
        <v>137</v>
      </c>
      <c r="C2656" s="5">
        <v>8</v>
      </c>
      <c r="D2656" s="5" t="s">
        <v>82</v>
      </c>
      <c r="E2656" s="5">
        <v>2022</v>
      </c>
      <c r="F2656" s="5">
        <v>1</v>
      </c>
      <c r="G2656" s="5" t="s">
        <v>34</v>
      </c>
      <c r="H2656" s="5">
        <v>3758164</v>
      </c>
      <c r="I2656" s="5">
        <v>3246992.1</v>
      </c>
      <c r="J2656" s="5">
        <v>53</v>
      </c>
      <c r="K2656" s="5">
        <v>368473</v>
      </c>
      <c r="L2656" s="5">
        <v>4113960</v>
      </c>
      <c r="M2656" s="5">
        <v>511171.9</v>
      </c>
      <c r="N2656" s="5">
        <v>0.13600000000000001</v>
      </c>
      <c r="O2656" s="5">
        <v>3</v>
      </c>
      <c r="P2656" s="5">
        <v>159344</v>
      </c>
    </row>
    <row r="2657" spans="1:16" x14ac:dyDescent="0.3">
      <c r="A2657" s="5">
        <v>107</v>
      </c>
      <c r="B2657" s="5" t="s">
        <v>137</v>
      </c>
      <c r="C2657" s="5">
        <v>8</v>
      </c>
      <c r="D2657" s="5" t="s">
        <v>82</v>
      </c>
      <c r="E2657" s="5">
        <v>2022</v>
      </c>
      <c r="F2657" s="5">
        <v>2</v>
      </c>
      <c r="G2657" s="5" t="s">
        <v>35</v>
      </c>
      <c r="H2657" s="5">
        <v>2316680</v>
      </c>
      <c r="I2657" s="5">
        <v>1848978.67</v>
      </c>
      <c r="J2657" s="5">
        <v>48</v>
      </c>
      <c r="K2657" s="5">
        <v>143925</v>
      </c>
      <c r="L2657" s="5">
        <v>2455280</v>
      </c>
      <c r="M2657" s="5">
        <v>467701.33</v>
      </c>
      <c r="N2657" s="5">
        <v>0.2019</v>
      </c>
      <c r="O2657" s="5">
        <v>1</v>
      </c>
      <c r="P2657" s="5">
        <v>62749</v>
      </c>
    </row>
    <row r="2658" spans="1:16" x14ac:dyDescent="0.3">
      <c r="A2658" s="5">
        <v>107</v>
      </c>
      <c r="B2658" s="5" t="s">
        <v>137</v>
      </c>
      <c r="C2658" s="5">
        <v>8</v>
      </c>
      <c r="D2658" s="5" t="s">
        <v>82</v>
      </c>
      <c r="E2658" s="5">
        <v>2022</v>
      </c>
      <c r="F2658" s="5">
        <v>3</v>
      </c>
      <c r="G2658" s="5" t="s">
        <v>36</v>
      </c>
      <c r="H2658" s="5">
        <v>3437260</v>
      </c>
      <c r="I2658" s="5">
        <v>2868097.69</v>
      </c>
      <c r="J2658" s="5">
        <v>55</v>
      </c>
      <c r="K2658" s="5">
        <v>310927</v>
      </c>
      <c r="L2658" s="5">
        <v>3731720</v>
      </c>
      <c r="M2658" s="5">
        <v>569162.31000000006</v>
      </c>
      <c r="N2658" s="5">
        <v>0.1656</v>
      </c>
      <c r="O2658" s="5">
        <v>6</v>
      </c>
      <c r="P2658" s="5">
        <v>308474</v>
      </c>
    </row>
    <row r="2659" spans="1:16" x14ac:dyDescent="0.3">
      <c r="A2659" s="5">
        <v>107</v>
      </c>
      <c r="B2659" s="5" t="s">
        <v>137</v>
      </c>
      <c r="C2659" s="5">
        <v>8</v>
      </c>
      <c r="D2659" s="5" t="s">
        <v>82</v>
      </c>
      <c r="E2659" s="5">
        <v>2022</v>
      </c>
      <c r="F2659" s="5">
        <v>4</v>
      </c>
      <c r="G2659" s="5" t="s">
        <v>37</v>
      </c>
      <c r="H2659" s="5">
        <v>4744505</v>
      </c>
      <c r="I2659" s="5">
        <v>4237561.91</v>
      </c>
      <c r="J2659" s="5">
        <v>64</v>
      </c>
      <c r="K2659" s="5">
        <v>779445</v>
      </c>
      <c r="L2659" s="5">
        <v>5516330</v>
      </c>
      <c r="M2659" s="5">
        <v>506943.09</v>
      </c>
      <c r="N2659" s="5">
        <v>0.10680000000000001</v>
      </c>
      <c r="O2659" s="5">
        <v>3</v>
      </c>
      <c r="P2659" s="5">
        <v>120341</v>
      </c>
    </row>
    <row r="2660" spans="1:16" x14ac:dyDescent="0.3">
      <c r="A2660" s="5">
        <v>107</v>
      </c>
      <c r="B2660" s="5" t="s">
        <v>137</v>
      </c>
      <c r="C2660" s="5">
        <v>8</v>
      </c>
      <c r="D2660" s="5" t="s">
        <v>82</v>
      </c>
      <c r="E2660" s="5">
        <v>2022</v>
      </c>
      <c r="F2660" s="5">
        <v>5</v>
      </c>
      <c r="G2660" s="5" t="s">
        <v>38</v>
      </c>
      <c r="H2660" s="5">
        <v>4649193</v>
      </c>
      <c r="I2660" s="5">
        <v>4129713.88</v>
      </c>
      <c r="J2660" s="5">
        <v>71</v>
      </c>
      <c r="K2660" s="5">
        <v>648606</v>
      </c>
      <c r="L2660" s="5">
        <v>5287770</v>
      </c>
      <c r="M2660" s="5">
        <v>519479.12</v>
      </c>
      <c r="N2660" s="5">
        <v>0.11169999999999999</v>
      </c>
      <c r="O2660" s="5">
        <v>4</v>
      </c>
      <c r="P2660" s="5">
        <v>189841</v>
      </c>
    </row>
    <row r="2661" spans="1:16" x14ac:dyDescent="0.3">
      <c r="A2661" s="5">
        <v>107</v>
      </c>
      <c r="B2661" s="5" t="s">
        <v>137</v>
      </c>
      <c r="C2661" s="5">
        <v>8</v>
      </c>
      <c r="D2661" s="5" t="s">
        <v>82</v>
      </c>
      <c r="E2661" s="5">
        <v>2022</v>
      </c>
      <c r="F2661" s="5">
        <v>6</v>
      </c>
      <c r="G2661" s="5" t="s">
        <v>39</v>
      </c>
      <c r="H2661" s="5">
        <v>3328643</v>
      </c>
      <c r="I2661" s="5">
        <v>2788444.85</v>
      </c>
      <c r="J2661" s="5">
        <v>70</v>
      </c>
      <c r="K2661" s="5">
        <v>349888</v>
      </c>
      <c r="L2661" s="5">
        <v>3666710</v>
      </c>
      <c r="M2661" s="5">
        <v>540198.15</v>
      </c>
      <c r="N2661" s="5">
        <v>0.1623</v>
      </c>
      <c r="O2661" s="5">
        <v>4</v>
      </c>
      <c r="P2661" s="5">
        <v>43951</v>
      </c>
    </row>
    <row r="2662" spans="1:16" x14ac:dyDescent="0.3">
      <c r="A2662" s="5">
        <v>107</v>
      </c>
      <c r="B2662" s="5" t="s">
        <v>137</v>
      </c>
      <c r="C2662" s="5">
        <v>8</v>
      </c>
      <c r="D2662" s="5" t="s">
        <v>82</v>
      </c>
      <c r="E2662" s="5">
        <v>2022</v>
      </c>
      <c r="F2662" s="5">
        <v>7</v>
      </c>
      <c r="G2662" s="5" t="s">
        <v>40</v>
      </c>
      <c r="H2662" s="5">
        <v>5639478</v>
      </c>
      <c r="I2662" s="5">
        <v>4863437.67</v>
      </c>
      <c r="J2662" s="5">
        <v>81</v>
      </c>
      <c r="K2662" s="5">
        <v>602089</v>
      </c>
      <c r="L2662" s="5">
        <v>6219010</v>
      </c>
      <c r="M2662" s="5">
        <v>776040.33</v>
      </c>
      <c r="N2662" s="5">
        <v>0.1376</v>
      </c>
      <c r="O2662" s="5">
        <v>3</v>
      </c>
      <c r="P2662" s="5">
        <v>25787</v>
      </c>
    </row>
    <row r="2663" spans="1:16" x14ac:dyDescent="0.3">
      <c r="A2663" s="5">
        <v>107</v>
      </c>
      <c r="B2663" s="5" t="s">
        <v>137</v>
      </c>
      <c r="C2663" s="5">
        <v>8</v>
      </c>
      <c r="D2663" s="5" t="s">
        <v>82</v>
      </c>
      <c r="E2663" s="5">
        <v>2022</v>
      </c>
      <c r="F2663" s="5">
        <v>8</v>
      </c>
      <c r="G2663" s="5" t="s">
        <v>41</v>
      </c>
      <c r="H2663" s="5">
        <v>3697189</v>
      </c>
      <c r="I2663" s="5">
        <v>3234760.64</v>
      </c>
      <c r="J2663" s="5">
        <v>56</v>
      </c>
      <c r="K2663" s="5">
        <v>537126</v>
      </c>
      <c r="L2663" s="5">
        <v>4217900</v>
      </c>
      <c r="M2663" s="5">
        <v>462428.36</v>
      </c>
      <c r="N2663" s="5">
        <v>0.12509999999999999</v>
      </c>
      <c r="O2663" s="5">
        <v>7</v>
      </c>
      <c r="P2663" s="5">
        <v>271924</v>
      </c>
    </row>
    <row r="2664" spans="1:16" x14ac:dyDescent="0.3">
      <c r="A2664" s="5">
        <v>107</v>
      </c>
      <c r="B2664" s="5" t="s">
        <v>137</v>
      </c>
      <c r="C2664" s="5">
        <v>8</v>
      </c>
      <c r="D2664" s="5" t="s">
        <v>82</v>
      </c>
      <c r="E2664" s="5">
        <v>2022</v>
      </c>
      <c r="F2664" s="5">
        <v>9</v>
      </c>
      <c r="G2664" s="5" t="s">
        <v>42</v>
      </c>
      <c r="H2664" s="5">
        <v>3946267</v>
      </c>
      <c r="I2664" s="5">
        <v>3531666.92</v>
      </c>
      <c r="J2664" s="5">
        <v>64</v>
      </c>
      <c r="K2664" s="5">
        <v>606421</v>
      </c>
      <c r="L2664" s="5">
        <v>4538090</v>
      </c>
      <c r="M2664" s="5">
        <v>414600.08</v>
      </c>
      <c r="N2664" s="5">
        <v>0.1051</v>
      </c>
      <c r="O2664" s="5">
        <v>5</v>
      </c>
      <c r="P2664" s="5">
        <v>34647</v>
      </c>
    </row>
    <row r="2665" spans="1:16" x14ac:dyDescent="0.3">
      <c r="A2665" s="5">
        <v>107</v>
      </c>
      <c r="B2665" s="5" t="s">
        <v>137</v>
      </c>
      <c r="C2665" s="5">
        <v>8</v>
      </c>
      <c r="D2665" s="5" t="s">
        <v>82</v>
      </c>
      <c r="E2665" s="5">
        <v>2022</v>
      </c>
      <c r="F2665" s="5">
        <v>10</v>
      </c>
      <c r="G2665" s="5" t="s">
        <v>43</v>
      </c>
      <c r="H2665" s="5">
        <v>5636320</v>
      </c>
      <c r="I2665" s="5">
        <v>4976718.92</v>
      </c>
      <c r="J2665" s="5">
        <v>101</v>
      </c>
      <c r="K2665" s="5">
        <v>860880</v>
      </c>
      <c r="L2665" s="5">
        <v>6472090</v>
      </c>
      <c r="M2665" s="5">
        <v>659601.07999999996</v>
      </c>
      <c r="N2665" s="5">
        <v>0.11700000000000001</v>
      </c>
      <c r="O2665" s="5">
        <v>7</v>
      </c>
      <c r="P2665" s="5">
        <v>107905</v>
      </c>
    </row>
    <row r="2666" spans="1:16" x14ac:dyDescent="0.3">
      <c r="A2666" s="5">
        <v>107</v>
      </c>
      <c r="B2666" s="5" t="s">
        <v>137</v>
      </c>
      <c r="C2666" s="5">
        <v>8</v>
      </c>
      <c r="D2666" s="5" t="s">
        <v>82</v>
      </c>
      <c r="E2666" s="5">
        <v>2022</v>
      </c>
      <c r="F2666" s="5">
        <v>11</v>
      </c>
      <c r="G2666" s="5" t="s">
        <v>44</v>
      </c>
      <c r="H2666" s="5">
        <v>6404932</v>
      </c>
      <c r="I2666" s="5">
        <v>5364716.42</v>
      </c>
      <c r="J2666" s="5">
        <v>94</v>
      </c>
      <c r="K2666" s="5">
        <v>401621</v>
      </c>
      <c r="L2666" s="5">
        <v>6774090</v>
      </c>
      <c r="M2666" s="5">
        <v>1040215.58</v>
      </c>
      <c r="N2666" s="5">
        <v>0.16239999999999999</v>
      </c>
      <c r="O2666" s="5">
        <v>4</v>
      </c>
      <c r="P2666" s="5">
        <v>110299</v>
      </c>
    </row>
    <row r="2667" spans="1:16" x14ac:dyDescent="0.3">
      <c r="A2667" s="5">
        <v>107</v>
      </c>
      <c r="B2667" s="5" t="s">
        <v>137</v>
      </c>
      <c r="C2667" s="5">
        <v>8</v>
      </c>
      <c r="D2667" s="5" t="s">
        <v>82</v>
      </c>
      <c r="E2667" s="5">
        <v>2022</v>
      </c>
      <c r="F2667" s="5">
        <v>12</v>
      </c>
      <c r="G2667" s="5" t="s">
        <v>45</v>
      </c>
      <c r="H2667" s="5">
        <v>7872673</v>
      </c>
      <c r="I2667" s="5">
        <v>6555132.5599999996</v>
      </c>
      <c r="J2667" s="5">
        <v>99</v>
      </c>
      <c r="K2667" s="5">
        <v>504060</v>
      </c>
      <c r="L2667" s="5">
        <v>8352470</v>
      </c>
      <c r="M2667" s="5">
        <v>1317540.44</v>
      </c>
      <c r="N2667" s="5">
        <v>0.16739999999999999</v>
      </c>
      <c r="O2667" s="5">
        <v>11</v>
      </c>
      <c r="P2667" s="5">
        <v>253657</v>
      </c>
    </row>
    <row r="2668" spans="1:16" x14ac:dyDescent="0.3">
      <c r="A2668" s="5">
        <v>107</v>
      </c>
      <c r="B2668" s="5" t="s">
        <v>137</v>
      </c>
      <c r="C2668" s="5">
        <v>8</v>
      </c>
      <c r="D2668" s="5" t="s">
        <v>82</v>
      </c>
      <c r="E2668" s="5">
        <v>2023</v>
      </c>
      <c r="F2668" s="5">
        <v>1</v>
      </c>
      <c r="G2668" s="5" t="s">
        <v>46</v>
      </c>
      <c r="H2668" s="5">
        <v>5387551</v>
      </c>
      <c r="I2668" s="5">
        <v>4657412.83</v>
      </c>
      <c r="J2668" s="5">
        <v>71</v>
      </c>
      <c r="K2668" s="5">
        <v>654262</v>
      </c>
      <c r="L2668" s="5">
        <v>6011310</v>
      </c>
      <c r="M2668" s="5">
        <v>730138.17</v>
      </c>
      <c r="N2668" s="5">
        <v>0.13550000000000001</v>
      </c>
      <c r="O2668" s="5">
        <v>2</v>
      </c>
      <c r="P2668" s="5">
        <v>75634</v>
      </c>
    </row>
    <row r="2669" spans="1:16" x14ac:dyDescent="0.3">
      <c r="A2669" s="5">
        <v>107</v>
      </c>
      <c r="B2669" s="5" t="s">
        <v>137</v>
      </c>
      <c r="C2669" s="5">
        <v>8</v>
      </c>
      <c r="D2669" s="5" t="s">
        <v>82</v>
      </c>
      <c r="E2669" s="5">
        <v>2023</v>
      </c>
      <c r="F2669" s="5">
        <v>2</v>
      </c>
      <c r="G2669" s="5" t="s">
        <v>47</v>
      </c>
      <c r="H2669" s="5">
        <v>3528293</v>
      </c>
      <c r="I2669" s="5">
        <v>2990894.59</v>
      </c>
      <c r="J2669" s="5">
        <v>59</v>
      </c>
      <c r="K2669" s="5">
        <v>358925</v>
      </c>
      <c r="L2669" s="5">
        <v>3871960</v>
      </c>
      <c r="M2669" s="5">
        <v>537398.41</v>
      </c>
      <c r="N2669" s="5">
        <v>0.15229999999999999</v>
      </c>
      <c r="O2669" s="5">
        <v>5</v>
      </c>
      <c r="P2669" s="5">
        <v>179076</v>
      </c>
    </row>
    <row r="2670" spans="1:16" x14ac:dyDescent="0.3">
      <c r="A2670" s="5">
        <v>107</v>
      </c>
      <c r="B2670" s="5" t="s">
        <v>137</v>
      </c>
      <c r="C2670" s="5">
        <v>8</v>
      </c>
      <c r="D2670" s="5" t="s">
        <v>82</v>
      </c>
      <c r="E2670" s="5">
        <v>2023</v>
      </c>
      <c r="F2670" s="5">
        <v>3</v>
      </c>
      <c r="G2670" s="5" t="s">
        <v>48</v>
      </c>
      <c r="H2670" s="5">
        <v>4737758</v>
      </c>
      <c r="I2670" s="5">
        <v>4181952.46</v>
      </c>
      <c r="J2670" s="5">
        <v>77</v>
      </c>
      <c r="K2670" s="5">
        <v>660944</v>
      </c>
      <c r="L2670" s="5">
        <v>5390740</v>
      </c>
      <c r="M2670" s="5">
        <v>555805.54</v>
      </c>
      <c r="N2670" s="5">
        <v>0.1173</v>
      </c>
      <c r="O2670" s="5">
        <v>5</v>
      </c>
      <c r="P2670" s="5">
        <v>181872</v>
      </c>
    </row>
    <row r="2671" spans="1:16" x14ac:dyDescent="0.3">
      <c r="A2671" s="5">
        <v>107</v>
      </c>
      <c r="B2671" s="5" t="s">
        <v>137</v>
      </c>
      <c r="C2671" s="5">
        <v>8</v>
      </c>
      <c r="D2671" s="5" t="s">
        <v>82</v>
      </c>
      <c r="E2671" s="5">
        <v>2023</v>
      </c>
      <c r="F2671" s="5">
        <v>4</v>
      </c>
      <c r="G2671" s="5" t="s">
        <v>49</v>
      </c>
      <c r="H2671" s="5">
        <v>5540402</v>
      </c>
      <c r="I2671" s="5">
        <v>4720931.75</v>
      </c>
      <c r="J2671" s="5">
        <v>87</v>
      </c>
      <c r="K2671" s="5">
        <v>748113</v>
      </c>
      <c r="L2671" s="5">
        <v>6268620</v>
      </c>
      <c r="M2671" s="5">
        <v>819470.25</v>
      </c>
      <c r="N2671" s="5">
        <v>0.1479</v>
      </c>
      <c r="O2671" s="5">
        <v>10</v>
      </c>
      <c r="P2671" s="5">
        <v>790885</v>
      </c>
    </row>
    <row r="2672" spans="1:16" x14ac:dyDescent="0.3">
      <c r="A2672" s="5">
        <v>107</v>
      </c>
      <c r="B2672" s="5" t="s">
        <v>137</v>
      </c>
      <c r="C2672" s="5">
        <v>8</v>
      </c>
      <c r="D2672" s="5" t="s">
        <v>82</v>
      </c>
      <c r="E2672" s="5">
        <v>2023</v>
      </c>
      <c r="F2672" s="5">
        <v>5</v>
      </c>
      <c r="G2672" s="5" t="s">
        <v>50</v>
      </c>
      <c r="H2672" s="5">
        <v>5943702</v>
      </c>
      <c r="I2672" s="5">
        <v>5156142.75</v>
      </c>
      <c r="J2672" s="5">
        <v>101</v>
      </c>
      <c r="K2672" s="5">
        <v>817568</v>
      </c>
      <c r="L2672" s="5">
        <v>6749930</v>
      </c>
      <c r="M2672" s="5">
        <v>787559.25</v>
      </c>
      <c r="N2672" s="5">
        <v>0.13250000000000001</v>
      </c>
      <c r="O2672" s="5">
        <v>7</v>
      </c>
      <c r="P2672" s="5">
        <v>454598</v>
      </c>
    </row>
    <row r="2673" spans="1:16" x14ac:dyDescent="0.3">
      <c r="A2673" s="5">
        <v>107</v>
      </c>
      <c r="B2673" s="5" t="s">
        <v>137</v>
      </c>
      <c r="C2673" s="5">
        <v>8</v>
      </c>
      <c r="D2673" s="5" t="s">
        <v>82</v>
      </c>
      <c r="E2673" s="5">
        <v>2023</v>
      </c>
      <c r="F2673" s="5">
        <v>6</v>
      </c>
      <c r="G2673" s="5" t="s">
        <v>51</v>
      </c>
      <c r="H2673" s="5">
        <v>7981000</v>
      </c>
      <c r="I2673" s="5">
        <v>6989347.2800000003</v>
      </c>
      <c r="J2673" s="5">
        <v>100</v>
      </c>
      <c r="K2673" s="5">
        <v>949827</v>
      </c>
      <c r="L2673" s="5">
        <v>8910110</v>
      </c>
      <c r="M2673" s="5">
        <v>991652.72</v>
      </c>
      <c r="N2673" s="5">
        <v>0.12429999999999999</v>
      </c>
      <c r="O2673" s="5">
        <v>7</v>
      </c>
      <c r="P2673" s="5">
        <v>77668</v>
      </c>
    </row>
    <row r="2674" spans="1:16" x14ac:dyDescent="0.3">
      <c r="A2674" s="5">
        <v>107</v>
      </c>
      <c r="B2674" s="5" t="s">
        <v>137</v>
      </c>
      <c r="C2674" s="5">
        <v>8</v>
      </c>
      <c r="D2674" s="5" t="s">
        <v>82</v>
      </c>
      <c r="E2674" s="5">
        <v>2023</v>
      </c>
      <c r="F2674" s="5">
        <v>7</v>
      </c>
      <c r="G2674" s="5" t="s">
        <v>52</v>
      </c>
      <c r="H2674" s="5">
        <v>5949616</v>
      </c>
      <c r="I2674" s="5">
        <v>5116221.63</v>
      </c>
      <c r="J2674" s="5">
        <v>75</v>
      </c>
      <c r="K2674" s="5">
        <v>654376</v>
      </c>
      <c r="L2674" s="5">
        <v>6590810</v>
      </c>
      <c r="M2674" s="5">
        <v>833394.37</v>
      </c>
      <c r="N2674" s="5">
        <v>0.1401</v>
      </c>
      <c r="O2674" s="5">
        <v>7</v>
      </c>
      <c r="P2674" s="5">
        <v>323409</v>
      </c>
    </row>
    <row r="2675" spans="1:16" x14ac:dyDescent="0.3">
      <c r="A2675" s="5">
        <v>107</v>
      </c>
      <c r="B2675" s="5" t="s">
        <v>137</v>
      </c>
      <c r="C2675" s="5">
        <v>8</v>
      </c>
      <c r="D2675" s="5" t="s">
        <v>82</v>
      </c>
      <c r="E2675" s="5">
        <v>2023</v>
      </c>
      <c r="F2675" s="5">
        <v>8</v>
      </c>
      <c r="G2675" s="5" t="s">
        <v>53</v>
      </c>
      <c r="H2675" s="5">
        <v>5005814</v>
      </c>
      <c r="I2675" s="5">
        <v>4375809.24</v>
      </c>
      <c r="J2675" s="5">
        <v>81</v>
      </c>
      <c r="K2675" s="5">
        <v>648555</v>
      </c>
      <c r="L2675" s="5">
        <v>5634890</v>
      </c>
      <c r="M2675" s="5">
        <v>630004.76</v>
      </c>
      <c r="N2675" s="5">
        <v>0.12590000000000001</v>
      </c>
      <c r="O2675" s="5">
        <v>4</v>
      </c>
      <c r="P2675" s="5">
        <v>195285</v>
      </c>
    </row>
    <row r="2676" spans="1:16" x14ac:dyDescent="0.3">
      <c r="A2676" s="5">
        <v>107</v>
      </c>
      <c r="B2676" s="5" t="s">
        <v>137</v>
      </c>
      <c r="C2676" s="5">
        <v>8</v>
      </c>
      <c r="D2676" s="5" t="s">
        <v>82</v>
      </c>
      <c r="E2676" s="5">
        <v>2023</v>
      </c>
      <c r="F2676" s="5">
        <v>9</v>
      </c>
      <c r="G2676" s="5" t="s">
        <v>54</v>
      </c>
      <c r="H2676" s="5">
        <v>7168608</v>
      </c>
      <c r="I2676" s="5">
        <v>6566279.71</v>
      </c>
      <c r="J2676" s="5">
        <v>103</v>
      </c>
      <c r="K2676" s="5">
        <v>1159720</v>
      </c>
      <c r="L2676" s="5">
        <v>8308200</v>
      </c>
      <c r="M2676" s="5">
        <v>602328.29</v>
      </c>
      <c r="N2676" s="5">
        <v>8.4000000000000005E-2</v>
      </c>
      <c r="O2676" s="5">
        <v>6</v>
      </c>
      <c r="P2676" s="5">
        <v>120667</v>
      </c>
    </row>
    <row r="2677" spans="1:16" x14ac:dyDescent="0.3">
      <c r="A2677" s="5">
        <v>107</v>
      </c>
      <c r="B2677" s="5" t="s">
        <v>137</v>
      </c>
      <c r="C2677" s="5">
        <v>8</v>
      </c>
      <c r="D2677" s="5" t="s">
        <v>82</v>
      </c>
      <c r="E2677" s="5">
        <v>2023</v>
      </c>
      <c r="F2677" s="5">
        <v>10</v>
      </c>
      <c r="G2677" s="5" t="s">
        <v>55</v>
      </c>
      <c r="H2677" s="5">
        <v>6793208</v>
      </c>
      <c r="I2677" s="5">
        <v>5932339.9400000004</v>
      </c>
      <c r="J2677" s="5">
        <v>100</v>
      </c>
      <c r="K2677" s="5">
        <v>830313</v>
      </c>
      <c r="L2677" s="5">
        <v>7598630</v>
      </c>
      <c r="M2677" s="5">
        <v>860868.06</v>
      </c>
      <c r="N2677" s="5">
        <v>0.12670000000000001</v>
      </c>
      <c r="O2677" s="5">
        <v>7</v>
      </c>
      <c r="P2677" s="5">
        <v>76355</v>
      </c>
    </row>
    <row r="2678" spans="1:16" x14ac:dyDescent="0.3">
      <c r="A2678" s="5">
        <v>107</v>
      </c>
      <c r="B2678" s="5" t="s">
        <v>137</v>
      </c>
      <c r="C2678" s="5">
        <v>8</v>
      </c>
      <c r="D2678" s="5" t="s">
        <v>82</v>
      </c>
      <c r="E2678" s="5">
        <v>2023</v>
      </c>
      <c r="F2678" s="5">
        <v>11</v>
      </c>
      <c r="G2678" s="5" t="s">
        <v>56</v>
      </c>
      <c r="H2678" s="5">
        <v>7273443</v>
      </c>
      <c r="I2678" s="5">
        <v>6386555.6500000004</v>
      </c>
      <c r="J2678" s="5">
        <v>105</v>
      </c>
      <c r="K2678" s="5">
        <v>912543</v>
      </c>
      <c r="L2678" s="5">
        <v>8156820</v>
      </c>
      <c r="M2678" s="5">
        <v>886887.35</v>
      </c>
      <c r="N2678" s="5">
        <v>0.12189999999999999</v>
      </c>
      <c r="O2678" s="5">
        <v>5</v>
      </c>
      <c r="P2678" s="5">
        <v>62500</v>
      </c>
    </row>
    <row r="2679" spans="1:16" x14ac:dyDescent="0.3">
      <c r="A2679" s="5">
        <v>107</v>
      </c>
      <c r="B2679" s="5" t="s">
        <v>137</v>
      </c>
      <c r="C2679" s="5">
        <v>8</v>
      </c>
      <c r="D2679" s="5" t="s">
        <v>82</v>
      </c>
      <c r="E2679" s="5">
        <v>2023</v>
      </c>
      <c r="F2679" s="5">
        <v>12</v>
      </c>
      <c r="G2679" s="5" t="s">
        <v>57</v>
      </c>
      <c r="H2679" s="5">
        <v>7657100</v>
      </c>
      <c r="I2679" s="5">
        <v>6749342.8899999997</v>
      </c>
      <c r="J2679" s="5">
        <v>115</v>
      </c>
      <c r="K2679" s="5">
        <v>1080813</v>
      </c>
      <c r="L2679" s="5">
        <v>8716840</v>
      </c>
      <c r="M2679" s="5">
        <v>907757.11</v>
      </c>
      <c r="N2679" s="5">
        <v>0.1186</v>
      </c>
      <c r="O2679" s="5">
        <v>10</v>
      </c>
      <c r="P2679" s="5">
        <v>688853</v>
      </c>
    </row>
    <row r="2680" spans="1:16" x14ac:dyDescent="0.3">
      <c r="A2680" s="5">
        <v>107</v>
      </c>
      <c r="B2680" s="5" t="s">
        <v>137</v>
      </c>
      <c r="C2680" s="5">
        <v>8</v>
      </c>
      <c r="D2680" s="5" t="s">
        <v>82</v>
      </c>
      <c r="E2680" s="5">
        <v>2024</v>
      </c>
      <c r="F2680" s="5">
        <v>1</v>
      </c>
      <c r="G2680" s="5" t="s">
        <v>58</v>
      </c>
      <c r="H2680" s="5">
        <v>5598978</v>
      </c>
      <c r="I2680" s="5">
        <v>4824178.76</v>
      </c>
      <c r="J2680" s="5">
        <v>86</v>
      </c>
      <c r="K2680" s="5">
        <v>712151</v>
      </c>
      <c r="L2680" s="5">
        <v>6288460</v>
      </c>
      <c r="M2680" s="5">
        <v>774799.24</v>
      </c>
      <c r="N2680" s="5">
        <v>0.1384</v>
      </c>
      <c r="O2680" s="5">
        <v>7</v>
      </c>
      <c r="P2680" s="5">
        <v>156269</v>
      </c>
    </row>
    <row r="2681" spans="1:16" x14ac:dyDescent="0.3">
      <c r="A2681" s="5">
        <v>107</v>
      </c>
      <c r="B2681" s="5" t="s">
        <v>137</v>
      </c>
      <c r="C2681" s="5">
        <v>8</v>
      </c>
      <c r="D2681" s="5" t="s">
        <v>82</v>
      </c>
      <c r="E2681" s="5">
        <v>2024</v>
      </c>
      <c r="F2681" s="5">
        <v>2</v>
      </c>
      <c r="G2681" s="5" t="s">
        <v>59</v>
      </c>
      <c r="H2681" s="5">
        <v>7461882</v>
      </c>
      <c r="I2681" s="5">
        <v>6532554.1699999999</v>
      </c>
      <c r="J2681" s="5">
        <v>81</v>
      </c>
      <c r="K2681" s="5">
        <v>872009</v>
      </c>
      <c r="L2681" s="5">
        <v>8326670</v>
      </c>
      <c r="M2681" s="5">
        <v>929327.83</v>
      </c>
      <c r="N2681" s="5">
        <v>0.1245</v>
      </c>
      <c r="O2681" s="5">
        <v>11</v>
      </c>
      <c r="P2681" s="5">
        <v>287912</v>
      </c>
    </row>
    <row r="2682" spans="1:16" x14ac:dyDescent="0.3">
      <c r="A2682" s="5">
        <v>107</v>
      </c>
      <c r="B2682" s="5" t="s">
        <v>137</v>
      </c>
      <c r="C2682" s="5">
        <v>8</v>
      </c>
      <c r="D2682" s="5" t="s">
        <v>82</v>
      </c>
      <c r="E2682" s="5">
        <v>2024</v>
      </c>
      <c r="F2682" s="5">
        <v>3</v>
      </c>
      <c r="G2682" s="5" t="s">
        <v>60</v>
      </c>
      <c r="H2682" s="5">
        <v>6869482</v>
      </c>
      <c r="I2682" s="5">
        <v>6011419.8300000001</v>
      </c>
      <c r="J2682" s="5">
        <v>83</v>
      </c>
      <c r="K2682" s="5">
        <v>708656</v>
      </c>
      <c r="L2682" s="5">
        <v>7553800</v>
      </c>
      <c r="M2682" s="5">
        <v>858062.17</v>
      </c>
      <c r="N2682" s="5">
        <v>0.1249</v>
      </c>
      <c r="O2682" s="5">
        <v>7</v>
      </c>
      <c r="P2682" s="5">
        <v>45952</v>
      </c>
    </row>
    <row r="2683" spans="1:16" x14ac:dyDescent="0.3">
      <c r="A2683" s="5">
        <v>107</v>
      </c>
      <c r="B2683" s="5" t="s">
        <v>137</v>
      </c>
      <c r="C2683" s="5">
        <v>8</v>
      </c>
      <c r="D2683" s="5" t="s">
        <v>82</v>
      </c>
      <c r="E2683" s="5">
        <v>2024</v>
      </c>
      <c r="F2683" s="5">
        <v>4</v>
      </c>
      <c r="G2683" s="5" t="s">
        <v>61</v>
      </c>
      <c r="H2683" s="5">
        <v>4741122</v>
      </c>
      <c r="I2683" s="5">
        <v>3960959.44</v>
      </c>
      <c r="J2683" s="5">
        <v>78</v>
      </c>
      <c r="K2683" s="5">
        <v>517468</v>
      </c>
      <c r="L2683" s="5">
        <v>5239970</v>
      </c>
      <c r="M2683" s="5">
        <v>780162.56000000006</v>
      </c>
      <c r="N2683" s="5">
        <v>0.1646</v>
      </c>
      <c r="O2683" s="5">
        <v>6</v>
      </c>
      <c r="P2683" s="5">
        <v>247358</v>
      </c>
    </row>
    <row r="2684" spans="1:16" x14ac:dyDescent="0.3">
      <c r="A2684" s="5">
        <v>107</v>
      </c>
      <c r="B2684" s="5" t="s">
        <v>137</v>
      </c>
      <c r="C2684" s="5">
        <v>8</v>
      </c>
      <c r="D2684" s="5" t="s">
        <v>82</v>
      </c>
      <c r="E2684" s="5">
        <v>2024</v>
      </c>
      <c r="F2684" s="5">
        <v>5</v>
      </c>
      <c r="G2684" s="5" t="s">
        <v>62</v>
      </c>
      <c r="H2684" s="5">
        <v>6649905</v>
      </c>
      <c r="I2684" s="5">
        <v>5573885.1799999997</v>
      </c>
      <c r="J2684" s="5">
        <v>104</v>
      </c>
      <c r="K2684" s="5">
        <v>707906</v>
      </c>
      <c r="L2684" s="5">
        <v>7333280</v>
      </c>
      <c r="M2684" s="5">
        <v>1076019.82</v>
      </c>
      <c r="N2684" s="5">
        <v>0.1618</v>
      </c>
      <c r="O2684" s="5">
        <v>11</v>
      </c>
      <c r="P2684" s="5">
        <v>325250</v>
      </c>
    </row>
    <row r="2685" spans="1:16" x14ac:dyDescent="0.3">
      <c r="A2685" s="5">
        <v>107</v>
      </c>
      <c r="B2685" s="5" t="s">
        <v>137</v>
      </c>
      <c r="C2685" s="5">
        <v>8</v>
      </c>
      <c r="D2685" s="5" t="s">
        <v>82</v>
      </c>
      <c r="E2685" s="5">
        <v>2024</v>
      </c>
      <c r="F2685" s="5">
        <v>6</v>
      </c>
      <c r="G2685" s="5" t="s">
        <v>63</v>
      </c>
      <c r="H2685" s="5">
        <v>6073213</v>
      </c>
      <c r="I2685" s="5">
        <v>5014409.53</v>
      </c>
      <c r="J2685" s="5">
        <v>96</v>
      </c>
      <c r="K2685" s="5">
        <v>353735</v>
      </c>
      <c r="L2685" s="5">
        <v>6412560</v>
      </c>
      <c r="M2685" s="5">
        <v>1058803.47</v>
      </c>
      <c r="N2685" s="5">
        <v>0.17430000000000001</v>
      </c>
      <c r="O2685" s="5">
        <v>7</v>
      </c>
      <c r="P2685" s="5">
        <v>183629</v>
      </c>
    </row>
    <row r="2686" spans="1:16" x14ac:dyDescent="0.3">
      <c r="A2686" s="5">
        <v>107</v>
      </c>
      <c r="B2686" s="5" t="s">
        <v>137</v>
      </c>
      <c r="C2686" s="5">
        <v>8</v>
      </c>
      <c r="D2686" s="5" t="s">
        <v>82</v>
      </c>
      <c r="E2686" s="5">
        <v>2024</v>
      </c>
      <c r="F2686" s="5">
        <v>7</v>
      </c>
      <c r="G2686" s="5" t="s">
        <v>64</v>
      </c>
      <c r="H2686" s="5">
        <v>7138918</v>
      </c>
      <c r="I2686" s="5">
        <v>6281509.9800000004</v>
      </c>
      <c r="J2686" s="5">
        <v>97</v>
      </c>
      <c r="K2686" s="5">
        <v>900292</v>
      </c>
      <c r="L2686" s="5">
        <v>8021340</v>
      </c>
      <c r="M2686" s="5">
        <v>857408.02</v>
      </c>
      <c r="N2686" s="5">
        <v>0.1201</v>
      </c>
      <c r="O2686" s="5">
        <v>9</v>
      </c>
      <c r="P2686" s="5">
        <v>134025</v>
      </c>
    </row>
    <row r="2687" spans="1:16" x14ac:dyDescent="0.3">
      <c r="A2687" s="5">
        <v>107</v>
      </c>
      <c r="B2687" s="5" t="s">
        <v>137</v>
      </c>
      <c r="C2687" s="5">
        <v>8</v>
      </c>
      <c r="D2687" s="5" t="s">
        <v>82</v>
      </c>
      <c r="E2687" s="5">
        <v>2024</v>
      </c>
      <c r="F2687" s="5">
        <v>8</v>
      </c>
      <c r="G2687" s="5" t="s">
        <v>65</v>
      </c>
      <c r="H2687" s="5">
        <v>5668225</v>
      </c>
      <c r="I2687" s="5">
        <v>4588353.0599999996</v>
      </c>
      <c r="J2687" s="5">
        <v>97</v>
      </c>
      <c r="K2687" s="5">
        <v>317423</v>
      </c>
      <c r="L2687" s="5">
        <v>5961160</v>
      </c>
      <c r="M2687" s="5">
        <v>1079871.94</v>
      </c>
      <c r="N2687" s="5">
        <v>0.1905</v>
      </c>
      <c r="O2687" s="5">
        <v>9</v>
      </c>
      <c r="P2687" s="5">
        <v>352771</v>
      </c>
    </row>
    <row r="2688" spans="1:16" x14ac:dyDescent="0.3">
      <c r="A2688" s="5">
        <v>107</v>
      </c>
      <c r="B2688" s="5" t="s">
        <v>137</v>
      </c>
      <c r="C2688" s="5">
        <v>8</v>
      </c>
      <c r="D2688" s="5" t="s">
        <v>82</v>
      </c>
      <c r="E2688" s="5">
        <v>2024</v>
      </c>
      <c r="F2688" s="5">
        <v>9</v>
      </c>
      <c r="G2688" s="5" t="s">
        <v>66</v>
      </c>
      <c r="H2688" s="5">
        <v>8297773</v>
      </c>
      <c r="I2688" s="5">
        <v>6887540.1600000001</v>
      </c>
      <c r="J2688" s="5">
        <v>102</v>
      </c>
      <c r="K2688" s="5">
        <v>427338</v>
      </c>
      <c r="L2688" s="5">
        <v>8709450</v>
      </c>
      <c r="M2688" s="5">
        <v>1410232.84</v>
      </c>
      <c r="N2688" s="5">
        <v>0.17</v>
      </c>
      <c r="O2688" s="5">
        <v>14</v>
      </c>
      <c r="P2688" s="5">
        <v>336255</v>
      </c>
    </row>
    <row r="2689" spans="1:16" x14ac:dyDescent="0.3">
      <c r="A2689" s="5">
        <v>107</v>
      </c>
      <c r="B2689" s="5" t="s">
        <v>137</v>
      </c>
      <c r="C2689" s="5">
        <v>8</v>
      </c>
      <c r="D2689" s="5" t="s">
        <v>82</v>
      </c>
      <c r="E2689" s="5">
        <v>2024</v>
      </c>
      <c r="F2689" s="5">
        <v>10</v>
      </c>
      <c r="G2689" s="5" t="s">
        <v>67</v>
      </c>
      <c r="H2689" s="5">
        <v>8899126</v>
      </c>
      <c r="I2689" s="5">
        <v>7248672.0800000001</v>
      </c>
      <c r="J2689" s="5">
        <v>117</v>
      </c>
      <c r="K2689" s="5">
        <v>347857</v>
      </c>
      <c r="L2689" s="5">
        <v>9238330</v>
      </c>
      <c r="M2689" s="5">
        <v>1650453.92</v>
      </c>
      <c r="N2689" s="5">
        <v>0.1855</v>
      </c>
      <c r="O2689" s="5">
        <v>8</v>
      </c>
      <c r="P2689" s="5">
        <v>312138</v>
      </c>
    </row>
    <row r="2690" spans="1:16" x14ac:dyDescent="0.3">
      <c r="A2690" s="5">
        <v>107</v>
      </c>
      <c r="B2690" s="5" t="s">
        <v>137</v>
      </c>
      <c r="C2690" s="5">
        <v>8</v>
      </c>
      <c r="D2690" s="5" t="s">
        <v>82</v>
      </c>
      <c r="E2690" s="5">
        <v>2024</v>
      </c>
      <c r="F2690" s="5">
        <v>11</v>
      </c>
      <c r="G2690" s="5" t="s">
        <v>68</v>
      </c>
      <c r="H2690" s="5">
        <v>8887114</v>
      </c>
      <c r="I2690" s="5">
        <v>7524228.0099999998</v>
      </c>
      <c r="J2690" s="5">
        <v>118</v>
      </c>
      <c r="K2690" s="5">
        <v>897165</v>
      </c>
      <c r="L2690" s="5">
        <v>9762940</v>
      </c>
      <c r="M2690" s="5">
        <v>1362885.99</v>
      </c>
      <c r="N2690" s="5">
        <v>0.15340000000000001</v>
      </c>
      <c r="O2690" s="5">
        <v>11</v>
      </c>
      <c r="P2690" s="5">
        <v>169800</v>
      </c>
    </row>
    <row r="2691" spans="1:16" x14ac:dyDescent="0.3">
      <c r="A2691" s="5">
        <v>107</v>
      </c>
      <c r="B2691" s="5" t="s">
        <v>137</v>
      </c>
      <c r="C2691" s="5">
        <v>8</v>
      </c>
      <c r="D2691" s="5" t="s">
        <v>82</v>
      </c>
      <c r="E2691" s="5">
        <v>2024</v>
      </c>
      <c r="F2691" s="5">
        <v>12</v>
      </c>
      <c r="G2691" s="5" t="s">
        <v>69</v>
      </c>
      <c r="H2691" s="5">
        <v>8878328</v>
      </c>
      <c r="I2691" s="5">
        <v>7079297.6799999997</v>
      </c>
      <c r="J2691" s="5">
        <v>132</v>
      </c>
      <c r="K2691" s="5">
        <v>251283</v>
      </c>
      <c r="L2691" s="5">
        <v>9089940</v>
      </c>
      <c r="M2691" s="5">
        <v>1799030.32</v>
      </c>
      <c r="N2691" s="5">
        <v>0.2026</v>
      </c>
      <c r="O2691" s="5">
        <v>10</v>
      </c>
      <c r="P2691" s="5">
        <v>283286</v>
      </c>
    </row>
    <row r="2692" spans="1:16" x14ac:dyDescent="0.3">
      <c r="A2692" s="5">
        <v>4</v>
      </c>
      <c r="B2692" s="5" t="s">
        <v>138</v>
      </c>
      <c r="C2692" s="5">
        <v>9</v>
      </c>
      <c r="D2692" s="5" t="s">
        <v>92</v>
      </c>
      <c r="E2692" s="5">
        <v>2021</v>
      </c>
      <c r="F2692" s="5">
        <v>1</v>
      </c>
      <c r="G2692" s="5" t="s">
        <v>22</v>
      </c>
      <c r="H2692" s="5">
        <v>1357558</v>
      </c>
      <c r="I2692" s="5">
        <v>1267483.67</v>
      </c>
      <c r="J2692" s="5">
        <v>23</v>
      </c>
      <c r="K2692" s="5">
        <v>263690</v>
      </c>
      <c r="L2692" s="5">
        <v>1619420</v>
      </c>
      <c r="M2692" s="5">
        <v>90074.33</v>
      </c>
      <c r="N2692" s="5">
        <v>6.6400000000000001E-2</v>
      </c>
      <c r="O2692" s="5">
        <v>1</v>
      </c>
      <c r="P2692" s="5">
        <v>65564</v>
      </c>
    </row>
    <row r="2693" spans="1:16" x14ac:dyDescent="0.3">
      <c r="A2693" s="5">
        <v>4</v>
      </c>
      <c r="B2693" s="5" t="s">
        <v>138</v>
      </c>
      <c r="C2693" s="5">
        <v>9</v>
      </c>
      <c r="D2693" s="5" t="s">
        <v>92</v>
      </c>
      <c r="E2693" s="5">
        <v>2021</v>
      </c>
      <c r="F2693" s="5">
        <v>2</v>
      </c>
      <c r="G2693" s="5" t="s">
        <v>23</v>
      </c>
      <c r="H2693" s="5">
        <v>2265951</v>
      </c>
      <c r="I2693" s="5">
        <v>1888778.48</v>
      </c>
      <c r="J2693" s="5">
        <v>28</v>
      </c>
      <c r="K2693" s="5">
        <v>233636</v>
      </c>
      <c r="L2693" s="5">
        <v>2485700</v>
      </c>
      <c r="M2693" s="5">
        <v>377172.52</v>
      </c>
      <c r="N2693" s="5">
        <v>0.16650000000000001</v>
      </c>
      <c r="O2693" s="5">
        <v>4</v>
      </c>
      <c r="P2693" s="5">
        <v>38777</v>
      </c>
    </row>
    <row r="2694" spans="1:16" x14ac:dyDescent="0.3">
      <c r="A2694" s="5">
        <v>4</v>
      </c>
      <c r="B2694" s="5" t="s">
        <v>138</v>
      </c>
      <c r="C2694" s="5">
        <v>9</v>
      </c>
      <c r="D2694" s="5" t="s">
        <v>92</v>
      </c>
      <c r="E2694" s="5">
        <v>2021</v>
      </c>
      <c r="F2694" s="5">
        <v>3</v>
      </c>
      <c r="G2694" s="5" t="s">
        <v>24</v>
      </c>
      <c r="H2694" s="5">
        <v>2748601</v>
      </c>
      <c r="I2694" s="5">
        <v>2272946.34</v>
      </c>
      <c r="J2694" s="5">
        <v>34</v>
      </c>
      <c r="K2694" s="5">
        <v>220807</v>
      </c>
      <c r="L2694" s="5">
        <v>2961870</v>
      </c>
      <c r="M2694" s="5">
        <v>475654.66</v>
      </c>
      <c r="N2694" s="5">
        <v>0.1731</v>
      </c>
      <c r="O2694" s="5">
        <v>1</v>
      </c>
      <c r="P2694" s="5">
        <v>52119</v>
      </c>
    </row>
    <row r="2695" spans="1:16" x14ac:dyDescent="0.3">
      <c r="A2695" s="5">
        <v>4</v>
      </c>
      <c r="B2695" s="5" t="s">
        <v>138</v>
      </c>
      <c r="C2695" s="5">
        <v>9</v>
      </c>
      <c r="D2695" s="5" t="s">
        <v>92</v>
      </c>
      <c r="E2695" s="5">
        <v>2021</v>
      </c>
      <c r="F2695" s="5">
        <v>4</v>
      </c>
      <c r="G2695" s="5" t="s">
        <v>25</v>
      </c>
      <c r="H2695" s="5">
        <v>1526186</v>
      </c>
      <c r="I2695" s="5">
        <v>1410571.23</v>
      </c>
      <c r="J2695" s="5">
        <v>25</v>
      </c>
      <c r="K2695" s="5">
        <v>314044</v>
      </c>
      <c r="L2695" s="5">
        <v>1838970</v>
      </c>
      <c r="M2695" s="5">
        <v>115614.77</v>
      </c>
      <c r="N2695" s="5">
        <v>7.5800000000000006E-2</v>
      </c>
      <c r="O2695" s="5">
        <v>1</v>
      </c>
      <c r="P2695" s="5">
        <v>26089</v>
      </c>
    </row>
    <row r="2696" spans="1:16" x14ac:dyDescent="0.3">
      <c r="A2696" s="5">
        <v>4</v>
      </c>
      <c r="B2696" s="5" t="s">
        <v>138</v>
      </c>
      <c r="C2696" s="5">
        <v>9</v>
      </c>
      <c r="D2696" s="5" t="s">
        <v>92</v>
      </c>
      <c r="E2696" s="5">
        <v>2021</v>
      </c>
      <c r="F2696" s="5">
        <v>5</v>
      </c>
      <c r="G2696" s="5" t="s">
        <v>26</v>
      </c>
      <c r="H2696" s="5">
        <v>2658001</v>
      </c>
      <c r="I2696" s="5">
        <v>2613293.59</v>
      </c>
      <c r="J2696" s="5">
        <v>31</v>
      </c>
      <c r="K2696" s="5">
        <v>603244</v>
      </c>
      <c r="L2696" s="5">
        <v>3248340</v>
      </c>
      <c r="M2696" s="5">
        <v>44707.41</v>
      </c>
      <c r="N2696" s="5">
        <v>1.6799999999999999E-2</v>
      </c>
      <c r="O2696" s="5">
        <v>3</v>
      </c>
      <c r="P2696" s="5">
        <v>156871</v>
      </c>
    </row>
    <row r="2697" spans="1:16" x14ac:dyDescent="0.3">
      <c r="A2697" s="5">
        <v>4</v>
      </c>
      <c r="B2697" s="5" t="s">
        <v>138</v>
      </c>
      <c r="C2697" s="5">
        <v>9</v>
      </c>
      <c r="D2697" s="5" t="s">
        <v>92</v>
      </c>
      <c r="E2697" s="5">
        <v>2021</v>
      </c>
      <c r="F2697" s="5">
        <v>6</v>
      </c>
      <c r="G2697" s="5" t="s">
        <v>27</v>
      </c>
      <c r="H2697" s="5">
        <v>1148673</v>
      </c>
      <c r="I2697" s="5">
        <v>946968.6</v>
      </c>
      <c r="J2697" s="5">
        <v>21</v>
      </c>
      <c r="K2697" s="5">
        <v>96591</v>
      </c>
      <c r="L2697" s="5">
        <v>1241700</v>
      </c>
      <c r="M2697" s="5">
        <v>201704.4</v>
      </c>
      <c r="N2697" s="5">
        <v>0.17560000000000001</v>
      </c>
      <c r="O2697" s="5">
        <v>4</v>
      </c>
      <c r="P2697" s="5">
        <v>153099</v>
      </c>
    </row>
    <row r="2698" spans="1:16" x14ac:dyDescent="0.3">
      <c r="A2698" s="5">
        <v>4</v>
      </c>
      <c r="B2698" s="5" t="s">
        <v>138</v>
      </c>
      <c r="C2698" s="5">
        <v>9</v>
      </c>
      <c r="D2698" s="5" t="s">
        <v>92</v>
      </c>
      <c r="E2698" s="5">
        <v>2021</v>
      </c>
      <c r="F2698" s="5">
        <v>7</v>
      </c>
      <c r="G2698" s="5" t="s">
        <v>28</v>
      </c>
      <c r="H2698" s="5">
        <v>1049594</v>
      </c>
      <c r="I2698" s="5">
        <v>927898.85</v>
      </c>
      <c r="J2698" s="5">
        <v>26</v>
      </c>
      <c r="K2698" s="5">
        <v>172793</v>
      </c>
      <c r="L2698" s="5">
        <v>1220630</v>
      </c>
      <c r="M2698" s="5">
        <v>121695.15</v>
      </c>
      <c r="N2698" s="5">
        <v>0.1159</v>
      </c>
      <c r="O2698" s="5">
        <v>2</v>
      </c>
      <c r="P2698" s="5">
        <v>18634</v>
      </c>
    </row>
    <row r="2699" spans="1:16" x14ac:dyDescent="0.3">
      <c r="A2699" s="5">
        <v>4</v>
      </c>
      <c r="B2699" s="5" t="s">
        <v>138</v>
      </c>
      <c r="C2699" s="5">
        <v>9</v>
      </c>
      <c r="D2699" s="5" t="s">
        <v>92</v>
      </c>
      <c r="E2699" s="5">
        <v>2021</v>
      </c>
      <c r="F2699" s="5">
        <v>8</v>
      </c>
      <c r="G2699" s="5" t="s">
        <v>29</v>
      </c>
      <c r="H2699" s="5">
        <v>2975106</v>
      </c>
      <c r="I2699" s="5">
        <v>2525606.9</v>
      </c>
      <c r="J2699" s="5">
        <v>35</v>
      </c>
      <c r="K2699" s="5">
        <v>242765</v>
      </c>
      <c r="L2699" s="5">
        <v>3214030</v>
      </c>
      <c r="M2699" s="5">
        <v>449499.1</v>
      </c>
      <c r="N2699" s="5">
        <v>0.15110000000000001</v>
      </c>
      <c r="O2699" s="5">
        <v>6</v>
      </c>
      <c r="P2699" s="5">
        <v>351672</v>
      </c>
    </row>
    <row r="2700" spans="1:16" x14ac:dyDescent="0.3">
      <c r="A2700" s="5">
        <v>4</v>
      </c>
      <c r="B2700" s="5" t="s">
        <v>138</v>
      </c>
      <c r="C2700" s="5">
        <v>9</v>
      </c>
      <c r="D2700" s="5" t="s">
        <v>92</v>
      </c>
      <c r="E2700" s="5">
        <v>2021</v>
      </c>
      <c r="F2700" s="5">
        <v>9</v>
      </c>
      <c r="G2700" s="5" t="s">
        <v>30</v>
      </c>
      <c r="H2700" s="5">
        <v>2564153</v>
      </c>
      <c r="I2700" s="5">
        <v>2307661.98</v>
      </c>
      <c r="J2700" s="5">
        <v>36</v>
      </c>
      <c r="K2700" s="5">
        <v>392594</v>
      </c>
      <c r="L2700" s="5">
        <v>2953180</v>
      </c>
      <c r="M2700" s="5">
        <v>256491.02</v>
      </c>
      <c r="N2700" s="5">
        <v>0.1</v>
      </c>
      <c r="O2700" s="5">
        <v>2</v>
      </c>
      <c r="P2700" s="5">
        <v>134766</v>
      </c>
    </row>
    <row r="2701" spans="1:16" x14ac:dyDescent="0.3">
      <c r="A2701" s="5">
        <v>4</v>
      </c>
      <c r="B2701" s="5" t="s">
        <v>138</v>
      </c>
      <c r="C2701" s="5">
        <v>9</v>
      </c>
      <c r="D2701" s="5" t="s">
        <v>92</v>
      </c>
      <c r="E2701" s="5">
        <v>2021</v>
      </c>
      <c r="F2701" s="5">
        <v>10</v>
      </c>
      <c r="G2701" s="5" t="s">
        <v>31</v>
      </c>
      <c r="H2701" s="5">
        <v>3024156</v>
      </c>
      <c r="I2701" s="5">
        <v>2539695.12</v>
      </c>
      <c r="J2701" s="5">
        <v>46</v>
      </c>
      <c r="K2701" s="5">
        <v>353140</v>
      </c>
      <c r="L2701" s="5">
        <v>3371570</v>
      </c>
      <c r="M2701" s="5">
        <v>484460.88</v>
      </c>
      <c r="N2701" s="5">
        <v>0.16020000000000001</v>
      </c>
      <c r="O2701" s="5">
        <v>2</v>
      </c>
      <c r="P2701" s="5">
        <v>23115</v>
      </c>
    </row>
    <row r="2702" spans="1:16" x14ac:dyDescent="0.3">
      <c r="A2702" s="5">
        <v>4</v>
      </c>
      <c r="B2702" s="5" t="s">
        <v>138</v>
      </c>
      <c r="C2702" s="5">
        <v>9</v>
      </c>
      <c r="D2702" s="5" t="s">
        <v>92</v>
      </c>
      <c r="E2702" s="5">
        <v>2021</v>
      </c>
      <c r="F2702" s="5">
        <v>11</v>
      </c>
      <c r="G2702" s="5" t="s">
        <v>32</v>
      </c>
      <c r="H2702" s="5">
        <v>4408515</v>
      </c>
      <c r="I2702" s="5">
        <v>3672553.17</v>
      </c>
      <c r="J2702" s="5">
        <v>58</v>
      </c>
      <c r="K2702" s="5">
        <v>348054</v>
      </c>
      <c r="L2702" s="5">
        <v>4743070</v>
      </c>
      <c r="M2702" s="5">
        <v>735961.83</v>
      </c>
      <c r="N2702" s="5">
        <v>0.16689999999999999</v>
      </c>
      <c r="O2702" s="5">
        <v>4</v>
      </c>
      <c r="P2702" s="5">
        <v>92046</v>
      </c>
    </row>
    <row r="2703" spans="1:16" x14ac:dyDescent="0.3">
      <c r="A2703" s="5">
        <v>4</v>
      </c>
      <c r="B2703" s="5" t="s">
        <v>138</v>
      </c>
      <c r="C2703" s="5">
        <v>9</v>
      </c>
      <c r="D2703" s="5" t="s">
        <v>92</v>
      </c>
      <c r="E2703" s="5">
        <v>2021</v>
      </c>
      <c r="F2703" s="5">
        <v>12</v>
      </c>
      <c r="G2703" s="5" t="s">
        <v>33</v>
      </c>
      <c r="H2703" s="5">
        <v>2837393</v>
      </c>
      <c r="I2703" s="5">
        <v>2263291.91</v>
      </c>
      <c r="J2703" s="5">
        <v>48</v>
      </c>
      <c r="K2703" s="5">
        <v>131016</v>
      </c>
      <c r="L2703" s="5">
        <v>2959110</v>
      </c>
      <c r="M2703" s="5">
        <v>574101.09</v>
      </c>
      <c r="N2703" s="5">
        <v>0.20230000000000001</v>
      </c>
      <c r="O2703" s="5">
        <v>5</v>
      </c>
      <c r="P2703" s="5">
        <v>195322</v>
      </c>
    </row>
    <row r="2704" spans="1:16" x14ac:dyDescent="0.3">
      <c r="A2704" s="5">
        <v>4</v>
      </c>
      <c r="B2704" s="5" t="s">
        <v>138</v>
      </c>
      <c r="C2704" s="5">
        <v>9</v>
      </c>
      <c r="D2704" s="5" t="s">
        <v>92</v>
      </c>
      <c r="E2704" s="5">
        <v>2022</v>
      </c>
      <c r="F2704" s="5">
        <v>1</v>
      </c>
      <c r="G2704" s="5" t="s">
        <v>34</v>
      </c>
      <c r="H2704" s="5">
        <v>1727220</v>
      </c>
      <c r="I2704" s="5">
        <v>1471736.62</v>
      </c>
      <c r="J2704" s="5">
        <v>36</v>
      </c>
      <c r="K2704" s="5">
        <v>188116</v>
      </c>
      <c r="L2704" s="5">
        <v>1911610</v>
      </c>
      <c r="M2704" s="5">
        <v>255483.38</v>
      </c>
      <c r="N2704" s="5">
        <v>0.1479</v>
      </c>
      <c r="O2704" s="5">
        <v>0</v>
      </c>
      <c r="P2704" s="5">
        <v>0</v>
      </c>
    </row>
    <row r="2705" spans="1:16" x14ac:dyDescent="0.3">
      <c r="A2705" s="5">
        <v>4</v>
      </c>
      <c r="B2705" s="5" t="s">
        <v>138</v>
      </c>
      <c r="C2705" s="5">
        <v>9</v>
      </c>
      <c r="D2705" s="5" t="s">
        <v>92</v>
      </c>
      <c r="E2705" s="5">
        <v>2022</v>
      </c>
      <c r="F2705" s="5">
        <v>2</v>
      </c>
      <c r="G2705" s="5" t="s">
        <v>35</v>
      </c>
      <c r="H2705" s="5">
        <v>2912022</v>
      </c>
      <c r="I2705" s="5">
        <v>2469671.7599999998</v>
      </c>
      <c r="J2705" s="5">
        <v>43</v>
      </c>
      <c r="K2705" s="5">
        <v>293752</v>
      </c>
      <c r="L2705" s="5">
        <v>3200460</v>
      </c>
      <c r="M2705" s="5">
        <v>442350.24</v>
      </c>
      <c r="N2705" s="5">
        <v>0.15190000000000001</v>
      </c>
      <c r="O2705" s="5">
        <v>1</v>
      </c>
      <c r="P2705" s="5">
        <v>133939</v>
      </c>
    </row>
    <row r="2706" spans="1:16" x14ac:dyDescent="0.3">
      <c r="A2706" s="5">
        <v>4</v>
      </c>
      <c r="B2706" s="5" t="s">
        <v>138</v>
      </c>
      <c r="C2706" s="5">
        <v>9</v>
      </c>
      <c r="D2706" s="5" t="s">
        <v>92</v>
      </c>
      <c r="E2706" s="5">
        <v>2022</v>
      </c>
      <c r="F2706" s="5">
        <v>3</v>
      </c>
      <c r="G2706" s="5" t="s">
        <v>36</v>
      </c>
      <c r="H2706" s="5">
        <v>2261252</v>
      </c>
      <c r="I2706" s="5">
        <v>1923392.97</v>
      </c>
      <c r="J2706" s="5">
        <v>36</v>
      </c>
      <c r="K2706" s="5">
        <v>137282</v>
      </c>
      <c r="L2706" s="5">
        <v>2385360</v>
      </c>
      <c r="M2706" s="5">
        <v>337859.03</v>
      </c>
      <c r="N2706" s="5">
        <v>0.14940000000000001</v>
      </c>
      <c r="O2706" s="5">
        <v>1</v>
      </c>
      <c r="P2706" s="5">
        <v>643</v>
      </c>
    </row>
    <row r="2707" spans="1:16" x14ac:dyDescent="0.3">
      <c r="A2707" s="5">
        <v>4</v>
      </c>
      <c r="B2707" s="5" t="s">
        <v>138</v>
      </c>
      <c r="C2707" s="5">
        <v>9</v>
      </c>
      <c r="D2707" s="5" t="s">
        <v>92</v>
      </c>
      <c r="E2707" s="5">
        <v>2022</v>
      </c>
      <c r="F2707" s="5">
        <v>4</v>
      </c>
      <c r="G2707" s="5" t="s">
        <v>37</v>
      </c>
      <c r="H2707" s="5">
        <v>3339088</v>
      </c>
      <c r="I2707" s="5">
        <v>2964356.51</v>
      </c>
      <c r="J2707" s="5">
        <v>46</v>
      </c>
      <c r="K2707" s="5">
        <v>439847</v>
      </c>
      <c r="L2707" s="5">
        <v>3767400</v>
      </c>
      <c r="M2707" s="5">
        <v>374731.49</v>
      </c>
      <c r="N2707" s="5">
        <v>0.11219999999999999</v>
      </c>
      <c r="O2707" s="5">
        <v>5</v>
      </c>
      <c r="P2707" s="5">
        <v>20745</v>
      </c>
    </row>
    <row r="2708" spans="1:16" x14ac:dyDescent="0.3">
      <c r="A2708" s="5">
        <v>4</v>
      </c>
      <c r="B2708" s="5" t="s">
        <v>138</v>
      </c>
      <c r="C2708" s="5">
        <v>9</v>
      </c>
      <c r="D2708" s="5" t="s">
        <v>92</v>
      </c>
      <c r="E2708" s="5">
        <v>2022</v>
      </c>
      <c r="F2708" s="5">
        <v>5</v>
      </c>
      <c r="G2708" s="5" t="s">
        <v>38</v>
      </c>
      <c r="H2708" s="5">
        <v>2642927</v>
      </c>
      <c r="I2708" s="5">
        <v>2300132.19</v>
      </c>
      <c r="J2708" s="5">
        <v>49</v>
      </c>
      <c r="K2708" s="5">
        <v>347571</v>
      </c>
      <c r="L2708" s="5">
        <v>2981420</v>
      </c>
      <c r="M2708" s="5">
        <v>342794.81</v>
      </c>
      <c r="N2708" s="5">
        <v>0.12970000000000001</v>
      </c>
      <c r="O2708" s="5">
        <v>1</v>
      </c>
      <c r="P2708" s="5">
        <v>6702</v>
      </c>
    </row>
    <row r="2709" spans="1:16" x14ac:dyDescent="0.3">
      <c r="A2709" s="5">
        <v>4</v>
      </c>
      <c r="B2709" s="5" t="s">
        <v>138</v>
      </c>
      <c r="C2709" s="5">
        <v>9</v>
      </c>
      <c r="D2709" s="5" t="s">
        <v>92</v>
      </c>
      <c r="E2709" s="5">
        <v>2022</v>
      </c>
      <c r="F2709" s="5">
        <v>6</v>
      </c>
      <c r="G2709" s="5" t="s">
        <v>39</v>
      </c>
      <c r="H2709" s="5">
        <v>2542316</v>
      </c>
      <c r="I2709" s="5">
        <v>2256899.9700000002</v>
      </c>
      <c r="J2709" s="5">
        <v>39</v>
      </c>
      <c r="K2709" s="5">
        <v>331137</v>
      </c>
      <c r="L2709" s="5">
        <v>2863120</v>
      </c>
      <c r="M2709" s="5">
        <v>285416.03000000003</v>
      </c>
      <c r="N2709" s="5">
        <v>0.1123</v>
      </c>
      <c r="O2709" s="5">
        <v>3</v>
      </c>
      <c r="P2709" s="5">
        <v>126922</v>
      </c>
    </row>
    <row r="2710" spans="1:16" x14ac:dyDescent="0.3">
      <c r="A2710" s="5">
        <v>4</v>
      </c>
      <c r="B2710" s="5" t="s">
        <v>138</v>
      </c>
      <c r="C2710" s="5">
        <v>9</v>
      </c>
      <c r="D2710" s="5" t="s">
        <v>92</v>
      </c>
      <c r="E2710" s="5">
        <v>2022</v>
      </c>
      <c r="F2710" s="5">
        <v>7</v>
      </c>
      <c r="G2710" s="5" t="s">
        <v>40</v>
      </c>
      <c r="H2710" s="5">
        <v>3833976</v>
      </c>
      <c r="I2710" s="5">
        <v>3381385.79</v>
      </c>
      <c r="J2710" s="5">
        <v>47</v>
      </c>
      <c r="K2710" s="5">
        <v>570610</v>
      </c>
      <c r="L2710" s="5">
        <v>4392750</v>
      </c>
      <c r="M2710" s="5">
        <v>452590.21</v>
      </c>
      <c r="N2710" s="5">
        <v>0.11799999999999999</v>
      </c>
      <c r="O2710" s="5">
        <v>2</v>
      </c>
      <c r="P2710" s="5">
        <v>81845</v>
      </c>
    </row>
    <row r="2711" spans="1:16" x14ac:dyDescent="0.3">
      <c r="A2711" s="5">
        <v>4</v>
      </c>
      <c r="B2711" s="5" t="s">
        <v>138</v>
      </c>
      <c r="C2711" s="5">
        <v>9</v>
      </c>
      <c r="D2711" s="5" t="s">
        <v>92</v>
      </c>
      <c r="E2711" s="5">
        <v>2022</v>
      </c>
      <c r="F2711" s="5">
        <v>8</v>
      </c>
      <c r="G2711" s="5" t="s">
        <v>41</v>
      </c>
      <c r="H2711" s="5">
        <v>2268720</v>
      </c>
      <c r="I2711" s="5">
        <v>2249767.9900000002</v>
      </c>
      <c r="J2711" s="5">
        <v>43</v>
      </c>
      <c r="K2711" s="5">
        <v>639909</v>
      </c>
      <c r="L2711" s="5">
        <v>2903030</v>
      </c>
      <c r="M2711" s="5">
        <v>18952.009999999998</v>
      </c>
      <c r="N2711" s="5">
        <v>8.3999999999999995E-3</v>
      </c>
      <c r="O2711" s="5">
        <v>2</v>
      </c>
      <c r="P2711" s="5">
        <v>126636</v>
      </c>
    </row>
    <row r="2712" spans="1:16" x14ac:dyDescent="0.3">
      <c r="A2712" s="5">
        <v>4</v>
      </c>
      <c r="B2712" s="5" t="s">
        <v>138</v>
      </c>
      <c r="C2712" s="5">
        <v>9</v>
      </c>
      <c r="D2712" s="5" t="s">
        <v>92</v>
      </c>
      <c r="E2712" s="5">
        <v>2022</v>
      </c>
      <c r="F2712" s="5">
        <v>9</v>
      </c>
      <c r="G2712" s="5" t="s">
        <v>42</v>
      </c>
      <c r="H2712" s="5">
        <v>4548413</v>
      </c>
      <c r="I2712" s="5">
        <v>3948401.74</v>
      </c>
      <c r="J2712" s="5">
        <v>55</v>
      </c>
      <c r="K2712" s="5">
        <v>505483</v>
      </c>
      <c r="L2712" s="5">
        <v>5039300</v>
      </c>
      <c r="M2712" s="5">
        <v>600011.26</v>
      </c>
      <c r="N2712" s="5">
        <v>0.13189999999999999</v>
      </c>
      <c r="O2712" s="5">
        <v>5</v>
      </c>
      <c r="P2712" s="5">
        <v>187417</v>
      </c>
    </row>
    <row r="2713" spans="1:16" x14ac:dyDescent="0.3">
      <c r="A2713" s="5">
        <v>4</v>
      </c>
      <c r="B2713" s="5" t="s">
        <v>138</v>
      </c>
      <c r="C2713" s="5">
        <v>9</v>
      </c>
      <c r="D2713" s="5" t="s">
        <v>92</v>
      </c>
      <c r="E2713" s="5">
        <v>2022</v>
      </c>
      <c r="F2713" s="5">
        <v>10</v>
      </c>
      <c r="G2713" s="5" t="s">
        <v>43</v>
      </c>
      <c r="H2713" s="5">
        <v>3902047</v>
      </c>
      <c r="I2713" s="5">
        <v>3483267.35</v>
      </c>
      <c r="J2713" s="5">
        <v>60</v>
      </c>
      <c r="K2713" s="5">
        <v>694203</v>
      </c>
      <c r="L2713" s="5">
        <v>4581440</v>
      </c>
      <c r="M2713" s="5">
        <v>418779.65</v>
      </c>
      <c r="N2713" s="5">
        <v>0.10730000000000001</v>
      </c>
      <c r="O2713" s="5">
        <v>2</v>
      </c>
      <c r="P2713" s="5">
        <v>15509</v>
      </c>
    </row>
    <row r="2714" spans="1:16" x14ac:dyDescent="0.3">
      <c r="A2714" s="5">
        <v>4</v>
      </c>
      <c r="B2714" s="5" t="s">
        <v>138</v>
      </c>
      <c r="C2714" s="5">
        <v>9</v>
      </c>
      <c r="D2714" s="5" t="s">
        <v>92</v>
      </c>
      <c r="E2714" s="5">
        <v>2022</v>
      </c>
      <c r="F2714" s="5">
        <v>11</v>
      </c>
      <c r="G2714" s="5" t="s">
        <v>44</v>
      </c>
      <c r="H2714" s="5">
        <v>3918413</v>
      </c>
      <c r="I2714" s="5">
        <v>3261592.43</v>
      </c>
      <c r="J2714" s="5">
        <v>65</v>
      </c>
      <c r="K2714" s="5">
        <v>375395</v>
      </c>
      <c r="L2714" s="5">
        <v>4276730</v>
      </c>
      <c r="M2714" s="5">
        <v>656820.56999999995</v>
      </c>
      <c r="N2714" s="5">
        <v>0.1676</v>
      </c>
      <c r="O2714" s="5">
        <v>6</v>
      </c>
      <c r="P2714" s="5">
        <v>259023</v>
      </c>
    </row>
    <row r="2715" spans="1:16" x14ac:dyDescent="0.3">
      <c r="A2715" s="5">
        <v>4</v>
      </c>
      <c r="B2715" s="5" t="s">
        <v>138</v>
      </c>
      <c r="C2715" s="5">
        <v>9</v>
      </c>
      <c r="D2715" s="5" t="s">
        <v>92</v>
      </c>
      <c r="E2715" s="5">
        <v>2022</v>
      </c>
      <c r="F2715" s="5">
        <v>12</v>
      </c>
      <c r="G2715" s="5" t="s">
        <v>45</v>
      </c>
      <c r="H2715" s="5">
        <v>5470469</v>
      </c>
      <c r="I2715" s="5">
        <v>4591937.6500000004</v>
      </c>
      <c r="J2715" s="5">
        <v>64</v>
      </c>
      <c r="K2715" s="5">
        <v>398125</v>
      </c>
      <c r="L2715" s="5">
        <v>5855950</v>
      </c>
      <c r="M2715" s="5">
        <v>878531.35</v>
      </c>
      <c r="N2715" s="5">
        <v>0.16059999999999999</v>
      </c>
      <c r="O2715" s="5">
        <v>5</v>
      </c>
      <c r="P2715" s="5">
        <v>183748</v>
      </c>
    </row>
    <row r="2716" spans="1:16" x14ac:dyDescent="0.3">
      <c r="A2716" s="5">
        <v>4</v>
      </c>
      <c r="B2716" s="5" t="s">
        <v>138</v>
      </c>
      <c r="C2716" s="5">
        <v>9</v>
      </c>
      <c r="D2716" s="5" t="s">
        <v>92</v>
      </c>
      <c r="E2716" s="5">
        <v>2023</v>
      </c>
      <c r="F2716" s="5">
        <v>1</v>
      </c>
      <c r="G2716" s="5" t="s">
        <v>46</v>
      </c>
      <c r="H2716" s="5">
        <v>3459000</v>
      </c>
      <c r="I2716" s="5">
        <v>3148156.16</v>
      </c>
      <c r="J2716" s="5">
        <v>41</v>
      </c>
      <c r="K2716" s="5">
        <v>582385</v>
      </c>
      <c r="L2716" s="5">
        <v>4028610</v>
      </c>
      <c r="M2716" s="5">
        <v>310843.84000000003</v>
      </c>
      <c r="N2716" s="5">
        <v>8.9899999999999994E-2</v>
      </c>
      <c r="O2716" s="5">
        <v>2</v>
      </c>
      <c r="P2716" s="5">
        <v>169905</v>
      </c>
    </row>
    <row r="2717" spans="1:16" x14ac:dyDescent="0.3">
      <c r="A2717" s="5">
        <v>4</v>
      </c>
      <c r="B2717" s="5" t="s">
        <v>138</v>
      </c>
      <c r="C2717" s="5">
        <v>9</v>
      </c>
      <c r="D2717" s="5" t="s">
        <v>92</v>
      </c>
      <c r="E2717" s="5">
        <v>2023</v>
      </c>
      <c r="F2717" s="5">
        <v>2</v>
      </c>
      <c r="G2717" s="5" t="s">
        <v>47</v>
      </c>
      <c r="H2717" s="5">
        <v>1880557</v>
      </c>
      <c r="I2717" s="5">
        <v>1611162.49</v>
      </c>
      <c r="J2717" s="5">
        <v>34</v>
      </c>
      <c r="K2717" s="5">
        <v>233875</v>
      </c>
      <c r="L2717" s="5">
        <v>2109780</v>
      </c>
      <c r="M2717" s="5">
        <v>269394.51</v>
      </c>
      <c r="N2717" s="5">
        <v>0.14330000000000001</v>
      </c>
      <c r="O2717" s="5">
        <v>2</v>
      </c>
      <c r="P2717" s="5">
        <v>45282</v>
      </c>
    </row>
    <row r="2718" spans="1:16" x14ac:dyDescent="0.3">
      <c r="A2718" s="5">
        <v>4</v>
      </c>
      <c r="B2718" s="5" t="s">
        <v>138</v>
      </c>
      <c r="C2718" s="5">
        <v>9</v>
      </c>
      <c r="D2718" s="5" t="s">
        <v>92</v>
      </c>
      <c r="E2718" s="5">
        <v>2023</v>
      </c>
      <c r="F2718" s="5">
        <v>3</v>
      </c>
      <c r="G2718" s="5" t="s">
        <v>48</v>
      </c>
      <c r="H2718" s="5">
        <v>4023202</v>
      </c>
      <c r="I2718" s="5">
        <v>3594295.91</v>
      </c>
      <c r="J2718" s="5">
        <v>54</v>
      </c>
      <c r="K2718" s="5">
        <v>492023</v>
      </c>
      <c r="L2718" s="5">
        <v>4496450</v>
      </c>
      <c r="M2718" s="5">
        <v>428906.09</v>
      </c>
      <c r="N2718" s="5">
        <v>0.1066</v>
      </c>
      <c r="O2718" s="5">
        <v>4</v>
      </c>
      <c r="P2718" s="5">
        <v>98899</v>
      </c>
    </row>
    <row r="2719" spans="1:16" x14ac:dyDescent="0.3">
      <c r="A2719" s="5">
        <v>4</v>
      </c>
      <c r="B2719" s="5" t="s">
        <v>138</v>
      </c>
      <c r="C2719" s="5">
        <v>9</v>
      </c>
      <c r="D2719" s="5" t="s">
        <v>92</v>
      </c>
      <c r="E2719" s="5">
        <v>2023</v>
      </c>
      <c r="F2719" s="5">
        <v>4</v>
      </c>
      <c r="G2719" s="5" t="s">
        <v>49</v>
      </c>
      <c r="H2719" s="5">
        <v>3329260</v>
      </c>
      <c r="I2719" s="5">
        <v>2807365.08</v>
      </c>
      <c r="J2719" s="5">
        <v>60</v>
      </c>
      <c r="K2719" s="5">
        <v>316906</v>
      </c>
      <c r="L2719" s="5">
        <v>3635060</v>
      </c>
      <c r="M2719" s="5">
        <v>521894.92</v>
      </c>
      <c r="N2719" s="5">
        <v>0.15679999999999999</v>
      </c>
      <c r="O2719" s="5">
        <v>5</v>
      </c>
      <c r="P2719" s="5">
        <v>279410</v>
      </c>
    </row>
    <row r="2720" spans="1:16" x14ac:dyDescent="0.3">
      <c r="A2720" s="5">
        <v>4</v>
      </c>
      <c r="B2720" s="5" t="s">
        <v>138</v>
      </c>
      <c r="C2720" s="5">
        <v>9</v>
      </c>
      <c r="D2720" s="5" t="s">
        <v>92</v>
      </c>
      <c r="E2720" s="5">
        <v>2023</v>
      </c>
      <c r="F2720" s="5">
        <v>5</v>
      </c>
      <c r="G2720" s="5" t="s">
        <v>50</v>
      </c>
      <c r="H2720" s="5">
        <v>5710466</v>
      </c>
      <c r="I2720" s="5">
        <v>4879276.88</v>
      </c>
      <c r="J2720" s="5">
        <v>68</v>
      </c>
      <c r="K2720" s="5">
        <v>560286</v>
      </c>
      <c r="L2720" s="5">
        <v>6235730</v>
      </c>
      <c r="M2720" s="5">
        <v>831189.12</v>
      </c>
      <c r="N2720" s="5">
        <v>0.14560000000000001</v>
      </c>
      <c r="O2720" s="5">
        <v>6</v>
      </c>
      <c r="P2720" s="5">
        <v>197626</v>
      </c>
    </row>
    <row r="2721" spans="1:16" x14ac:dyDescent="0.3">
      <c r="A2721" s="5">
        <v>4</v>
      </c>
      <c r="B2721" s="5" t="s">
        <v>138</v>
      </c>
      <c r="C2721" s="5">
        <v>9</v>
      </c>
      <c r="D2721" s="5" t="s">
        <v>92</v>
      </c>
      <c r="E2721" s="5">
        <v>2023</v>
      </c>
      <c r="F2721" s="5">
        <v>6</v>
      </c>
      <c r="G2721" s="5" t="s">
        <v>51</v>
      </c>
      <c r="H2721" s="5">
        <v>3101999</v>
      </c>
      <c r="I2721" s="5">
        <v>2601994.81</v>
      </c>
      <c r="J2721" s="5">
        <v>37</v>
      </c>
      <c r="K2721" s="5">
        <v>219069</v>
      </c>
      <c r="L2721" s="5">
        <v>3309710</v>
      </c>
      <c r="M2721" s="5">
        <v>500004.19</v>
      </c>
      <c r="N2721" s="5">
        <v>0.16120000000000001</v>
      </c>
      <c r="O2721" s="5">
        <v>3</v>
      </c>
      <c r="P2721" s="5">
        <v>16730</v>
      </c>
    </row>
    <row r="2722" spans="1:16" x14ac:dyDescent="0.3">
      <c r="A2722" s="5">
        <v>4</v>
      </c>
      <c r="B2722" s="5" t="s">
        <v>138</v>
      </c>
      <c r="C2722" s="5">
        <v>9</v>
      </c>
      <c r="D2722" s="5" t="s">
        <v>92</v>
      </c>
      <c r="E2722" s="5">
        <v>2023</v>
      </c>
      <c r="F2722" s="5">
        <v>7</v>
      </c>
      <c r="G2722" s="5" t="s">
        <v>52</v>
      </c>
      <c r="H2722" s="5">
        <v>2282010</v>
      </c>
      <c r="I2722" s="5">
        <v>2010354.19</v>
      </c>
      <c r="J2722" s="5">
        <v>41</v>
      </c>
      <c r="K2722" s="5">
        <v>390923</v>
      </c>
      <c r="L2722" s="5">
        <v>2671160</v>
      </c>
      <c r="M2722" s="5">
        <v>271655.81</v>
      </c>
      <c r="N2722" s="5">
        <v>0.11899999999999999</v>
      </c>
      <c r="O2722" s="5">
        <v>3</v>
      </c>
      <c r="P2722" s="5">
        <v>93041</v>
      </c>
    </row>
    <row r="2723" spans="1:16" x14ac:dyDescent="0.3">
      <c r="A2723" s="5">
        <v>4</v>
      </c>
      <c r="B2723" s="5" t="s">
        <v>138</v>
      </c>
      <c r="C2723" s="5">
        <v>9</v>
      </c>
      <c r="D2723" s="5" t="s">
        <v>92</v>
      </c>
      <c r="E2723" s="5">
        <v>2023</v>
      </c>
      <c r="F2723" s="5">
        <v>8</v>
      </c>
      <c r="G2723" s="5" t="s">
        <v>53</v>
      </c>
      <c r="H2723" s="5">
        <v>2940269</v>
      </c>
      <c r="I2723" s="5">
        <v>2566529.1</v>
      </c>
      <c r="J2723" s="5">
        <v>46</v>
      </c>
      <c r="K2723" s="5">
        <v>341314</v>
      </c>
      <c r="L2723" s="5">
        <v>3272480</v>
      </c>
      <c r="M2723" s="5">
        <v>373739.9</v>
      </c>
      <c r="N2723" s="5">
        <v>0.12709999999999999</v>
      </c>
      <c r="O2723" s="5">
        <v>8</v>
      </c>
      <c r="P2723" s="5">
        <v>216986</v>
      </c>
    </row>
    <row r="2724" spans="1:16" x14ac:dyDescent="0.3">
      <c r="A2724" s="5">
        <v>4</v>
      </c>
      <c r="B2724" s="5" t="s">
        <v>138</v>
      </c>
      <c r="C2724" s="5">
        <v>9</v>
      </c>
      <c r="D2724" s="5" t="s">
        <v>92</v>
      </c>
      <c r="E2724" s="5">
        <v>2023</v>
      </c>
      <c r="F2724" s="5">
        <v>9</v>
      </c>
      <c r="G2724" s="5" t="s">
        <v>54</v>
      </c>
      <c r="H2724" s="5">
        <v>4548849</v>
      </c>
      <c r="I2724" s="5">
        <v>3957354.01</v>
      </c>
      <c r="J2724" s="5">
        <v>66</v>
      </c>
      <c r="K2724" s="5">
        <v>659238</v>
      </c>
      <c r="L2724" s="5">
        <v>5188020</v>
      </c>
      <c r="M2724" s="5">
        <v>591494.99</v>
      </c>
      <c r="N2724" s="5">
        <v>0.13</v>
      </c>
      <c r="O2724" s="5">
        <v>6</v>
      </c>
      <c r="P2724" s="5">
        <v>107084</v>
      </c>
    </row>
    <row r="2725" spans="1:16" x14ac:dyDescent="0.3">
      <c r="A2725" s="5">
        <v>4</v>
      </c>
      <c r="B2725" s="5" t="s">
        <v>138</v>
      </c>
      <c r="C2725" s="5">
        <v>9</v>
      </c>
      <c r="D2725" s="5" t="s">
        <v>92</v>
      </c>
      <c r="E2725" s="5">
        <v>2023</v>
      </c>
      <c r="F2725" s="5">
        <v>10</v>
      </c>
      <c r="G2725" s="5" t="s">
        <v>55</v>
      </c>
      <c r="H2725" s="5">
        <v>5143905</v>
      </c>
      <c r="I2725" s="5">
        <v>4348018.83</v>
      </c>
      <c r="J2725" s="5">
        <v>80</v>
      </c>
      <c r="K2725" s="5">
        <v>502079</v>
      </c>
      <c r="L2725" s="5">
        <v>5623580</v>
      </c>
      <c r="M2725" s="5">
        <v>795886.17</v>
      </c>
      <c r="N2725" s="5">
        <v>0.1547</v>
      </c>
      <c r="O2725" s="5">
        <v>5</v>
      </c>
      <c r="P2725" s="5">
        <v>295140</v>
      </c>
    </row>
    <row r="2726" spans="1:16" x14ac:dyDescent="0.3">
      <c r="A2726" s="5">
        <v>4</v>
      </c>
      <c r="B2726" s="5" t="s">
        <v>138</v>
      </c>
      <c r="C2726" s="5">
        <v>9</v>
      </c>
      <c r="D2726" s="5" t="s">
        <v>92</v>
      </c>
      <c r="E2726" s="5">
        <v>2023</v>
      </c>
      <c r="F2726" s="5">
        <v>11</v>
      </c>
      <c r="G2726" s="5" t="s">
        <v>56</v>
      </c>
      <c r="H2726" s="5">
        <v>4854758</v>
      </c>
      <c r="I2726" s="5">
        <v>4623244.5</v>
      </c>
      <c r="J2726" s="5">
        <v>71</v>
      </c>
      <c r="K2726" s="5">
        <v>1045717</v>
      </c>
      <c r="L2726" s="5">
        <v>5890420</v>
      </c>
      <c r="M2726" s="5">
        <v>231513.5</v>
      </c>
      <c r="N2726" s="5">
        <v>4.7699999999999999E-2</v>
      </c>
      <c r="O2726" s="5">
        <v>6</v>
      </c>
      <c r="P2726" s="5">
        <v>45275</v>
      </c>
    </row>
    <row r="2727" spans="1:16" x14ac:dyDescent="0.3">
      <c r="A2727" s="5">
        <v>4</v>
      </c>
      <c r="B2727" s="5" t="s">
        <v>138</v>
      </c>
      <c r="C2727" s="5">
        <v>9</v>
      </c>
      <c r="D2727" s="5" t="s">
        <v>92</v>
      </c>
      <c r="E2727" s="5">
        <v>2023</v>
      </c>
      <c r="F2727" s="5">
        <v>12</v>
      </c>
      <c r="G2727" s="5" t="s">
        <v>57</v>
      </c>
      <c r="H2727" s="5">
        <v>4874282</v>
      </c>
      <c r="I2727" s="5">
        <v>4564937.5599999996</v>
      </c>
      <c r="J2727" s="5">
        <v>80</v>
      </c>
      <c r="K2727" s="5">
        <v>962472</v>
      </c>
      <c r="L2727" s="5">
        <v>5825620</v>
      </c>
      <c r="M2727" s="5">
        <v>309344.44</v>
      </c>
      <c r="N2727" s="5">
        <v>6.3500000000000001E-2</v>
      </c>
      <c r="O2727" s="5">
        <v>4</v>
      </c>
      <c r="P2727" s="5">
        <v>96152</v>
      </c>
    </row>
    <row r="2728" spans="1:16" x14ac:dyDescent="0.3">
      <c r="A2728" s="5">
        <v>4</v>
      </c>
      <c r="B2728" s="5" t="s">
        <v>138</v>
      </c>
      <c r="C2728" s="5">
        <v>9</v>
      </c>
      <c r="D2728" s="5" t="s">
        <v>92</v>
      </c>
      <c r="E2728" s="5">
        <v>2024</v>
      </c>
      <c r="F2728" s="5">
        <v>1</v>
      </c>
      <c r="G2728" s="5" t="s">
        <v>58</v>
      </c>
      <c r="H2728" s="5">
        <v>2542834</v>
      </c>
      <c r="I2728" s="5">
        <v>2283655.13</v>
      </c>
      <c r="J2728" s="5">
        <v>52</v>
      </c>
      <c r="K2728" s="5">
        <v>451131</v>
      </c>
      <c r="L2728" s="5">
        <v>2991870</v>
      </c>
      <c r="M2728" s="5">
        <v>259178.87</v>
      </c>
      <c r="N2728" s="5">
        <v>0.1019</v>
      </c>
      <c r="O2728" s="5">
        <v>2</v>
      </c>
      <c r="P2728" s="5">
        <v>69799</v>
      </c>
    </row>
    <row r="2729" spans="1:16" x14ac:dyDescent="0.3">
      <c r="A2729" s="5">
        <v>4</v>
      </c>
      <c r="B2729" s="5" t="s">
        <v>138</v>
      </c>
      <c r="C2729" s="5">
        <v>9</v>
      </c>
      <c r="D2729" s="5" t="s">
        <v>92</v>
      </c>
      <c r="E2729" s="5">
        <v>2024</v>
      </c>
      <c r="F2729" s="5">
        <v>2</v>
      </c>
      <c r="G2729" s="5" t="s">
        <v>59</v>
      </c>
      <c r="H2729" s="5">
        <v>3868774</v>
      </c>
      <c r="I2729" s="5">
        <v>3264577.31</v>
      </c>
      <c r="J2729" s="5">
        <v>58</v>
      </c>
      <c r="K2729" s="5">
        <v>357101</v>
      </c>
      <c r="L2729" s="5">
        <v>4202380</v>
      </c>
      <c r="M2729" s="5">
        <v>604196.68999999994</v>
      </c>
      <c r="N2729" s="5">
        <v>0.15620000000000001</v>
      </c>
      <c r="O2729" s="5">
        <v>5</v>
      </c>
      <c r="P2729" s="5">
        <v>40656</v>
      </c>
    </row>
    <row r="2730" spans="1:16" x14ac:dyDescent="0.3">
      <c r="A2730" s="5">
        <v>4</v>
      </c>
      <c r="B2730" s="5" t="s">
        <v>138</v>
      </c>
      <c r="C2730" s="5">
        <v>9</v>
      </c>
      <c r="D2730" s="5" t="s">
        <v>92</v>
      </c>
      <c r="E2730" s="5">
        <v>2024</v>
      </c>
      <c r="F2730" s="5">
        <v>3</v>
      </c>
      <c r="G2730" s="5" t="s">
        <v>60</v>
      </c>
      <c r="H2730" s="5">
        <v>4614533</v>
      </c>
      <c r="I2730" s="5">
        <v>4011747.91</v>
      </c>
      <c r="J2730" s="5">
        <v>60</v>
      </c>
      <c r="K2730" s="5">
        <v>492336</v>
      </c>
      <c r="L2730" s="5">
        <v>5104240</v>
      </c>
      <c r="M2730" s="5">
        <v>602785.09</v>
      </c>
      <c r="N2730" s="5">
        <v>0.13059999999999999</v>
      </c>
      <c r="O2730" s="5">
        <v>5</v>
      </c>
      <c r="P2730" s="5">
        <v>263807</v>
      </c>
    </row>
    <row r="2731" spans="1:16" x14ac:dyDescent="0.3">
      <c r="A2731" s="5">
        <v>4</v>
      </c>
      <c r="B2731" s="5" t="s">
        <v>138</v>
      </c>
      <c r="C2731" s="5">
        <v>9</v>
      </c>
      <c r="D2731" s="5" t="s">
        <v>92</v>
      </c>
      <c r="E2731" s="5">
        <v>2024</v>
      </c>
      <c r="F2731" s="5">
        <v>4</v>
      </c>
      <c r="G2731" s="5" t="s">
        <v>61</v>
      </c>
      <c r="H2731" s="5">
        <v>3925474</v>
      </c>
      <c r="I2731" s="5">
        <v>3535111.26</v>
      </c>
      <c r="J2731" s="5">
        <v>56</v>
      </c>
      <c r="K2731" s="5">
        <v>585347</v>
      </c>
      <c r="L2731" s="5">
        <v>4498730</v>
      </c>
      <c r="M2731" s="5">
        <v>390362.74</v>
      </c>
      <c r="N2731" s="5">
        <v>9.9400000000000002E-2</v>
      </c>
      <c r="O2731" s="5">
        <v>5</v>
      </c>
      <c r="P2731" s="5">
        <v>79173</v>
      </c>
    </row>
    <row r="2732" spans="1:16" x14ac:dyDescent="0.3">
      <c r="A2732" s="5">
        <v>4</v>
      </c>
      <c r="B2732" s="5" t="s">
        <v>138</v>
      </c>
      <c r="C2732" s="5">
        <v>9</v>
      </c>
      <c r="D2732" s="5" t="s">
        <v>92</v>
      </c>
      <c r="E2732" s="5">
        <v>2024</v>
      </c>
      <c r="F2732" s="5">
        <v>5</v>
      </c>
      <c r="G2732" s="5" t="s">
        <v>62</v>
      </c>
      <c r="H2732" s="5">
        <v>4675997</v>
      </c>
      <c r="I2732" s="5">
        <v>4374344.9000000004</v>
      </c>
      <c r="J2732" s="5">
        <v>67</v>
      </c>
      <c r="K2732" s="5">
        <v>925859</v>
      </c>
      <c r="L2732" s="5">
        <v>5595570</v>
      </c>
      <c r="M2732" s="5">
        <v>301652.09999999998</v>
      </c>
      <c r="N2732" s="5">
        <v>6.4500000000000002E-2</v>
      </c>
      <c r="O2732" s="5">
        <v>8</v>
      </c>
      <c r="P2732" s="5">
        <v>435181</v>
      </c>
    </row>
    <row r="2733" spans="1:16" x14ac:dyDescent="0.3">
      <c r="A2733" s="5">
        <v>4</v>
      </c>
      <c r="B2733" s="5" t="s">
        <v>138</v>
      </c>
      <c r="C2733" s="5">
        <v>9</v>
      </c>
      <c r="D2733" s="5" t="s">
        <v>92</v>
      </c>
      <c r="E2733" s="5">
        <v>2024</v>
      </c>
      <c r="F2733" s="5">
        <v>6</v>
      </c>
      <c r="G2733" s="5" t="s">
        <v>63</v>
      </c>
      <c r="H2733" s="5">
        <v>3727005</v>
      </c>
      <c r="I2733" s="5">
        <v>3041887.45</v>
      </c>
      <c r="J2733" s="5">
        <v>55</v>
      </c>
      <c r="K2733" s="5">
        <v>219217</v>
      </c>
      <c r="L2733" s="5">
        <v>3931870</v>
      </c>
      <c r="M2733" s="5">
        <v>685117.55</v>
      </c>
      <c r="N2733" s="5">
        <v>0.18379999999999999</v>
      </c>
      <c r="O2733" s="5">
        <v>3</v>
      </c>
      <c r="P2733" s="5">
        <v>47879</v>
      </c>
    </row>
    <row r="2734" spans="1:16" x14ac:dyDescent="0.3">
      <c r="A2734" s="5">
        <v>4</v>
      </c>
      <c r="B2734" s="5" t="s">
        <v>138</v>
      </c>
      <c r="C2734" s="5">
        <v>9</v>
      </c>
      <c r="D2734" s="5" t="s">
        <v>92</v>
      </c>
      <c r="E2734" s="5">
        <v>2024</v>
      </c>
      <c r="F2734" s="5">
        <v>7</v>
      </c>
      <c r="G2734" s="5" t="s">
        <v>64</v>
      </c>
      <c r="H2734" s="5">
        <v>4304344</v>
      </c>
      <c r="I2734" s="5">
        <v>3692875.41</v>
      </c>
      <c r="J2734" s="5">
        <v>65</v>
      </c>
      <c r="K2734" s="5">
        <v>359898</v>
      </c>
      <c r="L2734" s="5">
        <v>4648050</v>
      </c>
      <c r="M2734" s="5">
        <v>611468.59</v>
      </c>
      <c r="N2734" s="5">
        <v>0.1421</v>
      </c>
      <c r="O2734" s="5">
        <v>1</v>
      </c>
      <c r="P2734" s="5">
        <v>2047</v>
      </c>
    </row>
    <row r="2735" spans="1:16" x14ac:dyDescent="0.3">
      <c r="A2735" s="5">
        <v>4</v>
      </c>
      <c r="B2735" s="5" t="s">
        <v>138</v>
      </c>
      <c r="C2735" s="5">
        <v>9</v>
      </c>
      <c r="D2735" s="5" t="s">
        <v>92</v>
      </c>
      <c r="E2735" s="5">
        <v>2024</v>
      </c>
      <c r="F2735" s="5">
        <v>8</v>
      </c>
      <c r="G2735" s="5" t="s">
        <v>65</v>
      </c>
      <c r="H2735" s="5">
        <v>4187557</v>
      </c>
      <c r="I2735" s="5">
        <v>3591161.91</v>
      </c>
      <c r="J2735" s="5">
        <v>58</v>
      </c>
      <c r="K2735" s="5">
        <v>467368</v>
      </c>
      <c r="L2735" s="5">
        <v>4645740</v>
      </c>
      <c r="M2735" s="5">
        <v>596395.09</v>
      </c>
      <c r="N2735" s="5">
        <v>0.1424</v>
      </c>
      <c r="O2735" s="5">
        <v>5</v>
      </c>
      <c r="P2735" s="5">
        <v>171751</v>
      </c>
    </row>
    <row r="2736" spans="1:16" x14ac:dyDescent="0.3">
      <c r="A2736" s="5">
        <v>4</v>
      </c>
      <c r="B2736" s="5" t="s">
        <v>138</v>
      </c>
      <c r="C2736" s="5">
        <v>9</v>
      </c>
      <c r="D2736" s="5" t="s">
        <v>92</v>
      </c>
      <c r="E2736" s="5">
        <v>2024</v>
      </c>
      <c r="F2736" s="5">
        <v>9</v>
      </c>
      <c r="G2736" s="5" t="s">
        <v>66</v>
      </c>
      <c r="H2736" s="5">
        <v>4643464</v>
      </c>
      <c r="I2736" s="5">
        <v>3825646.76</v>
      </c>
      <c r="J2736" s="5">
        <v>60</v>
      </c>
      <c r="K2736" s="5">
        <v>337402</v>
      </c>
      <c r="L2736" s="5">
        <v>4969830</v>
      </c>
      <c r="M2736" s="5">
        <v>817817.24</v>
      </c>
      <c r="N2736" s="5">
        <v>0.17610000000000001</v>
      </c>
      <c r="O2736" s="5">
        <v>3</v>
      </c>
      <c r="P2736" s="5">
        <v>160603</v>
      </c>
    </row>
    <row r="2737" spans="1:16" x14ac:dyDescent="0.3">
      <c r="A2737" s="5">
        <v>4</v>
      </c>
      <c r="B2737" s="5" t="s">
        <v>138</v>
      </c>
      <c r="C2737" s="5">
        <v>9</v>
      </c>
      <c r="D2737" s="5" t="s">
        <v>92</v>
      </c>
      <c r="E2737" s="5">
        <v>2024</v>
      </c>
      <c r="F2737" s="5">
        <v>10</v>
      </c>
      <c r="G2737" s="5" t="s">
        <v>67</v>
      </c>
      <c r="H2737" s="5">
        <v>6803087</v>
      </c>
      <c r="I2737" s="5">
        <v>5532393.5800000001</v>
      </c>
      <c r="J2737" s="5">
        <v>86</v>
      </c>
      <c r="K2737" s="5">
        <v>235105</v>
      </c>
      <c r="L2737" s="5">
        <v>7014790</v>
      </c>
      <c r="M2737" s="5">
        <v>1270693.42</v>
      </c>
      <c r="N2737" s="5">
        <v>0.18679999999999999</v>
      </c>
      <c r="O2737" s="5">
        <v>12</v>
      </c>
      <c r="P2737" s="5">
        <v>343988</v>
      </c>
    </row>
    <row r="2738" spans="1:16" x14ac:dyDescent="0.3">
      <c r="A2738" s="5">
        <v>4</v>
      </c>
      <c r="B2738" s="5" t="s">
        <v>138</v>
      </c>
      <c r="C2738" s="5">
        <v>9</v>
      </c>
      <c r="D2738" s="5" t="s">
        <v>92</v>
      </c>
      <c r="E2738" s="5">
        <v>2024</v>
      </c>
      <c r="F2738" s="5">
        <v>11</v>
      </c>
      <c r="G2738" s="5" t="s">
        <v>68</v>
      </c>
      <c r="H2738" s="5">
        <v>6588493</v>
      </c>
      <c r="I2738" s="5">
        <v>5590465.9500000002</v>
      </c>
      <c r="J2738" s="5">
        <v>82</v>
      </c>
      <c r="K2738" s="5">
        <v>548339</v>
      </c>
      <c r="L2738" s="5">
        <v>7115480</v>
      </c>
      <c r="M2738" s="5">
        <v>998027.05</v>
      </c>
      <c r="N2738" s="5">
        <v>0.1515</v>
      </c>
      <c r="O2738" s="5">
        <v>5</v>
      </c>
      <c r="P2738" s="5">
        <v>264843</v>
      </c>
    </row>
    <row r="2739" spans="1:16" x14ac:dyDescent="0.3">
      <c r="A2739" s="5">
        <v>4</v>
      </c>
      <c r="B2739" s="5" t="s">
        <v>138</v>
      </c>
      <c r="C2739" s="5">
        <v>9</v>
      </c>
      <c r="D2739" s="5" t="s">
        <v>92</v>
      </c>
      <c r="E2739" s="5">
        <v>2024</v>
      </c>
      <c r="F2739" s="5">
        <v>12</v>
      </c>
      <c r="G2739" s="5" t="s">
        <v>69</v>
      </c>
      <c r="H2739" s="5">
        <v>6584110</v>
      </c>
      <c r="I2739" s="5">
        <v>5272251.93</v>
      </c>
      <c r="J2739" s="5">
        <v>86</v>
      </c>
      <c r="K2739" s="5">
        <v>197839</v>
      </c>
      <c r="L2739" s="5">
        <v>6759060</v>
      </c>
      <c r="M2739" s="5">
        <v>1311858.07</v>
      </c>
      <c r="N2739" s="5">
        <v>0.19919999999999999</v>
      </c>
      <c r="O2739" s="5">
        <v>6</v>
      </c>
      <c r="P2739" s="5">
        <v>182154</v>
      </c>
    </row>
    <row r="2740" spans="1:16" x14ac:dyDescent="0.3">
      <c r="A2740" s="5">
        <v>28</v>
      </c>
      <c r="B2740" s="5" t="s">
        <v>139</v>
      </c>
      <c r="C2740" s="5">
        <v>9</v>
      </c>
      <c r="D2740" s="5" t="s">
        <v>92</v>
      </c>
      <c r="E2740" s="5">
        <v>2021</v>
      </c>
      <c r="F2740" s="5">
        <v>1</v>
      </c>
      <c r="G2740" s="5" t="s">
        <v>22</v>
      </c>
      <c r="H2740" s="5">
        <v>3456275</v>
      </c>
      <c r="I2740" s="5">
        <v>3134891.79</v>
      </c>
      <c r="J2740" s="5">
        <v>67</v>
      </c>
      <c r="K2740" s="5">
        <v>623480</v>
      </c>
      <c r="L2740" s="5">
        <v>4062220</v>
      </c>
      <c r="M2740" s="5">
        <v>321383.21000000002</v>
      </c>
      <c r="N2740" s="5">
        <v>9.2999999999999999E-2</v>
      </c>
      <c r="O2740" s="5">
        <v>7</v>
      </c>
      <c r="P2740" s="5">
        <v>235598</v>
      </c>
    </row>
    <row r="2741" spans="1:16" x14ac:dyDescent="0.3">
      <c r="A2741" s="5">
        <v>35</v>
      </c>
      <c r="B2741" s="5" t="s">
        <v>139</v>
      </c>
      <c r="C2741" s="5">
        <v>9</v>
      </c>
      <c r="D2741" s="5" t="s">
        <v>92</v>
      </c>
      <c r="E2741" s="5">
        <v>2021</v>
      </c>
      <c r="F2741" s="5">
        <v>1</v>
      </c>
      <c r="G2741" s="5" t="s">
        <v>22</v>
      </c>
      <c r="H2741" s="5">
        <v>1614314</v>
      </c>
      <c r="I2741" s="5">
        <v>1435199.39</v>
      </c>
      <c r="J2741" s="5">
        <v>25</v>
      </c>
      <c r="K2741" s="5">
        <v>248701</v>
      </c>
      <c r="L2741" s="5">
        <v>1859680</v>
      </c>
      <c r="M2741" s="5">
        <v>179114.61</v>
      </c>
      <c r="N2741" s="5">
        <v>0.111</v>
      </c>
      <c r="O2741" s="5">
        <v>3</v>
      </c>
      <c r="P2741" s="5">
        <v>54264</v>
      </c>
    </row>
    <row r="2742" spans="1:16" x14ac:dyDescent="0.3">
      <c r="A2742" s="5">
        <v>28</v>
      </c>
      <c r="B2742" s="5" t="s">
        <v>139</v>
      </c>
      <c r="C2742" s="5">
        <v>9</v>
      </c>
      <c r="D2742" s="5" t="s">
        <v>92</v>
      </c>
      <c r="E2742" s="5">
        <v>2021</v>
      </c>
      <c r="F2742" s="5">
        <v>2</v>
      </c>
      <c r="G2742" s="5" t="s">
        <v>23</v>
      </c>
      <c r="H2742" s="5">
        <v>4217752</v>
      </c>
      <c r="I2742" s="5">
        <v>3647301.69</v>
      </c>
      <c r="J2742" s="5">
        <v>67</v>
      </c>
      <c r="K2742" s="5">
        <v>534338</v>
      </c>
      <c r="L2742" s="5">
        <v>4740840</v>
      </c>
      <c r="M2742" s="5">
        <v>570450.31000000006</v>
      </c>
      <c r="N2742" s="5">
        <v>0.13519999999999999</v>
      </c>
      <c r="O2742" s="5">
        <v>1</v>
      </c>
      <c r="P2742" s="5">
        <v>9851</v>
      </c>
    </row>
    <row r="2743" spans="1:16" x14ac:dyDescent="0.3">
      <c r="A2743" s="5">
        <v>35</v>
      </c>
      <c r="B2743" s="5" t="s">
        <v>139</v>
      </c>
      <c r="C2743" s="5">
        <v>9</v>
      </c>
      <c r="D2743" s="5" t="s">
        <v>92</v>
      </c>
      <c r="E2743" s="5">
        <v>2021</v>
      </c>
      <c r="F2743" s="5">
        <v>2</v>
      </c>
      <c r="G2743" s="5" t="s">
        <v>23</v>
      </c>
      <c r="H2743" s="5">
        <v>1172854</v>
      </c>
      <c r="I2743" s="5">
        <v>1003701.55</v>
      </c>
      <c r="J2743" s="5">
        <v>22</v>
      </c>
      <c r="K2743" s="5">
        <v>155338</v>
      </c>
      <c r="L2743" s="5">
        <v>1324010</v>
      </c>
      <c r="M2743" s="5">
        <v>169152.45</v>
      </c>
      <c r="N2743" s="5">
        <v>0.14419999999999999</v>
      </c>
      <c r="O2743" s="5">
        <v>0</v>
      </c>
      <c r="P2743" s="5">
        <v>0</v>
      </c>
    </row>
    <row r="2744" spans="1:16" x14ac:dyDescent="0.3">
      <c r="A2744" s="5">
        <v>28</v>
      </c>
      <c r="B2744" s="5" t="s">
        <v>139</v>
      </c>
      <c r="C2744" s="5">
        <v>9</v>
      </c>
      <c r="D2744" s="5" t="s">
        <v>92</v>
      </c>
      <c r="E2744" s="5">
        <v>2021</v>
      </c>
      <c r="F2744" s="5">
        <v>3</v>
      </c>
      <c r="G2744" s="5" t="s">
        <v>24</v>
      </c>
      <c r="H2744" s="5">
        <v>5955056</v>
      </c>
      <c r="I2744" s="5">
        <v>5046415.16</v>
      </c>
      <c r="J2744" s="5">
        <v>79</v>
      </c>
      <c r="K2744" s="5">
        <v>525841</v>
      </c>
      <c r="L2744" s="5">
        <v>6466990</v>
      </c>
      <c r="M2744" s="5">
        <v>908640.84</v>
      </c>
      <c r="N2744" s="5">
        <v>0.15260000000000001</v>
      </c>
      <c r="O2744" s="5">
        <v>5</v>
      </c>
      <c r="P2744" s="5">
        <v>98788</v>
      </c>
    </row>
    <row r="2745" spans="1:16" x14ac:dyDescent="0.3">
      <c r="A2745" s="5">
        <v>35</v>
      </c>
      <c r="B2745" s="5" t="s">
        <v>139</v>
      </c>
      <c r="C2745" s="5">
        <v>9</v>
      </c>
      <c r="D2745" s="5" t="s">
        <v>92</v>
      </c>
      <c r="E2745" s="5">
        <v>2021</v>
      </c>
      <c r="F2745" s="5">
        <v>3</v>
      </c>
      <c r="G2745" s="5" t="s">
        <v>24</v>
      </c>
      <c r="H2745" s="5">
        <v>2529353</v>
      </c>
      <c r="I2745" s="5">
        <v>2162370.37</v>
      </c>
      <c r="J2745" s="5">
        <v>20</v>
      </c>
      <c r="K2745" s="5">
        <v>203096</v>
      </c>
      <c r="L2745" s="5">
        <v>2730800</v>
      </c>
      <c r="M2745" s="5">
        <v>366982.63</v>
      </c>
      <c r="N2745" s="5">
        <v>0.14510000000000001</v>
      </c>
      <c r="O2745" s="5">
        <v>1</v>
      </c>
      <c r="P2745" s="5">
        <v>125796</v>
      </c>
    </row>
    <row r="2746" spans="1:16" x14ac:dyDescent="0.3">
      <c r="A2746" s="5">
        <v>28</v>
      </c>
      <c r="B2746" s="5" t="s">
        <v>139</v>
      </c>
      <c r="C2746" s="5">
        <v>9</v>
      </c>
      <c r="D2746" s="5" t="s">
        <v>92</v>
      </c>
      <c r="E2746" s="5">
        <v>2021</v>
      </c>
      <c r="F2746" s="5">
        <v>4</v>
      </c>
      <c r="G2746" s="5" t="s">
        <v>25</v>
      </c>
      <c r="H2746" s="5">
        <v>8018612</v>
      </c>
      <c r="I2746" s="5">
        <v>6927325.4900000002</v>
      </c>
      <c r="J2746" s="5">
        <v>95</v>
      </c>
      <c r="K2746" s="5">
        <v>895007</v>
      </c>
      <c r="L2746" s="5">
        <v>8890110</v>
      </c>
      <c r="M2746" s="5">
        <v>1091286.51</v>
      </c>
      <c r="N2746" s="5">
        <v>0.1361</v>
      </c>
      <c r="O2746" s="5">
        <v>14</v>
      </c>
      <c r="P2746" s="5">
        <v>622557</v>
      </c>
    </row>
    <row r="2747" spans="1:16" x14ac:dyDescent="0.3">
      <c r="A2747" s="5">
        <v>35</v>
      </c>
      <c r="B2747" s="5" t="s">
        <v>139</v>
      </c>
      <c r="C2747" s="5">
        <v>9</v>
      </c>
      <c r="D2747" s="5" t="s">
        <v>92</v>
      </c>
      <c r="E2747" s="5">
        <v>2021</v>
      </c>
      <c r="F2747" s="5">
        <v>4</v>
      </c>
      <c r="G2747" s="5" t="s">
        <v>25</v>
      </c>
      <c r="H2747" s="5">
        <v>2502071</v>
      </c>
      <c r="I2747" s="5">
        <v>2257952.79</v>
      </c>
      <c r="J2747" s="5">
        <v>30</v>
      </c>
      <c r="K2747" s="5">
        <v>424516</v>
      </c>
      <c r="L2747" s="5">
        <v>2916550</v>
      </c>
      <c r="M2747" s="5">
        <v>244118.21</v>
      </c>
      <c r="N2747" s="5">
        <v>9.7600000000000006E-2</v>
      </c>
      <c r="O2747" s="5">
        <v>2</v>
      </c>
      <c r="P2747" s="5">
        <v>12014</v>
      </c>
    </row>
    <row r="2748" spans="1:16" x14ac:dyDescent="0.3">
      <c r="A2748" s="5">
        <v>28</v>
      </c>
      <c r="B2748" s="5" t="s">
        <v>139</v>
      </c>
      <c r="C2748" s="5">
        <v>9</v>
      </c>
      <c r="D2748" s="5" t="s">
        <v>92</v>
      </c>
      <c r="E2748" s="5">
        <v>2021</v>
      </c>
      <c r="F2748" s="5">
        <v>5</v>
      </c>
      <c r="G2748" s="5" t="s">
        <v>26</v>
      </c>
      <c r="H2748" s="5">
        <v>5621770</v>
      </c>
      <c r="I2748" s="5">
        <v>4799475.2699999996</v>
      </c>
      <c r="J2748" s="5">
        <v>93</v>
      </c>
      <c r="K2748" s="5">
        <v>623031</v>
      </c>
      <c r="L2748" s="5">
        <v>6224560</v>
      </c>
      <c r="M2748" s="5">
        <v>822294.73</v>
      </c>
      <c r="N2748" s="5">
        <v>0.14630000000000001</v>
      </c>
      <c r="O2748" s="5">
        <v>5</v>
      </c>
      <c r="P2748" s="5">
        <v>205314</v>
      </c>
    </row>
    <row r="2749" spans="1:16" x14ac:dyDescent="0.3">
      <c r="A2749" s="5">
        <v>35</v>
      </c>
      <c r="B2749" s="5" t="s">
        <v>139</v>
      </c>
      <c r="C2749" s="5">
        <v>9</v>
      </c>
      <c r="D2749" s="5" t="s">
        <v>92</v>
      </c>
      <c r="E2749" s="5">
        <v>2021</v>
      </c>
      <c r="F2749" s="5">
        <v>5</v>
      </c>
      <c r="G2749" s="5" t="s">
        <v>26</v>
      </c>
      <c r="H2749" s="5">
        <v>1600302</v>
      </c>
      <c r="I2749" s="5">
        <v>1371516.84</v>
      </c>
      <c r="J2749" s="5">
        <v>23</v>
      </c>
      <c r="K2749" s="5">
        <v>166980</v>
      </c>
      <c r="L2749" s="5">
        <v>1759100</v>
      </c>
      <c r="M2749" s="5">
        <v>228785.16</v>
      </c>
      <c r="N2749" s="5">
        <v>0.14299999999999999</v>
      </c>
      <c r="O2749" s="5">
        <v>2</v>
      </c>
      <c r="P2749" s="5">
        <v>3452</v>
      </c>
    </row>
    <row r="2750" spans="1:16" x14ac:dyDescent="0.3">
      <c r="A2750" s="5">
        <v>28</v>
      </c>
      <c r="B2750" s="5" t="s">
        <v>139</v>
      </c>
      <c r="C2750" s="5">
        <v>9</v>
      </c>
      <c r="D2750" s="5" t="s">
        <v>92</v>
      </c>
      <c r="E2750" s="5">
        <v>2021</v>
      </c>
      <c r="F2750" s="5">
        <v>6</v>
      </c>
      <c r="G2750" s="5" t="s">
        <v>27</v>
      </c>
      <c r="H2750" s="5">
        <v>5155139</v>
      </c>
      <c r="I2750" s="5">
        <v>4529374.45</v>
      </c>
      <c r="J2750" s="5">
        <v>95</v>
      </c>
      <c r="K2750" s="5">
        <v>696140</v>
      </c>
      <c r="L2750" s="5">
        <v>5833780</v>
      </c>
      <c r="M2750" s="5">
        <v>625764.55000000005</v>
      </c>
      <c r="N2750" s="5">
        <v>0.12139999999999999</v>
      </c>
      <c r="O2750" s="5">
        <v>7</v>
      </c>
      <c r="P2750" s="5">
        <v>87368</v>
      </c>
    </row>
    <row r="2751" spans="1:16" x14ac:dyDescent="0.3">
      <c r="A2751" s="5">
        <v>35</v>
      </c>
      <c r="B2751" s="5" t="s">
        <v>139</v>
      </c>
      <c r="C2751" s="5">
        <v>9</v>
      </c>
      <c r="D2751" s="5" t="s">
        <v>92</v>
      </c>
      <c r="E2751" s="5">
        <v>2021</v>
      </c>
      <c r="F2751" s="5">
        <v>6</v>
      </c>
      <c r="G2751" s="5" t="s">
        <v>27</v>
      </c>
      <c r="H2751" s="5">
        <v>1412145</v>
      </c>
      <c r="I2751" s="5">
        <v>1261563.56</v>
      </c>
      <c r="J2751" s="5">
        <v>19</v>
      </c>
      <c r="K2751" s="5">
        <v>170413</v>
      </c>
      <c r="L2751" s="5">
        <v>1576070</v>
      </c>
      <c r="M2751" s="5">
        <v>150581.44</v>
      </c>
      <c r="N2751" s="5">
        <v>0.1066</v>
      </c>
      <c r="O2751" s="5">
        <v>2</v>
      </c>
      <c r="P2751" s="5">
        <v>11806</v>
      </c>
    </row>
    <row r="2752" spans="1:16" x14ac:dyDescent="0.3">
      <c r="A2752" s="5">
        <v>28</v>
      </c>
      <c r="B2752" s="5" t="s">
        <v>139</v>
      </c>
      <c r="C2752" s="5">
        <v>9</v>
      </c>
      <c r="D2752" s="5" t="s">
        <v>92</v>
      </c>
      <c r="E2752" s="5">
        <v>2021</v>
      </c>
      <c r="F2752" s="5">
        <v>7</v>
      </c>
      <c r="G2752" s="5" t="s">
        <v>28</v>
      </c>
      <c r="H2752" s="5">
        <v>6225094</v>
      </c>
      <c r="I2752" s="5">
        <v>5543759.4100000001</v>
      </c>
      <c r="J2752" s="5">
        <v>89</v>
      </c>
      <c r="K2752" s="5">
        <v>932625</v>
      </c>
      <c r="L2752" s="5">
        <v>7145830</v>
      </c>
      <c r="M2752" s="5">
        <v>681334.59</v>
      </c>
      <c r="N2752" s="5">
        <v>0.1094</v>
      </c>
      <c r="O2752" s="5">
        <v>5</v>
      </c>
      <c r="P2752" s="5">
        <v>62739</v>
      </c>
    </row>
    <row r="2753" spans="1:16" x14ac:dyDescent="0.3">
      <c r="A2753" s="5">
        <v>35</v>
      </c>
      <c r="B2753" s="5" t="s">
        <v>139</v>
      </c>
      <c r="C2753" s="5">
        <v>9</v>
      </c>
      <c r="D2753" s="5" t="s">
        <v>92</v>
      </c>
      <c r="E2753" s="5">
        <v>2021</v>
      </c>
      <c r="F2753" s="5">
        <v>7</v>
      </c>
      <c r="G2753" s="5" t="s">
        <v>28</v>
      </c>
      <c r="H2753" s="5">
        <v>1359603</v>
      </c>
      <c r="I2753" s="5">
        <v>1233224.67</v>
      </c>
      <c r="J2753" s="5">
        <v>22</v>
      </c>
      <c r="K2753" s="5">
        <v>210673</v>
      </c>
      <c r="L2753" s="5">
        <v>1565800</v>
      </c>
      <c r="M2753" s="5">
        <v>126378.33</v>
      </c>
      <c r="N2753" s="5">
        <v>9.2999999999999999E-2</v>
      </c>
      <c r="O2753" s="5">
        <v>3</v>
      </c>
      <c r="P2753" s="5">
        <v>163203</v>
      </c>
    </row>
    <row r="2754" spans="1:16" x14ac:dyDescent="0.3">
      <c r="A2754" s="5">
        <v>28</v>
      </c>
      <c r="B2754" s="5" t="s">
        <v>139</v>
      </c>
      <c r="C2754" s="5">
        <v>9</v>
      </c>
      <c r="D2754" s="5" t="s">
        <v>92</v>
      </c>
      <c r="E2754" s="5">
        <v>2021</v>
      </c>
      <c r="F2754" s="5">
        <v>8</v>
      </c>
      <c r="G2754" s="5" t="s">
        <v>29</v>
      </c>
      <c r="H2754" s="5">
        <v>6846536</v>
      </c>
      <c r="I2754" s="5">
        <v>5850533.8799999999</v>
      </c>
      <c r="J2754" s="5">
        <v>93</v>
      </c>
      <c r="K2754" s="5">
        <v>679103</v>
      </c>
      <c r="L2754" s="5">
        <v>7486060</v>
      </c>
      <c r="M2754" s="5">
        <v>996002.12</v>
      </c>
      <c r="N2754" s="5">
        <v>0.14549999999999999</v>
      </c>
      <c r="O2754" s="5">
        <v>11</v>
      </c>
      <c r="P2754" s="5">
        <v>422343</v>
      </c>
    </row>
    <row r="2755" spans="1:16" x14ac:dyDescent="0.3">
      <c r="A2755" s="5">
        <v>35</v>
      </c>
      <c r="B2755" s="5" t="s">
        <v>139</v>
      </c>
      <c r="C2755" s="5">
        <v>9</v>
      </c>
      <c r="D2755" s="5" t="s">
        <v>92</v>
      </c>
      <c r="E2755" s="5">
        <v>2021</v>
      </c>
      <c r="F2755" s="5">
        <v>8</v>
      </c>
      <c r="G2755" s="5" t="s">
        <v>29</v>
      </c>
      <c r="H2755" s="5">
        <v>1234981</v>
      </c>
      <c r="I2755" s="5">
        <v>1015588.64</v>
      </c>
      <c r="J2755" s="5">
        <v>21</v>
      </c>
      <c r="K2755" s="5">
        <v>101854</v>
      </c>
      <c r="L2755" s="5">
        <v>1332900</v>
      </c>
      <c r="M2755" s="5">
        <v>219392.36</v>
      </c>
      <c r="N2755" s="5">
        <v>0.17760000000000001</v>
      </c>
      <c r="O2755" s="5">
        <v>2</v>
      </c>
      <c r="P2755" s="5">
        <v>72698</v>
      </c>
    </row>
    <row r="2756" spans="1:16" x14ac:dyDescent="0.3">
      <c r="A2756" s="5">
        <v>28</v>
      </c>
      <c r="B2756" s="5" t="s">
        <v>139</v>
      </c>
      <c r="C2756" s="5">
        <v>9</v>
      </c>
      <c r="D2756" s="5" t="s">
        <v>92</v>
      </c>
      <c r="E2756" s="5">
        <v>2021</v>
      </c>
      <c r="F2756" s="5">
        <v>9</v>
      </c>
      <c r="G2756" s="5" t="s">
        <v>30</v>
      </c>
      <c r="H2756" s="5">
        <v>7961306</v>
      </c>
      <c r="I2756" s="5">
        <v>6766600.9800000004</v>
      </c>
      <c r="J2756" s="5">
        <v>105</v>
      </c>
      <c r="K2756" s="5">
        <v>778911</v>
      </c>
      <c r="L2756" s="5">
        <v>8711140</v>
      </c>
      <c r="M2756" s="5">
        <v>1194705.02</v>
      </c>
      <c r="N2756" s="5">
        <v>0.15010000000000001</v>
      </c>
      <c r="O2756" s="5">
        <v>11</v>
      </c>
      <c r="P2756" s="5">
        <v>136325</v>
      </c>
    </row>
    <row r="2757" spans="1:16" x14ac:dyDescent="0.3">
      <c r="A2757" s="5">
        <v>35</v>
      </c>
      <c r="B2757" s="5" t="s">
        <v>139</v>
      </c>
      <c r="C2757" s="5">
        <v>9</v>
      </c>
      <c r="D2757" s="5" t="s">
        <v>92</v>
      </c>
      <c r="E2757" s="5">
        <v>2021</v>
      </c>
      <c r="F2757" s="5">
        <v>9</v>
      </c>
      <c r="G2757" s="5" t="s">
        <v>30</v>
      </c>
      <c r="H2757" s="5">
        <v>1661723</v>
      </c>
      <c r="I2757" s="5">
        <v>1454149.75</v>
      </c>
      <c r="J2757" s="5">
        <v>26</v>
      </c>
      <c r="K2757" s="5">
        <v>216504</v>
      </c>
      <c r="L2757" s="5">
        <v>1872750</v>
      </c>
      <c r="M2757" s="5">
        <v>207573.25</v>
      </c>
      <c r="N2757" s="5">
        <v>0.1249</v>
      </c>
      <c r="O2757" s="5">
        <v>3</v>
      </c>
      <c r="P2757" s="5">
        <v>5998</v>
      </c>
    </row>
    <row r="2758" spans="1:16" x14ac:dyDescent="0.3">
      <c r="A2758" s="5">
        <v>28</v>
      </c>
      <c r="B2758" s="5" t="s">
        <v>139</v>
      </c>
      <c r="C2758" s="5">
        <v>9</v>
      </c>
      <c r="D2758" s="5" t="s">
        <v>92</v>
      </c>
      <c r="E2758" s="5">
        <v>2021</v>
      </c>
      <c r="F2758" s="5">
        <v>10</v>
      </c>
      <c r="G2758" s="5" t="s">
        <v>31</v>
      </c>
      <c r="H2758" s="5">
        <v>10055528</v>
      </c>
      <c r="I2758" s="5">
        <v>8633443.3699999992</v>
      </c>
      <c r="J2758" s="5">
        <v>134</v>
      </c>
      <c r="K2758" s="5">
        <v>1075756</v>
      </c>
      <c r="L2758" s="5">
        <v>11106810</v>
      </c>
      <c r="M2758" s="5">
        <v>1422084.63</v>
      </c>
      <c r="N2758" s="5">
        <v>0.1414</v>
      </c>
      <c r="O2758" s="5">
        <v>6</v>
      </c>
      <c r="P2758" s="5">
        <v>280714</v>
      </c>
    </row>
    <row r="2759" spans="1:16" x14ac:dyDescent="0.3">
      <c r="A2759" s="5">
        <v>35</v>
      </c>
      <c r="B2759" s="5" t="s">
        <v>139</v>
      </c>
      <c r="C2759" s="5">
        <v>9</v>
      </c>
      <c r="D2759" s="5" t="s">
        <v>92</v>
      </c>
      <c r="E2759" s="5">
        <v>2021</v>
      </c>
      <c r="F2759" s="5">
        <v>10</v>
      </c>
      <c r="G2759" s="5" t="s">
        <v>31</v>
      </c>
      <c r="H2759" s="5">
        <v>2039199</v>
      </c>
      <c r="I2759" s="5">
        <v>1658289.78</v>
      </c>
      <c r="J2759" s="5">
        <v>32</v>
      </c>
      <c r="K2759" s="5">
        <v>152878</v>
      </c>
      <c r="L2759" s="5">
        <v>2187830</v>
      </c>
      <c r="M2759" s="5">
        <v>380909.22</v>
      </c>
      <c r="N2759" s="5">
        <v>0.18679999999999999</v>
      </c>
      <c r="O2759" s="5">
        <v>2</v>
      </c>
      <c r="P2759" s="5">
        <v>41494</v>
      </c>
    </row>
    <row r="2760" spans="1:16" x14ac:dyDescent="0.3">
      <c r="A2760" s="5">
        <v>28</v>
      </c>
      <c r="B2760" s="5" t="s">
        <v>139</v>
      </c>
      <c r="C2760" s="5">
        <v>9</v>
      </c>
      <c r="D2760" s="5" t="s">
        <v>92</v>
      </c>
      <c r="E2760" s="5">
        <v>2021</v>
      </c>
      <c r="F2760" s="5">
        <v>11</v>
      </c>
      <c r="G2760" s="5" t="s">
        <v>32</v>
      </c>
      <c r="H2760" s="5">
        <v>8232906</v>
      </c>
      <c r="I2760" s="5">
        <v>6883074.5800000001</v>
      </c>
      <c r="J2760" s="5">
        <v>145</v>
      </c>
      <c r="K2760" s="5">
        <v>679612</v>
      </c>
      <c r="L2760" s="5">
        <v>8894070</v>
      </c>
      <c r="M2760" s="5">
        <v>1349831.42</v>
      </c>
      <c r="N2760" s="5">
        <v>0.16400000000000001</v>
      </c>
      <c r="O2760" s="5">
        <v>6</v>
      </c>
      <c r="P2760" s="5">
        <v>58778</v>
      </c>
    </row>
    <row r="2761" spans="1:16" x14ac:dyDescent="0.3">
      <c r="A2761" s="5">
        <v>35</v>
      </c>
      <c r="B2761" s="5" t="s">
        <v>139</v>
      </c>
      <c r="C2761" s="5">
        <v>9</v>
      </c>
      <c r="D2761" s="5" t="s">
        <v>92</v>
      </c>
      <c r="E2761" s="5">
        <v>2021</v>
      </c>
      <c r="F2761" s="5">
        <v>11</v>
      </c>
      <c r="G2761" s="5" t="s">
        <v>32</v>
      </c>
      <c r="H2761" s="5">
        <v>1508910</v>
      </c>
      <c r="I2761" s="5">
        <v>1216748.8700000001</v>
      </c>
      <c r="J2761" s="5">
        <v>31</v>
      </c>
      <c r="K2761" s="5">
        <v>99787</v>
      </c>
      <c r="L2761" s="5">
        <v>1604030</v>
      </c>
      <c r="M2761" s="5">
        <v>292161.13</v>
      </c>
      <c r="N2761" s="5">
        <v>0.19359999999999999</v>
      </c>
      <c r="O2761" s="5">
        <v>0</v>
      </c>
      <c r="P2761" s="5">
        <v>0</v>
      </c>
    </row>
    <row r="2762" spans="1:16" x14ac:dyDescent="0.3">
      <c r="A2762" s="5">
        <v>28</v>
      </c>
      <c r="B2762" s="5" t="s">
        <v>139</v>
      </c>
      <c r="C2762" s="5">
        <v>9</v>
      </c>
      <c r="D2762" s="5" t="s">
        <v>92</v>
      </c>
      <c r="E2762" s="5">
        <v>2021</v>
      </c>
      <c r="F2762" s="5">
        <v>12</v>
      </c>
      <c r="G2762" s="5" t="s">
        <v>33</v>
      </c>
      <c r="H2762" s="5">
        <v>8628905</v>
      </c>
      <c r="I2762" s="5">
        <v>7345166.2300000004</v>
      </c>
      <c r="J2762" s="5">
        <v>127</v>
      </c>
      <c r="K2762" s="5">
        <v>722588</v>
      </c>
      <c r="L2762" s="5">
        <v>9329920</v>
      </c>
      <c r="M2762" s="5">
        <v>1283738.77</v>
      </c>
      <c r="N2762" s="5">
        <v>0.14879999999999999</v>
      </c>
      <c r="O2762" s="5">
        <v>11</v>
      </c>
      <c r="P2762" s="5">
        <v>538657</v>
      </c>
    </row>
    <row r="2763" spans="1:16" x14ac:dyDescent="0.3">
      <c r="A2763" s="5">
        <v>35</v>
      </c>
      <c r="B2763" s="5" t="s">
        <v>139</v>
      </c>
      <c r="C2763" s="5">
        <v>9</v>
      </c>
      <c r="D2763" s="5" t="s">
        <v>92</v>
      </c>
      <c r="E2763" s="5">
        <v>2021</v>
      </c>
      <c r="F2763" s="5">
        <v>12</v>
      </c>
      <c r="G2763" s="5" t="s">
        <v>33</v>
      </c>
      <c r="H2763" s="5">
        <v>2081879</v>
      </c>
      <c r="I2763" s="5">
        <v>1775545.77</v>
      </c>
      <c r="J2763" s="5">
        <v>32</v>
      </c>
      <c r="K2763" s="5">
        <v>168013</v>
      </c>
      <c r="L2763" s="5">
        <v>2240320</v>
      </c>
      <c r="M2763" s="5">
        <v>306333.23</v>
      </c>
      <c r="N2763" s="5">
        <v>0.14710000000000001</v>
      </c>
      <c r="O2763" s="5">
        <v>4</v>
      </c>
      <c r="P2763" s="5">
        <v>55943</v>
      </c>
    </row>
    <row r="2764" spans="1:16" x14ac:dyDescent="0.3">
      <c r="A2764" s="5">
        <v>28</v>
      </c>
      <c r="B2764" s="5" t="s">
        <v>139</v>
      </c>
      <c r="C2764" s="5">
        <v>9</v>
      </c>
      <c r="D2764" s="5" t="s">
        <v>92</v>
      </c>
      <c r="E2764" s="5">
        <v>2022</v>
      </c>
      <c r="F2764" s="5">
        <v>1</v>
      </c>
      <c r="G2764" s="5" t="s">
        <v>34</v>
      </c>
      <c r="H2764" s="5">
        <v>7228641</v>
      </c>
      <c r="I2764" s="5">
        <v>6151039.7800000003</v>
      </c>
      <c r="J2764" s="5">
        <v>107</v>
      </c>
      <c r="K2764" s="5">
        <v>612822</v>
      </c>
      <c r="L2764" s="5">
        <v>7814770</v>
      </c>
      <c r="M2764" s="5">
        <v>1077601.22</v>
      </c>
      <c r="N2764" s="5">
        <v>0.14910000000000001</v>
      </c>
      <c r="O2764" s="5">
        <v>5</v>
      </c>
      <c r="P2764" s="5">
        <v>116921</v>
      </c>
    </row>
    <row r="2765" spans="1:16" x14ac:dyDescent="0.3">
      <c r="A2765" s="5">
        <v>35</v>
      </c>
      <c r="B2765" s="5" t="s">
        <v>139</v>
      </c>
      <c r="C2765" s="5">
        <v>9</v>
      </c>
      <c r="D2765" s="5" t="s">
        <v>92</v>
      </c>
      <c r="E2765" s="5">
        <v>2022</v>
      </c>
      <c r="F2765" s="5">
        <v>1</v>
      </c>
      <c r="G2765" s="5" t="s">
        <v>34</v>
      </c>
      <c r="H2765" s="5">
        <v>1256494</v>
      </c>
      <c r="I2765" s="5">
        <v>1134414.52</v>
      </c>
      <c r="J2765" s="5">
        <v>35</v>
      </c>
      <c r="K2765" s="5">
        <v>203082</v>
      </c>
      <c r="L2765" s="5">
        <v>1457830</v>
      </c>
      <c r="M2765" s="5">
        <v>122079.48</v>
      </c>
      <c r="N2765" s="5">
        <v>9.7199999999999995E-2</v>
      </c>
      <c r="O2765" s="5">
        <v>3</v>
      </c>
      <c r="P2765" s="5">
        <v>12130</v>
      </c>
    </row>
    <row r="2766" spans="1:16" x14ac:dyDescent="0.3">
      <c r="A2766" s="5">
        <v>28</v>
      </c>
      <c r="B2766" s="5" t="s">
        <v>139</v>
      </c>
      <c r="C2766" s="5">
        <v>9</v>
      </c>
      <c r="D2766" s="5" t="s">
        <v>92</v>
      </c>
      <c r="E2766" s="5">
        <v>2022</v>
      </c>
      <c r="F2766" s="5">
        <v>2</v>
      </c>
      <c r="G2766" s="5" t="s">
        <v>35</v>
      </c>
      <c r="H2766" s="5">
        <v>7959817</v>
      </c>
      <c r="I2766" s="5">
        <v>6642789.9500000002</v>
      </c>
      <c r="J2766" s="5">
        <v>113</v>
      </c>
      <c r="K2766" s="5">
        <v>658909</v>
      </c>
      <c r="L2766" s="5">
        <v>8589940</v>
      </c>
      <c r="M2766" s="5">
        <v>1317027.05</v>
      </c>
      <c r="N2766" s="5">
        <v>0.16550000000000001</v>
      </c>
      <c r="O2766" s="5">
        <v>10</v>
      </c>
      <c r="P2766" s="5">
        <v>212244</v>
      </c>
    </row>
    <row r="2767" spans="1:16" x14ac:dyDescent="0.3">
      <c r="A2767" s="5">
        <v>35</v>
      </c>
      <c r="B2767" s="5" t="s">
        <v>139</v>
      </c>
      <c r="C2767" s="5">
        <v>9</v>
      </c>
      <c r="D2767" s="5" t="s">
        <v>92</v>
      </c>
      <c r="E2767" s="5">
        <v>2022</v>
      </c>
      <c r="F2767" s="5">
        <v>2</v>
      </c>
      <c r="G2767" s="5" t="s">
        <v>35</v>
      </c>
      <c r="H2767" s="5">
        <v>2246218</v>
      </c>
      <c r="I2767" s="5">
        <v>1934184.66</v>
      </c>
      <c r="J2767" s="5">
        <v>31</v>
      </c>
      <c r="K2767" s="5">
        <v>223030</v>
      </c>
      <c r="L2767" s="5">
        <v>2463490</v>
      </c>
      <c r="M2767" s="5">
        <v>312033.34000000003</v>
      </c>
      <c r="N2767" s="5">
        <v>0.1389</v>
      </c>
      <c r="O2767" s="5">
        <v>1</v>
      </c>
      <c r="P2767" s="5">
        <v>17487</v>
      </c>
    </row>
    <row r="2768" spans="1:16" x14ac:dyDescent="0.3">
      <c r="A2768" s="5">
        <v>28</v>
      </c>
      <c r="B2768" s="5" t="s">
        <v>139</v>
      </c>
      <c r="C2768" s="5">
        <v>9</v>
      </c>
      <c r="D2768" s="5" t="s">
        <v>92</v>
      </c>
      <c r="E2768" s="5">
        <v>2022</v>
      </c>
      <c r="F2768" s="5">
        <v>3</v>
      </c>
      <c r="G2768" s="5" t="s">
        <v>36</v>
      </c>
      <c r="H2768" s="5">
        <v>9617118</v>
      </c>
      <c r="I2768" s="5">
        <v>8103648.0700000003</v>
      </c>
      <c r="J2768" s="5">
        <v>149</v>
      </c>
      <c r="K2768" s="5">
        <v>929935</v>
      </c>
      <c r="L2768" s="5">
        <v>10500370</v>
      </c>
      <c r="M2768" s="5">
        <v>1513469.93</v>
      </c>
      <c r="N2768" s="5">
        <v>0.15740000000000001</v>
      </c>
      <c r="O2768" s="5">
        <v>11</v>
      </c>
      <c r="P2768" s="5">
        <v>196855</v>
      </c>
    </row>
    <row r="2769" spans="1:16" x14ac:dyDescent="0.3">
      <c r="A2769" s="5">
        <v>35</v>
      </c>
      <c r="B2769" s="5" t="s">
        <v>139</v>
      </c>
      <c r="C2769" s="5">
        <v>9</v>
      </c>
      <c r="D2769" s="5" t="s">
        <v>92</v>
      </c>
      <c r="E2769" s="5">
        <v>2022</v>
      </c>
      <c r="F2769" s="5">
        <v>3</v>
      </c>
      <c r="G2769" s="5" t="s">
        <v>36</v>
      </c>
      <c r="H2769" s="5">
        <v>2030826</v>
      </c>
      <c r="I2769" s="5">
        <v>1751397.66</v>
      </c>
      <c r="J2769" s="5">
        <v>32</v>
      </c>
      <c r="K2769" s="5">
        <v>210768</v>
      </c>
      <c r="L2769" s="5">
        <v>2231100</v>
      </c>
      <c r="M2769" s="5">
        <v>279428.34000000003</v>
      </c>
      <c r="N2769" s="5">
        <v>0.1376</v>
      </c>
      <c r="O2769" s="5">
        <v>5</v>
      </c>
      <c r="P2769" s="5">
        <v>223179</v>
      </c>
    </row>
    <row r="2770" spans="1:16" x14ac:dyDescent="0.3">
      <c r="A2770" s="5">
        <v>28</v>
      </c>
      <c r="B2770" s="5" t="s">
        <v>139</v>
      </c>
      <c r="C2770" s="5">
        <v>9</v>
      </c>
      <c r="D2770" s="5" t="s">
        <v>92</v>
      </c>
      <c r="E2770" s="5">
        <v>2022</v>
      </c>
      <c r="F2770" s="5">
        <v>4</v>
      </c>
      <c r="G2770" s="5" t="s">
        <v>37</v>
      </c>
      <c r="H2770" s="5">
        <v>9136469</v>
      </c>
      <c r="I2770" s="5">
        <v>8001903.8099999996</v>
      </c>
      <c r="J2770" s="5">
        <v>120</v>
      </c>
      <c r="K2770" s="5">
        <v>1086188</v>
      </c>
      <c r="L2770" s="5">
        <v>10207830</v>
      </c>
      <c r="M2770" s="5">
        <v>1134565.19</v>
      </c>
      <c r="N2770" s="5">
        <v>0.1242</v>
      </c>
      <c r="O2770" s="5">
        <v>8</v>
      </c>
      <c r="P2770" s="5">
        <v>276672</v>
      </c>
    </row>
    <row r="2771" spans="1:16" x14ac:dyDescent="0.3">
      <c r="A2771" s="5">
        <v>35</v>
      </c>
      <c r="B2771" s="5" t="s">
        <v>139</v>
      </c>
      <c r="C2771" s="5">
        <v>9</v>
      </c>
      <c r="D2771" s="5" t="s">
        <v>92</v>
      </c>
      <c r="E2771" s="5">
        <v>2022</v>
      </c>
      <c r="F2771" s="5">
        <v>4</v>
      </c>
      <c r="G2771" s="5" t="s">
        <v>37</v>
      </c>
      <c r="H2771" s="5">
        <v>2482896</v>
      </c>
      <c r="I2771" s="5">
        <v>2058339.4</v>
      </c>
      <c r="J2771" s="5">
        <v>39</v>
      </c>
      <c r="K2771" s="5">
        <v>200002</v>
      </c>
      <c r="L2771" s="5">
        <v>2676300</v>
      </c>
      <c r="M2771" s="5">
        <v>424556.6</v>
      </c>
      <c r="N2771" s="5">
        <v>0.17100000000000001</v>
      </c>
      <c r="O2771" s="5">
        <v>2</v>
      </c>
      <c r="P2771" s="5">
        <v>33302</v>
      </c>
    </row>
    <row r="2772" spans="1:16" x14ac:dyDescent="0.3">
      <c r="A2772" s="5">
        <v>28</v>
      </c>
      <c r="B2772" s="5" t="s">
        <v>139</v>
      </c>
      <c r="C2772" s="5">
        <v>9</v>
      </c>
      <c r="D2772" s="5" t="s">
        <v>92</v>
      </c>
      <c r="E2772" s="5">
        <v>2022</v>
      </c>
      <c r="F2772" s="5">
        <v>5</v>
      </c>
      <c r="G2772" s="5" t="s">
        <v>38</v>
      </c>
      <c r="H2772" s="5">
        <v>5579720</v>
      </c>
      <c r="I2772" s="5">
        <v>4826428.76</v>
      </c>
      <c r="J2772" s="5">
        <v>106</v>
      </c>
      <c r="K2772" s="5">
        <v>719866</v>
      </c>
      <c r="L2772" s="5">
        <v>6283950</v>
      </c>
      <c r="M2772" s="5">
        <v>753291.24</v>
      </c>
      <c r="N2772" s="5">
        <v>0.13500000000000001</v>
      </c>
      <c r="O2772" s="5">
        <v>8</v>
      </c>
      <c r="P2772" s="5">
        <v>106029</v>
      </c>
    </row>
    <row r="2773" spans="1:16" x14ac:dyDescent="0.3">
      <c r="A2773" s="5">
        <v>35</v>
      </c>
      <c r="B2773" s="5" t="s">
        <v>139</v>
      </c>
      <c r="C2773" s="5">
        <v>9</v>
      </c>
      <c r="D2773" s="5" t="s">
        <v>92</v>
      </c>
      <c r="E2773" s="5">
        <v>2022</v>
      </c>
      <c r="F2773" s="5">
        <v>5</v>
      </c>
      <c r="G2773" s="5" t="s">
        <v>38</v>
      </c>
      <c r="H2773" s="5">
        <v>2143075</v>
      </c>
      <c r="I2773" s="5">
        <v>1879088.82</v>
      </c>
      <c r="J2773" s="5">
        <v>24</v>
      </c>
      <c r="K2773" s="5">
        <v>294748</v>
      </c>
      <c r="L2773" s="5">
        <v>2429690</v>
      </c>
      <c r="M2773" s="5">
        <v>263986.18</v>
      </c>
      <c r="N2773" s="5">
        <v>0.1232</v>
      </c>
      <c r="O2773" s="5">
        <v>3</v>
      </c>
      <c r="P2773" s="5">
        <v>23398</v>
      </c>
    </row>
    <row r="2774" spans="1:16" x14ac:dyDescent="0.3">
      <c r="A2774" s="5">
        <v>28</v>
      </c>
      <c r="B2774" s="5" t="s">
        <v>139</v>
      </c>
      <c r="C2774" s="5">
        <v>9</v>
      </c>
      <c r="D2774" s="5" t="s">
        <v>92</v>
      </c>
      <c r="E2774" s="5">
        <v>2022</v>
      </c>
      <c r="F2774" s="5">
        <v>6</v>
      </c>
      <c r="G2774" s="5" t="s">
        <v>39</v>
      </c>
      <c r="H2774" s="5">
        <v>7197853</v>
      </c>
      <c r="I2774" s="5">
        <v>6030620.3899999997</v>
      </c>
      <c r="J2774" s="5">
        <v>125</v>
      </c>
      <c r="K2774" s="5">
        <v>685917</v>
      </c>
      <c r="L2774" s="5">
        <v>7862000</v>
      </c>
      <c r="M2774" s="5">
        <v>1167232.6100000001</v>
      </c>
      <c r="N2774" s="5">
        <v>0.16220000000000001</v>
      </c>
      <c r="O2774" s="5">
        <v>14</v>
      </c>
      <c r="P2774" s="5">
        <v>394296</v>
      </c>
    </row>
    <row r="2775" spans="1:16" x14ac:dyDescent="0.3">
      <c r="A2775" s="5">
        <v>35</v>
      </c>
      <c r="B2775" s="5" t="s">
        <v>139</v>
      </c>
      <c r="C2775" s="5">
        <v>9</v>
      </c>
      <c r="D2775" s="5" t="s">
        <v>92</v>
      </c>
      <c r="E2775" s="5">
        <v>2022</v>
      </c>
      <c r="F2775" s="5">
        <v>6</v>
      </c>
      <c r="G2775" s="5" t="s">
        <v>39</v>
      </c>
      <c r="H2775" s="5">
        <v>1653325</v>
      </c>
      <c r="I2775" s="5">
        <v>1376002.66</v>
      </c>
      <c r="J2775" s="5">
        <v>36</v>
      </c>
      <c r="K2775" s="5">
        <v>163280</v>
      </c>
      <c r="L2775" s="5">
        <v>1807920</v>
      </c>
      <c r="M2775" s="5">
        <v>277322.34000000003</v>
      </c>
      <c r="N2775" s="5">
        <v>0.16769999999999999</v>
      </c>
      <c r="O2775" s="5">
        <v>3</v>
      </c>
      <c r="P2775" s="5">
        <v>39788</v>
      </c>
    </row>
    <row r="2776" spans="1:16" x14ac:dyDescent="0.3">
      <c r="A2776" s="5">
        <v>28</v>
      </c>
      <c r="B2776" s="5" t="s">
        <v>139</v>
      </c>
      <c r="C2776" s="5">
        <v>9</v>
      </c>
      <c r="D2776" s="5" t="s">
        <v>92</v>
      </c>
      <c r="E2776" s="5">
        <v>2022</v>
      </c>
      <c r="F2776" s="5">
        <v>7</v>
      </c>
      <c r="G2776" s="5" t="s">
        <v>40</v>
      </c>
      <c r="H2776" s="5">
        <v>9571482</v>
      </c>
      <c r="I2776" s="5">
        <v>8339167.25</v>
      </c>
      <c r="J2776" s="5">
        <v>122</v>
      </c>
      <c r="K2776" s="5">
        <v>1172203</v>
      </c>
      <c r="L2776" s="5">
        <v>10707800</v>
      </c>
      <c r="M2776" s="5">
        <v>1232314.75</v>
      </c>
      <c r="N2776" s="5">
        <v>0.12870000000000001</v>
      </c>
      <c r="O2776" s="5">
        <v>9</v>
      </c>
      <c r="P2776" s="5">
        <v>241560</v>
      </c>
    </row>
    <row r="2777" spans="1:16" x14ac:dyDescent="0.3">
      <c r="A2777" s="5">
        <v>35</v>
      </c>
      <c r="B2777" s="5" t="s">
        <v>139</v>
      </c>
      <c r="C2777" s="5">
        <v>9</v>
      </c>
      <c r="D2777" s="5" t="s">
        <v>92</v>
      </c>
      <c r="E2777" s="5">
        <v>2022</v>
      </c>
      <c r="F2777" s="5">
        <v>7</v>
      </c>
      <c r="G2777" s="5" t="s">
        <v>40</v>
      </c>
      <c r="H2777" s="5">
        <v>2002054</v>
      </c>
      <c r="I2777" s="5">
        <v>1741756.04</v>
      </c>
      <c r="J2777" s="5">
        <v>38</v>
      </c>
      <c r="K2777" s="5">
        <v>249756</v>
      </c>
      <c r="L2777" s="5">
        <v>2246300</v>
      </c>
      <c r="M2777" s="5">
        <v>260297.96</v>
      </c>
      <c r="N2777" s="5">
        <v>0.13</v>
      </c>
      <c r="O2777" s="5">
        <v>3</v>
      </c>
      <c r="P2777" s="5">
        <v>27876</v>
      </c>
    </row>
    <row r="2778" spans="1:16" x14ac:dyDescent="0.3">
      <c r="A2778" s="5">
        <v>28</v>
      </c>
      <c r="B2778" s="5" t="s">
        <v>139</v>
      </c>
      <c r="C2778" s="5">
        <v>9</v>
      </c>
      <c r="D2778" s="5" t="s">
        <v>92</v>
      </c>
      <c r="E2778" s="5">
        <v>2022</v>
      </c>
      <c r="F2778" s="5">
        <v>8</v>
      </c>
      <c r="G2778" s="5" t="s">
        <v>41</v>
      </c>
      <c r="H2778" s="5">
        <v>8975679</v>
      </c>
      <c r="I2778" s="5">
        <v>8438821.0099999998</v>
      </c>
      <c r="J2778" s="5">
        <v>129</v>
      </c>
      <c r="K2778" s="5">
        <v>1826394</v>
      </c>
      <c r="L2778" s="5">
        <v>10763560</v>
      </c>
      <c r="M2778" s="5">
        <v>536857.99</v>
      </c>
      <c r="N2778" s="5">
        <v>5.9799999999999999E-2</v>
      </c>
      <c r="O2778" s="5">
        <v>15</v>
      </c>
      <c r="P2778" s="5">
        <v>482184</v>
      </c>
    </row>
    <row r="2779" spans="1:16" x14ac:dyDescent="0.3">
      <c r="A2779" s="5">
        <v>35</v>
      </c>
      <c r="B2779" s="5" t="s">
        <v>139</v>
      </c>
      <c r="C2779" s="5">
        <v>9</v>
      </c>
      <c r="D2779" s="5" t="s">
        <v>92</v>
      </c>
      <c r="E2779" s="5">
        <v>2022</v>
      </c>
      <c r="F2779" s="5">
        <v>8</v>
      </c>
      <c r="G2779" s="5" t="s">
        <v>41</v>
      </c>
      <c r="H2779" s="5">
        <v>1361947</v>
      </c>
      <c r="I2779" s="5">
        <v>1251946.92</v>
      </c>
      <c r="J2779" s="5">
        <v>30</v>
      </c>
      <c r="K2779" s="5">
        <v>277781</v>
      </c>
      <c r="L2779" s="5">
        <v>1631200</v>
      </c>
      <c r="M2779" s="5">
        <v>110000.08</v>
      </c>
      <c r="N2779" s="5">
        <v>8.0799999999999997E-2</v>
      </c>
      <c r="O2779" s="5">
        <v>1</v>
      </c>
      <c r="P2779" s="5">
        <v>68298</v>
      </c>
    </row>
    <row r="2780" spans="1:16" x14ac:dyDescent="0.3">
      <c r="A2780" s="5">
        <v>28</v>
      </c>
      <c r="B2780" s="5" t="s">
        <v>139</v>
      </c>
      <c r="C2780" s="5">
        <v>9</v>
      </c>
      <c r="D2780" s="5" t="s">
        <v>92</v>
      </c>
      <c r="E2780" s="5">
        <v>2022</v>
      </c>
      <c r="F2780" s="5">
        <v>9</v>
      </c>
      <c r="G2780" s="5" t="s">
        <v>42</v>
      </c>
      <c r="H2780" s="5">
        <v>11904696</v>
      </c>
      <c r="I2780" s="5">
        <v>10797937.25</v>
      </c>
      <c r="J2780" s="5">
        <v>158</v>
      </c>
      <c r="K2780" s="5">
        <v>1808714</v>
      </c>
      <c r="L2780" s="5">
        <v>13685150</v>
      </c>
      <c r="M2780" s="5">
        <v>1106758.75</v>
      </c>
      <c r="N2780" s="5">
        <v>9.2999999999999999E-2</v>
      </c>
      <c r="O2780" s="5">
        <v>16</v>
      </c>
      <c r="P2780" s="5">
        <v>394090</v>
      </c>
    </row>
    <row r="2781" spans="1:16" x14ac:dyDescent="0.3">
      <c r="A2781" s="5">
        <v>35</v>
      </c>
      <c r="B2781" s="5" t="s">
        <v>139</v>
      </c>
      <c r="C2781" s="5">
        <v>9</v>
      </c>
      <c r="D2781" s="5" t="s">
        <v>92</v>
      </c>
      <c r="E2781" s="5">
        <v>2022</v>
      </c>
      <c r="F2781" s="5">
        <v>9</v>
      </c>
      <c r="G2781" s="5" t="s">
        <v>42</v>
      </c>
      <c r="H2781" s="5">
        <v>2695388</v>
      </c>
      <c r="I2781" s="5">
        <v>2361202.36</v>
      </c>
      <c r="J2781" s="5">
        <v>41</v>
      </c>
      <c r="K2781" s="5">
        <v>299196</v>
      </c>
      <c r="L2781" s="5">
        <v>2991300</v>
      </c>
      <c r="M2781" s="5">
        <v>334185.64</v>
      </c>
      <c r="N2781" s="5">
        <v>0.124</v>
      </c>
      <c r="O2781" s="5">
        <v>5</v>
      </c>
      <c r="P2781" s="5">
        <v>50528</v>
      </c>
    </row>
    <row r="2782" spans="1:16" x14ac:dyDescent="0.3">
      <c r="A2782" s="5">
        <v>28</v>
      </c>
      <c r="B2782" s="5" t="s">
        <v>139</v>
      </c>
      <c r="C2782" s="5">
        <v>9</v>
      </c>
      <c r="D2782" s="5" t="s">
        <v>92</v>
      </c>
      <c r="E2782" s="5">
        <v>2022</v>
      </c>
      <c r="F2782" s="5">
        <v>10</v>
      </c>
      <c r="G2782" s="5" t="s">
        <v>43</v>
      </c>
      <c r="H2782" s="5">
        <v>11388578</v>
      </c>
      <c r="I2782" s="5">
        <v>9908520.2400000002</v>
      </c>
      <c r="J2782" s="5">
        <v>182</v>
      </c>
      <c r="K2782" s="5">
        <v>1427150</v>
      </c>
      <c r="L2782" s="5">
        <v>12780490</v>
      </c>
      <c r="M2782" s="5">
        <v>1480057.76</v>
      </c>
      <c r="N2782" s="5">
        <v>0.13</v>
      </c>
      <c r="O2782" s="5">
        <v>12</v>
      </c>
      <c r="P2782" s="5">
        <v>348991</v>
      </c>
    </row>
    <row r="2783" spans="1:16" x14ac:dyDescent="0.3">
      <c r="A2783" s="5">
        <v>35</v>
      </c>
      <c r="B2783" s="5" t="s">
        <v>139</v>
      </c>
      <c r="C2783" s="5">
        <v>9</v>
      </c>
      <c r="D2783" s="5" t="s">
        <v>92</v>
      </c>
      <c r="E2783" s="5">
        <v>2022</v>
      </c>
      <c r="F2783" s="5">
        <v>10</v>
      </c>
      <c r="G2783" s="5" t="s">
        <v>43</v>
      </c>
      <c r="H2783" s="5">
        <v>3350569</v>
      </c>
      <c r="I2783" s="5">
        <v>2877466.82</v>
      </c>
      <c r="J2783" s="5">
        <v>37</v>
      </c>
      <c r="K2783" s="5">
        <v>383306</v>
      </c>
      <c r="L2783" s="5">
        <v>3728290</v>
      </c>
      <c r="M2783" s="5">
        <v>473102.18</v>
      </c>
      <c r="N2783" s="5">
        <v>0.14119999999999999</v>
      </c>
      <c r="O2783" s="5">
        <v>1</v>
      </c>
      <c r="P2783" s="5">
        <v>381</v>
      </c>
    </row>
    <row r="2784" spans="1:16" x14ac:dyDescent="0.3">
      <c r="A2784" s="5">
        <v>28</v>
      </c>
      <c r="B2784" s="5" t="s">
        <v>139</v>
      </c>
      <c r="C2784" s="5">
        <v>9</v>
      </c>
      <c r="D2784" s="5" t="s">
        <v>92</v>
      </c>
      <c r="E2784" s="5">
        <v>2022</v>
      </c>
      <c r="F2784" s="5">
        <v>11</v>
      </c>
      <c r="G2784" s="5" t="s">
        <v>44</v>
      </c>
      <c r="H2784" s="5">
        <v>13941214</v>
      </c>
      <c r="I2784" s="5">
        <v>12203747.890000001</v>
      </c>
      <c r="J2784" s="5">
        <v>196</v>
      </c>
      <c r="K2784" s="5">
        <v>1682078</v>
      </c>
      <c r="L2784" s="5">
        <v>15588130</v>
      </c>
      <c r="M2784" s="5">
        <v>1737466.11</v>
      </c>
      <c r="N2784" s="5">
        <v>0.1246</v>
      </c>
      <c r="O2784" s="5">
        <v>16</v>
      </c>
      <c r="P2784" s="5">
        <v>514160</v>
      </c>
    </row>
    <row r="2785" spans="1:16" x14ac:dyDescent="0.3">
      <c r="A2785" s="5">
        <v>35</v>
      </c>
      <c r="B2785" s="5" t="s">
        <v>139</v>
      </c>
      <c r="C2785" s="5">
        <v>9</v>
      </c>
      <c r="D2785" s="5" t="s">
        <v>92</v>
      </c>
      <c r="E2785" s="5">
        <v>2022</v>
      </c>
      <c r="F2785" s="5">
        <v>11</v>
      </c>
      <c r="G2785" s="5" t="s">
        <v>44</v>
      </c>
      <c r="H2785" s="5">
        <v>2757286</v>
      </c>
      <c r="I2785" s="5">
        <v>2597710.7999999998</v>
      </c>
      <c r="J2785" s="5">
        <v>46</v>
      </c>
      <c r="K2785" s="5">
        <v>569043</v>
      </c>
      <c r="L2785" s="5">
        <v>3323000</v>
      </c>
      <c r="M2785" s="5">
        <v>159575.20000000001</v>
      </c>
      <c r="N2785" s="5">
        <v>5.79E-2</v>
      </c>
      <c r="O2785" s="5">
        <v>2</v>
      </c>
      <c r="P2785" s="5">
        <v>36377</v>
      </c>
    </row>
    <row r="2786" spans="1:16" x14ac:dyDescent="0.3">
      <c r="A2786" s="5">
        <v>28</v>
      </c>
      <c r="B2786" s="5" t="s">
        <v>139</v>
      </c>
      <c r="C2786" s="5">
        <v>9</v>
      </c>
      <c r="D2786" s="5" t="s">
        <v>92</v>
      </c>
      <c r="E2786" s="5">
        <v>2022</v>
      </c>
      <c r="F2786" s="5">
        <v>12</v>
      </c>
      <c r="G2786" s="5" t="s">
        <v>45</v>
      </c>
      <c r="H2786" s="5">
        <v>14843853</v>
      </c>
      <c r="I2786" s="5">
        <v>12194646.77</v>
      </c>
      <c r="J2786" s="5">
        <v>193</v>
      </c>
      <c r="K2786" s="5">
        <v>856796</v>
      </c>
      <c r="L2786" s="5">
        <v>15631900</v>
      </c>
      <c r="M2786" s="5">
        <v>2649206.23</v>
      </c>
      <c r="N2786" s="5">
        <v>0.17849999999999999</v>
      </c>
      <c r="O2786" s="5">
        <v>23</v>
      </c>
      <c r="P2786" s="5">
        <v>1488406</v>
      </c>
    </row>
    <row r="2787" spans="1:16" x14ac:dyDescent="0.3">
      <c r="A2787" s="5">
        <v>35</v>
      </c>
      <c r="B2787" s="5" t="s">
        <v>139</v>
      </c>
      <c r="C2787" s="5">
        <v>9</v>
      </c>
      <c r="D2787" s="5" t="s">
        <v>92</v>
      </c>
      <c r="E2787" s="5">
        <v>2022</v>
      </c>
      <c r="F2787" s="5">
        <v>12</v>
      </c>
      <c r="G2787" s="5" t="s">
        <v>45</v>
      </c>
      <c r="H2787" s="5">
        <v>2857588</v>
      </c>
      <c r="I2787" s="5">
        <v>2337440.56</v>
      </c>
      <c r="J2787" s="5">
        <v>39</v>
      </c>
      <c r="K2787" s="5">
        <v>167231</v>
      </c>
      <c r="L2787" s="5">
        <v>3015330</v>
      </c>
      <c r="M2787" s="5">
        <v>520147.44</v>
      </c>
      <c r="N2787" s="5">
        <v>0.182</v>
      </c>
      <c r="O2787" s="5">
        <v>1</v>
      </c>
      <c r="P2787" s="5">
        <v>18107</v>
      </c>
    </row>
    <row r="2788" spans="1:16" x14ac:dyDescent="0.3">
      <c r="A2788" s="5">
        <v>28</v>
      </c>
      <c r="B2788" s="5" t="s">
        <v>139</v>
      </c>
      <c r="C2788" s="5">
        <v>9</v>
      </c>
      <c r="D2788" s="5" t="s">
        <v>92</v>
      </c>
      <c r="E2788" s="5">
        <v>2023</v>
      </c>
      <c r="F2788" s="5">
        <v>1</v>
      </c>
      <c r="G2788" s="5" t="s">
        <v>46</v>
      </c>
      <c r="H2788" s="5">
        <v>10615384</v>
      </c>
      <c r="I2788" s="5">
        <v>8986514.2599999998</v>
      </c>
      <c r="J2788" s="5">
        <v>141</v>
      </c>
      <c r="K2788" s="5">
        <v>867601</v>
      </c>
      <c r="L2788" s="5">
        <v>11441250</v>
      </c>
      <c r="M2788" s="5">
        <v>1628869.74</v>
      </c>
      <c r="N2788" s="5">
        <v>0.15340000000000001</v>
      </c>
      <c r="O2788" s="5">
        <v>12</v>
      </c>
      <c r="P2788" s="5">
        <v>218028</v>
      </c>
    </row>
    <row r="2789" spans="1:16" x14ac:dyDescent="0.3">
      <c r="A2789" s="5">
        <v>35</v>
      </c>
      <c r="B2789" s="5" t="s">
        <v>139</v>
      </c>
      <c r="C2789" s="5">
        <v>9</v>
      </c>
      <c r="D2789" s="5" t="s">
        <v>92</v>
      </c>
      <c r="E2789" s="5">
        <v>2023</v>
      </c>
      <c r="F2789" s="5">
        <v>1</v>
      </c>
      <c r="G2789" s="5" t="s">
        <v>46</v>
      </c>
      <c r="H2789" s="5">
        <v>2986820</v>
      </c>
      <c r="I2789" s="5">
        <v>2806120.78</v>
      </c>
      <c r="J2789" s="5">
        <v>39</v>
      </c>
      <c r="K2789" s="5">
        <v>537938</v>
      </c>
      <c r="L2789" s="5">
        <v>3509540</v>
      </c>
      <c r="M2789" s="5">
        <v>180699.22</v>
      </c>
      <c r="N2789" s="5">
        <v>6.0499999999999998E-2</v>
      </c>
      <c r="O2789" s="5">
        <v>6</v>
      </c>
      <c r="P2789" s="5">
        <v>80020</v>
      </c>
    </row>
    <row r="2790" spans="1:16" x14ac:dyDescent="0.3">
      <c r="A2790" s="5">
        <v>28</v>
      </c>
      <c r="B2790" s="5" t="s">
        <v>139</v>
      </c>
      <c r="C2790" s="5">
        <v>9</v>
      </c>
      <c r="D2790" s="5" t="s">
        <v>92</v>
      </c>
      <c r="E2790" s="5">
        <v>2023</v>
      </c>
      <c r="F2790" s="5">
        <v>2</v>
      </c>
      <c r="G2790" s="5" t="s">
        <v>47</v>
      </c>
      <c r="H2790" s="5">
        <v>8838912</v>
      </c>
      <c r="I2790" s="5">
        <v>7343723.3399999999</v>
      </c>
      <c r="J2790" s="5">
        <v>134</v>
      </c>
      <c r="K2790" s="5">
        <v>783750</v>
      </c>
      <c r="L2790" s="5">
        <v>9593050</v>
      </c>
      <c r="M2790" s="5">
        <v>1495188.66</v>
      </c>
      <c r="N2790" s="5">
        <v>0.16919999999999999</v>
      </c>
      <c r="O2790" s="5">
        <v>13</v>
      </c>
      <c r="P2790" s="5">
        <v>217551</v>
      </c>
    </row>
    <row r="2791" spans="1:16" x14ac:dyDescent="0.3">
      <c r="A2791" s="5">
        <v>35</v>
      </c>
      <c r="B2791" s="5" t="s">
        <v>139</v>
      </c>
      <c r="C2791" s="5">
        <v>9</v>
      </c>
      <c r="D2791" s="5" t="s">
        <v>92</v>
      </c>
      <c r="E2791" s="5">
        <v>2023</v>
      </c>
      <c r="F2791" s="5">
        <v>2</v>
      </c>
      <c r="G2791" s="5" t="s">
        <v>47</v>
      </c>
      <c r="H2791" s="5">
        <v>1200738</v>
      </c>
      <c r="I2791" s="5">
        <v>986395.41</v>
      </c>
      <c r="J2791" s="5">
        <v>22</v>
      </c>
      <c r="K2791" s="5">
        <v>94546</v>
      </c>
      <c r="L2791" s="5">
        <v>1289890</v>
      </c>
      <c r="M2791" s="5">
        <v>214342.59</v>
      </c>
      <c r="N2791" s="5">
        <v>0.17849999999999999</v>
      </c>
      <c r="O2791" s="5">
        <v>1</v>
      </c>
      <c r="P2791" s="5">
        <v>1927</v>
      </c>
    </row>
    <row r="2792" spans="1:16" x14ac:dyDescent="0.3">
      <c r="A2792" s="5">
        <v>28</v>
      </c>
      <c r="B2792" s="5" t="s">
        <v>139</v>
      </c>
      <c r="C2792" s="5">
        <v>9</v>
      </c>
      <c r="D2792" s="5" t="s">
        <v>92</v>
      </c>
      <c r="E2792" s="5">
        <v>2023</v>
      </c>
      <c r="F2792" s="5">
        <v>3</v>
      </c>
      <c r="G2792" s="5" t="s">
        <v>48</v>
      </c>
      <c r="H2792" s="5">
        <v>8504954</v>
      </c>
      <c r="I2792" s="5">
        <v>7373328.4299999997</v>
      </c>
      <c r="J2792" s="5">
        <v>145</v>
      </c>
      <c r="K2792" s="5">
        <v>1072099</v>
      </c>
      <c r="L2792" s="5">
        <v>9537940</v>
      </c>
      <c r="M2792" s="5">
        <v>1131625.57</v>
      </c>
      <c r="N2792" s="5">
        <v>0.1331</v>
      </c>
      <c r="O2792" s="5">
        <v>12</v>
      </c>
      <c r="P2792" s="5">
        <v>366563</v>
      </c>
    </row>
    <row r="2793" spans="1:16" x14ac:dyDescent="0.3">
      <c r="A2793" s="5">
        <v>35</v>
      </c>
      <c r="B2793" s="5" t="s">
        <v>139</v>
      </c>
      <c r="C2793" s="5">
        <v>9</v>
      </c>
      <c r="D2793" s="5" t="s">
        <v>92</v>
      </c>
      <c r="E2793" s="5">
        <v>2023</v>
      </c>
      <c r="F2793" s="5">
        <v>3</v>
      </c>
      <c r="G2793" s="5" t="s">
        <v>48</v>
      </c>
      <c r="H2793" s="5">
        <v>1567070</v>
      </c>
      <c r="I2793" s="5">
        <v>1406845.92</v>
      </c>
      <c r="J2793" s="5">
        <v>28</v>
      </c>
      <c r="K2793" s="5">
        <v>227256</v>
      </c>
      <c r="L2793" s="5">
        <v>1791090</v>
      </c>
      <c r="M2793" s="5">
        <v>160224.07999999999</v>
      </c>
      <c r="N2793" s="5">
        <v>0.1022</v>
      </c>
      <c r="O2793" s="5">
        <v>0</v>
      </c>
      <c r="P2793" s="5">
        <v>0</v>
      </c>
    </row>
    <row r="2794" spans="1:16" x14ac:dyDescent="0.3">
      <c r="A2794" s="5">
        <v>28</v>
      </c>
      <c r="B2794" s="5" t="s">
        <v>139</v>
      </c>
      <c r="C2794" s="5">
        <v>9</v>
      </c>
      <c r="D2794" s="5" t="s">
        <v>92</v>
      </c>
      <c r="E2794" s="5">
        <v>2023</v>
      </c>
      <c r="F2794" s="5">
        <v>4</v>
      </c>
      <c r="G2794" s="5" t="s">
        <v>49</v>
      </c>
      <c r="H2794" s="5">
        <v>11295630</v>
      </c>
      <c r="I2794" s="5">
        <v>9735410.3399999999</v>
      </c>
      <c r="J2794" s="5">
        <v>179</v>
      </c>
      <c r="K2794" s="5">
        <v>1366446</v>
      </c>
      <c r="L2794" s="5">
        <v>12614420</v>
      </c>
      <c r="M2794" s="5">
        <v>1560219.66</v>
      </c>
      <c r="N2794" s="5">
        <v>0.1381</v>
      </c>
      <c r="O2794" s="5">
        <v>14</v>
      </c>
      <c r="P2794" s="5">
        <v>401465</v>
      </c>
    </row>
    <row r="2795" spans="1:16" x14ac:dyDescent="0.3">
      <c r="A2795" s="5">
        <v>35</v>
      </c>
      <c r="B2795" s="5" t="s">
        <v>139</v>
      </c>
      <c r="C2795" s="5">
        <v>9</v>
      </c>
      <c r="D2795" s="5" t="s">
        <v>92</v>
      </c>
      <c r="E2795" s="5">
        <v>2023</v>
      </c>
      <c r="F2795" s="5">
        <v>4</v>
      </c>
      <c r="G2795" s="5" t="s">
        <v>49</v>
      </c>
      <c r="H2795" s="5">
        <v>1955792</v>
      </c>
      <c r="I2795" s="5">
        <v>1730916.27</v>
      </c>
      <c r="J2795" s="5">
        <v>37</v>
      </c>
      <c r="K2795" s="5">
        <v>323259</v>
      </c>
      <c r="L2795" s="5">
        <v>2276660</v>
      </c>
      <c r="M2795" s="5">
        <v>224875.73</v>
      </c>
      <c r="N2795" s="5">
        <v>0.115</v>
      </c>
      <c r="O2795" s="5">
        <v>4</v>
      </c>
      <c r="P2795" s="5">
        <v>30302</v>
      </c>
    </row>
    <row r="2796" spans="1:16" x14ac:dyDescent="0.3">
      <c r="A2796" s="5">
        <v>28</v>
      </c>
      <c r="B2796" s="5" t="s">
        <v>139</v>
      </c>
      <c r="C2796" s="5">
        <v>9</v>
      </c>
      <c r="D2796" s="5" t="s">
        <v>92</v>
      </c>
      <c r="E2796" s="5">
        <v>2023</v>
      </c>
      <c r="F2796" s="5">
        <v>5</v>
      </c>
      <c r="G2796" s="5" t="s">
        <v>50</v>
      </c>
      <c r="H2796" s="5">
        <v>11018162</v>
      </c>
      <c r="I2796" s="5">
        <v>9471914.4299999997</v>
      </c>
      <c r="J2796" s="5">
        <v>165</v>
      </c>
      <c r="K2796" s="5">
        <v>1216457</v>
      </c>
      <c r="L2796" s="5">
        <v>12193900</v>
      </c>
      <c r="M2796" s="5">
        <v>1546247.57</v>
      </c>
      <c r="N2796" s="5">
        <v>0.14030000000000001</v>
      </c>
      <c r="O2796" s="5">
        <v>7</v>
      </c>
      <c r="P2796" s="5">
        <v>265140</v>
      </c>
    </row>
    <row r="2797" spans="1:16" x14ac:dyDescent="0.3">
      <c r="A2797" s="5">
        <v>35</v>
      </c>
      <c r="B2797" s="5" t="s">
        <v>139</v>
      </c>
      <c r="C2797" s="5">
        <v>9</v>
      </c>
      <c r="D2797" s="5" t="s">
        <v>92</v>
      </c>
      <c r="E2797" s="5">
        <v>2023</v>
      </c>
      <c r="F2797" s="5">
        <v>5</v>
      </c>
      <c r="G2797" s="5" t="s">
        <v>50</v>
      </c>
      <c r="H2797" s="5">
        <v>3984799</v>
      </c>
      <c r="I2797" s="5">
        <v>3585627.86</v>
      </c>
      <c r="J2797" s="5">
        <v>40</v>
      </c>
      <c r="K2797" s="5">
        <v>580727</v>
      </c>
      <c r="L2797" s="5">
        <v>4561700</v>
      </c>
      <c r="M2797" s="5">
        <v>399171.14</v>
      </c>
      <c r="N2797" s="5">
        <v>0.1002</v>
      </c>
      <c r="O2797" s="5">
        <v>2</v>
      </c>
      <c r="P2797" s="5">
        <v>128228</v>
      </c>
    </row>
    <row r="2798" spans="1:16" x14ac:dyDescent="0.3">
      <c r="A2798" s="5">
        <v>28</v>
      </c>
      <c r="B2798" s="5" t="s">
        <v>139</v>
      </c>
      <c r="C2798" s="5">
        <v>9</v>
      </c>
      <c r="D2798" s="5" t="s">
        <v>92</v>
      </c>
      <c r="E2798" s="5">
        <v>2023</v>
      </c>
      <c r="F2798" s="5">
        <v>6</v>
      </c>
      <c r="G2798" s="5" t="s">
        <v>51</v>
      </c>
      <c r="H2798" s="5">
        <v>10836511</v>
      </c>
      <c r="I2798" s="5">
        <v>9206673.6999999993</v>
      </c>
      <c r="J2798" s="5">
        <v>184</v>
      </c>
      <c r="K2798" s="5">
        <v>1032720</v>
      </c>
      <c r="L2798" s="5">
        <v>11828220</v>
      </c>
      <c r="M2798" s="5">
        <v>1629837.3</v>
      </c>
      <c r="N2798" s="5">
        <v>0.15040000000000001</v>
      </c>
      <c r="O2798" s="5">
        <v>19</v>
      </c>
      <c r="P2798" s="5">
        <v>379065</v>
      </c>
    </row>
    <row r="2799" spans="1:16" x14ac:dyDescent="0.3">
      <c r="A2799" s="5">
        <v>35</v>
      </c>
      <c r="B2799" s="5" t="s">
        <v>139</v>
      </c>
      <c r="C2799" s="5">
        <v>9</v>
      </c>
      <c r="D2799" s="5" t="s">
        <v>92</v>
      </c>
      <c r="E2799" s="5">
        <v>2023</v>
      </c>
      <c r="F2799" s="5">
        <v>6</v>
      </c>
      <c r="G2799" s="5" t="s">
        <v>51</v>
      </c>
      <c r="H2799" s="5">
        <v>2815093</v>
      </c>
      <c r="I2799" s="5">
        <v>2361960.41</v>
      </c>
      <c r="J2799" s="5">
        <v>40</v>
      </c>
      <c r="K2799" s="5">
        <v>246961</v>
      </c>
      <c r="L2799" s="5">
        <v>3056040</v>
      </c>
      <c r="M2799" s="5">
        <v>453132.59</v>
      </c>
      <c r="N2799" s="5">
        <v>0.161</v>
      </c>
      <c r="O2799" s="5">
        <v>6</v>
      </c>
      <c r="P2799" s="5">
        <v>84759</v>
      </c>
    </row>
    <row r="2800" spans="1:16" x14ac:dyDescent="0.3">
      <c r="A2800" s="5">
        <v>28</v>
      </c>
      <c r="B2800" s="5" t="s">
        <v>139</v>
      </c>
      <c r="C2800" s="5">
        <v>9</v>
      </c>
      <c r="D2800" s="5" t="s">
        <v>92</v>
      </c>
      <c r="E2800" s="5">
        <v>2023</v>
      </c>
      <c r="F2800" s="5">
        <v>7</v>
      </c>
      <c r="G2800" s="5" t="s">
        <v>52</v>
      </c>
      <c r="H2800" s="5">
        <v>11705714</v>
      </c>
      <c r="I2800" s="5">
        <v>10254371.279999999</v>
      </c>
      <c r="J2800" s="5">
        <v>173</v>
      </c>
      <c r="K2800" s="5">
        <v>1541386</v>
      </c>
      <c r="L2800" s="5">
        <v>13214520</v>
      </c>
      <c r="M2800" s="5">
        <v>1451342.72</v>
      </c>
      <c r="N2800" s="5">
        <v>0.124</v>
      </c>
      <c r="O2800" s="5">
        <v>9</v>
      </c>
      <c r="P2800" s="5">
        <v>204458</v>
      </c>
    </row>
    <row r="2801" spans="1:16" x14ac:dyDescent="0.3">
      <c r="A2801" s="5">
        <v>35</v>
      </c>
      <c r="B2801" s="5" t="s">
        <v>139</v>
      </c>
      <c r="C2801" s="5">
        <v>9</v>
      </c>
      <c r="D2801" s="5" t="s">
        <v>92</v>
      </c>
      <c r="E2801" s="5">
        <v>2023</v>
      </c>
      <c r="F2801" s="5">
        <v>7</v>
      </c>
      <c r="G2801" s="5" t="s">
        <v>52</v>
      </c>
      <c r="H2801" s="5">
        <v>1960232</v>
      </c>
      <c r="I2801" s="5">
        <v>1765568.11</v>
      </c>
      <c r="J2801" s="5">
        <v>35</v>
      </c>
      <c r="K2801" s="5">
        <v>354106</v>
      </c>
      <c r="L2801" s="5">
        <v>2303790</v>
      </c>
      <c r="M2801" s="5">
        <v>194663.89</v>
      </c>
      <c r="N2801" s="5">
        <v>9.9299999999999999E-2</v>
      </c>
      <c r="O2801" s="5">
        <v>7</v>
      </c>
      <c r="P2801" s="5">
        <v>108569</v>
      </c>
    </row>
    <row r="2802" spans="1:16" x14ac:dyDescent="0.3">
      <c r="A2802" s="5">
        <v>28</v>
      </c>
      <c r="B2802" s="5" t="s">
        <v>139</v>
      </c>
      <c r="C2802" s="5">
        <v>9</v>
      </c>
      <c r="D2802" s="5" t="s">
        <v>92</v>
      </c>
      <c r="E2802" s="5">
        <v>2023</v>
      </c>
      <c r="F2802" s="5">
        <v>8</v>
      </c>
      <c r="G2802" s="5" t="s">
        <v>53</v>
      </c>
      <c r="H2802" s="5">
        <v>12108488</v>
      </c>
      <c r="I2802" s="5">
        <v>10467084.130000001</v>
      </c>
      <c r="J2802" s="5">
        <v>167</v>
      </c>
      <c r="K2802" s="5">
        <v>1352850</v>
      </c>
      <c r="L2802" s="5">
        <v>13398300</v>
      </c>
      <c r="M2802" s="5">
        <v>1641403.87</v>
      </c>
      <c r="N2802" s="5">
        <v>0.1356</v>
      </c>
      <c r="O2802" s="5">
        <v>8</v>
      </c>
      <c r="P2802" s="5">
        <v>208784</v>
      </c>
    </row>
    <row r="2803" spans="1:16" x14ac:dyDescent="0.3">
      <c r="A2803" s="5">
        <v>35</v>
      </c>
      <c r="B2803" s="5" t="s">
        <v>139</v>
      </c>
      <c r="C2803" s="5">
        <v>9</v>
      </c>
      <c r="D2803" s="5" t="s">
        <v>92</v>
      </c>
      <c r="E2803" s="5">
        <v>2023</v>
      </c>
      <c r="F2803" s="5">
        <v>8</v>
      </c>
      <c r="G2803" s="5" t="s">
        <v>53</v>
      </c>
      <c r="H2803" s="5">
        <v>2155530</v>
      </c>
      <c r="I2803" s="5">
        <v>1942882.69</v>
      </c>
      <c r="J2803" s="5">
        <v>35</v>
      </c>
      <c r="K2803" s="5">
        <v>360836</v>
      </c>
      <c r="L2803" s="5">
        <v>2513850</v>
      </c>
      <c r="M2803" s="5">
        <v>212647.31</v>
      </c>
      <c r="N2803" s="5">
        <v>9.8699999999999996E-2</v>
      </c>
      <c r="O2803" s="5">
        <v>3</v>
      </c>
      <c r="P2803" s="5">
        <v>14949</v>
      </c>
    </row>
    <row r="2804" spans="1:16" x14ac:dyDescent="0.3">
      <c r="A2804" s="5">
        <v>28</v>
      </c>
      <c r="B2804" s="5" t="s">
        <v>139</v>
      </c>
      <c r="C2804" s="5">
        <v>9</v>
      </c>
      <c r="D2804" s="5" t="s">
        <v>92</v>
      </c>
      <c r="E2804" s="5">
        <v>2023</v>
      </c>
      <c r="F2804" s="5">
        <v>9</v>
      </c>
      <c r="G2804" s="5" t="s">
        <v>54</v>
      </c>
      <c r="H2804" s="5">
        <v>12549189</v>
      </c>
      <c r="I2804" s="5">
        <v>11572596.66</v>
      </c>
      <c r="J2804" s="5">
        <v>174</v>
      </c>
      <c r="K2804" s="5">
        <v>2119979</v>
      </c>
      <c r="L2804" s="5">
        <v>14638420</v>
      </c>
      <c r="M2804" s="5">
        <v>976592.34</v>
      </c>
      <c r="N2804" s="5">
        <v>7.7799999999999994E-2</v>
      </c>
      <c r="O2804" s="5">
        <v>12</v>
      </c>
      <c r="P2804" s="5">
        <v>234782</v>
      </c>
    </row>
    <row r="2805" spans="1:16" x14ac:dyDescent="0.3">
      <c r="A2805" s="5">
        <v>35</v>
      </c>
      <c r="B2805" s="5" t="s">
        <v>139</v>
      </c>
      <c r="C2805" s="5">
        <v>9</v>
      </c>
      <c r="D2805" s="5" t="s">
        <v>92</v>
      </c>
      <c r="E2805" s="5">
        <v>2023</v>
      </c>
      <c r="F2805" s="5">
        <v>9</v>
      </c>
      <c r="G2805" s="5" t="s">
        <v>54</v>
      </c>
      <c r="H2805" s="5">
        <v>2577436</v>
      </c>
      <c r="I2805" s="5">
        <v>2216870.14</v>
      </c>
      <c r="J2805" s="5">
        <v>38</v>
      </c>
      <c r="K2805" s="5">
        <v>305340</v>
      </c>
      <c r="L2805" s="5">
        <v>2868590</v>
      </c>
      <c r="M2805" s="5">
        <v>360565.86</v>
      </c>
      <c r="N2805" s="5">
        <v>0.1399</v>
      </c>
      <c r="O2805" s="5">
        <v>4</v>
      </c>
      <c r="P2805" s="5">
        <v>39466</v>
      </c>
    </row>
    <row r="2806" spans="1:16" x14ac:dyDescent="0.3">
      <c r="A2806" s="5">
        <v>28</v>
      </c>
      <c r="B2806" s="5" t="s">
        <v>139</v>
      </c>
      <c r="C2806" s="5">
        <v>9</v>
      </c>
      <c r="D2806" s="5" t="s">
        <v>92</v>
      </c>
      <c r="E2806" s="5">
        <v>2023</v>
      </c>
      <c r="F2806" s="5">
        <v>10</v>
      </c>
      <c r="G2806" s="5" t="s">
        <v>55</v>
      </c>
      <c r="H2806" s="5">
        <v>17210948</v>
      </c>
      <c r="I2806" s="5">
        <v>14804287.890000001</v>
      </c>
      <c r="J2806" s="5">
        <v>251</v>
      </c>
      <c r="K2806" s="5">
        <v>1935231</v>
      </c>
      <c r="L2806" s="5">
        <v>19082020</v>
      </c>
      <c r="M2806" s="5">
        <v>2406660.11</v>
      </c>
      <c r="N2806" s="5">
        <v>0.13980000000000001</v>
      </c>
      <c r="O2806" s="5">
        <v>23</v>
      </c>
      <c r="P2806" s="5">
        <v>368294</v>
      </c>
    </row>
    <row r="2807" spans="1:16" x14ac:dyDescent="0.3">
      <c r="A2807" s="5">
        <v>35</v>
      </c>
      <c r="B2807" s="5" t="s">
        <v>139</v>
      </c>
      <c r="C2807" s="5">
        <v>9</v>
      </c>
      <c r="D2807" s="5" t="s">
        <v>92</v>
      </c>
      <c r="E2807" s="5">
        <v>2023</v>
      </c>
      <c r="F2807" s="5">
        <v>10</v>
      </c>
      <c r="G2807" s="5" t="s">
        <v>55</v>
      </c>
      <c r="H2807" s="5">
        <v>4511730</v>
      </c>
      <c r="I2807" s="5">
        <v>4031436.81</v>
      </c>
      <c r="J2807" s="5">
        <v>60</v>
      </c>
      <c r="K2807" s="5">
        <v>615474</v>
      </c>
      <c r="L2807" s="5">
        <v>5110320</v>
      </c>
      <c r="M2807" s="5">
        <v>480293.19</v>
      </c>
      <c r="N2807" s="5">
        <v>0.1065</v>
      </c>
      <c r="O2807" s="5">
        <v>4</v>
      </c>
      <c r="P2807" s="5">
        <v>157508</v>
      </c>
    </row>
    <row r="2808" spans="1:16" x14ac:dyDescent="0.3">
      <c r="A2808" s="5">
        <v>28</v>
      </c>
      <c r="B2808" s="5" t="s">
        <v>139</v>
      </c>
      <c r="C2808" s="5">
        <v>9</v>
      </c>
      <c r="D2808" s="5" t="s">
        <v>92</v>
      </c>
      <c r="E2808" s="5">
        <v>2023</v>
      </c>
      <c r="F2808" s="5">
        <v>11</v>
      </c>
      <c r="G2808" s="5" t="s">
        <v>56</v>
      </c>
      <c r="H2808" s="5">
        <v>14681214</v>
      </c>
      <c r="I2808" s="5">
        <v>13261067.310000001</v>
      </c>
      <c r="J2808" s="5">
        <v>238</v>
      </c>
      <c r="K2808" s="5">
        <v>2382318</v>
      </c>
      <c r="L2808" s="5">
        <v>17022960</v>
      </c>
      <c r="M2808" s="5">
        <v>1420146.69</v>
      </c>
      <c r="N2808" s="5">
        <v>9.6699999999999994E-2</v>
      </c>
      <c r="O2808" s="5">
        <v>17</v>
      </c>
      <c r="P2808" s="5">
        <v>455122</v>
      </c>
    </row>
    <row r="2809" spans="1:16" x14ac:dyDescent="0.3">
      <c r="A2809" s="5">
        <v>35</v>
      </c>
      <c r="B2809" s="5" t="s">
        <v>139</v>
      </c>
      <c r="C2809" s="5">
        <v>9</v>
      </c>
      <c r="D2809" s="5" t="s">
        <v>92</v>
      </c>
      <c r="E2809" s="5">
        <v>2023</v>
      </c>
      <c r="F2809" s="5">
        <v>11</v>
      </c>
      <c r="G2809" s="5" t="s">
        <v>56</v>
      </c>
      <c r="H2809" s="5">
        <v>3138460</v>
      </c>
      <c r="I2809" s="5">
        <v>2686735.99</v>
      </c>
      <c r="J2809" s="5">
        <v>48</v>
      </c>
      <c r="K2809" s="5">
        <v>425412</v>
      </c>
      <c r="L2809" s="5">
        <v>3552380</v>
      </c>
      <c r="M2809" s="5">
        <v>451724.01</v>
      </c>
      <c r="N2809" s="5">
        <v>0.1439</v>
      </c>
      <c r="O2809" s="5">
        <v>5</v>
      </c>
      <c r="P2809" s="5">
        <v>228503</v>
      </c>
    </row>
    <row r="2810" spans="1:16" x14ac:dyDescent="0.3">
      <c r="A2810" s="5">
        <v>28</v>
      </c>
      <c r="B2810" s="5" t="s">
        <v>139</v>
      </c>
      <c r="C2810" s="5">
        <v>9</v>
      </c>
      <c r="D2810" s="5" t="s">
        <v>92</v>
      </c>
      <c r="E2810" s="5">
        <v>2023</v>
      </c>
      <c r="F2810" s="5">
        <v>12</v>
      </c>
      <c r="G2810" s="5" t="s">
        <v>57</v>
      </c>
      <c r="H2810" s="5">
        <v>15270466</v>
      </c>
      <c r="I2810" s="5">
        <v>13957299.369999999</v>
      </c>
      <c r="J2810" s="5">
        <v>242</v>
      </c>
      <c r="K2810" s="5">
        <v>2612334</v>
      </c>
      <c r="L2810" s="5">
        <v>17826350</v>
      </c>
      <c r="M2810" s="5">
        <v>1313166.6299999999</v>
      </c>
      <c r="N2810" s="5">
        <v>8.5999999999999993E-2</v>
      </c>
      <c r="O2810" s="5">
        <v>24</v>
      </c>
      <c r="P2810" s="5">
        <v>1084949</v>
      </c>
    </row>
    <row r="2811" spans="1:16" x14ac:dyDescent="0.3">
      <c r="A2811" s="5">
        <v>35</v>
      </c>
      <c r="B2811" s="5" t="s">
        <v>139</v>
      </c>
      <c r="C2811" s="5">
        <v>9</v>
      </c>
      <c r="D2811" s="5" t="s">
        <v>92</v>
      </c>
      <c r="E2811" s="5">
        <v>2023</v>
      </c>
      <c r="F2811" s="5">
        <v>12</v>
      </c>
      <c r="G2811" s="5" t="s">
        <v>57</v>
      </c>
      <c r="H2811" s="5">
        <v>4100194</v>
      </c>
      <c r="I2811" s="5">
        <v>3635066.58</v>
      </c>
      <c r="J2811" s="5">
        <v>75</v>
      </c>
      <c r="K2811" s="5">
        <v>706256</v>
      </c>
      <c r="L2811" s="5">
        <v>4798850</v>
      </c>
      <c r="M2811" s="5">
        <v>465127.42</v>
      </c>
      <c r="N2811" s="5">
        <v>0.1134</v>
      </c>
      <c r="O2811" s="5">
        <v>7</v>
      </c>
      <c r="P2811" s="5">
        <v>250355</v>
      </c>
    </row>
    <row r="2812" spans="1:16" x14ac:dyDescent="0.3">
      <c r="A2812" s="5">
        <v>28</v>
      </c>
      <c r="B2812" s="5" t="s">
        <v>139</v>
      </c>
      <c r="C2812" s="5">
        <v>9</v>
      </c>
      <c r="D2812" s="5" t="s">
        <v>92</v>
      </c>
      <c r="E2812" s="5">
        <v>2024</v>
      </c>
      <c r="F2812" s="5">
        <v>1</v>
      </c>
      <c r="G2812" s="5" t="s">
        <v>58</v>
      </c>
      <c r="H2812" s="5">
        <v>10143569</v>
      </c>
      <c r="I2812" s="5">
        <v>8945731.8000000007</v>
      </c>
      <c r="J2812" s="5">
        <v>167</v>
      </c>
      <c r="K2812" s="5">
        <v>1375891</v>
      </c>
      <c r="L2812" s="5">
        <v>11477770</v>
      </c>
      <c r="M2812" s="5">
        <v>1197837.2</v>
      </c>
      <c r="N2812" s="5">
        <v>0.1181</v>
      </c>
      <c r="O2812" s="5">
        <v>14</v>
      </c>
      <c r="P2812" s="5">
        <v>185929</v>
      </c>
    </row>
    <row r="2813" spans="1:16" x14ac:dyDescent="0.3">
      <c r="A2813" s="5">
        <v>35</v>
      </c>
      <c r="B2813" s="5" t="s">
        <v>139</v>
      </c>
      <c r="C2813" s="5">
        <v>9</v>
      </c>
      <c r="D2813" s="5" t="s">
        <v>92</v>
      </c>
      <c r="E2813" s="5">
        <v>2024</v>
      </c>
      <c r="F2813" s="5">
        <v>1</v>
      </c>
      <c r="G2813" s="5" t="s">
        <v>58</v>
      </c>
      <c r="H2813" s="5">
        <v>2437286</v>
      </c>
      <c r="I2813" s="5">
        <v>2085120.69</v>
      </c>
      <c r="J2813" s="5">
        <v>42</v>
      </c>
      <c r="K2813" s="5">
        <v>259211</v>
      </c>
      <c r="L2813" s="5">
        <v>2689230</v>
      </c>
      <c r="M2813" s="5">
        <v>352165.31</v>
      </c>
      <c r="N2813" s="5">
        <v>0.14449999999999999</v>
      </c>
      <c r="O2813" s="5">
        <v>6</v>
      </c>
      <c r="P2813" s="5">
        <v>63643</v>
      </c>
    </row>
    <row r="2814" spans="1:16" x14ac:dyDescent="0.3">
      <c r="A2814" s="5">
        <v>28</v>
      </c>
      <c r="B2814" s="5" t="s">
        <v>139</v>
      </c>
      <c r="C2814" s="5">
        <v>9</v>
      </c>
      <c r="D2814" s="5" t="s">
        <v>92</v>
      </c>
      <c r="E2814" s="5">
        <v>2024</v>
      </c>
      <c r="F2814" s="5">
        <v>2</v>
      </c>
      <c r="G2814" s="5" t="s">
        <v>59</v>
      </c>
      <c r="H2814" s="5">
        <v>11986675</v>
      </c>
      <c r="I2814" s="5">
        <v>10159606.210000001</v>
      </c>
      <c r="J2814" s="5">
        <v>147</v>
      </c>
      <c r="K2814" s="5">
        <v>1020579</v>
      </c>
      <c r="L2814" s="5">
        <v>12952960</v>
      </c>
      <c r="M2814" s="5">
        <v>1827068.79</v>
      </c>
      <c r="N2814" s="5">
        <v>0.15240000000000001</v>
      </c>
      <c r="O2814" s="5">
        <v>13</v>
      </c>
      <c r="P2814" s="5">
        <v>398458</v>
      </c>
    </row>
    <row r="2815" spans="1:16" x14ac:dyDescent="0.3">
      <c r="A2815" s="5">
        <v>35</v>
      </c>
      <c r="B2815" s="5" t="s">
        <v>139</v>
      </c>
      <c r="C2815" s="5">
        <v>9</v>
      </c>
      <c r="D2815" s="5" t="s">
        <v>92</v>
      </c>
      <c r="E2815" s="5">
        <v>2024</v>
      </c>
      <c r="F2815" s="5">
        <v>2</v>
      </c>
      <c r="G2815" s="5" t="s">
        <v>59</v>
      </c>
      <c r="H2815" s="5">
        <v>2990549</v>
      </c>
      <c r="I2815" s="5">
        <v>2616394.29</v>
      </c>
      <c r="J2815" s="5">
        <v>43</v>
      </c>
      <c r="K2815" s="5">
        <v>346643</v>
      </c>
      <c r="L2815" s="5">
        <v>3327620</v>
      </c>
      <c r="M2815" s="5">
        <v>374154.71</v>
      </c>
      <c r="N2815" s="5">
        <v>0.12509999999999999</v>
      </c>
      <c r="O2815" s="5">
        <v>2</v>
      </c>
      <c r="P2815" s="5">
        <v>97466</v>
      </c>
    </row>
    <row r="2816" spans="1:16" x14ac:dyDescent="0.3">
      <c r="A2816" s="5">
        <v>28</v>
      </c>
      <c r="B2816" s="5" t="s">
        <v>139</v>
      </c>
      <c r="C2816" s="5">
        <v>9</v>
      </c>
      <c r="D2816" s="5" t="s">
        <v>92</v>
      </c>
      <c r="E2816" s="5">
        <v>2024</v>
      </c>
      <c r="F2816" s="5">
        <v>3</v>
      </c>
      <c r="G2816" s="5" t="s">
        <v>60</v>
      </c>
      <c r="H2816" s="5">
        <v>12477947</v>
      </c>
      <c r="I2816" s="5">
        <v>10856319.98</v>
      </c>
      <c r="J2816" s="5">
        <v>174</v>
      </c>
      <c r="K2816" s="5">
        <v>1538251</v>
      </c>
      <c r="L2816" s="5">
        <v>13978130</v>
      </c>
      <c r="M2816" s="5">
        <v>1621627.02</v>
      </c>
      <c r="N2816" s="5">
        <v>0.13</v>
      </c>
      <c r="O2816" s="5">
        <v>18</v>
      </c>
      <c r="P2816" s="5">
        <v>432521</v>
      </c>
    </row>
    <row r="2817" spans="1:16" x14ac:dyDescent="0.3">
      <c r="A2817" s="5">
        <v>35</v>
      </c>
      <c r="B2817" s="5" t="s">
        <v>139</v>
      </c>
      <c r="C2817" s="5">
        <v>9</v>
      </c>
      <c r="D2817" s="5" t="s">
        <v>92</v>
      </c>
      <c r="E2817" s="5">
        <v>2024</v>
      </c>
      <c r="F2817" s="5">
        <v>3</v>
      </c>
      <c r="G2817" s="5" t="s">
        <v>60</v>
      </c>
      <c r="H2817" s="5">
        <v>2414369</v>
      </c>
      <c r="I2817" s="5">
        <v>2099338.8199999998</v>
      </c>
      <c r="J2817" s="5">
        <v>45</v>
      </c>
      <c r="K2817" s="5">
        <v>315578</v>
      </c>
      <c r="L2817" s="5">
        <v>2724200</v>
      </c>
      <c r="M2817" s="5">
        <v>315030.18</v>
      </c>
      <c r="N2817" s="5">
        <v>0.1305</v>
      </c>
      <c r="O2817" s="5">
        <v>2</v>
      </c>
      <c r="P2817" s="5">
        <v>6984</v>
      </c>
    </row>
    <row r="2818" spans="1:16" x14ac:dyDescent="0.3">
      <c r="A2818" s="5">
        <v>28</v>
      </c>
      <c r="B2818" s="5" t="s">
        <v>139</v>
      </c>
      <c r="C2818" s="5">
        <v>9</v>
      </c>
      <c r="D2818" s="5" t="s">
        <v>92</v>
      </c>
      <c r="E2818" s="5">
        <v>2024</v>
      </c>
      <c r="F2818" s="5">
        <v>4</v>
      </c>
      <c r="G2818" s="5" t="s">
        <v>61</v>
      </c>
      <c r="H2818" s="5">
        <v>11513587</v>
      </c>
      <c r="I2818" s="5">
        <v>9705655.7100000009</v>
      </c>
      <c r="J2818" s="5">
        <v>188</v>
      </c>
      <c r="K2818" s="5">
        <v>1130074</v>
      </c>
      <c r="L2818" s="5">
        <v>12597260</v>
      </c>
      <c r="M2818" s="5">
        <v>1807931.29</v>
      </c>
      <c r="N2818" s="5">
        <v>0.157</v>
      </c>
      <c r="O2818" s="5">
        <v>16</v>
      </c>
      <c r="P2818" s="5">
        <v>377587</v>
      </c>
    </row>
    <row r="2819" spans="1:16" x14ac:dyDescent="0.3">
      <c r="A2819" s="5">
        <v>35</v>
      </c>
      <c r="B2819" s="5" t="s">
        <v>139</v>
      </c>
      <c r="C2819" s="5">
        <v>9</v>
      </c>
      <c r="D2819" s="5" t="s">
        <v>92</v>
      </c>
      <c r="E2819" s="5">
        <v>2024</v>
      </c>
      <c r="F2819" s="5">
        <v>4</v>
      </c>
      <c r="G2819" s="5" t="s">
        <v>61</v>
      </c>
      <c r="H2819" s="5">
        <v>2902714</v>
      </c>
      <c r="I2819" s="5">
        <v>2486619.5099999998</v>
      </c>
      <c r="J2819" s="5">
        <v>48</v>
      </c>
      <c r="K2819" s="5">
        <v>232712</v>
      </c>
      <c r="L2819" s="5">
        <v>3129760</v>
      </c>
      <c r="M2819" s="5">
        <v>416094.49</v>
      </c>
      <c r="N2819" s="5">
        <v>0.14330000000000001</v>
      </c>
      <c r="O2819" s="5">
        <v>4</v>
      </c>
      <c r="P2819" s="5">
        <v>133169</v>
      </c>
    </row>
    <row r="2820" spans="1:16" x14ac:dyDescent="0.3">
      <c r="A2820" s="5">
        <v>28</v>
      </c>
      <c r="B2820" s="5" t="s">
        <v>139</v>
      </c>
      <c r="C2820" s="5">
        <v>9</v>
      </c>
      <c r="D2820" s="5" t="s">
        <v>92</v>
      </c>
      <c r="E2820" s="5">
        <v>2024</v>
      </c>
      <c r="F2820" s="5">
        <v>5</v>
      </c>
      <c r="G2820" s="5" t="s">
        <v>62</v>
      </c>
      <c r="H2820" s="5">
        <v>8820411</v>
      </c>
      <c r="I2820" s="5">
        <v>7684342.9299999997</v>
      </c>
      <c r="J2820" s="5">
        <v>161</v>
      </c>
      <c r="K2820" s="5">
        <v>1139589</v>
      </c>
      <c r="L2820" s="5">
        <v>9933150</v>
      </c>
      <c r="M2820" s="5">
        <v>1136068.07</v>
      </c>
      <c r="N2820" s="5">
        <v>0.1288</v>
      </c>
      <c r="O2820" s="5">
        <v>12</v>
      </c>
      <c r="P2820" s="5">
        <v>92205</v>
      </c>
    </row>
    <row r="2821" spans="1:16" x14ac:dyDescent="0.3">
      <c r="A2821" s="5">
        <v>35</v>
      </c>
      <c r="B2821" s="5" t="s">
        <v>139</v>
      </c>
      <c r="C2821" s="5">
        <v>9</v>
      </c>
      <c r="D2821" s="5" t="s">
        <v>92</v>
      </c>
      <c r="E2821" s="5">
        <v>2024</v>
      </c>
      <c r="F2821" s="5">
        <v>5</v>
      </c>
      <c r="G2821" s="5" t="s">
        <v>62</v>
      </c>
      <c r="H2821" s="5">
        <v>2560761</v>
      </c>
      <c r="I2821" s="5">
        <v>2300755.13</v>
      </c>
      <c r="J2821" s="5">
        <v>45</v>
      </c>
      <c r="K2821" s="5">
        <v>378299</v>
      </c>
      <c r="L2821" s="5">
        <v>2921650</v>
      </c>
      <c r="M2821" s="5">
        <v>260005.87</v>
      </c>
      <c r="N2821" s="5">
        <v>0.10150000000000001</v>
      </c>
      <c r="O2821" s="5">
        <v>6</v>
      </c>
      <c r="P2821" s="5">
        <v>191147</v>
      </c>
    </row>
    <row r="2822" spans="1:16" x14ac:dyDescent="0.3">
      <c r="A2822" s="5">
        <v>28</v>
      </c>
      <c r="B2822" s="5" t="s">
        <v>139</v>
      </c>
      <c r="C2822" s="5">
        <v>9</v>
      </c>
      <c r="D2822" s="5" t="s">
        <v>92</v>
      </c>
      <c r="E2822" s="5">
        <v>2024</v>
      </c>
      <c r="F2822" s="5">
        <v>6</v>
      </c>
      <c r="G2822" s="5" t="s">
        <v>63</v>
      </c>
      <c r="H2822" s="5">
        <v>11774733</v>
      </c>
      <c r="I2822" s="5">
        <v>9825134.2400000002</v>
      </c>
      <c r="J2822" s="5">
        <v>177</v>
      </c>
      <c r="K2822" s="5">
        <v>885420</v>
      </c>
      <c r="L2822" s="5">
        <v>12611950</v>
      </c>
      <c r="M2822" s="5">
        <v>1949598.76</v>
      </c>
      <c r="N2822" s="5">
        <v>0.1656</v>
      </c>
      <c r="O2822" s="5">
        <v>15</v>
      </c>
      <c r="P2822" s="5">
        <v>367455</v>
      </c>
    </row>
    <row r="2823" spans="1:16" x14ac:dyDescent="0.3">
      <c r="A2823" s="5">
        <v>35</v>
      </c>
      <c r="B2823" s="5" t="s">
        <v>139</v>
      </c>
      <c r="C2823" s="5">
        <v>9</v>
      </c>
      <c r="D2823" s="5" t="s">
        <v>92</v>
      </c>
      <c r="E2823" s="5">
        <v>2024</v>
      </c>
      <c r="F2823" s="5">
        <v>6</v>
      </c>
      <c r="G2823" s="5" t="s">
        <v>63</v>
      </c>
      <c r="H2823" s="5">
        <v>3420095</v>
      </c>
      <c r="I2823" s="5">
        <v>2859589.38</v>
      </c>
      <c r="J2823" s="5">
        <v>48</v>
      </c>
      <c r="K2823" s="5">
        <v>315920</v>
      </c>
      <c r="L2823" s="5">
        <v>3725230</v>
      </c>
      <c r="M2823" s="5">
        <v>560505.62</v>
      </c>
      <c r="N2823" s="5">
        <v>0.16389999999999999</v>
      </c>
      <c r="O2823" s="5">
        <v>2</v>
      </c>
      <c r="P2823" s="5">
        <v>84190</v>
      </c>
    </row>
    <row r="2824" spans="1:16" x14ac:dyDescent="0.3">
      <c r="A2824" s="5">
        <v>28</v>
      </c>
      <c r="B2824" s="5" t="s">
        <v>139</v>
      </c>
      <c r="C2824" s="5">
        <v>9</v>
      </c>
      <c r="D2824" s="5" t="s">
        <v>92</v>
      </c>
      <c r="E2824" s="5">
        <v>2024</v>
      </c>
      <c r="F2824" s="5">
        <v>7</v>
      </c>
      <c r="G2824" s="5" t="s">
        <v>64</v>
      </c>
      <c r="H2824" s="5">
        <v>12108161</v>
      </c>
      <c r="I2824" s="5">
        <v>10266670.16</v>
      </c>
      <c r="J2824" s="5">
        <v>179</v>
      </c>
      <c r="K2824" s="5">
        <v>1200205</v>
      </c>
      <c r="L2824" s="5">
        <v>13279770</v>
      </c>
      <c r="M2824" s="5">
        <v>1841490.84</v>
      </c>
      <c r="N2824" s="5">
        <v>0.15210000000000001</v>
      </c>
      <c r="O2824" s="5">
        <v>14</v>
      </c>
      <c r="P2824" s="5">
        <v>125112</v>
      </c>
    </row>
    <row r="2825" spans="1:16" x14ac:dyDescent="0.3">
      <c r="A2825" s="5">
        <v>35</v>
      </c>
      <c r="B2825" s="5" t="s">
        <v>139</v>
      </c>
      <c r="C2825" s="5">
        <v>9</v>
      </c>
      <c r="D2825" s="5" t="s">
        <v>92</v>
      </c>
      <c r="E2825" s="5">
        <v>2024</v>
      </c>
      <c r="F2825" s="5">
        <v>7</v>
      </c>
      <c r="G2825" s="5" t="s">
        <v>64</v>
      </c>
      <c r="H2825" s="5">
        <v>1643909</v>
      </c>
      <c r="I2825" s="5">
        <v>1368233.48</v>
      </c>
      <c r="J2825" s="5">
        <v>35</v>
      </c>
      <c r="K2825" s="5">
        <v>140430</v>
      </c>
      <c r="L2825" s="5">
        <v>1778640</v>
      </c>
      <c r="M2825" s="5">
        <v>275675.52000000002</v>
      </c>
      <c r="N2825" s="5">
        <v>0.16769999999999999</v>
      </c>
      <c r="O2825" s="5">
        <v>5</v>
      </c>
      <c r="P2825" s="5">
        <v>26969</v>
      </c>
    </row>
    <row r="2826" spans="1:16" x14ac:dyDescent="0.3">
      <c r="A2826" s="5">
        <v>28</v>
      </c>
      <c r="B2826" s="5" t="s">
        <v>139</v>
      </c>
      <c r="C2826" s="5">
        <v>9</v>
      </c>
      <c r="D2826" s="5" t="s">
        <v>92</v>
      </c>
      <c r="E2826" s="5">
        <v>2024</v>
      </c>
      <c r="F2826" s="5">
        <v>8</v>
      </c>
      <c r="G2826" s="5" t="s">
        <v>65</v>
      </c>
      <c r="H2826" s="5">
        <v>11444157</v>
      </c>
      <c r="I2826" s="5">
        <v>9799211.4399999995</v>
      </c>
      <c r="J2826" s="5">
        <v>187</v>
      </c>
      <c r="K2826" s="5">
        <v>1208744</v>
      </c>
      <c r="L2826" s="5">
        <v>12615550</v>
      </c>
      <c r="M2826" s="5">
        <v>1644945.56</v>
      </c>
      <c r="N2826" s="5">
        <v>0.14369999999999999</v>
      </c>
      <c r="O2826" s="5">
        <v>16</v>
      </c>
      <c r="P2826" s="5">
        <v>257982</v>
      </c>
    </row>
    <row r="2827" spans="1:16" x14ac:dyDescent="0.3">
      <c r="A2827" s="5">
        <v>35</v>
      </c>
      <c r="B2827" s="5" t="s">
        <v>139</v>
      </c>
      <c r="C2827" s="5">
        <v>9</v>
      </c>
      <c r="D2827" s="5" t="s">
        <v>92</v>
      </c>
      <c r="E2827" s="5">
        <v>2024</v>
      </c>
      <c r="F2827" s="5">
        <v>8</v>
      </c>
      <c r="G2827" s="5" t="s">
        <v>65</v>
      </c>
      <c r="H2827" s="5">
        <v>2713090</v>
      </c>
      <c r="I2827" s="5">
        <v>2284529.7400000002</v>
      </c>
      <c r="J2827" s="5">
        <v>49</v>
      </c>
      <c r="K2827" s="5">
        <v>285901</v>
      </c>
      <c r="L2827" s="5">
        <v>2990830</v>
      </c>
      <c r="M2827" s="5">
        <v>428560.26</v>
      </c>
      <c r="N2827" s="5">
        <v>0.158</v>
      </c>
      <c r="O2827" s="5">
        <v>5</v>
      </c>
      <c r="P2827" s="5">
        <v>112715</v>
      </c>
    </row>
    <row r="2828" spans="1:16" x14ac:dyDescent="0.3">
      <c r="A2828" s="5">
        <v>28</v>
      </c>
      <c r="B2828" s="5" t="s">
        <v>139</v>
      </c>
      <c r="C2828" s="5">
        <v>9</v>
      </c>
      <c r="D2828" s="5" t="s">
        <v>92</v>
      </c>
      <c r="E2828" s="5">
        <v>2024</v>
      </c>
      <c r="F2828" s="5">
        <v>9</v>
      </c>
      <c r="G2828" s="5" t="s">
        <v>66</v>
      </c>
      <c r="H2828" s="5">
        <v>15803677</v>
      </c>
      <c r="I2828" s="5">
        <v>13089774.189999999</v>
      </c>
      <c r="J2828" s="5">
        <v>211</v>
      </c>
      <c r="K2828" s="5">
        <v>1007347</v>
      </c>
      <c r="L2828" s="5">
        <v>16764270</v>
      </c>
      <c r="M2828" s="5">
        <v>2713902.81</v>
      </c>
      <c r="N2828" s="5">
        <v>0.17169999999999999</v>
      </c>
      <c r="O2828" s="5">
        <v>21</v>
      </c>
      <c r="P2828" s="5">
        <v>706764</v>
      </c>
    </row>
    <row r="2829" spans="1:16" x14ac:dyDescent="0.3">
      <c r="A2829" s="5">
        <v>35</v>
      </c>
      <c r="B2829" s="5" t="s">
        <v>139</v>
      </c>
      <c r="C2829" s="5">
        <v>9</v>
      </c>
      <c r="D2829" s="5" t="s">
        <v>92</v>
      </c>
      <c r="E2829" s="5">
        <v>2024</v>
      </c>
      <c r="F2829" s="5">
        <v>9</v>
      </c>
      <c r="G2829" s="5" t="s">
        <v>66</v>
      </c>
      <c r="H2829" s="5">
        <v>3251231</v>
      </c>
      <c r="I2829" s="5">
        <v>2719853.55</v>
      </c>
      <c r="J2829" s="5">
        <v>49</v>
      </c>
      <c r="K2829" s="5">
        <v>257216</v>
      </c>
      <c r="L2829" s="5">
        <v>3497600</v>
      </c>
      <c r="M2829" s="5">
        <v>531377.44999999995</v>
      </c>
      <c r="N2829" s="5">
        <v>0.16339999999999999</v>
      </c>
      <c r="O2829" s="5">
        <v>1</v>
      </c>
      <c r="P2829" s="5">
        <v>3106</v>
      </c>
    </row>
    <row r="2830" spans="1:16" x14ac:dyDescent="0.3">
      <c r="A2830" s="5">
        <v>28</v>
      </c>
      <c r="B2830" s="5" t="s">
        <v>139</v>
      </c>
      <c r="C2830" s="5">
        <v>9</v>
      </c>
      <c r="D2830" s="5" t="s">
        <v>92</v>
      </c>
      <c r="E2830" s="5">
        <v>2024</v>
      </c>
      <c r="F2830" s="5">
        <v>10</v>
      </c>
      <c r="G2830" s="5" t="s">
        <v>67</v>
      </c>
      <c r="H2830" s="5">
        <v>17056112</v>
      </c>
      <c r="I2830" s="5">
        <v>13689005.32</v>
      </c>
      <c r="J2830" s="5">
        <v>235</v>
      </c>
      <c r="K2830" s="5">
        <v>634023</v>
      </c>
      <c r="L2830" s="5">
        <v>17641380</v>
      </c>
      <c r="M2830" s="5">
        <v>3367106.68</v>
      </c>
      <c r="N2830" s="5">
        <v>0.19739999999999999</v>
      </c>
      <c r="O2830" s="5">
        <v>20</v>
      </c>
      <c r="P2830" s="5">
        <v>957834</v>
      </c>
    </row>
    <row r="2831" spans="1:16" x14ac:dyDescent="0.3">
      <c r="A2831" s="5">
        <v>35</v>
      </c>
      <c r="B2831" s="5" t="s">
        <v>139</v>
      </c>
      <c r="C2831" s="5">
        <v>9</v>
      </c>
      <c r="D2831" s="5" t="s">
        <v>92</v>
      </c>
      <c r="E2831" s="5">
        <v>2024</v>
      </c>
      <c r="F2831" s="5">
        <v>10</v>
      </c>
      <c r="G2831" s="5" t="s">
        <v>67</v>
      </c>
      <c r="H2831" s="5">
        <v>5369554</v>
      </c>
      <c r="I2831" s="5">
        <v>4420609.1399999997</v>
      </c>
      <c r="J2831" s="5">
        <v>67</v>
      </c>
      <c r="K2831" s="5">
        <v>210300</v>
      </c>
      <c r="L2831" s="5">
        <v>5569290</v>
      </c>
      <c r="M2831" s="5">
        <v>948944.86</v>
      </c>
      <c r="N2831" s="5">
        <v>0.1767</v>
      </c>
      <c r="O2831" s="5">
        <v>6</v>
      </c>
      <c r="P2831" s="5">
        <v>118965</v>
      </c>
    </row>
    <row r="2832" spans="1:16" x14ac:dyDescent="0.3">
      <c r="A2832" s="5">
        <v>28</v>
      </c>
      <c r="B2832" s="5" t="s">
        <v>139</v>
      </c>
      <c r="C2832" s="5">
        <v>9</v>
      </c>
      <c r="D2832" s="5" t="s">
        <v>92</v>
      </c>
      <c r="E2832" s="5">
        <v>2024</v>
      </c>
      <c r="F2832" s="5">
        <v>11</v>
      </c>
      <c r="G2832" s="5" t="s">
        <v>68</v>
      </c>
      <c r="H2832" s="5">
        <v>16465199</v>
      </c>
      <c r="I2832" s="5">
        <v>13484029.630000001</v>
      </c>
      <c r="J2832" s="5">
        <v>245</v>
      </c>
      <c r="K2832" s="5">
        <v>1169565</v>
      </c>
      <c r="L2832" s="5">
        <v>17582370</v>
      </c>
      <c r="M2832" s="5">
        <v>2981169.37</v>
      </c>
      <c r="N2832" s="5">
        <v>0.18110000000000001</v>
      </c>
      <c r="O2832" s="5">
        <v>17</v>
      </c>
      <c r="P2832" s="5">
        <v>579837</v>
      </c>
    </row>
    <row r="2833" spans="1:16" x14ac:dyDescent="0.3">
      <c r="A2833" s="5">
        <v>35</v>
      </c>
      <c r="B2833" s="5" t="s">
        <v>139</v>
      </c>
      <c r="C2833" s="5">
        <v>9</v>
      </c>
      <c r="D2833" s="5" t="s">
        <v>92</v>
      </c>
      <c r="E2833" s="5">
        <v>2024</v>
      </c>
      <c r="F2833" s="5">
        <v>11</v>
      </c>
      <c r="G2833" s="5" t="s">
        <v>68</v>
      </c>
      <c r="H2833" s="5">
        <v>4382053</v>
      </c>
      <c r="I2833" s="5">
        <v>3704504.84</v>
      </c>
      <c r="J2833" s="5">
        <v>69</v>
      </c>
      <c r="K2833" s="5">
        <v>331356</v>
      </c>
      <c r="L2833" s="5">
        <v>4697630</v>
      </c>
      <c r="M2833" s="5">
        <v>677548.16</v>
      </c>
      <c r="N2833" s="5">
        <v>0.15459999999999999</v>
      </c>
      <c r="O2833" s="5">
        <v>8</v>
      </c>
      <c r="P2833" s="5">
        <v>250466</v>
      </c>
    </row>
    <row r="2834" spans="1:16" x14ac:dyDescent="0.3">
      <c r="A2834" s="5">
        <v>28</v>
      </c>
      <c r="B2834" s="5" t="s">
        <v>139</v>
      </c>
      <c r="C2834" s="5">
        <v>9</v>
      </c>
      <c r="D2834" s="5" t="s">
        <v>92</v>
      </c>
      <c r="E2834" s="5">
        <v>2024</v>
      </c>
      <c r="F2834" s="5">
        <v>12</v>
      </c>
      <c r="G2834" s="5" t="s">
        <v>69</v>
      </c>
      <c r="H2834" s="5">
        <v>20351660</v>
      </c>
      <c r="I2834" s="5">
        <v>16296094.529999999</v>
      </c>
      <c r="J2834" s="5">
        <v>265</v>
      </c>
      <c r="K2834" s="5">
        <v>740764</v>
      </c>
      <c r="L2834" s="5">
        <v>21028100</v>
      </c>
      <c r="M2834" s="5">
        <v>4055565.47</v>
      </c>
      <c r="N2834" s="5">
        <v>0.1993</v>
      </c>
      <c r="O2834" s="5">
        <v>18</v>
      </c>
      <c r="P2834" s="5">
        <v>229076</v>
      </c>
    </row>
    <row r="2835" spans="1:16" x14ac:dyDescent="0.3">
      <c r="A2835" s="5">
        <v>35</v>
      </c>
      <c r="B2835" s="5" t="s">
        <v>139</v>
      </c>
      <c r="C2835" s="5">
        <v>9</v>
      </c>
      <c r="D2835" s="5" t="s">
        <v>92</v>
      </c>
      <c r="E2835" s="5">
        <v>2024</v>
      </c>
      <c r="F2835" s="5">
        <v>12</v>
      </c>
      <c r="G2835" s="5" t="s">
        <v>69</v>
      </c>
      <c r="H2835" s="5">
        <v>5667738</v>
      </c>
      <c r="I2835" s="5">
        <v>4531379.95</v>
      </c>
      <c r="J2835" s="5">
        <v>76</v>
      </c>
      <c r="K2835" s="5">
        <v>171911</v>
      </c>
      <c r="L2835" s="5">
        <v>5824650</v>
      </c>
      <c r="M2835" s="5">
        <v>1136358.05</v>
      </c>
      <c r="N2835" s="5">
        <v>0.20050000000000001</v>
      </c>
      <c r="O2835" s="5">
        <v>6</v>
      </c>
      <c r="P2835" s="5">
        <v>164259</v>
      </c>
    </row>
    <row r="2836" spans="1:16" x14ac:dyDescent="0.3">
      <c r="A2836" s="5">
        <v>78</v>
      </c>
      <c r="B2836" s="5" t="s">
        <v>140</v>
      </c>
      <c r="C2836" s="5">
        <v>12</v>
      </c>
      <c r="D2836" s="5" t="s">
        <v>89</v>
      </c>
      <c r="E2836" s="5">
        <v>2021</v>
      </c>
      <c r="F2836" s="5">
        <v>1</v>
      </c>
      <c r="G2836" s="5" t="s">
        <v>22</v>
      </c>
      <c r="H2836" s="5">
        <v>2587834</v>
      </c>
      <c r="I2836" s="5">
        <v>2341850.14</v>
      </c>
      <c r="J2836" s="5">
        <v>47</v>
      </c>
      <c r="K2836" s="5">
        <v>463785</v>
      </c>
      <c r="L2836" s="5">
        <v>3041970</v>
      </c>
      <c r="M2836" s="5">
        <v>245983.86</v>
      </c>
      <c r="N2836" s="5">
        <v>9.5100000000000004E-2</v>
      </c>
      <c r="O2836" s="5">
        <v>5</v>
      </c>
      <c r="P2836" s="5">
        <v>146950</v>
      </c>
    </row>
    <row r="2837" spans="1:16" x14ac:dyDescent="0.3">
      <c r="A2837" s="5">
        <v>78</v>
      </c>
      <c r="B2837" s="5" t="s">
        <v>140</v>
      </c>
      <c r="C2837" s="5">
        <v>12</v>
      </c>
      <c r="D2837" s="5" t="s">
        <v>89</v>
      </c>
      <c r="E2837" s="5">
        <v>2021</v>
      </c>
      <c r="F2837" s="5">
        <v>2</v>
      </c>
      <c r="G2837" s="5" t="s">
        <v>23</v>
      </c>
      <c r="H2837" s="5">
        <v>3007687</v>
      </c>
      <c r="I2837" s="5">
        <v>2581465.96</v>
      </c>
      <c r="J2837" s="5">
        <v>37</v>
      </c>
      <c r="K2837" s="5">
        <v>332909</v>
      </c>
      <c r="L2837" s="5">
        <v>3332420</v>
      </c>
      <c r="M2837" s="5">
        <v>426221.04</v>
      </c>
      <c r="N2837" s="5">
        <v>0.14169999999999999</v>
      </c>
      <c r="O2837" s="5">
        <v>5</v>
      </c>
      <c r="P2837" s="5">
        <v>353041</v>
      </c>
    </row>
    <row r="2838" spans="1:16" x14ac:dyDescent="0.3">
      <c r="A2838" s="5">
        <v>78</v>
      </c>
      <c r="B2838" s="5" t="s">
        <v>140</v>
      </c>
      <c r="C2838" s="5">
        <v>12</v>
      </c>
      <c r="D2838" s="5" t="s">
        <v>89</v>
      </c>
      <c r="E2838" s="5">
        <v>2021</v>
      </c>
      <c r="F2838" s="5">
        <v>3</v>
      </c>
      <c r="G2838" s="5" t="s">
        <v>24</v>
      </c>
      <c r="H2838" s="5">
        <v>1809755</v>
      </c>
      <c r="I2838" s="5">
        <v>1512955.83</v>
      </c>
      <c r="J2838" s="5">
        <v>43</v>
      </c>
      <c r="K2838" s="5">
        <v>211407</v>
      </c>
      <c r="L2838" s="5">
        <v>2015960</v>
      </c>
      <c r="M2838" s="5">
        <v>296799.17</v>
      </c>
      <c r="N2838" s="5">
        <v>0.16400000000000001</v>
      </c>
      <c r="O2838" s="5">
        <v>2</v>
      </c>
      <c r="P2838" s="5">
        <v>25601</v>
      </c>
    </row>
    <row r="2839" spans="1:16" x14ac:dyDescent="0.3">
      <c r="A2839" s="5">
        <v>78</v>
      </c>
      <c r="B2839" s="5" t="s">
        <v>140</v>
      </c>
      <c r="C2839" s="5">
        <v>12</v>
      </c>
      <c r="D2839" s="5" t="s">
        <v>89</v>
      </c>
      <c r="E2839" s="5">
        <v>2021</v>
      </c>
      <c r="F2839" s="5">
        <v>4</v>
      </c>
      <c r="G2839" s="5" t="s">
        <v>25</v>
      </c>
      <c r="H2839" s="5">
        <v>2596393</v>
      </c>
      <c r="I2839" s="5">
        <v>2398622.65</v>
      </c>
      <c r="J2839" s="5">
        <v>33</v>
      </c>
      <c r="K2839" s="5">
        <v>449075</v>
      </c>
      <c r="L2839" s="5">
        <v>3034530</v>
      </c>
      <c r="M2839" s="5">
        <v>197770.35</v>
      </c>
      <c r="N2839" s="5">
        <v>7.6200000000000004E-2</v>
      </c>
      <c r="O2839" s="5">
        <v>1</v>
      </c>
      <c r="P2839" s="5">
        <v>13372</v>
      </c>
    </row>
    <row r="2840" spans="1:16" x14ac:dyDescent="0.3">
      <c r="A2840" s="5">
        <v>78</v>
      </c>
      <c r="B2840" s="5" t="s">
        <v>140</v>
      </c>
      <c r="C2840" s="5">
        <v>12</v>
      </c>
      <c r="D2840" s="5" t="s">
        <v>89</v>
      </c>
      <c r="E2840" s="5">
        <v>2021</v>
      </c>
      <c r="F2840" s="5">
        <v>5</v>
      </c>
      <c r="G2840" s="5" t="s">
        <v>26</v>
      </c>
      <c r="H2840" s="5">
        <v>3504514</v>
      </c>
      <c r="I2840" s="5">
        <v>2927909.78</v>
      </c>
      <c r="J2840" s="5">
        <v>50</v>
      </c>
      <c r="K2840" s="5">
        <v>379937</v>
      </c>
      <c r="L2840" s="5">
        <v>3865230</v>
      </c>
      <c r="M2840" s="5">
        <v>576604.22</v>
      </c>
      <c r="N2840" s="5">
        <v>0.16450000000000001</v>
      </c>
      <c r="O2840" s="5">
        <v>4</v>
      </c>
      <c r="P2840" s="5">
        <v>176482</v>
      </c>
    </row>
    <row r="2841" spans="1:16" x14ac:dyDescent="0.3">
      <c r="A2841" s="5">
        <v>78</v>
      </c>
      <c r="B2841" s="5" t="s">
        <v>140</v>
      </c>
      <c r="C2841" s="5">
        <v>12</v>
      </c>
      <c r="D2841" s="5" t="s">
        <v>89</v>
      </c>
      <c r="E2841" s="5">
        <v>2021</v>
      </c>
      <c r="F2841" s="5">
        <v>6</v>
      </c>
      <c r="G2841" s="5" t="s">
        <v>27</v>
      </c>
      <c r="H2841" s="5">
        <v>2985453</v>
      </c>
      <c r="I2841" s="5">
        <v>2662268.11</v>
      </c>
      <c r="J2841" s="5">
        <v>39</v>
      </c>
      <c r="K2841" s="5">
        <v>428628</v>
      </c>
      <c r="L2841" s="5">
        <v>3405330</v>
      </c>
      <c r="M2841" s="5">
        <v>323184.89</v>
      </c>
      <c r="N2841" s="5">
        <v>0.10829999999999999</v>
      </c>
      <c r="O2841" s="5">
        <v>4</v>
      </c>
      <c r="P2841" s="5">
        <v>146017</v>
      </c>
    </row>
    <row r="2842" spans="1:16" x14ac:dyDescent="0.3">
      <c r="A2842" s="5">
        <v>78</v>
      </c>
      <c r="B2842" s="5" t="s">
        <v>140</v>
      </c>
      <c r="C2842" s="5">
        <v>12</v>
      </c>
      <c r="D2842" s="5" t="s">
        <v>89</v>
      </c>
      <c r="E2842" s="5">
        <v>2021</v>
      </c>
      <c r="F2842" s="5">
        <v>7</v>
      </c>
      <c r="G2842" s="5" t="s">
        <v>28</v>
      </c>
      <c r="H2842" s="5">
        <v>3743819</v>
      </c>
      <c r="I2842" s="5">
        <v>3243381.9</v>
      </c>
      <c r="J2842" s="5">
        <v>50</v>
      </c>
      <c r="K2842" s="5">
        <v>438573</v>
      </c>
      <c r="L2842" s="5">
        <v>4170450</v>
      </c>
      <c r="M2842" s="5">
        <v>500437.1</v>
      </c>
      <c r="N2842" s="5">
        <v>0.13370000000000001</v>
      </c>
      <c r="O2842" s="5">
        <v>2</v>
      </c>
      <c r="P2842" s="5">
        <v>88837</v>
      </c>
    </row>
    <row r="2843" spans="1:16" x14ac:dyDescent="0.3">
      <c r="A2843" s="5">
        <v>78</v>
      </c>
      <c r="B2843" s="5" t="s">
        <v>140</v>
      </c>
      <c r="C2843" s="5">
        <v>12</v>
      </c>
      <c r="D2843" s="5" t="s">
        <v>89</v>
      </c>
      <c r="E2843" s="5">
        <v>2021</v>
      </c>
      <c r="F2843" s="5">
        <v>8</v>
      </c>
      <c r="G2843" s="5" t="s">
        <v>29</v>
      </c>
      <c r="H2843" s="5">
        <v>2673843</v>
      </c>
      <c r="I2843" s="5">
        <v>2213206.16</v>
      </c>
      <c r="J2843" s="5">
        <v>39</v>
      </c>
      <c r="K2843" s="5">
        <v>211278</v>
      </c>
      <c r="L2843" s="5">
        <v>2872270</v>
      </c>
      <c r="M2843" s="5">
        <v>460636.84</v>
      </c>
      <c r="N2843" s="5">
        <v>0.17230000000000001</v>
      </c>
      <c r="O2843" s="5">
        <v>3</v>
      </c>
      <c r="P2843" s="5">
        <v>46126</v>
      </c>
    </row>
    <row r="2844" spans="1:16" x14ac:dyDescent="0.3">
      <c r="A2844" s="5">
        <v>78</v>
      </c>
      <c r="B2844" s="5" t="s">
        <v>140</v>
      </c>
      <c r="C2844" s="5">
        <v>12</v>
      </c>
      <c r="D2844" s="5" t="s">
        <v>89</v>
      </c>
      <c r="E2844" s="5">
        <v>2021</v>
      </c>
      <c r="F2844" s="5">
        <v>9</v>
      </c>
      <c r="G2844" s="5" t="s">
        <v>30</v>
      </c>
      <c r="H2844" s="5">
        <v>2549431</v>
      </c>
      <c r="I2844" s="5">
        <v>2138866.29</v>
      </c>
      <c r="J2844" s="5">
        <v>42</v>
      </c>
      <c r="K2844" s="5">
        <v>273156</v>
      </c>
      <c r="L2844" s="5">
        <v>2816660</v>
      </c>
      <c r="M2844" s="5">
        <v>410564.71</v>
      </c>
      <c r="N2844" s="5">
        <v>0.161</v>
      </c>
      <c r="O2844" s="5">
        <v>5</v>
      </c>
      <c r="P2844" s="5">
        <v>110482</v>
      </c>
    </row>
    <row r="2845" spans="1:16" x14ac:dyDescent="0.3">
      <c r="A2845" s="5">
        <v>78</v>
      </c>
      <c r="B2845" s="5" t="s">
        <v>140</v>
      </c>
      <c r="C2845" s="5">
        <v>12</v>
      </c>
      <c r="D2845" s="5" t="s">
        <v>89</v>
      </c>
      <c r="E2845" s="5">
        <v>2021</v>
      </c>
      <c r="F2845" s="5">
        <v>10</v>
      </c>
      <c r="G2845" s="5" t="s">
        <v>31</v>
      </c>
      <c r="H2845" s="5">
        <v>3432848</v>
      </c>
      <c r="I2845" s="5">
        <v>2837690.91</v>
      </c>
      <c r="J2845" s="5">
        <v>56</v>
      </c>
      <c r="K2845" s="5">
        <v>293360</v>
      </c>
      <c r="L2845" s="5">
        <v>3702450</v>
      </c>
      <c r="M2845" s="5">
        <v>595157.09</v>
      </c>
      <c r="N2845" s="5">
        <v>0.1734</v>
      </c>
      <c r="O2845" s="5">
        <v>6</v>
      </c>
      <c r="P2845" s="5">
        <v>191365</v>
      </c>
    </row>
    <row r="2846" spans="1:16" x14ac:dyDescent="0.3">
      <c r="A2846" s="5">
        <v>78</v>
      </c>
      <c r="B2846" s="5" t="s">
        <v>140</v>
      </c>
      <c r="C2846" s="5">
        <v>12</v>
      </c>
      <c r="D2846" s="5" t="s">
        <v>89</v>
      </c>
      <c r="E2846" s="5">
        <v>2021</v>
      </c>
      <c r="F2846" s="5">
        <v>11</v>
      </c>
      <c r="G2846" s="5" t="s">
        <v>32</v>
      </c>
      <c r="H2846" s="5">
        <v>5033103</v>
      </c>
      <c r="I2846" s="5">
        <v>4047668.6</v>
      </c>
      <c r="J2846" s="5">
        <v>69</v>
      </c>
      <c r="K2846" s="5">
        <v>291685</v>
      </c>
      <c r="L2846" s="5">
        <v>5309410</v>
      </c>
      <c r="M2846" s="5">
        <v>985434.4</v>
      </c>
      <c r="N2846" s="5">
        <v>0.1958</v>
      </c>
      <c r="O2846" s="5">
        <v>11</v>
      </c>
      <c r="P2846" s="5">
        <v>386109</v>
      </c>
    </row>
    <row r="2847" spans="1:16" x14ac:dyDescent="0.3">
      <c r="A2847" s="5">
        <v>78</v>
      </c>
      <c r="B2847" s="5" t="s">
        <v>140</v>
      </c>
      <c r="C2847" s="5">
        <v>12</v>
      </c>
      <c r="D2847" s="5" t="s">
        <v>89</v>
      </c>
      <c r="E2847" s="5">
        <v>2021</v>
      </c>
      <c r="F2847" s="5">
        <v>12</v>
      </c>
      <c r="G2847" s="5" t="s">
        <v>33</v>
      </c>
      <c r="H2847" s="5">
        <v>5901364</v>
      </c>
      <c r="I2847" s="5">
        <v>4942675.47</v>
      </c>
      <c r="J2847" s="5">
        <v>68</v>
      </c>
      <c r="K2847" s="5">
        <v>501073</v>
      </c>
      <c r="L2847" s="5">
        <v>6382370</v>
      </c>
      <c r="M2847" s="5">
        <v>958688.53</v>
      </c>
      <c r="N2847" s="5">
        <v>0.16250000000000001</v>
      </c>
      <c r="O2847" s="5">
        <v>7</v>
      </c>
      <c r="P2847" s="5">
        <v>163640</v>
      </c>
    </row>
    <row r="2848" spans="1:16" x14ac:dyDescent="0.3">
      <c r="A2848" s="5">
        <v>78</v>
      </c>
      <c r="B2848" s="5" t="s">
        <v>140</v>
      </c>
      <c r="C2848" s="5">
        <v>12</v>
      </c>
      <c r="D2848" s="5" t="s">
        <v>89</v>
      </c>
      <c r="E2848" s="5">
        <v>2022</v>
      </c>
      <c r="F2848" s="5">
        <v>1</v>
      </c>
      <c r="G2848" s="5" t="s">
        <v>34</v>
      </c>
      <c r="H2848" s="5">
        <v>4453813</v>
      </c>
      <c r="I2848" s="5">
        <v>3630996.98</v>
      </c>
      <c r="J2848" s="5">
        <v>63</v>
      </c>
      <c r="K2848" s="5">
        <v>253468</v>
      </c>
      <c r="L2848" s="5">
        <v>4683350</v>
      </c>
      <c r="M2848" s="5">
        <v>822816.02</v>
      </c>
      <c r="N2848" s="5">
        <v>0.1847</v>
      </c>
      <c r="O2848" s="5">
        <v>8</v>
      </c>
      <c r="P2848" s="5">
        <v>265806</v>
      </c>
    </row>
    <row r="2849" spans="1:16" x14ac:dyDescent="0.3">
      <c r="A2849" s="5">
        <v>78</v>
      </c>
      <c r="B2849" s="5" t="s">
        <v>140</v>
      </c>
      <c r="C2849" s="5">
        <v>12</v>
      </c>
      <c r="D2849" s="5" t="s">
        <v>89</v>
      </c>
      <c r="E2849" s="5">
        <v>2022</v>
      </c>
      <c r="F2849" s="5">
        <v>2</v>
      </c>
      <c r="G2849" s="5" t="s">
        <v>35</v>
      </c>
      <c r="H2849" s="5">
        <v>3383292</v>
      </c>
      <c r="I2849" s="5">
        <v>2809642.07</v>
      </c>
      <c r="J2849" s="5">
        <v>47</v>
      </c>
      <c r="K2849" s="5">
        <v>194539</v>
      </c>
      <c r="L2849" s="5">
        <v>3569460</v>
      </c>
      <c r="M2849" s="5">
        <v>573649.93000000005</v>
      </c>
      <c r="N2849" s="5">
        <v>0.1696</v>
      </c>
      <c r="O2849" s="5">
        <v>6</v>
      </c>
      <c r="P2849" s="5">
        <v>309042</v>
      </c>
    </row>
    <row r="2850" spans="1:16" x14ac:dyDescent="0.3">
      <c r="A2850" s="5">
        <v>78</v>
      </c>
      <c r="B2850" s="5" t="s">
        <v>140</v>
      </c>
      <c r="C2850" s="5">
        <v>12</v>
      </c>
      <c r="D2850" s="5" t="s">
        <v>89</v>
      </c>
      <c r="E2850" s="5">
        <v>2022</v>
      </c>
      <c r="F2850" s="5">
        <v>3</v>
      </c>
      <c r="G2850" s="5" t="s">
        <v>36</v>
      </c>
      <c r="H2850" s="5">
        <v>4959233</v>
      </c>
      <c r="I2850" s="5">
        <v>4214019.59</v>
      </c>
      <c r="J2850" s="5">
        <v>61</v>
      </c>
      <c r="K2850" s="5">
        <v>412491</v>
      </c>
      <c r="L2850" s="5">
        <v>5353370</v>
      </c>
      <c r="M2850" s="5">
        <v>745213.41</v>
      </c>
      <c r="N2850" s="5">
        <v>0.15029999999999999</v>
      </c>
      <c r="O2850" s="5">
        <v>4</v>
      </c>
      <c r="P2850" s="5">
        <v>63978</v>
      </c>
    </row>
    <row r="2851" spans="1:16" x14ac:dyDescent="0.3">
      <c r="A2851" s="5">
        <v>78</v>
      </c>
      <c r="B2851" s="5" t="s">
        <v>140</v>
      </c>
      <c r="C2851" s="5">
        <v>12</v>
      </c>
      <c r="D2851" s="5" t="s">
        <v>89</v>
      </c>
      <c r="E2851" s="5">
        <v>2022</v>
      </c>
      <c r="F2851" s="5">
        <v>4</v>
      </c>
      <c r="G2851" s="5" t="s">
        <v>37</v>
      </c>
      <c r="H2851" s="5">
        <v>5063611</v>
      </c>
      <c r="I2851" s="5">
        <v>4400779.72</v>
      </c>
      <c r="J2851" s="5">
        <v>68</v>
      </c>
      <c r="K2851" s="5">
        <v>596953</v>
      </c>
      <c r="L2851" s="5">
        <v>5639880</v>
      </c>
      <c r="M2851" s="5">
        <v>662831.28</v>
      </c>
      <c r="N2851" s="5">
        <v>0.13089999999999999</v>
      </c>
      <c r="O2851" s="5">
        <v>3</v>
      </c>
      <c r="P2851" s="5">
        <v>70552</v>
      </c>
    </row>
    <row r="2852" spans="1:16" x14ac:dyDescent="0.3">
      <c r="A2852" s="5">
        <v>78</v>
      </c>
      <c r="B2852" s="5" t="s">
        <v>140</v>
      </c>
      <c r="C2852" s="5">
        <v>12</v>
      </c>
      <c r="D2852" s="5" t="s">
        <v>89</v>
      </c>
      <c r="E2852" s="5">
        <v>2022</v>
      </c>
      <c r="F2852" s="5">
        <v>5</v>
      </c>
      <c r="G2852" s="5" t="s">
        <v>38</v>
      </c>
      <c r="H2852" s="5">
        <v>4655096</v>
      </c>
      <c r="I2852" s="5">
        <v>3953380.87</v>
      </c>
      <c r="J2852" s="5">
        <v>75</v>
      </c>
      <c r="K2852" s="5">
        <v>525819</v>
      </c>
      <c r="L2852" s="5">
        <v>5156640</v>
      </c>
      <c r="M2852" s="5">
        <v>701715.13</v>
      </c>
      <c r="N2852" s="5">
        <v>0.1507</v>
      </c>
      <c r="O2852" s="5">
        <v>11</v>
      </c>
      <c r="P2852" s="5">
        <v>276900</v>
      </c>
    </row>
    <row r="2853" spans="1:16" x14ac:dyDescent="0.3">
      <c r="A2853" s="5">
        <v>78</v>
      </c>
      <c r="B2853" s="5" t="s">
        <v>140</v>
      </c>
      <c r="C2853" s="5">
        <v>12</v>
      </c>
      <c r="D2853" s="5" t="s">
        <v>89</v>
      </c>
      <c r="E2853" s="5">
        <v>2022</v>
      </c>
      <c r="F2853" s="5">
        <v>6</v>
      </c>
      <c r="G2853" s="5" t="s">
        <v>39</v>
      </c>
      <c r="H2853" s="5">
        <v>4200207</v>
      </c>
      <c r="I2853" s="5">
        <v>3483191.23</v>
      </c>
      <c r="J2853" s="5">
        <v>68</v>
      </c>
      <c r="K2853" s="5">
        <v>400039</v>
      </c>
      <c r="L2853" s="5">
        <v>4586910</v>
      </c>
      <c r="M2853" s="5">
        <v>717015.77</v>
      </c>
      <c r="N2853" s="5">
        <v>0.17069999999999999</v>
      </c>
      <c r="O2853" s="5">
        <v>8</v>
      </c>
      <c r="P2853" s="5">
        <v>243903</v>
      </c>
    </row>
    <row r="2854" spans="1:16" x14ac:dyDescent="0.3">
      <c r="A2854" s="5">
        <v>78</v>
      </c>
      <c r="B2854" s="5" t="s">
        <v>140</v>
      </c>
      <c r="C2854" s="5">
        <v>12</v>
      </c>
      <c r="D2854" s="5" t="s">
        <v>89</v>
      </c>
      <c r="E2854" s="5">
        <v>2022</v>
      </c>
      <c r="F2854" s="5">
        <v>7</v>
      </c>
      <c r="G2854" s="5" t="s">
        <v>40</v>
      </c>
      <c r="H2854" s="5">
        <v>3364053</v>
      </c>
      <c r="I2854" s="5">
        <v>3031743.7</v>
      </c>
      <c r="J2854" s="5">
        <v>59</v>
      </c>
      <c r="K2854" s="5">
        <v>502198</v>
      </c>
      <c r="L2854" s="5">
        <v>3852880</v>
      </c>
      <c r="M2854" s="5">
        <v>332309.3</v>
      </c>
      <c r="N2854" s="5">
        <v>9.8799999999999999E-2</v>
      </c>
      <c r="O2854" s="5">
        <v>6</v>
      </c>
      <c r="P2854" s="5">
        <v>139281</v>
      </c>
    </row>
    <row r="2855" spans="1:16" x14ac:dyDescent="0.3">
      <c r="A2855" s="5">
        <v>78</v>
      </c>
      <c r="B2855" s="5" t="s">
        <v>140</v>
      </c>
      <c r="C2855" s="5">
        <v>12</v>
      </c>
      <c r="D2855" s="5" t="s">
        <v>89</v>
      </c>
      <c r="E2855" s="5">
        <v>2022</v>
      </c>
      <c r="F2855" s="5">
        <v>8</v>
      </c>
      <c r="G2855" s="5" t="s">
        <v>41</v>
      </c>
      <c r="H2855" s="5">
        <v>4267505</v>
      </c>
      <c r="I2855" s="5">
        <v>4247427.57</v>
      </c>
      <c r="J2855" s="5">
        <v>66</v>
      </c>
      <c r="K2855" s="5">
        <v>1237067</v>
      </c>
      <c r="L2855" s="5">
        <v>5498820</v>
      </c>
      <c r="M2855" s="5">
        <v>20077.43</v>
      </c>
      <c r="N2855" s="5">
        <v>4.7000000000000002E-3</v>
      </c>
      <c r="O2855" s="5">
        <v>4</v>
      </c>
      <c r="P2855" s="5">
        <v>117484</v>
      </c>
    </row>
    <row r="2856" spans="1:16" x14ac:dyDescent="0.3">
      <c r="A2856" s="5">
        <v>78</v>
      </c>
      <c r="B2856" s="5" t="s">
        <v>140</v>
      </c>
      <c r="C2856" s="5">
        <v>12</v>
      </c>
      <c r="D2856" s="5" t="s">
        <v>89</v>
      </c>
      <c r="E2856" s="5">
        <v>2022</v>
      </c>
      <c r="F2856" s="5">
        <v>9</v>
      </c>
      <c r="G2856" s="5" t="s">
        <v>42</v>
      </c>
      <c r="H2856" s="5">
        <v>4579047</v>
      </c>
      <c r="I2856" s="5">
        <v>4022121.67</v>
      </c>
      <c r="J2856" s="5">
        <v>57</v>
      </c>
      <c r="K2856" s="5">
        <v>571749</v>
      </c>
      <c r="L2856" s="5">
        <v>5130190</v>
      </c>
      <c r="M2856" s="5">
        <v>556925.32999999996</v>
      </c>
      <c r="N2856" s="5">
        <v>0.1216</v>
      </c>
      <c r="O2856" s="5">
        <v>5</v>
      </c>
      <c r="P2856" s="5">
        <v>215642</v>
      </c>
    </row>
    <row r="2857" spans="1:16" x14ac:dyDescent="0.3">
      <c r="A2857" s="5">
        <v>78</v>
      </c>
      <c r="B2857" s="5" t="s">
        <v>140</v>
      </c>
      <c r="C2857" s="5">
        <v>12</v>
      </c>
      <c r="D2857" s="5" t="s">
        <v>89</v>
      </c>
      <c r="E2857" s="5">
        <v>2022</v>
      </c>
      <c r="F2857" s="5">
        <v>10</v>
      </c>
      <c r="G2857" s="5" t="s">
        <v>43</v>
      </c>
      <c r="H2857" s="5">
        <v>6339728</v>
      </c>
      <c r="I2857" s="5">
        <v>5853549.1399999997</v>
      </c>
      <c r="J2857" s="5">
        <v>83</v>
      </c>
      <c r="K2857" s="5">
        <v>1132583</v>
      </c>
      <c r="L2857" s="5">
        <v>7451580</v>
      </c>
      <c r="M2857" s="5">
        <v>486178.86</v>
      </c>
      <c r="N2857" s="5">
        <v>7.6700000000000004E-2</v>
      </c>
      <c r="O2857" s="5">
        <v>8</v>
      </c>
      <c r="P2857" s="5">
        <v>98191</v>
      </c>
    </row>
    <row r="2858" spans="1:16" x14ac:dyDescent="0.3">
      <c r="A2858" s="5">
        <v>78</v>
      </c>
      <c r="B2858" s="5" t="s">
        <v>140</v>
      </c>
      <c r="C2858" s="5">
        <v>12</v>
      </c>
      <c r="D2858" s="5" t="s">
        <v>89</v>
      </c>
      <c r="E2858" s="5">
        <v>2022</v>
      </c>
      <c r="F2858" s="5">
        <v>11</v>
      </c>
      <c r="G2858" s="5" t="s">
        <v>44</v>
      </c>
      <c r="H2858" s="5">
        <v>5435600</v>
      </c>
      <c r="I2858" s="5">
        <v>4735182.16</v>
      </c>
      <c r="J2858" s="5">
        <v>87</v>
      </c>
      <c r="K2858" s="5">
        <v>502115</v>
      </c>
      <c r="L2858" s="5">
        <v>5920610</v>
      </c>
      <c r="M2858" s="5">
        <v>700417.84</v>
      </c>
      <c r="N2858" s="5">
        <v>0.12889999999999999</v>
      </c>
      <c r="O2858" s="5">
        <v>5</v>
      </c>
      <c r="P2858" s="5">
        <v>222751</v>
      </c>
    </row>
    <row r="2859" spans="1:16" x14ac:dyDescent="0.3">
      <c r="A2859" s="5">
        <v>78</v>
      </c>
      <c r="B2859" s="5" t="s">
        <v>140</v>
      </c>
      <c r="C2859" s="5">
        <v>12</v>
      </c>
      <c r="D2859" s="5" t="s">
        <v>89</v>
      </c>
      <c r="E2859" s="5">
        <v>2022</v>
      </c>
      <c r="F2859" s="5">
        <v>12</v>
      </c>
      <c r="G2859" s="5" t="s">
        <v>45</v>
      </c>
      <c r="H2859" s="5">
        <v>6694700</v>
      </c>
      <c r="I2859" s="5">
        <v>5665991</v>
      </c>
      <c r="J2859" s="5">
        <v>94</v>
      </c>
      <c r="K2859" s="5">
        <v>576833</v>
      </c>
      <c r="L2859" s="5">
        <v>7255550</v>
      </c>
      <c r="M2859" s="5">
        <v>1028709</v>
      </c>
      <c r="N2859" s="5">
        <v>0.1537</v>
      </c>
      <c r="O2859" s="5">
        <v>8</v>
      </c>
      <c r="P2859" s="5">
        <v>360141</v>
      </c>
    </row>
    <row r="2860" spans="1:16" x14ac:dyDescent="0.3">
      <c r="A2860" s="5">
        <v>78</v>
      </c>
      <c r="B2860" s="5" t="s">
        <v>140</v>
      </c>
      <c r="C2860" s="5">
        <v>12</v>
      </c>
      <c r="D2860" s="5" t="s">
        <v>89</v>
      </c>
      <c r="E2860" s="5">
        <v>2023</v>
      </c>
      <c r="F2860" s="5">
        <v>1</v>
      </c>
      <c r="G2860" s="5" t="s">
        <v>46</v>
      </c>
      <c r="H2860" s="5">
        <v>4617789</v>
      </c>
      <c r="I2860" s="5">
        <v>3983674.01</v>
      </c>
      <c r="J2860" s="5">
        <v>78</v>
      </c>
      <c r="K2860" s="5">
        <v>541746</v>
      </c>
      <c r="L2860" s="5">
        <v>5143040</v>
      </c>
      <c r="M2860" s="5">
        <v>634114.99</v>
      </c>
      <c r="N2860" s="5">
        <v>0.13730000000000001</v>
      </c>
      <c r="O2860" s="5">
        <v>4</v>
      </c>
      <c r="P2860" s="5">
        <v>20480</v>
      </c>
    </row>
    <row r="2861" spans="1:16" x14ac:dyDescent="0.3">
      <c r="A2861" s="5">
        <v>78</v>
      </c>
      <c r="B2861" s="5" t="s">
        <v>140</v>
      </c>
      <c r="C2861" s="5">
        <v>12</v>
      </c>
      <c r="D2861" s="5" t="s">
        <v>89</v>
      </c>
      <c r="E2861" s="5">
        <v>2023</v>
      </c>
      <c r="F2861" s="5">
        <v>2</v>
      </c>
      <c r="G2861" s="5" t="s">
        <v>47</v>
      </c>
      <c r="H2861" s="5">
        <v>5035890</v>
      </c>
      <c r="I2861" s="5">
        <v>4207257.08</v>
      </c>
      <c r="J2861" s="5">
        <v>79</v>
      </c>
      <c r="K2861" s="5">
        <v>446299</v>
      </c>
      <c r="L2861" s="5">
        <v>5468350</v>
      </c>
      <c r="M2861" s="5">
        <v>828632.92</v>
      </c>
      <c r="N2861" s="5">
        <v>0.16450000000000001</v>
      </c>
      <c r="O2861" s="5">
        <v>7</v>
      </c>
      <c r="P2861" s="5">
        <v>197437</v>
      </c>
    </row>
    <row r="2862" spans="1:16" x14ac:dyDescent="0.3">
      <c r="A2862" s="5">
        <v>78</v>
      </c>
      <c r="B2862" s="5" t="s">
        <v>140</v>
      </c>
      <c r="C2862" s="5">
        <v>12</v>
      </c>
      <c r="D2862" s="5" t="s">
        <v>89</v>
      </c>
      <c r="E2862" s="5">
        <v>2023</v>
      </c>
      <c r="F2862" s="5">
        <v>3</v>
      </c>
      <c r="G2862" s="5" t="s">
        <v>48</v>
      </c>
      <c r="H2862" s="5">
        <v>4264229</v>
      </c>
      <c r="I2862" s="5">
        <v>3600947.06</v>
      </c>
      <c r="J2862" s="5">
        <v>65</v>
      </c>
      <c r="K2862" s="5">
        <v>446531</v>
      </c>
      <c r="L2862" s="5">
        <v>4694080</v>
      </c>
      <c r="M2862" s="5">
        <v>663281.93999999994</v>
      </c>
      <c r="N2862" s="5">
        <v>0.1555</v>
      </c>
      <c r="O2862" s="5">
        <v>7</v>
      </c>
      <c r="P2862" s="5">
        <v>155517</v>
      </c>
    </row>
    <row r="2863" spans="1:16" x14ac:dyDescent="0.3">
      <c r="A2863" s="5">
        <v>78</v>
      </c>
      <c r="B2863" s="5" t="s">
        <v>140</v>
      </c>
      <c r="C2863" s="5">
        <v>12</v>
      </c>
      <c r="D2863" s="5" t="s">
        <v>89</v>
      </c>
      <c r="E2863" s="5">
        <v>2023</v>
      </c>
      <c r="F2863" s="5">
        <v>4</v>
      </c>
      <c r="G2863" s="5" t="s">
        <v>49</v>
      </c>
      <c r="H2863" s="5">
        <v>3917501</v>
      </c>
      <c r="I2863" s="5">
        <v>3425792.6</v>
      </c>
      <c r="J2863" s="5">
        <v>78</v>
      </c>
      <c r="K2863" s="5">
        <v>570323</v>
      </c>
      <c r="L2863" s="5">
        <v>4470040</v>
      </c>
      <c r="M2863" s="5">
        <v>491708.4</v>
      </c>
      <c r="N2863" s="5">
        <v>0.1255</v>
      </c>
      <c r="O2863" s="5">
        <v>5</v>
      </c>
      <c r="P2863" s="5">
        <v>71834</v>
      </c>
    </row>
    <row r="2864" spans="1:16" x14ac:dyDescent="0.3">
      <c r="A2864" s="5">
        <v>78</v>
      </c>
      <c r="B2864" s="5" t="s">
        <v>140</v>
      </c>
      <c r="C2864" s="5">
        <v>12</v>
      </c>
      <c r="D2864" s="5" t="s">
        <v>89</v>
      </c>
      <c r="E2864" s="5">
        <v>2023</v>
      </c>
      <c r="F2864" s="5">
        <v>5</v>
      </c>
      <c r="G2864" s="5" t="s">
        <v>50</v>
      </c>
      <c r="H2864" s="5">
        <v>4776934</v>
      </c>
      <c r="I2864" s="5">
        <v>4086175.34</v>
      </c>
      <c r="J2864" s="5">
        <v>78</v>
      </c>
      <c r="K2864" s="5">
        <v>637007</v>
      </c>
      <c r="L2864" s="5">
        <v>5394310</v>
      </c>
      <c r="M2864" s="5">
        <v>690758.66</v>
      </c>
      <c r="N2864" s="5">
        <v>0.14460000000000001</v>
      </c>
      <c r="O2864" s="5">
        <v>7</v>
      </c>
      <c r="P2864" s="5">
        <v>44998</v>
      </c>
    </row>
    <row r="2865" spans="1:16" x14ac:dyDescent="0.3">
      <c r="A2865" s="5">
        <v>78</v>
      </c>
      <c r="B2865" s="5" t="s">
        <v>140</v>
      </c>
      <c r="C2865" s="5">
        <v>12</v>
      </c>
      <c r="D2865" s="5" t="s">
        <v>89</v>
      </c>
      <c r="E2865" s="5">
        <v>2023</v>
      </c>
      <c r="F2865" s="5">
        <v>6</v>
      </c>
      <c r="G2865" s="5" t="s">
        <v>51</v>
      </c>
      <c r="H2865" s="5">
        <v>3927389</v>
      </c>
      <c r="I2865" s="5">
        <v>3241557.53</v>
      </c>
      <c r="J2865" s="5">
        <v>75</v>
      </c>
      <c r="K2865" s="5">
        <v>386921</v>
      </c>
      <c r="L2865" s="5">
        <v>4298680</v>
      </c>
      <c r="M2865" s="5">
        <v>685831.47</v>
      </c>
      <c r="N2865" s="5">
        <v>0.17460000000000001</v>
      </c>
      <c r="O2865" s="5">
        <v>5</v>
      </c>
      <c r="P2865" s="5">
        <v>54765</v>
      </c>
    </row>
    <row r="2866" spans="1:16" x14ac:dyDescent="0.3">
      <c r="A2866" s="5">
        <v>78</v>
      </c>
      <c r="B2866" s="5" t="s">
        <v>140</v>
      </c>
      <c r="C2866" s="5">
        <v>12</v>
      </c>
      <c r="D2866" s="5" t="s">
        <v>89</v>
      </c>
      <c r="E2866" s="5">
        <v>2023</v>
      </c>
      <c r="F2866" s="5">
        <v>7</v>
      </c>
      <c r="G2866" s="5" t="s">
        <v>52</v>
      </c>
      <c r="H2866" s="5">
        <v>5216984</v>
      </c>
      <c r="I2866" s="5">
        <v>4614874.5599999996</v>
      </c>
      <c r="J2866" s="5">
        <v>74</v>
      </c>
      <c r="K2866" s="5">
        <v>771077</v>
      </c>
      <c r="L2866" s="5">
        <v>5977170</v>
      </c>
      <c r="M2866" s="5">
        <v>602109.43999999994</v>
      </c>
      <c r="N2866" s="5">
        <v>0.1154</v>
      </c>
      <c r="O2866" s="5">
        <v>3</v>
      </c>
      <c r="P2866" s="5">
        <v>40639</v>
      </c>
    </row>
    <row r="2867" spans="1:16" x14ac:dyDescent="0.3">
      <c r="A2867" s="5">
        <v>78</v>
      </c>
      <c r="B2867" s="5" t="s">
        <v>140</v>
      </c>
      <c r="C2867" s="5">
        <v>12</v>
      </c>
      <c r="D2867" s="5" t="s">
        <v>89</v>
      </c>
      <c r="E2867" s="5">
        <v>2023</v>
      </c>
      <c r="F2867" s="5">
        <v>8</v>
      </c>
      <c r="G2867" s="5" t="s">
        <v>53</v>
      </c>
      <c r="H2867" s="5">
        <v>6551094</v>
      </c>
      <c r="I2867" s="5">
        <v>5654260.0800000001</v>
      </c>
      <c r="J2867" s="5">
        <v>83</v>
      </c>
      <c r="K2867" s="5">
        <v>789357</v>
      </c>
      <c r="L2867" s="5">
        <v>7309420</v>
      </c>
      <c r="M2867" s="5">
        <v>896833.92</v>
      </c>
      <c r="N2867" s="5">
        <v>0.13689999999999999</v>
      </c>
      <c r="O2867" s="5">
        <v>7</v>
      </c>
      <c r="P2867" s="5">
        <v>183846</v>
      </c>
    </row>
    <row r="2868" spans="1:16" x14ac:dyDescent="0.3">
      <c r="A2868" s="5">
        <v>78</v>
      </c>
      <c r="B2868" s="5" t="s">
        <v>140</v>
      </c>
      <c r="C2868" s="5">
        <v>12</v>
      </c>
      <c r="D2868" s="5" t="s">
        <v>89</v>
      </c>
      <c r="E2868" s="5">
        <v>2023</v>
      </c>
      <c r="F2868" s="5">
        <v>9</v>
      </c>
      <c r="G2868" s="5" t="s">
        <v>54</v>
      </c>
      <c r="H2868" s="5">
        <v>6669875</v>
      </c>
      <c r="I2868" s="5">
        <v>6054976.79</v>
      </c>
      <c r="J2868" s="5">
        <v>96</v>
      </c>
      <c r="K2868" s="5">
        <v>1039569</v>
      </c>
      <c r="L2868" s="5">
        <v>7692290</v>
      </c>
      <c r="M2868" s="5">
        <v>614898.21</v>
      </c>
      <c r="N2868" s="5">
        <v>9.2200000000000004E-2</v>
      </c>
      <c r="O2868" s="5">
        <v>10</v>
      </c>
      <c r="P2868" s="5">
        <v>228102</v>
      </c>
    </row>
    <row r="2869" spans="1:16" x14ac:dyDescent="0.3">
      <c r="A2869" s="5">
        <v>78</v>
      </c>
      <c r="B2869" s="5" t="s">
        <v>140</v>
      </c>
      <c r="C2869" s="5">
        <v>12</v>
      </c>
      <c r="D2869" s="5" t="s">
        <v>89</v>
      </c>
      <c r="E2869" s="5">
        <v>2023</v>
      </c>
      <c r="F2869" s="5">
        <v>10</v>
      </c>
      <c r="G2869" s="5" t="s">
        <v>55</v>
      </c>
      <c r="H2869" s="5">
        <v>7068925</v>
      </c>
      <c r="I2869" s="5">
        <v>6040007.0099999998</v>
      </c>
      <c r="J2869" s="5">
        <v>107</v>
      </c>
      <c r="K2869" s="5">
        <v>696280</v>
      </c>
      <c r="L2869" s="5">
        <v>7734220</v>
      </c>
      <c r="M2869" s="5">
        <v>1028917.99</v>
      </c>
      <c r="N2869" s="5">
        <v>0.14560000000000001</v>
      </c>
      <c r="O2869" s="5">
        <v>10</v>
      </c>
      <c r="P2869" s="5">
        <v>601961</v>
      </c>
    </row>
    <row r="2870" spans="1:16" x14ac:dyDescent="0.3">
      <c r="A2870" s="5">
        <v>78</v>
      </c>
      <c r="B2870" s="5" t="s">
        <v>140</v>
      </c>
      <c r="C2870" s="5">
        <v>12</v>
      </c>
      <c r="D2870" s="5" t="s">
        <v>89</v>
      </c>
      <c r="E2870" s="5">
        <v>2023</v>
      </c>
      <c r="F2870" s="5">
        <v>11</v>
      </c>
      <c r="G2870" s="5" t="s">
        <v>56</v>
      </c>
      <c r="H2870" s="5">
        <v>8752684</v>
      </c>
      <c r="I2870" s="5">
        <v>7335693.96</v>
      </c>
      <c r="J2870" s="5">
        <v>115</v>
      </c>
      <c r="K2870" s="5">
        <v>757300</v>
      </c>
      <c r="L2870" s="5">
        <v>9465230</v>
      </c>
      <c r="M2870" s="5">
        <v>1416990.04</v>
      </c>
      <c r="N2870" s="5">
        <v>0.16189999999999999</v>
      </c>
      <c r="O2870" s="5">
        <v>10</v>
      </c>
      <c r="P2870" s="5">
        <v>303656</v>
      </c>
    </row>
    <row r="2871" spans="1:16" x14ac:dyDescent="0.3">
      <c r="A2871" s="5">
        <v>78</v>
      </c>
      <c r="B2871" s="5" t="s">
        <v>140</v>
      </c>
      <c r="C2871" s="5">
        <v>12</v>
      </c>
      <c r="D2871" s="5" t="s">
        <v>89</v>
      </c>
      <c r="E2871" s="5">
        <v>2023</v>
      </c>
      <c r="F2871" s="5">
        <v>12</v>
      </c>
      <c r="G2871" s="5" t="s">
        <v>57</v>
      </c>
      <c r="H2871" s="5">
        <v>7639061</v>
      </c>
      <c r="I2871" s="5">
        <v>6930344.54</v>
      </c>
      <c r="J2871" s="5">
        <v>112</v>
      </c>
      <c r="K2871" s="5">
        <v>1261515</v>
      </c>
      <c r="L2871" s="5">
        <v>8866320</v>
      </c>
      <c r="M2871" s="5">
        <v>708716.46</v>
      </c>
      <c r="N2871" s="5">
        <v>9.2799999999999994E-2</v>
      </c>
      <c r="O2871" s="5">
        <v>5</v>
      </c>
      <c r="P2871" s="5">
        <v>59012</v>
      </c>
    </row>
    <row r="2872" spans="1:16" x14ac:dyDescent="0.3">
      <c r="A2872" s="5">
        <v>78</v>
      </c>
      <c r="B2872" s="5" t="s">
        <v>140</v>
      </c>
      <c r="C2872" s="5">
        <v>12</v>
      </c>
      <c r="D2872" s="5" t="s">
        <v>89</v>
      </c>
      <c r="E2872" s="5">
        <v>2024</v>
      </c>
      <c r="F2872" s="5">
        <v>1</v>
      </c>
      <c r="G2872" s="5" t="s">
        <v>58</v>
      </c>
      <c r="H2872" s="5">
        <v>6318499</v>
      </c>
      <c r="I2872" s="5">
        <v>5683745.3099999996</v>
      </c>
      <c r="J2872" s="5">
        <v>77</v>
      </c>
      <c r="K2872" s="5">
        <v>942848</v>
      </c>
      <c r="L2872" s="5">
        <v>7238320</v>
      </c>
      <c r="M2872" s="5">
        <v>634753.68999999994</v>
      </c>
      <c r="N2872" s="5">
        <v>0.10050000000000001</v>
      </c>
      <c r="O2872" s="5">
        <v>9</v>
      </c>
      <c r="P2872" s="5">
        <v>243647</v>
      </c>
    </row>
    <row r="2873" spans="1:16" x14ac:dyDescent="0.3">
      <c r="A2873" s="5">
        <v>78</v>
      </c>
      <c r="B2873" s="5" t="s">
        <v>140</v>
      </c>
      <c r="C2873" s="5">
        <v>12</v>
      </c>
      <c r="D2873" s="5" t="s">
        <v>89</v>
      </c>
      <c r="E2873" s="5">
        <v>2024</v>
      </c>
      <c r="F2873" s="5">
        <v>2</v>
      </c>
      <c r="G2873" s="5" t="s">
        <v>59</v>
      </c>
      <c r="H2873" s="5">
        <v>5636360</v>
      </c>
      <c r="I2873" s="5">
        <v>4954094</v>
      </c>
      <c r="J2873" s="5">
        <v>71</v>
      </c>
      <c r="K2873" s="5">
        <v>676864</v>
      </c>
      <c r="L2873" s="5">
        <v>6298130</v>
      </c>
      <c r="M2873" s="5">
        <v>682266</v>
      </c>
      <c r="N2873" s="5">
        <v>0.121</v>
      </c>
      <c r="O2873" s="5">
        <v>8</v>
      </c>
      <c r="P2873" s="5">
        <v>362781</v>
      </c>
    </row>
    <row r="2874" spans="1:16" x14ac:dyDescent="0.3">
      <c r="A2874" s="5">
        <v>78</v>
      </c>
      <c r="B2874" s="5" t="s">
        <v>140</v>
      </c>
      <c r="C2874" s="5">
        <v>12</v>
      </c>
      <c r="D2874" s="5" t="s">
        <v>89</v>
      </c>
      <c r="E2874" s="5">
        <v>2024</v>
      </c>
      <c r="F2874" s="5">
        <v>3</v>
      </c>
      <c r="G2874" s="5" t="s">
        <v>60</v>
      </c>
      <c r="H2874" s="5">
        <v>5800942</v>
      </c>
      <c r="I2874" s="5">
        <v>4877492.7</v>
      </c>
      <c r="J2874" s="5">
        <v>89</v>
      </c>
      <c r="K2874" s="5">
        <v>575760</v>
      </c>
      <c r="L2874" s="5">
        <v>6353000</v>
      </c>
      <c r="M2874" s="5">
        <v>923449.3</v>
      </c>
      <c r="N2874" s="5">
        <v>0.15920000000000001</v>
      </c>
      <c r="O2874" s="5">
        <v>4</v>
      </c>
      <c r="P2874" s="5">
        <v>10319</v>
      </c>
    </row>
    <row r="2875" spans="1:16" x14ac:dyDescent="0.3">
      <c r="A2875" s="5">
        <v>78</v>
      </c>
      <c r="B2875" s="5" t="s">
        <v>140</v>
      </c>
      <c r="C2875" s="5">
        <v>12</v>
      </c>
      <c r="D2875" s="5" t="s">
        <v>89</v>
      </c>
      <c r="E2875" s="5">
        <v>2024</v>
      </c>
      <c r="F2875" s="5">
        <v>4</v>
      </c>
      <c r="G2875" s="5" t="s">
        <v>61</v>
      </c>
      <c r="H2875" s="5">
        <v>5317586</v>
      </c>
      <c r="I2875" s="5">
        <v>4542300.8</v>
      </c>
      <c r="J2875" s="5">
        <v>74</v>
      </c>
      <c r="K2875" s="5">
        <v>591652</v>
      </c>
      <c r="L2875" s="5">
        <v>5894410</v>
      </c>
      <c r="M2875" s="5">
        <v>775285.2</v>
      </c>
      <c r="N2875" s="5">
        <v>0.14580000000000001</v>
      </c>
      <c r="O2875" s="5">
        <v>6</v>
      </c>
      <c r="P2875" s="5">
        <v>328254</v>
      </c>
    </row>
    <row r="2876" spans="1:16" x14ac:dyDescent="0.3">
      <c r="A2876" s="5">
        <v>78</v>
      </c>
      <c r="B2876" s="5" t="s">
        <v>140</v>
      </c>
      <c r="C2876" s="5">
        <v>12</v>
      </c>
      <c r="D2876" s="5" t="s">
        <v>89</v>
      </c>
      <c r="E2876" s="5">
        <v>2024</v>
      </c>
      <c r="F2876" s="5">
        <v>5</v>
      </c>
      <c r="G2876" s="5" t="s">
        <v>62</v>
      </c>
      <c r="H2876" s="5">
        <v>7505129</v>
      </c>
      <c r="I2876" s="5">
        <v>6503385.8499999996</v>
      </c>
      <c r="J2876" s="5">
        <v>97</v>
      </c>
      <c r="K2876" s="5">
        <v>871700</v>
      </c>
      <c r="L2876" s="5">
        <v>8349310</v>
      </c>
      <c r="M2876" s="5">
        <v>1001743.15</v>
      </c>
      <c r="N2876" s="5">
        <v>0.13350000000000001</v>
      </c>
      <c r="O2876" s="5">
        <v>7</v>
      </c>
      <c r="P2876" s="5">
        <v>97767</v>
      </c>
    </row>
    <row r="2877" spans="1:16" x14ac:dyDescent="0.3">
      <c r="A2877" s="5">
        <v>78</v>
      </c>
      <c r="B2877" s="5" t="s">
        <v>140</v>
      </c>
      <c r="C2877" s="5">
        <v>12</v>
      </c>
      <c r="D2877" s="5" t="s">
        <v>89</v>
      </c>
      <c r="E2877" s="5">
        <v>2024</v>
      </c>
      <c r="F2877" s="5">
        <v>6</v>
      </c>
      <c r="G2877" s="5" t="s">
        <v>63</v>
      </c>
      <c r="H2877" s="5">
        <v>6691972</v>
      </c>
      <c r="I2877" s="5">
        <v>5514651.8099999996</v>
      </c>
      <c r="J2877" s="5">
        <v>86</v>
      </c>
      <c r="K2877" s="5">
        <v>480030</v>
      </c>
      <c r="L2877" s="5">
        <v>7149030</v>
      </c>
      <c r="M2877" s="5">
        <v>1177320.19</v>
      </c>
      <c r="N2877" s="5">
        <v>0.1759</v>
      </c>
      <c r="O2877" s="5">
        <v>5</v>
      </c>
      <c r="P2877" s="5">
        <v>461514</v>
      </c>
    </row>
    <row r="2878" spans="1:16" x14ac:dyDescent="0.3">
      <c r="A2878" s="5">
        <v>78</v>
      </c>
      <c r="B2878" s="5" t="s">
        <v>140</v>
      </c>
      <c r="C2878" s="5">
        <v>12</v>
      </c>
      <c r="D2878" s="5" t="s">
        <v>89</v>
      </c>
      <c r="E2878" s="5">
        <v>2024</v>
      </c>
      <c r="F2878" s="5">
        <v>7</v>
      </c>
      <c r="G2878" s="5" t="s">
        <v>64</v>
      </c>
      <c r="H2878" s="5">
        <v>7597565</v>
      </c>
      <c r="I2878" s="5">
        <v>6409726.6699999999</v>
      </c>
      <c r="J2878" s="5">
        <v>101</v>
      </c>
      <c r="K2878" s="5">
        <v>665268</v>
      </c>
      <c r="L2878" s="5">
        <v>8233580</v>
      </c>
      <c r="M2878" s="5">
        <v>1187838.33</v>
      </c>
      <c r="N2878" s="5">
        <v>0.15629999999999999</v>
      </c>
      <c r="O2878" s="5">
        <v>11</v>
      </c>
      <c r="P2878" s="5">
        <v>276267</v>
      </c>
    </row>
    <row r="2879" spans="1:16" x14ac:dyDescent="0.3">
      <c r="A2879" s="5">
        <v>78</v>
      </c>
      <c r="B2879" s="5" t="s">
        <v>140</v>
      </c>
      <c r="C2879" s="5">
        <v>12</v>
      </c>
      <c r="D2879" s="5" t="s">
        <v>89</v>
      </c>
      <c r="E2879" s="5">
        <v>2024</v>
      </c>
      <c r="F2879" s="5">
        <v>8</v>
      </c>
      <c r="G2879" s="5" t="s">
        <v>65</v>
      </c>
      <c r="H2879" s="5">
        <v>5739857</v>
      </c>
      <c r="I2879" s="5">
        <v>4905093.04</v>
      </c>
      <c r="J2879" s="5">
        <v>95</v>
      </c>
      <c r="K2879" s="5">
        <v>645388</v>
      </c>
      <c r="L2879" s="5">
        <v>6363700</v>
      </c>
      <c r="M2879" s="5">
        <v>834763.96</v>
      </c>
      <c r="N2879" s="5">
        <v>0.1454</v>
      </c>
      <c r="O2879" s="5">
        <v>5</v>
      </c>
      <c r="P2879" s="5">
        <v>58402</v>
      </c>
    </row>
    <row r="2880" spans="1:16" x14ac:dyDescent="0.3">
      <c r="A2880" s="5">
        <v>78</v>
      </c>
      <c r="B2880" s="5" t="s">
        <v>140</v>
      </c>
      <c r="C2880" s="5">
        <v>12</v>
      </c>
      <c r="D2880" s="5" t="s">
        <v>89</v>
      </c>
      <c r="E2880" s="5">
        <v>2024</v>
      </c>
      <c r="F2880" s="5">
        <v>9</v>
      </c>
      <c r="G2880" s="5" t="s">
        <v>66</v>
      </c>
      <c r="H2880" s="5">
        <v>6884562</v>
      </c>
      <c r="I2880" s="5">
        <v>5646195.8300000001</v>
      </c>
      <c r="J2880" s="5">
        <v>94</v>
      </c>
      <c r="K2880" s="5">
        <v>380692</v>
      </c>
      <c r="L2880" s="5">
        <v>7250670</v>
      </c>
      <c r="M2880" s="5">
        <v>1238366.17</v>
      </c>
      <c r="N2880" s="5">
        <v>0.1799</v>
      </c>
      <c r="O2880" s="5">
        <v>7</v>
      </c>
      <c r="P2880" s="5">
        <v>257170</v>
      </c>
    </row>
    <row r="2881" spans="1:16" x14ac:dyDescent="0.3">
      <c r="A2881" s="5">
        <v>78</v>
      </c>
      <c r="B2881" s="5" t="s">
        <v>140</v>
      </c>
      <c r="C2881" s="5">
        <v>12</v>
      </c>
      <c r="D2881" s="5" t="s">
        <v>89</v>
      </c>
      <c r="E2881" s="5">
        <v>2024</v>
      </c>
      <c r="F2881" s="5">
        <v>10</v>
      </c>
      <c r="G2881" s="5" t="s">
        <v>67</v>
      </c>
      <c r="H2881" s="5">
        <v>8925076</v>
      </c>
      <c r="I2881" s="5">
        <v>7225848.3700000001</v>
      </c>
      <c r="J2881" s="5">
        <v>120</v>
      </c>
      <c r="K2881" s="5">
        <v>313087</v>
      </c>
      <c r="L2881" s="5">
        <v>9209270</v>
      </c>
      <c r="M2881" s="5">
        <v>1699227.63</v>
      </c>
      <c r="N2881" s="5">
        <v>0.19040000000000001</v>
      </c>
      <c r="O2881" s="5">
        <v>13</v>
      </c>
      <c r="P2881" s="5">
        <v>754230</v>
      </c>
    </row>
    <row r="2882" spans="1:16" x14ac:dyDescent="0.3">
      <c r="A2882" s="5">
        <v>78</v>
      </c>
      <c r="B2882" s="5" t="s">
        <v>140</v>
      </c>
      <c r="C2882" s="5">
        <v>12</v>
      </c>
      <c r="D2882" s="5" t="s">
        <v>89</v>
      </c>
      <c r="E2882" s="5">
        <v>2024</v>
      </c>
      <c r="F2882" s="5">
        <v>11</v>
      </c>
      <c r="G2882" s="5" t="s">
        <v>68</v>
      </c>
      <c r="H2882" s="5">
        <v>8984957</v>
      </c>
      <c r="I2882" s="5">
        <v>7623257.0599999996</v>
      </c>
      <c r="J2882" s="5">
        <v>121</v>
      </c>
      <c r="K2882" s="5">
        <v>802047</v>
      </c>
      <c r="L2882" s="5">
        <v>9762460</v>
      </c>
      <c r="M2882" s="5">
        <v>1361699.94</v>
      </c>
      <c r="N2882" s="5">
        <v>0.15160000000000001</v>
      </c>
      <c r="O2882" s="5">
        <v>9</v>
      </c>
      <c r="P2882" s="5">
        <v>156798</v>
      </c>
    </row>
    <row r="2883" spans="1:16" x14ac:dyDescent="0.3">
      <c r="A2883" s="5">
        <v>78</v>
      </c>
      <c r="B2883" s="5" t="s">
        <v>140</v>
      </c>
      <c r="C2883" s="5">
        <v>12</v>
      </c>
      <c r="D2883" s="5" t="s">
        <v>89</v>
      </c>
      <c r="E2883" s="5">
        <v>2024</v>
      </c>
      <c r="F2883" s="5">
        <v>12</v>
      </c>
      <c r="G2883" s="5" t="s">
        <v>69</v>
      </c>
      <c r="H2883" s="5">
        <v>7736894</v>
      </c>
      <c r="I2883" s="5">
        <v>6185319.3700000001</v>
      </c>
      <c r="J2883" s="5">
        <v>117</v>
      </c>
      <c r="K2883" s="5">
        <v>261564</v>
      </c>
      <c r="L2883" s="5">
        <v>7985690</v>
      </c>
      <c r="M2883" s="5">
        <v>1551574.63</v>
      </c>
      <c r="N2883" s="5">
        <v>0.20050000000000001</v>
      </c>
      <c r="O2883" s="5">
        <v>6</v>
      </c>
      <c r="P2883" s="5">
        <v>388198</v>
      </c>
    </row>
    <row r="2884" spans="1:16" x14ac:dyDescent="0.3">
      <c r="A2884" s="5">
        <v>109</v>
      </c>
      <c r="B2884" s="5" t="s">
        <v>141</v>
      </c>
      <c r="C2884" s="5">
        <v>8</v>
      </c>
      <c r="D2884" s="5" t="s">
        <v>82</v>
      </c>
      <c r="E2884" s="5">
        <v>2021</v>
      </c>
      <c r="F2884" s="5">
        <v>1</v>
      </c>
      <c r="G2884" s="5" t="s">
        <v>22</v>
      </c>
      <c r="H2884" s="5">
        <v>1045327</v>
      </c>
      <c r="I2884" s="5">
        <v>1077677.72</v>
      </c>
      <c r="J2884" s="5">
        <v>14</v>
      </c>
      <c r="K2884" s="5">
        <v>323942</v>
      </c>
      <c r="L2884" s="5">
        <v>1368210</v>
      </c>
      <c r="M2884" s="5">
        <v>-32350.720000000001</v>
      </c>
      <c r="N2884" s="5">
        <v>-3.09E-2</v>
      </c>
      <c r="O2884" s="5">
        <v>0</v>
      </c>
      <c r="P2884" s="5">
        <v>0</v>
      </c>
    </row>
    <row r="2885" spans="1:16" x14ac:dyDescent="0.3">
      <c r="A2885" s="5">
        <v>109</v>
      </c>
      <c r="B2885" s="5" t="s">
        <v>141</v>
      </c>
      <c r="C2885" s="5">
        <v>8</v>
      </c>
      <c r="D2885" s="5" t="s">
        <v>82</v>
      </c>
      <c r="E2885" s="5">
        <v>2021</v>
      </c>
      <c r="F2885" s="5">
        <v>2</v>
      </c>
      <c r="G2885" s="5" t="s">
        <v>23</v>
      </c>
      <c r="H2885" s="5">
        <v>809661</v>
      </c>
      <c r="I2885" s="5">
        <v>672949.34</v>
      </c>
      <c r="J2885" s="5">
        <v>12</v>
      </c>
      <c r="K2885" s="5">
        <v>43633</v>
      </c>
      <c r="L2885" s="5">
        <v>849930</v>
      </c>
      <c r="M2885" s="5">
        <v>136711.66</v>
      </c>
      <c r="N2885" s="5">
        <v>0.16889999999999999</v>
      </c>
      <c r="O2885" s="5">
        <v>2</v>
      </c>
      <c r="P2885" s="5">
        <v>26165</v>
      </c>
    </row>
    <row r="2886" spans="1:16" x14ac:dyDescent="0.3">
      <c r="A2886" s="5">
        <v>109</v>
      </c>
      <c r="B2886" s="5" t="s">
        <v>141</v>
      </c>
      <c r="C2886" s="5">
        <v>8</v>
      </c>
      <c r="D2886" s="5" t="s">
        <v>82</v>
      </c>
      <c r="E2886" s="5">
        <v>2021</v>
      </c>
      <c r="F2886" s="5">
        <v>3</v>
      </c>
      <c r="G2886" s="5" t="s">
        <v>24</v>
      </c>
      <c r="H2886" s="5">
        <v>1154608</v>
      </c>
      <c r="I2886" s="5">
        <v>944556.48</v>
      </c>
      <c r="J2886" s="5">
        <v>22</v>
      </c>
      <c r="K2886" s="5">
        <v>100097</v>
      </c>
      <c r="L2886" s="5">
        <v>1251940</v>
      </c>
      <c r="M2886" s="5">
        <v>210051.52</v>
      </c>
      <c r="N2886" s="5">
        <v>0.18190000000000001</v>
      </c>
      <c r="O2886" s="5">
        <v>3</v>
      </c>
      <c r="P2886" s="5">
        <v>90812</v>
      </c>
    </row>
    <row r="2887" spans="1:16" x14ac:dyDescent="0.3">
      <c r="A2887" s="5">
        <v>109</v>
      </c>
      <c r="B2887" s="5" t="s">
        <v>141</v>
      </c>
      <c r="C2887" s="5">
        <v>8</v>
      </c>
      <c r="D2887" s="5" t="s">
        <v>82</v>
      </c>
      <c r="E2887" s="5">
        <v>2021</v>
      </c>
      <c r="F2887" s="5">
        <v>4</v>
      </c>
      <c r="G2887" s="5" t="s">
        <v>25</v>
      </c>
      <c r="H2887" s="5">
        <v>683571</v>
      </c>
      <c r="I2887" s="5">
        <v>574916.31000000006</v>
      </c>
      <c r="J2887" s="5">
        <v>16</v>
      </c>
      <c r="K2887" s="5">
        <v>78838</v>
      </c>
      <c r="L2887" s="5">
        <v>760420</v>
      </c>
      <c r="M2887" s="5">
        <v>108654.69</v>
      </c>
      <c r="N2887" s="5">
        <v>0.159</v>
      </c>
      <c r="O2887" s="5">
        <v>2</v>
      </c>
      <c r="P2887" s="5">
        <v>4403</v>
      </c>
    </row>
    <row r="2888" spans="1:16" x14ac:dyDescent="0.3">
      <c r="A2888" s="5">
        <v>109</v>
      </c>
      <c r="B2888" s="5" t="s">
        <v>141</v>
      </c>
      <c r="C2888" s="5">
        <v>8</v>
      </c>
      <c r="D2888" s="5" t="s">
        <v>82</v>
      </c>
      <c r="E2888" s="5">
        <v>2021</v>
      </c>
      <c r="F2888" s="5">
        <v>5</v>
      </c>
      <c r="G2888" s="5" t="s">
        <v>26</v>
      </c>
      <c r="H2888" s="5">
        <v>1044355</v>
      </c>
      <c r="I2888" s="5">
        <v>885031.73</v>
      </c>
      <c r="J2888" s="5">
        <v>14</v>
      </c>
      <c r="K2888" s="5">
        <v>97710</v>
      </c>
      <c r="L2888" s="5">
        <v>1138510</v>
      </c>
      <c r="M2888" s="5">
        <v>159323.26999999999</v>
      </c>
      <c r="N2888" s="5">
        <v>0.15260000000000001</v>
      </c>
      <c r="O2888" s="5">
        <v>2</v>
      </c>
      <c r="P2888" s="5">
        <v>23328</v>
      </c>
    </row>
    <row r="2889" spans="1:16" x14ac:dyDescent="0.3">
      <c r="A2889" s="5">
        <v>109</v>
      </c>
      <c r="B2889" s="5" t="s">
        <v>141</v>
      </c>
      <c r="C2889" s="5">
        <v>8</v>
      </c>
      <c r="D2889" s="5" t="s">
        <v>82</v>
      </c>
      <c r="E2889" s="5">
        <v>2021</v>
      </c>
      <c r="F2889" s="5">
        <v>6</v>
      </c>
      <c r="G2889" s="5" t="s">
        <v>27</v>
      </c>
      <c r="H2889" s="5">
        <v>1717810</v>
      </c>
      <c r="I2889" s="5">
        <v>1489266.96</v>
      </c>
      <c r="J2889" s="5">
        <v>22</v>
      </c>
      <c r="K2889" s="5">
        <v>184072</v>
      </c>
      <c r="L2889" s="5">
        <v>1897600</v>
      </c>
      <c r="M2889" s="5">
        <v>228543.04</v>
      </c>
      <c r="N2889" s="5">
        <v>0.13300000000000001</v>
      </c>
      <c r="O2889" s="5">
        <v>2</v>
      </c>
      <c r="P2889" s="5">
        <v>38375</v>
      </c>
    </row>
    <row r="2890" spans="1:16" x14ac:dyDescent="0.3">
      <c r="A2890" s="5">
        <v>109</v>
      </c>
      <c r="B2890" s="5" t="s">
        <v>141</v>
      </c>
      <c r="C2890" s="5">
        <v>8</v>
      </c>
      <c r="D2890" s="5" t="s">
        <v>82</v>
      </c>
      <c r="E2890" s="5">
        <v>2021</v>
      </c>
      <c r="F2890" s="5">
        <v>7</v>
      </c>
      <c r="G2890" s="5" t="s">
        <v>28</v>
      </c>
      <c r="H2890" s="5">
        <v>1334133</v>
      </c>
      <c r="I2890" s="5">
        <v>1098160.58</v>
      </c>
      <c r="J2890" s="5">
        <v>15</v>
      </c>
      <c r="K2890" s="5">
        <v>47148</v>
      </c>
      <c r="L2890" s="5">
        <v>1372070</v>
      </c>
      <c r="M2890" s="5">
        <v>235972.42</v>
      </c>
      <c r="N2890" s="5">
        <v>0.1769</v>
      </c>
      <c r="O2890" s="5">
        <v>1</v>
      </c>
      <c r="P2890" s="5">
        <v>4190</v>
      </c>
    </row>
    <row r="2891" spans="1:16" x14ac:dyDescent="0.3">
      <c r="A2891" s="5">
        <v>109</v>
      </c>
      <c r="B2891" s="5" t="s">
        <v>141</v>
      </c>
      <c r="C2891" s="5">
        <v>8</v>
      </c>
      <c r="D2891" s="5" t="s">
        <v>82</v>
      </c>
      <c r="E2891" s="5">
        <v>2021</v>
      </c>
      <c r="F2891" s="5">
        <v>8</v>
      </c>
      <c r="G2891" s="5" t="s">
        <v>29</v>
      </c>
      <c r="H2891" s="5">
        <v>583097</v>
      </c>
      <c r="I2891" s="5">
        <v>460723.37</v>
      </c>
      <c r="J2891" s="5">
        <v>11</v>
      </c>
      <c r="K2891" s="5">
        <v>37545</v>
      </c>
      <c r="L2891" s="5">
        <v>616310</v>
      </c>
      <c r="M2891" s="5">
        <v>122373.63</v>
      </c>
      <c r="N2891" s="5">
        <v>0.2099</v>
      </c>
      <c r="O2891" s="5">
        <v>0</v>
      </c>
      <c r="P2891" s="5">
        <v>0</v>
      </c>
    </row>
    <row r="2892" spans="1:16" x14ac:dyDescent="0.3">
      <c r="A2892" s="5">
        <v>109</v>
      </c>
      <c r="B2892" s="5" t="s">
        <v>141</v>
      </c>
      <c r="C2892" s="5">
        <v>8</v>
      </c>
      <c r="D2892" s="5" t="s">
        <v>82</v>
      </c>
      <c r="E2892" s="5">
        <v>2021</v>
      </c>
      <c r="F2892" s="5">
        <v>9</v>
      </c>
      <c r="G2892" s="5" t="s">
        <v>30</v>
      </c>
      <c r="H2892" s="5">
        <v>750100</v>
      </c>
      <c r="I2892" s="5">
        <v>702488.34</v>
      </c>
      <c r="J2892" s="5">
        <v>14</v>
      </c>
      <c r="K2892" s="5">
        <v>150822</v>
      </c>
      <c r="L2892" s="5">
        <v>900890</v>
      </c>
      <c r="M2892" s="5">
        <v>47611.66</v>
      </c>
      <c r="N2892" s="5">
        <v>6.3500000000000001E-2</v>
      </c>
      <c r="O2892" s="5">
        <v>0</v>
      </c>
      <c r="P2892" s="5">
        <v>0</v>
      </c>
    </row>
    <row r="2893" spans="1:16" x14ac:dyDescent="0.3">
      <c r="A2893" s="5">
        <v>109</v>
      </c>
      <c r="B2893" s="5" t="s">
        <v>141</v>
      </c>
      <c r="C2893" s="5">
        <v>8</v>
      </c>
      <c r="D2893" s="5" t="s">
        <v>82</v>
      </c>
      <c r="E2893" s="5">
        <v>2021</v>
      </c>
      <c r="F2893" s="5">
        <v>10</v>
      </c>
      <c r="G2893" s="5" t="s">
        <v>31</v>
      </c>
      <c r="H2893" s="5">
        <v>1095995</v>
      </c>
      <c r="I2893" s="5">
        <v>876488.65</v>
      </c>
      <c r="J2893" s="5">
        <v>17</v>
      </c>
      <c r="K2893" s="5">
        <v>56417</v>
      </c>
      <c r="L2893" s="5">
        <v>1146680</v>
      </c>
      <c r="M2893" s="5">
        <v>219506.35</v>
      </c>
      <c r="N2893" s="5">
        <v>0.20030000000000001</v>
      </c>
      <c r="O2893" s="5">
        <v>0</v>
      </c>
      <c r="P2893" s="5">
        <v>0</v>
      </c>
    </row>
    <row r="2894" spans="1:16" x14ac:dyDescent="0.3">
      <c r="A2894" s="5">
        <v>109</v>
      </c>
      <c r="B2894" s="5" t="s">
        <v>141</v>
      </c>
      <c r="C2894" s="5">
        <v>8</v>
      </c>
      <c r="D2894" s="5" t="s">
        <v>82</v>
      </c>
      <c r="E2894" s="5">
        <v>2021</v>
      </c>
      <c r="F2894" s="5">
        <v>11</v>
      </c>
      <c r="G2894" s="5" t="s">
        <v>32</v>
      </c>
      <c r="H2894" s="5">
        <v>954843</v>
      </c>
      <c r="I2894" s="5">
        <v>806716.11</v>
      </c>
      <c r="J2894" s="5">
        <v>14</v>
      </c>
      <c r="K2894" s="5">
        <v>107047</v>
      </c>
      <c r="L2894" s="5">
        <v>1061490</v>
      </c>
      <c r="M2894" s="5">
        <v>148126.89000000001</v>
      </c>
      <c r="N2894" s="5">
        <v>0.15509999999999999</v>
      </c>
      <c r="O2894" s="5">
        <v>1</v>
      </c>
      <c r="P2894" s="5">
        <v>3983</v>
      </c>
    </row>
    <row r="2895" spans="1:16" x14ac:dyDescent="0.3">
      <c r="A2895" s="5">
        <v>109</v>
      </c>
      <c r="B2895" s="5" t="s">
        <v>141</v>
      </c>
      <c r="C2895" s="5">
        <v>8</v>
      </c>
      <c r="D2895" s="5" t="s">
        <v>82</v>
      </c>
      <c r="E2895" s="5">
        <v>2021</v>
      </c>
      <c r="F2895" s="5">
        <v>12</v>
      </c>
      <c r="G2895" s="5" t="s">
        <v>33</v>
      </c>
      <c r="H2895" s="5">
        <v>1264729</v>
      </c>
      <c r="I2895" s="5">
        <v>1039115.1</v>
      </c>
      <c r="J2895" s="5">
        <v>20</v>
      </c>
      <c r="K2895" s="5">
        <v>45186</v>
      </c>
      <c r="L2895" s="5">
        <v>1308900</v>
      </c>
      <c r="M2895" s="5">
        <v>225613.9</v>
      </c>
      <c r="N2895" s="5">
        <v>0.1784</v>
      </c>
      <c r="O2895" s="5">
        <v>1</v>
      </c>
      <c r="P2895" s="5">
        <v>1010</v>
      </c>
    </row>
    <row r="2896" spans="1:16" x14ac:dyDescent="0.3">
      <c r="A2896" s="5">
        <v>109</v>
      </c>
      <c r="B2896" s="5" t="s">
        <v>141</v>
      </c>
      <c r="C2896" s="5">
        <v>8</v>
      </c>
      <c r="D2896" s="5" t="s">
        <v>82</v>
      </c>
      <c r="E2896" s="5">
        <v>2022</v>
      </c>
      <c r="F2896" s="5">
        <v>1</v>
      </c>
      <c r="G2896" s="5" t="s">
        <v>34</v>
      </c>
      <c r="H2896" s="5">
        <v>1569235</v>
      </c>
      <c r="I2896" s="5">
        <v>1308664.1399999999</v>
      </c>
      <c r="J2896" s="5">
        <v>19</v>
      </c>
      <c r="K2896" s="5">
        <v>76298</v>
      </c>
      <c r="L2896" s="5">
        <v>1640130</v>
      </c>
      <c r="M2896" s="5">
        <v>260570.86</v>
      </c>
      <c r="N2896" s="5">
        <v>0.16600000000000001</v>
      </c>
      <c r="O2896" s="5">
        <v>0</v>
      </c>
      <c r="P2896" s="5">
        <v>0</v>
      </c>
    </row>
    <row r="2897" spans="1:16" x14ac:dyDescent="0.3">
      <c r="A2897" s="5">
        <v>109</v>
      </c>
      <c r="B2897" s="5" t="s">
        <v>141</v>
      </c>
      <c r="C2897" s="5">
        <v>8</v>
      </c>
      <c r="D2897" s="5" t="s">
        <v>82</v>
      </c>
      <c r="E2897" s="5">
        <v>2022</v>
      </c>
      <c r="F2897" s="5">
        <v>2</v>
      </c>
      <c r="G2897" s="5" t="s">
        <v>35</v>
      </c>
      <c r="H2897" s="5">
        <v>772204</v>
      </c>
      <c r="I2897" s="5">
        <v>640082.18999999994</v>
      </c>
      <c r="J2897" s="5">
        <v>10</v>
      </c>
      <c r="K2897" s="5">
        <v>65648</v>
      </c>
      <c r="L2897" s="5">
        <v>837220</v>
      </c>
      <c r="M2897" s="5">
        <v>132121.81</v>
      </c>
      <c r="N2897" s="5">
        <v>0.1711</v>
      </c>
      <c r="O2897" s="5">
        <v>1</v>
      </c>
      <c r="P2897" s="5">
        <v>92990</v>
      </c>
    </row>
    <row r="2898" spans="1:16" x14ac:dyDescent="0.3">
      <c r="A2898" s="5">
        <v>109</v>
      </c>
      <c r="B2898" s="5" t="s">
        <v>141</v>
      </c>
      <c r="C2898" s="5">
        <v>8</v>
      </c>
      <c r="D2898" s="5" t="s">
        <v>82</v>
      </c>
      <c r="E2898" s="5">
        <v>2022</v>
      </c>
      <c r="F2898" s="5">
        <v>3</v>
      </c>
      <c r="G2898" s="5" t="s">
        <v>36</v>
      </c>
      <c r="H2898" s="5">
        <v>1775259</v>
      </c>
      <c r="I2898" s="5">
        <v>1503623.97</v>
      </c>
      <c r="J2898" s="5">
        <v>19</v>
      </c>
      <c r="K2898" s="5">
        <v>152946</v>
      </c>
      <c r="L2898" s="5">
        <v>1917430</v>
      </c>
      <c r="M2898" s="5">
        <v>271635.03000000003</v>
      </c>
      <c r="N2898" s="5">
        <v>0.153</v>
      </c>
      <c r="O2898" s="5">
        <v>3</v>
      </c>
      <c r="P2898" s="5">
        <v>465531</v>
      </c>
    </row>
    <row r="2899" spans="1:16" x14ac:dyDescent="0.3">
      <c r="A2899" s="5">
        <v>109</v>
      </c>
      <c r="B2899" s="5" t="s">
        <v>141</v>
      </c>
      <c r="C2899" s="5">
        <v>8</v>
      </c>
      <c r="D2899" s="5" t="s">
        <v>82</v>
      </c>
      <c r="E2899" s="5">
        <v>2022</v>
      </c>
      <c r="F2899" s="5">
        <v>4</v>
      </c>
      <c r="G2899" s="5" t="s">
        <v>37</v>
      </c>
      <c r="H2899" s="5">
        <v>1379251</v>
      </c>
      <c r="I2899" s="5">
        <v>1124437.6200000001</v>
      </c>
      <c r="J2899" s="5">
        <v>19</v>
      </c>
      <c r="K2899" s="5">
        <v>65503</v>
      </c>
      <c r="L2899" s="5">
        <v>1436690</v>
      </c>
      <c r="M2899" s="5">
        <v>254813.38</v>
      </c>
      <c r="N2899" s="5">
        <v>0.1847</v>
      </c>
      <c r="O2899" s="5">
        <v>2</v>
      </c>
      <c r="P2899" s="5">
        <v>37718</v>
      </c>
    </row>
    <row r="2900" spans="1:16" x14ac:dyDescent="0.3">
      <c r="A2900" s="5">
        <v>109</v>
      </c>
      <c r="B2900" s="5" t="s">
        <v>141</v>
      </c>
      <c r="C2900" s="5">
        <v>8</v>
      </c>
      <c r="D2900" s="5" t="s">
        <v>82</v>
      </c>
      <c r="E2900" s="5">
        <v>2022</v>
      </c>
      <c r="F2900" s="5">
        <v>5</v>
      </c>
      <c r="G2900" s="5" t="s">
        <v>38</v>
      </c>
      <c r="H2900" s="5">
        <v>1107968</v>
      </c>
      <c r="I2900" s="5">
        <v>988998.98</v>
      </c>
      <c r="J2900" s="5">
        <v>24</v>
      </c>
      <c r="K2900" s="5">
        <v>167077</v>
      </c>
      <c r="L2900" s="5">
        <v>1273380</v>
      </c>
      <c r="M2900" s="5">
        <v>118969.02</v>
      </c>
      <c r="N2900" s="5">
        <v>0.1074</v>
      </c>
      <c r="O2900" s="5">
        <v>2</v>
      </c>
      <c r="P2900" s="5">
        <v>84102</v>
      </c>
    </row>
    <row r="2901" spans="1:16" x14ac:dyDescent="0.3">
      <c r="A2901" s="5">
        <v>109</v>
      </c>
      <c r="B2901" s="5" t="s">
        <v>141</v>
      </c>
      <c r="C2901" s="5">
        <v>8</v>
      </c>
      <c r="D2901" s="5" t="s">
        <v>82</v>
      </c>
      <c r="E2901" s="5">
        <v>2022</v>
      </c>
      <c r="F2901" s="5">
        <v>6</v>
      </c>
      <c r="G2901" s="5" t="s">
        <v>39</v>
      </c>
      <c r="H2901" s="5">
        <v>756162</v>
      </c>
      <c r="I2901" s="5">
        <v>599622.78</v>
      </c>
      <c r="J2901" s="5">
        <v>11</v>
      </c>
      <c r="K2901" s="5">
        <v>46730</v>
      </c>
      <c r="L2901" s="5">
        <v>798150</v>
      </c>
      <c r="M2901" s="5">
        <v>156539.22</v>
      </c>
      <c r="N2901" s="5">
        <v>0.20699999999999999</v>
      </c>
      <c r="O2901" s="5">
        <v>3</v>
      </c>
      <c r="P2901" s="5">
        <v>72566</v>
      </c>
    </row>
    <row r="2902" spans="1:16" x14ac:dyDescent="0.3">
      <c r="A2902" s="5">
        <v>109</v>
      </c>
      <c r="B2902" s="5" t="s">
        <v>141</v>
      </c>
      <c r="C2902" s="5">
        <v>8</v>
      </c>
      <c r="D2902" s="5" t="s">
        <v>82</v>
      </c>
      <c r="E2902" s="5">
        <v>2022</v>
      </c>
      <c r="F2902" s="5">
        <v>7</v>
      </c>
      <c r="G2902" s="5" t="s">
        <v>40</v>
      </c>
      <c r="H2902" s="5">
        <v>2422234</v>
      </c>
      <c r="I2902" s="5">
        <v>2312082.67</v>
      </c>
      <c r="J2902" s="5">
        <v>25</v>
      </c>
      <c r="K2902" s="5">
        <v>532761</v>
      </c>
      <c r="L2902" s="5">
        <v>2948020</v>
      </c>
      <c r="M2902" s="5">
        <v>110151.33</v>
      </c>
      <c r="N2902" s="5">
        <v>4.5499999999999999E-2</v>
      </c>
      <c r="O2902" s="5">
        <v>0</v>
      </c>
      <c r="P2902" s="5">
        <v>0</v>
      </c>
    </row>
    <row r="2903" spans="1:16" x14ac:dyDescent="0.3">
      <c r="A2903" s="5">
        <v>109</v>
      </c>
      <c r="B2903" s="5" t="s">
        <v>141</v>
      </c>
      <c r="C2903" s="5">
        <v>8</v>
      </c>
      <c r="D2903" s="5" t="s">
        <v>82</v>
      </c>
      <c r="E2903" s="5">
        <v>2022</v>
      </c>
      <c r="F2903" s="5">
        <v>8</v>
      </c>
      <c r="G2903" s="5" t="s">
        <v>41</v>
      </c>
      <c r="H2903" s="5">
        <v>1382110</v>
      </c>
      <c r="I2903" s="5">
        <v>1402584.5</v>
      </c>
      <c r="J2903" s="5">
        <v>27</v>
      </c>
      <c r="K2903" s="5">
        <v>364996</v>
      </c>
      <c r="L2903" s="5">
        <v>1745180</v>
      </c>
      <c r="M2903" s="5">
        <v>-20474.5</v>
      </c>
      <c r="N2903" s="5">
        <v>-1.4800000000000001E-2</v>
      </c>
      <c r="O2903" s="5">
        <v>4</v>
      </c>
      <c r="P2903" s="5">
        <v>184401</v>
      </c>
    </row>
    <row r="2904" spans="1:16" x14ac:dyDescent="0.3">
      <c r="A2904" s="5">
        <v>109</v>
      </c>
      <c r="B2904" s="5" t="s">
        <v>141</v>
      </c>
      <c r="C2904" s="5">
        <v>8</v>
      </c>
      <c r="D2904" s="5" t="s">
        <v>82</v>
      </c>
      <c r="E2904" s="5">
        <v>2022</v>
      </c>
      <c r="F2904" s="5">
        <v>9</v>
      </c>
      <c r="G2904" s="5" t="s">
        <v>42</v>
      </c>
      <c r="H2904" s="5">
        <v>1718142</v>
      </c>
      <c r="I2904" s="5">
        <v>1539947.44</v>
      </c>
      <c r="J2904" s="5">
        <v>20</v>
      </c>
      <c r="K2904" s="5">
        <v>230466</v>
      </c>
      <c r="L2904" s="5">
        <v>1943920</v>
      </c>
      <c r="M2904" s="5">
        <v>178194.56</v>
      </c>
      <c r="N2904" s="5">
        <v>0.1037</v>
      </c>
      <c r="O2904" s="5">
        <v>2</v>
      </c>
      <c r="P2904" s="5">
        <v>22408</v>
      </c>
    </row>
    <row r="2905" spans="1:16" x14ac:dyDescent="0.3">
      <c r="A2905" s="5">
        <v>109</v>
      </c>
      <c r="B2905" s="5" t="s">
        <v>141</v>
      </c>
      <c r="C2905" s="5">
        <v>8</v>
      </c>
      <c r="D2905" s="5" t="s">
        <v>82</v>
      </c>
      <c r="E2905" s="5">
        <v>2022</v>
      </c>
      <c r="F2905" s="5">
        <v>10</v>
      </c>
      <c r="G2905" s="5" t="s">
        <v>43</v>
      </c>
      <c r="H2905" s="5">
        <v>1421704</v>
      </c>
      <c r="I2905" s="5">
        <v>1323382.3600000001</v>
      </c>
      <c r="J2905" s="5">
        <v>34</v>
      </c>
      <c r="K2905" s="5">
        <v>312661</v>
      </c>
      <c r="L2905" s="5">
        <v>1726450</v>
      </c>
      <c r="M2905" s="5">
        <v>98321.64</v>
      </c>
      <c r="N2905" s="5">
        <v>6.9199999999999998E-2</v>
      </c>
      <c r="O2905" s="5">
        <v>1</v>
      </c>
      <c r="P2905" s="5">
        <v>32010</v>
      </c>
    </row>
    <row r="2906" spans="1:16" x14ac:dyDescent="0.3">
      <c r="A2906" s="5">
        <v>109</v>
      </c>
      <c r="B2906" s="5" t="s">
        <v>141</v>
      </c>
      <c r="C2906" s="5">
        <v>8</v>
      </c>
      <c r="D2906" s="5" t="s">
        <v>82</v>
      </c>
      <c r="E2906" s="5">
        <v>2022</v>
      </c>
      <c r="F2906" s="5">
        <v>11</v>
      </c>
      <c r="G2906" s="5" t="s">
        <v>44</v>
      </c>
      <c r="H2906" s="5">
        <v>1198470</v>
      </c>
      <c r="I2906" s="5">
        <v>958101.46</v>
      </c>
      <c r="J2906" s="5">
        <v>27</v>
      </c>
      <c r="K2906" s="5">
        <v>54695</v>
      </c>
      <c r="L2906" s="5">
        <v>1246590</v>
      </c>
      <c r="M2906" s="5">
        <v>240368.54</v>
      </c>
      <c r="N2906" s="5">
        <v>0.2006</v>
      </c>
      <c r="O2906" s="5">
        <v>2</v>
      </c>
      <c r="P2906" s="5">
        <v>89469</v>
      </c>
    </row>
    <row r="2907" spans="1:16" x14ac:dyDescent="0.3">
      <c r="A2907" s="5">
        <v>109</v>
      </c>
      <c r="B2907" s="5" t="s">
        <v>141</v>
      </c>
      <c r="C2907" s="5">
        <v>8</v>
      </c>
      <c r="D2907" s="5" t="s">
        <v>82</v>
      </c>
      <c r="E2907" s="5">
        <v>2022</v>
      </c>
      <c r="F2907" s="5">
        <v>12</v>
      </c>
      <c r="G2907" s="5" t="s">
        <v>45</v>
      </c>
      <c r="H2907" s="5">
        <v>2557245</v>
      </c>
      <c r="I2907" s="5">
        <v>2082317.11</v>
      </c>
      <c r="J2907" s="5">
        <v>30</v>
      </c>
      <c r="K2907" s="5">
        <v>141959</v>
      </c>
      <c r="L2907" s="5">
        <v>2693030</v>
      </c>
      <c r="M2907" s="5">
        <v>474927.89</v>
      </c>
      <c r="N2907" s="5">
        <v>0.1857</v>
      </c>
      <c r="O2907" s="5">
        <v>2</v>
      </c>
      <c r="P2907" s="5">
        <v>105794</v>
      </c>
    </row>
    <row r="2908" spans="1:16" x14ac:dyDescent="0.3">
      <c r="A2908" s="5">
        <v>109</v>
      </c>
      <c r="B2908" s="5" t="s">
        <v>141</v>
      </c>
      <c r="C2908" s="5">
        <v>8</v>
      </c>
      <c r="D2908" s="5" t="s">
        <v>82</v>
      </c>
      <c r="E2908" s="5">
        <v>2023</v>
      </c>
      <c r="F2908" s="5">
        <v>1</v>
      </c>
      <c r="G2908" s="5" t="s">
        <v>46</v>
      </c>
      <c r="H2908" s="5">
        <v>1063452</v>
      </c>
      <c r="I2908" s="5">
        <v>991319.66</v>
      </c>
      <c r="J2908" s="5">
        <v>22</v>
      </c>
      <c r="K2908" s="5">
        <v>195621</v>
      </c>
      <c r="L2908" s="5">
        <v>1257210</v>
      </c>
      <c r="M2908" s="5">
        <v>72132.34</v>
      </c>
      <c r="N2908" s="5">
        <v>6.7799999999999999E-2</v>
      </c>
      <c r="O2908" s="5">
        <v>1</v>
      </c>
      <c r="P2908" s="5">
        <v>838</v>
      </c>
    </row>
    <row r="2909" spans="1:16" x14ac:dyDescent="0.3">
      <c r="A2909" s="5">
        <v>109</v>
      </c>
      <c r="B2909" s="5" t="s">
        <v>141</v>
      </c>
      <c r="C2909" s="5">
        <v>8</v>
      </c>
      <c r="D2909" s="5" t="s">
        <v>82</v>
      </c>
      <c r="E2909" s="5">
        <v>2023</v>
      </c>
      <c r="F2909" s="5">
        <v>2</v>
      </c>
      <c r="G2909" s="5" t="s">
        <v>47</v>
      </c>
      <c r="H2909" s="5">
        <v>1623819</v>
      </c>
      <c r="I2909" s="5">
        <v>1367678.98</v>
      </c>
      <c r="J2909" s="5">
        <v>21</v>
      </c>
      <c r="K2909" s="5">
        <v>106856</v>
      </c>
      <c r="L2909" s="5">
        <v>1724140</v>
      </c>
      <c r="M2909" s="5">
        <v>256140.02</v>
      </c>
      <c r="N2909" s="5">
        <v>0.15770000000000001</v>
      </c>
      <c r="O2909" s="5">
        <v>5</v>
      </c>
      <c r="P2909" s="5">
        <v>157367</v>
      </c>
    </row>
    <row r="2910" spans="1:16" x14ac:dyDescent="0.3">
      <c r="A2910" s="5">
        <v>109</v>
      </c>
      <c r="B2910" s="5" t="s">
        <v>141</v>
      </c>
      <c r="C2910" s="5">
        <v>8</v>
      </c>
      <c r="D2910" s="5" t="s">
        <v>82</v>
      </c>
      <c r="E2910" s="5">
        <v>2023</v>
      </c>
      <c r="F2910" s="5">
        <v>3</v>
      </c>
      <c r="G2910" s="5" t="s">
        <v>48</v>
      </c>
      <c r="H2910" s="5">
        <v>1858783</v>
      </c>
      <c r="I2910" s="5">
        <v>1699343.54</v>
      </c>
      <c r="J2910" s="5">
        <v>25</v>
      </c>
      <c r="K2910" s="5">
        <v>252917</v>
      </c>
      <c r="L2910" s="5">
        <v>2108130</v>
      </c>
      <c r="M2910" s="5">
        <v>159439.46</v>
      </c>
      <c r="N2910" s="5">
        <v>8.5800000000000001E-2</v>
      </c>
      <c r="O2910" s="5">
        <v>2</v>
      </c>
      <c r="P2910" s="5">
        <v>197661</v>
      </c>
    </row>
    <row r="2911" spans="1:16" x14ac:dyDescent="0.3">
      <c r="A2911" s="5">
        <v>109</v>
      </c>
      <c r="B2911" s="5" t="s">
        <v>141</v>
      </c>
      <c r="C2911" s="5">
        <v>8</v>
      </c>
      <c r="D2911" s="5" t="s">
        <v>82</v>
      </c>
      <c r="E2911" s="5">
        <v>2023</v>
      </c>
      <c r="F2911" s="5">
        <v>4</v>
      </c>
      <c r="G2911" s="5" t="s">
        <v>49</v>
      </c>
      <c r="H2911" s="5">
        <v>963569</v>
      </c>
      <c r="I2911" s="5">
        <v>839685.82</v>
      </c>
      <c r="J2911" s="5">
        <v>22</v>
      </c>
      <c r="K2911" s="5">
        <v>115147</v>
      </c>
      <c r="L2911" s="5">
        <v>1076180</v>
      </c>
      <c r="M2911" s="5">
        <v>123883.18</v>
      </c>
      <c r="N2911" s="5">
        <v>0.12859999999999999</v>
      </c>
      <c r="O2911" s="5">
        <v>1</v>
      </c>
      <c r="P2911" s="5">
        <v>200744</v>
      </c>
    </row>
    <row r="2912" spans="1:16" x14ac:dyDescent="0.3">
      <c r="A2912" s="5">
        <v>109</v>
      </c>
      <c r="B2912" s="5" t="s">
        <v>141</v>
      </c>
      <c r="C2912" s="5">
        <v>8</v>
      </c>
      <c r="D2912" s="5" t="s">
        <v>82</v>
      </c>
      <c r="E2912" s="5">
        <v>2023</v>
      </c>
      <c r="F2912" s="5">
        <v>5</v>
      </c>
      <c r="G2912" s="5" t="s">
        <v>50</v>
      </c>
      <c r="H2912" s="5">
        <v>2234567</v>
      </c>
      <c r="I2912" s="5">
        <v>1893038.96</v>
      </c>
      <c r="J2912" s="5">
        <v>32</v>
      </c>
      <c r="K2912" s="5">
        <v>240815</v>
      </c>
      <c r="L2912" s="5">
        <v>2467330</v>
      </c>
      <c r="M2912" s="5">
        <v>341528.04</v>
      </c>
      <c r="N2912" s="5">
        <v>0.15279999999999999</v>
      </c>
      <c r="O2912" s="5">
        <v>2</v>
      </c>
      <c r="P2912" s="5">
        <v>55217</v>
      </c>
    </row>
    <row r="2913" spans="1:16" x14ac:dyDescent="0.3">
      <c r="A2913" s="5">
        <v>109</v>
      </c>
      <c r="B2913" s="5" t="s">
        <v>141</v>
      </c>
      <c r="C2913" s="5">
        <v>8</v>
      </c>
      <c r="D2913" s="5" t="s">
        <v>82</v>
      </c>
      <c r="E2913" s="5">
        <v>2023</v>
      </c>
      <c r="F2913" s="5">
        <v>6</v>
      </c>
      <c r="G2913" s="5" t="s">
        <v>51</v>
      </c>
      <c r="H2913" s="5">
        <v>1858493</v>
      </c>
      <c r="I2913" s="5">
        <v>1558082.79</v>
      </c>
      <c r="J2913" s="5">
        <v>21</v>
      </c>
      <c r="K2913" s="5">
        <v>118278</v>
      </c>
      <c r="L2913" s="5">
        <v>1970860</v>
      </c>
      <c r="M2913" s="5">
        <v>300410.21000000002</v>
      </c>
      <c r="N2913" s="5">
        <v>0.16159999999999999</v>
      </c>
      <c r="O2913" s="5">
        <v>1</v>
      </c>
      <c r="P2913" s="5">
        <v>4725</v>
      </c>
    </row>
    <row r="2914" spans="1:16" x14ac:dyDescent="0.3">
      <c r="A2914" s="5">
        <v>109</v>
      </c>
      <c r="B2914" s="5" t="s">
        <v>141</v>
      </c>
      <c r="C2914" s="5">
        <v>8</v>
      </c>
      <c r="D2914" s="5" t="s">
        <v>82</v>
      </c>
      <c r="E2914" s="5">
        <v>2023</v>
      </c>
      <c r="F2914" s="5">
        <v>7</v>
      </c>
      <c r="G2914" s="5" t="s">
        <v>52</v>
      </c>
      <c r="H2914" s="5">
        <v>1352179</v>
      </c>
      <c r="I2914" s="5">
        <v>1113906.58</v>
      </c>
      <c r="J2914" s="5">
        <v>20</v>
      </c>
      <c r="K2914" s="5">
        <v>83826</v>
      </c>
      <c r="L2914" s="5">
        <v>1425770</v>
      </c>
      <c r="M2914" s="5">
        <v>238272.42</v>
      </c>
      <c r="N2914" s="5">
        <v>0.1762</v>
      </c>
      <c r="O2914" s="5">
        <v>1</v>
      </c>
      <c r="P2914" s="5">
        <v>680</v>
      </c>
    </row>
    <row r="2915" spans="1:16" x14ac:dyDescent="0.3">
      <c r="A2915" s="5">
        <v>109</v>
      </c>
      <c r="B2915" s="5" t="s">
        <v>141</v>
      </c>
      <c r="C2915" s="5">
        <v>8</v>
      </c>
      <c r="D2915" s="5" t="s">
        <v>82</v>
      </c>
      <c r="E2915" s="5">
        <v>2023</v>
      </c>
      <c r="F2915" s="5">
        <v>8</v>
      </c>
      <c r="G2915" s="5" t="s">
        <v>53</v>
      </c>
      <c r="H2915" s="5">
        <v>608212</v>
      </c>
      <c r="I2915" s="5">
        <v>503158.01</v>
      </c>
      <c r="J2915" s="5">
        <v>14</v>
      </c>
      <c r="K2915" s="5">
        <v>51069</v>
      </c>
      <c r="L2915" s="5">
        <v>657350</v>
      </c>
      <c r="M2915" s="5">
        <v>105053.99</v>
      </c>
      <c r="N2915" s="5">
        <v>0.17269999999999999</v>
      </c>
      <c r="O2915" s="5">
        <v>1</v>
      </c>
      <c r="P2915" s="5">
        <v>3681</v>
      </c>
    </row>
    <row r="2916" spans="1:16" x14ac:dyDescent="0.3">
      <c r="A2916" s="5">
        <v>109</v>
      </c>
      <c r="B2916" s="5" t="s">
        <v>141</v>
      </c>
      <c r="C2916" s="5">
        <v>8</v>
      </c>
      <c r="D2916" s="5" t="s">
        <v>82</v>
      </c>
      <c r="E2916" s="5">
        <v>2023</v>
      </c>
      <c r="F2916" s="5">
        <v>9</v>
      </c>
      <c r="G2916" s="5" t="s">
        <v>54</v>
      </c>
      <c r="H2916" s="5">
        <v>2288930</v>
      </c>
      <c r="I2916" s="5">
        <v>2127030.75</v>
      </c>
      <c r="J2916" s="5">
        <v>28</v>
      </c>
      <c r="K2916" s="5">
        <v>386621</v>
      </c>
      <c r="L2916" s="5">
        <v>2668250</v>
      </c>
      <c r="M2916" s="5">
        <v>161899.25</v>
      </c>
      <c r="N2916" s="5">
        <v>7.0699999999999999E-2</v>
      </c>
      <c r="O2916" s="5">
        <v>3</v>
      </c>
      <c r="P2916" s="5">
        <v>310927</v>
      </c>
    </row>
    <row r="2917" spans="1:16" x14ac:dyDescent="0.3">
      <c r="A2917" s="5">
        <v>109</v>
      </c>
      <c r="B2917" s="5" t="s">
        <v>141</v>
      </c>
      <c r="C2917" s="5">
        <v>8</v>
      </c>
      <c r="D2917" s="5" t="s">
        <v>82</v>
      </c>
      <c r="E2917" s="5">
        <v>2023</v>
      </c>
      <c r="F2917" s="5">
        <v>10</v>
      </c>
      <c r="G2917" s="5" t="s">
        <v>55</v>
      </c>
      <c r="H2917" s="5">
        <v>1686903</v>
      </c>
      <c r="I2917" s="5">
        <v>1498052.79</v>
      </c>
      <c r="J2917" s="5">
        <v>21</v>
      </c>
      <c r="K2917" s="5">
        <v>209624</v>
      </c>
      <c r="L2917" s="5">
        <v>1893910</v>
      </c>
      <c r="M2917" s="5">
        <v>188850.21</v>
      </c>
      <c r="N2917" s="5">
        <v>0.112</v>
      </c>
      <c r="O2917" s="5">
        <v>0</v>
      </c>
      <c r="P2917" s="5">
        <v>0</v>
      </c>
    </row>
    <row r="2918" spans="1:16" x14ac:dyDescent="0.3">
      <c r="A2918" s="5">
        <v>109</v>
      </c>
      <c r="B2918" s="5" t="s">
        <v>141</v>
      </c>
      <c r="C2918" s="5">
        <v>8</v>
      </c>
      <c r="D2918" s="5" t="s">
        <v>82</v>
      </c>
      <c r="E2918" s="5">
        <v>2023</v>
      </c>
      <c r="F2918" s="5">
        <v>11</v>
      </c>
      <c r="G2918" s="5" t="s">
        <v>56</v>
      </c>
      <c r="H2918" s="5">
        <v>2300192</v>
      </c>
      <c r="I2918" s="5">
        <v>2098183.36</v>
      </c>
      <c r="J2918" s="5">
        <v>30</v>
      </c>
      <c r="K2918" s="5">
        <v>331820</v>
      </c>
      <c r="L2918" s="5">
        <v>2616070</v>
      </c>
      <c r="M2918" s="5">
        <v>202008.64</v>
      </c>
      <c r="N2918" s="5">
        <v>8.7800000000000003E-2</v>
      </c>
      <c r="O2918" s="5">
        <v>4</v>
      </c>
      <c r="P2918" s="5">
        <v>40528</v>
      </c>
    </row>
    <row r="2919" spans="1:16" x14ac:dyDescent="0.3">
      <c r="A2919" s="5">
        <v>109</v>
      </c>
      <c r="B2919" s="5" t="s">
        <v>141</v>
      </c>
      <c r="C2919" s="5">
        <v>8</v>
      </c>
      <c r="D2919" s="5" t="s">
        <v>82</v>
      </c>
      <c r="E2919" s="5">
        <v>2023</v>
      </c>
      <c r="F2919" s="5">
        <v>12</v>
      </c>
      <c r="G2919" s="5" t="s">
        <v>57</v>
      </c>
      <c r="H2919" s="5">
        <v>2284552</v>
      </c>
      <c r="I2919" s="5">
        <v>1941059.63</v>
      </c>
      <c r="J2919" s="5">
        <v>39</v>
      </c>
      <c r="K2919" s="5">
        <v>185943</v>
      </c>
      <c r="L2919" s="5">
        <v>2461660</v>
      </c>
      <c r="M2919" s="5">
        <v>343492.37</v>
      </c>
      <c r="N2919" s="5">
        <v>0.15040000000000001</v>
      </c>
      <c r="O2919" s="5">
        <v>3</v>
      </c>
      <c r="P2919" s="5">
        <v>172648</v>
      </c>
    </row>
    <row r="2920" spans="1:16" x14ac:dyDescent="0.3">
      <c r="A2920" s="5">
        <v>109</v>
      </c>
      <c r="B2920" s="5" t="s">
        <v>141</v>
      </c>
      <c r="C2920" s="5">
        <v>8</v>
      </c>
      <c r="D2920" s="5" t="s">
        <v>82</v>
      </c>
      <c r="E2920" s="5">
        <v>2024</v>
      </c>
      <c r="F2920" s="5">
        <v>1</v>
      </c>
      <c r="G2920" s="5" t="s">
        <v>58</v>
      </c>
      <c r="H2920" s="5">
        <v>2007607</v>
      </c>
      <c r="I2920" s="5">
        <v>1777570.87</v>
      </c>
      <c r="J2920" s="5">
        <v>32</v>
      </c>
      <c r="K2920" s="5">
        <v>266500</v>
      </c>
      <c r="L2920" s="5">
        <v>2260070</v>
      </c>
      <c r="M2920" s="5">
        <v>230036.13</v>
      </c>
      <c r="N2920" s="5">
        <v>0.11459999999999999</v>
      </c>
      <c r="O2920" s="5">
        <v>1</v>
      </c>
      <c r="P2920" s="5">
        <v>15091</v>
      </c>
    </row>
    <row r="2921" spans="1:16" x14ac:dyDescent="0.3">
      <c r="A2921" s="5">
        <v>109</v>
      </c>
      <c r="B2921" s="5" t="s">
        <v>141</v>
      </c>
      <c r="C2921" s="5">
        <v>8</v>
      </c>
      <c r="D2921" s="5" t="s">
        <v>82</v>
      </c>
      <c r="E2921" s="5">
        <v>2024</v>
      </c>
      <c r="F2921" s="5">
        <v>2</v>
      </c>
      <c r="G2921" s="5" t="s">
        <v>59</v>
      </c>
      <c r="H2921" s="5">
        <v>846992</v>
      </c>
      <c r="I2921" s="5">
        <v>761115</v>
      </c>
      <c r="J2921" s="5">
        <v>15</v>
      </c>
      <c r="K2921" s="5">
        <v>139702</v>
      </c>
      <c r="L2921" s="5">
        <v>985280</v>
      </c>
      <c r="M2921" s="5">
        <v>85877</v>
      </c>
      <c r="N2921" s="5">
        <v>0.1014</v>
      </c>
      <c r="O2921" s="5">
        <v>1</v>
      </c>
      <c r="P2921" s="5">
        <v>37400</v>
      </c>
    </row>
    <row r="2922" spans="1:16" x14ac:dyDescent="0.3">
      <c r="A2922" s="5">
        <v>109</v>
      </c>
      <c r="B2922" s="5" t="s">
        <v>141</v>
      </c>
      <c r="C2922" s="5">
        <v>8</v>
      </c>
      <c r="D2922" s="5" t="s">
        <v>82</v>
      </c>
      <c r="E2922" s="5">
        <v>2024</v>
      </c>
      <c r="F2922" s="5">
        <v>3</v>
      </c>
      <c r="G2922" s="5" t="s">
        <v>60</v>
      </c>
      <c r="H2922" s="5">
        <v>2198830</v>
      </c>
      <c r="I2922" s="5">
        <v>1937255.6</v>
      </c>
      <c r="J2922" s="5">
        <v>27</v>
      </c>
      <c r="K2922" s="5">
        <v>298497</v>
      </c>
      <c r="L2922" s="5">
        <v>2489200</v>
      </c>
      <c r="M2922" s="5">
        <v>261574.39999999999</v>
      </c>
      <c r="N2922" s="5">
        <v>0.11899999999999999</v>
      </c>
      <c r="O2922" s="5">
        <v>0</v>
      </c>
      <c r="P2922" s="5">
        <v>0</v>
      </c>
    </row>
    <row r="2923" spans="1:16" x14ac:dyDescent="0.3">
      <c r="A2923" s="5">
        <v>109</v>
      </c>
      <c r="B2923" s="5" t="s">
        <v>141</v>
      </c>
      <c r="C2923" s="5">
        <v>8</v>
      </c>
      <c r="D2923" s="5" t="s">
        <v>82</v>
      </c>
      <c r="E2923" s="5">
        <v>2024</v>
      </c>
      <c r="F2923" s="5">
        <v>4</v>
      </c>
      <c r="G2923" s="5" t="s">
        <v>61</v>
      </c>
      <c r="H2923" s="5">
        <v>1396424</v>
      </c>
      <c r="I2923" s="5">
        <v>1225064.98</v>
      </c>
      <c r="J2923" s="5">
        <v>20</v>
      </c>
      <c r="K2923" s="5">
        <v>159426</v>
      </c>
      <c r="L2923" s="5">
        <v>1549370</v>
      </c>
      <c r="M2923" s="5">
        <v>171359.02</v>
      </c>
      <c r="N2923" s="5">
        <v>0.1227</v>
      </c>
      <c r="O2923" s="5">
        <v>0</v>
      </c>
      <c r="P2923" s="5">
        <v>0</v>
      </c>
    </row>
    <row r="2924" spans="1:16" x14ac:dyDescent="0.3">
      <c r="A2924" s="5">
        <v>109</v>
      </c>
      <c r="B2924" s="5" t="s">
        <v>141</v>
      </c>
      <c r="C2924" s="5">
        <v>8</v>
      </c>
      <c r="D2924" s="5" t="s">
        <v>82</v>
      </c>
      <c r="E2924" s="5">
        <v>2024</v>
      </c>
      <c r="F2924" s="5">
        <v>5</v>
      </c>
      <c r="G2924" s="5" t="s">
        <v>62</v>
      </c>
      <c r="H2924" s="5">
        <v>1108766</v>
      </c>
      <c r="I2924" s="5">
        <v>967365.17</v>
      </c>
      <c r="J2924" s="5">
        <v>25</v>
      </c>
      <c r="K2924" s="5">
        <v>145954</v>
      </c>
      <c r="L2924" s="5">
        <v>1248450</v>
      </c>
      <c r="M2924" s="5">
        <v>141400.82999999999</v>
      </c>
      <c r="N2924" s="5">
        <v>0.1275</v>
      </c>
      <c r="O2924" s="5">
        <v>1</v>
      </c>
      <c r="P2924" s="5">
        <v>28522</v>
      </c>
    </row>
    <row r="2925" spans="1:16" x14ac:dyDescent="0.3">
      <c r="A2925" s="5">
        <v>109</v>
      </c>
      <c r="B2925" s="5" t="s">
        <v>141</v>
      </c>
      <c r="C2925" s="5">
        <v>8</v>
      </c>
      <c r="D2925" s="5" t="s">
        <v>82</v>
      </c>
      <c r="E2925" s="5">
        <v>2024</v>
      </c>
      <c r="F2925" s="5">
        <v>6</v>
      </c>
      <c r="G2925" s="5" t="s">
        <v>63</v>
      </c>
      <c r="H2925" s="5">
        <v>3377977</v>
      </c>
      <c r="I2925" s="5">
        <v>2690107.92</v>
      </c>
      <c r="J2925" s="5">
        <v>40</v>
      </c>
      <c r="K2925" s="5">
        <v>125653</v>
      </c>
      <c r="L2925" s="5">
        <v>3482750</v>
      </c>
      <c r="M2925" s="5">
        <v>687869.08</v>
      </c>
      <c r="N2925" s="5">
        <v>0.2036</v>
      </c>
      <c r="O2925" s="5">
        <v>0</v>
      </c>
      <c r="P2925" s="5">
        <v>0</v>
      </c>
    </row>
    <row r="2926" spans="1:16" x14ac:dyDescent="0.3">
      <c r="A2926" s="5">
        <v>109</v>
      </c>
      <c r="B2926" s="5" t="s">
        <v>141</v>
      </c>
      <c r="C2926" s="5">
        <v>8</v>
      </c>
      <c r="D2926" s="5" t="s">
        <v>82</v>
      </c>
      <c r="E2926" s="5">
        <v>2024</v>
      </c>
      <c r="F2926" s="5">
        <v>7</v>
      </c>
      <c r="G2926" s="5" t="s">
        <v>64</v>
      </c>
      <c r="H2926" s="5">
        <v>2058248</v>
      </c>
      <c r="I2926" s="5">
        <v>1784917.09</v>
      </c>
      <c r="J2926" s="5">
        <v>33</v>
      </c>
      <c r="K2926" s="5">
        <v>191909</v>
      </c>
      <c r="L2926" s="5">
        <v>2247470</v>
      </c>
      <c r="M2926" s="5">
        <v>273330.90999999997</v>
      </c>
      <c r="N2926" s="5">
        <v>0.1328</v>
      </c>
      <c r="O2926" s="5">
        <v>1</v>
      </c>
      <c r="P2926" s="5">
        <v>38202</v>
      </c>
    </row>
    <row r="2927" spans="1:16" x14ac:dyDescent="0.3">
      <c r="A2927" s="5">
        <v>109</v>
      </c>
      <c r="B2927" s="5" t="s">
        <v>141</v>
      </c>
      <c r="C2927" s="5">
        <v>8</v>
      </c>
      <c r="D2927" s="5" t="s">
        <v>82</v>
      </c>
      <c r="E2927" s="5">
        <v>2024</v>
      </c>
      <c r="F2927" s="5">
        <v>8</v>
      </c>
      <c r="G2927" s="5" t="s">
        <v>65</v>
      </c>
      <c r="H2927" s="5">
        <v>1519160</v>
      </c>
      <c r="I2927" s="5">
        <v>1255213.3799999999</v>
      </c>
      <c r="J2927" s="5">
        <v>20</v>
      </c>
      <c r="K2927" s="5">
        <v>109632</v>
      </c>
      <c r="L2927" s="5">
        <v>1618010</v>
      </c>
      <c r="M2927" s="5">
        <v>263946.62</v>
      </c>
      <c r="N2927" s="5">
        <v>0.17369999999999999</v>
      </c>
      <c r="O2927" s="5">
        <v>4</v>
      </c>
      <c r="P2927" s="5">
        <v>131251</v>
      </c>
    </row>
    <row r="2928" spans="1:16" x14ac:dyDescent="0.3">
      <c r="A2928" s="5">
        <v>109</v>
      </c>
      <c r="B2928" s="5" t="s">
        <v>141</v>
      </c>
      <c r="C2928" s="5">
        <v>8</v>
      </c>
      <c r="D2928" s="5" t="s">
        <v>82</v>
      </c>
      <c r="E2928" s="5">
        <v>2024</v>
      </c>
      <c r="F2928" s="5">
        <v>9</v>
      </c>
      <c r="G2928" s="5" t="s">
        <v>66</v>
      </c>
      <c r="H2928" s="5">
        <v>1842206</v>
      </c>
      <c r="I2928" s="5">
        <v>1512069.33</v>
      </c>
      <c r="J2928" s="5">
        <v>23</v>
      </c>
      <c r="K2928" s="5">
        <v>98969</v>
      </c>
      <c r="L2928" s="5">
        <v>1932140</v>
      </c>
      <c r="M2928" s="5">
        <v>330136.67</v>
      </c>
      <c r="N2928" s="5">
        <v>0.1792</v>
      </c>
      <c r="O2928" s="5">
        <v>5</v>
      </c>
      <c r="P2928" s="5">
        <v>162864</v>
      </c>
    </row>
    <row r="2929" spans="1:16" x14ac:dyDescent="0.3">
      <c r="A2929" s="5">
        <v>109</v>
      </c>
      <c r="B2929" s="5" t="s">
        <v>141</v>
      </c>
      <c r="C2929" s="5">
        <v>8</v>
      </c>
      <c r="D2929" s="5" t="s">
        <v>82</v>
      </c>
      <c r="E2929" s="5">
        <v>2024</v>
      </c>
      <c r="F2929" s="5">
        <v>10</v>
      </c>
      <c r="G2929" s="5" t="s">
        <v>67</v>
      </c>
      <c r="H2929" s="5">
        <v>4392072</v>
      </c>
      <c r="I2929" s="5">
        <v>3596644.21</v>
      </c>
      <c r="J2929" s="5">
        <v>44</v>
      </c>
      <c r="K2929" s="5">
        <v>145028</v>
      </c>
      <c r="L2929" s="5">
        <v>4524370</v>
      </c>
      <c r="M2929" s="5">
        <v>795427.79</v>
      </c>
      <c r="N2929" s="5">
        <v>0.18110000000000001</v>
      </c>
      <c r="O2929" s="5">
        <v>5</v>
      </c>
      <c r="P2929" s="5">
        <v>61200</v>
      </c>
    </row>
    <row r="2930" spans="1:16" x14ac:dyDescent="0.3">
      <c r="A2930" s="5">
        <v>109</v>
      </c>
      <c r="B2930" s="5" t="s">
        <v>141</v>
      </c>
      <c r="C2930" s="5">
        <v>8</v>
      </c>
      <c r="D2930" s="5" t="s">
        <v>82</v>
      </c>
      <c r="E2930" s="5">
        <v>2024</v>
      </c>
      <c r="F2930" s="5">
        <v>11</v>
      </c>
      <c r="G2930" s="5" t="s">
        <v>68</v>
      </c>
      <c r="H2930" s="5">
        <v>4056126</v>
      </c>
      <c r="I2930" s="5">
        <v>3425567.92</v>
      </c>
      <c r="J2930" s="5">
        <v>49</v>
      </c>
      <c r="K2930" s="5">
        <v>337191</v>
      </c>
      <c r="L2930" s="5">
        <v>4383490</v>
      </c>
      <c r="M2930" s="5">
        <v>630558.07999999996</v>
      </c>
      <c r="N2930" s="5">
        <v>0.1555</v>
      </c>
      <c r="O2930" s="5">
        <v>2</v>
      </c>
      <c r="P2930" s="5">
        <v>33267</v>
      </c>
    </row>
    <row r="2931" spans="1:16" x14ac:dyDescent="0.3">
      <c r="A2931" s="5">
        <v>109</v>
      </c>
      <c r="B2931" s="5" t="s">
        <v>141</v>
      </c>
      <c r="C2931" s="5">
        <v>8</v>
      </c>
      <c r="D2931" s="5" t="s">
        <v>82</v>
      </c>
      <c r="E2931" s="5">
        <v>2024</v>
      </c>
      <c r="F2931" s="5">
        <v>12</v>
      </c>
      <c r="G2931" s="5" t="s">
        <v>69</v>
      </c>
      <c r="H2931" s="5">
        <v>2963464</v>
      </c>
      <c r="I2931" s="5">
        <v>2387717.92</v>
      </c>
      <c r="J2931" s="5">
        <v>38</v>
      </c>
      <c r="K2931" s="5">
        <v>115624</v>
      </c>
      <c r="L2931" s="5">
        <v>3077200</v>
      </c>
      <c r="M2931" s="5">
        <v>575746.07999999996</v>
      </c>
      <c r="N2931" s="5">
        <v>0.1943</v>
      </c>
      <c r="O2931" s="5">
        <v>0</v>
      </c>
      <c r="P2931" s="5">
        <v>0</v>
      </c>
    </row>
    <row r="2932" spans="1:16" x14ac:dyDescent="0.3">
      <c r="A2932" s="5">
        <v>94</v>
      </c>
      <c r="B2932" s="5" t="s">
        <v>142</v>
      </c>
      <c r="C2932" s="5">
        <v>8</v>
      </c>
      <c r="D2932" s="5" t="s">
        <v>82</v>
      </c>
      <c r="E2932" s="5">
        <v>2021</v>
      </c>
      <c r="F2932" s="5">
        <v>1</v>
      </c>
      <c r="G2932" s="5" t="s">
        <v>22</v>
      </c>
      <c r="H2932" s="5">
        <v>2271040</v>
      </c>
      <c r="I2932" s="5">
        <v>2060403.85</v>
      </c>
      <c r="J2932" s="5">
        <v>41</v>
      </c>
      <c r="K2932" s="5">
        <v>356567</v>
      </c>
      <c r="L2932" s="5">
        <v>2622290</v>
      </c>
      <c r="M2932" s="5">
        <v>210636.15</v>
      </c>
      <c r="N2932" s="5">
        <v>9.2700000000000005E-2</v>
      </c>
      <c r="O2932" s="5">
        <v>3</v>
      </c>
      <c r="P2932" s="5">
        <v>45500</v>
      </c>
    </row>
    <row r="2933" spans="1:16" x14ac:dyDescent="0.3">
      <c r="A2933" s="5">
        <v>95</v>
      </c>
      <c r="B2933" s="5" t="s">
        <v>142</v>
      </c>
      <c r="C2933" s="5">
        <v>8</v>
      </c>
      <c r="D2933" s="5" t="s">
        <v>82</v>
      </c>
      <c r="E2933" s="5">
        <v>2021</v>
      </c>
      <c r="F2933" s="5">
        <v>1</v>
      </c>
      <c r="G2933" s="5" t="s">
        <v>22</v>
      </c>
      <c r="H2933" s="5">
        <v>1770797</v>
      </c>
      <c r="I2933" s="5">
        <v>1641421</v>
      </c>
      <c r="J2933" s="5">
        <v>22</v>
      </c>
      <c r="K2933" s="5">
        <v>363971</v>
      </c>
      <c r="L2933" s="5">
        <v>2129390</v>
      </c>
      <c r="M2933" s="5">
        <v>129376</v>
      </c>
      <c r="N2933" s="5">
        <v>7.3099999999999998E-2</v>
      </c>
      <c r="O2933" s="5">
        <v>0</v>
      </c>
      <c r="P2933" s="5">
        <v>0</v>
      </c>
    </row>
    <row r="2934" spans="1:16" x14ac:dyDescent="0.3">
      <c r="A2934" s="5">
        <v>94</v>
      </c>
      <c r="B2934" s="5" t="s">
        <v>142</v>
      </c>
      <c r="C2934" s="5">
        <v>8</v>
      </c>
      <c r="D2934" s="5" t="s">
        <v>82</v>
      </c>
      <c r="E2934" s="5">
        <v>2021</v>
      </c>
      <c r="F2934" s="5">
        <v>2</v>
      </c>
      <c r="G2934" s="5" t="s">
        <v>23</v>
      </c>
      <c r="H2934" s="5">
        <v>1584005</v>
      </c>
      <c r="I2934" s="5">
        <v>1326754.6399999999</v>
      </c>
      <c r="J2934" s="5">
        <v>35</v>
      </c>
      <c r="K2934" s="5">
        <v>165703</v>
      </c>
      <c r="L2934" s="5">
        <v>1740300</v>
      </c>
      <c r="M2934" s="5">
        <v>257250.36</v>
      </c>
      <c r="N2934" s="5">
        <v>0.16239999999999999</v>
      </c>
      <c r="O2934" s="5">
        <v>3</v>
      </c>
      <c r="P2934" s="5">
        <v>35086</v>
      </c>
    </row>
    <row r="2935" spans="1:16" x14ac:dyDescent="0.3">
      <c r="A2935" s="5">
        <v>95</v>
      </c>
      <c r="B2935" s="5" t="s">
        <v>142</v>
      </c>
      <c r="C2935" s="5">
        <v>8</v>
      </c>
      <c r="D2935" s="5" t="s">
        <v>82</v>
      </c>
      <c r="E2935" s="5">
        <v>2021</v>
      </c>
      <c r="F2935" s="5">
        <v>2</v>
      </c>
      <c r="G2935" s="5" t="s">
        <v>23</v>
      </c>
      <c r="H2935" s="5">
        <v>659918</v>
      </c>
      <c r="I2935" s="5">
        <v>586071.23</v>
      </c>
      <c r="J2935" s="5">
        <v>14</v>
      </c>
      <c r="K2935" s="5">
        <v>105557</v>
      </c>
      <c r="L2935" s="5">
        <v>763130</v>
      </c>
      <c r="M2935" s="5">
        <v>73846.77</v>
      </c>
      <c r="N2935" s="5">
        <v>0.1119</v>
      </c>
      <c r="O2935" s="5">
        <v>1</v>
      </c>
      <c r="P2935" s="5">
        <v>4626</v>
      </c>
    </row>
    <row r="2936" spans="1:16" x14ac:dyDescent="0.3">
      <c r="A2936" s="5">
        <v>94</v>
      </c>
      <c r="B2936" s="5" t="s">
        <v>142</v>
      </c>
      <c r="C2936" s="5">
        <v>8</v>
      </c>
      <c r="D2936" s="5" t="s">
        <v>82</v>
      </c>
      <c r="E2936" s="5">
        <v>2021</v>
      </c>
      <c r="F2936" s="5">
        <v>3</v>
      </c>
      <c r="G2936" s="5" t="s">
        <v>24</v>
      </c>
      <c r="H2936" s="5">
        <v>1520825</v>
      </c>
      <c r="I2936" s="5">
        <v>1276953.8999999999</v>
      </c>
      <c r="J2936" s="5">
        <v>26</v>
      </c>
      <c r="K2936" s="5">
        <v>139422</v>
      </c>
      <c r="L2936" s="5">
        <v>1651870</v>
      </c>
      <c r="M2936" s="5">
        <v>243871.1</v>
      </c>
      <c r="N2936" s="5">
        <v>0.16039999999999999</v>
      </c>
      <c r="O2936" s="5">
        <v>4</v>
      </c>
      <c r="P2936" s="5">
        <v>126806</v>
      </c>
    </row>
    <row r="2937" spans="1:16" x14ac:dyDescent="0.3">
      <c r="A2937" s="5">
        <v>95</v>
      </c>
      <c r="B2937" s="5" t="s">
        <v>142</v>
      </c>
      <c r="C2937" s="5">
        <v>8</v>
      </c>
      <c r="D2937" s="5" t="s">
        <v>82</v>
      </c>
      <c r="E2937" s="5">
        <v>2021</v>
      </c>
      <c r="F2937" s="5">
        <v>3</v>
      </c>
      <c r="G2937" s="5" t="s">
        <v>24</v>
      </c>
      <c r="H2937" s="5">
        <v>723111</v>
      </c>
      <c r="I2937" s="5">
        <v>632549.93000000005</v>
      </c>
      <c r="J2937" s="5">
        <v>16</v>
      </c>
      <c r="K2937" s="5">
        <v>69937</v>
      </c>
      <c r="L2937" s="5">
        <v>791500</v>
      </c>
      <c r="M2937" s="5">
        <v>90561.07</v>
      </c>
      <c r="N2937" s="5">
        <v>0.12520000000000001</v>
      </c>
      <c r="O2937" s="5">
        <v>2</v>
      </c>
      <c r="P2937" s="5">
        <v>5828</v>
      </c>
    </row>
    <row r="2938" spans="1:16" x14ac:dyDescent="0.3">
      <c r="A2938" s="5">
        <v>94</v>
      </c>
      <c r="B2938" s="5" t="s">
        <v>142</v>
      </c>
      <c r="C2938" s="5">
        <v>8</v>
      </c>
      <c r="D2938" s="5" t="s">
        <v>82</v>
      </c>
      <c r="E2938" s="5">
        <v>2021</v>
      </c>
      <c r="F2938" s="5">
        <v>4</v>
      </c>
      <c r="G2938" s="5" t="s">
        <v>25</v>
      </c>
      <c r="H2938" s="5">
        <v>1882582</v>
      </c>
      <c r="I2938" s="5">
        <v>1660161.81</v>
      </c>
      <c r="J2938" s="5">
        <v>33</v>
      </c>
      <c r="K2938" s="5">
        <v>256165</v>
      </c>
      <c r="L2938" s="5">
        <v>2127020</v>
      </c>
      <c r="M2938" s="5">
        <v>222420.19</v>
      </c>
      <c r="N2938" s="5">
        <v>0.1181</v>
      </c>
      <c r="O2938" s="5">
        <v>4</v>
      </c>
      <c r="P2938" s="5">
        <v>10574</v>
      </c>
    </row>
    <row r="2939" spans="1:16" x14ac:dyDescent="0.3">
      <c r="A2939" s="5">
        <v>95</v>
      </c>
      <c r="B2939" s="5" t="s">
        <v>142</v>
      </c>
      <c r="C2939" s="5">
        <v>8</v>
      </c>
      <c r="D2939" s="5" t="s">
        <v>82</v>
      </c>
      <c r="E2939" s="5">
        <v>2021</v>
      </c>
      <c r="F2939" s="5">
        <v>4</v>
      </c>
      <c r="G2939" s="5" t="s">
        <v>25</v>
      </c>
      <c r="H2939" s="5">
        <v>1878936</v>
      </c>
      <c r="I2939" s="5">
        <v>1641170.06</v>
      </c>
      <c r="J2939" s="5">
        <v>21</v>
      </c>
      <c r="K2939" s="5">
        <v>196959</v>
      </c>
      <c r="L2939" s="5">
        <v>2069180</v>
      </c>
      <c r="M2939" s="5">
        <v>237765.94</v>
      </c>
      <c r="N2939" s="5">
        <v>0.1265</v>
      </c>
      <c r="O2939" s="5">
        <v>3</v>
      </c>
      <c r="P2939" s="5">
        <v>104259</v>
      </c>
    </row>
    <row r="2940" spans="1:16" x14ac:dyDescent="0.3">
      <c r="A2940" s="5">
        <v>94</v>
      </c>
      <c r="B2940" s="5" t="s">
        <v>142</v>
      </c>
      <c r="C2940" s="5">
        <v>8</v>
      </c>
      <c r="D2940" s="5" t="s">
        <v>82</v>
      </c>
      <c r="E2940" s="5">
        <v>2021</v>
      </c>
      <c r="F2940" s="5">
        <v>5</v>
      </c>
      <c r="G2940" s="5" t="s">
        <v>26</v>
      </c>
      <c r="H2940" s="5">
        <v>1892125</v>
      </c>
      <c r="I2940" s="5">
        <v>1589703.62</v>
      </c>
      <c r="J2940" s="5">
        <v>37</v>
      </c>
      <c r="K2940" s="5">
        <v>232008</v>
      </c>
      <c r="L2940" s="5">
        <v>2116830</v>
      </c>
      <c r="M2940" s="5">
        <v>302421.38</v>
      </c>
      <c r="N2940" s="5">
        <v>0.1598</v>
      </c>
      <c r="O2940" s="5">
        <v>5</v>
      </c>
      <c r="P2940" s="5">
        <v>165666</v>
      </c>
    </row>
    <row r="2941" spans="1:16" x14ac:dyDescent="0.3">
      <c r="A2941" s="5">
        <v>95</v>
      </c>
      <c r="B2941" s="5" t="s">
        <v>142</v>
      </c>
      <c r="C2941" s="5">
        <v>8</v>
      </c>
      <c r="D2941" s="5" t="s">
        <v>82</v>
      </c>
      <c r="E2941" s="5">
        <v>2021</v>
      </c>
      <c r="F2941" s="5">
        <v>5</v>
      </c>
      <c r="G2941" s="5" t="s">
        <v>26</v>
      </c>
      <c r="H2941" s="5">
        <v>1145486</v>
      </c>
      <c r="I2941" s="5">
        <v>961145.98</v>
      </c>
      <c r="J2941" s="5">
        <v>25</v>
      </c>
      <c r="K2941" s="5">
        <v>87878</v>
      </c>
      <c r="L2941" s="5">
        <v>1230080</v>
      </c>
      <c r="M2941" s="5">
        <v>184340.02</v>
      </c>
      <c r="N2941" s="5">
        <v>0.16089999999999999</v>
      </c>
      <c r="O2941" s="5">
        <v>0</v>
      </c>
      <c r="P2941" s="5">
        <v>0</v>
      </c>
    </row>
    <row r="2942" spans="1:16" x14ac:dyDescent="0.3">
      <c r="A2942" s="5">
        <v>94</v>
      </c>
      <c r="B2942" s="5" t="s">
        <v>142</v>
      </c>
      <c r="C2942" s="5">
        <v>8</v>
      </c>
      <c r="D2942" s="5" t="s">
        <v>82</v>
      </c>
      <c r="E2942" s="5">
        <v>2021</v>
      </c>
      <c r="F2942" s="5">
        <v>6</v>
      </c>
      <c r="G2942" s="5" t="s">
        <v>27</v>
      </c>
      <c r="H2942" s="5">
        <v>1940296</v>
      </c>
      <c r="I2942" s="5">
        <v>1681657.29</v>
      </c>
      <c r="J2942" s="5">
        <v>40</v>
      </c>
      <c r="K2942" s="5">
        <v>259066</v>
      </c>
      <c r="L2942" s="5">
        <v>2194130</v>
      </c>
      <c r="M2942" s="5">
        <v>258638.71</v>
      </c>
      <c r="N2942" s="5">
        <v>0.1333</v>
      </c>
      <c r="O2942" s="5">
        <v>0</v>
      </c>
      <c r="P2942" s="5">
        <v>0</v>
      </c>
    </row>
    <row r="2943" spans="1:16" x14ac:dyDescent="0.3">
      <c r="A2943" s="5">
        <v>95</v>
      </c>
      <c r="B2943" s="5" t="s">
        <v>142</v>
      </c>
      <c r="C2943" s="5">
        <v>8</v>
      </c>
      <c r="D2943" s="5" t="s">
        <v>82</v>
      </c>
      <c r="E2943" s="5">
        <v>2021</v>
      </c>
      <c r="F2943" s="5">
        <v>6</v>
      </c>
      <c r="G2943" s="5" t="s">
        <v>27</v>
      </c>
      <c r="H2943" s="5">
        <v>1896049</v>
      </c>
      <c r="I2943" s="5">
        <v>1755294.41</v>
      </c>
      <c r="J2943" s="5">
        <v>21</v>
      </c>
      <c r="K2943" s="5">
        <v>385218</v>
      </c>
      <c r="L2943" s="5">
        <v>2279670</v>
      </c>
      <c r="M2943" s="5">
        <v>140754.59</v>
      </c>
      <c r="N2943" s="5">
        <v>7.4200000000000002E-2</v>
      </c>
      <c r="O2943" s="5">
        <v>1</v>
      </c>
      <c r="P2943" s="5">
        <v>126762</v>
      </c>
    </row>
    <row r="2944" spans="1:16" x14ac:dyDescent="0.3">
      <c r="A2944" s="5">
        <v>94</v>
      </c>
      <c r="B2944" s="5" t="s">
        <v>142</v>
      </c>
      <c r="C2944" s="5">
        <v>8</v>
      </c>
      <c r="D2944" s="5" t="s">
        <v>82</v>
      </c>
      <c r="E2944" s="5">
        <v>2021</v>
      </c>
      <c r="F2944" s="5">
        <v>7</v>
      </c>
      <c r="G2944" s="5" t="s">
        <v>28</v>
      </c>
      <c r="H2944" s="5">
        <v>3562617</v>
      </c>
      <c r="I2944" s="5">
        <v>3307987.73</v>
      </c>
      <c r="J2944" s="5">
        <v>46</v>
      </c>
      <c r="K2944" s="5">
        <v>621142</v>
      </c>
      <c r="L2944" s="5">
        <v>4181120</v>
      </c>
      <c r="M2944" s="5">
        <v>254629.27</v>
      </c>
      <c r="N2944" s="5">
        <v>7.1499999999999994E-2</v>
      </c>
      <c r="O2944" s="5">
        <v>4</v>
      </c>
      <c r="P2944" s="5">
        <v>153500</v>
      </c>
    </row>
    <row r="2945" spans="1:16" x14ac:dyDescent="0.3">
      <c r="A2945" s="5">
        <v>95</v>
      </c>
      <c r="B2945" s="5" t="s">
        <v>142</v>
      </c>
      <c r="C2945" s="5">
        <v>8</v>
      </c>
      <c r="D2945" s="5" t="s">
        <v>82</v>
      </c>
      <c r="E2945" s="5">
        <v>2021</v>
      </c>
      <c r="F2945" s="5">
        <v>7</v>
      </c>
      <c r="G2945" s="5" t="s">
        <v>28</v>
      </c>
      <c r="H2945" s="5">
        <v>1711339</v>
      </c>
      <c r="I2945" s="5">
        <v>1547750.42</v>
      </c>
      <c r="J2945" s="5">
        <v>21</v>
      </c>
      <c r="K2945" s="5">
        <v>283905</v>
      </c>
      <c r="L2945" s="5">
        <v>1990980</v>
      </c>
      <c r="M2945" s="5">
        <v>163588.57999999999</v>
      </c>
      <c r="N2945" s="5">
        <v>9.5600000000000004E-2</v>
      </c>
      <c r="O2945" s="5">
        <v>1</v>
      </c>
      <c r="P2945" s="5">
        <v>5574</v>
      </c>
    </row>
    <row r="2946" spans="1:16" x14ac:dyDescent="0.3">
      <c r="A2946" s="5">
        <v>94</v>
      </c>
      <c r="B2946" s="5" t="s">
        <v>142</v>
      </c>
      <c r="C2946" s="5">
        <v>8</v>
      </c>
      <c r="D2946" s="5" t="s">
        <v>82</v>
      </c>
      <c r="E2946" s="5">
        <v>2021</v>
      </c>
      <c r="F2946" s="5">
        <v>8</v>
      </c>
      <c r="G2946" s="5" t="s">
        <v>29</v>
      </c>
      <c r="H2946" s="5">
        <v>2515248</v>
      </c>
      <c r="I2946" s="5">
        <v>2083083.19</v>
      </c>
      <c r="J2946" s="5">
        <v>38</v>
      </c>
      <c r="K2946" s="5">
        <v>160814</v>
      </c>
      <c r="L2946" s="5">
        <v>2664700</v>
      </c>
      <c r="M2946" s="5">
        <v>432164.81</v>
      </c>
      <c r="N2946" s="5">
        <v>0.17180000000000001</v>
      </c>
      <c r="O2946" s="5">
        <v>3</v>
      </c>
      <c r="P2946" s="5">
        <v>114885</v>
      </c>
    </row>
    <row r="2947" spans="1:16" x14ac:dyDescent="0.3">
      <c r="A2947" s="5">
        <v>95</v>
      </c>
      <c r="B2947" s="5" t="s">
        <v>142</v>
      </c>
      <c r="C2947" s="5">
        <v>8</v>
      </c>
      <c r="D2947" s="5" t="s">
        <v>82</v>
      </c>
      <c r="E2947" s="5">
        <v>2021</v>
      </c>
      <c r="F2947" s="5">
        <v>8</v>
      </c>
      <c r="G2947" s="5" t="s">
        <v>29</v>
      </c>
      <c r="H2947" s="5">
        <v>1295351</v>
      </c>
      <c r="I2947" s="5">
        <v>1113200.02</v>
      </c>
      <c r="J2947" s="5">
        <v>16</v>
      </c>
      <c r="K2947" s="5">
        <v>132303</v>
      </c>
      <c r="L2947" s="5">
        <v>1424390</v>
      </c>
      <c r="M2947" s="5">
        <v>182150.98</v>
      </c>
      <c r="N2947" s="5">
        <v>0.1406</v>
      </c>
      <c r="O2947" s="5">
        <v>1</v>
      </c>
      <c r="P2947" s="5">
        <v>60312</v>
      </c>
    </row>
    <row r="2948" spans="1:16" x14ac:dyDescent="0.3">
      <c r="A2948" s="5">
        <v>94</v>
      </c>
      <c r="B2948" s="5" t="s">
        <v>142</v>
      </c>
      <c r="C2948" s="5">
        <v>8</v>
      </c>
      <c r="D2948" s="5" t="s">
        <v>82</v>
      </c>
      <c r="E2948" s="5">
        <v>2021</v>
      </c>
      <c r="F2948" s="5">
        <v>9</v>
      </c>
      <c r="G2948" s="5" t="s">
        <v>30</v>
      </c>
      <c r="H2948" s="5">
        <v>2248362</v>
      </c>
      <c r="I2948" s="5">
        <v>2043198.9</v>
      </c>
      <c r="J2948" s="5">
        <v>49</v>
      </c>
      <c r="K2948" s="5">
        <v>363616</v>
      </c>
      <c r="L2948" s="5">
        <v>2608370</v>
      </c>
      <c r="M2948" s="5">
        <v>205163.1</v>
      </c>
      <c r="N2948" s="5">
        <v>9.1300000000000006E-2</v>
      </c>
      <c r="O2948" s="5">
        <v>3</v>
      </c>
      <c r="P2948" s="5">
        <v>18210</v>
      </c>
    </row>
    <row r="2949" spans="1:16" x14ac:dyDescent="0.3">
      <c r="A2949" s="5">
        <v>95</v>
      </c>
      <c r="B2949" s="5" t="s">
        <v>142</v>
      </c>
      <c r="C2949" s="5">
        <v>8</v>
      </c>
      <c r="D2949" s="5" t="s">
        <v>82</v>
      </c>
      <c r="E2949" s="5">
        <v>2021</v>
      </c>
      <c r="F2949" s="5">
        <v>9</v>
      </c>
      <c r="G2949" s="5" t="s">
        <v>30</v>
      </c>
      <c r="H2949" s="5">
        <v>1187809</v>
      </c>
      <c r="I2949" s="5">
        <v>1125864.05</v>
      </c>
      <c r="J2949" s="5">
        <v>16</v>
      </c>
      <c r="K2949" s="5">
        <v>246225</v>
      </c>
      <c r="L2949" s="5">
        <v>1431110</v>
      </c>
      <c r="M2949" s="5">
        <v>61944.95</v>
      </c>
      <c r="N2949" s="5">
        <v>5.2200000000000003E-2</v>
      </c>
      <c r="O2949" s="5">
        <v>0</v>
      </c>
      <c r="P2949" s="5">
        <v>0</v>
      </c>
    </row>
    <row r="2950" spans="1:16" x14ac:dyDescent="0.3">
      <c r="A2950" s="5">
        <v>94</v>
      </c>
      <c r="B2950" s="5" t="s">
        <v>142</v>
      </c>
      <c r="C2950" s="5">
        <v>8</v>
      </c>
      <c r="D2950" s="5" t="s">
        <v>82</v>
      </c>
      <c r="E2950" s="5">
        <v>2021</v>
      </c>
      <c r="F2950" s="5">
        <v>10</v>
      </c>
      <c r="G2950" s="5" t="s">
        <v>31</v>
      </c>
      <c r="H2950" s="5">
        <v>3875849</v>
      </c>
      <c r="I2950" s="5">
        <v>3304178.74</v>
      </c>
      <c r="J2950" s="5">
        <v>61</v>
      </c>
      <c r="K2950" s="5">
        <v>372354</v>
      </c>
      <c r="L2950" s="5">
        <v>4239990</v>
      </c>
      <c r="M2950" s="5">
        <v>571670.26</v>
      </c>
      <c r="N2950" s="5">
        <v>0.14749999999999999</v>
      </c>
      <c r="O2950" s="5">
        <v>4</v>
      </c>
      <c r="P2950" s="5">
        <v>94345</v>
      </c>
    </row>
    <row r="2951" spans="1:16" x14ac:dyDescent="0.3">
      <c r="A2951" s="5">
        <v>95</v>
      </c>
      <c r="B2951" s="5" t="s">
        <v>142</v>
      </c>
      <c r="C2951" s="5">
        <v>8</v>
      </c>
      <c r="D2951" s="5" t="s">
        <v>82</v>
      </c>
      <c r="E2951" s="5">
        <v>2021</v>
      </c>
      <c r="F2951" s="5">
        <v>10</v>
      </c>
      <c r="G2951" s="5" t="s">
        <v>31</v>
      </c>
      <c r="H2951" s="5">
        <v>2587090</v>
      </c>
      <c r="I2951" s="5">
        <v>2183068.9</v>
      </c>
      <c r="J2951" s="5">
        <v>39</v>
      </c>
      <c r="K2951" s="5">
        <v>228962</v>
      </c>
      <c r="L2951" s="5">
        <v>2806780</v>
      </c>
      <c r="M2951" s="5">
        <v>404021.1</v>
      </c>
      <c r="N2951" s="5">
        <v>0.15620000000000001</v>
      </c>
      <c r="O2951" s="5">
        <v>2</v>
      </c>
      <c r="P2951" s="5">
        <v>26455</v>
      </c>
    </row>
    <row r="2952" spans="1:16" x14ac:dyDescent="0.3">
      <c r="A2952" s="5">
        <v>94</v>
      </c>
      <c r="B2952" s="5" t="s">
        <v>142</v>
      </c>
      <c r="C2952" s="5">
        <v>8</v>
      </c>
      <c r="D2952" s="5" t="s">
        <v>82</v>
      </c>
      <c r="E2952" s="5">
        <v>2021</v>
      </c>
      <c r="F2952" s="5">
        <v>11</v>
      </c>
      <c r="G2952" s="5" t="s">
        <v>32</v>
      </c>
      <c r="H2952" s="5">
        <v>2094286</v>
      </c>
      <c r="I2952" s="5">
        <v>1654379.33</v>
      </c>
      <c r="J2952" s="5">
        <v>50</v>
      </c>
      <c r="K2952" s="5">
        <v>100243</v>
      </c>
      <c r="L2952" s="5">
        <v>2185070</v>
      </c>
      <c r="M2952" s="5">
        <v>439906.67</v>
      </c>
      <c r="N2952" s="5">
        <v>0.21010000000000001</v>
      </c>
      <c r="O2952" s="5">
        <v>4</v>
      </c>
      <c r="P2952" s="5">
        <v>170446</v>
      </c>
    </row>
    <row r="2953" spans="1:16" x14ac:dyDescent="0.3">
      <c r="A2953" s="5">
        <v>95</v>
      </c>
      <c r="B2953" s="5" t="s">
        <v>142</v>
      </c>
      <c r="C2953" s="5">
        <v>8</v>
      </c>
      <c r="D2953" s="5" t="s">
        <v>82</v>
      </c>
      <c r="E2953" s="5">
        <v>2021</v>
      </c>
      <c r="F2953" s="5">
        <v>11</v>
      </c>
      <c r="G2953" s="5" t="s">
        <v>32</v>
      </c>
      <c r="H2953" s="5">
        <v>1471288</v>
      </c>
      <c r="I2953" s="5">
        <v>1175832.31</v>
      </c>
      <c r="J2953" s="5">
        <v>25</v>
      </c>
      <c r="K2953" s="5">
        <v>92038</v>
      </c>
      <c r="L2953" s="5">
        <v>1555830</v>
      </c>
      <c r="M2953" s="5">
        <v>295455.69</v>
      </c>
      <c r="N2953" s="5">
        <v>0.20080000000000001</v>
      </c>
      <c r="O2953" s="5">
        <v>6</v>
      </c>
      <c r="P2953" s="5">
        <v>113338</v>
      </c>
    </row>
    <row r="2954" spans="1:16" x14ac:dyDescent="0.3">
      <c r="A2954" s="5">
        <v>94</v>
      </c>
      <c r="B2954" s="5" t="s">
        <v>142</v>
      </c>
      <c r="C2954" s="5">
        <v>8</v>
      </c>
      <c r="D2954" s="5" t="s">
        <v>82</v>
      </c>
      <c r="E2954" s="5">
        <v>2021</v>
      </c>
      <c r="F2954" s="5">
        <v>12</v>
      </c>
      <c r="G2954" s="5" t="s">
        <v>33</v>
      </c>
      <c r="H2954" s="5">
        <v>4123136</v>
      </c>
      <c r="I2954" s="5">
        <v>3413600.7</v>
      </c>
      <c r="J2954" s="5">
        <v>50</v>
      </c>
      <c r="K2954" s="5">
        <v>212135</v>
      </c>
      <c r="L2954" s="5">
        <v>4327330</v>
      </c>
      <c r="M2954" s="5">
        <v>709535.3</v>
      </c>
      <c r="N2954" s="5">
        <v>0.1721</v>
      </c>
      <c r="O2954" s="5">
        <v>5</v>
      </c>
      <c r="P2954" s="5">
        <v>241473</v>
      </c>
    </row>
    <row r="2955" spans="1:16" x14ac:dyDescent="0.3">
      <c r="A2955" s="5">
        <v>95</v>
      </c>
      <c r="B2955" s="5" t="s">
        <v>142</v>
      </c>
      <c r="C2955" s="5">
        <v>8</v>
      </c>
      <c r="D2955" s="5" t="s">
        <v>82</v>
      </c>
      <c r="E2955" s="5">
        <v>2021</v>
      </c>
      <c r="F2955" s="5">
        <v>12</v>
      </c>
      <c r="G2955" s="5" t="s">
        <v>33</v>
      </c>
      <c r="H2955" s="5">
        <v>2196434</v>
      </c>
      <c r="I2955" s="5">
        <v>1793483.73</v>
      </c>
      <c r="J2955" s="5">
        <v>31</v>
      </c>
      <c r="K2955" s="5">
        <v>131466</v>
      </c>
      <c r="L2955" s="5">
        <v>2322190</v>
      </c>
      <c r="M2955" s="5">
        <v>402950.27</v>
      </c>
      <c r="N2955" s="5">
        <v>0.1835</v>
      </c>
      <c r="O2955" s="5">
        <v>4</v>
      </c>
      <c r="P2955" s="5">
        <v>65936</v>
      </c>
    </row>
    <row r="2956" spans="1:16" x14ac:dyDescent="0.3">
      <c r="A2956" s="5">
        <v>94</v>
      </c>
      <c r="B2956" s="5" t="s">
        <v>142</v>
      </c>
      <c r="C2956" s="5">
        <v>8</v>
      </c>
      <c r="D2956" s="5" t="s">
        <v>82</v>
      </c>
      <c r="E2956" s="5">
        <v>2022</v>
      </c>
      <c r="F2956" s="5">
        <v>1</v>
      </c>
      <c r="G2956" s="5" t="s">
        <v>34</v>
      </c>
      <c r="H2956" s="5">
        <v>1921064</v>
      </c>
      <c r="I2956" s="5">
        <v>1757608.49</v>
      </c>
      <c r="J2956" s="5">
        <v>28</v>
      </c>
      <c r="K2956" s="5">
        <v>269413</v>
      </c>
      <c r="L2956" s="5">
        <v>2177220</v>
      </c>
      <c r="M2956" s="5">
        <v>163455.51</v>
      </c>
      <c r="N2956" s="5">
        <v>8.5099999999999995E-2</v>
      </c>
      <c r="O2956" s="5">
        <v>0</v>
      </c>
      <c r="P2956" s="5">
        <v>0</v>
      </c>
    </row>
    <row r="2957" spans="1:16" x14ac:dyDescent="0.3">
      <c r="A2957" s="5">
        <v>95</v>
      </c>
      <c r="B2957" s="5" t="s">
        <v>142</v>
      </c>
      <c r="C2957" s="5">
        <v>8</v>
      </c>
      <c r="D2957" s="5" t="s">
        <v>82</v>
      </c>
      <c r="E2957" s="5">
        <v>2022</v>
      </c>
      <c r="F2957" s="5">
        <v>1</v>
      </c>
      <c r="G2957" s="5" t="s">
        <v>34</v>
      </c>
      <c r="H2957" s="5">
        <v>1992969</v>
      </c>
      <c r="I2957" s="5">
        <v>1585394.92</v>
      </c>
      <c r="J2957" s="5">
        <v>34</v>
      </c>
      <c r="K2957" s="5">
        <v>122154</v>
      </c>
      <c r="L2957" s="5">
        <v>2109330</v>
      </c>
      <c r="M2957" s="5">
        <v>407574.08</v>
      </c>
      <c r="N2957" s="5">
        <v>0.20449999999999999</v>
      </c>
      <c r="O2957" s="5">
        <v>0</v>
      </c>
      <c r="P2957" s="5">
        <v>0</v>
      </c>
    </row>
    <row r="2958" spans="1:16" x14ac:dyDescent="0.3">
      <c r="A2958" s="5">
        <v>94</v>
      </c>
      <c r="B2958" s="5" t="s">
        <v>142</v>
      </c>
      <c r="C2958" s="5">
        <v>8</v>
      </c>
      <c r="D2958" s="5" t="s">
        <v>82</v>
      </c>
      <c r="E2958" s="5">
        <v>2022</v>
      </c>
      <c r="F2958" s="5">
        <v>2</v>
      </c>
      <c r="G2958" s="5" t="s">
        <v>35</v>
      </c>
      <c r="H2958" s="5">
        <v>3392028</v>
      </c>
      <c r="I2958" s="5">
        <v>2816669.2</v>
      </c>
      <c r="J2958" s="5">
        <v>44</v>
      </c>
      <c r="K2958" s="5">
        <v>257004</v>
      </c>
      <c r="L2958" s="5">
        <v>3643390</v>
      </c>
      <c r="M2958" s="5">
        <v>575358.80000000005</v>
      </c>
      <c r="N2958" s="5">
        <v>0.1696</v>
      </c>
      <c r="O2958" s="5">
        <v>2</v>
      </c>
      <c r="P2958" s="5">
        <v>143912</v>
      </c>
    </row>
    <row r="2959" spans="1:16" x14ac:dyDescent="0.3">
      <c r="A2959" s="5">
        <v>95</v>
      </c>
      <c r="B2959" s="5" t="s">
        <v>142</v>
      </c>
      <c r="C2959" s="5">
        <v>8</v>
      </c>
      <c r="D2959" s="5" t="s">
        <v>82</v>
      </c>
      <c r="E2959" s="5">
        <v>2022</v>
      </c>
      <c r="F2959" s="5">
        <v>2</v>
      </c>
      <c r="G2959" s="5" t="s">
        <v>35</v>
      </c>
      <c r="H2959" s="5">
        <v>1560442</v>
      </c>
      <c r="I2959" s="5">
        <v>1229436.81</v>
      </c>
      <c r="J2959" s="5">
        <v>28</v>
      </c>
      <c r="K2959" s="5">
        <v>59058</v>
      </c>
      <c r="L2959" s="5">
        <v>1616410</v>
      </c>
      <c r="M2959" s="5">
        <v>331005.19</v>
      </c>
      <c r="N2959" s="5">
        <v>0.21210000000000001</v>
      </c>
      <c r="O2959" s="5">
        <v>2</v>
      </c>
      <c r="P2959" s="5">
        <v>20619</v>
      </c>
    </row>
    <row r="2960" spans="1:16" x14ac:dyDescent="0.3">
      <c r="A2960" s="5">
        <v>94</v>
      </c>
      <c r="B2960" s="5" t="s">
        <v>142</v>
      </c>
      <c r="C2960" s="5">
        <v>8</v>
      </c>
      <c r="D2960" s="5" t="s">
        <v>82</v>
      </c>
      <c r="E2960" s="5">
        <v>2022</v>
      </c>
      <c r="F2960" s="5">
        <v>3</v>
      </c>
      <c r="G2960" s="5" t="s">
        <v>36</v>
      </c>
      <c r="H2960" s="5">
        <v>4239195</v>
      </c>
      <c r="I2960" s="5">
        <v>3624624.6</v>
      </c>
      <c r="J2960" s="5">
        <v>53</v>
      </c>
      <c r="K2960" s="5">
        <v>397518</v>
      </c>
      <c r="L2960" s="5">
        <v>4624290</v>
      </c>
      <c r="M2960" s="5">
        <v>614570.4</v>
      </c>
      <c r="N2960" s="5">
        <v>0.14499999999999999</v>
      </c>
      <c r="O2960" s="5">
        <v>4</v>
      </c>
      <c r="P2960" s="5">
        <v>154277</v>
      </c>
    </row>
    <row r="2961" spans="1:16" x14ac:dyDescent="0.3">
      <c r="A2961" s="5">
        <v>95</v>
      </c>
      <c r="B2961" s="5" t="s">
        <v>142</v>
      </c>
      <c r="C2961" s="5">
        <v>8</v>
      </c>
      <c r="D2961" s="5" t="s">
        <v>82</v>
      </c>
      <c r="E2961" s="5">
        <v>2022</v>
      </c>
      <c r="F2961" s="5">
        <v>3</v>
      </c>
      <c r="G2961" s="5" t="s">
        <v>36</v>
      </c>
      <c r="H2961" s="5">
        <v>2486517</v>
      </c>
      <c r="I2961" s="5">
        <v>2137319.31</v>
      </c>
      <c r="J2961" s="5">
        <v>37</v>
      </c>
      <c r="K2961" s="5">
        <v>283051</v>
      </c>
      <c r="L2961" s="5">
        <v>2761540</v>
      </c>
      <c r="M2961" s="5">
        <v>349197.69</v>
      </c>
      <c r="N2961" s="5">
        <v>0.1404</v>
      </c>
      <c r="O2961" s="5">
        <v>0</v>
      </c>
      <c r="P2961" s="5">
        <v>0</v>
      </c>
    </row>
    <row r="2962" spans="1:16" x14ac:dyDescent="0.3">
      <c r="A2962" s="5">
        <v>94</v>
      </c>
      <c r="B2962" s="5" t="s">
        <v>142</v>
      </c>
      <c r="C2962" s="5">
        <v>8</v>
      </c>
      <c r="D2962" s="5" t="s">
        <v>82</v>
      </c>
      <c r="E2962" s="5">
        <v>2022</v>
      </c>
      <c r="F2962" s="5">
        <v>4</v>
      </c>
      <c r="G2962" s="5" t="s">
        <v>37</v>
      </c>
      <c r="H2962" s="5">
        <v>3532587</v>
      </c>
      <c r="I2962" s="5">
        <v>3096301.53</v>
      </c>
      <c r="J2962" s="5">
        <v>45</v>
      </c>
      <c r="K2962" s="5">
        <v>372365</v>
      </c>
      <c r="L2962" s="5">
        <v>3895000</v>
      </c>
      <c r="M2962" s="5">
        <v>436285.47</v>
      </c>
      <c r="N2962" s="5">
        <v>0.1235</v>
      </c>
      <c r="O2962" s="5">
        <v>3</v>
      </c>
      <c r="P2962" s="5">
        <v>70982</v>
      </c>
    </row>
    <row r="2963" spans="1:16" x14ac:dyDescent="0.3">
      <c r="A2963" s="5">
        <v>95</v>
      </c>
      <c r="B2963" s="5" t="s">
        <v>142</v>
      </c>
      <c r="C2963" s="5">
        <v>8</v>
      </c>
      <c r="D2963" s="5" t="s">
        <v>82</v>
      </c>
      <c r="E2963" s="5">
        <v>2022</v>
      </c>
      <c r="F2963" s="5">
        <v>4</v>
      </c>
      <c r="G2963" s="5" t="s">
        <v>37</v>
      </c>
      <c r="H2963" s="5">
        <v>2027173</v>
      </c>
      <c r="I2963" s="5">
        <v>1732029.92</v>
      </c>
      <c r="J2963" s="5">
        <v>34</v>
      </c>
      <c r="K2963" s="5">
        <v>217159</v>
      </c>
      <c r="L2963" s="5">
        <v>2233940</v>
      </c>
      <c r="M2963" s="5">
        <v>295143.08</v>
      </c>
      <c r="N2963" s="5">
        <v>0.14560000000000001</v>
      </c>
      <c r="O2963" s="5">
        <v>6</v>
      </c>
      <c r="P2963" s="5">
        <v>99026</v>
      </c>
    </row>
    <row r="2964" spans="1:16" x14ac:dyDescent="0.3">
      <c r="A2964" s="5">
        <v>94</v>
      </c>
      <c r="B2964" s="5" t="s">
        <v>142</v>
      </c>
      <c r="C2964" s="5">
        <v>8</v>
      </c>
      <c r="D2964" s="5" t="s">
        <v>82</v>
      </c>
      <c r="E2964" s="5">
        <v>2022</v>
      </c>
      <c r="F2964" s="5">
        <v>5</v>
      </c>
      <c r="G2964" s="5" t="s">
        <v>38</v>
      </c>
      <c r="H2964" s="5">
        <v>4090730</v>
      </c>
      <c r="I2964" s="5">
        <v>3642037.71</v>
      </c>
      <c r="J2964" s="5">
        <v>53</v>
      </c>
      <c r="K2964" s="5">
        <v>516895</v>
      </c>
      <c r="L2964" s="5">
        <v>4587690</v>
      </c>
      <c r="M2964" s="5">
        <v>448692.29</v>
      </c>
      <c r="N2964" s="5">
        <v>0.10970000000000001</v>
      </c>
      <c r="O2964" s="5">
        <v>3</v>
      </c>
      <c r="P2964" s="5">
        <v>143559</v>
      </c>
    </row>
    <row r="2965" spans="1:16" x14ac:dyDescent="0.3">
      <c r="A2965" s="5">
        <v>95</v>
      </c>
      <c r="B2965" s="5" t="s">
        <v>142</v>
      </c>
      <c r="C2965" s="5">
        <v>8</v>
      </c>
      <c r="D2965" s="5" t="s">
        <v>82</v>
      </c>
      <c r="E2965" s="5">
        <v>2022</v>
      </c>
      <c r="F2965" s="5">
        <v>5</v>
      </c>
      <c r="G2965" s="5" t="s">
        <v>38</v>
      </c>
      <c r="H2965" s="5">
        <v>2377194</v>
      </c>
      <c r="I2965" s="5">
        <v>1947552.28</v>
      </c>
      <c r="J2965" s="5">
        <v>29</v>
      </c>
      <c r="K2965" s="5">
        <v>159206</v>
      </c>
      <c r="L2965" s="5">
        <v>2519610</v>
      </c>
      <c r="M2965" s="5">
        <v>429641.72</v>
      </c>
      <c r="N2965" s="5">
        <v>0.1807</v>
      </c>
      <c r="O2965" s="5">
        <v>3</v>
      </c>
      <c r="P2965" s="5">
        <v>43382</v>
      </c>
    </row>
    <row r="2966" spans="1:16" x14ac:dyDescent="0.3">
      <c r="A2966" s="5">
        <v>94</v>
      </c>
      <c r="B2966" s="5" t="s">
        <v>142</v>
      </c>
      <c r="C2966" s="5">
        <v>8</v>
      </c>
      <c r="D2966" s="5" t="s">
        <v>82</v>
      </c>
      <c r="E2966" s="5">
        <v>2022</v>
      </c>
      <c r="F2966" s="5">
        <v>6</v>
      </c>
      <c r="G2966" s="5" t="s">
        <v>39</v>
      </c>
      <c r="H2966" s="5">
        <v>4227808</v>
      </c>
      <c r="I2966" s="5">
        <v>3680503.46</v>
      </c>
      <c r="J2966" s="5">
        <v>56</v>
      </c>
      <c r="K2966" s="5">
        <v>507860</v>
      </c>
      <c r="L2966" s="5">
        <v>4717850</v>
      </c>
      <c r="M2966" s="5">
        <v>547304.54</v>
      </c>
      <c r="N2966" s="5">
        <v>0.1295</v>
      </c>
      <c r="O2966" s="5">
        <v>5</v>
      </c>
      <c r="P2966" s="5">
        <v>272592</v>
      </c>
    </row>
    <row r="2967" spans="1:16" x14ac:dyDescent="0.3">
      <c r="A2967" s="5">
        <v>95</v>
      </c>
      <c r="B2967" s="5" t="s">
        <v>142</v>
      </c>
      <c r="C2967" s="5">
        <v>8</v>
      </c>
      <c r="D2967" s="5" t="s">
        <v>82</v>
      </c>
      <c r="E2967" s="5">
        <v>2022</v>
      </c>
      <c r="F2967" s="5">
        <v>6</v>
      </c>
      <c r="G2967" s="5" t="s">
        <v>39</v>
      </c>
      <c r="H2967" s="5">
        <v>3726232</v>
      </c>
      <c r="I2967" s="5">
        <v>3288634.38</v>
      </c>
      <c r="J2967" s="5">
        <v>43</v>
      </c>
      <c r="K2967" s="5">
        <v>463154</v>
      </c>
      <c r="L2967" s="5">
        <v>4179020</v>
      </c>
      <c r="M2967" s="5">
        <v>437597.62</v>
      </c>
      <c r="N2967" s="5">
        <v>0.1174</v>
      </c>
      <c r="O2967" s="5">
        <v>5</v>
      </c>
      <c r="P2967" s="5">
        <v>82105</v>
      </c>
    </row>
    <row r="2968" spans="1:16" x14ac:dyDescent="0.3">
      <c r="A2968" s="5">
        <v>94</v>
      </c>
      <c r="B2968" s="5" t="s">
        <v>142</v>
      </c>
      <c r="C2968" s="5">
        <v>8</v>
      </c>
      <c r="D2968" s="5" t="s">
        <v>82</v>
      </c>
      <c r="E2968" s="5">
        <v>2022</v>
      </c>
      <c r="F2968" s="5">
        <v>7</v>
      </c>
      <c r="G2968" s="5" t="s">
        <v>40</v>
      </c>
      <c r="H2968" s="5">
        <v>3657671</v>
      </c>
      <c r="I2968" s="5">
        <v>3285560.6</v>
      </c>
      <c r="J2968" s="5">
        <v>43</v>
      </c>
      <c r="K2968" s="5">
        <v>525884</v>
      </c>
      <c r="L2968" s="5">
        <v>4167940</v>
      </c>
      <c r="M2968" s="5">
        <v>372110.4</v>
      </c>
      <c r="N2968" s="5">
        <v>0.1017</v>
      </c>
      <c r="O2968" s="5">
        <v>6</v>
      </c>
      <c r="P2968" s="5">
        <v>249528</v>
      </c>
    </row>
    <row r="2969" spans="1:16" x14ac:dyDescent="0.3">
      <c r="A2969" s="5">
        <v>95</v>
      </c>
      <c r="B2969" s="5" t="s">
        <v>142</v>
      </c>
      <c r="C2969" s="5">
        <v>8</v>
      </c>
      <c r="D2969" s="5" t="s">
        <v>82</v>
      </c>
      <c r="E2969" s="5">
        <v>2022</v>
      </c>
      <c r="F2969" s="5">
        <v>7</v>
      </c>
      <c r="G2969" s="5" t="s">
        <v>40</v>
      </c>
      <c r="H2969" s="5">
        <v>1918890</v>
      </c>
      <c r="I2969" s="5">
        <v>1656050.52</v>
      </c>
      <c r="J2969" s="5">
        <v>30</v>
      </c>
      <c r="K2969" s="5">
        <v>258261</v>
      </c>
      <c r="L2969" s="5">
        <v>2172060</v>
      </c>
      <c r="M2969" s="5">
        <v>262839.48</v>
      </c>
      <c r="N2969" s="5">
        <v>0.13700000000000001</v>
      </c>
      <c r="O2969" s="5">
        <v>1</v>
      </c>
      <c r="P2969" s="5">
        <v>871</v>
      </c>
    </row>
    <row r="2970" spans="1:16" x14ac:dyDescent="0.3">
      <c r="A2970" s="5">
        <v>94</v>
      </c>
      <c r="B2970" s="5" t="s">
        <v>142</v>
      </c>
      <c r="C2970" s="5">
        <v>8</v>
      </c>
      <c r="D2970" s="5" t="s">
        <v>82</v>
      </c>
      <c r="E2970" s="5">
        <v>2022</v>
      </c>
      <c r="F2970" s="5">
        <v>8</v>
      </c>
      <c r="G2970" s="5" t="s">
        <v>41</v>
      </c>
      <c r="H2970" s="5">
        <v>2892324</v>
      </c>
      <c r="I2970" s="5">
        <v>2648953.23</v>
      </c>
      <c r="J2970" s="5">
        <v>53</v>
      </c>
      <c r="K2970" s="5">
        <v>575292</v>
      </c>
      <c r="L2970" s="5">
        <v>3449200</v>
      </c>
      <c r="M2970" s="5">
        <v>243370.77</v>
      </c>
      <c r="N2970" s="5">
        <v>8.4099999999999994E-2</v>
      </c>
      <c r="O2970" s="5">
        <v>6</v>
      </c>
      <c r="P2970" s="5">
        <v>107461</v>
      </c>
    </row>
    <row r="2971" spans="1:16" x14ac:dyDescent="0.3">
      <c r="A2971" s="5">
        <v>95</v>
      </c>
      <c r="B2971" s="5" t="s">
        <v>142</v>
      </c>
      <c r="C2971" s="5">
        <v>8</v>
      </c>
      <c r="D2971" s="5" t="s">
        <v>82</v>
      </c>
      <c r="E2971" s="5">
        <v>2022</v>
      </c>
      <c r="F2971" s="5">
        <v>8</v>
      </c>
      <c r="G2971" s="5" t="s">
        <v>41</v>
      </c>
      <c r="H2971" s="5">
        <v>2369364</v>
      </c>
      <c r="I2971" s="5">
        <v>2102440.56</v>
      </c>
      <c r="J2971" s="5">
        <v>36</v>
      </c>
      <c r="K2971" s="5">
        <v>393933</v>
      </c>
      <c r="L2971" s="5">
        <v>2749620</v>
      </c>
      <c r="M2971" s="5">
        <v>266923.44</v>
      </c>
      <c r="N2971" s="5">
        <v>0.11269999999999999</v>
      </c>
      <c r="O2971" s="5">
        <v>5</v>
      </c>
      <c r="P2971" s="5">
        <v>281357</v>
      </c>
    </row>
    <row r="2972" spans="1:16" x14ac:dyDescent="0.3">
      <c r="A2972" s="5">
        <v>94</v>
      </c>
      <c r="B2972" s="5" t="s">
        <v>142</v>
      </c>
      <c r="C2972" s="5">
        <v>8</v>
      </c>
      <c r="D2972" s="5" t="s">
        <v>82</v>
      </c>
      <c r="E2972" s="5">
        <v>2022</v>
      </c>
      <c r="F2972" s="5">
        <v>9</v>
      </c>
      <c r="G2972" s="5" t="s">
        <v>42</v>
      </c>
      <c r="H2972" s="5">
        <v>1615155</v>
      </c>
      <c r="I2972" s="5">
        <v>1388354.29</v>
      </c>
      <c r="J2972" s="5">
        <v>44</v>
      </c>
      <c r="K2972" s="5">
        <v>202004</v>
      </c>
      <c r="L2972" s="5">
        <v>1811420</v>
      </c>
      <c r="M2972" s="5">
        <v>226800.71</v>
      </c>
      <c r="N2972" s="5">
        <v>0.1404</v>
      </c>
      <c r="O2972" s="5">
        <v>1</v>
      </c>
      <c r="P2972" s="5">
        <v>3167</v>
      </c>
    </row>
    <row r="2973" spans="1:16" x14ac:dyDescent="0.3">
      <c r="A2973" s="5">
        <v>95</v>
      </c>
      <c r="B2973" s="5" t="s">
        <v>142</v>
      </c>
      <c r="C2973" s="5">
        <v>8</v>
      </c>
      <c r="D2973" s="5" t="s">
        <v>82</v>
      </c>
      <c r="E2973" s="5">
        <v>2022</v>
      </c>
      <c r="F2973" s="5">
        <v>9</v>
      </c>
      <c r="G2973" s="5" t="s">
        <v>42</v>
      </c>
      <c r="H2973" s="5">
        <v>2474056</v>
      </c>
      <c r="I2973" s="5">
        <v>2111508.7599999998</v>
      </c>
      <c r="J2973" s="5">
        <v>33</v>
      </c>
      <c r="K2973" s="5">
        <v>268642</v>
      </c>
      <c r="L2973" s="5">
        <v>2722910</v>
      </c>
      <c r="M2973" s="5">
        <v>362547.24</v>
      </c>
      <c r="N2973" s="5">
        <v>0.14649999999999999</v>
      </c>
      <c r="O2973" s="5">
        <v>4</v>
      </c>
      <c r="P2973" s="5">
        <v>110603</v>
      </c>
    </row>
    <row r="2974" spans="1:16" x14ac:dyDescent="0.3">
      <c r="A2974" s="5">
        <v>94</v>
      </c>
      <c r="B2974" s="5" t="s">
        <v>142</v>
      </c>
      <c r="C2974" s="5">
        <v>8</v>
      </c>
      <c r="D2974" s="5" t="s">
        <v>82</v>
      </c>
      <c r="E2974" s="5">
        <v>2022</v>
      </c>
      <c r="F2974" s="5">
        <v>10</v>
      </c>
      <c r="G2974" s="5" t="s">
        <v>43</v>
      </c>
      <c r="H2974" s="5">
        <v>4616451</v>
      </c>
      <c r="I2974" s="5">
        <v>4091605.81</v>
      </c>
      <c r="J2974" s="5">
        <v>67</v>
      </c>
      <c r="K2974" s="5">
        <v>623770</v>
      </c>
      <c r="L2974" s="5">
        <v>5217890</v>
      </c>
      <c r="M2974" s="5">
        <v>524845.18999999994</v>
      </c>
      <c r="N2974" s="5">
        <v>0.1137</v>
      </c>
      <c r="O2974" s="5">
        <v>5</v>
      </c>
      <c r="P2974" s="5">
        <v>143351</v>
      </c>
    </row>
    <row r="2975" spans="1:16" x14ac:dyDescent="0.3">
      <c r="A2975" s="5">
        <v>95</v>
      </c>
      <c r="B2975" s="5" t="s">
        <v>142</v>
      </c>
      <c r="C2975" s="5">
        <v>8</v>
      </c>
      <c r="D2975" s="5" t="s">
        <v>82</v>
      </c>
      <c r="E2975" s="5">
        <v>2022</v>
      </c>
      <c r="F2975" s="5">
        <v>10</v>
      </c>
      <c r="G2975" s="5" t="s">
        <v>43</v>
      </c>
      <c r="H2975" s="5">
        <v>4454911</v>
      </c>
      <c r="I2975" s="5">
        <v>3884815.31</v>
      </c>
      <c r="J2975" s="5">
        <v>56</v>
      </c>
      <c r="K2975" s="5">
        <v>507710</v>
      </c>
      <c r="L2975" s="5">
        <v>4945490</v>
      </c>
      <c r="M2975" s="5">
        <v>570095.68999999994</v>
      </c>
      <c r="N2975" s="5">
        <v>0.128</v>
      </c>
      <c r="O2975" s="5">
        <v>3</v>
      </c>
      <c r="P2975" s="5">
        <v>15459</v>
      </c>
    </row>
    <row r="2976" spans="1:16" x14ac:dyDescent="0.3">
      <c r="A2976" s="5">
        <v>94</v>
      </c>
      <c r="B2976" s="5" t="s">
        <v>142</v>
      </c>
      <c r="C2976" s="5">
        <v>8</v>
      </c>
      <c r="D2976" s="5" t="s">
        <v>82</v>
      </c>
      <c r="E2976" s="5">
        <v>2022</v>
      </c>
      <c r="F2976" s="5">
        <v>11</v>
      </c>
      <c r="G2976" s="5" t="s">
        <v>44</v>
      </c>
      <c r="H2976" s="5">
        <v>4077715</v>
      </c>
      <c r="I2976" s="5">
        <v>3275985.42</v>
      </c>
      <c r="J2976" s="5">
        <v>64</v>
      </c>
      <c r="K2976" s="5">
        <v>216609</v>
      </c>
      <c r="L2976" s="5">
        <v>4267630</v>
      </c>
      <c r="M2976" s="5">
        <v>801729.58</v>
      </c>
      <c r="N2976" s="5">
        <v>0.1966</v>
      </c>
      <c r="O2976" s="5">
        <v>12</v>
      </c>
      <c r="P2976" s="5">
        <v>226769</v>
      </c>
    </row>
    <row r="2977" spans="1:16" x14ac:dyDescent="0.3">
      <c r="A2977" s="5">
        <v>95</v>
      </c>
      <c r="B2977" s="5" t="s">
        <v>142</v>
      </c>
      <c r="C2977" s="5">
        <v>8</v>
      </c>
      <c r="D2977" s="5" t="s">
        <v>82</v>
      </c>
      <c r="E2977" s="5">
        <v>2022</v>
      </c>
      <c r="F2977" s="5">
        <v>11</v>
      </c>
      <c r="G2977" s="5" t="s">
        <v>44</v>
      </c>
      <c r="H2977" s="5">
        <v>3469437</v>
      </c>
      <c r="I2977" s="5">
        <v>2935266.33</v>
      </c>
      <c r="J2977" s="5">
        <v>55</v>
      </c>
      <c r="K2977" s="5">
        <v>364163</v>
      </c>
      <c r="L2977" s="5">
        <v>3819600</v>
      </c>
      <c r="M2977" s="5">
        <v>534170.67000000004</v>
      </c>
      <c r="N2977" s="5">
        <v>0.154</v>
      </c>
      <c r="O2977" s="5">
        <v>4</v>
      </c>
      <c r="P2977" s="5">
        <v>28690</v>
      </c>
    </row>
    <row r="2978" spans="1:16" x14ac:dyDescent="0.3">
      <c r="A2978" s="5">
        <v>94</v>
      </c>
      <c r="B2978" s="5" t="s">
        <v>142</v>
      </c>
      <c r="C2978" s="5">
        <v>8</v>
      </c>
      <c r="D2978" s="5" t="s">
        <v>82</v>
      </c>
      <c r="E2978" s="5">
        <v>2022</v>
      </c>
      <c r="F2978" s="5">
        <v>12</v>
      </c>
      <c r="G2978" s="5" t="s">
        <v>45</v>
      </c>
      <c r="H2978" s="5">
        <v>7048715</v>
      </c>
      <c r="I2978" s="5">
        <v>5908491.1799999997</v>
      </c>
      <c r="J2978" s="5">
        <v>91</v>
      </c>
      <c r="K2978" s="5">
        <v>533336</v>
      </c>
      <c r="L2978" s="5">
        <v>7564920</v>
      </c>
      <c r="M2978" s="5">
        <v>1140223.82</v>
      </c>
      <c r="N2978" s="5">
        <v>0.1618</v>
      </c>
      <c r="O2978" s="5">
        <v>6</v>
      </c>
      <c r="P2978" s="5">
        <v>244179</v>
      </c>
    </row>
    <row r="2979" spans="1:16" x14ac:dyDescent="0.3">
      <c r="A2979" s="5">
        <v>95</v>
      </c>
      <c r="B2979" s="5" t="s">
        <v>142</v>
      </c>
      <c r="C2979" s="5">
        <v>8</v>
      </c>
      <c r="D2979" s="5" t="s">
        <v>82</v>
      </c>
      <c r="E2979" s="5">
        <v>2022</v>
      </c>
      <c r="F2979" s="5">
        <v>12</v>
      </c>
      <c r="G2979" s="5" t="s">
        <v>45</v>
      </c>
      <c r="H2979" s="5">
        <v>2223465</v>
      </c>
      <c r="I2979" s="5">
        <v>1819236.45</v>
      </c>
      <c r="J2979" s="5">
        <v>39</v>
      </c>
      <c r="K2979" s="5">
        <v>205356</v>
      </c>
      <c r="L2979" s="5">
        <v>2422390</v>
      </c>
      <c r="M2979" s="5">
        <v>404228.55</v>
      </c>
      <c r="N2979" s="5">
        <v>0.18179999999999999</v>
      </c>
      <c r="O2979" s="5">
        <v>3</v>
      </c>
      <c r="P2979" s="5">
        <v>18012</v>
      </c>
    </row>
    <row r="2980" spans="1:16" x14ac:dyDescent="0.3">
      <c r="A2980" s="5">
        <v>94</v>
      </c>
      <c r="B2980" s="5" t="s">
        <v>142</v>
      </c>
      <c r="C2980" s="5">
        <v>8</v>
      </c>
      <c r="D2980" s="5" t="s">
        <v>82</v>
      </c>
      <c r="E2980" s="5">
        <v>2023</v>
      </c>
      <c r="F2980" s="5">
        <v>1</v>
      </c>
      <c r="G2980" s="5" t="s">
        <v>46</v>
      </c>
      <c r="H2980" s="5">
        <v>3609073</v>
      </c>
      <c r="I2980" s="5">
        <v>3374273.17</v>
      </c>
      <c r="J2980" s="5">
        <v>55</v>
      </c>
      <c r="K2980" s="5">
        <v>725161</v>
      </c>
      <c r="L2980" s="5">
        <v>4329650</v>
      </c>
      <c r="M2980" s="5">
        <v>234799.83</v>
      </c>
      <c r="N2980" s="5">
        <v>6.5100000000000005E-2</v>
      </c>
      <c r="O2980" s="5">
        <v>2</v>
      </c>
      <c r="P2980" s="5">
        <v>72675</v>
      </c>
    </row>
    <row r="2981" spans="1:16" x14ac:dyDescent="0.3">
      <c r="A2981" s="5">
        <v>95</v>
      </c>
      <c r="B2981" s="5" t="s">
        <v>142</v>
      </c>
      <c r="C2981" s="5">
        <v>8</v>
      </c>
      <c r="D2981" s="5" t="s">
        <v>82</v>
      </c>
      <c r="E2981" s="5">
        <v>2023</v>
      </c>
      <c r="F2981" s="5">
        <v>1</v>
      </c>
      <c r="G2981" s="5" t="s">
        <v>46</v>
      </c>
      <c r="H2981" s="5">
        <v>3301530</v>
      </c>
      <c r="I2981" s="5">
        <v>3038568.14</v>
      </c>
      <c r="J2981" s="5">
        <v>45</v>
      </c>
      <c r="K2981" s="5">
        <v>631302</v>
      </c>
      <c r="L2981" s="5">
        <v>3918370</v>
      </c>
      <c r="M2981" s="5">
        <v>262961.86</v>
      </c>
      <c r="N2981" s="5">
        <v>7.9600000000000004E-2</v>
      </c>
      <c r="O2981" s="5">
        <v>1</v>
      </c>
      <c r="P2981" s="5">
        <v>9879</v>
      </c>
    </row>
    <row r="2982" spans="1:16" x14ac:dyDescent="0.3">
      <c r="A2982" s="5">
        <v>94</v>
      </c>
      <c r="B2982" s="5" t="s">
        <v>142</v>
      </c>
      <c r="C2982" s="5">
        <v>8</v>
      </c>
      <c r="D2982" s="5" t="s">
        <v>82</v>
      </c>
      <c r="E2982" s="5">
        <v>2023</v>
      </c>
      <c r="F2982" s="5">
        <v>2</v>
      </c>
      <c r="G2982" s="5" t="s">
        <v>47</v>
      </c>
      <c r="H2982" s="5">
        <v>4634421</v>
      </c>
      <c r="I2982" s="5">
        <v>3932804.31</v>
      </c>
      <c r="J2982" s="5">
        <v>66</v>
      </c>
      <c r="K2982" s="5">
        <v>360652</v>
      </c>
      <c r="L2982" s="5">
        <v>4983400</v>
      </c>
      <c r="M2982" s="5">
        <v>701616.69</v>
      </c>
      <c r="N2982" s="5">
        <v>0.15140000000000001</v>
      </c>
      <c r="O2982" s="5">
        <v>4</v>
      </c>
      <c r="P2982" s="5">
        <v>62302</v>
      </c>
    </row>
    <row r="2983" spans="1:16" x14ac:dyDescent="0.3">
      <c r="A2983" s="5">
        <v>95</v>
      </c>
      <c r="B2983" s="5" t="s">
        <v>142</v>
      </c>
      <c r="C2983" s="5">
        <v>8</v>
      </c>
      <c r="D2983" s="5" t="s">
        <v>82</v>
      </c>
      <c r="E2983" s="5">
        <v>2023</v>
      </c>
      <c r="F2983" s="5">
        <v>2</v>
      </c>
      <c r="G2983" s="5" t="s">
        <v>47</v>
      </c>
      <c r="H2983" s="5">
        <v>1645674</v>
      </c>
      <c r="I2983" s="5">
        <v>1440306.93</v>
      </c>
      <c r="J2983" s="5">
        <v>28</v>
      </c>
      <c r="K2983" s="5">
        <v>231654</v>
      </c>
      <c r="L2983" s="5">
        <v>1871110</v>
      </c>
      <c r="M2983" s="5">
        <v>205367.07</v>
      </c>
      <c r="N2983" s="5">
        <v>0.12479999999999999</v>
      </c>
      <c r="O2983" s="5">
        <v>5</v>
      </c>
      <c r="P2983" s="5">
        <v>158948</v>
      </c>
    </row>
    <row r="2984" spans="1:16" x14ac:dyDescent="0.3">
      <c r="A2984" s="5">
        <v>94</v>
      </c>
      <c r="B2984" s="5" t="s">
        <v>142</v>
      </c>
      <c r="C2984" s="5">
        <v>8</v>
      </c>
      <c r="D2984" s="5" t="s">
        <v>82</v>
      </c>
      <c r="E2984" s="5">
        <v>2023</v>
      </c>
      <c r="F2984" s="5">
        <v>3</v>
      </c>
      <c r="G2984" s="5" t="s">
        <v>48</v>
      </c>
      <c r="H2984" s="5">
        <v>4423299</v>
      </c>
      <c r="I2984" s="5">
        <v>3670257.67</v>
      </c>
      <c r="J2984" s="5">
        <v>64</v>
      </c>
      <c r="K2984" s="5">
        <v>422659</v>
      </c>
      <c r="L2984" s="5">
        <v>4824190</v>
      </c>
      <c r="M2984" s="5">
        <v>753041.33</v>
      </c>
      <c r="N2984" s="5">
        <v>0.17019999999999999</v>
      </c>
      <c r="O2984" s="5">
        <v>7</v>
      </c>
      <c r="P2984" s="5">
        <v>69523</v>
      </c>
    </row>
    <row r="2985" spans="1:16" x14ac:dyDescent="0.3">
      <c r="A2985" s="5">
        <v>95</v>
      </c>
      <c r="B2985" s="5" t="s">
        <v>142</v>
      </c>
      <c r="C2985" s="5">
        <v>8</v>
      </c>
      <c r="D2985" s="5" t="s">
        <v>82</v>
      </c>
      <c r="E2985" s="5">
        <v>2023</v>
      </c>
      <c r="F2985" s="5">
        <v>3</v>
      </c>
      <c r="G2985" s="5" t="s">
        <v>48</v>
      </c>
      <c r="H2985" s="5">
        <v>2707521</v>
      </c>
      <c r="I2985" s="5">
        <v>2441196.04</v>
      </c>
      <c r="J2985" s="5">
        <v>35</v>
      </c>
      <c r="K2985" s="5">
        <v>360272</v>
      </c>
      <c r="L2985" s="5">
        <v>3066880</v>
      </c>
      <c r="M2985" s="5">
        <v>266324.96000000002</v>
      </c>
      <c r="N2985" s="5">
        <v>9.8400000000000001E-2</v>
      </c>
      <c r="O2985" s="5">
        <v>3</v>
      </c>
      <c r="P2985" s="5">
        <v>39670</v>
      </c>
    </row>
    <row r="2986" spans="1:16" x14ac:dyDescent="0.3">
      <c r="A2986" s="5">
        <v>94</v>
      </c>
      <c r="B2986" s="5" t="s">
        <v>142</v>
      </c>
      <c r="C2986" s="5">
        <v>8</v>
      </c>
      <c r="D2986" s="5" t="s">
        <v>82</v>
      </c>
      <c r="E2986" s="5">
        <v>2023</v>
      </c>
      <c r="F2986" s="5">
        <v>4</v>
      </c>
      <c r="G2986" s="5" t="s">
        <v>49</v>
      </c>
      <c r="H2986" s="5">
        <v>5006383</v>
      </c>
      <c r="I2986" s="5">
        <v>4303961.07</v>
      </c>
      <c r="J2986" s="5">
        <v>71</v>
      </c>
      <c r="K2986" s="5">
        <v>603977</v>
      </c>
      <c r="L2986" s="5">
        <v>5591900</v>
      </c>
      <c r="M2986" s="5">
        <v>702421.93</v>
      </c>
      <c r="N2986" s="5">
        <v>0.14030000000000001</v>
      </c>
      <c r="O2986" s="5">
        <v>3</v>
      </c>
      <c r="P2986" s="5">
        <v>31514</v>
      </c>
    </row>
    <row r="2987" spans="1:16" x14ac:dyDescent="0.3">
      <c r="A2987" s="5">
        <v>95</v>
      </c>
      <c r="B2987" s="5" t="s">
        <v>142</v>
      </c>
      <c r="C2987" s="5">
        <v>8</v>
      </c>
      <c r="D2987" s="5" t="s">
        <v>82</v>
      </c>
      <c r="E2987" s="5">
        <v>2023</v>
      </c>
      <c r="F2987" s="5">
        <v>4</v>
      </c>
      <c r="G2987" s="5" t="s">
        <v>49</v>
      </c>
      <c r="H2987" s="5">
        <v>3726001</v>
      </c>
      <c r="I2987" s="5">
        <v>3211872.4</v>
      </c>
      <c r="J2987" s="5">
        <v>50</v>
      </c>
      <c r="K2987" s="5">
        <v>417955</v>
      </c>
      <c r="L2987" s="5">
        <v>4134770</v>
      </c>
      <c r="M2987" s="5">
        <v>514128.6</v>
      </c>
      <c r="N2987" s="5">
        <v>0.13800000000000001</v>
      </c>
      <c r="O2987" s="5">
        <v>2</v>
      </c>
      <c r="P2987" s="5">
        <v>121636</v>
      </c>
    </row>
    <row r="2988" spans="1:16" x14ac:dyDescent="0.3">
      <c r="A2988" s="5">
        <v>94</v>
      </c>
      <c r="B2988" s="5" t="s">
        <v>142</v>
      </c>
      <c r="C2988" s="5">
        <v>8</v>
      </c>
      <c r="D2988" s="5" t="s">
        <v>82</v>
      </c>
      <c r="E2988" s="5">
        <v>2023</v>
      </c>
      <c r="F2988" s="5">
        <v>5</v>
      </c>
      <c r="G2988" s="5" t="s">
        <v>50</v>
      </c>
      <c r="H2988" s="5">
        <v>5454713</v>
      </c>
      <c r="I2988" s="5">
        <v>4779529.0199999996</v>
      </c>
      <c r="J2988" s="5">
        <v>68</v>
      </c>
      <c r="K2988" s="5">
        <v>576406</v>
      </c>
      <c r="L2988" s="5">
        <v>6014110</v>
      </c>
      <c r="M2988" s="5">
        <v>675183.98</v>
      </c>
      <c r="N2988" s="5">
        <v>0.12379999999999999</v>
      </c>
      <c r="O2988" s="5">
        <v>6</v>
      </c>
      <c r="P2988" s="5">
        <v>207070</v>
      </c>
    </row>
    <row r="2989" spans="1:16" x14ac:dyDescent="0.3">
      <c r="A2989" s="5">
        <v>95</v>
      </c>
      <c r="B2989" s="5" t="s">
        <v>142</v>
      </c>
      <c r="C2989" s="5">
        <v>8</v>
      </c>
      <c r="D2989" s="5" t="s">
        <v>82</v>
      </c>
      <c r="E2989" s="5">
        <v>2023</v>
      </c>
      <c r="F2989" s="5">
        <v>5</v>
      </c>
      <c r="G2989" s="5" t="s">
        <v>50</v>
      </c>
      <c r="H2989" s="5">
        <v>1763978</v>
      </c>
      <c r="I2989" s="5">
        <v>1583505.69</v>
      </c>
      <c r="J2989" s="5">
        <v>37</v>
      </c>
      <c r="K2989" s="5">
        <v>304592</v>
      </c>
      <c r="L2989" s="5">
        <v>2064590</v>
      </c>
      <c r="M2989" s="5">
        <v>180472.31</v>
      </c>
      <c r="N2989" s="5">
        <v>0.1023</v>
      </c>
      <c r="O2989" s="5">
        <v>2</v>
      </c>
      <c r="P2989" s="5">
        <v>31612</v>
      </c>
    </row>
    <row r="2990" spans="1:16" x14ac:dyDescent="0.3">
      <c r="A2990" s="5">
        <v>94</v>
      </c>
      <c r="B2990" s="5" t="s">
        <v>142</v>
      </c>
      <c r="C2990" s="5">
        <v>8</v>
      </c>
      <c r="D2990" s="5" t="s">
        <v>82</v>
      </c>
      <c r="E2990" s="5">
        <v>2023</v>
      </c>
      <c r="F2990" s="5">
        <v>6</v>
      </c>
      <c r="G2990" s="5" t="s">
        <v>51</v>
      </c>
      <c r="H2990" s="5">
        <v>3740436</v>
      </c>
      <c r="I2990" s="5">
        <v>3144981.26</v>
      </c>
      <c r="J2990" s="5">
        <v>70</v>
      </c>
      <c r="K2990" s="5">
        <v>388696</v>
      </c>
      <c r="L2990" s="5">
        <v>4122940</v>
      </c>
      <c r="M2990" s="5">
        <v>595454.74</v>
      </c>
      <c r="N2990" s="5">
        <v>0.15920000000000001</v>
      </c>
      <c r="O2990" s="5">
        <v>9</v>
      </c>
      <c r="P2990" s="5">
        <v>107418</v>
      </c>
    </row>
    <row r="2991" spans="1:16" x14ac:dyDescent="0.3">
      <c r="A2991" s="5">
        <v>95</v>
      </c>
      <c r="B2991" s="5" t="s">
        <v>142</v>
      </c>
      <c r="C2991" s="5">
        <v>8</v>
      </c>
      <c r="D2991" s="5" t="s">
        <v>82</v>
      </c>
      <c r="E2991" s="5">
        <v>2023</v>
      </c>
      <c r="F2991" s="5">
        <v>6</v>
      </c>
      <c r="G2991" s="5" t="s">
        <v>51</v>
      </c>
      <c r="H2991" s="5">
        <v>1576756</v>
      </c>
      <c r="I2991" s="5">
        <v>1321023.1499999999</v>
      </c>
      <c r="J2991" s="5">
        <v>35</v>
      </c>
      <c r="K2991" s="5">
        <v>197143</v>
      </c>
      <c r="L2991" s="5">
        <v>1770970</v>
      </c>
      <c r="M2991" s="5">
        <v>255732.85</v>
      </c>
      <c r="N2991" s="5">
        <v>0.16220000000000001</v>
      </c>
      <c r="O2991" s="5">
        <v>2</v>
      </c>
      <c r="P2991" s="5">
        <v>14304</v>
      </c>
    </row>
    <row r="2992" spans="1:16" x14ac:dyDescent="0.3">
      <c r="A2992" s="5">
        <v>94</v>
      </c>
      <c r="B2992" s="5" t="s">
        <v>142</v>
      </c>
      <c r="C2992" s="5">
        <v>8</v>
      </c>
      <c r="D2992" s="5" t="s">
        <v>82</v>
      </c>
      <c r="E2992" s="5">
        <v>2023</v>
      </c>
      <c r="F2992" s="5">
        <v>7</v>
      </c>
      <c r="G2992" s="5" t="s">
        <v>52</v>
      </c>
      <c r="H2992" s="5">
        <v>4046434</v>
      </c>
      <c r="I2992" s="5">
        <v>3662530.35</v>
      </c>
      <c r="J2992" s="5">
        <v>76</v>
      </c>
      <c r="K2992" s="5">
        <v>677261</v>
      </c>
      <c r="L2992" s="5">
        <v>4705630</v>
      </c>
      <c r="M2992" s="5">
        <v>383903.65</v>
      </c>
      <c r="N2992" s="5">
        <v>9.4899999999999998E-2</v>
      </c>
      <c r="O2992" s="5">
        <v>4</v>
      </c>
      <c r="P2992" s="5">
        <v>136481</v>
      </c>
    </row>
    <row r="2993" spans="1:16" x14ac:dyDescent="0.3">
      <c r="A2993" s="5">
        <v>95</v>
      </c>
      <c r="B2993" s="5" t="s">
        <v>142</v>
      </c>
      <c r="C2993" s="5">
        <v>8</v>
      </c>
      <c r="D2993" s="5" t="s">
        <v>82</v>
      </c>
      <c r="E2993" s="5">
        <v>2023</v>
      </c>
      <c r="F2993" s="5">
        <v>7</v>
      </c>
      <c r="G2993" s="5" t="s">
        <v>52</v>
      </c>
      <c r="H2993" s="5">
        <v>2875249</v>
      </c>
      <c r="I2993" s="5">
        <v>2582081.12</v>
      </c>
      <c r="J2993" s="5">
        <v>41</v>
      </c>
      <c r="K2993" s="5">
        <v>548792</v>
      </c>
      <c r="L2993" s="5">
        <v>3416550</v>
      </c>
      <c r="M2993" s="5">
        <v>293167.88</v>
      </c>
      <c r="N2993" s="5">
        <v>0.10199999999999999</v>
      </c>
      <c r="O2993" s="5">
        <v>3</v>
      </c>
      <c r="P2993" s="5">
        <v>202478</v>
      </c>
    </row>
    <row r="2994" spans="1:16" x14ac:dyDescent="0.3">
      <c r="A2994" s="5">
        <v>94</v>
      </c>
      <c r="B2994" s="5" t="s">
        <v>142</v>
      </c>
      <c r="C2994" s="5">
        <v>8</v>
      </c>
      <c r="D2994" s="5" t="s">
        <v>82</v>
      </c>
      <c r="E2994" s="5">
        <v>2023</v>
      </c>
      <c r="F2994" s="5">
        <v>8</v>
      </c>
      <c r="G2994" s="5" t="s">
        <v>53</v>
      </c>
      <c r="H2994" s="5">
        <v>4644257</v>
      </c>
      <c r="I2994" s="5">
        <v>4061899.36</v>
      </c>
      <c r="J2994" s="5">
        <v>75</v>
      </c>
      <c r="K2994" s="5">
        <v>580446</v>
      </c>
      <c r="L2994" s="5">
        <v>5201990</v>
      </c>
      <c r="M2994" s="5">
        <v>582357.64</v>
      </c>
      <c r="N2994" s="5">
        <v>0.12540000000000001</v>
      </c>
      <c r="O2994" s="5">
        <v>3</v>
      </c>
      <c r="P2994" s="5">
        <v>29606</v>
      </c>
    </row>
    <row r="2995" spans="1:16" x14ac:dyDescent="0.3">
      <c r="A2995" s="5">
        <v>95</v>
      </c>
      <c r="B2995" s="5" t="s">
        <v>142</v>
      </c>
      <c r="C2995" s="5">
        <v>8</v>
      </c>
      <c r="D2995" s="5" t="s">
        <v>82</v>
      </c>
      <c r="E2995" s="5">
        <v>2023</v>
      </c>
      <c r="F2995" s="5">
        <v>8</v>
      </c>
      <c r="G2995" s="5" t="s">
        <v>53</v>
      </c>
      <c r="H2995" s="5">
        <v>1741066</v>
      </c>
      <c r="I2995" s="5">
        <v>1457657.68</v>
      </c>
      <c r="J2995" s="5">
        <v>28</v>
      </c>
      <c r="K2995" s="5">
        <v>190790</v>
      </c>
      <c r="L2995" s="5">
        <v>1925030</v>
      </c>
      <c r="M2995" s="5">
        <v>283408.32</v>
      </c>
      <c r="N2995" s="5">
        <v>0.1628</v>
      </c>
      <c r="O2995" s="5">
        <v>2</v>
      </c>
      <c r="P2995" s="5">
        <v>8489</v>
      </c>
    </row>
    <row r="2996" spans="1:16" x14ac:dyDescent="0.3">
      <c r="A2996" s="5">
        <v>94</v>
      </c>
      <c r="B2996" s="5" t="s">
        <v>142</v>
      </c>
      <c r="C2996" s="5">
        <v>8</v>
      </c>
      <c r="D2996" s="5" t="s">
        <v>82</v>
      </c>
      <c r="E2996" s="5">
        <v>2023</v>
      </c>
      <c r="F2996" s="5">
        <v>9</v>
      </c>
      <c r="G2996" s="5" t="s">
        <v>54</v>
      </c>
      <c r="H2996" s="5">
        <v>3295361</v>
      </c>
      <c r="I2996" s="5">
        <v>2919005.94</v>
      </c>
      <c r="J2996" s="5">
        <v>75</v>
      </c>
      <c r="K2996" s="5">
        <v>575017</v>
      </c>
      <c r="L2996" s="5">
        <v>3862060</v>
      </c>
      <c r="M2996" s="5">
        <v>376355.06</v>
      </c>
      <c r="N2996" s="5">
        <v>0.1142</v>
      </c>
      <c r="O2996" s="5">
        <v>4</v>
      </c>
      <c r="P2996" s="5">
        <v>126223</v>
      </c>
    </row>
    <row r="2997" spans="1:16" x14ac:dyDescent="0.3">
      <c r="A2997" s="5">
        <v>95</v>
      </c>
      <c r="B2997" s="5" t="s">
        <v>142</v>
      </c>
      <c r="C2997" s="5">
        <v>8</v>
      </c>
      <c r="D2997" s="5" t="s">
        <v>82</v>
      </c>
      <c r="E2997" s="5">
        <v>2023</v>
      </c>
      <c r="F2997" s="5">
        <v>9</v>
      </c>
      <c r="G2997" s="5" t="s">
        <v>54</v>
      </c>
      <c r="H2997" s="5">
        <v>3104051</v>
      </c>
      <c r="I2997" s="5">
        <v>2746009.55</v>
      </c>
      <c r="J2997" s="5">
        <v>48</v>
      </c>
      <c r="K2997" s="5">
        <v>498677</v>
      </c>
      <c r="L2997" s="5">
        <v>3590230</v>
      </c>
      <c r="M2997" s="5">
        <v>358041.45</v>
      </c>
      <c r="N2997" s="5">
        <v>0.1153</v>
      </c>
      <c r="O2997" s="5">
        <v>4</v>
      </c>
      <c r="P2997" s="5">
        <v>238169</v>
      </c>
    </row>
    <row r="2998" spans="1:16" x14ac:dyDescent="0.3">
      <c r="A2998" s="5">
        <v>94</v>
      </c>
      <c r="B2998" s="5" t="s">
        <v>142</v>
      </c>
      <c r="C2998" s="5">
        <v>8</v>
      </c>
      <c r="D2998" s="5" t="s">
        <v>82</v>
      </c>
      <c r="E2998" s="5">
        <v>2023</v>
      </c>
      <c r="F2998" s="5">
        <v>10</v>
      </c>
      <c r="G2998" s="5" t="s">
        <v>55</v>
      </c>
      <c r="H2998" s="5">
        <v>9195246</v>
      </c>
      <c r="I2998" s="5">
        <v>7959187.3600000003</v>
      </c>
      <c r="J2998" s="5">
        <v>112</v>
      </c>
      <c r="K2998" s="5">
        <v>999195</v>
      </c>
      <c r="L2998" s="5">
        <v>10169670</v>
      </c>
      <c r="M2998" s="5">
        <v>1236058.6399999999</v>
      </c>
      <c r="N2998" s="5">
        <v>0.13439999999999999</v>
      </c>
      <c r="O2998" s="5">
        <v>9</v>
      </c>
      <c r="P2998" s="5">
        <v>122296</v>
      </c>
    </row>
    <row r="2999" spans="1:16" x14ac:dyDescent="0.3">
      <c r="A2999" s="5">
        <v>95</v>
      </c>
      <c r="B2999" s="5" t="s">
        <v>142</v>
      </c>
      <c r="C2999" s="5">
        <v>8</v>
      </c>
      <c r="D2999" s="5" t="s">
        <v>82</v>
      </c>
      <c r="E2999" s="5">
        <v>2023</v>
      </c>
      <c r="F2999" s="5">
        <v>10</v>
      </c>
      <c r="G2999" s="5" t="s">
        <v>55</v>
      </c>
      <c r="H2999" s="5">
        <v>3613989</v>
      </c>
      <c r="I2999" s="5">
        <v>3116076.86</v>
      </c>
      <c r="J2999" s="5">
        <v>52</v>
      </c>
      <c r="K2999" s="5">
        <v>462426</v>
      </c>
      <c r="L2999" s="5">
        <v>4067440</v>
      </c>
      <c r="M2999" s="5">
        <v>497912.14</v>
      </c>
      <c r="N2999" s="5">
        <v>0.13780000000000001</v>
      </c>
      <c r="O2999" s="5">
        <v>2</v>
      </c>
      <c r="P2999" s="5">
        <v>85782</v>
      </c>
    </row>
    <row r="3000" spans="1:16" x14ac:dyDescent="0.3">
      <c r="A3000" s="5">
        <v>94</v>
      </c>
      <c r="B3000" s="5" t="s">
        <v>142</v>
      </c>
      <c r="C3000" s="5">
        <v>8</v>
      </c>
      <c r="D3000" s="5" t="s">
        <v>82</v>
      </c>
      <c r="E3000" s="5">
        <v>2023</v>
      </c>
      <c r="F3000" s="5">
        <v>11</v>
      </c>
      <c r="G3000" s="5" t="s">
        <v>56</v>
      </c>
      <c r="H3000" s="5">
        <v>6267415</v>
      </c>
      <c r="I3000" s="5">
        <v>5554400.6500000004</v>
      </c>
      <c r="J3000" s="5">
        <v>89</v>
      </c>
      <c r="K3000" s="5">
        <v>825011</v>
      </c>
      <c r="L3000" s="5">
        <v>7069700</v>
      </c>
      <c r="M3000" s="5">
        <v>713014.35</v>
      </c>
      <c r="N3000" s="5">
        <v>0.1138</v>
      </c>
      <c r="O3000" s="5">
        <v>8</v>
      </c>
      <c r="P3000" s="5">
        <v>137608</v>
      </c>
    </row>
    <row r="3001" spans="1:16" x14ac:dyDescent="0.3">
      <c r="A3001" s="5">
        <v>95</v>
      </c>
      <c r="B3001" s="5" t="s">
        <v>142</v>
      </c>
      <c r="C3001" s="5">
        <v>8</v>
      </c>
      <c r="D3001" s="5" t="s">
        <v>82</v>
      </c>
      <c r="E3001" s="5">
        <v>2023</v>
      </c>
      <c r="F3001" s="5">
        <v>11</v>
      </c>
      <c r="G3001" s="5" t="s">
        <v>56</v>
      </c>
      <c r="H3001" s="5">
        <v>2747460</v>
      </c>
      <c r="I3001" s="5">
        <v>2422566.6</v>
      </c>
      <c r="J3001" s="5">
        <v>44</v>
      </c>
      <c r="K3001" s="5">
        <v>390019</v>
      </c>
      <c r="L3001" s="5">
        <v>3126360</v>
      </c>
      <c r="M3001" s="5">
        <v>324893.40000000002</v>
      </c>
      <c r="N3001" s="5">
        <v>0.1183</v>
      </c>
      <c r="O3001" s="5">
        <v>4</v>
      </c>
      <c r="P3001" s="5">
        <v>171575</v>
      </c>
    </row>
    <row r="3002" spans="1:16" x14ac:dyDescent="0.3">
      <c r="A3002" s="5">
        <v>94</v>
      </c>
      <c r="B3002" s="5" t="s">
        <v>142</v>
      </c>
      <c r="C3002" s="5">
        <v>8</v>
      </c>
      <c r="D3002" s="5" t="s">
        <v>82</v>
      </c>
      <c r="E3002" s="5">
        <v>2023</v>
      </c>
      <c r="F3002" s="5">
        <v>12</v>
      </c>
      <c r="G3002" s="5" t="s">
        <v>57</v>
      </c>
      <c r="H3002" s="5">
        <v>6278343</v>
      </c>
      <c r="I3002" s="5">
        <v>5701153.5800000001</v>
      </c>
      <c r="J3002" s="5">
        <v>95</v>
      </c>
      <c r="K3002" s="5">
        <v>1046418</v>
      </c>
      <c r="L3002" s="5">
        <v>7293360</v>
      </c>
      <c r="M3002" s="5">
        <v>577189.42000000004</v>
      </c>
      <c r="N3002" s="5">
        <v>9.1899999999999996E-2</v>
      </c>
      <c r="O3002" s="5">
        <v>9</v>
      </c>
      <c r="P3002" s="5">
        <v>200944</v>
      </c>
    </row>
    <row r="3003" spans="1:16" x14ac:dyDescent="0.3">
      <c r="A3003" s="5">
        <v>95</v>
      </c>
      <c r="B3003" s="5" t="s">
        <v>142</v>
      </c>
      <c r="C3003" s="5">
        <v>8</v>
      </c>
      <c r="D3003" s="5" t="s">
        <v>82</v>
      </c>
      <c r="E3003" s="5">
        <v>2023</v>
      </c>
      <c r="F3003" s="5">
        <v>12</v>
      </c>
      <c r="G3003" s="5" t="s">
        <v>57</v>
      </c>
      <c r="H3003" s="5">
        <v>4174745</v>
      </c>
      <c r="I3003" s="5">
        <v>3899476.59</v>
      </c>
      <c r="J3003" s="5">
        <v>68</v>
      </c>
      <c r="K3003" s="5">
        <v>846579</v>
      </c>
      <c r="L3003" s="5">
        <v>5005910</v>
      </c>
      <c r="M3003" s="5">
        <v>275268.40999999997</v>
      </c>
      <c r="N3003" s="5">
        <v>6.59E-2</v>
      </c>
      <c r="O3003" s="5">
        <v>10</v>
      </c>
      <c r="P3003" s="5">
        <v>301225</v>
      </c>
    </row>
    <row r="3004" spans="1:16" x14ac:dyDescent="0.3">
      <c r="A3004" s="5">
        <v>94</v>
      </c>
      <c r="B3004" s="5" t="s">
        <v>142</v>
      </c>
      <c r="C3004" s="5">
        <v>8</v>
      </c>
      <c r="D3004" s="5" t="s">
        <v>82</v>
      </c>
      <c r="E3004" s="5">
        <v>2024</v>
      </c>
      <c r="F3004" s="5">
        <v>1</v>
      </c>
      <c r="G3004" s="5" t="s">
        <v>58</v>
      </c>
      <c r="H3004" s="5">
        <v>6092146</v>
      </c>
      <c r="I3004" s="5">
        <v>5397472.3399999999</v>
      </c>
      <c r="J3004" s="5">
        <v>74</v>
      </c>
      <c r="K3004" s="5">
        <v>764066</v>
      </c>
      <c r="L3004" s="5">
        <v>6834040</v>
      </c>
      <c r="M3004" s="5">
        <v>694673.66</v>
      </c>
      <c r="N3004" s="5">
        <v>0.114</v>
      </c>
      <c r="O3004" s="5">
        <v>8</v>
      </c>
      <c r="P3004" s="5">
        <v>509881</v>
      </c>
    </row>
    <row r="3005" spans="1:16" x14ac:dyDescent="0.3">
      <c r="A3005" s="5">
        <v>95</v>
      </c>
      <c r="B3005" s="5" t="s">
        <v>142</v>
      </c>
      <c r="C3005" s="5">
        <v>8</v>
      </c>
      <c r="D3005" s="5" t="s">
        <v>82</v>
      </c>
      <c r="E3005" s="5">
        <v>2024</v>
      </c>
      <c r="F3005" s="5">
        <v>1</v>
      </c>
      <c r="G3005" s="5" t="s">
        <v>58</v>
      </c>
      <c r="H3005" s="5">
        <v>1799295</v>
      </c>
      <c r="I3005" s="5">
        <v>1568510.25</v>
      </c>
      <c r="J3005" s="5">
        <v>31</v>
      </c>
      <c r="K3005" s="5">
        <v>247256</v>
      </c>
      <c r="L3005" s="5">
        <v>2044670</v>
      </c>
      <c r="M3005" s="5">
        <v>230784.75</v>
      </c>
      <c r="N3005" s="5">
        <v>0.1283</v>
      </c>
      <c r="O3005" s="5">
        <v>2</v>
      </c>
      <c r="P3005" s="5">
        <v>56982</v>
      </c>
    </row>
    <row r="3006" spans="1:16" x14ac:dyDescent="0.3">
      <c r="A3006" s="5">
        <v>94</v>
      </c>
      <c r="B3006" s="5" t="s">
        <v>142</v>
      </c>
      <c r="C3006" s="5">
        <v>8</v>
      </c>
      <c r="D3006" s="5" t="s">
        <v>82</v>
      </c>
      <c r="E3006" s="5">
        <v>2024</v>
      </c>
      <c r="F3006" s="5">
        <v>2</v>
      </c>
      <c r="G3006" s="5" t="s">
        <v>59</v>
      </c>
      <c r="H3006" s="5">
        <v>3080960</v>
      </c>
      <c r="I3006" s="5">
        <v>2572513.0699999998</v>
      </c>
      <c r="J3006" s="5">
        <v>50</v>
      </c>
      <c r="K3006" s="5">
        <v>254351</v>
      </c>
      <c r="L3006" s="5">
        <v>3316040</v>
      </c>
      <c r="M3006" s="5">
        <v>508446.93</v>
      </c>
      <c r="N3006" s="5">
        <v>0.16500000000000001</v>
      </c>
      <c r="O3006" s="5">
        <v>3</v>
      </c>
      <c r="P3006" s="5">
        <v>33486</v>
      </c>
    </row>
    <row r="3007" spans="1:16" x14ac:dyDescent="0.3">
      <c r="A3007" s="5">
        <v>95</v>
      </c>
      <c r="B3007" s="5" t="s">
        <v>142</v>
      </c>
      <c r="C3007" s="5">
        <v>8</v>
      </c>
      <c r="D3007" s="5" t="s">
        <v>82</v>
      </c>
      <c r="E3007" s="5">
        <v>2024</v>
      </c>
      <c r="F3007" s="5">
        <v>2</v>
      </c>
      <c r="G3007" s="5" t="s">
        <v>59</v>
      </c>
      <c r="H3007" s="5">
        <v>2593424</v>
      </c>
      <c r="I3007" s="5">
        <v>2242756.2999999998</v>
      </c>
      <c r="J3007" s="5">
        <v>39</v>
      </c>
      <c r="K3007" s="5">
        <v>271979</v>
      </c>
      <c r="L3007" s="5">
        <v>2857610</v>
      </c>
      <c r="M3007" s="5">
        <v>350667.7</v>
      </c>
      <c r="N3007" s="5">
        <v>0.13519999999999999</v>
      </c>
      <c r="O3007" s="5">
        <v>3</v>
      </c>
      <c r="P3007" s="5">
        <v>94421</v>
      </c>
    </row>
    <row r="3008" spans="1:16" x14ac:dyDescent="0.3">
      <c r="A3008" s="5">
        <v>94</v>
      </c>
      <c r="B3008" s="5" t="s">
        <v>142</v>
      </c>
      <c r="C3008" s="5">
        <v>8</v>
      </c>
      <c r="D3008" s="5" t="s">
        <v>82</v>
      </c>
      <c r="E3008" s="5">
        <v>2024</v>
      </c>
      <c r="F3008" s="5">
        <v>3</v>
      </c>
      <c r="G3008" s="5" t="s">
        <v>60</v>
      </c>
      <c r="H3008" s="5">
        <v>4348065</v>
      </c>
      <c r="I3008" s="5">
        <v>3726192.54</v>
      </c>
      <c r="J3008" s="5">
        <v>68</v>
      </c>
      <c r="K3008" s="5">
        <v>493482</v>
      </c>
      <c r="L3008" s="5">
        <v>4828550</v>
      </c>
      <c r="M3008" s="5">
        <v>621872.46</v>
      </c>
      <c r="N3008" s="5">
        <v>0.14299999999999999</v>
      </c>
      <c r="O3008" s="5">
        <v>6</v>
      </c>
      <c r="P3008" s="5">
        <v>144701</v>
      </c>
    </row>
    <row r="3009" spans="1:16" x14ac:dyDescent="0.3">
      <c r="A3009" s="5">
        <v>95</v>
      </c>
      <c r="B3009" s="5" t="s">
        <v>142</v>
      </c>
      <c r="C3009" s="5">
        <v>8</v>
      </c>
      <c r="D3009" s="5" t="s">
        <v>82</v>
      </c>
      <c r="E3009" s="5">
        <v>2024</v>
      </c>
      <c r="F3009" s="5">
        <v>3</v>
      </c>
      <c r="G3009" s="5" t="s">
        <v>60</v>
      </c>
      <c r="H3009" s="5">
        <v>1626315</v>
      </c>
      <c r="I3009" s="5">
        <v>1484368.36</v>
      </c>
      <c r="J3009" s="5">
        <v>30</v>
      </c>
      <c r="K3009" s="5">
        <v>276649</v>
      </c>
      <c r="L3009" s="5">
        <v>1899690</v>
      </c>
      <c r="M3009" s="5">
        <v>141946.64000000001</v>
      </c>
      <c r="N3009" s="5">
        <v>8.7300000000000003E-2</v>
      </c>
      <c r="O3009" s="5">
        <v>2</v>
      </c>
      <c r="P3009" s="5">
        <v>56893</v>
      </c>
    </row>
    <row r="3010" spans="1:16" x14ac:dyDescent="0.3">
      <c r="A3010" s="5">
        <v>94</v>
      </c>
      <c r="B3010" s="5" t="s">
        <v>142</v>
      </c>
      <c r="C3010" s="5">
        <v>8</v>
      </c>
      <c r="D3010" s="5" t="s">
        <v>82</v>
      </c>
      <c r="E3010" s="5">
        <v>2024</v>
      </c>
      <c r="F3010" s="5">
        <v>4</v>
      </c>
      <c r="G3010" s="5" t="s">
        <v>61</v>
      </c>
      <c r="H3010" s="5">
        <v>5283803</v>
      </c>
      <c r="I3010" s="5">
        <v>4440820.37</v>
      </c>
      <c r="J3010" s="5">
        <v>74</v>
      </c>
      <c r="K3010" s="5">
        <v>470907</v>
      </c>
      <c r="L3010" s="5">
        <v>5727230</v>
      </c>
      <c r="M3010" s="5">
        <v>842982.63</v>
      </c>
      <c r="N3010" s="5">
        <v>0.1595</v>
      </c>
      <c r="O3010" s="5">
        <v>2</v>
      </c>
      <c r="P3010" s="5">
        <v>55287</v>
      </c>
    </row>
    <row r="3011" spans="1:16" x14ac:dyDescent="0.3">
      <c r="A3011" s="5">
        <v>95</v>
      </c>
      <c r="B3011" s="5" t="s">
        <v>142</v>
      </c>
      <c r="C3011" s="5">
        <v>8</v>
      </c>
      <c r="D3011" s="5" t="s">
        <v>82</v>
      </c>
      <c r="E3011" s="5">
        <v>2024</v>
      </c>
      <c r="F3011" s="5">
        <v>4</v>
      </c>
      <c r="G3011" s="5" t="s">
        <v>61</v>
      </c>
      <c r="H3011" s="5">
        <v>3090553</v>
      </c>
      <c r="I3011" s="5">
        <v>2620249.08</v>
      </c>
      <c r="J3011" s="5">
        <v>43</v>
      </c>
      <c r="K3011" s="5">
        <v>277558</v>
      </c>
      <c r="L3011" s="5">
        <v>3353200</v>
      </c>
      <c r="M3011" s="5">
        <v>470303.92</v>
      </c>
      <c r="N3011" s="5">
        <v>0.1522</v>
      </c>
      <c r="O3011" s="5">
        <v>1</v>
      </c>
      <c r="P3011" s="5">
        <v>17733</v>
      </c>
    </row>
    <row r="3012" spans="1:16" x14ac:dyDescent="0.3">
      <c r="A3012" s="5">
        <v>94</v>
      </c>
      <c r="B3012" s="5" t="s">
        <v>142</v>
      </c>
      <c r="C3012" s="5">
        <v>8</v>
      </c>
      <c r="D3012" s="5" t="s">
        <v>82</v>
      </c>
      <c r="E3012" s="5">
        <v>2024</v>
      </c>
      <c r="F3012" s="5">
        <v>5</v>
      </c>
      <c r="G3012" s="5" t="s">
        <v>62</v>
      </c>
      <c r="H3012" s="5">
        <v>5415582</v>
      </c>
      <c r="I3012" s="5">
        <v>4699559.49</v>
      </c>
      <c r="J3012" s="5">
        <v>98</v>
      </c>
      <c r="K3012" s="5">
        <v>758061</v>
      </c>
      <c r="L3012" s="5">
        <v>6153650</v>
      </c>
      <c r="M3012" s="5">
        <v>716022.51</v>
      </c>
      <c r="N3012" s="5">
        <v>0.13220000000000001</v>
      </c>
      <c r="O3012" s="5">
        <v>6</v>
      </c>
      <c r="P3012" s="5">
        <v>57053</v>
      </c>
    </row>
    <row r="3013" spans="1:16" x14ac:dyDescent="0.3">
      <c r="A3013" s="5">
        <v>95</v>
      </c>
      <c r="B3013" s="5" t="s">
        <v>142</v>
      </c>
      <c r="C3013" s="5">
        <v>8</v>
      </c>
      <c r="D3013" s="5" t="s">
        <v>82</v>
      </c>
      <c r="E3013" s="5">
        <v>2024</v>
      </c>
      <c r="F3013" s="5">
        <v>5</v>
      </c>
      <c r="G3013" s="5" t="s">
        <v>62</v>
      </c>
      <c r="H3013" s="5">
        <v>3943895</v>
      </c>
      <c r="I3013" s="5">
        <v>3594635.88</v>
      </c>
      <c r="J3013" s="5">
        <v>56</v>
      </c>
      <c r="K3013" s="5">
        <v>654800</v>
      </c>
      <c r="L3013" s="5">
        <v>4594040</v>
      </c>
      <c r="M3013" s="5">
        <v>349259.12</v>
      </c>
      <c r="N3013" s="5">
        <v>8.8599999999999998E-2</v>
      </c>
      <c r="O3013" s="5">
        <v>7</v>
      </c>
      <c r="P3013" s="5">
        <v>321085</v>
      </c>
    </row>
    <row r="3014" spans="1:16" x14ac:dyDescent="0.3">
      <c r="A3014" s="5">
        <v>94</v>
      </c>
      <c r="B3014" s="5" t="s">
        <v>142</v>
      </c>
      <c r="C3014" s="5">
        <v>8</v>
      </c>
      <c r="D3014" s="5" t="s">
        <v>82</v>
      </c>
      <c r="E3014" s="5">
        <v>2024</v>
      </c>
      <c r="F3014" s="5">
        <v>6</v>
      </c>
      <c r="G3014" s="5" t="s">
        <v>63</v>
      </c>
      <c r="H3014" s="5">
        <v>6825426</v>
      </c>
      <c r="I3014" s="5">
        <v>5735865.8399999999</v>
      </c>
      <c r="J3014" s="5">
        <v>88</v>
      </c>
      <c r="K3014" s="5">
        <v>453289</v>
      </c>
      <c r="L3014" s="5">
        <v>7250170</v>
      </c>
      <c r="M3014" s="5">
        <v>1089560.1599999999</v>
      </c>
      <c r="N3014" s="5">
        <v>0.15959999999999999</v>
      </c>
      <c r="O3014" s="5">
        <v>6</v>
      </c>
      <c r="P3014" s="5">
        <v>68421</v>
      </c>
    </row>
    <row r="3015" spans="1:16" x14ac:dyDescent="0.3">
      <c r="A3015" s="5">
        <v>95</v>
      </c>
      <c r="B3015" s="5" t="s">
        <v>142</v>
      </c>
      <c r="C3015" s="5">
        <v>8</v>
      </c>
      <c r="D3015" s="5" t="s">
        <v>82</v>
      </c>
      <c r="E3015" s="5">
        <v>2024</v>
      </c>
      <c r="F3015" s="5">
        <v>6</v>
      </c>
      <c r="G3015" s="5" t="s">
        <v>63</v>
      </c>
      <c r="H3015" s="5">
        <v>3087832</v>
      </c>
      <c r="I3015" s="5">
        <v>2522345.8199999998</v>
      </c>
      <c r="J3015" s="5">
        <v>40</v>
      </c>
      <c r="K3015" s="5">
        <v>172598</v>
      </c>
      <c r="L3015" s="5">
        <v>3253090</v>
      </c>
      <c r="M3015" s="5">
        <v>565486.18000000005</v>
      </c>
      <c r="N3015" s="5">
        <v>0.18310000000000001</v>
      </c>
      <c r="O3015" s="5">
        <v>2</v>
      </c>
      <c r="P3015" s="5">
        <v>13944</v>
      </c>
    </row>
    <row r="3016" spans="1:16" x14ac:dyDescent="0.3">
      <c r="A3016" s="5">
        <v>94</v>
      </c>
      <c r="B3016" s="5" t="s">
        <v>142</v>
      </c>
      <c r="C3016" s="5">
        <v>8</v>
      </c>
      <c r="D3016" s="5" t="s">
        <v>82</v>
      </c>
      <c r="E3016" s="5">
        <v>2024</v>
      </c>
      <c r="F3016" s="5">
        <v>7</v>
      </c>
      <c r="G3016" s="5" t="s">
        <v>64</v>
      </c>
      <c r="H3016" s="5">
        <v>5026689</v>
      </c>
      <c r="I3016" s="5">
        <v>4282512.83</v>
      </c>
      <c r="J3016" s="5">
        <v>77</v>
      </c>
      <c r="K3016" s="5">
        <v>476675</v>
      </c>
      <c r="L3016" s="5">
        <v>5487570</v>
      </c>
      <c r="M3016" s="5">
        <v>744176.17</v>
      </c>
      <c r="N3016" s="5">
        <v>0.14799999999999999</v>
      </c>
      <c r="O3016" s="5">
        <v>6</v>
      </c>
      <c r="P3016" s="5">
        <v>140934</v>
      </c>
    </row>
    <row r="3017" spans="1:16" x14ac:dyDescent="0.3">
      <c r="A3017" s="5">
        <v>95</v>
      </c>
      <c r="B3017" s="5" t="s">
        <v>142</v>
      </c>
      <c r="C3017" s="5">
        <v>8</v>
      </c>
      <c r="D3017" s="5" t="s">
        <v>82</v>
      </c>
      <c r="E3017" s="5">
        <v>2024</v>
      </c>
      <c r="F3017" s="5">
        <v>7</v>
      </c>
      <c r="G3017" s="5" t="s">
        <v>64</v>
      </c>
      <c r="H3017" s="5">
        <v>2535643</v>
      </c>
      <c r="I3017" s="5">
        <v>2108472.2599999998</v>
      </c>
      <c r="J3017" s="5">
        <v>44</v>
      </c>
      <c r="K3017" s="5">
        <v>158404</v>
      </c>
      <c r="L3017" s="5">
        <v>2689010</v>
      </c>
      <c r="M3017" s="5">
        <v>427170.74</v>
      </c>
      <c r="N3017" s="5">
        <v>0.16850000000000001</v>
      </c>
      <c r="O3017" s="5">
        <v>8</v>
      </c>
      <c r="P3017" s="5">
        <v>303735</v>
      </c>
    </row>
    <row r="3018" spans="1:16" x14ac:dyDescent="0.3">
      <c r="A3018" s="5">
        <v>94</v>
      </c>
      <c r="B3018" s="5" t="s">
        <v>142</v>
      </c>
      <c r="C3018" s="5">
        <v>8</v>
      </c>
      <c r="D3018" s="5" t="s">
        <v>82</v>
      </c>
      <c r="E3018" s="5">
        <v>2024</v>
      </c>
      <c r="F3018" s="5">
        <v>8</v>
      </c>
      <c r="G3018" s="5" t="s">
        <v>65</v>
      </c>
      <c r="H3018" s="5">
        <v>5619317</v>
      </c>
      <c r="I3018" s="5">
        <v>4739871.32</v>
      </c>
      <c r="J3018" s="5">
        <v>72</v>
      </c>
      <c r="K3018" s="5">
        <v>482750</v>
      </c>
      <c r="L3018" s="5">
        <v>6084300</v>
      </c>
      <c r="M3018" s="5">
        <v>879445.68</v>
      </c>
      <c r="N3018" s="5">
        <v>0.1565</v>
      </c>
      <c r="O3018" s="5">
        <v>5</v>
      </c>
      <c r="P3018" s="5">
        <v>172380</v>
      </c>
    </row>
    <row r="3019" spans="1:16" x14ac:dyDescent="0.3">
      <c r="A3019" s="5">
        <v>95</v>
      </c>
      <c r="B3019" s="5" t="s">
        <v>142</v>
      </c>
      <c r="C3019" s="5">
        <v>8</v>
      </c>
      <c r="D3019" s="5" t="s">
        <v>82</v>
      </c>
      <c r="E3019" s="5">
        <v>2024</v>
      </c>
      <c r="F3019" s="5">
        <v>8</v>
      </c>
      <c r="G3019" s="5" t="s">
        <v>65</v>
      </c>
      <c r="H3019" s="5">
        <v>2617718</v>
      </c>
      <c r="I3019" s="5">
        <v>2226493.9700000002</v>
      </c>
      <c r="J3019" s="5">
        <v>51</v>
      </c>
      <c r="K3019" s="5">
        <v>250606</v>
      </c>
      <c r="L3019" s="5">
        <v>2857020</v>
      </c>
      <c r="M3019" s="5">
        <v>391224.03</v>
      </c>
      <c r="N3019" s="5">
        <v>0.14949999999999999</v>
      </c>
      <c r="O3019" s="5">
        <v>2</v>
      </c>
      <c r="P3019" s="5">
        <v>45512</v>
      </c>
    </row>
    <row r="3020" spans="1:16" x14ac:dyDescent="0.3">
      <c r="A3020" s="5">
        <v>94</v>
      </c>
      <c r="B3020" s="5" t="s">
        <v>142</v>
      </c>
      <c r="C3020" s="5">
        <v>8</v>
      </c>
      <c r="D3020" s="5" t="s">
        <v>82</v>
      </c>
      <c r="E3020" s="5">
        <v>2024</v>
      </c>
      <c r="F3020" s="5">
        <v>9</v>
      </c>
      <c r="G3020" s="5" t="s">
        <v>66</v>
      </c>
      <c r="H3020" s="5">
        <v>5734333</v>
      </c>
      <c r="I3020" s="5">
        <v>4744058.2</v>
      </c>
      <c r="J3020" s="5">
        <v>88</v>
      </c>
      <c r="K3020" s="5">
        <v>352046</v>
      </c>
      <c r="L3020" s="5">
        <v>6071090</v>
      </c>
      <c r="M3020" s="5">
        <v>990274.8</v>
      </c>
      <c r="N3020" s="5">
        <v>0.17269999999999999</v>
      </c>
      <c r="O3020" s="5">
        <v>8</v>
      </c>
      <c r="P3020" s="5">
        <v>507942</v>
      </c>
    </row>
    <row r="3021" spans="1:16" x14ac:dyDescent="0.3">
      <c r="A3021" s="5">
        <v>95</v>
      </c>
      <c r="B3021" s="5" t="s">
        <v>142</v>
      </c>
      <c r="C3021" s="5">
        <v>8</v>
      </c>
      <c r="D3021" s="5" t="s">
        <v>82</v>
      </c>
      <c r="E3021" s="5">
        <v>2024</v>
      </c>
      <c r="F3021" s="5">
        <v>9</v>
      </c>
      <c r="G3021" s="5" t="s">
        <v>66</v>
      </c>
      <c r="H3021" s="5">
        <v>4040913</v>
      </c>
      <c r="I3021" s="5">
        <v>3290397.27</v>
      </c>
      <c r="J3021" s="5">
        <v>64</v>
      </c>
      <c r="K3021" s="5">
        <v>215288</v>
      </c>
      <c r="L3021" s="5">
        <v>4237280</v>
      </c>
      <c r="M3021" s="5">
        <v>750515.73</v>
      </c>
      <c r="N3021" s="5">
        <v>0.1857</v>
      </c>
      <c r="O3021" s="5">
        <v>4</v>
      </c>
      <c r="P3021" s="5">
        <v>93067</v>
      </c>
    </row>
    <row r="3022" spans="1:16" x14ac:dyDescent="0.3">
      <c r="A3022" s="5">
        <v>94</v>
      </c>
      <c r="B3022" s="5" t="s">
        <v>142</v>
      </c>
      <c r="C3022" s="5">
        <v>8</v>
      </c>
      <c r="D3022" s="5" t="s">
        <v>82</v>
      </c>
      <c r="E3022" s="5">
        <v>2024</v>
      </c>
      <c r="F3022" s="5">
        <v>10</v>
      </c>
      <c r="G3022" s="5" t="s">
        <v>67</v>
      </c>
      <c r="H3022" s="5">
        <v>6752891</v>
      </c>
      <c r="I3022" s="5">
        <v>5455876.7599999998</v>
      </c>
      <c r="J3022" s="5">
        <v>110</v>
      </c>
      <c r="K3022" s="5">
        <v>304512</v>
      </c>
      <c r="L3022" s="5">
        <v>7047890</v>
      </c>
      <c r="M3022" s="5">
        <v>1297014.24</v>
      </c>
      <c r="N3022" s="5">
        <v>0.19209999999999999</v>
      </c>
      <c r="O3022" s="5">
        <v>13</v>
      </c>
      <c r="P3022" s="5">
        <v>345749</v>
      </c>
    </row>
    <row r="3023" spans="1:16" x14ac:dyDescent="0.3">
      <c r="A3023" s="5">
        <v>95</v>
      </c>
      <c r="B3023" s="5" t="s">
        <v>142</v>
      </c>
      <c r="C3023" s="5">
        <v>8</v>
      </c>
      <c r="D3023" s="5" t="s">
        <v>82</v>
      </c>
      <c r="E3023" s="5">
        <v>2024</v>
      </c>
      <c r="F3023" s="5">
        <v>10</v>
      </c>
      <c r="G3023" s="5" t="s">
        <v>67</v>
      </c>
      <c r="H3023" s="5">
        <v>4759106</v>
      </c>
      <c r="I3023" s="5">
        <v>3771449.91</v>
      </c>
      <c r="J3023" s="5">
        <v>58</v>
      </c>
      <c r="K3023" s="5">
        <v>156946</v>
      </c>
      <c r="L3023" s="5">
        <v>4900060</v>
      </c>
      <c r="M3023" s="5">
        <v>987656.09</v>
      </c>
      <c r="N3023" s="5">
        <v>0.20749999999999999</v>
      </c>
      <c r="O3023" s="5">
        <v>9</v>
      </c>
      <c r="P3023" s="5">
        <v>216444</v>
      </c>
    </row>
    <row r="3024" spans="1:16" x14ac:dyDescent="0.3">
      <c r="A3024" s="5">
        <v>94</v>
      </c>
      <c r="B3024" s="5" t="s">
        <v>142</v>
      </c>
      <c r="C3024" s="5">
        <v>8</v>
      </c>
      <c r="D3024" s="5" t="s">
        <v>82</v>
      </c>
      <c r="E3024" s="5">
        <v>2024</v>
      </c>
      <c r="F3024" s="5">
        <v>11</v>
      </c>
      <c r="G3024" s="5" t="s">
        <v>68</v>
      </c>
      <c r="H3024" s="5">
        <v>7879332</v>
      </c>
      <c r="I3024" s="5">
        <v>6559703.8700000001</v>
      </c>
      <c r="J3024" s="5">
        <v>115</v>
      </c>
      <c r="K3024" s="5">
        <v>696198</v>
      </c>
      <c r="L3024" s="5">
        <v>8527380</v>
      </c>
      <c r="M3024" s="5">
        <v>1319628.1299999999</v>
      </c>
      <c r="N3024" s="5">
        <v>0.16750000000000001</v>
      </c>
      <c r="O3024" s="5">
        <v>12</v>
      </c>
      <c r="P3024" s="5">
        <v>468154</v>
      </c>
    </row>
    <row r="3025" spans="1:16" x14ac:dyDescent="0.3">
      <c r="A3025" s="5">
        <v>95</v>
      </c>
      <c r="B3025" s="5" t="s">
        <v>142</v>
      </c>
      <c r="C3025" s="5">
        <v>8</v>
      </c>
      <c r="D3025" s="5" t="s">
        <v>82</v>
      </c>
      <c r="E3025" s="5">
        <v>2024</v>
      </c>
      <c r="F3025" s="5">
        <v>11</v>
      </c>
      <c r="G3025" s="5" t="s">
        <v>68</v>
      </c>
      <c r="H3025" s="5">
        <v>5644035</v>
      </c>
      <c r="I3025" s="5">
        <v>4947805.8099999996</v>
      </c>
      <c r="J3025" s="5">
        <v>75</v>
      </c>
      <c r="K3025" s="5">
        <v>575627</v>
      </c>
      <c r="L3025" s="5">
        <v>6207240</v>
      </c>
      <c r="M3025" s="5">
        <v>696229.19</v>
      </c>
      <c r="N3025" s="5">
        <v>0.1234</v>
      </c>
      <c r="O3025" s="5">
        <v>10</v>
      </c>
      <c r="P3025" s="5">
        <v>408443</v>
      </c>
    </row>
    <row r="3026" spans="1:16" x14ac:dyDescent="0.3">
      <c r="A3026" s="5">
        <v>94</v>
      </c>
      <c r="B3026" s="5" t="s">
        <v>142</v>
      </c>
      <c r="C3026" s="5">
        <v>8</v>
      </c>
      <c r="D3026" s="5" t="s">
        <v>82</v>
      </c>
      <c r="E3026" s="5">
        <v>2024</v>
      </c>
      <c r="F3026" s="5">
        <v>12</v>
      </c>
      <c r="G3026" s="5" t="s">
        <v>69</v>
      </c>
      <c r="H3026" s="5">
        <v>8140700</v>
      </c>
      <c r="I3026" s="5">
        <v>6555604.5099999998</v>
      </c>
      <c r="J3026" s="5">
        <v>123</v>
      </c>
      <c r="K3026" s="5">
        <v>250663</v>
      </c>
      <c r="L3026" s="5">
        <v>8352390</v>
      </c>
      <c r="M3026" s="5">
        <v>1585095.49</v>
      </c>
      <c r="N3026" s="5">
        <v>0.19470000000000001</v>
      </c>
      <c r="O3026" s="5">
        <v>5</v>
      </c>
      <c r="P3026" s="5">
        <v>122762</v>
      </c>
    </row>
    <row r="3027" spans="1:16" x14ac:dyDescent="0.3">
      <c r="A3027" s="5">
        <v>95</v>
      </c>
      <c r="B3027" s="5" t="s">
        <v>142</v>
      </c>
      <c r="C3027" s="5">
        <v>8</v>
      </c>
      <c r="D3027" s="5" t="s">
        <v>82</v>
      </c>
      <c r="E3027" s="5">
        <v>2024</v>
      </c>
      <c r="F3027" s="5">
        <v>12</v>
      </c>
      <c r="G3027" s="5" t="s">
        <v>69</v>
      </c>
      <c r="H3027" s="5">
        <v>5070627</v>
      </c>
      <c r="I3027" s="5">
        <v>4125791.99</v>
      </c>
      <c r="J3027" s="5">
        <v>55</v>
      </c>
      <c r="K3027" s="5">
        <v>198477</v>
      </c>
      <c r="L3027" s="5">
        <v>5259680</v>
      </c>
      <c r="M3027" s="5">
        <v>944835.01</v>
      </c>
      <c r="N3027" s="5">
        <v>0.18629999999999999</v>
      </c>
      <c r="O3027" s="5">
        <v>4</v>
      </c>
      <c r="P3027" s="5">
        <v>149971</v>
      </c>
    </row>
    <row r="3028" spans="1:16" x14ac:dyDescent="0.3">
      <c r="A3028" s="5">
        <v>102</v>
      </c>
      <c r="B3028" s="5" t="s">
        <v>143</v>
      </c>
      <c r="C3028" s="5">
        <v>2</v>
      </c>
      <c r="D3028" s="5" t="s">
        <v>88</v>
      </c>
      <c r="E3028" s="5">
        <v>2021</v>
      </c>
      <c r="F3028" s="5">
        <v>1</v>
      </c>
      <c r="G3028" s="5" t="s">
        <v>22</v>
      </c>
      <c r="H3028" s="5">
        <v>704881</v>
      </c>
      <c r="I3028" s="5">
        <v>648613.68000000005</v>
      </c>
      <c r="J3028" s="5">
        <v>12</v>
      </c>
      <c r="K3028" s="5">
        <v>132715</v>
      </c>
      <c r="L3028" s="5">
        <v>833380</v>
      </c>
      <c r="M3028" s="5">
        <v>56267.32</v>
      </c>
      <c r="N3028" s="5">
        <v>7.9799999999999996E-2</v>
      </c>
      <c r="O3028" s="5">
        <v>0</v>
      </c>
      <c r="P3028" s="5">
        <v>0</v>
      </c>
    </row>
    <row r="3029" spans="1:16" x14ac:dyDescent="0.3">
      <c r="A3029" s="5">
        <v>102</v>
      </c>
      <c r="B3029" s="5" t="s">
        <v>143</v>
      </c>
      <c r="C3029" s="5">
        <v>2</v>
      </c>
      <c r="D3029" s="5" t="s">
        <v>88</v>
      </c>
      <c r="E3029" s="5">
        <v>2021</v>
      </c>
      <c r="F3029" s="5">
        <v>2</v>
      </c>
      <c r="G3029" s="5" t="s">
        <v>23</v>
      </c>
      <c r="H3029" s="5">
        <v>52891</v>
      </c>
      <c r="I3029" s="5">
        <v>42303.06</v>
      </c>
      <c r="J3029" s="5">
        <v>5</v>
      </c>
      <c r="K3029" s="5">
        <v>5887</v>
      </c>
      <c r="L3029" s="5">
        <v>58730</v>
      </c>
      <c r="M3029" s="5">
        <v>10587.94</v>
      </c>
      <c r="N3029" s="5">
        <v>0.20019999999999999</v>
      </c>
      <c r="O3029" s="5">
        <v>0</v>
      </c>
      <c r="P3029" s="5">
        <v>0</v>
      </c>
    </row>
    <row r="3030" spans="1:16" x14ac:dyDescent="0.3">
      <c r="A3030" s="5">
        <v>102</v>
      </c>
      <c r="B3030" s="5" t="s">
        <v>143</v>
      </c>
      <c r="C3030" s="5">
        <v>2</v>
      </c>
      <c r="D3030" s="5" t="s">
        <v>88</v>
      </c>
      <c r="E3030" s="5">
        <v>2021</v>
      </c>
      <c r="F3030" s="5">
        <v>3</v>
      </c>
      <c r="G3030" s="5" t="s">
        <v>24</v>
      </c>
      <c r="H3030" s="5">
        <v>230821</v>
      </c>
      <c r="I3030" s="5">
        <v>216174.92</v>
      </c>
      <c r="J3030" s="5">
        <v>5</v>
      </c>
      <c r="K3030" s="5">
        <v>44636</v>
      </c>
      <c r="L3030" s="5">
        <v>275370</v>
      </c>
      <c r="M3030" s="5">
        <v>14646.08</v>
      </c>
      <c r="N3030" s="5">
        <v>6.3500000000000001E-2</v>
      </c>
      <c r="O3030" s="5">
        <v>0</v>
      </c>
      <c r="P3030" s="5">
        <v>0</v>
      </c>
    </row>
    <row r="3031" spans="1:16" x14ac:dyDescent="0.3">
      <c r="A3031" s="5">
        <v>102</v>
      </c>
      <c r="B3031" s="5" t="s">
        <v>143</v>
      </c>
      <c r="C3031" s="5">
        <v>2</v>
      </c>
      <c r="D3031" s="5" t="s">
        <v>88</v>
      </c>
      <c r="E3031" s="5">
        <v>2021</v>
      </c>
      <c r="F3031" s="5">
        <v>4</v>
      </c>
      <c r="G3031" s="5" t="s">
        <v>25</v>
      </c>
      <c r="H3031" s="5">
        <v>524291</v>
      </c>
      <c r="I3031" s="5">
        <v>517658.82</v>
      </c>
      <c r="J3031" s="5">
        <v>8</v>
      </c>
      <c r="K3031" s="5">
        <v>122237</v>
      </c>
      <c r="L3031" s="5">
        <v>646320</v>
      </c>
      <c r="M3031" s="5">
        <v>6632.18</v>
      </c>
      <c r="N3031" s="5">
        <v>1.26E-2</v>
      </c>
      <c r="O3031" s="5">
        <v>1</v>
      </c>
      <c r="P3031" s="5">
        <v>1062</v>
      </c>
    </row>
    <row r="3032" spans="1:16" x14ac:dyDescent="0.3">
      <c r="A3032" s="5">
        <v>102</v>
      </c>
      <c r="B3032" s="5" t="s">
        <v>143</v>
      </c>
      <c r="C3032" s="5">
        <v>2</v>
      </c>
      <c r="D3032" s="5" t="s">
        <v>88</v>
      </c>
      <c r="E3032" s="5">
        <v>2021</v>
      </c>
      <c r="F3032" s="5">
        <v>5</v>
      </c>
      <c r="G3032" s="5" t="s">
        <v>26</v>
      </c>
      <c r="H3032" s="5">
        <v>337887</v>
      </c>
      <c r="I3032" s="5">
        <v>252705.71</v>
      </c>
      <c r="J3032" s="5">
        <v>4</v>
      </c>
      <c r="K3032" s="5">
        <v>199</v>
      </c>
      <c r="L3032" s="5">
        <v>331980</v>
      </c>
      <c r="M3032" s="5">
        <v>85181.29</v>
      </c>
      <c r="N3032" s="5">
        <v>0.25209999999999999</v>
      </c>
      <c r="O3032" s="5">
        <v>0</v>
      </c>
      <c r="P3032" s="5">
        <v>0</v>
      </c>
    </row>
    <row r="3033" spans="1:16" x14ac:dyDescent="0.3">
      <c r="A3033" s="5">
        <v>102</v>
      </c>
      <c r="B3033" s="5" t="s">
        <v>143</v>
      </c>
      <c r="C3033" s="5">
        <v>2</v>
      </c>
      <c r="D3033" s="5" t="s">
        <v>88</v>
      </c>
      <c r="E3033" s="5">
        <v>2021</v>
      </c>
      <c r="F3033" s="5">
        <v>6</v>
      </c>
      <c r="G3033" s="5" t="s">
        <v>27</v>
      </c>
      <c r="H3033" s="5">
        <v>667860</v>
      </c>
      <c r="I3033" s="5">
        <v>588241.31999999995</v>
      </c>
      <c r="J3033" s="5">
        <v>9</v>
      </c>
      <c r="K3033" s="5">
        <v>89257</v>
      </c>
      <c r="L3033" s="5">
        <v>755550</v>
      </c>
      <c r="M3033" s="5">
        <v>79618.679999999993</v>
      </c>
      <c r="N3033" s="5">
        <v>0.1192</v>
      </c>
      <c r="O3033" s="5">
        <v>0</v>
      </c>
      <c r="P3033" s="5">
        <v>0</v>
      </c>
    </row>
    <row r="3034" spans="1:16" x14ac:dyDescent="0.3">
      <c r="A3034" s="5">
        <v>102</v>
      </c>
      <c r="B3034" s="5" t="s">
        <v>143</v>
      </c>
      <c r="C3034" s="5">
        <v>2</v>
      </c>
      <c r="D3034" s="5" t="s">
        <v>88</v>
      </c>
      <c r="E3034" s="5">
        <v>2021</v>
      </c>
      <c r="F3034" s="5">
        <v>7</v>
      </c>
      <c r="G3034" s="5" t="s">
        <v>28</v>
      </c>
      <c r="H3034" s="5">
        <v>282812</v>
      </c>
      <c r="I3034" s="5">
        <v>236287.48</v>
      </c>
      <c r="J3034" s="5">
        <v>6</v>
      </c>
      <c r="K3034" s="5">
        <v>28194</v>
      </c>
      <c r="L3034" s="5">
        <v>309920</v>
      </c>
      <c r="M3034" s="5">
        <v>46524.52</v>
      </c>
      <c r="N3034" s="5">
        <v>0.16450000000000001</v>
      </c>
      <c r="O3034" s="5">
        <v>0</v>
      </c>
      <c r="P3034" s="5">
        <v>0</v>
      </c>
    </row>
    <row r="3035" spans="1:16" x14ac:dyDescent="0.3">
      <c r="A3035" s="5">
        <v>102</v>
      </c>
      <c r="B3035" s="5" t="s">
        <v>143</v>
      </c>
      <c r="C3035" s="5">
        <v>2</v>
      </c>
      <c r="D3035" s="5" t="s">
        <v>88</v>
      </c>
      <c r="E3035" s="5">
        <v>2021</v>
      </c>
      <c r="F3035" s="5">
        <v>8</v>
      </c>
      <c r="G3035" s="5" t="s">
        <v>29</v>
      </c>
      <c r="H3035" s="5">
        <v>463405</v>
      </c>
      <c r="I3035" s="5">
        <v>355791.82</v>
      </c>
      <c r="J3035" s="5">
        <v>9</v>
      </c>
      <c r="K3035" s="5">
        <v>24287</v>
      </c>
      <c r="L3035" s="5">
        <v>487450</v>
      </c>
      <c r="M3035" s="5">
        <v>107613.18</v>
      </c>
      <c r="N3035" s="5">
        <v>0.23219999999999999</v>
      </c>
      <c r="O3035" s="5">
        <v>1</v>
      </c>
      <c r="P3035" s="5">
        <v>19109</v>
      </c>
    </row>
    <row r="3036" spans="1:16" x14ac:dyDescent="0.3">
      <c r="A3036" s="5">
        <v>102</v>
      </c>
      <c r="B3036" s="5" t="s">
        <v>143</v>
      </c>
      <c r="C3036" s="5">
        <v>2</v>
      </c>
      <c r="D3036" s="5" t="s">
        <v>88</v>
      </c>
      <c r="E3036" s="5">
        <v>2021</v>
      </c>
      <c r="F3036" s="5">
        <v>9</v>
      </c>
      <c r="G3036" s="5" t="s">
        <v>30</v>
      </c>
      <c r="H3036" s="5">
        <v>327571</v>
      </c>
      <c r="I3036" s="5">
        <v>299665.09999999998</v>
      </c>
      <c r="J3036" s="5">
        <v>10</v>
      </c>
      <c r="K3036" s="5">
        <v>52915</v>
      </c>
      <c r="L3036" s="5">
        <v>378760</v>
      </c>
      <c r="M3036" s="5">
        <v>27905.9</v>
      </c>
      <c r="N3036" s="5">
        <v>8.5199999999999998E-2</v>
      </c>
      <c r="O3036" s="5">
        <v>0</v>
      </c>
      <c r="P3036" s="5">
        <v>0</v>
      </c>
    </row>
    <row r="3037" spans="1:16" x14ac:dyDescent="0.3">
      <c r="A3037" s="5">
        <v>102</v>
      </c>
      <c r="B3037" s="5" t="s">
        <v>143</v>
      </c>
      <c r="C3037" s="5">
        <v>2</v>
      </c>
      <c r="D3037" s="5" t="s">
        <v>88</v>
      </c>
      <c r="E3037" s="5">
        <v>2021</v>
      </c>
      <c r="F3037" s="5">
        <v>10</v>
      </c>
      <c r="G3037" s="5" t="s">
        <v>31</v>
      </c>
      <c r="H3037" s="5">
        <v>1017216</v>
      </c>
      <c r="I3037" s="5">
        <v>849691.69</v>
      </c>
      <c r="J3037" s="5">
        <v>12</v>
      </c>
      <c r="K3037" s="5">
        <v>88408</v>
      </c>
      <c r="L3037" s="5">
        <v>1099470</v>
      </c>
      <c r="M3037" s="5">
        <v>167524.31</v>
      </c>
      <c r="N3037" s="5">
        <v>0.16470000000000001</v>
      </c>
      <c r="O3037" s="5">
        <v>0</v>
      </c>
      <c r="P3037" s="5">
        <v>0</v>
      </c>
    </row>
    <row r="3038" spans="1:16" x14ac:dyDescent="0.3">
      <c r="A3038" s="5">
        <v>102</v>
      </c>
      <c r="B3038" s="5" t="s">
        <v>143</v>
      </c>
      <c r="C3038" s="5">
        <v>2</v>
      </c>
      <c r="D3038" s="5" t="s">
        <v>88</v>
      </c>
      <c r="E3038" s="5">
        <v>2021</v>
      </c>
      <c r="F3038" s="5">
        <v>11</v>
      </c>
      <c r="G3038" s="5" t="s">
        <v>32</v>
      </c>
      <c r="H3038" s="5">
        <v>1206984</v>
      </c>
      <c r="I3038" s="5">
        <v>1002327.32</v>
      </c>
      <c r="J3038" s="5">
        <v>16</v>
      </c>
      <c r="K3038" s="5">
        <v>89659</v>
      </c>
      <c r="L3038" s="5">
        <v>1294250</v>
      </c>
      <c r="M3038" s="5">
        <v>204656.68</v>
      </c>
      <c r="N3038" s="5">
        <v>0.1696</v>
      </c>
      <c r="O3038" s="5">
        <v>0</v>
      </c>
      <c r="P3038" s="5">
        <v>0</v>
      </c>
    </row>
    <row r="3039" spans="1:16" x14ac:dyDescent="0.3">
      <c r="A3039" s="5">
        <v>102</v>
      </c>
      <c r="B3039" s="5" t="s">
        <v>143</v>
      </c>
      <c r="C3039" s="5">
        <v>2</v>
      </c>
      <c r="D3039" s="5" t="s">
        <v>88</v>
      </c>
      <c r="E3039" s="5">
        <v>2021</v>
      </c>
      <c r="F3039" s="5">
        <v>12</v>
      </c>
      <c r="G3039" s="5" t="s">
        <v>33</v>
      </c>
      <c r="H3039" s="5">
        <v>451258</v>
      </c>
      <c r="I3039" s="5">
        <v>391980.84</v>
      </c>
      <c r="J3039" s="5">
        <v>8</v>
      </c>
      <c r="K3039" s="5">
        <v>50679</v>
      </c>
      <c r="L3039" s="5">
        <v>501780</v>
      </c>
      <c r="M3039" s="5">
        <v>59277.16</v>
      </c>
      <c r="N3039" s="5">
        <v>0.13139999999999999</v>
      </c>
      <c r="O3039" s="5">
        <v>0</v>
      </c>
      <c r="P3039" s="5">
        <v>0</v>
      </c>
    </row>
    <row r="3040" spans="1:16" x14ac:dyDescent="0.3">
      <c r="A3040" s="5">
        <v>102</v>
      </c>
      <c r="B3040" s="5" t="s">
        <v>143</v>
      </c>
      <c r="C3040" s="5">
        <v>2</v>
      </c>
      <c r="D3040" s="5" t="s">
        <v>88</v>
      </c>
      <c r="E3040" s="5">
        <v>2022</v>
      </c>
      <c r="F3040" s="5">
        <v>1</v>
      </c>
      <c r="G3040" s="5" t="s">
        <v>34</v>
      </c>
      <c r="H3040" s="5">
        <v>662749</v>
      </c>
      <c r="I3040" s="5">
        <v>520238.94</v>
      </c>
      <c r="J3040" s="5">
        <v>11</v>
      </c>
      <c r="K3040" s="5">
        <v>5010</v>
      </c>
      <c r="L3040" s="5">
        <v>659360</v>
      </c>
      <c r="M3040" s="5">
        <v>142510.06</v>
      </c>
      <c r="N3040" s="5">
        <v>0.215</v>
      </c>
      <c r="O3040" s="5">
        <v>0</v>
      </c>
      <c r="P3040" s="5">
        <v>0</v>
      </c>
    </row>
    <row r="3041" spans="1:16" x14ac:dyDescent="0.3">
      <c r="A3041" s="5">
        <v>102</v>
      </c>
      <c r="B3041" s="5" t="s">
        <v>143</v>
      </c>
      <c r="C3041" s="5">
        <v>2</v>
      </c>
      <c r="D3041" s="5" t="s">
        <v>88</v>
      </c>
      <c r="E3041" s="5">
        <v>2022</v>
      </c>
      <c r="F3041" s="5">
        <v>2</v>
      </c>
      <c r="G3041" s="5" t="s">
        <v>35</v>
      </c>
      <c r="H3041" s="5">
        <v>263055</v>
      </c>
      <c r="I3041" s="5">
        <v>209822.76</v>
      </c>
      <c r="J3041" s="5">
        <v>5</v>
      </c>
      <c r="K3041" s="5">
        <v>12316</v>
      </c>
      <c r="L3041" s="5">
        <v>274540</v>
      </c>
      <c r="M3041" s="5">
        <v>53232.24</v>
      </c>
      <c r="N3041" s="5">
        <v>0.2024</v>
      </c>
      <c r="O3041" s="5">
        <v>0</v>
      </c>
      <c r="P3041" s="5">
        <v>0</v>
      </c>
    </row>
    <row r="3042" spans="1:16" x14ac:dyDescent="0.3">
      <c r="A3042" s="5">
        <v>102</v>
      </c>
      <c r="B3042" s="5" t="s">
        <v>143</v>
      </c>
      <c r="C3042" s="5">
        <v>2</v>
      </c>
      <c r="D3042" s="5" t="s">
        <v>88</v>
      </c>
      <c r="E3042" s="5">
        <v>2022</v>
      </c>
      <c r="F3042" s="5">
        <v>3</v>
      </c>
      <c r="G3042" s="5" t="s">
        <v>36</v>
      </c>
      <c r="H3042" s="5">
        <v>1486497</v>
      </c>
      <c r="I3042" s="5">
        <v>1217701.44</v>
      </c>
      <c r="J3042" s="5">
        <v>15</v>
      </c>
      <c r="K3042" s="5">
        <v>117596</v>
      </c>
      <c r="L3042" s="5">
        <v>1601680</v>
      </c>
      <c r="M3042" s="5">
        <v>268795.56</v>
      </c>
      <c r="N3042" s="5">
        <v>0.18079999999999999</v>
      </c>
      <c r="O3042" s="5">
        <v>0</v>
      </c>
      <c r="P3042" s="5">
        <v>0</v>
      </c>
    </row>
    <row r="3043" spans="1:16" x14ac:dyDescent="0.3">
      <c r="A3043" s="5">
        <v>102</v>
      </c>
      <c r="B3043" s="5" t="s">
        <v>143</v>
      </c>
      <c r="C3043" s="5">
        <v>2</v>
      </c>
      <c r="D3043" s="5" t="s">
        <v>88</v>
      </c>
      <c r="E3043" s="5">
        <v>2022</v>
      </c>
      <c r="F3043" s="5">
        <v>4</v>
      </c>
      <c r="G3043" s="5" t="s">
        <v>37</v>
      </c>
      <c r="H3043" s="5">
        <v>672088</v>
      </c>
      <c r="I3043" s="5">
        <v>547240.93000000005</v>
      </c>
      <c r="J3043" s="5">
        <v>10</v>
      </c>
      <c r="K3043" s="5">
        <v>49759</v>
      </c>
      <c r="L3043" s="5">
        <v>716970</v>
      </c>
      <c r="M3043" s="5">
        <v>124847.07</v>
      </c>
      <c r="N3043" s="5">
        <v>0.18579999999999999</v>
      </c>
      <c r="O3043" s="5">
        <v>1</v>
      </c>
      <c r="P3043" s="5">
        <v>23232</v>
      </c>
    </row>
    <row r="3044" spans="1:16" x14ac:dyDescent="0.3">
      <c r="A3044" s="5">
        <v>102</v>
      </c>
      <c r="B3044" s="5" t="s">
        <v>143</v>
      </c>
      <c r="C3044" s="5">
        <v>2</v>
      </c>
      <c r="D3044" s="5" t="s">
        <v>88</v>
      </c>
      <c r="E3044" s="5">
        <v>2022</v>
      </c>
      <c r="F3044" s="5">
        <v>5</v>
      </c>
      <c r="G3044" s="5" t="s">
        <v>38</v>
      </c>
      <c r="H3044" s="5">
        <v>674282</v>
      </c>
      <c r="I3044" s="5">
        <v>576798.25</v>
      </c>
      <c r="J3044" s="5">
        <v>10</v>
      </c>
      <c r="K3044" s="5">
        <v>53866</v>
      </c>
      <c r="L3044" s="5">
        <v>724360</v>
      </c>
      <c r="M3044" s="5">
        <v>97483.75</v>
      </c>
      <c r="N3044" s="5">
        <v>0.14460000000000001</v>
      </c>
      <c r="O3044" s="5">
        <v>0</v>
      </c>
      <c r="P3044" s="5">
        <v>0</v>
      </c>
    </row>
    <row r="3045" spans="1:16" x14ac:dyDescent="0.3">
      <c r="A3045" s="5">
        <v>102</v>
      </c>
      <c r="B3045" s="5" t="s">
        <v>143</v>
      </c>
      <c r="C3045" s="5">
        <v>2</v>
      </c>
      <c r="D3045" s="5" t="s">
        <v>88</v>
      </c>
      <c r="E3045" s="5">
        <v>2022</v>
      </c>
      <c r="F3045" s="5">
        <v>6</v>
      </c>
      <c r="G3045" s="5" t="s">
        <v>39</v>
      </c>
      <c r="H3045" s="5">
        <v>597356</v>
      </c>
      <c r="I3045" s="5">
        <v>531326.88</v>
      </c>
      <c r="J3045" s="5">
        <v>9</v>
      </c>
      <c r="K3045" s="5">
        <v>75082</v>
      </c>
      <c r="L3045" s="5">
        <v>671030</v>
      </c>
      <c r="M3045" s="5">
        <v>66029.119999999995</v>
      </c>
      <c r="N3045" s="5">
        <v>0.1105</v>
      </c>
      <c r="O3045" s="5">
        <v>0</v>
      </c>
      <c r="P3045" s="5">
        <v>0</v>
      </c>
    </row>
    <row r="3046" spans="1:16" x14ac:dyDescent="0.3">
      <c r="A3046" s="5">
        <v>102</v>
      </c>
      <c r="B3046" s="5" t="s">
        <v>143</v>
      </c>
      <c r="C3046" s="5">
        <v>2</v>
      </c>
      <c r="D3046" s="5" t="s">
        <v>88</v>
      </c>
      <c r="E3046" s="5">
        <v>2022</v>
      </c>
      <c r="F3046" s="5">
        <v>7</v>
      </c>
      <c r="G3046" s="5" t="s">
        <v>40</v>
      </c>
      <c r="H3046" s="5">
        <v>855380</v>
      </c>
      <c r="I3046" s="5">
        <v>742335.33</v>
      </c>
      <c r="J3046" s="5">
        <v>12</v>
      </c>
      <c r="K3046" s="5">
        <v>83115</v>
      </c>
      <c r="L3046" s="5">
        <v>930690</v>
      </c>
      <c r="M3046" s="5">
        <v>113044.67</v>
      </c>
      <c r="N3046" s="5">
        <v>0.13220000000000001</v>
      </c>
      <c r="O3046" s="5">
        <v>1</v>
      </c>
      <c r="P3046" s="5">
        <v>32705</v>
      </c>
    </row>
    <row r="3047" spans="1:16" x14ac:dyDescent="0.3">
      <c r="A3047" s="5">
        <v>102</v>
      </c>
      <c r="B3047" s="5" t="s">
        <v>143</v>
      </c>
      <c r="C3047" s="5">
        <v>2</v>
      </c>
      <c r="D3047" s="5" t="s">
        <v>88</v>
      </c>
      <c r="E3047" s="5">
        <v>2022</v>
      </c>
      <c r="F3047" s="5">
        <v>8</v>
      </c>
      <c r="G3047" s="5" t="s">
        <v>41</v>
      </c>
      <c r="H3047" s="5">
        <v>712987</v>
      </c>
      <c r="I3047" s="5">
        <v>727395.11</v>
      </c>
      <c r="J3047" s="5">
        <v>11</v>
      </c>
      <c r="K3047" s="5">
        <v>198393</v>
      </c>
      <c r="L3047" s="5">
        <v>908000</v>
      </c>
      <c r="M3047" s="5">
        <v>-14408.11</v>
      </c>
      <c r="N3047" s="5">
        <v>-2.0199999999999999E-2</v>
      </c>
      <c r="O3047" s="5">
        <v>0</v>
      </c>
      <c r="P3047" s="5">
        <v>0</v>
      </c>
    </row>
    <row r="3048" spans="1:16" x14ac:dyDescent="0.3">
      <c r="A3048" s="5">
        <v>102</v>
      </c>
      <c r="B3048" s="5" t="s">
        <v>143</v>
      </c>
      <c r="C3048" s="5">
        <v>2</v>
      </c>
      <c r="D3048" s="5" t="s">
        <v>88</v>
      </c>
      <c r="E3048" s="5">
        <v>2022</v>
      </c>
      <c r="F3048" s="5">
        <v>9</v>
      </c>
      <c r="G3048" s="5" t="s">
        <v>42</v>
      </c>
      <c r="H3048" s="5">
        <v>155335</v>
      </c>
      <c r="I3048" s="5">
        <v>128799.29</v>
      </c>
      <c r="J3048" s="5">
        <v>4</v>
      </c>
      <c r="K3048" s="5">
        <v>7635</v>
      </c>
      <c r="L3048" s="5">
        <v>162970</v>
      </c>
      <c r="M3048" s="5">
        <v>26535.71</v>
      </c>
      <c r="N3048" s="5">
        <v>0.17080000000000001</v>
      </c>
      <c r="O3048" s="5">
        <v>2</v>
      </c>
      <c r="P3048" s="5">
        <v>37020</v>
      </c>
    </row>
    <row r="3049" spans="1:16" x14ac:dyDescent="0.3">
      <c r="A3049" s="5">
        <v>102</v>
      </c>
      <c r="B3049" s="5" t="s">
        <v>143</v>
      </c>
      <c r="C3049" s="5">
        <v>2</v>
      </c>
      <c r="D3049" s="5" t="s">
        <v>88</v>
      </c>
      <c r="E3049" s="5">
        <v>2022</v>
      </c>
      <c r="F3049" s="5">
        <v>10</v>
      </c>
      <c r="G3049" s="5" t="s">
        <v>43</v>
      </c>
      <c r="H3049" s="5">
        <v>855418</v>
      </c>
      <c r="I3049" s="5">
        <v>751734.48</v>
      </c>
      <c r="J3049" s="5">
        <v>14</v>
      </c>
      <c r="K3049" s="5">
        <v>133259</v>
      </c>
      <c r="L3049" s="5">
        <v>985410</v>
      </c>
      <c r="M3049" s="5">
        <v>103683.52</v>
      </c>
      <c r="N3049" s="5">
        <v>0.1212</v>
      </c>
      <c r="O3049" s="5">
        <v>2</v>
      </c>
      <c r="P3049" s="5">
        <v>2950</v>
      </c>
    </row>
    <row r="3050" spans="1:16" x14ac:dyDescent="0.3">
      <c r="A3050" s="5">
        <v>102</v>
      </c>
      <c r="B3050" s="5" t="s">
        <v>143</v>
      </c>
      <c r="C3050" s="5">
        <v>2</v>
      </c>
      <c r="D3050" s="5" t="s">
        <v>88</v>
      </c>
      <c r="E3050" s="5">
        <v>2022</v>
      </c>
      <c r="F3050" s="5">
        <v>11</v>
      </c>
      <c r="G3050" s="5" t="s">
        <v>44</v>
      </c>
      <c r="H3050" s="5">
        <v>540160</v>
      </c>
      <c r="I3050" s="5">
        <v>426199.72</v>
      </c>
      <c r="J3050" s="5">
        <v>16</v>
      </c>
      <c r="K3050" s="5">
        <v>42705</v>
      </c>
      <c r="L3050" s="5">
        <v>580190</v>
      </c>
      <c r="M3050" s="5">
        <v>113960.28</v>
      </c>
      <c r="N3050" s="5">
        <v>0.21099999999999999</v>
      </c>
      <c r="O3050" s="5">
        <v>1</v>
      </c>
      <c r="P3050" s="5">
        <v>7527</v>
      </c>
    </row>
    <row r="3051" spans="1:16" x14ac:dyDescent="0.3">
      <c r="A3051" s="5">
        <v>102</v>
      </c>
      <c r="B3051" s="5" t="s">
        <v>143</v>
      </c>
      <c r="C3051" s="5">
        <v>2</v>
      </c>
      <c r="D3051" s="5" t="s">
        <v>88</v>
      </c>
      <c r="E3051" s="5">
        <v>2022</v>
      </c>
      <c r="F3051" s="5">
        <v>12</v>
      </c>
      <c r="G3051" s="5" t="s">
        <v>45</v>
      </c>
      <c r="H3051" s="5">
        <v>930605</v>
      </c>
      <c r="I3051" s="5">
        <v>769806.33</v>
      </c>
      <c r="J3051" s="5">
        <v>20</v>
      </c>
      <c r="K3051" s="5">
        <v>66984</v>
      </c>
      <c r="L3051" s="5">
        <v>993990</v>
      </c>
      <c r="M3051" s="5">
        <v>160798.67000000001</v>
      </c>
      <c r="N3051" s="5">
        <v>0.17280000000000001</v>
      </c>
      <c r="O3051" s="5">
        <v>3</v>
      </c>
      <c r="P3051" s="5">
        <v>87841</v>
      </c>
    </row>
    <row r="3052" spans="1:16" x14ac:dyDescent="0.3">
      <c r="A3052" s="5">
        <v>102</v>
      </c>
      <c r="B3052" s="5" t="s">
        <v>143</v>
      </c>
      <c r="C3052" s="5">
        <v>2</v>
      </c>
      <c r="D3052" s="5" t="s">
        <v>88</v>
      </c>
      <c r="E3052" s="5">
        <v>2023</v>
      </c>
      <c r="F3052" s="5">
        <v>1</v>
      </c>
      <c r="G3052" s="5" t="s">
        <v>46</v>
      </c>
      <c r="H3052" s="5">
        <v>711363</v>
      </c>
      <c r="I3052" s="5">
        <v>713533.27</v>
      </c>
      <c r="J3052" s="5">
        <v>14</v>
      </c>
      <c r="K3052" s="5">
        <v>196547</v>
      </c>
      <c r="L3052" s="5">
        <v>906340</v>
      </c>
      <c r="M3052" s="5">
        <v>-2170.27</v>
      </c>
      <c r="N3052" s="5">
        <v>-3.0999999999999999E-3</v>
      </c>
      <c r="O3052" s="5">
        <v>0</v>
      </c>
      <c r="P3052" s="5">
        <v>0</v>
      </c>
    </row>
    <row r="3053" spans="1:16" x14ac:dyDescent="0.3">
      <c r="A3053" s="5">
        <v>102</v>
      </c>
      <c r="B3053" s="5" t="s">
        <v>143</v>
      </c>
      <c r="C3053" s="5">
        <v>2</v>
      </c>
      <c r="D3053" s="5" t="s">
        <v>88</v>
      </c>
      <c r="E3053" s="5">
        <v>2023</v>
      </c>
      <c r="F3053" s="5">
        <v>2</v>
      </c>
      <c r="G3053" s="5" t="s">
        <v>47</v>
      </c>
      <c r="H3053" s="5">
        <v>702343</v>
      </c>
      <c r="I3053" s="5">
        <v>605075.30000000005</v>
      </c>
      <c r="J3053" s="5">
        <v>12</v>
      </c>
      <c r="K3053" s="5">
        <v>112937</v>
      </c>
      <c r="L3053" s="5">
        <v>813680</v>
      </c>
      <c r="M3053" s="5">
        <v>97267.7</v>
      </c>
      <c r="N3053" s="5">
        <v>0.13850000000000001</v>
      </c>
      <c r="O3053" s="5">
        <v>0</v>
      </c>
      <c r="P3053" s="5">
        <v>0</v>
      </c>
    </row>
    <row r="3054" spans="1:16" x14ac:dyDescent="0.3">
      <c r="A3054" s="5">
        <v>102</v>
      </c>
      <c r="B3054" s="5" t="s">
        <v>143</v>
      </c>
      <c r="C3054" s="5">
        <v>2</v>
      </c>
      <c r="D3054" s="5" t="s">
        <v>88</v>
      </c>
      <c r="E3054" s="5">
        <v>2023</v>
      </c>
      <c r="F3054" s="5">
        <v>3</v>
      </c>
      <c r="G3054" s="5" t="s">
        <v>48</v>
      </c>
      <c r="H3054" s="5">
        <v>765710</v>
      </c>
      <c r="I3054" s="5">
        <v>677668.03</v>
      </c>
      <c r="J3054" s="5">
        <v>9</v>
      </c>
      <c r="K3054" s="5">
        <v>100287</v>
      </c>
      <c r="L3054" s="5">
        <v>861670</v>
      </c>
      <c r="M3054" s="5">
        <v>88041.97</v>
      </c>
      <c r="N3054" s="5">
        <v>0.115</v>
      </c>
      <c r="O3054" s="5">
        <v>0</v>
      </c>
      <c r="P3054" s="5">
        <v>0</v>
      </c>
    </row>
    <row r="3055" spans="1:16" x14ac:dyDescent="0.3">
      <c r="A3055" s="5">
        <v>102</v>
      </c>
      <c r="B3055" s="5" t="s">
        <v>143</v>
      </c>
      <c r="C3055" s="5">
        <v>2</v>
      </c>
      <c r="D3055" s="5" t="s">
        <v>88</v>
      </c>
      <c r="E3055" s="5">
        <v>2023</v>
      </c>
      <c r="F3055" s="5">
        <v>4</v>
      </c>
      <c r="G3055" s="5" t="s">
        <v>49</v>
      </c>
      <c r="H3055" s="5">
        <v>1089741</v>
      </c>
      <c r="I3055" s="5">
        <v>981678.63</v>
      </c>
      <c r="J3055" s="5">
        <v>14</v>
      </c>
      <c r="K3055" s="5">
        <v>133178</v>
      </c>
      <c r="L3055" s="5">
        <v>1222030</v>
      </c>
      <c r="M3055" s="5">
        <v>108062.37</v>
      </c>
      <c r="N3055" s="5">
        <v>9.9199999999999997E-2</v>
      </c>
      <c r="O3055" s="5">
        <v>2</v>
      </c>
      <c r="P3055" s="5">
        <v>86558</v>
      </c>
    </row>
    <row r="3056" spans="1:16" x14ac:dyDescent="0.3">
      <c r="A3056" s="5">
        <v>102</v>
      </c>
      <c r="B3056" s="5" t="s">
        <v>143</v>
      </c>
      <c r="C3056" s="5">
        <v>2</v>
      </c>
      <c r="D3056" s="5" t="s">
        <v>88</v>
      </c>
      <c r="E3056" s="5">
        <v>2023</v>
      </c>
      <c r="F3056" s="5">
        <v>5</v>
      </c>
      <c r="G3056" s="5" t="s">
        <v>50</v>
      </c>
      <c r="H3056" s="5">
        <v>656870</v>
      </c>
      <c r="I3056" s="5">
        <v>540790.66</v>
      </c>
      <c r="J3056" s="5">
        <v>14</v>
      </c>
      <c r="K3056" s="5">
        <v>41644</v>
      </c>
      <c r="L3056" s="5">
        <v>696290</v>
      </c>
      <c r="M3056" s="5">
        <v>116079.34</v>
      </c>
      <c r="N3056" s="5">
        <v>0.1767</v>
      </c>
      <c r="O3056" s="5">
        <v>0</v>
      </c>
      <c r="P3056" s="5">
        <v>0</v>
      </c>
    </row>
    <row r="3057" spans="1:16" x14ac:dyDescent="0.3">
      <c r="A3057" s="5">
        <v>102</v>
      </c>
      <c r="B3057" s="5" t="s">
        <v>143</v>
      </c>
      <c r="C3057" s="5">
        <v>2</v>
      </c>
      <c r="D3057" s="5" t="s">
        <v>88</v>
      </c>
      <c r="E3057" s="5">
        <v>2023</v>
      </c>
      <c r="F3057" s="5">
        <v>6</v>
      </c>
      <c r="G3057" s="5" t="s">
        <v>51</v>
      </c>
      <c r="H3057" s="5">
        <v>688485</v>
      </c>
      <c r="I3057" s="5">
        <v>563176.35</v>
      </c>
      <c r="J3057" s="5">
        <v>15</v>
      </c>
      <c r="K3057" s="5">
        <v>81426</v>
      </c>
      <c r="L3057" s="5">
        <v>766140</v>
      </c>
      <c r="M3057" s="5">
        <v>125308.65</v>
      </c>
      <c r="N3057" s="5">
        <v>0.182</v>
      </c>
      <c r="O3057" s="5">
        <v>0</v>
      </c>
      <c r="P3057" s="5">
        <v>0</v>
      </c>
    </row>
    <row r="3058" spans="1:16" x14ac:dyDescent="0.3">
      <c r="A3058" s="5">
        <v>102</v>
      </c>
      <c r="B3058" s="5" t="s">
        <v>143</v>
      </c>
      <c r="C3058" s="5">
        <v>2</v>
      </c>
      <c r="D3058" s="5" t="s">
        <v>88</v>
      </c>
      <c r="E3058" s="5">
        <v>2023</v>
      </c>
      <c r="F3058" s="5">
        <v>7</v>
      </c>
      <c r="G3058" s="5" t="s">
        <v>52</v>
      </c>
      <c r="H3058" s="5">
        <v>786852</v>
      </c>
      <c r="I3058" s="5">
        <v>628510.43999999994</v>
      </c>
      <c r="J3058" s="5">
        <v>11</v>
      </c>
      <c r="K3058" s="5">
        <v>8594</v>
      </c>
      <c r="L3058" s="5">
        <v>791160</v>
      </c>
      <c r="M3058" s="5">
        <v>158341.56</v>
      </c>
      <c r="N3058" s="5">
        <v>0.20119999999999999</v>
      </c>
      <c r="O3058" s="5">
        <v>0</v>
      </c>
      <c r="P3058" s="5">
        <v>0</v>
      </c>
    </row>
    <row r="3059" spans="1:16" x14ac:dyDescent="0.3">
      <c r="A3059" s="5">
        <v>102</v>
      </c>
      <c r="B3059" s="5" t="s">
        <v>143</v>
      </c>
      <c r="C3059" s="5">
        <v>2</v>
      </c>
      <c r="D3059" s="5" t="s">
        <v>88</v>
      </c>
      <c r="E3059" s="5">
        <v>2023</v>
      </c>
      <c r="F3059" s="5">
        <v>8</v>
      </c>
      <c r="G3059" s="5" t="s">
        <v>53</v>
      </c>
      <c r="H3059" s="5">
        <v>627669</v>
      </c>
      <c r="I3059" s="5">
        <v>544936.9</v>
      </c>
      <c r="J3059" s="5">
        <v>14</v>
      </c>
      <c r="K3059" s="5">
        <v>88492</v>
      </c>
      <c r="L3059" s="5">
        <v>715840</v>
      </c>
      <c r="M3059" s="5">
        <v>82732.100000000006</v>
      </c>
      <c r="N3059" s="5">
        <v>0.1318</v>
      </c>
      <c r="O3059" s="5">
        <v>2</v>
      </c>
      <c r="P3059" s="5">
        <v>29941</v>
      </c>
    </row>
    <row r="3060" spans="1:16" x14ac:dyDescent="0.3">
      <c r="A3060" s="5">
        <v>102</v>
      </c>
      <c r="B3060" s="5" t="s">
        <v>143</v>
      </c>
      <c r="C3060" s="5">
        <v>2</v>
      </c>
      <c r="D3060" s="5" t="s">
        <v>88</v>
      </c>
      <c r="E3060" s="5">
        <v>2023</v>
      </c>
      <c r="F3060" s="5">
        <v>9</v>
      </c>
      <c r="G3060" s="5" t="s">
        <v>54</v>
      </c>
      <c r="H3060" s="5">
        <v>389826</v>
      </c>
      <c r="I3060" s="5">
        <v>353084.43</v>
      </c>
      <c r="J3060" s="5">
        <v>11</v>
      </c>
      <c r="K3060" s="5">
        <v>86288</v>
      </c>
      <c r="L3060" s="5">
        <v>475550</v>
      </c>
      <c r="M3060" s="5">
        <v>36741.57</v>
      </c>
      <c r="N3060" s="5">
        <v>9.4299999999999995E-2</v>
      </c>
      <c r="O3060" s="5">
        <v>1</v>
      </c>
      <c r="P3060" s="5">
        <v>22307</v>
      </c>
    </row>
    <row r="3061" spans="1:16" x14ac:dyDescent="0.3">
      <c r="A3061" s="5">
        <v>102</v>
      </c>
      <c r="B3061" s="5" t="s">
        <v>143</v>
      </c>
      <c r="C3061" s="5">
        <v>2</v>
      </c>
      <c r="D3061" s="5" t="s">
        <v>88</v>
      </c>
      <c r="E3061" s="5">
        <v>2023</v>
      </c>
      <c r="F3061" s="5">
        <v>10</v>
      </c>
      <c r="G3061" s="5" t="s">
        <v>55</v>
      </c>
      <c r="H3061" s="5">
        <v>956944</v>
      </c>
      <c r="I3061" s="5">
        <v>764811.63</v>
      </c>
      <c r="J3061" s="5">
        <v>17</v>
      </c>
      <c r="K3061" s="5">
        <v>67635</v>
      </c>
      <c r="L3061" s="5">
        <v>1015290</v>
      </c>
      <c r="M3061" s="5">
        <v>192132.37</v>
      </c>
      <c r="N3061" s="5">
        <v>0.20080000000000001</v>
      </c>
      <c r="O3061" s="5">
        <v>3</v>
      </c>
      <c r="P3061" s="5">
        <v>15053</v>
      </c>
    </row>
    <row r="3062" spans="1:16" x14ac:dyDescent="0.3">
      <c r="A3062" s="5">
        <v>102</v>
      </c>
      <c r="B3062" s="5" t="s">
        <v>143</v>
      </c>
      <c r="C3062" s="5">
        <v>2</v>
      </c>
      <c r="D3062" s="5" t="s">
        <v>88</v>
      </c>
      <c r="E3062" s="5">
        <v>2023</v>
      </c>
      <c r="F3062" s="5">
        <v>11</v>
      </c>
      <c r="G3062" s="5" t="s">
        <v>56</v>
      </c>
      <c r="H3062" s="5">
        <v>1322569</v>
      </c>
      <c r="I3062" s="5">
        <v>1181545.8899999999</v>
      </c>
      <c r="J3062" s="5">
        <v>13</v>
      </c>
      <c r="K3062" s="5">
        <v>176135</v>
      </c>
      <c r="L3062" s="5">
        <v>1493280</v>
      </c>
      <c r="M3062" s="5">
        <v>141023.10999999999</v>
      </c>
      <c r="N3062" s="5">
        <v>0.1066</v>
      </c>
      <c r="O3062" s="5">
        <v>0</v>
      </c>
      <c r="P3062" s="5">
        <v>0</v>
      </c>
    </row>
    <row r="3063" spans="1:16" x14ac:dyDescent="0.3">
      <c r="A3063" s="5">
        <v>102</v>
      </c>
      <c r="B3063" s="5" t="s">
        <v>143</v>
      </c>
      <c r="C3063" s="5">
        <v>2</v>
      </c>
      <c r="D3063" s="5" t="s">
        <v>88</v>
      </c>
      <c r="E3063" s="5">
        <v>2023</v>
      </c>
      <c r="F3063" s="5">
        <v>12</v>
      </c>
      <c r="G3063" s="5" t="s">
        <v>57</v>
      </c>
      <c r="H3063" s="5">
        <v>1097629</v>
      </c>
      <c r="I3063" s="5">
        <v>1051774.49</v>
      </c>
      <c r="J3063" s="5">
        <v>18</v>
      </c>
      <c r="K3063" s="5">
        <v>249206</v>
      </c>
      <c r="L3063" s="5">
        <v>1343470</v>
      </c>
      <c r="M3063" s="5">
        <v>45854.51</v>
      </c>
      <c r="N3063" s="5">
        <v>4.1799999999999997E-2</v>
      </c>
      <c r="O3063" s="5">
        <v>1</v>
      </c>
      <c r="P3063" s="5">
        <v>4007</v>
      </c>
    </row>
    <row r="3064" spans="1:16" x14ac:dyDescent="0.3">
      <c r="A3064" s="5">
        <v>102</v>
      </c>
      <c r="B3064" s="5" t="s">
        <v>143</v>
      </c>
      <c r="C3064" s="5">
        <v>2</v>
      </c>
      <c r="D3064" s="5" t="s">
        <v>88</v>
      </c>
      <c r="E3064" s="5">
        <v>2024</v>
      </c>
      <c r="F3064" s="5">
        <v>1</v>
      </c>
      <c r="G3064" s="5" t="s">
        <v>58</v>
      </c>
      <c r="H3064" s="5">
        <v>1033434</v>
      </c>
      <c r="I3064" s="5">
        <v>916575.98</v>
      </c>
      <c r="J3064" s="5">
        <v>11</v>
      </c>
      <c r="K3064" s="5">
        <v>159915</v>
      </c>
      <c r="L3064" s="5">
        <v>1191020</v>
      </c>
      <c r="M3064" s="5">
        <v>116858.02</v>
      </c>
      <c r="N3064" s="5">
        <v>0.11310000000000001</v>
      </c>
      <c r="O3064" s="5">
        <v>1</v>
      </c>
      <c r="P3064" s="5">
        <v>199737</v>
      </c>
    </row>
    <row r="3065" spans="1:16" x14ac:dyDescent="0.3">
      <c r="A3065" s="5">
        <v>102</v>
      </c>
      <c r="B3065" s="5" t="s">
        <v>143</v>
      </c>
      <c r="C3065" s="5">
        <v>2</v>
      </c>
      <c r="D3065" s="5" t="s">
        <v>88</v>
      </c>
      <c r="E3065" s="5">
        <v>2024</v>
      </c>
      <c r="F3065" s="5">
        <v>2</v>
      </c>
      <c r="G3065" s="5" t="s">
        <v>59</v>
      </c>
      <c r="H3065" s="5">
        <v>931957</v>
      </c>
      <c r="I3065" s="5">
        <v>801290.23999999999</v>
      </c>
      <c r="J3065" s="5">
        <v>14</v>
      </c>
      <c r="K3065" s="5">
        <v>94431</v>
      </c>
      <c r="L3065" s="5">
        <v>1025780</v>
      </c>
      <c r="M3065" s="5">
        <v>130666.76</v>
      </c>
      <c r="N3065" s="5">
        <v>0.14019999999999999</v>
      </c>
      <c r="O3065" s="5">
        <v>1</v>
      </c>
      <c r="P3065" s="5">
        <v>28341</v>
      </c>
    </row>
    <row r="3066" spans="1:16" x14ac:dyDescent="0.3">
      <c r="A3066" s="5">
        <v>102</v>
      </c>
      <c r="B3066" s="5" t="s">
        <v>143</v>
      </c>
      <c r="C3066" s="5">
        <v>2</v>
      </c>
      <c r="D3066" s="5" t="s">
        <v>88</v>
      </c>
      <c r="E3066" s="5">
        <v>2024</v>
      </c>
      <c r="F3066" s="5">
        <v>3</v>
      </c>
      <c r="G3066" s="5" t="s">
        <v>60</v>
      </c>
      <c r="H3066" s="5">
        <v>930838</v>
      </c>
      <c r="I3066" s="5">
        <v>827175.13</v>
      </c>
      <c r="J3066" s="5">
        <v>10</v>
      </c>
      <c r="K3066" s="5">
        <v>134732</v>
      </c>
      <c r="L3066" s="5">
        <v>1061730</v>
      </c>
      <c r="M3066" s="5">
        <v>103662.87</v>
      </c>
      <c r="N3066" s="5">
        <v>0.1114</v>
      </c>
      <c r="O3066" s="5">
        <v>4</v>
      </c>
      <c r="P3066" s="5">
        <v>169621</v>
      </c>
    </row>
    <row r="3067" spans="1:16" x14ac:dyDescent="0.3">
      <c r="A3067" s="5">
        <v>102</v>
      </c>
      <c r="B3067" s="5" t="s">
        <v>143</v>
      </c>
      <c r="C3067" s="5">
        <v>2</v>
      </c>
      <c r="D3067" s="5" t="s">
        <v>88</v>
      </c>
      <c r="E3067" s="5">
        <v>2024</v>
      </c>
      <c r="F3067" s="5">
        <v>4</v>
      </c>
      <c r="G3067" s="5" t="s">
        <v>61</v>
      </c>
      <c r="H3067" s="5">
        <v>1253664</v>
      </c>
      <c r="I3067" s="5">
        <v>1066732.99</v>
      </c>
      <c r="J3067" s="5">
        <v>15</v>
      </c>
      <c r="K3067" s="5">
        <v>78530</v>
      </c>
      <c r="L3067" s="5">
        <v>1324230</v>
      </c>
      <c r="M3067" s="5">
        <v>186931.01</v>
      </c>
      <c r="N3067" s="5">
        <v>0.14910000000000001</v>
      </c>
      <c r="O3067" s="5">
        <v>0</v>
      </c>
      <c r="P3067" s="5">
        <v>0</v>
      </c>
    </row>
    <row r="3068" spans="1:16" x14ac:dyDescent="0.3">
      <c r="A3068" s="5">
        <v>102</v>
      </c>
      <c r="B3068" s="5" t="s">
        <v>143</v>
      </c>
      <c r="C3068" s="5">
        <v>2</v>
      </c>
      <c r="D3068" s="5" t="s">
        <v>88</v>
      </c>
      <c r="E3068" s="5">
        <v>2024</v>
      </c>
      <c r="F3068" s="5">
        <v>5</v>
      </c>
      <c r="G3068" s="5" t="s">
        <v>62</v>
      </c>
      <c r="H3068" s="5">
        <v>1624358</v>
      </c>
      <c r="I3068" s="5">
        <v>1528334.29</v>
      </c>
      <c r="J3068" s="5">
        <v>21</v>
      </c>
      <c r="K3068" s="5">
        <v>349230</v>
      </c>
      <c r="L3068" s="5">
        <v>1970040</v>
      </c>
      <c r="M3068" s="5">
        <v>96023.71</v>
      </c>
      <c r="N3068" s="5">
        <v>5.91E-2</v>
      </c>
      <c r="O3068" s="5">
        <v>5</v>
      </c>
      <c r="P3068" s="5">
        <v>119741</v>
      </c>
    </row>
    <row r="3069" spans="1:16" x14ac:dyDescent="0.3">
      <c r="A3069" s="5">
        <v>102</v>
      </c>
      <c r="B3069" s="5" t="s">
        <v>143</v>
      </c>
      <c r="C3069" s="5">
        <v>2</v>
      </c>
      <c r="D3069" s="5" t="s">
        <v>88</v>
      </c>
      <c r="E3069" s="5">
        <v>2024</v>
      </c>
      <c r="F3069" s="5">
        <v>6</v>
      </c>
      <c r="G3069" s="5" t="s">
        <v>63</v>
      </c>
      <c r="H3069" s="5">
        <v>797877</v>
      </c>
      <c r="I3069" s="5">
        <v>652787.42000000004</v>
      </c>
      <c r="J3069" s="5">
        <v>14</v>
      </c>
      <c r="K3069" s="5">
        <v>44818</v>
      </c>
      <c r="L3069" s="5">
        <v>838820</v>
      </c>
      <c r="M3069" s="5">
        <v>145089.57999999999</v>
      </c>
      <c r="N3069" s="5">
        <v>0.18179999999999999</v>
      </c>
      <c r="O3069" s="5">
        <v>1</v>
      </c>
      <c r="P3069" s="5">
        <v>867</v>
      </c>
    </row>
    <row r="3070" spans="1:16" x14ac:dyDescent="0.3">
      <c r="A3070" s="5">
        <v>102</v>
      </c>
      <c r="B3070" s="5" t="s">
        <v>143</v>
      </c>
      <c r="C3070" s="5">
        <v>2</v>
      </c>
      <c r="D3070" s="5" t="s">
        <v>88</v>
      </c>
      <c r="E3070" s="5">
        <v>2024</v>
      </c>
      <c r="F3070" s="5">
        <v>7</v>
      </c>
      <c r="G3070" s="5" t="s">
        <v>64</v>
      </c>
      <c r="H3070" s="5">
        <v>945724</v>
      </c>
      <c r="I3070" s="5">
        <v>728713.18</v>
      </c>
      <c r="J3070" s="5">
        <v>12</v>
      </c>
      <c r="K3070" s="5">
        <v>27129</v>
      </c>
      <c r="L3070" s="5">
        <v>970760</v>
      </c>
      <c r="M3070" s="5">
        <v>217010.82</v>
      </c>
      <c r="N3070" s="5">
        <v>0.22950000000000001</v>
      </c>
      <c r="O3070" s="5">
        <v>0</v>
      </c>
      <c r="P3070" s="5">
        <v>0</v>
      </c>
    </row>
    <row r="3071" spans="1:16" x14ac:dyDescent="0.3">
      <c r="A3071" s="5">
        <v>102</v>
      </c>
      <c r="B3071" s="5" t="s">
        <v>143</v>
      </c>
      <c r="C3071" s="5">
        <v>2</v>
      </c>
      <c r="D3071" s="5" t="s">
        <v>88</v>
      </c>
      <c r="E3071" s="5">
        <v>2024</v>
      </c>
      <c r="F3071" s="5">
        <v>8</v>
      </c>
      <c r="G3071" s="5" t="s">
        <v>65</v>
      </c>
      <c r="H3071" s="5">
        <v>851493</v>
      </c>
      <c r="I3071" s="5">
        <v>733560.62</v>
      </c>
      <c r="J3071" s="5">
        <v>13</v>
      </c>
      <c r="K3071" s="5">
        <v>90306</v>
      </c>
      <c r="L3071" s="5">
        <v>940340</v>
      </c>
      <c r="M3071" s="5">
        <v>117932.38</v>
      </c>
      <c r="N3071" s="5">
        <v>0.13850000000000001</v>
      </c>
      <c r="O3071" s="5">
        <v>0</v>
      </c>
      <c r="P3071" s="5">
        <v>0</v>
      </c>
    </row>
    <row r="3072" spans="1:16" x14ac:dyDescent="0.3">
      <c r="A3072" s="5">
        <v>102</v>
      </c>
      <c r="B3072" s="5" t="s">
        <v>143</v>
      </c>
      <c r="C3072" s="5">
        <v>2</v>
      </c>
      <c r="D3072" s="5" t="s">
        <v>88</v>
      </c>
      <c r="E3072" s="5">
        <v>2024</v>
      </c>
      <c r="F3072" s="5">
        <v>9</v>
      </c>
      <c r="G3072" s="5" t="s">
        <v>66</v>
      </c>
      <c r="H3072" s="5">
        <v>2098720</v>
      </c>
      <c r="I3072" s="5">
        <v>1805856.53</v>
      </c>
      <c r="J3072" s="5">
        <v>22</v>
      </c>
      <c r="K3072" s="5">
        <v>169694</v>
      </c>
      <c r="L3072" s="5">
        <v>2267520</v>
      </c>
      <c r="M3072" s="5">
        <v>292863.46999999997</v>
      </c>
      <c r="N3072" s="5">
        <v>0.13950000000000001</v>
      </c>
      <c r="O3072" s="5">
        <v>2</v>
      </c>
      <c r="P3072" s="5">
        <v>307073</v>
      </c>
    </row>
    <row r="3073" spans="1:16" x14ac:dyDescent="0.3">
      <c r="A3073" s="5">
        <v>102</v>
      </c>
      <c r="B3073" s="5" t="s">
        <v>143</v>
      </c>
      <c r="C3073" s="5">
        <v>2</v>
      </c>
      <c r="D3073" s="5" t="s">
        <v>88</v>
      </c>
      <c r="E3073" s="5">
        <v>2024</v>
      </c>
      <c r="F3073" s="5">
        <v>10</v>
      </c>
      <c r="G3073" s="5" t="s">
        <v>67</v>
      </c>
      <c r="H3073" s="5">
        <v>1078694</v>
      </c>
      <c r="I3073" s="5">
        <v>821641.15</v>
      </c>
      <c r="J3073" s="5">
        <v>21</v>
      </c>
      <c r="K3073" s="5">
        <v>51194</v>
      </c>
      <c r="L3073" s="5">
        <v>1128770</v>
      </c>
      <c r="M3073" s="5">
        <v>257052.85</v>
      </c>
      <c r="N3073" s="5">
        <v>0.23830000000000001</v>
      </c>
      <c r="O3073" s="5">
        <v>0</v>
      </c>
      <c r="P3073" s="5">
        <v>0</v>
      </c>
    </row>
    <row r="3074" spans="1:16" x14ac:dyDescent="0.3">
      <c r="A3074" s="5">
        <v>102</v>
      </c>
      <c r="B3074" s="5" t="s">
        <v>143</v>
      </c>
      <c r="C3074" s="5">
        <v>2</v>
      </c>
      <c r="D3074" s="5" t="s">
        <v>88</v>
      </c>
      <c r="E3074" s="5">
        <v>2024</v>
      </c>
      <c r="F3074" s="5">
        <v>11</v>
      </c>
      <c r="G3074" s="5" t="s">
        <v>68</v>
      </c>
      <c r="H3074" s="5">
        <v>1119799</v>
      </c>
      <c r="I3074" s="5">
        <v>941292.79</v>
      </c>
      <c r="J3074" s="5">
        <v>19</v>
      </c>
      <c r="K3074" s="5">
        <v>120863</v>
      </c>
      <c r="L3074" s="5">
        <v>1237340</v>
      </c>
      <c r="M3074" s="5">
        <v>178506.21</v>
      </c>
      <c r="N3074" s="5">
        <v>0.15939999999999999</v>
      </c>
      <c r="O3074" s="5">
        <v>1</v>
      </c>
      <c r="P3074" s="5">
        <v>23117</v>
      </c>
    </row>
    <row r="3075" spans="1:16" x14ac:dyDescent="0.3">
      <c r="A3075" s="5">
        <v>102</v>
      </c>
      <c r="B3075" s="5" t="s">
        <v>143</v>
      </c>
      <c r="C3075" s="5">
        <v>2</v>
      </c>
      <c r="D3075" s="5" t="s">
        <v>88</v>
      </c>
      <c r="E3075" s="5">
        <v>2024</v>
      </c>
      <c r="F3075" s="5">
        <v>12</v>
      </c>
      <c r="G3075" s="5" t="s">
        <v>69</v>
      </c>
      <c r="H3075" s="5">
        <v>1508075</v>
      </c>
      <c r="I3075" s="5">
        <v>1189278.75</v>
      </c>
      <c r="J3075" s="5">
        <v>27</v>
      </c>
      <c r="K3075" s="5">
        <v>48971</v>
      </c>
      <c r="L3075" s="5">
        <v>1546480</v>
      </c>
      <c r="M3075" s="5">
        <v>318796.25</v>
      </c>
      <c r="N3075" s="5">
        <v>0.2114</v>
      </c>
      <c r="O3075" s="5">
        <v>4</v>
      </c>
      <c r="P3075" s="5">
        <v>317685</v>
      </c>
    </row>
    <row r="3076" spans="1:16" x14ac:dyDescent="0.3">
      <c r="A3076" s="5">
        <v>97</v>
      </c>
      <c r="B3076" s="5" t="s">
        <v>144</v>
      </c>
      <c r="C3076" s="5">
        <v>2</v>
      </c>
      <c r="D3076" s="5" t="s">
        <v>88</v>
      </c>
      <c r="E3076" s="5">
        <v>2021</v>
      </c>
      <c r="F3076" s="5">
        <v>1</v>
      </c>
      <c r="G3076" s="5" t="s">
        <v>22</v>
      </c>
      <c r="H3076" s="5">
        <v>2777186</v>
      </c>
      <c r="I3076" s="5">
        <v>2471291.5699999998</v>
      </c>
      <c r="J3076" s="5">
        <v>37</v>
      </c>
      <c r="K3076" s="5">
        <v>342499</v>
      </c>
      <c r="L3076" s="5">
        <v>3112260</v>
      </c>
      <c r="M3076" s="5">
        <v>305894.43</v>
      </c>
      <c r="N3076" s="5">
        <v>0.1101</v>
      </c>
      <c r="O3076" s="5">
        <v>2</v>
      </c>
      <c r="P3076" s="5">
        <v>8669</v>
      </c>
    </row>
    <row r="3077" spans="1:16" x14ac:dyDescent="0.3">
      <c r="A3077" s="5">
        <v>97</v>
      </c>
      <c r="B3077" s="5" t="s">
        <v>144</v>
      </c>
      <c r="C3077" s="5">
        <v>2</v>
      </c>
      <c r="D3077" s="5" t="s">
        <v>88</v>
      </c>
      <c r="E3077" s="5">
        <v>2021</v>
      </c>
      <c r="F3077" s="5">
        <v>2</v>
      </c>
      <c r="G3077" s="5" t="s">
        <v>23</v>
      </c>
      <c r="H3077" s="5">
        <v>740166</v>
      </c>
      <c r="I3077" s="5">
        <v>629320.12</v>
      </c>
      <c r="J3077" s="5">
        <v>21</v>
      </c>
      <c r="K3077" s="5">
        <v>79066</v>
      </c>
      <c r="L3077" s="5">
        <v>818760</v>
      </c>
      <c r="M3077" s="5">
        <v>110845.88</v>
      </c>
      <c r="N3077" s="5">
        <v>0.14979999999999999</v>
      </c>
      <c r="O3077" s="5">
        <v>2</v>
      </c>
      <c r="P3077" s="5">
        <v>16253</v>
      </c>
    </row>
    <row r="3078" spans="1:16" x14ac:dyDescent="0.3">
      <c r="A3078" s="5">
        <v>97</v>
      </c>
      <c r="B3078" s="5" t="s">
        <v>144</v>
      </c>
      <c r="C3078" s="5">
        <v>2</v>
      </c>
      <c r="D3078" s="5" t="s">
        <v>88</v>
      </c>
      <c r="E3078" s="5">
        <v>2021</v>
      </c>
      <c r="F3078" s="5">
        <v>3</v>
      </c>
      <c r="G3078" s="5" t="s">
        <v>24</v>
      </c>
      <c r="H3078" s="5">
        <v>2962590</v>
      </c>
      <c r="I3078" s="5">
        <v>2507477.9700000002</v>
      </c>
      <c r="J3078" s="5">
        <v>43</v>
      </c>
      <c r="K3078" s="5">
        <v>295269</v>
      </c>
      <c r="L3078" s="5">
        <v>3246040</v>
      </c>
      <c r="M3078" s="5">
        <v>455112.03</v>
      </c>
      <c r="N3078" s="5">
        <v>0.15359999999999999</v>
      </c>
      <c r="O3078" s="5">
        <v>8</v>
      </c>
      <c r="P3078" s="5">
        <v>125196</v>
      </c>
    </row>
    <row r="3079" spans="1:16" x14ac:dyDescent="0.3">
      <c r="A3079" s="5">
        <v>97</v>
      </c>
      <c r="B3079" s="5" t="s">
        <v>144</v>
      </c>
      <c r="C3079" s="5">
        <v>2</v>
      </c>
      <c r="D3079" s="5" t="s">
        <v>88</v>
      </c>
      <c r="E3079" s="5">
        <v>2021</v>
      </c>
      <c r="F3079" s="5">
        <v>4</v>
      </c>
      <c r="G3079" s="5" t="s">
        <v>25</v>
      </c>
      <c r="H3079" s="5">
        <v>2541644</v>
      </c>
      <c r="I3079" s="5">
        <v>2129125.92</v>
      </c>
      <c r="J3079" s="5">
        <v>41</v>
      </c>
      <c r="K3079" s="5">
        <v>260836</v>
      </c>
      <c r="L3079" s="5">
        <v>2792840</v>
      </c>
      <c r="M3079" s="5">
        <v>412518.08</v>
      </c>
      <c r="N3079" s="5">
        <v>0.1623</v>
      </c>
      <c r="O3079" s="5">
        <v>2</v>
      </c>
      <c r="P3079" s="5">
        <v>116861</v>
      </c>
    </row>
    <row r="3080" spans="1:16" x14ac:dyDescent="0.3">
      <c r="A3080" s="5">
        <v>97</v>
      </c>
      <c r="B3080" s="5" t="s">
        <v>144</v>
      </c>
      <c r="C3080" s="5">
        <v>2</v>
      </c>
      <c r="D3080" s="5" t="s">
        <v>88</v>
      </c>
      <c r="E3080" s="5">
        <v>2021</v>
      </c>
      <c r="F3080" s="5">
        <v>5</v>
      </c>
      <c r="G3080" s="5" t="s">
        <v>26</v>
      </c>
      <c r="H3080" s="5">
        <v>3738436</v>
      </c>
      <c r="I3080" s="5">
        <v>3379524.8</v>
      </c>
      <c r="J3080" s="5">
        <v>45</v>
      </c>
      <c r="K3080" s="5">
        <v>601112</v>
      </c>
      <c r="L3080" s="5">
        <v>4328160</v>
      </c>
      <c r="M3080" s="5">
        <v>358911.2</v>
      </c>
      <c r="N3080" s="5">
        <v>9.6000000000000002E-2</v>
      </c>
      <c r="O3080" s="5">
        <v>6</v>
      </c>
      <c r="P3080" s="5">
        <v>418075</v>
      </c>
    </row>
    <row r="3081" spans="1:16" x14ac:dyDescent="0.3">
      <c r="A3081" s="5">
        <v>97</v>
      </c>
      <c r="B3081" s="5" t="s">
        <v>144</v>
      </c>
      <c r="C3081" s="5">
        <v>2</v>
      </c>
      <c r="D3081" s="5" t="s">
        <v>88</v>
      </c>
      <c r="E3081" s="5">
        <v>2021</v>
      </c>
      <c r="F3081" s="5">
        <v>6</v>
      </c>
      <c r="G3081" s="5" t="s">
        <v>27</v>
      </c>
      <c r="H3081" s="5">
        <v>2702774</v>
      </c>
      <c r="I3081" s="5">
        <v>2294153.59</v>
      </c>
      <c r="J3081" s="5">
        <v>40</v>
      </c>
      <c r="K3081" s="5">
        <v>255360</v>
      </c>
      <c r="L3081" s="5">
        <v>2948270</v>
      </c>
      <c r="M3081" s="5">
        <v>408620.41</v>
      </c>
      <c r="N3081" s="5">
        <v>0.1512</v>
      </c>
      <c r="O3081" s="5">
        <v>2</v>
      </c>
      <c r="P3081" s="5">
        <v>2851</v>
      </c>
    </row>
    <row r="3082" spans="1:16" x14ac:dyDescent="0.3">
      <c r="A3082" s="5">
        <v>97</v>
      </c>
      <c r="B3082" s="5" t="s">
        <v>144</v>
      </c>
      <c r="C3082" s="5">
        <v>2</v>
      </c>
      <c r="D3082" s="5" t="s">
        <v>88</v>
      </c>
      <c r="E3082" s="5">
        <v>2021</v>
      </c>
      <c r="F3082" s="5">
        <v>7</v>
      </c>
      <c r="G3082" s="5" t="s">
        <v>28</v>
      </c>
      <c r="H3082" s="5">
        <v>2481176</v>
      </c>
      <c r="I3082" s="5">
        <v>2284070.92</v>
      </c>
      <c r="J3082" s="5">
        <v>42</v>
      </c>
      <c r="K3082" s="5">
        <v>416435</v>
      </c>
      <c r="L3082" s="5">
        <v>2892770</v>
      </c>
      <c r="M3082" s="5">
        <v>197105.08</v>
      </c>
      <c r="N3082" s="5">
        <v>7.9399999999999998E-2</v>
      </c>
      <c r="O3082" s="5">
        <v>1</v>
      </c>
      <c r="P3082" s="5">
        <v>2441</v>
      </c>
    </row>
    <row r="3083" spans="1:16" x14ac:dyDescent="0.3">
      <c r="A3083" s="5">
        <v>97</v>
      </c>
      <c r="B3083" s="5" t="s">
        <v>144</v>
      </c>
      <c r="C3083" s="5">
        <v>2</v>
      </c>
      <c r="D3083" s="5" t="s">
        <v>88</v>
      </c>
      <c r="E3083" s="5">
        <v>2021</v>
      </c>
      <c r="F3083" s="5">
        <v>8</v>
      </c>
      <c r="G3083" s="5" t="s">
        <v>29</v>
      </c>
      <c r="H3083" s="5">
        <v>2111037</v>
      </c>
      <c r="I3083" s="5">
        <v>1701083.9</v>
      </c>
      <c r="J3083" s="5">
        <v>33</v>
      </c>
      <c r="K3083" s="5">
        <v>123870</v>
      </c>
      <c r="L3083" s="5">
        <v>2223490</v>
      </c>
      <c r="M3083" s="5">
        <v>409953.1</v>
      </c>
      <c r="N3083" s="5">
        <v>0.19420000000000001</v>
      </c>
      <c r="O3083" s="5">
        <v>3</v>
      </c>
      <c r="P3083" s="5">
        <v>106962</v>
      </c>
    </row>
    <row r="3084" spans="1:16" x14ac:dyDescent="0.3">
      <c r="A3084" s="5">
        <v>97</v>
      </c>
      <c r="B3084" s="5" t="s">
        <v>144</v>
      </c>
      <c r="C3084" s="5">
        <v>2</v>
      </c>
      <c r="D3084" s="5" t="s">
        <v>88</v>
      </c>
      <c r="E3084" s="5">
        <v>2021</v>
      </c>
      <c r="F3084" s="5">
        <v>9</v>
      </c>
      <c r="G3084" s="5" t="s">
        <v>30</v>
      </c>
      <c r="H3084" s="5">
        <v>3217991</v>
      </c>
      <c r="I3084" s="5">
        <v>2767405.55</v>
      </c>
      <c r="J3084" s="5">
        <v>55</v>
      </c>
      <c r="K3084" s="5">
        <v>417796</v>
      </c>
      <c r="L3084" s="5">
        <v>3623240</v>
      </c>
      <c r="M3084" s="5">
        <v>450585.45</v>
      </c>
      <c r="N3084" s="5">
        <v>0.14000000000000001</v>
      </c>
      <c r="O3084" s="5">
        <v>3</v>
      </c>
      <c r="P3084" s="5">
        <v>89787</v>
      </c>
    </row>
    <row r="3085" spans="1:16" x14ac:dyDescent="0.3">
      <c r="A3085" s="5">
        <v>97</v>
      </c>
      <c r="B3085" s="5" t="s">
        <v>144</v>
      </c>
      <c r="C3085" s="5">
        <v>2</v>
      </c>
      <c r="D3085" s="5" t="s">
        <v>88</v>
      </c>
      <c r="E3085" s="5">
        <v>2021</v>
      </c>
      <c r="F3085" s="5">
        <v>10</v>
      </c>
      <c r="G3085" s="5" t="s">
        <v>31</v>
      </c>
      <c r="H3085" s="5">
        <v>4549217</v>
      </c>
      <c r="I3085" s="5">
        <v>3796448.25</v>
      </c>
      <c r="J3085" s="5">
        <v>77</v>
      </c>
      <c r="K3085" s="5">
        <v>362353</v>
      </c>
      <c r="L3085" s="5">
        <v>4906370</v>
      </c>
      <c r="M3085" s="5">
        <v>752768.75</v>
      </c>
      <c r="N3085" s="5">
        <v>0.16550000000000001</v>
      </c>
      <c r="O3085" s="5">
        <v>5</v>
      </c>
      <c r="P3085" s="5">
        <v>44081</v>
      </c>
    </row>
    <row r="3086" spans="1:16" x14ac:dyDescent="0.3">
      <c r="A3086" s="5">
        <v>97</v>
      </c>
      <c r="B3086" s="5" t="s">
        <v>144</v>
      </c>
      <c r="C3086" s="5">
        <v>2</v>
      </c>
      <c r="D3086" s="5" t="s">
        <v>88</v>
      </c>
      <c r="E3086" s="5">
        <v>2021</v>
      </c>
      <c r="F3086" s="5">
        <v>11</v>
      </c>
      <c r="G3086" s="5" t="s">
        <v>32</v>
      </c>
      <c r="H3086" s="5">
        <v>4069686</v>
      </c>
      <c r="I3086" s="5">
        <v>3376726.68</v>
      </c>
      <c r="J3086" s="5">
        <v>62</v>
      </c>
      <c r="K3086" s="5">
        <v>211032</v>
      </c>
      <c r="L3086" s="5">
        <v>4269550</v>
      </c>
      <c r="M3086" s="5">
        <v>692959.32</v>
      </c>
      <c r="N3086" s="5">
        <v>0.17030000000000001</v>
      </c>
      <c r="O3086" s="5">
        <v>7</v>
      </c>
      <c r="P3086" s="5">
        <v>220494</v>
      </c>
    </row>
    <row r="3087" spans="1:16" x14ac:dyDescent="0.3">
      <c r="A3087" s="5">
        <v>97</v>
      </c>
      <c r="B3087" s="5" t="s">
        <v>144</v>
      </c>
      <c r="C3087" s="5">
        <v>2</v>
      </c>
      <c r="D3087" s="5" t="s">
        <v>88</v>
      </c>
      <c r="E3087" s="5">
        <v>2021</v>
      </c>
      <c r="F3087" s="5">
        <v>12</v>
      </c>
      <c r="G3087" s="5" t="s">
        <v>33</v>
      </c>
      <c r="H3087" s="5">
        <v>5836164</v>
      </c>
      <c r="I3087" s="5">
        <v>4872513.87</v>
      </c>
      <c r="J3087" s="5">
        <v>82</v>
      </c>
      <c r="K3087" s="5">
        <v>411135</v>
      </c>
      <c r="L3087" s="5">
        <v>6230280</v>
      </c>
      <c r="M3087" s="5">
        <v>963650.13</v>
      </c>
      <c r="N3087" s="5">
        <v>0.1651</v>
      </c>
      <c r="O3087" s="5">
        <v>5</v>
      </c>
      <c r="P3087" s="5">
        <v>203490</v>
      </c>
    </row>
    <row r="3088" spans="1:16" x14ac:dyDescent="0.3">
      <c r="A3088" s="5">
        <v>97</v>
      </c>
      <c r="B3088" s="5" t="s">
        <v>144</v>
      </c>
      <c r="C3088" s="5">
        <v>2</v>
      </c>
      <c r="D3088" s="5" t="s">
        <v>88</v>
      </c>
      <c r="E3088" s="5">
        <v>2022</v>
      </c>
      <c r="F3088" s="5">
        <v>1</v>
      </c>
      <c r="G3088" s="5" t="s">
        <v>34</v>
      </c>
      <c r="H3088" s="5">
        <v>4258848</v>
      </c>
      <c r="I3088" s="5">
        <v>3569376.94</v>
      </c>
      <c r="J3088" s="5">
        <v>59</v>
      </c>
      <c r="K3088" s="5">
        <v>349513</v>
      </c>
      <c r="L3088" s="5">
        <v>4597890</v>
      </c>
      <c r="M3088" s="5">
        <v>689471.06</v>
      </c>
      <c r="N3088" s="5">
        <v>0.16189999999999999</v>
      </c>
      <c r="O3088" s="5">
        <v>1</v>
      </c>
      <c r="P3088" s="5">
        <v>2137</v>
      </c>
    </row>
    <row r="3089" spans="1:16" x14ac:dyDescent="0.3">
      <c r="A3089" s="5">
        <v>97</v>
      </c>
      <c r="B3089" s="5" t="s">
        <v>144</v>
      </c>
      <c r="C3089" s="5">
        <v>2</v>
      </c>
      <c r="D3089" s="5" t="s">
        <v>88</v>
      </c>
      <c r="E3089" s="5">
        <v>2022</v>
      </c>
      <c r="F3089" s="5">
        <v>2</v>
      </c>
      <c r="G3089" s="5" t="s">
        <v>35</v>
      </c>
      <c r="H3089" s="5">
        <v>2340354</v>
      </c>
      <c r="I3089" s="5">
        <v>1957750.35</v>
      </c>
      <c r="J3089" s="5">
        <v>38</v>
      </c>
      <c r="K3089" s="5">
        <v>162911</v>
      </c>
      <c r="L3089" s="5">
        <v>2500650</v>
      </c>
      <c r="M3089" s="5">
        <v>382603.65</v>
      </c>
      <c r="N3089" s="5">
        <v>0.16350000000000001</v>
      </c>
      <c r="O3089" s="5">
        <v>1</v>
      </c>
      <c r="P3089" s="5">
        <v>20620</v>
      </c>
    </row>
    <row r="3090" spans="1:16" x14ac:dyDescent="0.3">
      <c r="A3090" s="5">
        <v>97</v>
      </c>
      <c r="B3090" s="5" t="s">
        <v>144</v>
      </c>
      <c r="C3090" s="5">
        <v>2</v>
      </c>
      <c r="D3090" s="5" t="s">
        <v>88</v>
      </c>
      <c r="E3090" s="5">
        <v>2022</v>
      </c>
      <c r="F3090" s="5">
        <v>3</v>
      </c>
      <c r="G3090" s="5" t="s">
        <v>36</v>
      </c>
      <c r="H3090" s="5">
        <v>4759648</v>
      </c>
      <c r="I3090" s="5">
        <v>4212105.07</v>
      </c>
      <c r="J3090" s="5">
        <v>63</v>
      </c>
      <c r="K3090" s="5">
        <v>624470</v>
      </c>
      <c r="L3090" s="5">
        <v>5375470</v>
      </c>
      <c r="M3090" s="5">
        <v>547542.93000000005</v>
      </c>
      <c r="N3090" s="5">
        <v>0.115</v>
      </c>
      <c r="O3090" s="5">
        <v>6</v>
      </c>
      <c r="P3090" s="5">
        <v>162349</v>
      </c>
    </row>
    <row r="3091" spans="1:16" x14ac:dyDescent="0.3">
      <c r="A3091" s="5">
        <v>97</v>
      </c>
      <c r="B3091" s="5" t="s">
        <v>144</v>
      </c>
      <c r="C3091" s="5">
        <v>2</v>
      </c>
      <c r="D3091" s="5" t="s">
        <v>88</v>
      </c>
      <c r="E3091" s="5">
        <v>2022</v>
      </c>
      <c r="F3091" s="5">
        <v>4</v>
      </c>
      <c r="G3091" s="5" t="s">
        <v>37</v>
      </c>
      <c r="H3091" s="5">
        <v>3576492</v>
      </c>
      <c r="I3091" s="5">
        <v>3093103.42</v>
      </c>
      <c r="J3091" s="5">
        <v>53</v>
      </c>
      <c r="K3091" s="5">
        <v>416417</v>
      </c>
      <c r="L3091" s="5">
        <v>3984680</v>
      </c>
      <c r="M3091" s="5">
        <v>483388.58</v>
      </c>
      <c r="N3091" s="5">
        <v>0.13519999999999999</v>
      </c>
      <c r="O3091" s="5">
        <v>3</v>
      </c>
      <c r="P3091" s="5">
        <v>23180</v>
      </c>
    </row>
    <row r="3092" spans="1:16" x14ac:dyDescent="0.3">
      <c r="A3092" s="5">
        <v>97</v>
      </c>
      <c r="B3092" s="5" t="s">
        <v>144</v>
      </c>
      <c r="C3092" s="5">
        <v>2</v>
      </c>
      <c r="D3092" s="5" t="s">
        <v>88</v>
      </c>
      <c r="E3092" s="5">
        <v>2022</v>
      </c>
      <c r="F3092" s="5">
        <v>5</v>
      </c>
      <c r="G3092" s="5" t="s">
        <v>38</v>
      </c>
      <c r="H3092" s="5">
        <v>5927547</v>
      </c>
      <c r="I3092" s="5">
        <v>5257866.82</v>
      </c>
      <c r="J3092" s="5">
        <v>78</v>
      </c>
      <c r="K3092" s="5">
        <v>788293</v>
      </c>
      <c r="L3092" s="5">
        <v>6685020</v>
      </c>
      <c r="M3092" s="5">
        <v>669680.18000000005</v>
      </c>
      <c r="N3092" s="5">
        <v>0.113</v>
      </c>
      <c r="O3092" s="5">
        <v>3</v>
      </c>
      <c r="P3092" s="5">
        <v>69272</v>
      </c>
    </row>
    <row r="3093" spans="1:16" x14ac:dyDescent="0.3">
      <c r="A3093" s="5">
        <v>97</v>
      </c>
      <c r="B3093" s="5" t="s">
        <v>144</v>
      </c>
      <c r="C3093" s="5">
        <v>2</v>
      </c>
      <c r="D3093" s="5" t="s">
        <v>88</v>
      </c>
      <c r="E3093" s="5">
        <v>2022</v>
      </c>
      <c r="F3093" s="5">
        <v>6</v>
      </c>
      <c r="G3093" s="5" t="s">
        <v>39</v>
      </c>
      <c r="H3093" s="5">
        <v>2858113</v>
      </c>
      <c r="I3093" s="5">
        <v>2467167.38</v>
      </c>
      <c r="J3093" s="5">
        <v>48</v>
      </c>
      <c r="K3093" s="5">
        <v>293029</v>
      </c>
      <c r="L3093" s="5">
        <v>3140290</v>
      </c>
      <c r="M3093" s="5">
        <v>390945.62</v>
      </c>
      <c r="N3093" s="5">
        <v>0.1368</v>
      </c>
      <c r="O3093" s="5">
        <v>5</v>
      </c>
      <c r="P3093" s="5">
        <v>99099</v>
      </c>
    </row>
    <row r="3094" spans="1:16" x14ac:dyDescent="0.3">
      <c r="A3094" s="5">
        <v>97</v>
      </c>
      <c r="B3094" s="5" t="s">
        <v>144</v>
      </c>
      <c r="C3094" s="5">
        <v>2</v>
      </c>
      <c r="D3094" s="5" t="s">
        <v>88</v>
      </c>
      <c r="E3094" s="5">
        <v>2022</v>
      </c>
      <c r="F3094" s="5">
        <v>7</v>
      </c>
      <c r="G3094" s="5" t="s">
        <v>40</v>
      </c>
      <c r="H3094" s="5">
        <v>2796383</v>
      </c>
      <c r="I3094" s="5">
        <v>2488083.9300000002</v>
      </c>
      <c r="J3094" s="5">
        <v>61</v>
      </c>
      <c r="K3094" s="5">
        <v>425073</v>
      </c>
      <c r="L3094" s="5">
        <v>3209500</v>
      </c>
      <c r="M3094" s="5">
        <v>308299.07</v>
      </c>
      <c r="N3094" s="5">
        <v>0.11020000000000001</v>
      </c>
      <c r="O3094" s="5">
        <v>5</v>
      </c>
      <c r="P3094" s="5">
        <v>26286</v>
      </c>
    </row>
    <row r="3095" spans="1:16" x14ac:dyDescent="0.3">
      <c r="A3095" s="5">
        <v>97</v>
      </c>
      <c r="B3095" s="5" t="s">
        <v>144</v>
      </c>
      <c r="C3095" s="5">
        <v>2</v>
      </c>
      <c r="D3095" s="5" t="s">
        <v>88</v>
      </c>
      <c r="E3095" s="5">
        <v>2022</v>
      </c>
      <c r="F3095" s="5">
        <v>8</v>
      </c>
      <c r="G3095" s="5" t="s">
        <v>41</v>
      </c>
      <c r="H3095" s="5">
        <v>3828635</v>
      </c>
      <c r="I3095" s="5">
        <v>3506640.07</v>
      </c>
      <c r="J3095" s="5">
        <v>72</v>
      </c>
      <c r="K3095" s="5">
        <v>715506</v>
      </c>
      <c r="L3095" s="5">
        <v>4527570</v>
      </c>
      <c r="M3095" s="5">
        <v>321994.93</v>
      </c>
      <c r="N3095" s="5">
        <v>8.4099999999999994E-2</v>
      </c>
      <c r="O3095" s="5">
        <v>4</v>
      </c>
      <c r="P3095" s="5">
        <v>99283</v>
      </c>
    </row>
    <row r="3096" spans="1:16" x14ac:dyDescent="0.3">
      <c r="A3096" s="5">
        <v>97</v>
      </c>
      <c r="B3096" s="5" t="s">
        <v>144</v>
      </c>
      <c r="C3096" s="5">
        <v>2</v>
      </c>
      <c r="D3096" s="5" t="s">
        <v>88</v>
      </c>
      <c r="E3096" s="5">
        <v>2022</v>
      </c>
      <c r="F3096" s="5">
        <v>9</v>
      </c>
      <c r="G3096" s="5" t="s">
        <v>42</v>
      </c>
      <c r="H3096" s="5">
        <v>4019647</v>
      </c>
      <c r="I3096" s="5">
        <v>3461169.54</v>
      </c>
      <c r="J3096" s="5">
        <v>71</v>
      </c>
      <c r="K3096" s="5">
        <v>484847</v>
      </c>
      <c r="L3096" s="5">
        <v>4494980</v>
      </c>
      <c r="M3096" s="5">
        <v>558477.46</v>
      </c>
      <c r="N3096" s="5">
        <v>0.1389</v>
      </c>
      <c r="O3096" s="5">
        <v>5</v>
      </c>
      <c r="P3096" s="5">
        <v>65474</v>
      </c>
    </row>
    <row r="3097" spans="1:16" x14ac:dyDescent="0.3">
      <c r="A3097" s="5">
        <v>97</v>
      </c>
      <c r="B3097" s="5" t="s">
        <v>144</v>
      </c>
      <c r="C3097" s="5">
        <v>2</v>
      </c>
      <c r="D3097" s="5" t="s">
        <v>88</v>
      </c>
      <c r="E3097" s="5">
        <v>2022</v>
      </c>
      <c r="F3097" s="5">
        <v>10</v>
      </c>
      <c r="G3097" s="5" t="s">
        <v>43</v>
      </c>
      <c r="H3097" s="5">
        <v>5292114</v>
      </c>
      <c r="I3097" s="5">
        <v>4992442.58</v>
      </c>
      <c r="J3097" s="5">
        <v>87</v>
      </c>
      <c r="K3097" s="5">
        <v>1073367</v>
      </c>
      <c r="L3097" s="5">
        <v>6351020</v>
      </c>
      <c r="M3097" s="5">
        <v>299671.42</v>
      </c>
      <c r="N3097" s="5">
        <v>5.6599999999999998E-2</v>
      </c>
      <c r="O3097" s="5">
        <v>5</v>
      </c>
      <c r="P3097" s="5">
        <v>16522</v>
      </c>
    </row>
    <row r="3098" spans="1:16" x14ac:dyDescent="0.3">
      <c r="A3098" s="5">
        <v>97</v>
      </c>
      <c r="B3098" s="5" t="s">
        <v>144</v>
      </c>
      <c r="C3098" s="5">
        <v>2</v>
      </c>
      <c r="D3098" s="5" t="s">
        <v>88</v>
      </c>
      <c r="E3098" s="5">
        <v>2022</v>
      </c>
      <c r="F3098" s="5">
        <v>11</v>
      </c>
      <c r="G3098" s="5" t="s">
        <v>44</v>
      </c>
      <c r="H3098" s="5">
        <v>6740109</v>
      </c>
      <c r="I3098" s="5">
        <v>5780663.7800000003</v>
      </c>
      <c r="J3098" s="5">
        <v>97</v>
      </c>
      <c r="K3098" s="5">
        <v>635766</v>
      </c>
      <c r="L3098" s="5">
        <v>7360330</v>
      </c>
      <c r="M3098" s="5">
        <v>959445.22</v>
      </c>
      <c r="N3098" s="5">
        <v>0.14230000000000001</v>
      </c>
      <c r="O3098" s="5">
        <v>7</v>
      </c>
      <c r="P3098" s="5">
        <v>376660</v>
      </c>
    </row>
    <row r="3099" spans="1:16" x14ac:dyDescent="0.3">
      <c r="A3099" s="5">
        <v>97</v>
      </c>
      <c r="B3099" s="5" t="s">
        <v>144</v>
      </c>
      <c r="C3099" s="5">
        <v>2</v>
      </c>
      <c r="D3099" s="5" t="s">
        <v>88</v>
      </c>
      <c r="E3099" s="5">
        <v>2022</v>
      </c>
      <c r="F3099" s="5">
        <v>12</v>
      </c>
      <c r="G3099" s="5" t="s">
        <v>45</v>
      </c>
      <c r="H3099" s="5">
        <v>5032291</v>
      </c>
      <c r="I3099" s="5">
        <v>4121730.69</v>
      </c>
      <c r="J3099" s="5">
        <v>85</v>
      </c>
      <c r="K3099" s="5">
        <v>352768</v>
      </c>
      <c r="L3099" s="5">
        <v>5371800</v>
      </c>
      <c r="M3099" s="5">
        <v>910560.31</v>
      </c>
      <c r="N3099" s="5">
        <v>0.18090000000000001</v>
      </c>
      <c r="O3099" s="5">
        <v>7</v>
      </c>
      <c r="P3099" s="5">
        <v>139931</v>
      </c>
    </row>
    <row r="3100" spans="1:16" x14ac:dyDescent="0.3">
      <c r="A3100" s="5">
        <v>97</v>
      </c>
      <c r="B3100" s="5" t="s">
        <v>144</v>
      </c>
      <c r="C3100" s="5">
        <v>2</v>
      </c>
      <c r="D3100" s="5" t="s">
        <v>88</v>
      </c>
      <c r="E3100" s="5">
        <v>2023</v>
      </c>
      <c r="F3100" s="5">
        <v>1</v>
      </c>
      <c r="G3100" s="5" t="s">
        <v>46</v>
      </c>
      <c r="H3100" s="5">
        <v>3787306</v>
      </c>
      <c r="I3100" s="5">
        <v>3407652.26</v>
      </c>
      <c r="J3100" s="5">
        <v>60</v>
      </c>
      <c r="K3100" s="5">
        <v>589626</v>
      </c>
      <c r="L3100" s="5">
        <v>4359750</v>
      </c>
      <c r="M3100" s="5">
        <v>379653.74</v>
      </c>
      <c r="N3100" s="5">
        <v>0.1002</v>
      </c>
      <c r="O3100" s="5">
        <v>2</v>
      </c>
      <c r="P3100" s="5">
        <v>5663</v>
      </c>
    </row>
    <row r="3101" spans="1:16" x14ac:dyDescent="0.3">
      <c r="A3101" s="5">
        <v>97</v>
      </c>
      <c r="B3101" s="5" t="s">
        <v>144</v>
      </c>
      <c r="C3101" s="5">
        <v>2</v>
      </c>
      <c r="D3101" s="5" t="s">
        <v>88</v>
      </c>
      <c r="E3101" s="5">
        <v>2023</v>
      </c>
      <c r="F3101" s="5">
        <v>2</v>
      </c>
      <c r="G3101" s="5" t="s">
        <v>47</v>
      </c>
      <c r="H3101" s="5">
        <v>3829842</v>
      </c>
      <c r="I3101" s="5">
        <v>3163923.96</v>
      </c>
      <c r="J3101" s="5">
        <v>69</v>
      </c>
      <c r="K3101" s="5">
        <v>402670</v>
      </c>
      <c r="L3101" s="5">
        <v>4222410</v>
      </c>
      <c r="M3101" s="5">
        <v>665918.04</v>
      </c>
      <c r="N3101" s="5">
        <v>0.1739</v>
      </c>
      <c r="O3101" s="5">
        <v>5</v>
      </c>
      <c r="P3101" s="5">
        <v>135569</v>
      </c>
    </row>
    <row r="3102" spans="1:16" x14ac:dyDescent="0.3">
      <c r="A3102" s="5">
        <v>97</v>
      </c>
      <c r="B3102" s="5" t="s">
        <v>144</v>
      </c>
      <c r="C3102" s="5">
        <v>2</v>
      </c>
      <c r="D3102" s="5" t="s">
        <v>88</v>
      </c>
      <c r="E3102" s="5">
        <v>2023</v>
      </c>
      <c r="F3102" s="5">
        <v>3</v>
      </c>
      <c r="G3102" s="5" t="s">
        <v>48</v>
      </c>
      <c r="H3102" s="5">
        <v>5814410</v>
      </c>
      <c r="I3102" s="5">
        <v>5291054.97</v>
      </c>
      <c r="J3102" s="5">
        <v>83</v>
      </c>
      <c r="K3102" s="5">
        <v>943883</v>
      </c>
      <c r="L3102" s="5">
        <v>6743050</v>
      </c>
      <c r="M3102" s="5">
        <v>523355.03</v>
      </c>
      <c r="N3102" s="5">
        <v>0.09</v>
      </c>
      <c r="O3102" s="5">
        <v>7</v>
      </c>
      <c r="P3102" s="5">
        <v>248298</v>
      </c>
    </row>
    <row r="3103" spans="1:16" x14ac:dyDescent="0.3">
      <c r="A3103" s="5">
        <v>97</v>
      </c>
      <c r="B3103" s="5" t="s">
        <v>144</v>
      </c>
      <c r="C3103" s="5">
        <v>2</v>
      </c>
      <c r="D3103" s="5" t="s">
        <v>88</v>
      </c>
      <c r="E3103" s="5">
        <v>2023</v>
      </c>
      <c r="F3103" s="5">
        <v>4</v>
      </c>
      <c r="G3103" s="5" t="s">
        <v>49</v>
      </c>
      <c r="H3103" s="5">
        <v>4703818</v>
      </c>
      <c r="I3103" s="5">
        <v>4196792.8600000003</v>
      </c>
      <c r="J3103" s="5">
        <v>61</v>
      </c>
      <c r="K3103" s="5">
        <v>635362</v>
      </c>
      <c r="L3103" s="5">
        <v>5310790</v>
      </c>
      <c r="M3103" s="5">
        <v>507025.14</v>
      </c>
      <c r="N3103" s="5">
        <v>0.10780000000000001</v>
      </c>
      <c r="O3103" s="5">
        <v>8</v>
      </c>
      <c r="P3103" s="5">
        <v>305495</v>
      </c>
    </row>
    <row r="3104" spans="1:16" x14ac:dyDescent="0.3">
      <c r="A3104" s="5">
        <v>97</v>
      </c>
      <c r="B3104" s="5" t="s">
        <v>144</v>
      </c>
      <c r="C3104" s="5">
        <v>2</v>
      </c>
      <c r="D3104" s="5" t="s">
        <v>88</v>
      </c>
      <c r="E3104" s="5">
        <v>2023</v>
      </c>
      <c r="F3104" s="5">
        <v>5</v>
      </c>
      <c r="G3104" s="5" t="s">
        <v>50</v>
      </c>
      <c r="H3104" s="5">
        <v>5676213</v>
      </c>
      <c r="I3104" s="5">
        <v>4974573.8499999996</v>
      </c>
      <c r="J3104" s="5">
        <v>113</v>
      </c>
      <c r="K3104" s="5">
        <v>808461</v>
      </c>
      <c r="L3104" s="5">
        <v>6464010</v>
      </c>
      <c r="M3104" s="5">
        <v>701639.15</v>
      </c>
      <c r="N3104" s="5">
        <v>0.1236</v>
      </c>
      <c r="O3104" s="5">
        <v>5</v>
      </c>
      <c r="P3104" s="5">
        <v>431996</v>
      </c>
    </row>
    <row r="3105" spans="1:16" x14ac:dyDescent="0.3">
      <c r="A3105" s="5">
        <v>97</v>
      </c>
      <c r="B3105" s="5" t="s">
        <v>144</v>
      </c>
      <c r="C3105" s="5">
        <v>2</v>
      </c>
      <c r="D3105" s="5" t="s">
        <v>88</v>
      </c>
      <c r="E3105" s="5">
        <v>2023</v>
      </c>
      <c r="F3105" s="5">
        <v>6</v>
      </c>
      <c r="G3105" s="5" t="s">
        <v>51</v>
      </c>
      <c r="H3105" s="5">
        <v>5314249</v>
      </c>
      <c r="I3105" s="5">
        <v>4442327.13</v>
      </c>
      <c r="J3105" s="5">
        <v>80</v>
      </c>
      <c r="K3105" s="5">
        <v>515485</v>
      </c>
      <c r="L3105" s="5">
        <v>5814060</v>
      </c>
      <c r="M3105" s="5">
        <v>871921.87</v>
      </c>
      <c r="N3105" s="5">
        <v>0.1641</v>
      </c>
      <c r="O3105" s="5">
        <v>2</v>
      </c>
      <c r="P3105" s="5">
        <v>81168</v>
      </c>
    </row>
    <row r="3106" spans="1:16" x14ac:dyDescent="0.3">
      <c r="A3106" s="5">
        <v>97</v>
      </c>
      <c r="B3106" s="5" t="s">
        <v>144</v>
      </c>
      <c r="C3106" s="5">
        <v>2</v>
      </c>
      <c r="D3106" s="5" t="s">
        <v>88</v>
      </c>
      <c r="E3106" s="5">
        <v>2023</v>
      </c>
      <c r="F3106" s="5">
        <v>7</v>
      </c>
      <c r="G3106" s="5" t="s">
        <v>52</v>
      </c>
      <c r="H3106" s="5">
        <v>6790858</v>
      </c>
      <c r="I3106" s="5">
        <v>5977064.5999999996</v>
      </c>
      <c r="J3106" s="5">
        <v>92</v>
      </c>
      <c r="K3106" s="5">
        <v>804666</v>
      </c>
      <c r="L3106" s="5">
        <v>7574760</v>
      </c>
      <c r="M3106" s="5">
        <v>813793.4</v>
      </c>
      <c r="N3106" s="5">
        <v>0.1198</v>
      </c>
      <c r="O3106" s="5">
        <v>7</v>
      </c>
      <c r="P3106" s="5">
        <v>195751</v>
      </c>
    </row>
    <row r="3107" spans="1:16" x14ac:dyDescent="0.3">
      <c r="A3107" s="5">
        <v>97</v>
      </c>
      <c r="B3107" s="5" t="s">
        <v>144</v>
      </c>
      <c r="C3107" s="5">
        <v>2</v>
      </c>
      <c r="D3107" s="5" t="s">
        <v>88</v>
      </c>
      <c r="E3107" s="5">
        <v>2023</v>
      </c>
      <c r="F3107" s="5">
        <v>8</v>
      </c>
      <c r="G3107" s="5" t="s">
        <v>53</v>
      </c>
      <c r="H3107" s="5">
        <v>6383126</v>
      </c>
      <c r="I3107" s="5">
        <v>5648785.9299999997</v>
      </c>
      <c r="J3107" s="5">
        <v>90</v>
      </c>
      <c r="K3107" s="5">
        <v>845389</v>
      </c>
      <c r="L3107" s="5">
        <v>7204950</v>
      </c>
      <c r="M3107" s="5">
        <v>734340.07</v>
      </c>
      <c r="N3107" s="5">
        <v>0.115</v>
      </c>
      <c r="O3107" s="5">
        <v>8</v>
      </c>
      <c r="P3107" s="5">
        <v>193177</v>
      </c>
    </row>
    <row r="3108" spans="1:16" x14ac:dyDescent="0.3">
      <c r="A3108" s="5">
        <v>97</v>
      </c>
      <c r="B3108" s="5" t="s">
        <v>144</v>
      </c>
      <c r="C3108" s="5">
        <v>2</v>
      </c>
      <c r="D3108" s="5" t="s">
        <v>88</v>
      </c>
      <c r="E3108" s="5">
        <v>2023</v>
      </c>
      <c r="F3108" s="5">
        <v>9</v>
      </c>
      <c r="G3108" s="5" t="s">
        <v>54</v>
      </c>
      <c r="H3108" s="5">
        <v>6583255</v>
      </c>
      <c r="I3108" s="5">
        <v>5961119.5599999996</v>
      </c>
      <c r="J3108" s="5">
        <v>85</v>
      </c>
      <c r="K3108" s="5">
        <v>1012614</v>
      </c>
      <c r="L3108" s="5">
        <v>7571480</v>
      </c>
      <c r="M3108" s="5">
        <v>622135.43999999994</v>
      </c>
      <c r="N3108" s="5">
        <v>9.4500000000000001E-2</v>
      </c>
      <c r="O3108" s="5">
        <v>10</v>
      </c>
      <c r="P3108" s="5">
        <v>221050</v>
      </c>
    </row>
    <row r="3109" spans="1:16" x14ac:dyDescent="0.3">
      <c r="A3109" s="5">
        <v>97</v>
      </c>
      <c r="B3109" s="5" t="s">
        <v>144</v>
      </c>
      <c r="C3109" s="5">
        <v>2</v>
      </c>
      <c r="D3109" s="5" t="s">
        <v>88</v>
      </c>
      <c r="E3109" s="5">
        <v>2023</v>
      </c>
      <c r="F3109" s="5">
        <v>10</v>
      </c>
      <c r="G3109" s="5" t="s">
        <v>55</v>
      </c>
      <c r="H3109" s="5">
        <v>4841453</v>
      </c>
      <c r="I3109" s="5">
        <v>4216068.21</v>
      </c>
      <c r="J3109" s="5">
        <v>87</v>
      </c>
      <c r="K3109" s="5">
        <v>671798</v>
      </c>
      <c r="L3109" s="5">
        <v>5504180</v>
      </c>
      <c r="M3109" s="5">
        <v>625384.79</v>
      </c>
      <c r="N3109" s="5">
        <v>0.12920000000000001</v>
      </c>
      <c r="O3109" s="5">
        <v>6</v>
      </c>
      <c r="P3109" s="5">
        <v>67870</v>
      </c>
    </row>
    <row r="3110" spans="1:16" x14ac:dyDescent="0.3">
      <c r="A3110" s="5">
        <v>97</v>
      </c>
      <c r="B3110" s="5" t="s">
        <v>144</v>
      </c>
      <c r="C3110" s="5">
        <v>2</v>
      </c>
      <c r="D3110" s="5" t="s">
        <v>88</v>
      </c>
      <c r="E3110" s="5">
        <v>2023</v>
      </c>
      <c r="F3110" s="5">
        <v>11</v>
      </c>
      <c r="G3110" s="5" t="s">
        <v>56</v>
      </c>
      <c r="H3110" s="5">
        <v>7445439</v>
      </c>
      <c r="I3110" s="5">
        <v>6635806.9299999997</v>
      </c>
      <c r="J3110" s="5">
        <v>102</v>
      </c>
      <c r="K3110" s="5">
        <v>993874</v>
      </c>
      <c r="L3110" s="5">
        <v>8415590</v>
      </c>
      <c r="M3110" s="5">
        <v>809632.07</v>
      </c>
      <c r="N3110" s="5">
        <v>0.1087</v>
      </c>
      <c r="O3110" s="5">
        <v>7</v>
      </c>
      <c r="P3110" s="5">
        <v>326484</v>
      </c>
    </row>
    <row r="3111" spans="1:16" x14ac:dyDescent="0.3">
      <c r="A3111" s="5">
        <v>97</v>
      </c>
      <c r="B3111" s="5" t="s">
        <v>144</v>
      </c>
      <c r="C3111" s="5">
        <v>2</v>
      </c>
      <c r="D3111" s="5" t="s">
        <v>88</v>
      </c>
      <c r="E3111" s="5">
        <v>2023</v>
      </c>
      <c r="F3111" s="5">
        <v>12</v>
      </c>
      <c r="G3111" s="5" t="s">
        <v>57</v>
      </c>
      <c r="H3111" s="5">
        <v>9828419</v>
      </c>
      <c r="I3111" s="5">
        <v>8806529.9000000004</v>
      </c>
      <c r="J3111" s="5">
        <v>135</v>
      </c>
      <c r="K3111" s="5">
        <v>1387488</v>
      </c>
      <c r="L3111" s="5">
        <v>11173240</v>
      </c>
      <c r="M3111" s="5">
        <v>1021889.1</v>
      </c>
      <c r="N3111" s="5">
        <v>0.104</v>
      </c>
      <c r="O3111" s="5">
        <v>11</v>
      </c>
      <c r="P3111" s="5">
        <v>75083</v>
      </c>
    </row>
    <row r="3112" spans="1:16" x14ac:dyDescent="0.3">
      <c r="A3112" s="5">
        <v>97</v>
      </c>
      <c r="B3112" s="5" t="s">
        <v>144</v>
      </c>
      <c r="C3112" s="5">
        <v>2</v>
      </c>
      <c r="D3112" s="5" t="s">
        <v>88</v>
      </c>
      <c r="E3112" s="5">
        <v>2024</v>
      </c>
      <c r="F3112" s="5">
        <v>1</v>
      </c>
      <c r="G3112" s="5" t="s">
        <v>58</v>
      </c>
      <c r="H3112" s="5">
        <v>7605811</v>
      </c>
      <c r="I3112" s="5">
        <v>6862180.1500000004</v>
      </c>
      <c r="J3112" s="5">
        <v>94</v>
      </c>
      <c r="K3112" s="5">
        <v>1100728</v>
      </c>
      <c r="L3112" s="5">
        <v>8683030</v>
      </c>
      <c r="M3112" s="5">
        <v>743630.85</v>
      </c>
      <c r="N3112" s="5">
        <v>9.7799999999999998E-2</v>
      </c>
      <c r="O3112" s="5">
        <v>7</v>
      </c>
      <c r="P3112" s="5">
        <v>154216</v>
      </c>
    </row>
    <row r="3113" spans="1:16" x14ac:dyDescent="0.3">
      <c r="A3113" s="5">
        <v>97</v>
      </c>
      <c r="B3113" s="5" t="s">
        <v>144</v>
      </c>
      <c r="C3113" s="5">
        <v>2</v>
      </c>
      <c r="D3113" s="5" t="s">
        <v>88</v>
      </c>
      <c r="E3113" s="5">
        <v>2024</v>
      </c>
      <c r="F3113" s="5">
        <v>2</v>
      </c>
      <c r="G3113" s="5" t="s">
        <v>59</v>
      </c>
      <c r="H3113" s="5">
        <v>5849490</v>
      </c>
      <c r="I3113" s="5">
        <v>4822175.82</v>
      </c>
      <c r="J3113" s="5">
        <v>79</v>
      </c>
      <c r="K3113" s="5">
        <v>403124</v>
      </c>
      <c r="L3113" s="5">
        <v>6215010</v>
      </c>
      <c r="M3113" s="5">
        <v>1027314.18</v>
      </c>
      <c r="N3113" s="5">
        <v>0.17560000000000001</v>
      </c>
      <c r="O3113" s="5">
        <v>5</v>
      </c>
      <c r="P3113" s="5">
        <v>295630</v>
      </c>
    </row>
    <row r="3114" spans="1:16" x14ac:dyDescent="0.3">
      <c r="A3114" s="5">
        <v>97</v>
      </c>
      <c r="B3114" s="5" t="s">
        <v>144</v>
      </c>
      <c r="C3114" s="5">
        <v>2</v>
      </c>
      <c r="D3114" s="5" t="s">
        <v>88</v>
      </c>
      <c r="E3114" s="5">
        <v>2024</v>
      </c>
      <c r="F3114" s="5">
        <v>3</v>
      </c>
      <c r="G3114" s="5" t="s">
        <v>60</v>
      </c>
      <c r="H3114" s="5">
        <v>6263417</v>
      </c>
      <c r="I3114" s="5">
        <v>5468070.6600000001</v>
      </c>
      <c r="J3114" s="5">
        <v>86</v>
      </c>
      <c r="K3114" s="5">
        <v>800662</v>
      </c>
      <c r="L3114" s="5">
        <v>7047520</v>
      </c>
      <c r="M3114" s="5">
        <v>795346.34</v>
      </c>
      <c r="N3114" s="5">
        <v>0.127</v>
      </c>
      <c r="O3114" s="5">
        <v>6</v>
      </c>
      <c r="P3114" s="5">
        <v>130867</v>
      </c>
    </row>
    <row r="3115" spans="1:16" x14ac:dyDescent="0.3">
      <c r="A3115" s="5">
        <v>97</v>
      </c>
      <c r="B3115" s="5" t="s">
        <v>144</v>
      </c>
      <c r="C3115" s="5">
        <v>2</v>
      </c>
      <c r="D3115" s="5" t="s">
        <v>88</v>
      </c>
      <c r="E3115" s="5">
        <v>2024</v>
      </c>
      <c r="F3115" s="5">
        <v>4</v>
      </c>
      <c r="G3115" s="5" t="s">
        <v>61</v>
      </c>
      <c r="H3115" s="5">
        <v>6515855</v>
      </c>
      <c r="I3115" s="5">
        <v>5662586.7599999998</v>
      </c>
      <c r="J3115" s="5">
        <v>89</v>
      </c>
      <c r="K3115" s="5">
        <v>798606</v>
      </c>
      <c r="L3115" s="5">
        <v>7291590</v>
      </c>
      <c r="M3115" s="5">
        <v>853268.24</v>
      </c>
      <c r="N3115" s="5">
        <v>0.13100000000000001</v>
      </c>
      <c r="O3115" s="5">
        <v>5</v>
      </c>
      <c r="P3115" s="5">
        <v>168775</v>
      </c>
    </row>
    <row r="3116" spans="1:16" x14ac:dyDescent="0.3">
      <c r="A3116" s="5">
        <v>97</v>
      </c>
      <c r="B3116" s="5" t="s">
        <v>144</v>
      </c>
      <c r="C3116" s="5">
        <v>2</v>
      </c>
      <c r="D3116" s="5" t="s">
        <v>88</v>
      </c>
      <c r="E3116" s="5">
        <v>2024</v>
      </c>
      <c r="F3116" s="5">
        <v>5</v>
      </c>
      <c r="G3116" s="5" t="s">
        <v>62</v>
      </c>
      <c r="H3116" s="5">
        <v>5158884</v>
      </c>
      <c r="I3116" s="5">
        <v>4358529.57</v>
      </c>
      <c r="J3116" s="5">
        <v>91</v>
      </c>
      <c r="K3116" s="5">
        <v>529764</v>
      </c>
      <c r="L3116" s="5">
        <v>5675740</v>
      </c>
      <c r="M3116" s="5">
        <v>800354.43</v>
      </c>
      <c r="N3116" s="5">
        <v>0.15509999999999999</v>
      </c>
      <c r="O3116" s="5">
        <v>8</v>
      </c>
      <c r="P3116" s="5">
        <v>246247</v>
      </c>
    </row>
    <row r="3117" spans="1:16" x14ac:dyDescent="0.3">
      <c r="A3117" s="5">
        <v>97</v>
      </c>
      <c r="B3117" s="5" t="s">
        <v>144</v>
      </c>
      <c r="C3117" s="5">
        <v>2</v>
      </c>
      <c r="D3117" s="5" t="s">
        <v>88</v>
      </c>
      <c r="E3117" s="5">
        <v>2024</v>
      </c>
      <c r="F3117" s="5">
        <v>6</v>
      </c>
      <c r="G3117" s="5" t="s">
        <v>63</v>
      </c>
      <c r="H3117" s="5">
        <v>7319270</v>
      </c>
      <c r="I3117" s="5">
        <v>5978727.1799999997</v>
      </c>
      <c r="J3117" s="5">
        <v>93</v>
      </c>
      <c r="K3117" s="5">
        <v>422173</v>
      </c>
      <c r="L3117" s="5">
        <v>7719380</v>
      </c>
      <c r="M3117" s="5">
        <v>1340542.82</v>
      </c>
      <c r="N3117" s="5">
        <v>0.1832</v>
      </c>
      <c r="O3117" s="5">
        <v>6</v>
      </c>
      <c r="P3117" s="5">
        <v>162800</v>
      </c>
    </row>
    <row r="3118" spans="1:16" x14ac:dyDescent="0.3">
      <c r="A3118" s="5">
        <v>97</v>
      </c>
      <c r="B3118" s="5" t="s">
        <v>144</v>
      </c>
      <c r="C3118" s="5">
        <v>2</v>
      </c>
      <c r="D3118" s="5" t="s">
        <v>88</v>
      </c>
      <c r="E3118" s="5">
        <v>2024</v>
      </c>
      <c r="F3118" s="5">
        <v>7</v>
      </c>
      <c r="G3118" s="5" t="s">
        <v>64</v>
      </c>
      <c r="H3118" s="5">
        <v>5472653</v>
      </c>
      <c r="I3118" s="5">
        <v>4719045.63</v>
      </c>
      <c r="J3118" s="5">
        <v>90</v>
      </c>
      <c r="K3118" s="5">
        <v>586170</v>
      </c>
      <c r="L3118" s="5">
        <v>6043740</v>
      </c>
      <c r="M3118" s="5">
        <v>753607.37</v>
      </c>
      <c r="N3118" s="5">
        <v>0.13769999999999999</v>
      </c>
      <c r="O3118" s="5">
        <v>10</v>
      </c>
      <c r="P3118" s="5">
        <v>327402</v>
      </c>
    </row>
    <row r="3119" spans="1:16" x14ac:dyDescent="0.3">
      <c r="A3119" s="5">
        <v>97</v>
      </c>
      <c r="B3119" s="5" t="s">
        <v>144</v>
      </c>
      <c r="C3119" s="5">
        <v>2</v>
      </c>
      <c r="D3119" s="5" t="s">
        <v>88</v>
      </c>
      <c r="E3119" s="5">
        <v>2024</v>
      </c>
      <c r="F3119" s="5">
        <v>8</v>
      </c>
      <c r="G3119" s="5" t="s">
        <v>65</v>
      </c>
      <c r="H3119" s="5">
        <v>4317626</v>
      </c>
      <c r="I3119" s="5">
        <v>3703194.7</v>
      </c>
      <c r="J3119" s="5">
        <v>76</v>
      </c>
      <c r="K3119" s="5">
        <v>509053</v>
      </c>
      <c r="L3119" s="5">
        <v>4819230</v>
      </c>
      <c r="M3119" s="5">
        <v>614431.30000000005</v>
      </c>
      <c r="N3119" s="5">
        <v>0.14230000000000001</v>
      </c>
      <c r="O3119" s="5">
        <v>9</v>
      </c>
      <c r="P3119" s="5">
        <v>375993</v>
      </c>
    </row>
    <row r="3120" spans="1:16" x14ac:dyDescent="0.3">
      <c r="A3120" s="5">
        <v>97</v>
      </c>
      <c r="B3120" s="5" t="s">
        <v>144</v>
      </c>
      <c r="C3120" s="5">
        <v>2</v>
      </c>
      <c r="D3120" s="5" t="s">
        <v>88</v>
      </c>
      <c r="E3120" s="5">
        <v>2024</v>
      </c>
      <c r="F3120" s="5">
        <v>9</v>
      </c>
      <c r="G3120" s="5" t="s">
        <v>66</v>
      </c>
      <c r="H3120" s="5">
        <v>6500031</v>
      </c>
      <c r="I3120" s="5">
        <v>5343448.6100000003</v>
      </c>
      <c r="J3120" s="5">
        <v>91</v>
      </c>
      <c r="K3120" s="5">
        <v>377273</v>
      </c>
      <c r="L3120" s="5">
        <v>6858550</v>
      </c>
      <c r="M3120" s="5">
        <v>1156582.3899999999</v>
      </c>
      <c r="N3120" s="5">
        <v>0.1779</v>
      </c>
      <c r="O3120" s="5">
        <v>8</v>
      </c>
      <c r="P3120" s="5">
        <v>281222</v>
      </c>
    </row>
    <row r="3121" spans="1:16" x14ac:dyDescent="0.3">
      <c r="A3121" s="5">
        <v>97</v>
      </c>
      <c r="B3121" s="5" t="s">
        <v>144</v>
      </c>
      <c r="C3121" s="5">
        <v>2</v>
      </c>
      <c r="D3121" s="5" t="s">
        <v>88</v>
      </c>
      <c r="E3121" s="5">
        <v>2024</v>
      </c>
      <c r="F3121" s="5">
        <v>10</v>
      </c>
      <c r="G3121" s="5" t="s">
        <v>67</v>
      </c>
      <c r="H3121" s="5">
        <v>9464043</v>
      </c>
      <c r="I3121" s="5">
        <v>7631744.4199999999</v>
      </c>
      <c r="J3121" s="5">
        <v>123</v>
      </c>
      <c r="K3121" s="5">
        <v>341991</v>
      </c>
      <c r="L3121" s="5">
        <v>9777250</v>
      </c>
      <c r="M3121" s="5">
        <v>1832298.58</v>
      </c>
      <c r="N3121" s="5">
        <v>0.19359999999999999</v>
      </c>
      <c r="O3121" s="5">
        <v>7</v>
      </c>
      <c r="P3121" s="5">
        <v>148174</v>
      </c>
    </row>
    <row r="3122" spans="1:16" x14ac:dyDescent="0.3">
      <c r="A3122" s="5">
        <v>97</v>
      </c>
      <c r="B3122" s="5" t="s">
        <v>144</v>
      </c>
      <c r="C3122" s="5">
        <v>2</v>
      </c>
      <c r="D3122" s="5" t="s">
        <v>88</v>
      </c>
      <c r="E3122" s="5">
        <v>2024</v>
      </c>
      <c r="F3122" s="5">
        <v>11</v>
      </c>
      <c r="G3122" s="5" t="s">
        <v>68</v>
      </c>
      <c r="H3122" s="5">
        <v>9735821</v>
      </c>
      <c r="I3122" s="5">
        <v>8029454.1299999999</v>
      </c>
      <c r="J3122" s="5">
        <v>145</v>
      </c>
      <c r="K3122" s="5">
        <v>759456</v>
      </c>
      <c r="L3122" s="5">
        <v>10461800</v>
      </c>
      <c r="M3122" s="5">
        <v>1706366.87</v>
      </c>
      <c r="N3122" s="5">
        <v>0.17530000000000001</v>
      </c>
      <c r="O3122" s="5">
        <v>5</v>
      </c>
      <c r="P3122" s="5">
        <v>76385</v>
      </c>
    </row>
    <row r="3123" spans="1:16" x14ac:dyDescent="0.3">
      <c r="A3123" s="5">
        <v>97</v>
      </c>
      <c r="B3123" s="5" t="s">
        <v>144</v>
      </c>
      <c r="C3123" s="5">
        <v>2</v>
      </c>
      <c r="D3123" s="5" t="s">
        <v>88</v>
      </c>
      <c r="E3123" s="5">
        <v>2024</v>
      </c>
      <c r="F3123" s="5">
        <v>12</v>
      </c>
      <c r="G3123" s="5" t="s">
        <v>69</v>
      </c>
      <c r="H3123" s="5">
        <v>7772233</v>
      </c>
      <c r="I3123" s="5">
        <v>6267181.0700000003</v>
      </c>
      <c r="J3123" s="5">
        <v>109</v>
      </c>
      <c r="K3123" s="5">
        <v>296833</v>
      </c>
      <c r="L3123" s="5">
        <v>8056430</v>
      </c>
      <c r="M3123" s="5">
        <v>1505051.93</v>
      </c>
      <c r="N3123" s="5">
        <v>0.19359999999999999</v>
      </c>
      <c r="O3123" s="5">
        <v>9</v>
      </c>
      <c r="P3123" s="5">
        <v>737182</v>
      </c>
    </row>
    <row r="3124" spans="1:16" x14ac:dyDescent="0.3">
      <c r="A3124" s="5">
        <v>58</v>
      </c>
      <c r="B3124" s="5" t="s">
        <v>145</v>
      </c>
      <c r="C3124" s="5">
        <v>2</v>
      </c>
      <c r="D3124" s="5" t="s">
        <v>88</v>
      </c>
      <c r="E3124" s="5">
        <v>2021</v>
      </c>
      <c r="F3124" s="5">
        <v>1</v>
      </c>
      <c r="G3124" s="5" t="s">
        <v>22</v>
      </c>
      <c r="H3124" s="5">
        <v>926527</v>
      </c>
      <c r="I3124" s="5">
        <v>848496.94</v>
      </c>
      <c r="J3124" s="5">
        <v>11</v>
      </c>
      <c r="K3124" s="5">
        <v>128807</v>
      </c>
      <c r="L3124" s="5">
        <v>1047410</v>
      </c>
      <c r="M3124" s="5">
        <v>78030.06</v>
      </c>
      <c r="N3124" s="5">
        <v>8.4199999999999997E-2</v>
      </c>
      <c r="O3124" s="5">
        <v>0</v>
      </c>
      <c r="P3124" s="5">
        <v>0</v>
      </c>
    </row>
    <row r="3125" spans="1:16" x14ac:dyDescent="0.3">
      <c r="A3125" s="5">
        <v>63</v>
      </c>
      <c r="B3125" s="5" t="s">
        <v>145</v>
      </c>
      <c r="C3125" s="5">
        <v>2</v>
      </c>
      <c r="D3125" s="5" t="s">
        <v>88</v>
      </c>
      <c r="E3125" s="5">
        <v>2021</v>
      </c>
      <c r="F3125" s="5">
        <v>1</v>
      </c>
      <c r="G3125" s="5" t="s">
        <v>22</v>
      </c>
      <c r="H3125" s="5">
        <v>1352244</v>
      </c>
      <c r="I3125" s="5">
        <v>1326918.73</v>
      </c>
      <c r="J3125" s="5">
        <v>16</v>
      </c>
      <c r="K3125" s="5">
        <v>260837</v>
      </c>
      <c r="L3125" s="5">
        <v>1611290</v>
      </c>
      <c r="M3125" s="5">
        <v>25325.27</v>
      </c>
      <c r="N3125" s="5">
        <v>1.8700000000000001E-2</v>
      </c>
      <c r="O3125" s="5">
        <v>1</v>
      </c>
      <c r="P3125" s="5">
        <v>89788</v>
      </c>
    </row>
    <row r="3126" spans="1:16" x14ac:dyDescent="0.3">
      <c r="A3126" s="5">
        <v>73</v>
      </c>
      <c r="B3126" s="5" t="s">
        <v>145</v>
      </c>
      <c r="C3126" s="5">
        <v>2</v>
      </c>
      <c r="D3126" s="5" t="s">
        <v>88</v>
      </c>
      <c r="E3126" s="5">
        <v>2021</v>
      </c>
      <c r="F3126" s="5">
        <v>1</v>
      </c>
      <c r="G3126" s="5" t="s">
        <v>22</v>
      </c>
      <c r="H3126" s="5">
        <v>1154890</v>
      </c>
      <c r="I3126" s="5">
        <v>965558.03</v>
      </c>
      <c r="J3126" s="5">
        <v>16</v>
      </c>
      <c r="K3126" s="5">
        <v>157432</v>
      </c>
      <c r="L3126" s="5">
        <v>1311160</v>
      </c>
      <c r="M3126" s="5">
        <v>189331.97</v>
      </c>
      <c r="N3126" s="5">
        <v>0.16389999999999999</v>
      </c>
      <c r="O3126" s="5">
        <v>1</v>
      </c>
      <c r="P3126" s="5">
        <v>31205</v>
      </c>
    </row>
    <row r="3127" spans="1:16" x14ac:dyDescent="0.3">
      <c r="A3127" s="5">
        <v>58</v>
      </c>
      <c r="B3127" s="5" t="s">
        <v>145</v>
      </c>
      <c r="C3127" s="5">
        <v>2</v>
      </c>
      <c r="D3127" s="5" t="s">
        <v>88</v>
      </c>
      <c r="E3127" s="5">
        <v>2021</v>
      </c>
      <c r="F3127" s="5">
        <v>2</v>
      </c>
      <c r="G3127" s="5" t="s">
        <v>23</v>
      </c>
      <c r="H3127" s="5">
        <v>870359</v>
      </c>
      <c r="I3127" s="5">
        <v>735164.53</v>
      </c>
      <c r="J3127" s="5">
        <v>15</v>
      </c>
      <c r="K3127" s="5">
        <v>86647</v>
      </c>
      <c r="L3127" s="5">
        <v>953210</v>
      </c>
      <c r="M3127" s="5">
        <v>135194.47</v>
      </c>
      <c r="N3127" s="5">
        <v>0.15529999999999999</v>
      </c>
      <c r="O3127" s="5">
        <v>2</v>
      </c>
      <c r="P3127" s="5">
        <v>26453</v>
      </c>
    </row>
    <row r="3128" spans="1:16" x14ac:dyDescent="0.3">
      <c r="A3128" s="5">
        <v>63</v>
      </c>
      <c r="B3128" s="5" t="s">
        <v>145</v>
      </c>
      <c r="C3128" s="5">
        <v>2</v>
      </c>
      <c r="D3128" s="5" t="s">
        <v>88</v>
      </c>
      <c r="E3128" s="5">
        <v>2021</v>
      </c>
      <c r="F3128" s="5">
        <v>2</v>
      </c>
      <c r="G3128" s="5" t="s">
        <v>23</v>
      </c>
      <c r="H3128" s="5">
        <v>642476</v>
      </c>
      <c r="I3128" s="5">
        <v>577960.75</v>
      </c>
      <c r="J3128" s="5">
        <v>15</v>
      </c>
      <c r="K3128" s="5">
        <v>113090</v>
      </c>
      <c r="L3128" s="5">
        <v>753090</v>
      </c>
      <c r="M3128" s="5">
        <v>64515.25</v>
      </c>
      <c r="N3128" s="5">
        <v>0.1004</v>
      </c>
      <c r="O3128" s="5">
        <v>0</v>
      </c>
      <c r="P3128" s="5">
        <v>0</v>
      </c>
    </row>
    <row r="3129" spans="1:16" x14ac:dyDescent="0.3">
      <c r="A3129" s="5">
        <v>73</v>
      </c>
      <c r="B3129" s="5" t="s">
        <v>145</v>
      </c>
      <c r="C3129" s="5">
        <v>2</v>
      </c>
      <c r="D3129" s="5" t="s">
        <v>88</v>
      </c>
      <c r="E3129" s="5">
        <v>2021</v>
      </c>
      <c r="F3129" s="5">
        <v>2</v>
      </c>
      <c r="G3129" s="5" t="s">
        <v>23</v>
      </c>
      <c r="H3129" s="5">
        <v>862507</v>
      </c>
      <c r="I3129" s="5">
        <v>775272.78</v>
      </c>
      <c r="J3129" s="5">
        <v>14</v>
      </c>
      <c r="K3129" s="5">
        <v>138408</v>
      </c>
      <c r="L3129" s="5">
        <v>999380</v>
      </c>
      <c r="M3129" s="5">
        <v>87234.22</v>
      </c>
      <c r="N3129" s="5">
        <v>0.1011</v>
      </c>
      <c r="O3129" s="5">
        <v>2</v>
      </c>
      <c r="P3129" s="5">
        <v>2440</v>
      </c>
    </row>
    <row r="3130" spans="1:16" x14ac:dyDescent="0.3">
      <c r="A3130" s="5">
        <v>58</v>
      </c>
      <c r="B3130" s="5" t="s">
        <v>145</v>
      </c>
      <c r="C3130" s="5">
        <v>2</v>
      </c>
      <c r="D3130" s="5" t="s">
        <v>88</v>
      </c>
      <c r="E3130" s="5">
        <v>2021</v>
      </c>
      <c r="F3130" s="5">
        <v>3</v>
      </c>
      <c r="G3130" s="5" t="s">
        <v>24</v>
      </c>
      <c r="H3130" s="5">
        <v>1235758</v>
      </c>
      <c r="I3130" s="5">
        <v>1122730.69</v>
      </c>
      <c r="J3130" s="5">
        <v>14</v>
      </c>
      <c r="K3130" s="5">
        <v>187126</v>
      </c>
      <c r="L3130" s="5">
        <v>1421930</v>
      </c>
      <c r="M3130" s="5">
        <v>113027.31</v>
      </c>
      <c r="N3130" s="5">
        <v>9.1499999999999998E-2</v>
      </c>
      <c r="O3130" s="5">
        <v>2</v>
      </c>
      <c r="P3130" s="5">
        <v>57445</v>
      </c>
    </row>
    <row r="3131" spans="1:16" x14ac:dyDescent="0.3">
      <c r="A3131" s="5">
        <v>63</v>
      </c>
      <c r="B3131" s="5" t="s">
        <v>145</v>
      </c>
      <c r="C3131" s="5">
        <v>2</v>
      </c>
      <c r="D3131" s="5" t="s">
        <v>88</v>
      </c>
      <c r="E3131" s="5">
        <v>2021</v>
      </c>
      <c r="F3131" s="5">
        <v>3</v>
      </c>
      <c r="G3131" s="5" t="s">
        <v>24</v>
      </c>
      <c r="H3131" s="5">
        <v>1708923</v>
      </c>
      <c r="I3131" s="5">
        <v>1359420.28</v>
      </c>
      <c r="J3131" s="5">
        <v>23</v>
      </c>
      <c r="K3131" s="5">
        <v>95262</v>
      </c>
      <c r="L3131" s="5">
        <v>1794830</v>
      </c>
      <c r="M3131" s="5">
        <v>349502.71999999997</v>
      </c>
      <c r="N3131" s="5">
        <v>0.20449999999999999</v>
      </c>
      <c r="O3131" s="5">
        <v>2</v>
      </c>
      <c r="P3131" s="5">
        <v>8532</v>
      </c>
    </row>
    <row r="3132" spans="1:16" x14ac:dyDescent="0.3">
      <c r="A3132" s="5">
        <v>73</v>
      </c>
      <c r="B3132" s="5" t="s">
        <v>145</v>
      </c>
      <c r="C3132" s="5">
        <v>2</v>
      </c>
      <c r="D3132" s="5" t="s">
        <v>88</v>
      </c>
      <c r="E3132" s="5">
        <v>2021</v>
      </c>
      <c r="F3132" s="5">
        <v>3</v>
      </c>
      <c r="G3132" s="5" t="s">
        <v>24</v>
      </c>
      <c r="H3132" s="5">
        <v>666902</v>
      </c>
      <c r="I3132" s="5">
        <v>546190.18999999994</v>
      </c>
      <c r="J3132" s="5">
        <v>13</v>
      </c>
      <c r="K3132" s="5">
        <v>23710</v>
      </c>
      <c r="L3132" s="5">
        <v>687720</v>
      </c>
      <c r="M3132" s="5">
        <v>120711.81</v>
      </c>
      <c r="N3132" s="5">
        <v>0.18099999999999999</v>
      </c>
      <c r="O3132" s="5">
        <v>3</v>
      </c>
      <c r="P3132" s="5">
        <v>17239</v>
      </c>
    </row>
    <row r="3133" spans="1:16" x14ac:dyDescent="0.3">
      <c r="A3133" s="5">
        <v>58</v>
      </c>
      <c r="B3133" s="5" t="s">
        <v>145</v>
      </c>
      <c r="C3133" s="5">
        <v>2</v>
      </c>
      <c r="D3133" s="5" t="s">
        <v>88</v>
      </c>
      <c r="E3133" s="5">
        <v>2021</v>
      </c>
      <c r="F3133" s="5">
        <v>4</v>
      </c>
      <c r="G3133" s="5" t="s">
        <v>25</v>
      </c>
      <c r="H3133" s="5">
        <v>554489</v>
      </c>
      <c r="I3133" s="5">
        <v>451191.1</v>
      </c>
      <c r="J3133" s="5">
        <v>11</v>
      </c>
      <c r="K3133" s="5">
        <v>42862</v>
      </c>
      <c r="L3133" s="5">
        <v>591660</v>
      </c>
      <c r="M3133" s="5">
        <v>103297.9</v>
      </c>
      <c r="N3133" s="5">
        <v>0.18629999999999999</v>
      </c>
      <c r="O3133" s="5">
        <v>0</v>
      </c>
      <c r="P3133" s="5">
        <v>0</v>
      </c>
    </row>
    <row r="3134" spans="1:16" x14ac:dyDescent="0.3">
      <c r="A3134" s="5">
        <v>63</v>
      </c>
      <c r="B3134" s="5" t="s">
        <v>145</v>
      </c>
      <c r="C3134" s="5">
        <v>2</v>
      </c>
      <c r="D3134" s="5" t="s">
        <v>88</v>
      </c>
      <c r="E3134" s="5">
        <v>2021</v>
      </c>
      <c r="F3134" s="5">
        <v>4</v>
      </c>
      <c r="G3134" s="5" t="s">
        <v>25</v>
      </c>
      <c r="H3134" s="5">
        <v>1053826</v>
      </c>
      <c r="I3134" s="5">
        <v>888833.32</v>
      </c>
      <c r="J3134" s="5">
        <v>22</v>
      </c>
      <c r="K3134" s="5">
        <v>106314</v>
      </c>
      <c r="L3134" s="5">
        <v>1159660</v>
      </c>
      <c r="M3134" s="5">
        <v>164992.68</v>
      </c>
      <c r="N3134" s="5">
        <v>0.15659999999999999</v>
      </c>
      <c r="O3134" s="5">
        <v>1</v>
      </c>
      <c r="P3134" s="5">
        <v>9422</v>
      </c>
    </row>
    <row r="3135" spans="1:16" x14ac:dyDescent="0.3">
      <c r="A3135" s="5">
        <v>73</v>
      </c>
      <c r="B3135" s="5" t="s">
        <v>145</v>
      </c>
      <c r="C3135" s="5">
        <v>2</v>
      </c>
      <c r="D3135" s="5" t="s">
        <v>88</v>
      </c>
      <c r="E3135" s="5">
        <v>2021</v>
      </c>
      <c r="F3135" s="5">
        <v>4</v>
      </c>
      <c r="G3135" s="5" t="s">
        <v>25</v>
      </c>
      <c r="H3135" s="5">
        <v>1448060</v>
      </c>
      <c r="I3135" s="5">
        <v>1210716.8899999999</v>
      </c>
      <c r="J3135" s="5">
        <v>19</v>
      </c>
      <c r="K3135" s="5">
        <v>117079</v>
      </c>
      <c r="L3135" s="5">
        <v>1561300</v>
      </c>
      <c r="M3135" s="5">
        <v>237343.11</v>
      </c>
      <c r="N3135" s="5">
        <v>0.16389999999999999</v>
      </c>
      <c r="O3135" s="5">
        <v>2</v>
      </c>
      <c r="P3135" s="5">
        <v>146116</v>
      </c>
    </row>
    <row r="3136" spans="1:16" x14ac:dyDescent="0.3">
      <c r="A3136" s="5">
        <v>58</v>
      </c>
      <c r="B3136" s="5" t="s">
        <v>145</v>
      </c>
      <c r="C3136" s="5">
        <v>2</v>
      </c>
      <c r="D3136" s="5" t="s">
        <v>88</v>
      </c>
      <c r="E3136" s="5">
        <v>2021</v>
      </c>
      <c r="F3136" s="5">
        <v>5</v>
      </c>
      <c r="G3136" s="5" t="s">
        <v>26</v>
      </c>
      <c r="H3136" s="5">
        <v>766854</v>
      </c>
      <c r="I3136" s="5">
        <v>672306.87</v>
      </c>
      <c r="J3136" s="5">
        <v>14</v>
      </c>
      <c r="K3136" s="5">
        <v>93974</v>
      </c>
      <c r="L3136" s="5">
        <v>858920</v>
      </c>
      <c r="M3136" s="5">
        <v>94547.13</v>
      </c>
      <c r="N3136" s="5">
        <v>0.12330000000000001</v>
      </c>
      <c r="O3136" s="5">
        <v>0</v>
      </c>
      <c r="P3136" s="5">
        <v>0</v>
      </c>
    </row>
    <row r="3137" spans="1:16" x14ac:dyDescent="0.3">
      <c r="A3137" s="5">
        <v>63</v>
      </c>
      <c r="B3137" s="5" t="s">
        <v>145</v>
      </c>
      <c r="C3137" s="5">
        <v>2</v>
      </c>
      <c r="D3137" s="5" t="s">
        <v>88</v>
      </c>
      <c r="E3137" s="5">
        <v>2021</v>
      </c>
      <c r="F3137" s="5">
        <v>5</v>
      </c>
      <c r="G3137" s="5" t="s">
        <v>26</v>
      </c>
      <c r="H3137" s="5">
        <v>1145374</v>
      </c>
      <c r="I3137" s="5">
        <v>898714.69</v>
      </c>
      <c r="J3137" s="5">
        <v>24</v>
      </c>
      <c r="K3137" s="5">
        <v>63393</v>
      </c>
      <c r="L3137" s="5">
        <v>1197780</v>
      </c>
      <c r="M3137" s="5">
        <v>246659.31</v>
      </c>
      <c r="N3137" s="5">
        <v>0.21540000000000001</v>
      </c>
      <c r="O3137" s="5">
        <v>0</v>
      </c>
      <c r="P3137" s="5">
        <v>0</v>
      </c>
    </row>
    <row r="3138" spans="1:16" x14ac:dyDescent="0.3">
      <c r="A3138" s="5">
        <v>73</v>
      </c>
      <c r="B3138" s="5" t="s">
        <v>145</v>
      </c>
      <c r="C3138" s="5">
        <v>2</v>
      </c>
      <c r="D3138" s="5" t="s">
        <v>88</v>
      </c>
      <c r="E3138" s="5">
        <v>2021</v>
      </c>
      <c r="F3138" s="5">
        <v>5</v>
      </c>
      <c r="G3138" s="5" t="s">
        <v>26</v>
      </c>
      <c r="H3138" s="5">
        <v>1026628</v>
      </c>
      <c r="I3138" s="5">
        <v>833395.35</v>
      </c>
      <c r="J3138" s="5">
        <v>22</v>
      </c>
      <c r="K3138" s="5">
        <v>92887</v>
      </c>
      <c r="L3138" s="5">
        <v>1114270</v>
      </c>
      <c r="M3138" s="5">
        <v>193232.65</v>
      </c>
      <c r="N3138" s="5">
        <v>0.18820000000000001</v>
      </c>
      <c r="O3138" s="5">
        <v>6</v>
      </c>
      <c r="P3138" s="5">
        <v>203102</v>
      </c>
    </row>
    <row r="3139" spans="1:16" x14ac:dyDescent="0.3">
      <c r="A3139" s="5">
        <v>58</v>
      </c>
      <c r="B3139" s="5" t="s">
        <v>145</v>
      </c>
      <c r="C3139" s="5">
        <v>2</v>
      </c>
      <c r="D3139" s="5" t="s">
        <v>88</v>
      </c>
      <c r="E3139" s="5">
        <v>2021</v>
      </c>
      <c r="F3139" s="5">
        <v>6</v>
      </c>
      <c r="G3139" s="5" t="s">
        <v>27</v>
      </c>
      <c r="H3139" s="5">
        <v>1166351</v>
      </c>
      <c r="I3139" s="5">
        <v>943464.27</v>
      </c>
      <c r="J3139" s="5">
        <v>20</v>
      </c>
      <c r="K3139" s="5">
        <v>96332</v>
      </c>
      <c r="L3139" s="5">
        <v>1260680</v>
      </c>
      <c r="M3139" s="5">
        <v>222886.73</v>
      </c>
      <c r="N3139" s="5">
        <v>0.19109999999999999</v>
      </c>
      <c r="O3139" s="5">
        <v>1</v>
      </c>
      <c r="P3139" s="5">
        <v>17288</v>
      </c>
    </row>
    <row r="3140" spans="1:16" x14ac:dyDescent="0.3">
      <c r="A3140" s="5">
        <v>63</v>
      </c>
      <c r="B3140" s="5" t="s">
        <v>145</v>
      </c>
      <c r="C3140" s="5">
        <v>2</v>
      </c>
      <c r="D3140" s="5" t="s">
        <v>88</v>
      </c>
      <c r="E3140" s="5">
        <v>2021</v>
      </c>
      <c r="F3140" s="5">
        <v>6</v>
      </c>
      <c r="G3140" s="5" t="s">
        <v>27</v>
      </c>
      <c r="H3140" s="5">
        <v>1579203</v>
      </c>
      <c r="I3140" s="5">
        <v>1451142.76</v>
      </c>
      <c r="J3140" s="5">
        <v>18</v>
      </c>
      <c r="K3140" s="5">
        <v>280282</v>
      </c>
      <c r="L3140" s="5">
        <v>1857510</v>
      </c>
      <c r="M3140" s="5">
        <v>128060.24</v>
      </c>
      <c r="N3140" s="5">
        <v>8.1100000000000005E-2</v>
      </c>
      <c r="O3140" s="5">
        <v>1</v>
      </c>
      <c r="P3140" s="5">
        <v>964</v>
      </c>
    </row>
    <row r="3141" spans="1:16" x14ac:dyDescent="0.3">
      <c r="A3141" s="5">
        <v>73</v>
      </c>
      <c r="B3141" s="5" t="s">
        <v>145</v>
      </c>
      <c r="C3141" s="5">
        <v>2</v>
      </c>
      <c r="D3141" s="5" t="s">
        <v>88</v>
      </c>
      <c r="E3141" s="5">
        <v>2021</v>
      </c>
      <c r="F3141" s="5">
        <v>6</v>
      </c>
      <c r="G3141" s="5" t="s">
        <v>27</v>
      </c>
      <c r="H3141" s="5">
        <v>671429</v>
      </c>
      <c r="I3141" s="5">
        <v>601385.72</v>
      </c>
      <c r="J3141" s="5">
        <v>14</v>
      </c>
      <c r="K3141" s="5">
        <v>135442</v>
      </c>
      <c r="L3141" s="5">
        <v>804290</v>
      </c>
      <c r="M3141" s="5">
        <v>70043.28</v>
      </c>
      <c r="N3141" s="5">
        <v>0.1043</v>
      </c>
      <c r="O3141" s="5">
        <v>2</v>
      </c>
      <c r="P3141" s="5">
        <v>5978</v>
      </c>
    </row>
    <row r="3142" spans="1:16" x14ac:dyDescent="0.3">
      <c r="A3142" s="5">
        <v>58</v>
      </c>
      <c r="B3142" s="5" t="s">
        <v>145</v>
      </c>
      <c r="C3142" s="5">
        <v>2</v>
      </c>
      <c r="D3142" s="5" t="s">
        <v>88</v>
      </c>
      <c r="E3142" s="5">
        <v>2021</v>
      </c>
      <c r="F3142" s="5">
        <v>7</v>
      </c>
      <c r="G3142" s="5" t="s">
        <v>28</v>
      </c>
      <c r="H3142" s="5">
        <v>2236230</v>
      </c>
      <c r="I3142" s="5">
        <v>1906766.99</v>
      </c>
      <c r="J3142" s="5">
        <v>17</v>
      </c>
      <c r="K3142" s="5">
        <v>208101</v>
      </c>
      <c r="L3142" s="5">
        <v>2437960</v>
      </c>
      <c r="M3142" s="5">
        <v>329463.01</v>
      </c>
      <c r="N3142" s="5">
        <v>0.14729999999999999</v>
      </c>
      <c r="O3142" s="5">
        <v>0</v>
      </c>
      <c r="P3142" s="5">
        <v>0</v>
      </c>
    </row>
    <row r="3143" spans="1:16" x14ac:dyDescent="0.3">
      <c r="A3143" s="5">
        <v>63</v>
      </c>
      <c r="B3143" s="5" t="s">
        <v>145</v>
      </c>
      <c r="C3143" s="5">
        <v>2</v>
      </c>
      <c r="D3143" s="5" t="s">
        <v>88</v>
      </c>
      <c r="E3143" s="5">
        <v>2021</v>
      </c>
      <c r="F3143" s="5">
        <v>7</v>
      </c>
      <c r="G3143" s="5" t="s">
        <v>28</v>
      </c>
      <c r="H3143" s="5">
        <v>1651701</v>
      </c>
      <c r="I3143" s="5">
        <v>1482837.21</v>
      </c>
      <c r="J3143" s="5">
        <v>27</v>
      </c>
      <c r="K3143" s="5">
        <v>287379</v>
      </c>
      <c r="L3143" s="5">
        <v>1936530</v>
      </c>
      <c r="M3143" s="5">
        <v>168863.79</v>
      </c>
      <c r="N3143" s="5">
        <v>0.1022</v>
      </c>
      <c r="O3143" s="5">
        <v>2</v>
      </c>
      <c r="P3143" s="5">
        <v>111122</v>
      </c>
    </row>
    <row r="3144" spans="1:16" x14ac:dyDescent="0.3">
      <c r="A3144" s="5">
        <v>73</v>
      </c>
      <c r="B3144" s="5" t="s">
        <v>145</v>
      </c>
      <c r="C3144" s="5">
        <v>2</v>
      </c>
      <c r="D3144" s="5" t="s">
        <v>88</v>
      </c>
      <c r="E3144" s="5">
        <v>2021</v>
      </c>
      <c r="F3144" s="5">
        <v>7</v>
      </c>
      <c r="G3144" s="5" t="s">
        <v>28</v>
      </c>
      <c r="H3144" s="5">
        <v>1746061</v>
      </c>
      <c r="I3144" s="5">
        <v>1527307.5</v>
      </c>
      <c r="J3144" s="5">
        <v>27</v>
      </c>
      <c r="K3144" s="5">
        <v>176794</v>
      </c>
      <c r="L3144" s="5">
        <v>1916190</v>
      </c>
      <c r="M3144" s="5">
        <v>218753.5</v>
      </c>
      <c r="N3144" s="5">
        <v>0.12529999999999999</v>
      </c>
      <c r="O3144" s="5">
        <v>3</v>
      </c>
      <c r="P3144" s="5">
        <v>56803</v>
      </c>
    </row>
    <row r="3145" spans="1:16" x14ac:dyDescent="0.3">
      <c r="A3145" s="5">
        <v>58</v>
      </c>
      <c r="B3145" s="5" t="s">
        <v>145</v>
      </c>
      <c r="C3145" s="5">
        <v>2</v>
      </c>
      <c r="D3145" s="5" t="s">
        <v>88</v>
      </c>
      <c r="E3145" s="5">
        <v>2021</v>
      </c>
      <c r="F3145" s="5">
        <v>8</v>
      </c>
      <c r="G3145" s="5" t="s">
        <v>29</v>
      </c>
      <c r="H3145" s="5">
        <v>1253097</v>
      </c>
      <c r="I3145" s="5">
        <v>1064740.1000000001</v>
      </c>
      <c r="J3145" s="5">
        <v>18</v>
      </c>
      <c r="K3145" s="5">
        <v>115952</v>
      </c>
      <c r="L3145" s="5">
        <v>1365960</v>
      </c>
      <c r="M3145" s="5">
        <v>188356.9</v>
      </c>
      <c r="N3145" s="5">
        <v>0.15029999999999999</v>
      </c>
      <c r="O3145" s="5">
        <v>2</v>
      </c>
      <c r="P3145" s="5">
        <v>147664</v>
      </c>
    </row>
    <row r="3146" spans="1:16" x14ac:dyDescent="0.3">
      <c r="A3146" s="5">
        <v>63</v>
      </c>
      <c r="B3146" s="5" t="s">
        <v>145</v>
      </c>
      <c r="C3146" s="5">
        <v>2</v>
      </c>
      <c r="D3146" s="5" t="s">
        <v>88</v>
      </c>
      <c r="E3146" s="5">
        <v>2021</v>
      </c>
      <c r="F3146" s="5">
        <v>8</v>
      </c>
      <c r="G3146" s="5" t="s">
        <v>29</v>
      </c>
      <c r="H3146" s="5">
        <v>1622296</v>
      </c>
      <c r="I3146" s="5">
        <v>1348742.34</v>
      </c>
      <c r="J3146" s="5">
        <v>28</v>
      </c>
      <c r="K3146" s="5">
        <v>133967</v>
      </c>
      <c r="L3146" s="5">
        <v>1751340</v>
      </c>
      <c r="M3146" s="5">
        <v>273553.65999999997</v>
      </c>
      <c r="N3146" s="5">
        <v>0.1686</v>
      </c>
      <c r="O3146" s="5">
        <v>4</v>
      </c>
      <c r="P3146" s="5">
        <v>87379</v>
      </c>
    </row>
    <row r="3147" spans="1:16" x14ac:dyDescent="0.3">
      <c r="A3147" s="5">
        <v>73</v>
      </c>
      <c r="B3147" s="5" t="s">
        <v>145</v>
      </c>
      <c r="C3147" s="5">
        <v>2</v>
      </c>
      <c r="D3147" s="5" t="s">
        <v>88</v>
      </c>
      <c r="E3147" s="5">
        <v>2021</v>
      </c>
      <c r="F3147" s="5">
        <v>8</v>
      </c>
      <c r="G3147" s="5" t="s">
        <v>29</v>
      </c>
      <c r="H3147" s="5">
        <v>982863</v>
      </c>
      <c r="I3147" s="5">
        <v>793789.75</v>
      </c>
      <c r="J3147" s="5">
        <v>18</v>
      </c>
      <c r="K3147" s="5">
        <v>71300</v>
      </c>
      <c r="L3147" s="5">
        <v>1051230</v>
      </c>
      <c r="M3147" s="5">
        <v>189073.25</v>
      </c>
      <c r="N3147" s="5">
        <v>0.19239999999999999</v>
      </c>
      <c r="O3147" s="5">
        <v>2</v>
      </c>
      <c r="P3147" s="5">
        <v>54494</v>
      </c>
    </row>
    <row r="3148" spans="1:16" x14ac:dyDescent="0.3">
      <c r="A3148" s="5">
        <v>58</v>
      </c>
      <c r="B3148" s="5" t="s">
        <v>145</v>
      </c>
      <c r="C3148" s="5">
        <v>2</v>
      </c>
      <c r="D3148" s="5" t="s">
        <v>88</v>
      </c>
      <c r="E3148" s="5">
        <v>2021</v>
      </c>
      <c r="F3148" s="5">
        <v>9</v>
      </c>
      <c r="G3148" s="5" t="s">
        <v>30</v>
      </c>
      <c r="H3148" s="5">
        <v>897055</v>
      </c>
      <c r="I3148" s="5">
        <v>787289.53</v>
      </c>
      <c r="J3148" s="5">
        <v>19</v>
      </c>
      <c r="K3148" s="5">
        <v>139973</v>
      </c>
      <c r="L3148" s="5">
        <v>1035110</v>
      </c>
      <c r="M3148" s="5">
        <v>109765.47</v>
      </c>
      <c r="N3148" s="5">
        <v>0.12239999999999999</v>
      </c>
      <c r="O3148" s="5">
        <v>5</v>
      </c>
      <c r="P3148" s="5">
        <v>96494</v>
      </c>
    </row>
    <row r="3149" spans="1:16" x14ac:dyDescent="0.3">
      <c r="A3149" s="5">
        <v>63</v>
      </c>
      <c r="B3149" s="5" t="s">
        <v>145</v>
      </c>
      <c r="C3149" s="5">
        <v>2</v>
      </c>
      <c r="D3149" s="5" t="s">
        <v>88</v>
      </c>
      <c r="E3149" s="5">
        <v>2021</v>
      </c>
      <c r="F3149" s="5">
        <v>9</v>
      </c>
      <c r="G3149" s="5" t="s">
        <v>30</v>
      </c>
      <c r="H3149" s="5">
        <v>1761817</v>
      </c>
      <c r="I3149" s="5">
        <v>1608637.82</v>
      </c>
      <c r="J3149" s="5">
        <v>27</v>
      </c>
      <c r="K3149" s="5">
        <v>303941</v>
      </c>
      <c r="L3149" s="5">
        <v>2063700</v>
      </c>
      <c r="M3149" s="5">
        <v>153179.18</v>
      </c>
      <c r="N3149" s="5">
        <v>8.6900000000000005E-2</v>
      </c>
      <c r="O3149" s="5">
        <v>5</v>
      </c>
      <c r="P3149" s="5">
        <v>262257</v>
      </c>
    </row>
    <row r="3150" spans="1:16" x14ac:dyDescent="0.3">
      <c r="A3150" s="5">
        <v>73</v>
      </c>
      <c r="B3150" s="5" t="s">
        <v>145</v>
      </c>
      <c r="C3150" s="5">
        <v>2</v>
      </c>
      <c r="D3150" s="5" t="s">
        <v>88</v>
      </c>
      <c r="E3150" s="5">
        <v>2021</v>
      </c>
      <c r="F3150" s="5">
        <v>9</v>
      </c>
      <c r="G3150" s="5" t="s">
        <v>30</v>
      </c>
      <c r="H3150" s="5">
        <v>842463</v>
      </c>
      <c r="I3150" s="5">
        <v>695778.16</v>
      </c>
      <c r="J3150" s="5">
        <v>19</v>
      </c>
      <c r="K3150" s="5">
        <v>98047</v>
      </c>
      <c r="L3150" s="5">
        <v>934000</v>
      </c>
      <c r="M3150" s="5">
        <v>146684.84</v>
      </c>
      <c r="N3150" s="5">
        <v>0.1741</v>
      </c>
      <c r="O3150" s="5">
        <v>3</v>
      </c>
      <c r="P3150" s="5">
        <v>16703</v>
      </c>
    </row>
    <row r="3151" spans="1:16" x14ac:dyDescent="0.3">
      <c r="A3151" s="5">
        <v>58</v>
      </c>
      <c r="B3151" s="5" t="s">
        <v>145</v>
      </c>
      <c r="C3151" s="5">
        <v>2</v>
      </c>
      <c r="D3151" s="5" t="s">
        <v>88</v>
      </c>
      <c r="E3151" s="5">
        <v>2021</v>
      </c>
      <c r="F3151" s="5">
        <v>10</v>
      </c>
      <c r="G3151" s="5" t="s">
        <v>31</v>
      </c>
      <c r="H3151" s="5">
        <v>1571971</v>
      </c>
      <c r="I3151" s="5">
        <v>1363306.09</v>
      </c>
      <c r="J3151" s="5">
        <v>28</v>
      </c>
      <c r="K3151" s="5">
        <v>194330</v>
      </c>
      <c r="L3151" s="5">
        <v>1762250</v>
      </c>
      <c r="M3151" s="5">
        <v>208664.91</v>
      </c>
      <c r="N3151" s="5">
        <v>0.13270000000000001</v>
      </c>
      <c r="O3151" s="5">
        <v>0</v>
      </c>
      <c r="P3151" s="5">
        <v>0</v>
      </c>
    </row>
    <row r="3152" spans="1:16" x14ac:dyDescent="0.3">
      <c r="A3152" s="5">
        <v>63</v>
      </c>
      <c r="B3152" s="5" t="s">
        <v>145</v>
      </c>
      <c r="C3152" s="5">
        <v>2</v>
      </c>
      <c r="D3152" s="5" t="s">
        <v>88</v>
      </c>
      <c r="E3152" s="5">
        <v>2021</v>
      </c>
      <c r="F3152" s="5">
        <v>10</v>
      </c>
      <c r="G3152" s="5" t="s">
        <v>31</v>
      </c>
      <c r="H3152" s="5">
        <v>2123478</v>
      </c>
      <c r="I3152" s="5">
        <v>1865009.8</v>
      </c>
      <c r="J3152" s="5">
        <v>31</v>
      </c>
      <c r="K3152" s="5">
        <v>255896</v>
      </c>
      <c r="L3152" s="5">
        <v>2374610</v>
      </c>
      <c r="M3152" s="5">
        <v>258468.2</v>
      </c>
      <c r="N3152" s="5">
        <v>0.1217</v>
      </c>
      <c r="O3152" s="5">
        <v>1</v>
      </c>
      <c r="P3152" s="5">
        <v>61498</v>
      </c>
    </row>
    <row r="3153" spans="1:16" x14ac:dyDescent="0.3">
      <c r="A3153" s="5">
        <v>73</v>
      </c>
      <c r="B3153" s="5" t="s">
        <v>145</v>
      </c>
      <c r="C3153" s="5">
        <v>2</v>
      </c>
      <c r="D3153" s="5" t="s">
        <v>88</v>
      </c>
      <c r="E3153" s="5">
        <v>2021</v>
      </c>
      <c r="F3153" s="5">
        <v>10</v>
      </c>
      <c r="G3153" s="5" t="s">
        <v>31</v>
      </c>
      <c r="H3153" s="5">
        <v>2068529</v>
      </c>
      <c r="I3153" s="5">
        <v>1703237.99</v>
      </c>
      <c r="J3153" s="5">
        <v>29</v>
      </c>
      <c r="K3153" s="5">
        <v>153964</v>
      </c>
      <c r="L3153" s="5">
        <v>2208830</v>
      </c>
      <c r="M3153" s="5">
        <v>365291.01</v>
      </c>
      <c r="N3153" s="5">
        <v>0.17660000000000001</v>
      </c>
      <c r="O3153" s="5">
        <v>2</v>
      </c>
      <c r="P3153" s="5">
        <v>14325</v>
      </c>
    </row>
    <row r="3154" spans="1:16" x14ac:dyDescent="0.3">
      <c r="A3154" s="5">
        <v>58</v>
      </c>
      <c r="B3154" s="5" t="s">
        <v>145</v>
      </c>
      <c r="C3154" s="5">
        <v>2</v>
      </c>
      <c r="D3154" s="5" t="s">
        <v>88</v>
      </c>
      <c r="E3154" s="5">
        <v>2021</v>
      </c>
      <c r="F3154" s="5">
        <v>11</v>
      </c>
      <c r="G3154" s="5" t="s">
        <v>32</v>
      </c>
      <c r="H3154" s="5">
        <v>2735403</v>
      </c>
      <c r="I3154" s="5">
        <v>2195436.2200000002</v>
      </c>
      <c r="J3154" s="5">
        <v>37</v>
      </c>
      <c r="K3154" s="5">
        <v>139490</v>
      </c>
      <c r="L3154" s="5">
        <v>2861350</v>
      </c>
      <c r="M3154" s="5">
        <v>539966.78</v>
      </c>
      <c r="N3154" s="5">
        <v>0.19739999999999999</v>
      </c>
      <c r="O3154" s="5">
        <v>2</v>
      </c>
      <c r="P3154" s="5">
        <v>22160</v>
      </c>
    </row>
    <row r="3155" spans="1:16" x14ac:dyDescent="0.3">
      <c r="A3155" s="5">
        <v>63</v>
      </c>
      <c r="B3155" s="5" t="s">
        <v>145</v>
      </c>
      <c r="C3155" s="5">
        <v>2</v>
      </c>
      <c r="D3155" s="5" t="s">
        <v>88</v>
      </c>
      <c r="E3155" s="5">
        <v>2021</v>
      </c>
      <c r="F3155" s="5">
        <v>11</v>
      </c>
      <c r="G3155" s="5" t="s">
        <v>32</v>
      </c>
      <c r="H3155" s="5">
        <v>1842233</v>
      </c>
      <c r="I3155" s="5">
        <v>1518142.85</v>
      </c>
      <c r="J3155" s="5">
        <v>31</v>
      </c>
      <c r="K3155" s="5">
        <v>142546</v>
      </c>
      <c r="L3155" s="5">
        <v>1983660</v>
      </c>
      <c r="M3155" s="5">
        <v>324090.15000000002</v>
      </c>
      <c r="N3155" s="5">
        <v>0.1759</v>
      </c>
      <c r="O3155" s="5">
        <v>3</v>
      </c>
      <c r="P3155" s="5">
        <v>125190</v>
      </c>
    </row>
    <row r="3156" spans="1:16" x14ac:dyDescent="0.3">
      <c r="A3156" s="5">
        <v>73</v>
      </c>
      <c r="B3156" s="5" t="s">
        <v>145</v>
      </c>
      <c r="C3156" s="5">
        <v>2</v>
      </c>
      <c r="D3156" s="5" t="s">
        <v>88</v>
      </c>
      <c r="E3156" s="5">
        <v>2021</v>
      </c>
      <c r="F3156" s="5">
        <v>11</v>
      </c>
      <c r="G3156" s="5" t="s">
        <v>32</v>
      </c>
      <c r="H3156" s="5">
        <v>1818777</v>
      </c>
      <c r="I3156" s="5">
        <v>1514965.96</v>
      </c>
      <c r="J3156" s="5">
        <v>30</v>
      </c>
      <c r="K3156" s="5">
        <v>116053</v>
      </c>
      <c r="L3156" s="5">
        <v>1923610</v>
      </c>
      <c r="M3156" s="5">
        <v>303811.03999999998</v>
      </c>
      <c r="N3156" s="5">
        <v>0.16700000000000001</v>
      </c>
      <c r="O3156" s="5">
        <v>2</v>
      </c>
      <c r="P3156" s="5">
        <v>12883</v>
      </c>
    </row>
    <row r="3157" spans="1:16" x14ac:dyDescent="0.3">
      <c r="A3157" s="5">
        <v>58</v>
      </c>
      <c r="B3157" s="5" t="s">
        <v>145</v>
      </c>
      <c r="C3157" s="5">
        <v>2</v>
      </c>
      <c r="D3157" s="5" t="s">
        <v>88</v>
      </c>
      <c r="E3157" s="5">
        <v>2021</v>
      </c>
      <c r="F3157" s="5">
        <v>12</v>
      </c>
      <c r="G3157" s="5" t="s">
        <v>33</v>
      </c>
      <c r="H3157" s="5">
        <v>1318617</v>
      </c>
      <c r="I3157" s="5">
        <v>1119391.77</v>
      </c>
      <c r="J3157" s="5">
        <v>20</v>
      </c>
      <c r="K3157" s="5">
        <v>126884</v>
      </c>
      <c r="L3157" s="5">
        <v>1439660</v>
      </c>
      <c r="M3157" s="5">
        <v>199225.23</v>
      </c>
      <c r="N3157" s="5">
        <v>0.15110000000000001</v>
      </c>
      <c r="O3157" s="5">
        <v>2</v>
      </c>
      <c r="P3157" s="5">
        <v>48617</v>
      </c>
    </row>
    <row r="3158" spans="1:16" x14ac:dyDescent="0.3">
      <c r="A3158" s="5">
        <v>63</v>
      </c>
      <c r="B3158" s="5" t="s">
        <v>145</v>
      </c>
      <c r="C3158" s="5">
        <v>2</v>
      </c>
      <c r="D3158" s="5" t="s">
        <v>88</v>
      </c>
      <c r="E3158" s="5">
        <v>2021</v>
      </c>
      <c r="F3158" s="5">
        <v>12</v>
      </c>
      <c r="G3158" s="5" t="s">
        <v>33</v>
      </c>
      <c r="H3158" s="5">
        <v>2479012</v>
      </c>
      <c r="I3158" s="5">
        <v>1991857.38</v>
      </c>
      <c r="J3158" s="5">
        <v>39</v>
      </c>
      <c r="K3158" s="5">
        <v>94236</v>
      </c>
      <c r="L3158" s="5">
        <v>2563120</v>
      </c>
      <c r="M3158" s="5">
        <v>487154.62</v>
      </c>
      <c r="N3158" s="5">
        <v>0.19650000000000001</v>
      </c>
      <c r="O3158" s="5">
        <v>5</v>
      </c>
      <c r="P3158" s="5">
        <v>105006</v>
      </c>
    </row>
    <row r="3159" spans="1:16" x14ac:dyDescent="0.3">
      <c r="A3159" s="5">
        <v>73</v>
      </c>
      <c r="B3159" s="5" t="s">
        <v>145</v>
      </c>
      <c r="C3159" s="5">
        <v>2</v>
      </c>
      <c r="D3159" s="5" t="s">
        <v>88</v>
      </c>
      <c r="E3159" s="5">
        <v>2021</v>
      </c>
      <c r="F3159" s="5">
        <v>12</v>
      </c>
      <c r="G3159" s="5" t="s">
        <v>33</v>
      </c>
      <c r="H3159" s="5">
        <v>1732925</v>
      </c>
      <c r="I3159" s="5">
        <v>1383326.13</v>
      </c>
      <c r="J3159" s="5">
        <v>29</v>
      </c>
      <c r="K3159" s="5">
        <v>73500</v>
      </c>
      <c r="L3159" s="5">
        <v>1802150</v>
      </c>
      <c r="M3159" s="5">
        <v>349598.87</v>
      </c>
      <c r="N3159" s="5">
        <v>0.20169999999999999</v>
      </c>
      <c r="O3159" s="5">
        <v>6</v>
      </c>
      <c r="P3159" s="5">
        <v>119471</v>
      </c>
    </row>
    <row r="3160" spans="1:16" x14ac:dyDescent="0.3">
      <c r="A3160" s="5">
        <v>58</v>
      </c>
      <c r="B3160" s="5" t="s">
        <v>145</v>
      </c>
      <c r="C3160" s="5">
        <v>2</v>
      </c>
      <c r="D3160" s="5" t="s">
        <v>88</v>
      </c>
      <c r="E3160" s="5">
        <v>2022</v>
      </c>
      <c r="F3160" s="5">
        <v>1</v>
      </c>
      <c r="G3160" s="5" t="s">
        <v>34</v>
      </c>
      <c r="H3160" s="5">
        <v>1049054</v>
      </c>
      <c r="I3160" s="5">
        <v>836785.04</v>
      </c>
      <c r="J3160" s="5">
        <v>24</v>
      </c>
      <c r="K3160" s="5">
        <v>65069</v>
      </c>
      <c r="L3160" s="5">
        <v>1111310</v>
      </c>
      <c r="M3160" s="5">
        <v>212268.96</v>
      </c>
      <c r="N3160" s="5">
        <v>0.20230000000000001</v>
      </c>
      <c r="O3160" s="5">
        <v>1</v>
      </c>
      <c r="P3160" s="5">
        <v>34816</v>
      </c>
    </row>
    <row r="3161" spans="1:16" x14ac:dyDescent="0.3">
      <c r="A3161" s="5">
        <v>63</v>
      </c>
      <c r="B3161" s="5" t="s">
        <v>145</v>
      </c>
      <c r="C3161" s="5">
        <v>2</v>
      </c>
      <c r="D3161" s="5" t="s">
        <v>88</v>
      </c>
      <c r="E3161" s="5">
        <v>2022</v>
      </c>
      <c r="F3161" s="5">
        <v>1</v>
      </c>
      <c r="G3161" s="5" t="s">
        <v>34</v>
      </c>
      <c r="H3161" s="5">
        <v>2972382</v>
      </c>
      <c r="I3161" s="5">
        <v>2519011.9900000002</v>
      </c>
      <c r="J3161" s="5">
        <v>30</v>
      </c>
      <c r="K3161" s="5">
        <v>223246</v>
      </c>
      <c r="L3161" s="5">
        <v>3183020</v>
      </c>
      <c r="M3161" s="5">
        <v>453370.01</v>
      </c>
      <c r="N3161" s="5">
        <v>0.1525</v>
      </c>
      <c r="O3161" s="5">
        <v>3</v>
      </c>
      <c r="P3161" s="5">
        <v>59541</v>
      </c>
    </row>
    <row r="3162" spans="1:16" x14ac:dyDescent="0.3">
      <c r="A3162" s="5">
        <v>73</v>
      </c>
      <c r="B3162" s="5" t="s">
        <v>145</v>
      </c>
      <c r="C3162" s="5">
        <v>2</v>
      </c>
      <c r="D3162" s="5" t="s">
        <v>88</v>
      </c>
      <c r="E3162" s="5">
        <v>2022</v>
      </c>
      <c r="F3162" s="5">
        <v>1</v>
      </c>
      <c r="G3162" s="5" t="s">
        <v>34</v>
      </c>
      <c r="H3162" s="5">
        <v>1858055</v>
      </c>
      <c r="I3162" s="5">
        <v>1516452.42</v>
      </c>
      <c r="J3162" s="5">
        <v>26</v>
      </c>
      <c r="K3162" s="5">
        <v>81575</v>
      </c>
      <c r="L3162" s="5">
        <v>1933450</v>
      </c>
      <c r="M3162" s="5">
        <v>341602.58</v>
      </c>
      <c r="N3162" s="5">
        <v>0.18379999999999999</v>
      </c>
      <c r="O3162" s="5">
        <v>2</v>
      </c>
      <c r="P3162" s="5">
        <v>11181</v>
      </c>
    </row>
    <row r="3163" spans="1:16" x14ac:dyDescent="0.3">
      <c r="A3163" s="5">
        <v>58</v>
      </c>
      <c r="B3163" s="5" t="s">
        <v>145</v>
      </c>
      <c r="C3163" s="5">
        <v>2</v>
      </c>
      <c r="D3163" s="5" t="s">
        <v>88</v>
      </c>
      <c r="E3163" s="5">
        <v>2022</v>
      </c>
      <c r="F3163" s="5">
        <v>2</v>
      </c>
      <c r="G3163" s="5" t="s">
        <v>35</v>
      </c>
      <c r="H3163" s="5">
        <v>1342356</v>
      </c>
      <c r="I3163" s="5">
        <v>1160620.04</v>
      </c>
      <c r="J3163" s="5">
        <v>12</v>
      </c>
      <c r="K3163" s="5">
        <v>176471</v>
      </c>
      <c r="L3163" s="5">
        <v>1517310</v>
      </c>
      <c r="M3163" s="5">
        <v>181735.96</v>
      </c>
      <c r="N3163" s="5">
        <v>0.13539999999999999</v>
      </c>
      <c r="O3163" s="5">
        <v>0</v>
      </c>
      <c r="P3163" s="5">
        <v>0</v>
      </c>
    </row>
    <row r="3164" spans="1:16" x14ac:dyDescent="0.3">
      <c r="A3164" s="5">
        <v>63</v>
      </c>
      <c r="B3164" s="5" t="s">
        <v>145</v>
      </c>
      <c r="C3164" s="5">
        <v>2</v>
      </c>
      <c r="D3164" s="5" t="s">
        <v>88</v>
      </c>
      <c r="E3164" s="5">
        <v>2022</v>
      </c>
      <c r="F3164" s="5">
        <v>2</v>
      </c>
      <c r="G3164" s="5" t="s">
        <v>35</v>
      </c>
      <c r="H3164" s="5">
        <v>1466556</v>
      </c>
      <c r="I3164" s="5">
        <v>1179879.6399999999</v>
      </c>
      <c r="J3164" s="5">
        <v>23</v>
      </c>
      <c r="K3164" s="5">
        <v>55954</v>
      </c>
      <c r="L3164" s="5">
        <v>1512940</v>
      </c>
      <c r="M3164" s="5">
        <v>286676.36</v>
      </c>
      <c r="N3164" s="5">
        <v>0.19550000000000001</v>
      </c>
      <c r="O3164" s="5">
        <v>2</v>
      </c>
      <c r="P3164" s="5">
        <v>10438</v>
      </c>
    </row>
    <row r="3165" spans="1:16" x14ac:dyDescent="0.3">
      <c r="A3165" s="5">
        <v>73</v>
      </c>
      <c r="B3165" s="5" t="s">
        <v>145</v>
      </c>
      <c r="C3165" s="5">
        <v>2</v>
      </c>
      <c r="D3165" s="5" t="s">
        <v>88</v>
      </c>
      <c r="E3165" s="5">
        <v>2022</v>
      </c>
      <c r="F3165" s="5">
        <v>2</v>
      </c>
      <c r="G3165" s="5" t="s">
        <v>35</v>
      </c>
      <c r="H3165" s="5">
        <v>1639203</v>
      </c>
      <c r="I3165" s="5">
        <v>1345568.03</v>
      </c>
      <c r="J3165" s="5">
        <v>20</v>
      </c>
      <c r="K3165" s="5">
        <v>77703</v>
      </c>
      <c r="L3165" s="5">
        <v>1706820</v>
      </c>
      <c r="M3165" s="5">
        <v>293634.96999999997</v>
      </c>
      <c r="N3165" s="5">
        <v>0.17910000000000001</v>
      </c>
      <c r="O3165" s="5">
        <v>3</v>
      </c>
      <c r="P3165" s="5">
        <v>116432</v>
      </c>
    </row>
    <row r="3166" spans="1:16" x14ac:dyDescent="0.3">
      <c r="A3166" s="5">
        <v>58</v>
      </c>
      <c r="B3166" s="5" t="s">
        <v>145</v>
      </c>
      <c r="C3166" s="5">
        <v>2</v>
      </c>
      <c r="D3166" s="5" t="s">
        <v>88</v>
      </c>
      <c r="E3166" s="5">
        <v>2022</v>
      </c>
      <c r="F3166" s="5">
        <v>3</v>
      </c>
      <c r="G3166" s="5" t="s">
        <v>36</v>
      </c>
      <c r="H3166" s="5">
        <v>1016423</v>
      </c>
      <c r="I3166" s="5">
        <v>934273.8</v>
      </c>
      <c r="J3166" s="5">
        <v>19</v>
      </c>
      <c r="K3166" s="5">
        <v>193806</v>
      </c>
      <c r="L3166" s="5">
        <v>1208560</v>
      </c>
      <c r="M3166" s="5">
        <v>82149.2</v>
      </c>
      <c r="N3166" s="5">
        <v>8.0799999999999997E-2</v>
      </c>
      <c r="O3166" s="5">
        <v>2</v>
      </c>
      <c r="P3166" s="5">
        <v>25803</v>
      </c>
    </row>
    <row r="3167" spans="1:16" x14ac:dyDescent="0.3">
      <c r="A3167" s="5">
        <v>63</v>
      </c>
      <c r="B3167" s="5" t="s">
        <v>145</v>
      </c>
      <c r="C3167" s="5">
        <v>2</v>
      </c>
      <c r="D3167" s="5" t="s">
        <v>88</v>
      </c>
      <c r="E3167" s="5">
        <v>2022</v>
      </c>
      <c r="F3167" s="5">
        <v>3</v>
      </c>
      <c r="G3167" s="5" t="s">
        <v>36</v>
      </c>
      <c r="H3167" s="5">
        <v>2300828</v>
      </c>
      <c r="I3167" s="5">
        <v>1902923.05</v>
      </c>
      <c r="J3167" s="5">
        <v>31</v>
      </c>
      <c r="K3167" s="5">
        <v>173632</v>
      </c>
      <c r="L3167" s="5">
        <v>2465830</v>
      </c>
      <c r="M3167" s="5">
        <v>397904.95</v>
      </c>
      <c r="N3167" s="5">
        <v>0.1729</v>
      </c>
      <c r="O3167" s="5">
        <v>5</v>
      </c>
      <c r="P3167" s="5">
        <v>149087</v>
      </c>
    </row>
    <row r="3168" spans="1:16" x14ac:dyDescent="0.3">
      <c r="A3168" s="5">
        <v>73</v>
      </c>
      <c r="B3168" s="5" t="s">
        <v>145</v>
      </c>
      <c r="C3168" s="5">
        <v>2</v>
      </c>
      <c r="D3168" s="5" t="s">
        <v>88</v>
      </c>
      <c r="E3168" s="5">
        <v>2022</v>
      </c>
      <c r="F3168" s="5">
        <v>3</v>
      </c>
      <c r="G3168" s="5" t="s">
        <v>36</v>
      </c>
      <c r="H3168" s="5">
        <v>1090914</v>
      </c>
      <c r="I3168" s="5">
        <v>923710.29</v>
      </c>
      <c r="J3168" s="5">
        <v>24</v>
      </c>
      <c r="K3168" s="5">
        <v>104941</v>
      </c>
      <c r="L3168" s="5">
        <v>1190240</v>
      </c>
      <c r="M3168" s="5">
        <v>167203.71</v>
      </c>
      <c r="N3168" s="5">
        <v>0.15329999999999999</v>
      </c>
      <c r="O3168" s="5">
        <v>3</v>
      </c>
      <c r="P3168" s="5">
        <v>21017</v>
      </c>
    </row>
    <row r="3169" spans="1:16" x14ac:dyDescent="0.3">
      <c r="A3169" s="5">
        <v>58</v>
      </c>
      <c r="B3169" s="5" t="s">
        <v>145</v>
      </c>
      <c r="C3169" s="5">
        <v>2</v>
      </c>
      <c r="D3169" s="5" t="s">
        <v>88</v>
      </c>
      <c r="E3169" s="5">
        <v>2022</v>
      </c>
      <c r="F3169" s="5">
        <v>4</v>
      </c>
      <c r="G3169" s="5" t="s">
        <v>37</v>
      </c>
      <c r="H3169" s="5">
        <v>1302282</v>
      </c>
      <c r="I3169" s="5">
        <v>1108425.26</v>
      </c>
      <c r="J3169" s="5">
        <v>30</v>
      </c>
      <c r="K3169" s="5">
        <v>168280</v>
      </c>
      <c r="L3169" s="5">
        <v>1466330</v>
      </c>
      <c r="M3169" s="5">
        <v>193856.74</v>
      </c>
      <c r="N3169" s="5">
        <v>0.1489</v>
      </c>
      <c r="O3169" s="5">
        <v>1</v>
      </c>
      <c r="P3169" s="5">
        <v>6365</v>
      </c>
    </row>
    <row r="3170" spans="1:16" x14ac:dyDescent="0.3">
      <c r="A3170" s="5">
        <v>63</v>
      </c>
      <c r="B3170" s="5" t="s">
        <v>145</v>
      </c>
      <c r="C3170" s="5">
        <v>2</v>
      </c>
      <c r="D3170" s="5" t="s">
        <v>88</v>
      </c>
      <c r="E3170" s="5">
        <v>2022</v>
      </c>
      <c r="F3170" s="5">
        <v>4</v>
      </c>
      <c r="G3170" s="5" t="s">
        <v>37</v>
      </c>
      <c r="H3170" s="5">
        <v>2388641</v>
      </c>
      <c r="I3170" s="5">
        <v>2079324.26</v>
      </c>
      <c r="J3170" s="5">
        <v>34</v>
      </c>
      <c r="K3170" s="5">
        <v>278994</v>
      </c>
      <c r="L3170" s="5">
        <v>2659750</v>
      </c>
      <c r="M3170" s="5">
        <v>309316.74</v>
      </c>
      <c r="N3170" s="5">
        <v>0.1295</v>
      </c>
      <c r="O3170" s="5">
        <v>4</v>
      </c>
      <c r="P3170" s="5">
        <v>79016</v>
      </c>
    </row>
    <row r="3171" spans="1:16" x14ac:dyDescent="0.3">
      <c r="A3171" s="5">
        <v>73</v>
      </c>
      <c r="B3171" s="5" t="s">
        <v>145</v>
      </c>
      <c r="C3171" s="5">
        <v>2</v>
      </c>
      <c r="D3171" s="5" t="s">
        <v>88</v>
      </c>
      <c r="E3171" s="5">
        <v>2022</v>
      </c>
      <c r="F3171" s="5">
        <v>4</v>
      </c>
      <c r="G3171" s="5" t="s">
        <v>37</v>
      </c>
      <c r="H3171" s="5">
        <v>1550471</v>
      </c>
      <c r="I3171" s="5">
        <v>1298536.18</v>
      </c>
      <c r="J3171" s="5">
        <v>20</v>
      </c>
      <c r="K3171" s="5">
        <v>119557</v>
      </c>
      <c r="L3171" s="5">
        <v>1668020</v>
      </c>
      <c r="M3171" s="5">
        <v>251934.82</v>
      </c>
      <c r="N3171" s="5">
        <v>0.16250000000000001</v>
      </c>
      <c r="O3171" s="5">
        <v>1</v>
      </c>
      <c r="P3171" s="5">
        <v>1064</v>
      </c>
    </row>
    <row r="3172" spans="1:16" x14ac:dyDescent="0.3">
      <c r="A3172" s="5">
        <v>58</v>
      </c>
      <c r="B3172" s="5" t="s">
        <v>145</v>
      </c>
      <c r="C3172" s="5">
        <v>2</v>
      </c>
      <c r="D3172" s="5" t="s">
        <v>88</v>
      </c>
      <c r="E3172" s="5">
        <v>2022</v>
      </c>
      <c r="F3172" s="5">
        <v>5</v>
      </c>
      <c r="G3172" s="5" t="s">
        <v>38</v>
      </c>
      <c r="H3172" s="5">
        <v>1180122</v>
      </c>
      <c r="I3172" s="5">
        <v>1005630.93</v>
      </c>
      <c r="J3172" s="5">
        <v>25</v>
      </c>
      <c r="K3172" s="5">
        <v>126566</v>
      </c>
      <c r="L3172" s="5">
        <v>1302750</v>
      </c>
      <c r="M3172" s="5">
        <v>174491.07</v>
      </c>
      <c r="N3172" s="5">
        <v>0.1479</v>
      </c>
      <c r="O3172" s="5">
        <v>0</v>
      </c>
      <c r="P3172" s="5">
        <v>0</v>
      </c>
    </row>
    <row r="3173" spans="1:16" x14ac:dyDescent="0.3">
      <c r="A3173" s="5">
        <v>63</v>
      </c>
      <c r="B3173" s="5" t="s">
        <v>145</v>
      </c>
      <c r="C3173" s="5">
        <v>2</v>
      </c>
      <c r="D3173" s="5" t="s">
        <v>88</v>
      </c>
      <c r="E3173" s="5">
        <v>2022</v>
      </c>
      <c r="F3173" s="5">
        <v>5</v>
      </c>
      <c r="G3173" s="5" t="s">
        <v>38</v>
      </c>
      <c r="H3173" s="5">
        <v>2842365</v>
      </c>
      <c r="I3173" s="5">
        <v>2534175.41</v>
      </c>
      <c r="J3173" s="5">
        <v>42</v>
      </c>
      <c r="K3173" s="5">
        <v>399264</v>
      </c>
      <c r="L3173" s="5">
        <v>3233330</v>
      </c>
      <c r="M3173" s="5">
        <v>308189.59000000003</v>
      </c>
      <c r="N3173" s="5">
        <v>0.1084</v>
      </c>
      <c r="O3173" s="5">
        <v>5</v>
      </c>
      <c r="P3173" s="5">
        <v>151115</v>
      </c>
    </row>
    <row r="3174" spans="1:16" x14ac:dyDescent="0.3">
      <c r="A3174" s="5">
        <v>73</v>
      </c>
      <c r="B3174" s="5" t="s">
        <v>145</v>
      </c>
      <c r="C3174" s="5">
        <v>2</v>
      </c>
      <c r="D3174" s="5" t="s">
        <v>88</v>
      </c>
      <c r="E3174" s="5">
        <v>2022</v>
      </c>
      <c r="F3174" s="5">
        <v>5</v>
      </c>
      <c r="G3174" s="5" t="s">
        <v>38</v>
      </c>
      <c r="H3174" s="5">
        <v>1669117</v>
      </c>
      <c r="I3174" s="5">
        <v>1473596.66</v>
      </c>
      <c r="J3174" s="5">
        <v>27</v>
      </c>
      <c r="K3174" s="5">
        <v>235372</v>
      </c>
      <c r="L3174" s="5">
        <v>1895620</v>
      </c>
      <c r="M3174" s="5">
        <v>195520.34</v>
      </c>
      <c r="N3174" s="5">
        <v>0.1171</v>
      </c>
      <c r="O3174" s="5">
        <v>2</v>
      </c>
      <c r="P3174" s="5">
        <v>4759</v>
      </c>
    </row>
    <row r="3175" spans="1:16" x14ac:dyDescent="0.3">
      <c r="A3175" s="5">
        <v>58</v>
      </c>
      <c r="B3175" s="5" t="s">
        <v>145</v>
      </c>
      <c r="C3175" s="5">
        <v>2</v>
      </c>
      <c r="D3175" s="5" t="s">
        <v>88</v>
      </c>
      <c r="E3175" s="5">
        <v>2022</v>
      </c>
      <c r="F3175" s="5">
        <v>6</v>
      </c>
      <c r="G3175" s="5" t="s">
        <v>39</v>
      </c>
      <c r="H3175" s="5">
        <v>2500824</v>
      </c>
      <c r="I3175" s="5">
        <v>2233054.73</v>
      </c>
      <c r="J3175" s="5">
        <v>27</v>
      </c>
      <c r="K3175" s="5">
        <v>405328</v>
      </c>
      <c r="L3175" s="5">
        <v>2901420</v>
      </c>
      <c r="M3175" s="5">
        <v>267769.27</v>
      </c>
      <c r="N3175" s="5">
        <v>0.1071</v>
      </c>
      <c r="O3175" s="5">
        <v>3</v>
      </c>
      <c r="P3175" s="5">
        <v>318130</v>
      </c>
    </row>
    <row r="3176" spans="1:16" x14ac:dyDescent="0.3">
      <c r="A3176" s="5">
        <v>63</v>
      </c>
      <c r="B3176" s="5" t="s">
        <v>145</v>
      </c>
      <c r="C3176" s="5">
        <v>2</v>
      </c>
      <c r="D3176" s="5" t="s">
        <v>88</v>
      </c>
      <c r="E3176" s="5">
        <v>2022</v>
      </c>
      <c r="F3176" s="5">
        <v>6</v>
      </c>
      <c r="G3176" s="5" t="s">
        <v>39</v>
      </c>
      <c r="H3176" s="5">
        <v>1528123</v>
      </c>
      <c r="I3176" s="5">
        <v>1184768.97</v>
      </c>
      <c r="J3176" s="5">
        <v>33</v>
      </c>
      <c r="K3176" s="5">
        <v>70708</v>
      </c>
      <c r="L3176" s="5">
        <v>1592410</v>
      </c>
      <c r="M3176" s="5">
        <v>343354.03</v>
      </c>
      <c r="N3176" s="5">
        <v>0.22470000000000001</v>
      </c>
      <c r="O3176" s="5">
        <v>1</v>
      </c>
      <c r="P3176" s="5">
        <v>3504</v>
      </c>
    </row>
    <row r="3177" spans="1:16" x14ac:dyDescent="0.3">
      <c r="A3177" s="5">
        <v>73</v>
      </c>
      <c r="B3177" s="5" t="s">
        <v>145</v>
      </c>
      <c r="C3177" s="5">
        <v>2</v>
      </c>
      <c r="D3177" s="5" t="s">
        <v>88</v>
      </c>
      <c r="E3177" s="5">
        <v>2022</v>
      </c>
      <c r="F3177" s="5">
        <v>6</v>
      </c>
      <c r="G3177" s="5" t="s">
        <v>39</v>
      </c>
      <c r="H3177" s="5">
        <v>1102292</v>
      </c>
      <c r="I3177" s="5">
        <v>993904.09</v>
      </c>
      <c r="J3177" s="5">
        <v>20</v>
      </c>
      <c r="K3177" s="5">
        <v>206868</v>
      </c>
      <c r="L3177" s="5">
        <v>1307280</v>
      </c>
      <c r="M3177" s="5">
        <v>108387.91</v>
      </c>
      <c r="N3177" s="5">
        <v>9.8299999999999998E-2</v>
      </c>
      <c r="O3177" s="5">
        <v>3</v>
      </c>
      <c r="P3177" s="5">
        <v>54492</v>
      </c>
    </row>
    <row r="3178" spans="1:16" x14ac:dyDescent="0.3">
      <c r="A3178" s="5">
        <v>58</v>
      </c>
      <c r="B3178" s="5" t="s">
        <v>145</v>
      </c>
      <c r="C3178" s="5">
        <v>2</v>
      </c>
      <c r="D3178" s="5" t="s">
        <v>88</v>
      </c>
      <c r="E3178" s="5">
        <v>2022</v>
      </c>
      <c r="F3178" s="5">
        <v>7</v>
      </c>
      <c r="G3178" s="5" t="s">
        <v>40</v>
      </c>
      <c r="H3178" s="5">
        <v>1563100</v>
      </c>
      <c r="I3178" s="5">
        <v>1308144.3600000001</v>
      </c>
      <c r="J3178" s="5">
        <v>25</v>
      </c>
      <c r="K3178" s="5">
        <v>151998</v>
      </c>
      <c r="L3178" s="5">
        <v>1699660</v>
      </c>
      <c r="M3178" s="5">
        <v>254955.64</v>
      </c>
      <c r="N3178" s="5">
        <v>0.16309999999999999</v>
      </c>
      <c r="O3178" s="5">
        <v>1</v>
      </c>
      <c r="P3178" s="5">
        <v>8982</v>
      </c>
    </row>
    <row r="3179" spans="1:16" x14ac:dyDescent="0.3">
      <c r="A3179" s="5">
        <v>63</v>
      </c>
      <c r="B3179" s="5" t="s">
        <v>145</v>
      </c>
      <c r="C3179" s="5">
        <v>2</v>
      </c>
      <c r="D3179" s="5" t="s">
        <v>88</v>
      </c>
      <c r="E3179" s="5">
        <v>2022</v>
      </c>
      <c r="F3179" s="5">
        <v>7</v>
      </c>
      <c r="G3179" s="5" t="s">
        <v>40</v>
      </c>
      <c r="H3179" s="5">
        <v>2344892</v>
      </c>
      <c r="I3179" s="5">
        <v>2098538.0699999998</v>
      </c>
      <c r="J3179" s="5">
        <v>35</v>
      </c>
      <c r="K3179" s="5">
        <v>347883</v>
      </c>
      <c r="L3179" s="5">
        <v>2683340</v>
      </c>
      <c r="M3179" s="5">
        <v>246353.93</v>
      </c>
      <c r="N3179" s="5">
        <v>0.1051</v>
      </c>
      <c r="O3179" s="5">
        <v>0</v>
      </c>
      <c r="P3179" s="5">
        <v>0</v>
      </c>
    </row>
    <row r="3180" spans="1:16" x14ac:dyDescent="0.3">
      <c r="A3180" s="5">
        <v>73</v>
      </c>
      <c r="B3180" s="5" t="s">
        <v>145</v>
      </c>
      <c r="C3180" s="5">
        <v>2</v>
      </c>
      <c r="D3180" s="5" t="s">
        <v>88</v>
      </c>
      <c r="E3180" s="5">
        <v>2022</v>
      </c>
      <c r="F3180" s="5">
        <v>7</v>
      </c>
      <c r="G3180" s="5" t="s">
        <v>40</v>
      </c>
      <c r="H3180" s="5">
        <v>1904575</v>
      </c>
      <c r="I3180" s="5">
        <v>1655746.72</v>
      </c>
      <c r="J3180" s="5">
        <v>20</v>
      </c>
      <c r="K3180" s="5">
        <v>206037</v>
      </c>
      <c r="L3180" s="5">
        <v>2108110</v>
      </c>
      <c r="M3180" s="5">
        <v>248828.28</v>
      </c>
      <c r="N3180" s="5">
        <v>0.13059999999999999</v>
      </c>
      <c r="O3180" s="5">
        <v>1</v>
      </c>
      <c r="P3180" s="5">
        <v>103686</v>
      </c>
    </row>
    <row r="3181" spans="1:16" x14ac:dyDescent="0.3">
      <c r="A3181" s="5">
        <v>58</v>
      </c>
      <c r="B3181" s="5" t="s">
        <v>145</v>
      </c>
      <c r="C3181" s="5">
        <v>2</v>
      </c>
      <c r="D3181" s="5" t="s">
        <v>88</v>
      </c>
      <c r="E3181" s="5">
        <v>2022</v>
      </c>
      <c r="F3181" s="5">
        <v>8</v>
      </c>
      <c r="G3181" s="5" t="s">
        <v>41</v>
      </c>
      <c r="H3181" s="5">
        <v>1837256</v>
      </c>
      <c r="I3181" s="5">
        <v>1700332.55</v>
      </c>
      <c r="J3181" s="5">
        <v>21</v>
      </c>
      <c r="K3181" s="5">
        <v>331659</v>
      </c>
      <c r="L3181" s="5">
        <v>2161940</v>
      </c>
      <c r="M3181" s="5">
        <v>136923.45000000001</v>
      </c>
      <c r="N3181" s="5">
        <v>7.4499999999999997E-2</v>
      </c>
      <c r="O3181" s="5">
        <v>4</v>
      </c>
      <c r="P3181" s="5">
        <v>144932</v>
      </c>
    </row>
    <row r="3182" spans="1:16" x14ac:dyDescent="0.3">
      <c r="A3182" s="5">
        <v>63</v>
      </c>
      <c r="B3182" s="5" t="s">
        <v>145</v>
      </c>
      <c r="C3182" s="5">
        <v>2</v>
      </c>
      <c r="D3182" s="5" t="s">
        <v>88</v>
      </c>
      <c r="E3182" s="5">
        <v>2022</v>
      </c>
      <c r="F3182" s="5">
        <v>8</v>
      </c>
      <c r="G3182" s="5" t="s">
        <v>41</v>
      </c>
      <c r="H3182" s="5">
        <v>1859130</v>
      </c>
      <c r="I3182" s="5">
        <v>1788050.24</v>
      </c>
      <c r="J3182" s="5">
        <v>34</v>
      </c>
      <c r="K3182" s="5">
        <v>490266</v>
      </c>
      <c r="L3182" s="5">
        <v>2341840</v>
      </c>
      <c r="M3182" s="5">
        <v>71079.759999999995</v>
      </c>
      <c r="N3182" s="5">
        <v>3.8199999999999998E-2</v>
      </c>
      <c r="O3182" s="5">
        <v>3</v>
      </c>
      <c r="P3182" s="5">
        <v>26927</v>
      </c>
    </row>
    <row r="3183" spans="1:16" x14ac:dyDescent="0.3">
      <c r="A3183" s="5">
        <v>73</v>
      </c>
      <c r="B3183" s="5" t="s">
        <v>145</v>
      </c>
      <c r="C3183" s="5">
        <v>2</v>
      </c>
      <c r="D3183" s="5" t="s">
        <v>88</v>
      </c>
      <c r="E3183" s="5">
        <v>2022</v>
      </c>
      <c r="F3183" s="5">
        <v>8</v>
      </c>
      <c r="G3183" s="5" t="s">
        <v>41</v>
      </c>
      <c r="H3183" s="5">
        <v>2398789</v>
      </c>
      <c r="I3183" s="5">
        <v>2276275.87</v>
      </c>
      <c r="J3183" s="5">
        <v>26</v>
      </c>
      <c r="K3183" s="5">
        <v>524814</v>
      </c>
      <c r="L3183" s="5">
        <v>2921190</v>
      </c>
      <c r="M3183" s="5">
        <v>122513.13</v>
      </c>
      <c r="N3183" s="5">
        <v>5.11E-2</v>
      </c>
      <c r="O3183" s="5">
        <v>2</v>
      </c>
      <c r="P3183" s="5">
        <v>9965</v>
      </c>
    </row>
    <row r="3184" spans="1:16" x14ac:dyDescent="0.3">
      <c r="A3184" s="5">
        <v>58</v>
      </c>
      <c r="B3184" s="5" t="s">
        <v>145</v>
      </c>
      <c r="C3184" s="5">
        <v>2</v>
      </c>
      <c r="D3184" s="5" t="s">
        <v>88</v>
      </c>
      <c r="E3184" s="5">
        <v>2022</v>
      </c>
      <c r="F3184" s="5">
        <v>9</v>
      </c>
      <c r="G3184" s="5" t="s">
        <v>42</v>
      </c>
      <c r="H3184" s="5">
        <v>2179193</v>
      </c>
      <c r="I3184" s="5">
        <v>1774385.27</v>
      </c>
      <c r="J3184" s="5">
        <v>30</v>
      </c>
      <c r="K3184" s="5">
        <v>170505</v>
      </c>
      <c r="L3184" s="5">
        <v>2334860</v>
      </c>
      <c r="M3184" s="5">
        <v>404807.73</v>
      </c>
      <c r="N3184" s="5">
        <v>0.18579999999999999</v>
      </c>
      <c r="O3184" s="5">
        <v>1</v>
      </c>
      <c r="P3184" s="5">
        <v>15997</v>
      </c>
    </row>
    <row r="3185" spans="1:16" x14ac:dyDescent="0.3">
      <c r="A3185" s="5">
        <v>63</v>
      </c>
      <c r="B3185" s="5" t="s">
        <v>145</v>
      </c>
      <c r="C3185" s="5">
        <v>2</v>
      </c>
      <c r="D3185" s="5" t="s">
        <v>88</v>
      </c>
      <c r="E3185" s="5">
        <v>2022</v>
      </c>
      <c r="F3185" s="5">
        <v>9</v>
      </c>
      <c r="G3185" s="5" t="s">
        <v>42</v>
      </c>
      <c r="H3185" s="5">
        <v>3834811</v>
      </c>
      <c r="I3185" s="5">
        <v>3341917.31</v>
      </c>
      <c r="J3185" s="5">
        <v>44</v>
      </c>
      <c r="K3185" s="5">
        <v>453138</v>
      </c>
      <c r="L3185" s="5">
        <v>4273850</v>
      </c>
      <c r="M3185" s="5">
        <v>492893.69</v>
      </c>
      <c r="N3185" s="5">
        <v>0.1285</v>
      </c>
      <c r="O3185" s="5">
        <v>5</v>
      </c>
      <c r="P3185" s="5">
        <v>131375</v>
      </c>
    </row>
    <row r="3186" spans="1:16" x14ac:dyDescent="0.3">
      <c r="A3186" s="5">
        <v>73</v>
      </c>
      <c r="B3186" s="5" t="s">
        <v>145</v>
      </c>
      <c r="C3186" s="5">
        <v>2</v>
      </c>
      <c r="D3186" s="5" t="s">
        <v>88</v>
      </c>
      <c r="E3186" s="5">
        <v>2022</v>
      </c>
      <c r="F3186" s="5">
        <v>9</v>
      </c>
      <c r="G3186" s="5" t="s">
        <v>42</v>
      </c>
      <c r="H3186" s="5">
        <v>1992973</v>
      </c>
      <c r="I3186" s="5">
        <v>1823148.83</v>
      </c>
      <c r="J3186" s="5">
        <v>24</v>
      </c>
      <c r="K3186" s="5">
        <v>291321</v>
      </c>
      <c r="L3186" s="5">
        <v>2277920</v>
      </c>
      <c r="M3186" s="5">
        <v>169824.17</v>
      </c>
      <c r="N3186" s="5">
        <v>8.5199999999999998E-2</v>
      </c>
      <c r="O3186" s="5">
        <v>0</v>
      </c>
      <c r="P3186" s="5">
        <v>0</v>
      </c>
    </row>
    <row r="3187" spans="1:16" x14ac:dyDescent="0.3">
      <c r="A3187" s="5">
        <v>58</v>
      </c>
      <c r="B3187" s="5" t="s">
        <v>145</v>
      </c>
      <c r="C3187" s="5">
        <v>2</v>
      </c>
      <c r="D3187" s="5" t="s">
        <v>88</v>
      </c>
      <c r="E3187" s="5">
        <v>2022</v>
      </c>
      <c r="F3187" s="5">
        <v>10</v>
      </c>
      <c r="G3187" s="5" t="s">
        <v>43</v>
      </c>
      <c r="H3187" s="5">
        <v>1459072</v>
      </c>
      <c r="I3187" s="5">
        <v>1315167.8899999999</v>
      </c>
      <c r="J3187" s="5">
        <v>32</v>
      </c>
      <c r="K3187" s="5">
        <v>294283</v>
      </c>
      <c r="L3187" s="5">
        <v>1751150</v>
      </c>
      <c r="M3187" s="5">
        <v>143904.10999999999</v>
      </c>
      <c r="N3187" s="5">
        <v>9.8599999999999993E-2</v>
      </c>
      <c r="O3187" s="5">
        <v>9</v>
      </c>
      <c r="P3187" s="5">
        <v>196119</v>
      </c>
    </row>
    <row r="3188" spans="1:16" x14ac:dyDescent="0.3">
      <c r="A3188" s="5">
        <v>63</v>
      </c>
      <c r="B3188" s="5" t="s">
        <v>145</v>
      </c>
      <c r="C3188" s="5">
        <v>2</v>
      </c>
      <c r="D3188" s="5" t="s">
        <v>88</v>
      </c>
      <c r="E3188" s="5">
        <v>2022</v>
      </c>
      <c r="F3188" s="5">
        <v>10</v>
      </c>
      <c r="G3188" s="5" t="s">
        <v>43</v>
      </c>
      <c r="H3188" s="5">
        <v>3006385</v>
      </c>
      <c r="I3188" s="5">
        <v>2850973.42</v>
      </c>
      <c r="J3188" s="5">
        <v>44</v>
      </c>
      <c r="K3188" s="5">
        <v>662241</v>
      </c>
      <c r="L3188" s="5">
        <v>3658890</v>
      </c>
      <c r="M3188" s="5">
        <v>155411.57999999999</v>
      </c>
      <c r="N3188" s="5">
        <v>5.1700000000000003E-2</v>
      </c>
      <c r="O3188" s="5">
        <v>5</v>
      </c>
      <c r="P3188" s="5">
        <v>27759</v>
      </c>
    </row>
    <row r="3189" spans="1:16" x14ac:dyDescent="0.3">
      <c r="A3189" s="5">
        <v>73</v>
      </c>
      <c r="B3189" s="5" t="s">
        <v>145</v>
      </c>
      <c r="C3189" s="5">
        <v>2</v>
      </c>
      <c r="D3189" s="5" t="s">
        <v>88</v>
      </c>
      <c r="E3189" s="5">
        <v>2022</v>
      </c>
      <c r="F3189" s="5">
        <v>10</v>
      </c>
      <c r="G3189" s="5" t="s">
        <v>43</v>
      </c>
      <c r="H3189" s="5">
        <v>1926313</v>
      </c>
      <c r="I3189" s="5">
        <v>1808170.09</v>
      </c>
      <c r="J3189" s="5">
        <v>40</v>
      </c>
      <c r="K3189" s="5">
        <v>391887</v>
      </c>
      <c r="L3189" s="5">
        <v>2314060</v>
      </c>
      <c r="M3189" s="5">
        <v>118142.91</v>
      </c>
      <c r="N3189" s="5">
        <v>6.13E-2</v>
      </c>
      <c r="O3189" s="5">
        <v>1</v>
      </c>
      <c r="P3189" s="5">
        <v>18263</v>
      </c>
    </row>
    <row r="3190" spans="1:16" x14ac:dyDescent="0.3">
      <c r="A3190" s="5">
        <v>58</v>
      </c>
      <c r="B3190" s="5" t="s">
        <v>145</v>
      </c>
      <c r="C3190" s="5">
        <v>2</v>
      </c>
      <c r="D3190" s="5" t="s">
        <v>88</v>
      </c>
      <c r="E3190" s="5">
        <v>2022</v>
      </c>
      <c r="F3190" s="5">
        <v>11</v>
      </c>
      <c r="G3190" s="5" t="s">
        <v>44</v>
      </c>
      <c r="H3190" s="5">
        <v>2307105</v>
      </c>
      <c r="I3190" s="5">
        <v>2020118.82</v>
      </c>
      <c r="J3190" s="5">
        <v>47</v>
      </c>
      <c r="K3190" s="5">
        <v>387393</v>
      </c>
      <c r="L3190" s="5">
        <v>2692270</v>
      </c>
      <c r="M3190" s="5">
        <v>286986.18</v>
      </c>
      <c r="N3190" s="5">
        <v>0.1244</v>
      </c>
      <c r="O3190" s="5">
        <v>4</v>
      </c>
      <c r="P3190" s="5">
        <v>179821</v>
      </c>
    </row>
    <row r="3191" spans="1:16" x14ac:dyDescent="0.3">
      <c r="A3191" s="5">
        <v>63</v>
      </c>
      <c r="B3191" s="5" t="s">
        <v>145</v>
      </c>
      <c r="C3191" s="5">
        <v>2</v>
      </c>
      <c r="D3191" s="5" t="s">
        <v>88</v>
      </c>
      <c r="E3191" s="5">
        <v>2022</v>
      </c>
      <c r="F3191" s="5">
        <v>11</v>
      </c>
      <c r="G3191" s="5" t="s">
        <v>44</v>
      </c>
      <c r="H3191" s="5">
        <v>4268984</v>
      </c>
      <c r="I3191" s="5">
        <v>3715808.07</v>
      </c>
      <c r="J3191" s="5">
        <v>61</v>
      </c>
      <c r="K3191" s="5">
        <v>538712</v>
      </c>
      <c r="L3191" s="5">
        <v>4794970</v>
      </c>
      <c r="M3191" s="5">
        <v>553175.93000000005</v>
      </c>
      <c r="N3191" s="5">
        <v>0.12959999999999999</v>
      </c>
      <c r="O3191" s="5">
        <v>4</v>
      </c>
      <c r="P3191" s="5">
        <v>122463</v>
      </c>
    </row>
    <row r="3192" spans="1:16" x14ac:dyDescent="0.3">
      <c r="A3192" s="5">
        <v>73</v>
      </c>
      <c r="B3192" s="5" t="s">
        <v>145</v>
      </c>
      <c r="C3192" s="5">
        <v>2</v>
      </c>
      <c r="D3192" s="5" t="s">
        <v>88</v>
      </c>
      <c r="E3192" s="5">
        <v>2022</v>
      </c>
      <c r="F3192" s="5">
        <v>11</v>
      </c>
      <c r="G3192" s="5" t="s">
        <v>44</v>
      </c>
      <c r="H3192" s="5">
        <v>2800067</v>
      </c>
      <c r="I3192" s="5">
        <v>2367705.2799999998</v>
      </c>
      <c r="J3192" s="5">
        <v>35</v>
      </c>
      <c r="K3192" s="5">
        <v>255899</v>
      </c>
      <c r="L3192" s="5">
        <v>3038800</v>
      </c>
      <c r="M3192" s="5">
        <v>432361.72</v>
      </c>
      <c r="N3192" s="5">
        <v>0.15440000000000001</v>
      </c>
      <c r="O3192" s="5">
        <v>2</v>
      </c>
      <c r="P3192" s="5">
        <v>26083</v>
      </c>
    </row>
    <row r="3193" spans="1:16" x14ac:dyDescent="0.3">
      <c r="A3193" s="5">
        <v>58</v>
      </c>
      <c r="B3193" s="5" t="s">
        <v>145</v>
      </c>
      <c r="C3193" s="5">
        <v>2</v>
      </c>
      <c r="D3193" s="5" t="s">
        <v>88</v>
      </c>
      <c r="E3193" s="5">
        <v>2022</v>
      </c>
      <c r="F3193" s="5">
        <v>12</v>
      </c>
      <c r="G3193" s="5" t="s">
        <v>45</v>
      </c>
      <c r="H3193" s="5">
        <v>2237147</v>
      </c>
      <c r="I3193" s="5">
        <v>1838978.66</v>
      </c>
      <c r="J3193" s="5">
        <v>34</v>
      </c>
      <c r="K3193" s="5">
        <v>130118</v>
      </c>
      <c r="L3193" s="5">
        <v>2354930</v>
      </c>
      <c r="M3193" s="5">
        <v>398168.34</v>
      </c>
      <c r="N3193" s="5">
        <v>0.17799999999999999</v>
      </c>
      <c r="O3193" s="5">
        <v>7</v>
      </c>
      <c r="P3193" s="5">
        <v>189990</v>
      </c>
    </row>
    <row r="3194" spans="1:16" x14ac:dyDescent="0.3">
      <c r="A3194" s="5">
        <v>63</v>
      </c>
      <c r="B3194" s="5" t="s">
        <v>145</v>
      </c>
      <c r="C3194" s="5">
        <v>2</v>
      </c>
      <c r="D3194" s="5" t="s">
        <v>88</v>
      </c>
      <c r="E3194" s="5">
        <v>2022</v>
      </c>
      <c r="F3194" s="5">
        <v>12</v>
      </c>
      <c r="G3194" s="5" t="s">
        <v>45</v>
      </c>
      <c r="H3194" s="5">
        <v>2255288</v>
      </c>
      <c r="I3194" s="5">
        <v>1875295.12</v>
      </c>
      <c r="J3194" s="5">
        <v>37</v>
      </c>
      <c r="K3194" s="5">
        <v>158960</v>
      </c>
      <c r="L3194" s="5">
        <v>2403210</v>
      </c>
      <c r="M3194" s="5">
        <v>379992.88</v>
      </c>
      <c r="N3194" s="5">
        <v>0.16850000000000001</v>
      </c>
      <c r="O3194" s="5">
        <v>0</v>
      </c>
      <c r="P3194" s="5">
        <v>0</v>
      </c>
    </row>
    <row r="3195" spans="1:16" x14ac:dyDescent="0.3">
      <c r="A3195" s="5">
        <v>73</v>
      </c>
      <c r="B3195" s="5" t="s">
        <v>145</v>
      </c>
      <c r="C3195" s="5">
        <v>2</v>
      </c>
      <c r="D3195" s="5" t="s">
        <v>88</v>
      </c>
      <c r="E3195" s="5">
        <v>2022</v>
      </c>
      <c r="F3195" s="5">
        <v>12</v>
      </c>
      <c r="G3195" s="5" t="s">
        <v>45</v>
      </c>
      <c r="H3195" s="5">
        <v>1781520</v>
      </c>
      <c r="I3195" s="5">
        <v>1462773.75</v>
      </c>
      <c r="J3195" s="5">
        <v>28</v>
      </c>
      <c r="K3195" s="5">
        <v>103855</v>
      </c>
      <c r="L3195" s="5">
        <v>1873780</v>
      </c>
      <c r="M3195" s="5">
        <v>318746.25</v>
      </c>
      <c r="N3195" s="5">
        <v>0.1789</v>
      </c>
      <c r="O3195" s="5">
        <v>3</v>
      </c>
      <c r="P3195" s="5">
        <v>14788</v>
      </c>
    </row>
    <row r="3196" spans="1:16" x14ac:dyDescent="0.3">
      <c r="A3196" s="5">
        <v>58</v>
      </c>
      <c r="B3196" s="5" t="s">
        <v>145</v>
      </c>
      <c r="C3196" s="5">
        <v>2</v>
      </c>
      <c r="D3196" s="5" t="s">
        <v>88</v>
      </c>
      <c r="E3196" s="5">
        <v>2023</v>
      </c>
      <c r="F3196" s="5">
        <v>1</v>
      </c>
      <c r="G3196" s="5" t="s">
        <v>46</v>
      </c>
      <c r="H3196" s="5">
        <v>2251998</v>
      </c>
      <c r="I3196" s="5">
        <v>1941593.82</v>
      </c>
      <c r="J3196" s="5">
        <v>26</v>
      </c>
      <c r="K3196" s="5">
        <v>214029</v>
      </c>
      <c r="L3196" s="5">
        <v>2457020</v>
      </c>
      <c r="M3196" s="5">
        <v>310404.18</v>
      </c>
      <c r="N3196" s="5">
        <v>0.13780000000000001</v>
      </c>
      <c r="O3196" s="5">
        <v>1</v>
      </c>
      <c r="P3196" s="5">
        <v>13730</v>
      </c>
    </row>
    <row r="3197" spans="1:16" x14ac:dyDescent="0.3">
      <c r="A3197" s="5">
        <v>63</v>
      </c>
      <c r="B3197" s="5" t="s">
        <v>145</v>
      </c>
      <c r="C3197" s="5">
        <v>2</v>
      </c>
      <c r="D3197" s="5" t="s">
        <v>88</v>
      </c>
      <c r="E3197" s="5">
        <v>2023</v>
      </c>
      <c r="F3197" s="5">
        <v>1</v>
      </c>
      <c r="G3197" s="5" t="s">
        <v>46</v>
      </c>
      <c r="H3197" s="5">
        <v>3122901</v>
      </c>
      <c r="I3197" s="5">
        <v>2633323.7000000002</v>
      </c>
      <c r="J3197" s="5">
        <v>46</v>
      </c>
      <c r="K3197" s="5">
        <v>324400</v>
      </c>
      <c r="L3197" s="5">
        <v>3429900</v>
      </c>
      <c r="M3197" s="5">
        <v>489577.3</v>
      </c>
      <c r="N3197" s="5">
        <v>0.15679999999999999</v>
      </c>
      <c r="O3197" s="5">
        <v>8</v>
      </c>
      <c r="P3197" s="5">
        <v>127887</v>
      </c>
    </row>
    <row r="3198" spans="1:16" x14ac:dyDescent="0.3">
      <c r="A3198" s="5">
        <v>73</v>
      </c>
      <c r="B3198" s="5" t="s">
        <v>145</v>
      </c>
      <c r="C3198" s="5">
        <v>2</v>
      </c>
      <c r="D3198" s="5" t="s">
        <v>88</v>
      </c>
      <c r="E3198" s="5">
        <v>2023</v>
      </c>
      <c r="F3198" s="5">
        <v>1</v>
      </c>
      <c r="G3198" s="5" t="s">
        <v>46</v>
      </c>
      <c r="H3198" s="5">
        <v>2288909</v>
      </c>
      <c r="I3198" s="5">
        <v>2057746.92</v>
      </c>
      <c r="J3198" s="5">
        <v>28</v>
      </c>
      <c r="K3198" s="5">
        <v>329768</v>
      </c>
      <c r="L3198" s="5">
        <v>2611790</v>
      </c>
      <c r="M3198" s="5">
        <v>231162.08</v>
      </c>
      <c r="N3198" s="5">
        <v>0.10100000000000001</v>
      </c>
      <c r="O3198" s="5">
        <v>3</v>
      </c>
      <c r="P3198" s="5">
        <v>137721</v>
      </c>
    </row>
    <row r="3199" spans="1:16" x14ac:dyDescent="0.3">
      <c r="A3199" s="5">
        <v>58</v>
      </c>
      <c r="B3199" s="5" t="s">
        <v>145</v>
      </c>
      <c r="C3199" s="5">
        <v>2</v>
      </c>
      <c r="D3199" s="5" t="s">
        <v>88</v>
      </c>
      <c r="E3199" s="5">
        <v>2023</v>
      </c>
      <c r="F3199" s="5">
        <v>2</v>
      </c>
      <c r="G3199" s="5" t="s">
        <v>47</v>
      </c>
      <c r="H3199" s="5">
        <v>1891363</v>
      </c>
      <c r="I3199" s="5">
        <v>1629603.6</v>
      </c>
      <c r="J3199" s="5">
        <v>19</v>
      </c>
      <c r="K3199" s="5">
        <v>145922</v>
      </c>
      <c r="L3199" s="5">
        <v>2033170</v>
      </c>
      <c r="M3199" s="5">
        <v>261759.4</v>
      </c>
      <c r="N3199" s="5">
        <v>0.1384</v>
      </c>
      <c r="O3199" s="5">
        <v>2</v>
      </c>
      <c r="P3199" s="5">
        <v>76865</v>
      </c>
    </row>
    <row r="3200" spans="1:16" x14ac:dyDescent="0.3">
      <c r="A3200" s="5">
        <v>63</v>
      </c>
      <c r="B3200" s="5" t="s">
        <v>145</v>
      </c>
      <c r="C3200" s="5">
        <v>2</v>
      </c>
      <c r="D3200" s="5" t="s">
        <v>88</v>
      </c>
      <c r="E3200" s="5">
        <v>2023</v>
      </c>
      <c r="F3200" s="5">
        <v>2</v>
      </c>
      <c r="G3200" s="5" t="s">
        <v>47</v>
      </c>
      <c r="H3200" s="5">
        <v>1725869</v>
      </c>
      <c r="I3200" s="5">
        <v>1479358.18</v>
      </c>
      <c r="J3200" s="5">
        <v>30</v>
      </c>
      <c r="K3200" s="5">
        <v>174606</v>
      </c>
      <c r="L3200" s="5">
        <v>1894150</v>
      </c>
      <c r="M3200" s="5">
        <v>246510.82</v>
      </c>
      <c r="N3200" s="5">
        <v>0.14280000000000001</v>
      </c>
      <c r="O3200" s="5">
        <v>3</v>
      </c>
      <c r="P3200" s="5">
        <v>207612</v>
      </c>
    </row>
    <row r="3201" spans="1:16" x14ac:dyDescent="0.3">
      <c r="A3201" s="5">
        <v>73</v>
      </c>
      <c r="B3201" s="5" t="s">
        <v>145</v>
      </c>
      <c r="C3201" s="5">
        <v>2</v>
      </c>
      <c r="D3201" s="5" t="s">
        <v>88</v>
      </c>
      <c r="E3201" s="5">
        <v>2023</v>
      </c>
      <c r="F3201" s="5">
        <v>2</v>
      </c>
      <c r="G3201" s="5" t="s">
        <v>47</v>
      </c>
      <c r="H3201" s="5">
        <v>1649504</v>
      </c>
      <c r="I3201" s="5">
        <v>1393867.65</v>
      </c>
      <c r="J3201" s="5">
        <v>24</v>
      </c>
      <c r="K3201" s="5">
        <v>147228</v>
      </c>
      <c r="L3201" s="5">
        <v>1792750</v>
      </c>
      <c r="M3201" s="5">
        <v>255636.35</v>
      </c>
      <c r="N3201" s="5">
        <v>0.155</v>
      </c>
      <c r="O3201" s="5">
        <v>1</v>
      </c>
      <c r="P3201" s="5">
        <v>15316</v>
      </c>
    </row>
    <row r="3202" spans="1:16" x14ac:dyDescent="0.3">
      <c r="A3202" s="5">
        <v>58</v>
      </c>
      <c r="B3202" s="5" t="s">
        <v>145</v>
      </c>
      <c r="C3202" s="5">
        <v>2</v>
      </c>
      <c r="D3202" s="5" t="s">
        <v>88</v>
      </c>
      <c r="E3202" s="5">
        <v>2023</v>
      </c>
      <c r="F3202" s="5">
        <v>3</v>
      </c>
      <c r="G3202" s="5" t="s">
        <v>48</v>
      </c>
      <c r="H3202" s="5">
        <v>2478203</v>
      </c>
      <c r="I3202" s="5">
        <v>2207145.7599999998</v>
      </c>
      <c r="J3202" s="5">
        <v>37</v>
      </c>
      <c r="K3202" s="5">
        <v>322834</v>
      </c>
      <c r="L3202" s="5">
        <v>2794780</v>
      </c>
      <c r="M3202" s="5">
        <v>271057.24</v>
      </c>
      <c r="N3202" s="5">
        <v>0.1094</v>
      </c>
      <c r="O3202" s="5">
        <v>2</v>
      </c>
      <c r="P3202" s="5">
        <v>121844</v>
      </c>
    </row>
    <row r="3203" spans="1:16" x14ac:dyDescent="0.3">
      <c r="A3203" s="5">
        <v>63</v>
      </c>
      <c r="B3203" s="5" t="s">
        <v>145</v>
      </c>
      <c r="C3203" s="5">
        <v>2</v>
      </c>
      <c r="D3203" s="5" t="s">
        <v>88</v>
      </c>
      <c r="E3203" s="5">
        <v>2023</v>
      </c>
      <c r="F3203" s="5">
        <v>3</v>
      </c>
      <c r="G3203" s="5" t="s">
        <v>48</v>
      </c>
      <c r="H3203" s="5">
        <v>4306176</v>
      </c>
      <c r="I3203" s="5">
        <v>3726695.6</v>
      </c>
      <c r="J3203" s="5">
        <v>45</v>
      </c>
      <c r="K3203" s="5">
        <v>408193</v>
      </c>
      <c r="L3203" s="5">
        <v>4702250</v>
      </c>
      <c r="M3203" s="5">
        <v>579480.4</v>
      </c>
      <c r="N3203" s="5">
        <v>0.1346</v>
      </c>
      <c r="O3203" s="5">
        <v>2</v>
      </c>
      <c r="P3203" s="5">
        <v>256454</v>
      </c>
    </row>
    <row r="3204" spans="1:16" x14ac:dyDescent="0.3">
      <c r="A3204" s="5">
        <v>73</v>
      </c>
      <c r="B3204" s="5" t="s">
        <v>145</v>
      </c>
      <c r="C3204" s="5">
        <v>2</v>
      </c>
      <c r="D3204" s="5" t="s">
        <v>88</v>
      </c>
      <c r="E3204" s="5">
        <v>2023</v>
      </c>
      <c r="F3204" s="5">
        <v>3</v>
      </c>
      <c r="G3204" s="5" t="s">
        <v>48</v>
      </c>
      <c r="H3204" s="5">
        <v>2111601</v>
      </c>
      <c r="I3204" s="5">
        <v>1864491.21</v>
      </c>
      <c r="J3204" s="5">
        <v>39</v>
      </c>
      <c r="K3204" s="5">
        <v>327010</v>
      </c>
      <c r="L3204" s="5">
        <v>2432060</v>
      </c>
      <c r="M3204" s="5">
        <v>247109.79</v>
      </c>
      <c r="N3204" s="5">
        <v>0.11700000000000001</v>
      </c>
      <c r="O3204" s="5">
        <v>2</v>
      </c>
      <c r="P3204" s="5">
        <v>21165</v>
      </c>
    </row>
    <row r="3205" spans="1:16" x14ac:dyDescent="0.3">
      <c r="A3205" s="5">
        <v>58</v>
      </c>
      <c r="B3205" s="5" t="s">
        <v>145</v>
      </c>
      <c r="C3205" s="5">
        <v>2</v>
      </c>
      <c r="D3205" s="5" t="s">
        <v>88</v>
      </c>
      <c r="E3205" s="5">
        <v>2023</v>
      </c>
      <c r="F3205" s="5">
        <v>4</v>
      </c>
      <c r="G3205" s="5" t="s">
        <v>49</v>
      </c>
      <c r="H3205" s="5">
        <v>2051509</v>
      </c>
      <c r="I3205" s="5">
        <v>1817192.57</v>
      </c>
      <c r="J3205" s="5">
        <v>28</v>
      </c>
      <c r="K3205" s="5">
        <v>275917</v>
      </c>
      <c r="L3205" s="5">
        <v>2326320</v>
      </c>
      <c r="M3205" s="5">
        <v>234316.43</v>
      </c>
      <c r="N3205" s="5">
        <v>0.1142</v>
      </c>
      <c r="O3205" s="5">
        <v>1</v>
      </c>
      <c r="P3205" s="5">
        <v>9819</v>
      </c>
    </row>
    <row r="3206" spans="1:16" x14ac:dyDescent="0.3">
      <c r="A3206" s="5">
        <v>63</v>
      </c>
      <c r="B3206" s="5" t="s">
        <v>145</v>
      </c>
      <c r="C3206" s="5">
        <v>2</v>
      </c>
      <c r="D3206" s="5" t="s">
        <v>88</v>
      </c>
      <c r="E3206" s="5">
        <v>2023</v>
      </c>
      <c r="F3206" s="5">
        <v>4</v>
      </c>
      <c r="G3206" s="5" t="s">
        <v>49</v>
      </c>
      <c r="H3206" s="5">
        <v>4436937</v>
      </c>
      <c r="I3206" s="5">
        <v>3840140.56</v>
      </c>
      <c r="J3206" s="5">
        <v>48</v>
      </c>
      <c r="K3206" s="5">
        <v>464555</v>
      </c>
      <c r="L3206" s="5">
        <v>4876570</v>
      </c>
      <c r="M3206" s="5">
        <v>596796.43999999994</v>
      </c>
      <c r="N3206" s="5">
        <v>0.13450000000000001</v>
      </c>
      <c r="O3206" s="5">
        <v>2</v>
      </c>
      <c r="P3206" s="5">
        <v>18525</v>
      </c>
    </row>
    <row r="3207" spans="1:16" x14ac:dyDescent="0.3">
      <c r="A3207" s="5">
        <v>73</v>
      </c>
      <c r="B3207" s="5" t="s">
        <v>145</v>
      </c>
      <c r="C3207" s="5">
        <v>2</v>
      </c>
      <c r="D3207" s="5" t="s">
        <v>88</v>
      </c>
      <c r="E3207" s="5">
        <v>2023</v>
      </c>
      <c r="F3207" s="5">
        <v>4</v>
      </c>
      <c r="G3207" s="5" t="s">
        <v>49</v>
      </c>
      <c r="H3207" s="5">
        <v>1966706</v>
      </c>
      <c r="I3207" s="5">
        <v>1721835.82</v>
      </c>
      <c r="J3207" s="5">
        <v>33</v>
      </c>
      <c r="K3207" s="5">
        <v>281962</v>
      </c>
      <c r="L3207" s="5">
        <v>2243290</v>
      </c>
      <c r="M3207" s="5">
        <v>244870.18</v>
      </c>
      <c r="N3207" s="5">
        <v>0.1245</v>
      </c>
      <c r="O3207" s="5">
        <v>5</v>
      </c>
      <c r="P3207" s="5">
        <v>59639</v>
      </c>
    </row>
    <row r="3208" spans="1:16" x14ac:dyDescent="0.3">
      <c r="A3208" s="5">
        <v>58</v>
      </c>
      <c r="B3208" s="5" t="s">
        <v>145</v>
      </c>
      <c r="C3208" s="5">
        <v>2</v>
      </c>
      <c r="D3208" s="5" t="s">
        <v>88</v>
      </c>
      <c r="E3208" s="5">
        <v>2023</v>
      </c>
      <c r="F3208" s="5">
        <v>5</v>
      </c>
      <c r="G3208" s="5" t="s">
        <v>50</v>
      </c>
      <c r="H3208" s="5">
        <v>2777545</v>
      </c>
      <c r="I3208" s="5">
        <v>2463448.0699999998</v>
      </c>
      <c r="J3208" s="5">
        <v>37</v>
      </c>
      <c r="K3208" s="5">
        <v>423251</v>
      </c>
      <c r="L3208" s="5">
        <v>3193550</v>
      </c>
      <c r="M3208" s="5">
        <v>314096.93</v>
      </c>
      <c r="N3208" s="5">
        <v>0.11310000000000001</v>
      </c>
      <c r="O3208" s="5">
        <v>1</v>
      </c>
      <c r="P3208" s="5">
        <v>62045</v>
      </c>
    </row>
    <row r="3209" spans="1:16" x14ac:dyDescent="0.3">
      <c r="A3209" s="5">
        <v>63</v>
      </c>
      <c r="B3209" s="5" t="s">
        <v>145</v>
      </c>
      <c r="C3209" s="5">
        <v>2</v>
      </c>
      <c r="D3209" s="5" t="s">
        <v>88</v>
      </c>
      <c r="E3209" s="5">
        <v>2023</v>
      </c>
      <c r="F3209" s="5">
        <v>5</v>
      </c>
      <c r="G3209" s="5" t="s">
        <v>50</v>
      </c>
      <c r="H3209" s="5">
        <v>2782544</v>
      </c>
      <c r="I3209" s="5">
        <v>2544301.71</v>
      </c>
      <c r="J3209" s="5">
        <v>43</v>
      </c>
      <c r="K3209" s="5">
        <v>422310</v>
      </c>
      <c r="L3209" s="5">
        <v>3201590</v>
      </c>
      <c r="M3209" s="5">
        <v>238242.29</v>
      </c>
      <c r="N3209" s="5">
        <v>8.5599999999999996E-2</v>
      </c>
      <c r="O3209" s="5">
        <v>1</v>
      </c>
      <c r="P3209" s="5">
        <v>3990</v>
      </c>
    </row>
    <row r="3210" spans="1:16" x14ac:dyDescent="0.3">
      <c r="A3210" s="5">
        <v>73</v>
      </c>
      <c r="B3210" s="5" t="s">
        <v>145</v>
      </c>
      <c r="C3210" s="5">
        <v>2</v>
      </c>
      <c r="D3210" s="5" t="s">
        <v>88</v>
      </c>
      <c r="E3210" s="5">
        <v>2023</v>
      </c>
      <c r="F3210" s="5">
        <v>5</v>
      </c>
      <c r="G3210" s="5" t="s">
        <v>50</v>
      </c>
      <c r="H3210" s="5">
        <v>1298761</v>
      </c>
      <c r="I3210" s="5">
        <v>1146488.19</v>
      </c>
      <c r="J3210" s="5">
        <v>25</v>
      </c>
      <c r="K3210" s="5">
        <v>202823</v>
      </c>
      <c r="L3210" s="5">
        <v>1496380</v>
      </c>
      <c r="M3210" s="5">
        <v>152272.81</v>
      </c>
      <c r="N3210" s="5">
        <v>0.1172</v>
      </c>
      <c r="O3210" s="5">
        <v>1</v>
      </c>
      <c r="P3210" s="5">
        <v>126160</v>
      </c>
    </row>
    <row r="3211" spans="1:16" x14ac:dyDescent="0.3">
      <c r="A3211" s="5">
        <v>58</v>
      </c>
      <c r="B3211" s="5" t="s">
        <v>145</v>
      </c>
      <c r="C3211" s="5">
        <v>2</v>
      </c>
      <c r="D3211" s="5" t="s">
        <v>88</v>
      </c>
      <c r="E3211" s="5">
        <v>2023</v>
      </c>
      <c r="F3211" s="5">
        <v>6</v>
      </c>
      <c r="G3211" s="5" t="s">
        <v>51</v>
      </c>
      <c r="H3211" s="5">
        <v>2683609</v>
      </c>
      <c r="I3211" s="5">
        <v>2316571.5299999998</v>
      </c>
      <c r="J3211" s="5">
        <v>37</v>
      </c>
      <c r="K3211" s="5">
        <v>295778</v>
      </c>
      <c r="L3211" s="5">
        <v>2967780</v>
      </c>
      <c r="M3211" s="5">
        <v>367037.47</v>
      </c>
      <c r="N3211" s="5">
        <v>0.1368</v>
      </c>
      <c r="O3211" s="5">
        <v>4</v>
      </c>
      <c r="P3211" s="5">
        <v>275885</v>
      </c>
    </row>
    <row r="3212" spans="1:16" x14ac:dyDescent="0.3">
      <c r="A3212" s="5">
        <v>63</v>
      </c>
      <c r="B3212" s="5" t="s">
        <v>145</v>
      </c>
      <c r="C3212" s="5">
        <v>2</v>
      </c>
      <c r="D3212" s="5" t="s">
        <v>88</v>
      </c>
      <c r="E3212" s="5">
        <v>2023</v>
      </c>
      <c r="F3212" s="5">
        <v>6</v>
      </c>
      <c r="G3212" s="5" t="s">
        <v>51</v>
      </c>
      <c r="H3212" s="5">
        <v>4121538</v>
      </c>
      <c r="I3212" s="5">
        <v>3451029.65</v>
      </c>
      <c r="J3212" s="5">
        <v>37</v>
      </c>
      <c r="K3212" s="5">
        <v>331185</v>
      </c>
      <c r="L3212" s="5">
        <v>4438320</v>
      </c>
      <c r="M3212" s="5">
        <v>670508.35</v>
      </c>
      <c r="N3212" s="5">
        <v>0.16270000000000001</v>
      </c>
      <c r="O3212" s="5">
        <v>4</v>
      </c>
      <c r="P3212" s="5">
        <v>126743</v>
      </c>
    </row>
    <row r="3213" spans="1:16" x14ac:dyDescent="0.3">
      <c r="A3213" s="5">
        <v>73</v>
      </c>
      <c r="B3213" s="5" t="s">
        <v>145</v>
      </c>
      <c r="C3213" s="5">
        <v>2</v>
      </c>
      <c r="D3213" s="5" t="s">
        <v>88</v>
      </c>
      <c r="E3213" s="5">
        <v>2023</v>
      </c>
      <c r="F3213" s="5">
        <v>6</v>
      </c>
      <c r="G3213" s="5" t="s">
        <v>51</v>
      </c>
      <c r="H3213" s="5">
        <v>2068968</v>
      </c>
      <c r="I3213" s="5">
        <v>1877377.6</v>
      </c>
      <c r="J3213" s="5">
        <v>35</v>
      </c>
      <c r="K3213" s="5">
        <v>341042</v>
      </c>
      <c r="L3213" s="5">
        <v>2408800</v>
      </c>
      <c r="M3213" s="5">
        <v>191590.39999999999</v>
      </c>
      <c r="N3213" s="5">
        <v>9.2600000000000002E-2</v>
      </c>
      <c r="O3213" s="5">
        <v>2</v>
      </c>
      <c r="P3213" s="5">
        <v>16625</v>
      </c>
    </row>
    <row r="3214" spans="1:16" x14ac:dyDescent="0.3">
      <c r="A3214" s="5">
        <v>58</v>
      </c>
      <c r="B3214" s="5" t="s">
        <v>145</v>
      </c>
      <c r="C3214" s="5">
        <v>2</v>
      </c>
      <c r="D3214" s="5" t="s">
        <v>88</v>
      </c>
      <c r="E3214" s="5">
        <v>2023</v>
      </c>
      <c r="F3214" s="5">
        <v>7</v>
      </c>
      <c r="G3214" s="5" t="s">
        <v>52</v>
      </c>
      <c r="H3214" s="5">
        <v>1993622</v>
      </c>
      <c r="I3214" s="5">
        <v>1718311.04</v>
      </c>
      <c r="J3214" s="5">
        <v>29</v>
      </c>
      <c r="K3214" s="5">
        <v>210417</v>
      </c>
      <c r="L3214" s="5">
        <v>2191700</v>
      </c>
      <c r="M3214" s="5">
        <v>275310.96000000002</v>
      </c>
      <c r="N3214" s="5">
        <v>0.1381</v>
      </c>
      <c r="O3214" s="5">
        <v>5</v>
      </c>
      <c r="P3214" s="5">
        <v>222534</v>
      </c>
    </row>
    <row r="3215" spans="1:16" x14ac:dyDescent="0.3">
      <c r="A3215" s="5">
        <v>63</v>
      </c>
      <c r="B3215" s="5" t="s">
        <v>145</v>
      </c>
      <c r="C3215" s="5">
        <v>2</v>
      </c>
      <c r="D3215" s="5" t="s">
        <v>88</v>
      </c>
      <c r="E3215" s="5">
        <v>2023</v>
      </c>
      <c r="F3215" s="5">
        <v>7</v>
      </c>
      <c r="G3215" s="5" t="s">
        <v>52</v>
      </c>
      <c r="H3215" s="5">
        <v>2096068</v>
      </c>
      <c r="I3215" s="5">
        <v>1891779.76</v>
      </c>
      <c r="J3215" s="5">
        <v>42</v>
      </c>
      <c r="K3215" s="5">
        <v>404912</v>
      </c>
      <c r="L3215" s="5">
        <v>2496570</v>
      </c>
      <c r="M3215" s="5">
        <v>204288.24</v>
      </c>
      <c r="N3215" s="5">
        <v>9.7500000000000003E-2</v>
      </c>
      <c r="O3215" s="5">
        <v>1</v>
      </c>
      <c r="P3215" s="5">
        <v>61655</v>
      </c>
    </row>
    <row r="3216" spans="1:16" x14ac:dyDescent="0.3">
      <c r="A3216" s="5">
        <v>73</v>
      </c>
      <c r="B3216" s="5" t="s">
        <v>145</v>
      </c>
      <c r="C3216" s="5">
        <v>2</v>
      </c>
      <c r="D3216" s="5" t="s">
        <v>88</v>
      </c>
      <c r="E3216" s="5">
        <v>2023</v>
      </c>
      <c r="F3216" s="5">
        <v>7</v>
      </c>
      <c r="G3216" s="5" t="s">
        <v>52</v>
      </c>
      <c r="H3216" s="5">
        <v>2148007</v>
      </c>
      <c r="I3216" s="5">
        <v>2056291.39</v>
      </c>
      <c r="J3216" s="5">
        <v>29</v>
      </c>
      <c r="K3216" s="5">
        <v>504180</v>
      </c>
      <c r="L3216" s="5">
        <v>2651770</v>
      </c>
      <c r="M3216" s="5">
        <v>91715.61</v>
      </c>
      <c r="N3216" s="5">
        <v>4.2700000000000002E-2</v>
      </c>
      <c r="O3216" s="5">
        <v>1</v>
      </c>
      <c r="P3216" s="5">
        <v>124979</v>
      </c>
    </row>
    <row r="3217" spans="1:16" x14ac:dyDescent="0.3">
      <c r="A3217" s="5">
        <v>58</v>
      </c>
      <c r="B3217" s="5" t="s">
        <v>145</v>
      </c>
      <c r="C3217" s="5">
        <v>2</v>
      </c>
      <c r="D3217" s="5" t="s">
        <v>88</v>
      </c>
      <c r="E3217" s="5">
        <v>2023</v>
      </c>
      <c r="F3217" s="5">
        <v>8</v>
      </c>
      <c r="G3217" s="5" t="s">
        <v>53</v>
      </c>
      <c r="H3217" s="5">
        <v>2530718</v>
      </c>
      <c r="I3217" s="5">
        <v>2183601.0699999998</v>
      </c>
      <c r="J3217" s="5">
        <v>31</v>
      </c>
      <c r="K3217" s="5">
        <v>271168</v>
      </c>
      <c r="L3217" s="5">
        <v>2794060</v>
      </c>
      <c r="M3217" s="5">
        <v>347116.93</v>
      </c>
      <c r="N3217" s="5">
        <v>0.13719999999999999</v>
      </c>
      <c r="O3217" s="5">
        <v>3</v>
      </c>
      <c r="P3217" s="5">
        <v>149632</v>
      </c>
    </row>
    <row r="3218" spans="1:16" x14ac:dyDescent="0.3">
      <c r="A3218" s="5">
        <v>63</v>
      </c>
      <c r="B3218" s="5" t="s">
        <v>145</v>
      </c>
      <c r="C3218" s="5">
        <v>2</v>
      </c>
      <c r="D3218" s="5" t="s">
        <v>88</v>
      </c>
      <c r="E3218" s="5">
        <v>2023</v>
      </c>
      <c r="F3218" s="5">
        <v>8</v>
      </c>
      <c r="G3218" s="5" t="s">
        <v>53</v>
      </c>
      <c r="H3218" s="5">
        <v>2370834</v>
      </c>
      <c r="I3218" s="5">
        <v>2033421.38</v>
      </c>
      <c r="J3218" s="5">
        <v>45</v>
      </c>
      <c r="K3218" s="5">
        <v>269440</v>
      </c>
      <c r="L3218" s="5">
        <v>2635040</v>
      </c>
      <c r="M3218" s="5">
        <v>337412.62</v>
      </c>
      <c r="N3218" s="5">
        <v>0.14230000000000001</v>
      </c>
      <c r="O3218" s="5">
        <v>1</v>
      </c>
      <c r="P3218" s="5">
        <v>1703</v>
      </c>
    </row>
    <row r="3219" spans="1:16" x14ac:dyDescent="0.3">
      <c r="A3219" s="5">
        <v>73</v>
      </c>
      <c r="B3219" s="5" t="s">
        <v>145</v>
      </c>
      <c r="C3219" s="5">
        <v>2</v>
      </c>
      <c r="D3219" s="5" t="s">
        <v>88</v>
      </c>
      <c r="E3219" s="5">
        <v>2023</v>
      </c>
      <c r="F3219" s="5">
        <v>8</v>
      </c>
      <c r="G3219" s="5" t="s">
        <v>53</v>
      </c>
      <c r="H3219" s="5">
        <v>1375863</v>
      </c>
      <c r="I3219" s="5">
        <v>1208616.3700000001</v>
      </c>
      <c r="J3219" s="5">
        <v>27</v>
      </c>
      <c r="K3219" s="5">
        <v>219951</v>
      </c>
      <c r="L3219" s="5">
        <v>1591360</v>
      </c>
      <c r="M3219" s="5">
        <v>167246.63</v>
      </c>
      <c r="N3219" s="5">
        <v>0.1216</v>
      </c>
      <c r="O3219" s="5">
        <v>1</v>
      </c>
      <c r="P3219" s="5">
        <v>650</v>
      </c>
    </row>
    <row r="3220" spans="1:16" x14ac:dyDescent="0.3">
      <c r="A3220" s="5">
        <v>58</v>
      </c>
      <c r="B3220" s="5" t="s">
        <v>145</v>
      </c>
      <c r="C3220" s="5">
        <v>2</v>
      </c>
      <c r="D3220" s="5" t="s">
        <v>88</v>
      </c>
      <c r="E3220" s="5">
        <v>2023</v>
      </c>
      <c r="F3220" s="5">
        <v>9</v>
      </c>
      <c r="G3220" s="5" t="s">
        <v>54</v>
      </c>
      <c r="H3220" s="5">
        <v>1893093</v>
      </c>
      <c r="I3220" s="5">
        <v>1673876.81</v>
      </c>
      <c r="J3220" s="5">
        <v>36</v>
      </c>
      <c r="K3220" s="5">
        <v>248166</v>
      </c>
      <c r="L3220" s="5">
        <v>2136970</v>
      </c>
      <c r="M3220" s="5">
        <v>219216.19</v>
      </c>
      <c r="N3220" s="5">
        <v>0.1158</v>
      </c>
      <c r="O3220" s="5">
        <v>6</v>
      </c>
      <c r="P3220" s="5">
        <v>128275</v>
      </c>
    </row>
    <row r="3221" spans="1:16" x14ac:dyDescent="0.3">
      <c r="A3221" s="5">
        <v>63</v>
      </c>
      <c r="B3221" s="5" t="s">
        <v>145</v>
      </c>
      <c r="C3221" s="5">
        <v>2</v>
      </c>
      <c r="D3221" s="5" t="s">
        <v>88</v>
      </c>
      <c r="E3221" s="5">
        <v>2023</v>
      </c>
      <c r="F3221" s="5">
        <v>9</v>
      </c>
      <c r="G3221" s="5" t="s">
        <v>54</v>
      </c>
      <c r="H3221" s="5">
        <v>2129944</v>
      </c>
      <c r="I3221" s="5">
        <v>1935991.3</v>
      </c>
      <c r="J3221" s="5">
        <v>34</v>
      </c>
      <c r="K3221" s="5">
        <v>334401</v>
      </c>
      <c r="L3221" s="5">
        <v>2456960</v>
      </c>
      <c r="M3221" s="5">
        <v>193952.7</v>
      </c>
      <c r="N3221" s="5">
        <v>9.11E-2</v>
      </c>
      <c r="O3221" s="5">
        <v>3</v>
      </c>
      <c r="P3221" s="5">
        <v>124540</v>
      </c>
    </row>
    <row r="3222" spans="1:16" x14ac:dyDescent="0.3">
      <c r="A3222" s="5">
        <v>73</v>
      </c>
      <c r="B3222" s="5" t="s">
        <v>145</v>
      </c>
      <c r="C3222" s="5">
        <v>2</v>
      </c>
      <c r="D3222" s="5" t="s">
        <v>88</v>
      </c>
      <c r="E3222" s="5">
        <v>2023</v>
      </c>
      <c r="F3222" s="5">
        <v>9</v>
      </c>
      <c r="G3222" s="5" t="s">
        <v>54</v>
      </c>
      <c r="H3222" s="5">
        <v>2454458</v>
      </c>
      <c r="I3222" s="5">
        <v>2294677.7000000002</v>
      </c>
      <c r="J3222" s="5">
        <v>33</v>
      </c>
      <c r="K3222" s="5">
        <v>458762</v>
      </c>
      <c r="L3222" s="5">
        <v>2905450</v>
      </c>
      <c r="M3222" s="5">
        <v>159780.29999999999</v>
      </c>
      <c r="N3222" s="5">
        <v>6.5100000000000005E-2</v>
      </c>
      <c r="O3222" s="5">
        <v>2</v>
      </c>
      <c r="P3222" s="5">
        <v>10206</v>
      </c>
    </row>
    <row r="3223" spans="1:16" x14ac:dyDescent="0.3">
      <c r="A3223" s="5">
        <v>58</v>
      </c>
      <c r="B3223" s="5" t="s">
        <v>145</v>
      </c>
      <c r="C3223" s="5">
        <v>2</v>
      </c>
      <c r="D3223" s="5" t="s">
        <v>88</v>
      </c>
      <c r="E3223" s="5">
        <v>2023</v>
      </c>
      <c r="F3223" s="5">
        <v>10</v>
      </c>
      <c r="G3223" s="5" t="s">
        <v>55</v>
      </c>
      <c r="H3223" s="5">
        <v>2875191</v>
      </c>
      <c r="I3223" s="5">
        <v>2566075.39</v>
      </c>
      <c r="J3223" s="5">
        <v>40</v>
      </c>
      <c r="K3223" s="5">
        <v>376172</v>
      </c>
      <c r="L3223" s="5">
        <v>3241910</v>
      </c>
      <c r="M3223" s="5">
        <v>309115.61</v>
      </c>
      <c r="N3223" s="5">
        <v>0.1075</v>
      </c>
      <c r="O3223" s="5">
        <v>5</v>
      </c>
      <c r="P3223" s="5">
        <v>162547</v>
      </c>
    </row>
    <row r="3224" spans="1:16" x14ac:dyDescent="0.3">
      <c r="A3224" s="5">
        <v>63</v>
      </c>
      <c r="B3224" s="5" t="s">
        <v>145</v>
      </c>
      <c r="C3224" s="5">
        <v>2</v>
      </c>
      <c r="D3224" s="5" t="s">
        <v>88</v>
      </c>
      <c r="E3224" s="5">
        <v>2023</v>
      </c>
      <c r="F3224" s="5">
        <v>10</v>
      </c>
      <c r="G3224" s="5" t="s">
        <v>55</v>
      </c>
      <c r="H3224" s="5">
        <v>4248219</v>
      </c>
      <c r="I3224" s="5">
        <v>3544034.09</v>
      </c>
      <c r="J3224" s="5">
        <v>53</v>
      </c>
      <c r="K3224" s="5">
        <v>442217</v>
      </c>
      <c r="L3224" s="5">
        <v>4671880</v>
      </c>
      <c r="M3224" s="5">
        <v>704184.91</v>
      </c>
      <c r="N3224" s="5">
        <v>0.1658</v>
      </c>
      <c r="O3224" s="5">
        <v>4</v>
      </c>
      <c r="P3224" s="5">
        <v>28157</v>
      </c>
    </row>
    <row r="3225" spans="1:16" x14ac:dyDescent="0.3">
      <c r="A3225" s="5">
        <v>73</v>
      </c>
      <c r="B3225" s="5" t="s">
        <v>145</v>
      </c>
      <c r="C3225" s="5">
        <v>2</v>
      </c>
      <c r="D3225" s="5" t="s">
        <v>88</v>
      </c>
      <c r="E3225" s="5">
        <v>2023</v>
      </c>
      <c r="F3225" s="5">
        <v>10</v>
      </c>
      <c r="G3225" s="5" t="s">
        <v>55</v>
      </c>
      <c r="H3225" s="5">
        <v>4717587</v>
      </c>
      <c r="I3225" s="5">
        <v>4176241.38</v>
      </c>
      <c r="J3225" s="5">
        <v>54</v>
      </c>
      <c r="K3225" s="5">
        <v>592017</v>
      </c>
      <c r="L3225" s="5">
        <v>5300230</v>
      </c>
      <c r="M3225" s="5">
        <v>541345.62</v>
      </c>
      <c r="N3225" s="5">
        <v>0.1148</v>
      </c>
      <c r="O3225" s="5">
        <v>6</v>
      </c>
      <c r="P3225" s="5">
        <v>264295</v>
      </c>
    </row>
    <row r="3226" spans="1:16" x14ac:dyDescent="0.3">
      <c r="A3226" s="5">
        <v>58</v>
      </c>
      <c r="B3226" s="5" t="s">
        <v>145</v>
      </c>
      <c r="C3226" s="5">
        <v>2</v>
      </c>
      <c r="D3226" s="5" t="s">
        <v>88</v>
      </c>
      <c r="E3226" s="5">
        <v>2023</v>
      </c>
      <c r="F3226" s="5">
        <v>11</v>
      </c>
      <c r="G3226" s="5" t="s">
        <v>56</v>
      </c>
      <c r="H3226" s="5">
        <v>3516808</v>
      </c>
      <c r="I3226" s="5">
        <v>3195099.57</v>
      </c>
      <c r="J3226" s="5">
        <v>51</v>
      </c>
      <c r="K3226" s="5">
        <v>640411</v>
      </c>
      <c r="L3226" s="5">
        <v>4151890</v>
      </c>
      <c r="M3226" s="5">
        <v>321708.43</v>
      </c>
      <c r="N3226" s="5">
        <v>9.1499999999999998E-2</v>
      </c>
      <c r="O3226" s="5">
        <v>5</v>
      </c>
      <c r="P3226" s="5">
        <v>250002</v>
      </c>
    </row>
    <row r="3227" spans="1:16" x14ac:dyDescent="0.3">
      <c r="A3227" s="5">
        <v>63</v>
      </c>
      <c r="B3227" s="5" t="s">
        <v>145</v>
      </c>
      <c r="C3227" s="5">
        <v>2</v>
      </c>
      <c r="D3227" s="5" t="s">
        <v>88</v>
      </c>
      <c r="E3227" s="5">
        <v>2023</v>
      </c>
      <c r="F3227" s="5">
        <v>11</v>
      </c>
      <c r="G3227" s="5" t="s">
        <v>56</v>
      </c>
      <c r="H3227" s="5">
        <v>5155874</v>
      </c>
      <c r="I3227" s="5">
        <v>4566840.34</v>
      </c>
      <c r="J3227" s="5">
        <v>64</v>
      </c>
      <c r="K3227" s="5">
        <v>751588</v>
      </c>
      <c r="L3227" s="5">
        <v>5887150</v>
      </c>
      <c r="M3227" s="5">
        <v>589033.66</v>
      </c>
      <c r="N3227" s="5">
        <v>0.1142</v>
      </c>
      <c r="O3227" s="5">
        <v>4</v>
      </c>
      <c r="P3227" s="5">
        <v>350734</v>
      </c>
    </row>
    <row r="3228" spans="1:16" x14ac:dyDescent="0.3">
      <c r="A3228" s="5">
        <v>73</v>
      </c>
      <c r="B3228" s="5" t="s">
        <v>145</v>
      </c>
      <c r="C3228" s="5">
        <v>2</v>
      </c>
      <c r="D3228" s="5" t="s">
        <v>88</v>
      </c>
      <c r="E3228" s="5">
        <v>2023</v>
      </c>
      <c r="F3228" s="5">
        <v>11</v>
      </c>
      <c r="G3228" s="5" t="s">
        <v>56</v>
      </c>
      <c r="H3228" s="5">
        <v>1764960</v>
      </c>
      <c r="I3228" s="5">
        <v>1517765.82</v>
      </c>
      <c r="J3228" s="5">
        <v>36</v>
      </c>
      <c r="K3228" s="5">
        <v>196338</v>
      </c>
      <c r="L3228" s="5">
        <v>1959550</v>
      </c>
      <c r="M3228" s="5">
        <v>247194.18</v>
      </c>
      <c r="N3228" s="5">
        <v>0.1401</v>
      </c>
      <c r="O3228" s="5">
        <v>0</v>
      </c>
      <c r="P3228" s="5">
        <v>0</v>
      </c>
    </row>
    <row r="3229" spans="1:16" x14ac:dyDescent="0.3">
      <c r="A3229" s="5">
        <v>58</v>
      </c>
      <c r="B3229" s="5" t="s">
        <v>145</v>
      </c>
      <c r="C3229" s="5">
        <v>2</v>
      </c>
      <c r="D3229" s="5" t="s">
        <v>88</v>
      </c>
      <c r="E3229" s="5">
        <v>2023</v>
      </c>
      <c r="F3229" s="5">
        <v>12</v>
      </c>
      <c r="G3229" s="5" t="s">
        <v>57</v>
      </c>
      <c r="H3229" s="5">
        <v>3012096</v>
      </c>
      <c r="I3229" s="5">
        <v>2603944.19</v>
      </c>
      <c r="J3229" s="5">
        <v>47</v>
      </c>
      <c r="K3229" s="5">
        <v>386393</v>
      </c>
      <c r="L3229" s="5">
        <v>3376320</v>
      </c>
      <c r="M3229" s="5">
        <v>408151.81</v>
      </c>
      <c r="N3229" s="5">
        <v>0.13550000000000001</v>
      </c>
      <c r="O3229" s="5">
        <v>6</v>
      </c>
      <c r="P3229" s="5">
        <v>114571</v>
      </c>
    </row>
    <row r="3230" spans="1:16" x14ac:dyDescent="0.3">
      <c r="A3230" s="5">
        <v>63</v>
      </c>
      <c r="B3230" s="5" t="s">
        <v>145</v>
      </c>
      <c r="C3230" s="5">
        <v>2</v>
      </c>
      <c r="D3230" s="5" t="s">
        <v>88</v>
      </c>
      <c r="E3230" s="5">
        <v>2023</v>
      </c>
      <c r="F3230" s="5">
        <v>12</v>
      </c>
      <c r="G3230" s="5" t="s">
        <v>57</v>
      </c>
      <c r="H3230" s="5">
        <v>4059340</v>
      </c>
      <c r="I3230" s="5">
        <v>3650043.7</v>
      </c>
      <c r="J3230" s="5">
        <v>52</v>
      </c>
      <c r="K3230" s="5">
        <v>667472</v>
      </c>
      <c r="L3230" s="5">
        <v>4704550</v>
      </c>
      <c r="M3230" s="5">
        <v>409296.3</v>
      </c>
      <c r="N3230" s="5">
        <v>0.1008</v>
      </c>
      <c r="O3230" s="5">
        <v>4</v>
      </c>
      <c r="P3230" s="5">
        <v>128246</v>
      </c>
    </row>
    <row r="3231" spans="1:16" x14ac:dyDescent="0.3">
      <c r="A3231" s="5">
        <v>73</v>
      </c>
      <c r="B3231" s="5" t="s">
        <v>145</v>
      </c>
      <c r="C3231" s="5">
        <v>2</v>
      </c>
      <c r="D3231" s="5" t="s">
        <v>88</v>
      </c>
      <c r="E3231" s="5">
        <v>2023</v>
      </c>
      <c r="F3231" s="5">
        <v>12</v>
      </c>
      <c r="G3231" s="5" t="s">
        <v>57</v>
      </c>
      <c r="H3231" s="5">
        <v>2164363</v>
      </c>
      <c r="I3231" s="5">
        <v>1891956.09</v>
      </c>
      <c r="J3231" s="5">
        <v>45</v>
      </c>
      <c r="K3231" s="5">
        <v>358223</v>
      </c>
      <c r="L3231" s="5">
        <v>2517320</v>
      </c>
      <c r="M3231" s="5">
        <v>272406.90999999997</v>
      </c>
      <c r="N3231" s="5">
        <v>0.12590000000000001</v>
      </c>
      <c r="O3231" s="5">
        <v>2</v>
      </c>
      <c r="P3231" s="5">
        <v>29921</v>
      </c>
    </row>
    <row r="3232" spans="1:16" x14ac:dyDescent="0.3">
      <c r="A3232" s="5">
        <v>58</v>
      </c>
      <c r="B3232" s="5" t="s">
        <v>145</v>
      </c>
      <c r="C3232" s="5">
        <v>2</v>
      </c>
      <c r="D3232" s="5" t="s">
        <v>88</v>
      </c>
      <c r="E3232" s="5">
        <v>2024</v>
      </c>
      <c r="F3232" s="5">
        <v>1</v>
      </c>
      <c r="G3232" s="5" t="s">
        <v>58</v>
      </c>
      <c r="H3232" s="5">
        <v>1955045</v>
      </c>
      <c r="I3232" s="5">
        <v>1776562.61</v>
      </c>
      <c r="J3232" s="5">
        <v>35</v>
      </c>
      <c r="K3232" s="5">
        <v>279109</v>
      </c>
      <c r="L3232" s="5">
        <v>2229500</v>
      </c>
      <c r="M3232" s="5">
        <v>178482.39</v>
      </c>
      <c r="N3232" s="5">
        <v>9.1300000000000006E-2</v>
      </c>
      <c r="O3232" s="5">
        <v>3</v>
      </c>
      <c r="P3232" s="5">
        <v>4907</v>
      </c>
    </row>
    <row r="3233" spans="1:16" x14ac:dyDescent="0.3">
      <c r="A3233" s="5">
        <v>63</v>
      </c>
      <c r="B3233" s="5" t="s">
        <v>145</v>
      </c>
      <c r="C3233" s="5">
        <v>2</v>
      </c>
      <c r="D3233" s="5" t="s">
        <v>88</v>
      </c>
      <c r="E3233" s="5">
        <v>2024</v>
      </c>
      <c r="F3233" s="5">
        <v>1</v>
      </c>
      <c r="G3233" s="5" t="s">
        <v>58</v>
      </c>
      <c r="H3233" s="5">
        <v>1848579</v>
      </c>
      <c r="I3233" s="5">
        <v>1556781.22</v>
      </c>
      <c r="J3233" s="5">
        <v>41</v>
      </c>
      <c r="K3233" s="5">
        <v>273425</v>
      </c>
      <c r="L3233" s="5">
        <v>2117660</v>
      </c>
      <c r="M3233" s="5">
        <v>291797.78000000003</v>
      </c>
      <c r="N3233" s="5">
        <v>0.1578</v>
      </c>
      <c r="O3233" s="5">
        <v>2</v>
      </c>
      <c r="P3233" s="5">
        <v>62975</v>
      </c>
    </row>
    <row r="3234" spans="1:16" x14ac:dyDescent="0.3">
      <c r="A3234" s="5">
        <v>73</v>
      </c>
      <c r="B3234" s="5" t="s">
        <v>145</v>
      </c>
      <c r="C3234" s="5">
        <v>2</v>
      </c>
      <c r="D3234" s="5" t="s">
        <v>88</v>
      </c>
      <c r="E3234" s="5">
        <v>2024</v>
      </c>
      <c r="F3234" s="5">
        <v>1</v>
      </c>
      <c r="G3234" s="5" t="s">
        <v>58</v>
      </c>
      <c r="H3234" s="5">
        <v>1748224</v>
      </c>
      <c r="I3234" s="5">
        <v>1445794.44</v>
      </c>
      <c r="J3234" s="5">
        <v>28</v>
      </c>
      <c r="K3234" s="5">
        <v>147678</v>
      </c>
      <c r="L3234" s="5">
        <v>1888330</v>
      </c>
      <c r="M3234" s="5">
        <v>302429.56</v>
      </c>
      <c r="N3234" s="5">
        <v>0.17299999999999999</v>
      </c>
      <c r="O3234" s="5">
        <v>2</v>
      </c>
      <c r="P3234" s="5">
        <v>103600</v>
      </c>
    </row>
    <row r="3235" spans="1:16" x14ac:dyDescent="0.3">
      <c r="A3235" s="5">
        <v>58</v>
      </c>
      <c r="B3235" s="5" t="s">
        <v>145</v>
      </c>
      <c r="C3235" s="5">
        <v>2</v>
      </c>
      <c r="D3235" s="5" t="s">
        <v>88</v>
      </c>
      <c r="E3235" s="5">
        <v>2024</v>
      </c>
      <c r="F3235" s="5">
        <v>2</v>
      </c>
      <c r="G3235" s="5" t="s">
        <v>59</v>
      </c>
      <c r="H3235" s="5">
        <v>1570419</v>
      </c>
      <c r="I3235" s="5">
        <v>1397880.82</v>
      </c>
      <c r="J3235" s="5">
        <v>27</v>
      </c>
      <c r="K3235" s="5">
        <v>199825</v>
      </c>
      <c r="L3235" s="5">
        <v>1767750</v>
      </c>
      <c r="M3235" s="5">
        <v>172538.18</v>
      </c>
      <c r="N3235" s="5">
        <v>0.1099</v>
      </c>
      <c r="O3235" s="5">
        <v>3</v>
      </c>
      <c r="P3235" s="5">
        <v>13366</v>
      </c>
    </row>
    <row r="3236" spans="1:16" x14ac:dyDescent="0.3">
      <c r="A3236" s="5">
        <v>63</v>
      </c>
      <c r="B3236" s="5" t="s">
        <v>145</v>
      </c>
      <c r="C3236" s="5">
        <v>2</v>
      </c>
      <c r="D3236" s="5" t="s">
        <v>88</v>
      </c>
      <c r="E3236" s="5">
        <v>2024</v>
      </c>
      <c r="F3236" s="5">
        <v>2</v>
      </c>
      <c r="G3236" s="5" t="s">
        <v>59</v>
      </c>
      <c r="H3236" s="5">
        <v>2320081</v>
      </c>
      <c r="I3236" s="5">
        <v>2005939.22</v>
      </c>
      <c r="J3236" s="5">
        <v>34</v>
      </c>
      <c r="K3236" s="5">
        <v>279144</v>
      </c>
      <c r="L3236" s="5">
        <v>2586920</v>
      </c>
      <c r="M3236" s="5">
        <v>314141.78000000003</v>
      </c>
      <c r="N3236" s="5">
        <v>0.13539999999999999</v>
      </c>
      <c r="O3236" s="5">
        <v>2</v>
      </c>
      <c r="P3236" s="5">
        <v>20041</v>
      </c>
    </row>
    <row r="3237" spans="1:16" x14ac:dyDescent="0.3">
      <c r="A3237" s="5">
        <v>73</v>
      </c>
      <c r="B3237" s="5" t="s">
        <v>145</v>
      </c>
      <c r="C3237" s="5">
        <v>2</v>
      </c>
      <c r="D3237" s="5" t="s">
        <v>88</v>
      </c>
      <c r="E3237" s="5">
        <v>2024</v>
      </c>
      <c r="F3237" s="5">
        <v>2</v>
      </c>
      <c r="G3237" s="5" t="s">
        <v>59</v>
      </c>
      <c r="H3237" s="5">
        <v>1759248</v>
      </c>
      <c r="I3237" s="5">
        <v>1529485.33</v>
      </c>
      <c r="J3237" s="5">
        <v>26</v>
      </c>
      <c r="K3237" s="5">
        <v>193857</v>
      </c>
      <c r="L3237" s="5">
        <v>1950190</v>
      </c>
      <c r="M3237" s="5">
        <v>229762.67</v>
      </c>
      <c r="N3237" s="5">
        <v>0.13059999999999999</v>
      </c>
      <c r="O3237" s="5">
        <v>0</v>
      </c>
      <c r="P3237" s="5">
        <v>0</v>
      </c>
    </row>
    <row r="3238" spans="1:16" x14ac:dyDescent="0.3">
      <c r="A3238" s="5">
        <v>58</v>
      </c>
      <c r="B3238" s="5" t="s">
        <v>145</v>
      </c>
      <c r="C3238" s="5">
        <v>2</v>
      </c>
      <c r="D3238" s="5" t="s">
        <v>88</v>
      </c>
      <c r="E3238" s="5">
        <v>2024</v>
      </c>
      <c r="F3238" s="5">
        <v>3</v>
      </c>
      <c r="G3238" s="5" t="s">
        <v>60</v>
      </c>
      <c r="H3238" s="5">
        <v>2510174</v>
      </c>
      <c r="I3238" s="5">
        <v>2040336.03</v>
      </c>
      <c r="J3238" s="5">
        <v>39</v>
      </c>
      <c r="K3238" s="5">
        <v>166802</v>
      </c>
      <c r="L3238" s="5">
        <v>2659640</v>
      </c>
      <c r="M3238" s="5">
        <v>469837.97</v>
      </c>
      <c r="N3238" s="5">
        <v>0.18720000000000001</v>
      </c>
      <c r="O3238" s="5">
        <v>0</v>
      </c>
      <c r="P3238" s="5">
        <v>0</v>
      </c>
    </row>
    <row r="3239" spans="1:16" x14ac:dyDescent="0.3">
      <c r="A3239" s="5">
        <v>63</v>
      </c>
      <c r="B3239" s="5" t="s">
        <v>145</v>
      </c>
      <c r="C3239" s="5">
        <v>2</v>
      </c>
      <c r="D3239" s="5" t="s">
        <v>88</v>
      </c>
      <c r="E3239" s="5">
        <v>2024</v>
      </c>
      <c r="F3239" s="5">
        <v>3</v>
      </c>
      <c r="G3239" s="5" t="s">
        <v>60</v>
      </c>
      <c r="H3239" s="5">
        <v>2846193</v>
      </c>
      <c r="I3239" s="5">
        <v>2565958.91</v>
      </c>
      <c r="J3239" s="5">
        <v>40</v>
      </c>
      <c r="K3239" s="5">
        <v>459481</v>
      </c>
      <c r="L3239" s="5">
        <v>3299730</v>
      </c>
      <c r="M3239" s="5">
        <v>280234.09000000003</v>
      </c>
      <c r="N3239" s="5">
        <v>9.8500000000000004E-2</v>
      </c>
      <c r="O3239" s="5">
        <v>4</v>
      </c>
      <c r="P3239" s="5">
        <v>501876</v>
      </c>
    </row>
    <row r="3240" spans="1:16" x14ac:dyDescent="0.3">
      <c r="A3240" s="5">
        <v>73</v>
      </c>
      <c r="B3240" s="5" t="s">
        <v>145</v>
      </c>
      <c r="C3240" s="5">
        <v>2</v>
      </c>
      <c r="D3240" s="5" t="s">
        <v>88</v>
      </c>
      <c r="E3240" s="5">
        <v>2024</v>
      </c>
      <c r="F3240" s="5">
        <v>3</v>
      </c>
      <c r="G3240" s="5" t="s">
        <v>60</v>
      </c>
      <c r="H3240" s="5">
        <v>3016487</v>
      </c>
      <c r="I3240" s="5">
        <v>2658870.9700000002</v>
      </c>
      <c r="J3240" s="5">
        <v>40</v>
      </c>
      <c r="K3240" s="5">
        <v>379044</v>
      </c>
      <c r="L3240" s="5">
        <v>3389430</v>
      </c>
      <c r="M3240" s="5">
        <v>357616.03</v>
      </c>
      <c r="N3240" s="5">
        <v>0.1186</v>
      </c>
      <c r="O3240" s="5">
        <v>0</v>
      </c>
      <c r="P3240" s="5">
        <v>0</v>
      </c>
    </row>
    <row r="3241" spans="1:16" x14ac:dyDescent="0.3">
      <c r="A3241" s="5">
        <v>58</v>
      </c>
      <c r="B3241" s="5" t="s">
        <v>145</v>
      </c>
      <c r="C3241" s="5">
        <v>2</v>
      </c>
      <c r="D3241" s="5" t="s">
        <v>88</v>
      </c>
      <c r="E3241" s="5">
        <v>2024</v>
      </c>
      <c r="F3241" s="5">
        <v>4</v>
      </c>
      <c r="G3241" s="5" t="s">
        <v>61</v>
      </c>
      <c r="H3241" s="5">
        <v>2328061</v>
      </c>
      <c r="I3241" s="5">
        <v>1918000.25</v>
      </c>
      <c r="J3241" s="5">
        <v>36</v>
      </c>
      <c r="K3241" s="5">
        <v>182795</v>
      </c>
      <c r="L3241" s="5">
        <v>2500240</v>
      </c>
      <c r="M3241" s="5">
        <v>410060.75</v>
      </c>
      <c r="N3241" s="5">
        <v>0.17610000000000001</v>
      </c>
      <c r="O3241" s="5">
        <v>2</v>
      </c>
      <c r="P3241" s="5">
        <v>26661</v>
      </c>
    </row>
    <row r="3242" spans="1:16" x14ac:dyDescent="0.3">
      <c r="A3242" s="5">
        <v>63</v>
      </c>
      <c r="B3242" s="5" t="s">
        <v>145</v>
      </c>
      <c r="C3242" s="5">
        <v>2</v>
      </c>
      <c r="D3242" s="5" t="s">
        <v>88</v>
      </c>
      <c r="E3242" s="5">
        <v>2024</v>
      </c>
      <c r="F3242" s="5">
        <v>4</v>
      </c>
      <c r="G3242" s="5" t="s">
        <v>61</v>
      </c>
      <c r="H3242" s="5">
        <v>3092212</v>
      </c>
      <c r="I3242" s="5">
        <v>2523593.5</v>
      </c>
      <c r="J3242" s="5">
        <v>43</v>
      </c>
      <c r="K3242" s="5">
        <v>217170</v>
      </c>
      <c r="L3242" s="5">
        <v>3293980</v>
      </c>
      <c r="M3242" s="5">
        <v>568618.5</v>
      </c>
      <c r="N3242" s="5">
        <v>0.18390000000000001</v>
      </c>
      <c r="O3242" s="5">
        <v>5</v>
      </c>
      <c r="P3242" s="5">
        <v>202537</v>
      </c>
    </row>
    <row r="3243" spans="1:16" x14ac:dyDescent="0.3">
      <c r="A3243" s="5">
        <v>73</v>
      </c>
      <c r="B3243" s="5" t="s">
        <v>145</v>
      </c>
      <c r="C3243" s="5">
        <v>2</v>
      </c>
      <c r="D3243" s="5" t="s">
        <v>88</v>
      </c>
      <c r="E3243" s="5">
        <v>2024</v>
      </c>
      <c r="F3243" s="5">
        <v>4</v>
      </c>
      <c r="G3243" s="5" t="s">
        <v>61</v>
      </c>
      <c r="H3243" s="5">
        <v>3421685</v>
      </c>
      <c r="I3243" s="5">
        <v>2833941.42</v>
      </c>
      <c r="J3243" s="5">
        <v>37</v>
      </c>
      <c r="K3243" s="5">
        <v>232048</v>
      </c>
      <c r="L3243" s="5">
        <v>3646000</v>
      </c>
      <c r="M3243" s="5">
        <v>587743.57999999996</v>
      </c>
      <c r="N3243" s="5">
        <v>0.17180000000000001</v>
      </c>
      <c r="O3243" s="5">
        <v>3</v>
      </c>
      <c r="P3243" s="5">
        <v>222700</v>
      </c>
    </row>
    <row r="3244" spans="1:16" x14ac:dyDescent="0.3">
      <c r="A3244" s="5">
        <v>58</v>
      </c>
      <c r="B3244" s="5" t="s">
        <v>145</v>
      </c>
      <c r="C3244" s="5">
        <v>2</v>
      </c>
      <c r="D3244" s="5" t="s">
        <v>88</v>
      </c>
      <c r="E3244" s="5">
        <v>2024</v>
      </c>
      <c r="F3244" s="5">
        <v>5</v>
      </c>
      <c r="G3244" s="5" t="s">
        <v>62</v>
      </c>
      <c r="H3244" s="5">
        <v>1905729</v>
      </c>
      <c r="I3244" s="5">
        <v>1736110.53</v>
      </c>
      <c r="J3244" s="5">
        <v>29</v>
      </c>
      <c r="K3244" s="5">
        <v>391117</v>
      </c>
      <c r="L3244" s="5">
        <v>2289620</v>
      </c>
      <c r="M3244" s="5">
        <v>169618.47</v>
      </c>
      <c r="N3244" s="5">
        <v>8.8999999999999996E-2</v>
      </c>
      <c r="O3244" s="5">
        <v>1</v>
      </c>
      <c r="P3244" s="5">
        <v>7820</v>
      </c>
    </row>
    <row r="3245" spans="1:16" x14ac:dyDescent="0.3">
      <c r="A3245" s="5">
        <v>63</v>
      </c>
      <c r="B3245" s="5" t="s">
        <v>145</v>
      </c>
      <c r="C3245" s="5">
        <v>2</v>
      </c>
      <c r="D3245" s="5" t="s">
        <v>88</v>
      </c>
      <c r="E3245" s="5">
        <v>2024</v>
      </c>
      <c r="F3245" s="5">
        <v>5</v>
      </c>
      <c r="G3245" s="5" t="s">
        <v>62</v>
      </c>
      <c r="H3245" s="5">
        <v>3861597</v>
      </c>
      <c r="I3245" s="5">
        <v>3302846.57</v>
      </c>
      <c r="J3245" s="5">
        <v>46</v>
      </c>
      <c r="K3245" s="5">
        <v>432326</v>
      </c>
      <c r="L3245" s="5">
        <v>4287060</v>
      </c>
      <c r="M3245" s="5">
        <v>558750.43000000005</v>
      </c>
      <c r="N3245" s="5">
        <v>0.1447</v>
      </c>
      <c r="O3245" s="5">
        <v>4</v>
      </c>
      <c r="P3245" s="5">
        <v>257600</v>
      </c>
    </row>
    <row r="3246" spans="1:16" x14ac:dyDescent="0.3">
      <c r="A3246" s="5">
        <v>73</v>
      </c>
      <c r="B3246" s="5" t="s">
        <v>145</v>
      </c>
      <c r="C3246" s="5">
        <v>2</v>
      </c>
      <c r="D3246" s="5" t="s">
        <v>88</v>
      </c>
      <c r="E3246" s="5">
        <v>2024</v>
      </c>
      <c r="F3246" s="5">
        <v>5</v>
      </c>
      <c r="G3246" s="5" t="s">
        <v>62</v>
      </c>
      <c r="H3246" s="5">
        <v>2259899</v>
      </c>
      <c r="I3246" s="5">
        <v>1975484.41</v>
      </c>
      <c r="J3246" s="5">
        <v>42</v>
      </c>
      <c r="K3246" s="5">
        <v>252051</v>
      </c>
      <c r="L3246" s="5">
        <v>2501960</v>
      </c>
      <c r="M3246" s="5">
        <v>284414.59000000003</v>
      </c>
      <c r="N3246" s="5">
        <v>0.12590000000000001</v>
      </c>
      <c r="O3246" s="5">
        <v>1</v>
      </c>
      <c r="P3246" s="5">
        <v>3523</v>
      </c>
    </row>
    <row r="3247" spans="1:16" x14ac:dyDescent="0.3">
      <c r="A3247" s="5">
        <v>58</v>
      </c>
      <c r="B3247" s="5" t="s">
        <v>145</v>
      </c>
      <c r="C3247" s="5">
        <v>2</v>
      </c>
      <c r="D3247" s="5" t="s">
        <v>88</v>
      </c>
      <c r="E3247" s="5">
        <v>2024</v>
      </c>
      <c r="F3247" s="5">
        <v>6</v>
      </c>
      <c r="G3247" s="5" t="s">
        <v>63</v>
      </c>
      <c r="H3247" s="5">
        <v>4526938</v>
      </c>
      <c r="I3247" s="5">
        <v>3820079.73</v>
      </c>
      <c r="J3247" s="5">
        <v>39</v>
      </c>
      <c r="K3247" s="5">
        <v>300680</v>
      </c>
      <c r="L3247" s="5">
        <v>4817110</v>
      </c>
      <c r="M3247" s="5">
        <v>706858.27</v>
      </c>
      <c r="N3247" s="5">
        <v>0.15609999999999999</v>
      </c>
      <c r="O3247" s="5">
        <v>2</v>
      </c>
      <c r="P3247" s="5">
        <v>104536</v>
      </c>
    </row>
    <row r="3248" spans="1:16" x14ac:dyDescent="0.3">
      <c r="A3248" s="5">
        <v>63</v>
      </c>
      <c r="B3248" s="5" t="s">
        <v>145</v>
      </c>
      <c r="C3248" s="5">
        <v>2</v>
      </c>
      <c r="D3248" s="5" t="s">
        <v>88</v>
      </c>
      <c r="E3248" s="5">
        <v>2024</v>
      </c>
      <c r="F3248" s="5">
        <v>6</v>
      </c>
      <c r="G3248" s="5" t="s">
        <v>63</v>
      </c>
      <c r="H3248" s="5">
        <v>3893969</v>
      </c>
      <c r="I3248" s="5">
        <v>3168567.77</v>
      </c>
      <c r="J3248" s="5">
        <v>47</v>
      </c>
      <c r="K3248" s="5">
        <v>237311</v>
      </c>
      <c r="L3248" s="5">
        <v>4116530</v>
      </c>
      <c r="M3248" s="5">
        <v>725401.23</v>
      </c>
      <c r="N3248" s="5">
        <v>0.18629999999999999</v>
      </c>
      <c r="O3248" s="5">
        <v>2</v>
      </c>
      <c r="P3248" s="5">
        <v>118666</v>
      </c>
    </row>
    <row r="3249" spans="1:16" x14ac:dyDescent="0.3">
      <c r="A3249" s="5">
        <v>73</v>
      </c>
      <c r="B3249" s="5" t="s">
        <v>145</v>
      </c>
      <c r="C3249" s="5">
        <v>2</v>
      </c>
      <c r="D3249" s="5" t="s">
        <v>88</v>
      </c>
      <c r="E3249" s="5">
        <v>2024</v>
      </c>
      <c r="F3249" s="5">
        <v>6</v>
      </c>
      <c r="G3249" s="5" t="s">
        <v>63</v>
      </c>
      <c r="H3249" s="5">
        <v>3307039</v>
      </c>
      <c r="I3249" s="5">
        <v>2765259.34</v>
      </c>
      <c r="J3249" s="5">
        <v>51</v>
      </c>
      <c r="K3249" s="5">
        <v>270512</v>
      </c>
      <c r="L3249" s="5">
        <v>3569760</v>
      </c>
      <c r="M3249" s="5">
        <v>541779.66</v>
      </c>
      <c r="N3249" s="5">
        <v>0.1638</v>
      </c>
      <c r="O3249" s="5">
        <v>2</v>
      </c>
      <c r="P3249" s="5">
        <v>79653</v>
      </c>
    </row>
    <row r="3250" spans="1:16" x14ac:dyDescent="0.3">
      <c r="A3250" s="5">
        <v>58</v>
      </c>
      <c r="B3250" s="5" t="s">
        <v>145</v>
      </c>
      <c r="C3250" s="5">
        <v>2</v>
      </c>
      <c r="D3250" s="5" t="s">
        <v>88</v>
      </c>
      <c r="E3250" s="5">
        <v>2024</v>
      </c>
      <c r="F3250" s="5">
        <v>7</v>
      </c>
      <c r="G3250" s="5" t="s">
        <v>64</v>
      </c>
      <c r="H3250" s="5">
        <v>2176962</v>
      </c>
      <c r="I3250" s="5">
        <v>1753263.37</v>
      </c>
      <c r="J3250" s="5">
        <v>44</v>
      </c>
      <c r="K3250" s="5">
        <v>134609</v>
      </c>
      <c r="L3250" s="5">
        <v>2299090</v>
      </c>
      <c r="M3250" s="5">
        <v>423698.63</v>
      </c>
      <c r="N3250" s="5">
        <v>0.1946</v>
      </c>
      <c r="O3250" s="5">
        <v>1</v>
      </c>
      <c r="P3250" s="5">
        <v>681</v>
      </c>
    </row>
    <row r="3251" spans="1:16" x14ac:dyDescent="0.3">
      <c r="A3251" s="5">
        <v>63</v>
      </c>
      <c r="B3251" s="5" t="s">
        <v>145</v>
      </c>
      <c r="C3251" s="5">
        <v>2</v>
      </c>
      <c r="D3251" s="5" t="s">
        <v>88</v>
      </c>
      <c r="E3251" s="5">
        <v>2024</v>
      </c>
      <c r="F3251" s="5">
        <v>7</v>
      </c>
      <c r="G3251" s="5" t="s">
        <v>64</v>
      </c>
      <c r="H3251" s="5">
        <v>2323399</v>
      </c>
      <c r="I3251" s="5">
        <v>2065086.18</v>
      </c>
      <c r="J3251" s="5">
        <v>42</v>
      </c>
      <c r="K3251" s="5">
        <v>332967</v>
      </c>
      <c r="L3251" s="5">
        <v>2647940</v>
      </c>
      <c r="M3251" s="5">
        <v>258312.82</v>
      </c>
      <c r="N3251" s="5">
        <v>0.11119999999999999</v>
      </c>
      <c r="O3251" s="5">
        <v>1</v>
      </c>
      <c r="P3251" s="5">
        <v>18190</v>
      </c>
    </row>
    <row r="3252" spans="1:16" x14ac:dyDescent="0.3">
      <c r="A3252" s="5">
        <v>73</v>
      </c>
      <c r="B3252" s="5" t="s">
        <v>145</v>
      </c>
      <c r="C3252" s="5">
        <v>2</v>
      </c>
      <c r="D3252" s="5" t="s">
        <v>88</v>
      </c>
      <c r="E3252" s="5">
        <v>2024</v>
      </c>
      <c r="F3252" s="5">
        <v>7</v>
      </c>
      <c r="G3252" s="5" t="s">
        <v>64</v>
      </c>
      <c r="H3252" s="5">
        <v>3396990</v>
      </c>
      <c r="I3252" s="5">
        <v>2836967.31</v>
      </c>
      <c r="J3252" s="5">
        <v>41</v>
      </c>
      <c r="K3252" s="5">
        <v>201538</v>
      </c>
      <c r="L3252" s="5">
        <v>3586340</v>
      </c>
      <c r="M3252" s="5">
        <v>560022.68999999994</v>
      </c>
      <c r="N3252" s="5">
        <v>0.16489999999999999</v>
      </c>
      <c r="O3252" s="5">
        <v>2</v>
      </c>
      <c r="P3252" s="5">
        <v>54372</v>
      </c>
    </row>
    <row r="3253" spans="1:16" x14ac:dyDescent="0.3">
      <c r="A3253" s="5">
        <v>58</v>
      </c>
      <c r="B3253" s="5" t="s">
        <v>145</v>
      </c>
      <c r="C3253" s="5">
        <v>2</v>
      </c>
      <c r="D3253" s="5" t="s">
        <v>88</v>
      </c>
      <c r="E3253" s="5">
        <v>2024</v>
      </c>
      <c r="F3253" s="5">
        <v>8</v>
      </c>
      <c r="G3253" s="5" t="s">
        <v>65</v>
      </c>
      <c r="H3253" s="5">
        <v>2781916</v>
      </c>
      <c r="I3253" s="5">
        <v>2442577.7599999998</v>
      </c>
      <c r="J3253" s="5">
        <v>39</v>
      </c>
      <c r="K3253" s="5">
        <v>284736</v>
      </c>
      <c r="L3253" s="5">
        <v>3058120</v>
      </c>
      <c r="M3253" s="5">
        <v>339338.23999999999</v>
      </c>
      <c r="N3253" s="5">
        <v>0.122</v>
      </c>
      <c r="O3253" s="5">
        <v>0</v>
      </c>
      <c r="P3253" s="5">
        <v>0</v>
      </c>
    </row>
    <row r="3254" spans="1:16" x14ac:dyDescent="0.3">
      <c r="A3254" s="5">
        <v>63</v>
      </c>
      <c r="B3254" s="5" t="s">
        <v>145</v>
      </c>
      <c r="C3254" s="5">
        <v>2</v>
      </c>
      <c r="D3254" s="5" t="s">
        <v>88</v>
      </c>
      <c r="E3254" s="5">
        <v>2024</v>
      </c>
      <c r="F3254" s="5">
        <v>8</v>
      </c>
      <c r="G3254" s="5" t="s">
        <v>65</v>
      </c>
      <c r="H3254" s="5">
        <v>3314769</v>
      </c>
      <c r="I3254" s="5">
        <v>2816450.97</v>
      </c>
      <c r="J3254" s="5">
        <v>49</v>
      </c>
      <c r="K3254" s="5">
        <v>346441</v>
      </c>
      <c r="L3254" s="5">
        <v>3649930</v>
      </c>
      <c r="M3254" s="5">
        <v>498318.03</v>
      </c>
      <c r="N3254" s="5">
        <v>0.15029999999999999</v>
      </c>
      <c r="O3254" s="5">
        <v>3</v>
      </c>
      <c r="P3254" s="5">
        <v>290484</v>
      </c>
    </row>
    <row r="3255" spans="1:16" x14ac:dyDescent="0.3">
      <c r="A3255" s="5">
        <v>73</v>
      </c>
      <c r="B3255" s="5" t="s">
        <v>145</v>
      </c>
      <c r="C3255" s="5">
        <v>2</v>
      </c>
      <c r="D3255" s="5" t="s">
        <v>88</v>
      </c>
      <c r="E3255" s="5">
        <v>2024</v>
      </c>
      <c r="F3255" s="5">
        <v>8</v>
      </c>
      <c r="G3255" s="5" t="s">
        <v>65</v>
      </c>
      <c r="H3255" s="5">
        <v>1937976</v>
      </c>
      <c r="I3255" s="5">
        <v>1662558.69</v>
      </c>
      <c r="J3255" s="5">
        <v>31</v>
      </c>
      <c r="K3255" s="5">
        <v>197396</v>
      </c>
      <c r="L3255" s="5">
        <v>2130700</v>
      </c>
      <c r="M3255" s="5">
        <v>275417.31</v>
      </c>
      <c r="N3255" s="5">
        <v>0.1421</v>
      </c>
      <c r="O3255" s="5">
        <v>0</v>
      </c>
      <c r="P3255" s="5">
        <v>0</v>
      </c>
    </row>
    <row r="3256" spans="1:16" x14ac:dyDescent="0.3">
      <c r="A3256" s="5">
        <v>58</v>
      </c>
      <c r="B3256" s="5" t="s">
        <v>145</v>
      </c>
      <c r="C3256" s="5">
        <v>2</v>
      </c>
      <c r="D3256" s="5" t="s">
        <v>88</v>
      </c>
      <c r="E3256" s="5">
        <v>2024</v>
      </c>
      <c r="F3256" s="5">
        <v>9</v>
      </c>
      <c r="G3256" s="5" t="s">
        <v>66</v>
      </c>
      <c r="H3256" s="5">
        <v>3865794</v>
      </c>
      <c r="I3256" s="5">
        <v>3173067.36</v>
      </c>
      <c r="J3256" s="5">
        <v>47</v>
      </c>
      <c r="K3256" s="5">
        <v>267365</v>
      </c>
      <c r="L3256" s="5">
        <v>4128530</v>
      </c>
      <c r="M3256" s="5">
        <v>692726.64</v>
      </c>
      <c r="N3256" s="5">
        <v>0.1792</v>
      </c>
      <c r="O3256" s="5">
        <v>1</v>
      </c>
      <c r="P3256" s="5">
        <v>81447</v>
      </c>
    </row>
    <row r="3257" spans="1:16" x14ac:dyDescent="0.3">
      <c r="A3257" s="5">
        <v>63</v>
      </c>
      <c r="B3257" s="5" t="s">
        <v>145</v>
      </c>
      <c r="C3257" s="5">
        <v>2</v>
      </c>
      <c r="D3257" s="5" t="s">
        <v>88</v>
      </c>
      <c r="E3257" s="5">
        <v>2024</v>
      </c>
      <c r="F3257" s="5">
        <v>9</v>
      </c>
      <c r="G3257" s="5" t="s">
        <v>66</v>
      </c>
      <c r="H3257" s="5">
        <v>3867939</v>
      </c>
      <c r="I3257" s="5">
        <v>3099939.02</v>
      </c>
      <c r="J3257" s="5">
        <v>45</v>
      </c>
      <c r="K3257" s="5">
        <v>171620</v>
      </c>
      <c r="L3257" s="5">
        <v>4014190</v>
      </c>
      <c r="M3257" s="5">
        <v>767999.98</v>
      </c>
      <c r="N3257" s="5">
        <v>0.1986</v>
      </c>
      <c r="O3257" s="5">
        <v>3</v>
      </c>
      <c r="P3257" s="5">
        <v>12160</v>
      </c>
    </row>
    <row r="3258" spans="1:16" x14ac:dyDescent="0.3">
      <c r="A3258" s="5">
        <v>73</v>
      </c>
      <c r="B3258" s="5" t="s">
        <v>145</v>
      </c>
      <c r="C3258" s="5">
        <v>2</v>
      </c>
      <c r="D3258" s="5" t="s">
        <v>88</v>
      </c>
      <c r="E3258" s="5">
        <v>2024</v>
      </c>
      <c r="F3258" s="5">
        <v>9</v>
      </c>
      <c r="G3258" s="5" t="s">
        <v>66</v>
      </c>
      <c r="H3258" s="5">
        <v>3589764</v>
      </c>
      <c r="I3258" s="5">
        <v>3032514.45</v>
      </c>
      <c r="J3258" s="5">
        <v>51</v>
      </c>
      <c r="K3258" s="5">
        <v>262049</v>
      </c>
      <c r="L3258" s="5">
        <v>3845920</v>
      </c>
      <c r="M3258" s="5">
        <v>557249.55000000005</v>
      </c>
      <c r="N3258" s="5">
        <v>0.1552</v>
      </c>
      <c r="O3258" s="5">
        <v>3</v>
      </c>
      <c r="P3258" s="5">
        <v>66788</v>
      </c>
    </row>
    <row r="3259" spans="1:16" x14ac:dyDescent="0.3">
      <c r="A3259" s="5">
        <v>58</v>
      </c>
      <c r="B3259" s="5" t="s">
        <v>145</v>
      </c>
      <c r="C3259" s="5">
        <v>2</v>
      </c>
      <c r="D3259" s="5" t="s">
        <v>88</v>
      </c>
      <c r="E3259" s="5">
        <v>2024</v>
      </c>
      <c r="F3259" s="5">
        <v>10</v>
      </c>
      <c r="G3259" s="5" t="s">
        <v>67</v>
      </c>
      <c r="H3259" s="5">
        <v>2767972</v>
      </c>
      <c r="I3259" s="5">
        <v>2171380.77</v>
      </c>
      <c r="J3259" s="5">
        <v>48</v>
      </c>
      <c r="K3259" s="5">
        <v>86764</v>
      </c>
      <c r="L3259" s="5">
        <v>2843150</v>
      </c>
      <c r="M3259" s="5">
        <v>596591.23</v>
      </c>
      <c r="N3259" s="5">
        <v>0.2155</v>
      </c>
      <c r="O3259" s="5">
        <v>4</v>
      </c>
      <c r="P3259" s="5">
        <v>152406</v>
      </c>
    </row>
    <row r="3260" spans="1:16" x14ac:dyDescent="0.3">
      <c r="A3260" s="5">
        <v>63</v>
      </c>
      <c r="B3260" s="5" t="s">
        <v>145</v>
      </c>
      <c r="C3260" s="5">
        <v>2</v>
      </c>
      <c r="D3260" s="5" t="s">
        <v>88</v>
      </c>
      <c r="E3260" s="5">
        <v>2024</v>
      </c>
      <c r="F3260" s="5">
        <v>10</v>
      </c>
      <c r="G3260" s="5" t="s">
        <v>67</v>
      </c>
      <c r="H3260" s="5">
        <v>4090796</v>
      </c>
      <c r="I3260" s="5">
        <v>3302103.5</v>
      </c>
      <c r="J3260" s="5">
        <v>65</v>
      </c>
      <c r="K3260" s="5">
        <v>164545</v>
      </c>
      <c r="L3260" s="5">
        <v>4245560</v>
      </c>
      <c r="M3260" s="5">
        <v>788692.5</v>
      </c>
      <c r="N3260" s="5">
        <v>0.1928</v>
      </c>
      <c r="O3260" s="5">
        <v>5</v>
      </c>
      <c r="P3260" s="5">
        <v>186511</v>
      </c>
    </row>
    <row r="3261" spans="1:16" x14ac:dyDescent="0.3">
      <c r="A3261" s="5">
        <v>73</v>
      </c>
      <c r="B3261" s="5" t="s">
        <v>145</v>
      </c>
      <c r="C3261" s="5">
        <v>2</v>
      </c>
      <c r="D3261" s="5" t="s">
        <v>88</v>
      </c>
      <c r="E3261" s="5">
        <v>2024</v>
      </c>
      <c r="F3261" s="5">
        <v>10</v>
      </c>
      <c r="G3261" s="5" t="s">
        <v>67</v>
      </c>
      <c r="H3261" s="5">
        <v>4344489</v>
      </c>
      <c r="I3261" s="5">
        <v>3446737.02</v>
      </c>
      <c r="J3261" s="5">
        <v>62</v>
      </c>
      <c r="K3261" s="5">
        <v>141771</v>
      </c>
      <c r="L3261" s="5">
        <v>4469750</v>
      </c>
      <c r="M3261" s="5">
        <v>897751.98</v>
      </c>
      <c r="N3261" s="5">
        <v>0.20660000000000001</v>
      </c>
      <c r="O3261" s="5">
        <v>7</v>
      </c>
      <c r="P3261" s="5">
        <v>184559</v>
      </c>
    </row>
    <row r="3262" spans="1:16" x14ac:dyDescent="0.3">
      <c r="A3262" s="5">
        <v>58</v>
      </c>
      <c r="B3262" s="5" t="s">
        <v>145</v>
      </c>
      <c r="C3262" s="5">
        <v>2</v>
      </c>
      <c r="D3262" s="5" t="s">
        <v>88</v>
      </c>
      <c r="E3262" s="5">
        <v>2024</v>
      </c>
      <c r="F3262" s="5">
        <v>11</v>
      </c>
      <c r="G3262" s="5" t="s">
        <v>68</v>
      </c>
      <c r="H3262" s="5">
        <v>3911220</v>
      </c>
      <c r="I3262" s="5">
        <v>3214586.59</v>
      </c>
      <c r="J3262" s="5">
        <v>61</v>
      </c>
      <c r="K3262" s="5">
        <v>305636</v>
      </c>
      <c r="L3262" s="5">
        <v>4210380</v>
      </c>
      <c r="M3262" s="5">
        <v>696633.41</v>
      </c>
      <c r="N3262" s="5">
        <v>0.17810000000000001</v>
      </c>
      <c r="O3262" s="5">
        <v>5</v>
      </c>
      <c r="P3262" s="5">
        <v>30265</v>
      </c>
    </row>
    <row r="3263" spans="1:16" x14ac:dyDescent="0.3">
      <c r="A3263" s="5">
        <v>63</v>
      </c>
      <c r="B3263" s="5" t="s">
        <v>145</v>
      </c>
      <c r="C3263" s="5">
        <v>2</v>
      </c>
      <c r="D3263" s="5" t="s">
        <v>88</v>
      </c>
      <c r="E3263" s="5">
        <v>2024</v>
      </c>
      <c r="F3263" s="5">
        <v>11</v>
      </c>
      <c r="G3263" s="5" t="s">
        <v>68</v>
      </c>
      <c r="H3263" s="5">
        <v>4260017</v>
      </c>
      <c r="I3263" s="5">
        <v>3571951.84</v>
      </c>
      <c r="J3263" s="5">
        <v>71</v>
      </c>
      <c r="K3263" s="5">
        <v>401205</v>
      </c>
      <c r="L3263" s="5">
        <v>4652420</v>
      </c>
      <c r="M3263" s="5">
        <v>688065.16</v>
      </c>
      <c r="N3263" s="5">
        <v>0.1615</v>
      </c>
      <c r="O3263" s="5">
        <v>6</v>
      </c>
      <c r="P3263" s="5">
        <v>103362</v>
      </c>
    </row>
    <row r="3264" spans="1:16" x14ac:dyDescent="0.3">
      <c r="A3264" s="5">
        <v>73</v>
      </c>
      <c r="B3264" s="5" t="s">
        <v>145</v>
      </c>
      <c r="C3264" s="5">
        <v>2</v>
      </c>
      <c r="D3264" s="5" t="s">
        <v>88</v>
      </c>
      <c r="E3264" s="5">
        <v>2024</v>
      </c>
      <c r="F3264" s="5">
        <v>11</v>
      </c>
      <c r="G3264" s="5" t="s">
        <v>68</v>
      </c>
      <c r="H3264" s="5">
        <v>4238313</v>
      </c>
      <c r="I3264" s="5">
        <v>3558362.25</v>
      </c>
      <c r="J3264" s="5">
        <v>61</v>
      </c>
      <c r="K3264" s="5">
        <v>309962</v>
      </c>
      <c r="L3264" s="5">
        <v>4539980</v>
      </c>
      <c r="M3264" s="5">
        <v>679950.75</v>
      </c>
      <c r="N3264" s="5">
        <v>0.16039999999999999</v>
      </c>
      <c r="O3264" s="5">
        <v>7</v>
      </c>
      <c r="P3264" s="5">
        <v>129502</v>
      </c>
    </row>
    <row r="3265" spans="1:16" x14ac:dyDescent="0.3">
      <c r="A3265" s="5">
        <v>58</v>
      </c>
      <c r="B3265" s="5" t="s">
        <v>145</v>
      </c>
      <c r="C3265" s="5">
        <v>2</v>
      </c>
      <c r="D3265" s="5" t="s">
        <v>88</v>
      </c>
      <c r="E3265" s="5">
        <v>2024</v>
      </c>
      <c r="F3265" s="5">
        <v>12</v>
      </c>
      <c r="G3265" s="5" t="s">
        <v>69</v>
      </c>
      <c r="H3265" s="5">
        <v>3347770</v>
      </c>
      <c r="I3265" s="5">
        <v>2669380.9</v>
      </c>
      <c r="J3265" s="5">
        <v>35</v>
      </c>
      <c r="K3265" s="5">
        <v>92084</v>
      </c>
      <c r="L3265" s="5">
        <v>3426370</v>
      </c>
      <c r="M3265" s="5">
        <v>678389.1</v>
      </c>
      <c r="N3265" s="5">
        <v>0.2026</v>
      </c>
      <c r="O3265" s="5">
        <v>2</v>
      </c>
      <c r="P3265" s="5">
        <v>173044</v>
      </c>
    </row>
    <row r="3266" spans="1:16" x14ac:dyDescent="0.3">
      <c r="A3266" s="5">
        <v>63</v>
      </c>
      <c r="B3266" s="5" t="s">
        <v>145</v>
      </c>
      <c r="C3266" s="5">
        <v>2</v>
      </c>
      <c r="D3266" s="5" t="s">
        <v>88</v>
      </c>
      <c r="E3266" s="5">
        <v>2024</v>
      </c>
      <c r="F3266" s="5">
        <v>12</v>
      </c>
      <c r="G3266" s="5" t="s">
        <v>69</v>
      </c>
      <c r="H3266" s="5">
        <v>4749944</v>
      </c>
      <c r="I3266" s="5">
        <v>3759503.68</v>
      </c>
      <c r="J3266" s="5">
        <v>66</v>
      </c>
      <c r="K3266" s="5">
        <v>121062</v>
      </c>
      <c r="L3266" s="5">
        <v>4850160</v>
      </c>
      <c r="M3266" s="5">
        <v>990440.32</v>
      </c>
      <c r="N3266" s="5">
        <v>0.20849999999999999</v>
      </c>
      <c r="O3266" s="5">
        <v>5</v>
      </c>
      <c r="P3266" s="5">
        <v>484277</v>
      </c>
    </row>
    <row r="3267" spans="1:16" x14ac:dyDescent="0.3">
      <c r="A3267" s="5">
        <v>73</v>
      </c>
      <c r="B3267" s="5" t="s">
        <v>145</v>
      </c>
      <c r="C3267" s="5">
        <v>2</v>
      </c>
      <c r="D3267" s="5" t="s">
        <v>88</v>
      </c>
      <c r="E3267" s="5">
        <v>2024</v>
      </c>
      <c r="F3267" s="5">
        <v>12</v>
      </c>
      <c r="G3267" s="5" t="s">
        <v>69</v>
      </c>
      <c r="H3267" s="5">
        <v>4229674</v>
      </c>
      <c r="I3267" s="5">
        <v>3448267.28</v>
      </c>
      <c r="J3267" s="5">
        <v>47</v>
      </c>
      <c r="K3267" s="5">
        <v>134692</v>
      </c>
      <c r="L3267" s="5">
        <v>4351380</v>
      </c>
      <c r="M3267" s="5">
        <v>781406.71999999997</v>
      </c>
      <c r="N3267" s="5">
        <v>0.1847</v>
      </c>
      <c r="O3267" s="5">
        <v>2</v>
      </c>
      <c r="P3267" s="5">
        <v>181052</v>
      </c>
    </row>
    <row r="3268" spans="1:16" x14ac:dyDescent="0.3">
      <c r="A3268" s="5">
        <v>81</v>
      </c>
      <c r="B3268" s="5" t="s">
        <v>146</v>
      </c>
      <c r="C3268" s="5">
        <v>6</v>
      </c>
      <c r="D3268" s="5" t="s">
        <v>90</v>
      </c>
      <c r="E3268" s="5">
        <v>2021</v>
      </c>
      <c r="F3268" s="5">
        <v>1</v>
      </c>
      <c r="G3268" s="5" t="s">
        <v>22</v>
      </c>
      <c r="H3268" s="5">
        <v>778404</v>
      </c>
      <c r="I3268" s="5">
        <v>726009.16</v>
      </c>
      <c r="J3268" s="5">
        <v>11</v>
      </c>
      <c r="K3268" s="5">
        <v>144572</v>
      </c>
      <c r="L3268" s="5">
        <v>921860</v>
      </c>
      <c r="M3268" s="5">
        <v>52394.84</v>
      </c>
      <c r="N3268" s="5">
        <v>6.7299999999999999E-2</v>
      </c>
      <c r="O3268" s="5">
        <v>0</v>
      </c>
      <c r="P3268" s="5">
        <v>0</v>
      </c>
    </row>
    <row r="3269" spans="1:16" x14ac:dyDescent="0.3">
      <c r="A3269" s="5">
        <v>81</v>
      </c>
      <c r="B3269" s="5" t="s">
        <v>146</v>
      </c>
      <c r="C3269" s="5">
        <v>6</v>
      </c>
      <c r="D3269" s="5" t="s">
        <v>90</v>
      </c>
      <c r="E3269" s="5">
        <v>2021</v>
      </c>
      <c r="F3269" s="5">
        <v>2</v>
      </c>
      <c r="G3269" s="5" t="s">
        <v>23</v>
      </c>
      <c r="H3269" s="5">
        <v>933025</v>
      </c>
      <c r="I3269" s="5">
        <v>757538.03</v>
      </c>
      <c r="J3269" s="5">
        <v>14</v>
      </c>
      <c r="K3269" s="5">
        <v>79492</v>
      </c>
      <c r="L3269" s="5">
        <v>1009290</v>
      </c>
      <c r="M3269" s="5">
        <v>175486.97</v>
      </c>
      <c r="N3269" s="5">
        <v>0.18809999999999999</v>
      </c>
      <c r="O3269" s="5">
        <v>0</v>
      </c>
      <c r="P3269" s="5">
        <v>0</v>
      </c>
    </row>
    <row r="3270" spans="1:16" x14ac:dyDescent="0.3">
      <c r="A3270" s="5">
        <v>81</v>
      </c>
      <c r="B3270" s="5" t="s">
        <v>146</v>
      </c>
      <c r="C3270" s="5">
        <v>6</v>
      </c>
      <c r="D3270" s="5" t="s">
        <v>90</v>
      </c>
      <c r="E3270" s="5">
        <v>2021</v>
      </c>
      <c r="F3270" s="5">
        <v>3</v>
      </c>
      <c r="G3270" s="5" t="s">
        <v>24</v>
      </c>
      <c r="H3270" s="5">
        <v>815554</v>
      </c>
      <c r="I3270" s="5">
        <v>727751.61</v>
      </c>
      <c r="J3270" s="5">
        <v>21</v>
      </c>
      <c r="K3270" s="5">
        <v>114334</v>
      </c>
      <c r="L3270" s="5">
        <v>928820</v>
      </c>
      <c r="M3270" s="5">
        <v>87802.39</v>
      </c>
      <c r="N3270" s="5">
        <v>0.1077</v>
      </c>
      <c r="O3270" s="5">
        <v>2</v>
      </c>
      <c r="P3270" s="5">
        <v>30865</v>
      </c>
    </row>
    <row r="3271" spans="1:16" x14ac:dyDescent="0.3">
      <c r="A3271" s="5">
        <v>81</v>
      </c>
      <c r="B3271" s="5" t="s">
        <v>146</v>
      </c>
      <c r="C3271" s="5">
        <v>6</v>
      </c>
      <c r="D3271" s="5" t="s">
        <v>90</v>
      </c>
      <c r="E3271" s="5">
        <v>2021</v>
      </c>
      <c r="F3271" s="5">
        <v>4</v>
      </c>
      <c r="G3271" s="5" t="s">
        <v>25</v>
      </c>
      <c r="H3271" s="5">
        <v>484568</v>
      </c>
      <c r="I3271" s="5">
        <v>392870.01</v>
      </c>
      <c r="J3271" s="5">
        <v>14</v>
      </c>
      <c r="K3271" s="5">
        <v>51904</v>
      </c>
      <c r="L3271" s="5">
        <v>534840</v>
      </c>
      <c r="M3271" s="5">
        <v>91697.99</v>
      </c>
      <c r="N3271" s="5">
        <v>0.18920000000000001</v>
      </c>
      <c r="O3271" s="5">
        <v>3</v>
      </c>
      <c r="P3271" s="5">
        <v>26298</v>
      </c>
    </row>
    <row r="3272" spans="1:16" x14ac:dyDescent="0.3">
      <c r="A3272" s="5">
        <v>81</v>
      </c>
      <c r="B3272" s="5" t="s">
        <v>146</v>
      </c>
      <c r="C3272" s="5">
        <v>6</v>
      </c>
      <c r="D3272" s="5" t="s">
        <v>90</v>
      </c>
      <c r="E3272" s="5">
        <v>2021</v>
      </c>
      <c r="F3272" s="5">
        <v>5</v>
      </c>
      <c r="G3272" s="5" t="s">
        <v>26</v>
      </c>
      <c r="H3272" s="5">
        <v>775543</v>
      </c>
      <c r="I3272" s="5">
        <v>679628.48</v>
      </c>
      <c r="J3272" s="5">
        <v>21</v>
      </c>
      <c r="K3272" s="5">
        <v>142838</v>
      </c>
      <c r="L3272" s="5">
        <v>914870</v>
      </c>
      <c r="M3272" s="5">
        <v>95914.52</v>
      </c>
      <c r="N3272" s="5">
        <v>0.1237</v>
      </c>
      <c r="O3272" s="5">
        <v>1</v>
      </c>
      <c r="P3272" s="5">
        <v>5639</v>
      </c>
    </row>
    <row r="3273" spans="1:16" x14ac:dyDescent="0.3">
      <c r="A3273" s="5">
        <v>81</v>
      </c>
      <c r="B3273" s="5" t="s">
        <v>146</v>
      </c>
      <c r="C3273" s="5">
        <v>6</v>
      </c>
      <c r="D3273" s="5" t="s">
        <v>90</v>
      </c>
      <c r="E3273" s="5">
        <v>2021</v>
      </c>
      <c r="F3273" s="5">
        <v>6</v>
      </c>
      <c r="G3273" s="5" t="s">
        <v>27</v>
      </c>
      <c r="H3273" s="5">
        <v>1017529</v>
      </c>
      <c r="I3273" s="5">
        <v>904213.97</v>
      </c>
      <c r="J3273" s="5">
        <v>9</v>
      </c>
      <c r="K3273" s="5">
        <v>86074</v>
      </c>
      <c r="L3273" s="5">
        <v>1102800</v>
      </c>
      <c r="M3273" s="5">
        <v>113315.03</v>
      </c>
      <c r="N3273" s="5">
        <v>0.1114</v>
      </c>
      <c r="O3273" s="5">
        <v>1</v>
      </c>
      <c r="P3273" s="5">
        <v>928</v>
      </c>
    </row>
    <row r="3274" spans="1:16" x14ac:dyDescent="0.3">
      <c r="A3274" s="5">
        <v>81</v>
      </c>
      <c r="B3274" s="5" t="s">
        <v>146</v>
      </c>
      <c r="C3274" s="5">
        <v>6</v>
      </c>
      <c r="D3274" s="5" t="s">
        <v>90</v>
      </c>
      <c r="E3274" s="5">
        <v>2021</v>
      </c>
      <c r="F3274" s="5">
        <v>7</v>
      </c>
      <c r="G3274" s="5" t="s">
        <v>28</v>
      </c>
      <c r="H3274" s="5">
        <v>788250</v>
      </c>
      <c r="I3274" s="5">
        <v>667047.49</v>
      </c>
      <c r="J3274" s="5">
        <v>11</v>
      </c>
      <c r="K3274" s="5">
        <v>64587</v>
      </c>
      <c r="L3274" s="5">
        <v>850360</v>
      </c>
      <c r="M3274" s="5">
        <v>121202.51</v>
      </c>
      <c r="N3274" s="5">
        <v>0.15379999999999999</v>
      </c>
      <c r="O3274" s="5">
        <v>0</v>
      </c>
      <c r="P3274" s="5">
        <v>0</v>
      </c>
    </row>
    <row r="3275" spans="1:16" x14ac:dyDescent="0.3">
      <c r="A3275" s="5">
        <v>81</v>
      </c>
      <c r="B3275" s="5" t="s">
        <v>146</v>
      </c>
      <c r="C3275" s="5">
        <v>6</v>
      </c>
      <c r="D3275" s="5" t="s">
        <v>90</v>
      </c>
      <c r="E3275" s="5">
        <v>2021</v>
      </c>
      <c r="F3275" s="5">
        <v>8</v>
      </c>
      <c r="G3275" s="5" t="s">
        <v>29</v>
      </c>
      <c r="H3275" s="5">
        <v>1694067</v>
      </c>
      <c r="I3275" s="5">
        <v>1398242.32</v>
      </c>
      <c r="J3275" s="5">
        <v>24</v>
      </c>
      <c r="K3275" s="5">
        <v>115610</v>
      </c>
      <c r="L3275" s="5">
        <v>1802280</v>
      </c>
      <c r="M3275" s="5">
        <v>295824.68</v>
      </c>
      <c r="N3275" s="5">
        <v>0.17460000000000001</v>
      </c>
      <c r="O3275" s="5">
        <v>1</v>
      </c>
      <c r="P3275" s="5">
        <v>45122</v>
      </c>
    </row>
    <row r="3276" spans="1:16" x14ac:dyDescent="0.3">
      <c r="A3276" s="5">
        <v>81</v>
      </c>
      <c r="B3276" s="5" t="s">
        <v>146</v>
      </c>
      <c r="C3276" s="5">
        <v>6</v>
      </c>
      <c r="D3276" s="5" t="s">
        <v>90</v>
      </c>
      <c r="E3276" s="5">
        <v>2021</v>
      </c>
      <c r="F3276" s="5">
        <v>9</v>
      </c>
      <c r="G3276" s="5" t="s">
        <v>30</v>
      </c>
      <c r="H3276" s="5">
        <v>1338783</v>
      </c>
      <c r="I3276" s="5">
        <v>1216630.8799999999</v>
      </c>
      <c r="J3276" s="5">
        <v>16</v>
      </c>
      <c r="K3276" s="5">
        <v>200523</v>
      </c>
      <c r="L3276" s="5">
        <v>1532230</v>
      </c>
      <c r="M3276" s="5">
        <v>122152.12</v>
      </c>
      <c r="N3276" s="5">
        <v>9.1200000000000003E-2</v>
      </c>
      <c r="O3276" s="5">
        <v>0</v>
      </c>
      <c r="P3276" s="5">
        <v>0</v>
      </c>
    </row>
    <row r="3277" spans="1:16" x14ac:dyDescent="0.3">
      <c r="A3277" s="5">
        <v>81</v>
      </c>
      <c r="B3277" s="5" t="s">
        <v>146</v>
      </c>
      <c r="C3277" s="5">
        <v>6</v>
      </c>
      <c r="D3277" s="5" t="s">
        <v>90</v>
      </c>
      <c r="E3277" s="5">
        <v>2021</v>
      </c>
      <c r="F3277" s="5">
        <v>10</v>
      </c>
      <c r="G3277" s="5" t="s">
        <v>31</v>
      </c>
      <c r="H3277" s="5">
        <v>850629</v>
      </c>
      <c r="I3277" s="5">
        <v>724206.66</v>
      </c>
      <c r="J3277" s="5">
        <v>16</v>
      </c>
      <c r="K3277" s="5">
        <v>106270</v>
      </c>
      <c r="L3277" s="5">
        <v>956050</v>
      </c>
      <c r="M3277" s="5">
        <v>126422.34</v>
      </c>
      <c r="N3277" s="5">
        <v>0.14860000000000001</v>
      </c>
      <c r="O3277" s="5">
        <v>0</v>
      </c>
      <c r="P3277" s="5">
        <v>0</v>
      </c>
    </row>
    <row r="3278" spans="1:16" x14ac:dyDescent="0.3">
      <c r="A3278" s="5">
        <v>81</v>
      </c>
      <c r="B3278" s="5" t="s">
        <v>146</v>
      </c>
      <c r="C3278" s="5">
        <v>6</v>
      </c>
      <c r="D3278" s="5" t="s">
        <v>90</v>
      </c>
      <c r="E3278" s="5">
        <v>2021</v>
      </c>
      <c r="F3278" s="5">
        <v>11</v>
      </c>
      <c r="G3278" s="5" t="s">
        <v>32</v>
      </c>
      <c r="H3278" s="5">
        <v>739798</v>
      </c>
      <c r="I3278" s="5">
        <v>598032.02</v>
      </c>
      <c r="J3278" s="5">
        <v>15</v>
      </c>
      <c r="K3278" s="5">
        <v>51437</v>
      </c>
      <c r="L3278" s="5">
        <v>791080</v>
      </c>
      <c r="M3278" s="5">
        <v>141765.98000000001</v>
      </c>
      <c r="N3278" s="5">
        <v>0.19159999999999999</v>
      </c>
      <c r="O3278" s="5">
        <v>0</v>
      </c>
      <c r="P3278" s="5">
        <v>0</v>
      </c>
    </row>
    <row r="3279" spans="1:16" x14ac:dyDescent="0.3">
      <c r="A3279" s="5">
        <v>81</v>
      </c>
      <c r="B3279" s="5" t="s">
        <v>146</v>
      </c>
      <c r="C3279" s="5">
        <v>6</v>
      </c>
      <c r="D3279" s="5" t="s">
        <v>90</v>
      </c>
      <c r="E3279" s="5">
        <v>2021</v>
      </c>
      <c r="F3279" s="5">
        <v>12</v>
      </c>
      <c r="G3279" s="5" t="s">
        <v>33</v>
      </c>
      <c r="H3279" s="5">
        <v>2204965</v>
      </c>
      <c r="I3279" s="5">
        <v>1875537.42</v>
      </c>
      <c r="J3279" s="5">
        <v>29</v>
      </c>
      <c r="K3279" s="5">
        <v>114524</v>
      </c>
      <c r="L3279" s="5">
        <v>2312900</v>
      </c>
      <c r="M3279" s="5">
        <v>329427.58</v>
      </c>
      <c r="N3279" s="5">
        <v>0.14940000000000001</v>
      </c>
      <c r="O3279" s="5">
        <v>1</v>
      </c>
      <c r="P3279" s="5">
        <v>7014</v>
      </c>
    </row>
    <row r="3280" spans="1:16" x14ac:dyDescent="0.3">
      <c r="A3280" s="5">
        <v>81</v>
      </c>
      <c r="B3280" s="5" t="s">
        <v>146</v>
      </c>
      <c r="C3280" s="5">
        <v>6</v>
      </c>
      <c r="D3280" s="5" t="s">
        <v>90</v>
      </c>
      <c r="E3280" s="5">
        <v>2022</v>
      </c>
      <c r="F3280" s="5">
        <v>1</v>
      </c>
      <c r="G3280" s="5" t="s">
        <v>34</v>
      </c>
      <c r="H3280" s="5">
        <v>1251527</v>
      </c>
      <c r="I3280" s="5">
        <v>1014389.32</v>
      </c>
      <c r="J3280" s="5">
        <v>19</v>
      </c>
      <c r="K3280" s="5">
        <v>76844</v>
      </c>
      <c r="L3280" s="5">
        <v>1323340</v>
      </c>
      <c r="M3280" s="5">
        <v>237137.68</v>
      </c>
      <c r="N3280" s="5">
        <v>0.1895</v>
      </c>
      <c r="O3280" s="5">
        <v>1</v>
      </c>
      <c r="P3280" s="5">
        <v>36290</v>
      </c>
    </row>
    <row r="3281" spans="1:16" x14ac:dyDescent="0.3">
      <c r="A3281" s="5">
        <v>81</v>
      </c>
      <c r="B3281" s="5" t="s">
        <v>146</v>
      </c>
      <c r="C3281" s="5">
        <v>6</v>
      </c>
      <c r="D3281" s="5" t="s">
        <v>90</v>
      </c>
      <c r="E3281" s="5">
        <v>2022</v>
      </c>
      <c r="F3281" s="5">
        <v>2</v>
      </c>
      <c r="G3281" s="5" t="s">
        <v>35</v>
      </c>
      <c r="H3281" s="5">
        <v>868168</v>
      </c>
      <c r="I3281" s="5">
        <v>691364.42</v>
      </c>
      <c r="J3281" s="5">
        <v>15</v>
      </c>
      <c r="K3281" s="5">
        <v>26957</v>
      </c>
      <c r="L3281" s="5">
        <v>890440</v>
      </c>
      <c r="M3281" s="5">
        <v>176803.58</v>
      </c>
      <c r="N3281" s="5">
        <v>0.20369999999999999</v>
      </c>
      <c r="O3281" s="5">
        <v>0</v>
      </c>
      <c r="P3281" s="5">
        <v>0</v>
      </c>
    </row>
    <row r="3282" spans="1:16" x14ac:dyDescent="0.3">
      <c r="A3282" s="5">
        <v>81</v>
      </c>
      <c r="B3282" s="5" t="s">
        <v>146</v>
      </c>
      <c r="C3282" s="5">
        <v>6</v>
      </c>
      <c r="D3282" s="5" t="s">
        <v>90</v>
      </c>
      <c r="E3282" s="5">
        <v>2022</v>
      </c>
      <c r="F3282" s="5">
        <v>3</v>
      </c>
      <c r="G3282" s="5" t="s">
        <v>36</v>
      </c>
      <c r="H3282" s="5">
        <v>1531297</v>
      </c>
      <c r="I3282" s="5">
        <v>1267427.42</v>
      </c>
      <c r="J3282" s="5">
        <v>21</v>
      </c>
      <c r="K3282" s="5">
        <v>86734</v>
      </c>
      <c r="L3282" s="5">
        <v>1614720</v>
      </c>
      <c r="M3282" s="5">
        <v>263869.58</v>
      </c>
      <c r="N3282" s="5">
        <v>0.17230000000000001</v>
      </c>
      <c r="O3282" s="5">
        <v>0</v>
      </c>
      <c r="P3282" s="5">
        <v>0</v>
      </c>
    </row>
    <row r="3283" spans="1:16" x14ac:dyDescent="0.3">
      <c r="A3283" s="5">
        <v>81</v>
      </c>
      <c r="B3283" s="5" t="s">
        <v>146</v>
      </c>
      <c r="C3283" s="5">
        <v>6</v>
      </c>
      <c r="D3283" s="5" t="s">
        <v>90</v>
      </c>
      <c r="E3283" s="5">
        <v>2022</v>
      </c>
      <c r="F3283" s="5">
        <v>4</v>
      </c>
      <c r="G3283" s="5" t="s">
        <v>37</v>
      </c>
      <c r="H3283" s="5">
        <v>670498</v>
      </c>
      <c r="I3283" s="5">
        <v>630369.51</v>
      </c>
      <c r="J3283" s="5">
        <v>13</v>
      </c>
      <c r="K3283" s="5">
        <v>157562</v>
      </c>
      <c r="L3283" s="5">
        <v>827670</v>
      </c>
      <c r="M3283" s="5">
        <v>40128.49</v>
      </c>
      <c r="N3283" s="5">
        <v>5.9799999999999999E-2</v>
      </c>
      <c r="O3283" s="5">
        <v>0</v>
      </c>
      <c r="P3283" s="5">
        <v>0</v>
      </c>
    </row>
    <row r="3284" spans="1:16" x14ac:dyDescent="0.3">
      <c r="A3284" s="5">
        <v>81</v>
      </c>
      <c r="B3284" s="5" t="s">
        <v>146</v>
      </c>
      <c r="C3284" s="5">
        <v>6</v>
      </c>
      <c r="D3284" s="5" t="s">
        <v>90</v>
      </c>
      <c r="E3284" s="5">
        <v>2022</v>
      </c>
      <c r="F3284" s="5">
        <v>5</v>
      </c>
      <c r="G3284" s="5" t="s">
        <v>38</v>
      </c>
      <c r="H3284" s="5">
        <v>709729</v>
      </c>
      <c r="I3284" s="5">
        <v>580675.89</v>
      </c>
      <c r="J3284" s="5">
        <v>10</v>
      </c>
      <c r="K3284" s="5">
        <v>49599</v>
      </c>
      <c r="L3284" s="5">
        <v>752550</v>
      </c>
      <c r="M3284" s="5">
        <v>129053.11</v>
      </c>
      <c r="N3284" s="5">
        <v>0.18179999999999999</v>
      </c>
      <c r="O3284" s="5">
        <v>0</v>
      </c>
      <c r="P3284" s="5">
        <v>0</v>
      </c>
    </row>
    <row r="3285" spans="1:16" x14ac:dyDescent="0.3">
      <c r="A3285" s="5">
        <v>81</v>
      </c>
      <c r="B3285" s="5" t="s">
        <v>146</v>
      </c>
      <c r="C3285" s="5">
        <v>6</v>
      </c>
      <c r="D3285" s="5" t="s">
        <v>90</v>
      </c>
      <c r="E3285" s="5">
        <v>2022</v>
      </c>
      <c r="F3285" s="5">
        <v>6</v>
      </c>
      <c r="G3285" s="5" t="s">
        <v>39</v>
      </c>
      <c r="H3285" s="5">
        <v>1042024</v>
      </c>
      <c r="I3285" s="5">
        <v>901843.45</v>
      </c>
      <c r="J3285" s="5">
        <v>19</v>
      </c>
      <c r="K3285" s="5">
        <v>141665</v>
      </c>
      <c r="L3285" s="5">
        <v>1178740</v>
      </c>
      <c r="M3285" s="5">
        <v>140180.54999999999</v>
      </c>
      <c r="N3285" s="5">
        <v>0.13450000000000001</v>
      </c>
      <c r="O3285" s="5">
        <v>1</v>
      </c>
      <c r="P3285" s="5">
        <v>1008</v>
      </c>
    </row>
    <row r="3286" spans="1:16" x14ac:dyDescent="0.3">
      <c r="A3286" s="5">
        <v>81</v>
      </c>
      <c r="B3286" s="5" t="s">
        <v>146</v>
      </c>
      <c r="C3286" s="5">
        <v>6</v>
      </c>
      <c r="D3286" s="5" t="s">
        <v>90</v>
      </c>
      <c r="E3286" s="5">
        <v>2022</v>
      </c>
      <c r="F3286" s="5">
        <v>7</v>
      </c>
      <c r="G3286" s="5" t="s">
        <v>40</v>
      </c>
      <c r="H3286" s="5">
        <v>1429685</v>
      </c>
      <c r="I3286" s="5">
        <v>1294489.19</v>
      </c>
      <c r="J3286" s="5">
        <v>24</v>
      </c>
      <c r="K3286" s="5">
        <v>213339</v>
      </c>
      <c r="L3286" s="5">
        <v>1636510</v>
      </c>
      <c r="M3286" s="5">
        <v>135195.81</v>
      </c>
      <c r="N3286" s="5">
        <v>9.4600000000000004E-2</v>
      </c>
      <c r="O3286" s="5">
        <v>2</v>
      </c>
      <c r="P3286" s="5">
        <v>175539</v>
      </c>
    </row>
    <row r="3287" spans="1:16" x14ac:dyDescent="0.3">
      <c r="A3287" s="5">
        <v>81</v>
      </c>
      <c r="B3287" s="5" t="s">
        <v>146</v>
      </c>
      <c r="C3287" s="5">
        <v>6</v>
      </c>
      <c r="D3287" s="5" t="s">
        <v>90</v>
      </c>
      <c r="E3287" s="5">
        <v>2022</v>
      </c>
      <c r="F3287" s="5">
        <v>8</v>
      </c>
      <c r="G3287" s="5" t="s">
        <v>41</v>
      </c>
      <c r="H3287" s="5">
        <v>1309851</v>
      </c>
      <c r="I3287" s="5">
        <v>1352681.71</v>
      </c>
      <c r="J3287" s="5">
        <v>18</v>
      </c>
      <c r="K3287" s="5">
        <v>383222</v>
      </c>
      <c r="L3287" s="5">
        <v>1691600</v>
      </c>
      <c r="M3287" s="5">
        <v>-42830.71</v>
      </c>
      <c r="N3287" s="5">
        <v>-3.27E-2</v>
      </c>
      <c r="O3287" s="5">
        <v>3</v>
      </c>
      <c r="P3287" s="5">
        <v>14000</v>
      </c>
    </row>
    <row r="3288" spans="1:16" x14ac:dyDescent="0.3">
      <c r="A3288" s="5">
        <v>81</v>
      </c>
      <c r="B3288" s="5" t="s">
        <v>146</v>
      </c>
      <c r="C3288" s="5">
        <v>6</v>
      </c>
      <c r="D3288" s="5" t="s">
        <v>90</v>
      </c>
      <c r="E3288" s="5">
        <v>2022</v>
      </c>
      <c r="F3288" s="5">
        <v>9</v>
      </c>
      <c r="G3288" s="5" t="s">
        <v>42</v>
      </c>
      <c r="H3288" s="5">
        <v>2120188</v>
      </c>
      <c r="I3288" s="5">
        <v>1872098.71</v>
      </c>
      <c r="J3288" s="5">
        <v>28</v>
      </c>
      <c r="K3288" s="5">
        <v>260430</v>
      </c>
      <c r="L3288" s="5">
        <v>2379390</v>
      </c>
      <c r="M3288" s="5">
        <v>248089.29</v>
      </c>
      <c r="N3288" s="5">
        <v>0.11700000000000001</v>
      </c>
      <c r="O3288" s="5">
        <v>1</v>
      </c>
      <c r="P3288" s="5">
        <v>8847</v>
      </c>
    </row>
    <row r="3289" spans="1:16" x14ac:dyDescent="0.3">
      <c r="A3289" s="5">
        <v>81</v>
      </c>
      <c r="B3289" s="5" t="s">
        <v>146</v>
      </c>
      <c r="C3289" s="5">
        <v>6</v>
      </c>
      <c r="D3289" s="5" t="s">
        <v>90</v>
      </c>
      <c r="E3289" s="5">
        <v>2022</v>
      </c>
      <c r="F3289" s="5">
        <v>10</v>
      </c>
      <c r="G3289" s="5" t="s">
        <v>43</v>
      </c>
      <c r="H3289" s="5">
        <v>976952</v>
      </c>
      <c r="I3289" s="5">
        <v>896598.03</v>
      </c>
      <c r="J3289" s="5">
        <v>26</v>
      </c>
      <c r="K3289" s="5">
        <v>219308</v>
      </c>
      <c r="L3289" s="5">
        <v>1192640</v>
      </c>
      <c r="M3289" s="5">
        <v>80353.97</v>
      </c>
      <c r="N3289" s="5">
        <v>8.2199999999999995E-2</v>
      </c>
      <c r="O3289" s="5">
        <v>3</v>
      </c>
      <c r="P3289" s="5">
        <v>5339</v>
      </c>
    </row>
    <row r="3290" spans="1:16" x14ac:dyDescent="0.3">
      <c r="A3290" s="5">
        <v>81</v>
      </c>
      <c r="B3290" s="5" t="s">
        <v>146</v>
      </c>
      <c r="C3290" s="5">
        <v>6</v>
      </c>
      <c r="D3290" s="5" t="s">
        <v>90</v>
      </c>
      <c r="E3290" s="5">
        <v>2022</v>
      </c>
      <c r="F3290" s="5">
        <v>11</v>
      </c>
      <c r="G3290" s="5" t="s">
        <v>44</v>
      </c>
      <c r="H3290" s="5">
        <v>2165924</v>
      </c>
      <c r="I3290" s="5">
        <v>1996124.1</v>
      </c>
      <c r="J3290" s="5">
        <v>32</v>
      </c>
      <c r="K3290" s="5">
        <v>371291</v>
      </c>
      <c r="L3290" s="5">
        <v>2533540</v>
      </c>
      <c r="M3290" s="5">
        <v>169799.9</v>
      </c>
      <c r="N3290" s="5">
        <v>7.8399999999999997E-2</v>
      </c>
      <c r="O3290" s="5">
        <v>6</v>
      </c>
      <c r="P3290" s="5">
        <v>133059</v>
      </c>
    </row>
    <row r="3291" spans="1:16" x14ac:dyDescent="0.3">
      <c r="A3291" s="5">
        <v>81</v>
      </c>
      <c r="B3291" s="5" t="s">
        <v>146</v>
      </c>
      <c r="C3291" s="5">
        <v>6</v>
      </c>
      <c r="D3291" s="5" t="s">
        <v>90</v>
      </c>
      <c r="E3291" s="5">
        <v>2022</v>
      </c>
      <c r="F3291" s="5">
        <v>12</v>
      </c>
      <c r="G3291" s="5" t="s">
        <v>45</v>
      </c>
      <c r="H3291" s="5">
        <v>2131432</v>
      </c>
      <c r="I3291" s="5">
        <v>1861448.88</v>
      </c>
      <c r="J3291" s="5">
        <v>32</v>
      </c>
      <c r="K3291" s="5">
        <v>210935</v>
      </c>
      <c r="L3291" s="5">
        <v>2337290</v>
      </c>
      <c r="M3291" s="5">
        <v>269983.12</v>
      </c>
      <c r="N3291" s="5">
        <v>0.12670000000000001</v>
      </c>
      <c r="O3291" s="5">
        <v>3</v>
      </c>
      <c r="P3291" s="5">
        <v>208228</v>
      </c>
    </row>
    <row r="3292" spans="1:16" x14ac:dyDescent="0.3">
      <c r="A3292" s="5">
        <v>81</v>
      </c>
      <c r="B3292" s="5" t="s">
        <v>146</v>
      </c>
      <c r="C3292" s="5">
        <v>6</v>
      </c>
      <c r="D3292" s="5" t="s">
        <v>90</v>
      </c>
      <c r="E3292" s="5">
        <v>2023</v>
      </c>
      <c r="F3292" s="5">
        <v>1</v>
      </c>
      <c r="G3292" s="5" t="s">
        <v>46</v>
      </c>
      <c r="H3292" s="5">
        <v>1809405</v>
      </c>
      <c r="I3292" s="5">
        <v>1493985.91</v>
      </c>
      <c r="J3292" s="5">
        <v>23</v>
      </c>
      <c r="K3292" s="5">
        <v>130819</v>
      </c>
      <c r="L3292" s="5">
        <v>1923800</v>
      </c>
      <c r="M3292" s="5">
        <v>315419.09000000003</v>
      </c>
      <c r="N3292" s="5">
        <v>0.17430000000000001</v>
      </c>
      <c r="O3292" s="5">
        <v>3</v>
      </c>
      <c r="P3292" s="5">
        <v>121550</v>
      </c>
    </row>
    <row r="3293" spans="1:16" x14ac:dyDescent="0.3">
      <c r="A3293" s="5">
        <v>81</v>
      </c>
      <c r="B3293" s="5" t="s">
        <v>146</v>
      </c>
      <c r="C3293" s="5">
        <v>6</v>
      </c>
      <c r="D3293" s="5" t="s">
        <v>90</v>
      </c>
      <c r="E3293" s="5">
        <v>2023</v>
      </c>
      <c r="F3293" s="5">
        <v>2</v>
      </c>
      <c r="G3293" s="5" t="s">
        <v>47</v>
      </c>
      <c r="H3293" s="5">
        <v>1425756</v>
      </c>
      <c r="I3293" s="5">
        <v>1267879.56</v>
      </c>
      <c r="J3293" s="5">
        <v>24</v>
      </c>
      <c r="K3293" s="5">
        <v>188669</v>
      </c>
      <c r="L3293" s="5">
        <v>1606560</v>
      </c>
      <c r="M3293" s="5">
        <v>157876.44</v>
      </c>
      <c r="N3293" s="5">
        <v>0.11070000000000001</v>
      </c>
      <c r="O3293" s="5">
        <v>2</v>
      </c>
      <c r="P3293" s="5">
        <v>107260</v>
      </c>
    </row>
    <row r="3294" spans="1:16" x14ac:dyDescent="0.3">
      <c r="A3294" s="5">
        <v>81</v>
      </c>
      <c r="B3294" s="5" t="s">
        <v>146</v>
      </c>
      <c r="C3294" s="5">
        <v>6</v>
      </c>
      <c r="D3294" s="5" t="s">
        <v>90</v>
      </c>
      <c r="E3294" s="5">
        <v>2023</v>
      </c>
      <c r="F3294" s="5">
        <v>3</v>
      </c>
      <c r="G3294" s="5" t="s">
        <v>48</v>
      </c>
      <c r="H3294" s="5">
        <v>1216572</v>
      </c>
      <c r="I3294" s="5">
        <v>1058987.6100000001</v>
      </c>
      <c r="J3294" s="5">
        <v>26</v>
      </c>
      <c r="K3294" s="5">
        <v>176200</v>
      </c>
      <c r="L3294" s="5">
        <v>1386860</v>
      </c>
      <c r="M3294" s="5">
        <v>157584.39000000001</v>
      </c>
      <c r="N3294" s="5">
        <v>0.1295</v>
      </c>
      <c r="O3294" s="5">
        <v>3</v>
      </c>
      <c r="P3294" s="5">
        <v>74020</v>
      </c>
    </row>
    <row r="3295" spans="1:16" x14ac:dyDescent="0.3">
      <c r="A3295" s="5">
        <v>81</v>
      </c>
      <c r="B3295" s="5" t="s">
        <v>146</v>
      </c>
      <c r="C3295" s="5">
        <v>6</v>
      </c>
      <c r="D3295" s="5" t="s">
        <v>90</v>
      </c>
      <c r="E3295" s="5">
        <v>2023</v>
      </c>
      <c r="F3295" s="5">
        <v>4</v>
      </c>
      <c r="G3295" s="5" t="s">
        <v>49</v>
      </c>
      <c r="H3295" s="5">
        <v>1825793</v>
      </c>
      <c r="I3295" s="5">
        <v>1621147.09</v>
      </c>
      <c r="J3295" s="5">
        <v>27</v>
      </c>
      <c r="K3295" s="5">
        <v>280379</v>
      </c>
      <c r="L3295" s="5">
        <v>2099340</v>
      </c>
      <c r="M3295" s="5">
        <v>204645.91</v>
      </c>
      <c r="N3295" s="5">
        <v>0.11210000000000001</v>
      </c>
      <c r="O3295" s="5">
        <v>5</v>
      </c>
      <c r="P3295" s="5">
        <v>66397</v>
      </c>
    </row>
    <row r="3296" spans="1:16" x14ac:dyDescent="0.3">
      <c r="A3296" s="5">
        <v>81</v>
      </c>
      <c r="B3296" s="5" t="s">
        <v>146</v>
      </c>
      <c r="C3296" s="5">
        <v>6</v>
      </c>
      <c r="D3296" s="5" t="s">
        <v>90</v>
      </c>
      <c r="E3296" s="5">
        <v>2023</v>
      </c>
      <c r="F3296" s="5">
        <v>5</v>
      </c>
      <c r="G3296" s="5" t="s">
        <v>50</v>
      </c>
      <c r="H3296" s="5">
        <v>2644058</v>
      </c>
      <c r="I3296" s="5">
        <v>2269661.7200000002</v>
      </c>
      <c r="J3296" s="5">
        <v>27</v>
      </c>
      <c r="K3296" s="5">
        <v>278782</v>
      </c>
      <c r="L3296" s="5">
        <v>2919970</v>
      </c>
      <c r="M3296" s="5">
        <v>374396.28</v>
      </c>
      <c r="N3296" s="5">
        <v>0.1416</v>
      </c>
      <c r="O3296" s="5">
        <v>2</v>
      </c>
      <c r="P3296" s="5">
        <v>30938</v>
      </c>
    </row>
    <row r="3297" spans="1:16" x14ac:dyDescent="0.3">
      <c r="A3297" s="5">
        <v>81</v>
      </c>
      <c r="B3297" s="5" t="s">
        <v>146</v>
      </c>
      <c r="C3297" s="5">
        <v>6</v>
      </c>
      <c r="D3297" s="5" t="s">
        <v>90</v>
      </c>
      <c r="E3297" s="5">
        <v>2023</v>
      </c>
      <c r="F3297" s="5">
        <v>6</v>
      </c>
      <c r="G3297" s="5" t="s">
        <v>51</v>
      </c>
      <c r="H3297" s="5">
        <v>855386</v>
      </c>
      <c r="I3297" s="5">
        <v>767743.22</v>
      </c>
      <c r="J3297" s="5">
        <v>16</v>
      </c>
      <c r="K3297" s="5">
        <v>143823</v>
      </c>
      <c r="L3297" s="5">
        <v>998520</v>
      </c>
      <c r="M3297" s="5">
        <v>87642.78</v>
      </c>
      <c r="N3297" s="5">
        <v>0.10249999999999999</v>
      </c>
      <c r="O3297" s="5">
        <v>3</v>
      </c>
      <c r="P3297" s="5">
        <v>70171</v>
      </c>
    </row>
    <row r="3298" spans="1:16" x14ac:dyDescent="0.3">
      <c r="A3298" s="5">
        <v>81</v>
      </c>
      <c r="B3298" s="5" t="s">
        <v>146</v>
      </c>
      <c r="C3298" s="5">
        <v>6</v>
      </c>
      <c r="D3298" s="5" t="s">
        <v>90</v>
      </c>
      <c r="E3298" s="5">
        <v>2023</v>
      </c>
      <c r="F3298" s="5">
        <v>7</v>
      </c>
      <c r="G3298" s="5" t="s">
        <v>52</v>
      </c>
      <c r="H3298" s="5">
        <v>1412218</v>
      </c>
      <c r="I3298" s="5">
        <v>1187599.79</v>
      </c>
      <c r="J3298" s="5">
        <v>26</v>
      </c>
      <c r="K3298" s="5">
        <v>146280</v>
      </c>
      <c r="L3298" s="5">
        <v>1553600</v>
      </c>
      <c r="M3298" s="5">
        <v>224618.21</v>
      </c>
      <c r="N3298" s="5">
        <v>0.15909999999999999</v>
      </c>
      <c r="O3298" s="5">
        <v>2</v>
      </c>
      <c r="P3298" s="5">
        <v>74095</v>
      </c>
    </row>
    <row r="3299" spans="1:16" x14ac:dyDescent="0.3">
      <c r="A3299" s="5">
        <v>81</v>
      </c>
      <c r="B3299" s="5" t="s">
        <v>146</v>
      </c>
      <c r="C3299" s="5">
        <v>6</v>
      </c>
      <c r="D3299" s="5" t="s">
        <v>90</v>
      </c>
      <c r="E3299" s="5">
        <v>2023</v>
      </c>
      <c r="F3299" s="5">
        <v>8</v>
      </c>
      <c r="G3299" s="5" t="s">
        <v>53</v>
      </c>
      <c r="H3299" s="5">
        <v>1933850</v>
      </c>
      <c r="I3299" s="5">
        <v>1773284.14</v>
      </c>
      <c r="J3299" s="5">
        <v>21</v>
      </c>
      <c r="K3299" s="5">
        <v>359489</v>
      </c>
      <c r="L3299" s="5">
        <v>2292390</v>
      </c>
      <c r="M3299" s="5">
        <v>160565.85999999999</v>
      </c>
      <c r="N3299" s="5">
        <v>8.3000000000000004E-2</v>
      </c>
      <c r="O3299" s="5">
        <v>3</v>
      </c>
      <c r="P3299" s="5">
        <v>86943</v>
      </c>
    </row>
    <row r="3300" spans="1:16" x14ac:dyDescent="0.3">
      <c r="A3300" s="5">
        <v>81</v>
      </c>
      <c r="B3300" s="5" t="s">
        <v>146</v>
      </c>
      <c r="C3300" s="5">
        <v>6</v>
      </c>
      <c r="D3300" s="5" t="s">
        <v>90</v>
      </c>
      <c r="E3300" s="5">
        <v>2023</v>
      </c>
      <c r="F3300" s="5">
        <v>9</v>
      </c>
      <c r="G3300" s="5" t="s">
        <v>54</v>
      </c>
      <c r="H3300" s="5">
        <v>1931454</v>
      </c>
      <c r="I3300" s="5">
        <v>1614370.61</v>
      </c>
      <c r="J3300" s="5">
        <v>23</v>
      </c>
      <c r="K3300" s="5">
        <v>223165</v>
      </c>
      <c r="L3300" s="5">
        <v>2148510</v>
      </c>
      <c r="M3300" s="5">
        <v>317083.39</v>
      </c>
      <c r="N3300" s="5">
        <v>0.16420000000000001</v>
      </c>
      <c r="O3300" s="5">
        <v>2</v>
      </c>
      <c r="P3300" s="5">
        <v>79857</v>
      </c>
    </row>
    <row r="3301" spans="1:16" x14ac:dyDescent="0.3">
      <c r="A3301" s="5">
        <v>81</v>
      </c>
      <c r="B3301" s="5" t="s">
        <v>146</v>
      </c>
      <c r="C3301" s="5">
        <v>6</v>
      </c>
      <c r="D3301" s="5" t="s">
        <v>90</v>
      </c>
      <c r="E3301" s="5">
        <v>2023</v>
      </c>
      <c r="F3301" s="5">
        <v>10</v>
      </c>
      <c r="G3301" s="5" t="s">
        <v>55</v>
      </c>
      <c r="H3301" s="5">
        <v>2323942</v>
      </c>
      <c r="I3301" s="5">
        <v>1974582.07</v>
      </c>
      <c r="J3301" s="5">
        <v>25</v>
      </c>
      <c r="K3301" s="5">
        <v>203771</v>
      </c>
      <c r="L3301" s="5">
        <v>2525630</v>
      </c>
      <c r="M3301" s="5">
        <v>349359.93</v>
      </c>
      <c r="N3301" s="5">
        <v>0.15029999999999999</v>
      </c>
      <c r="O3301" s="5">
        <v>0</v>
      </c>
      <c r="P3301" s="5">
        <v>0</v>
      </c>
    </row>
    <row r="3302" spans="1:16" x14ac:dyDescent="0.3">
      <c r="A3302" s="5">
        <v>81</v>
      </c>
      <c r="B3302" s="5" t="s">
        <v>146</v>
      </c>
      <c r="C3302" s="5">
        <v>6</v>
      </c>
      <c r="D3302" s="5" t="s">
        <v>90</v>
      </c>
      <c r="E3302" s="5">
        <v>2023</v>
      </c>
      <c r="F3302" s="5">
        <v>11</v>
      </c>
      <c r="G3302" s="5" t="s">
        <v>56</v>
      </c>
      <c r="H3302" s="5">
        <v>2353784</v>
      </c>
      <c r="I3302" s="5">
        <v>2157332.25</v>
      </c>
      <c r="J3302" s="5">
        <v>31</v>
      </c>
      <c r="K3302" s="5">
        <v>417872</v>
      </c>
      <c r="L3302" s="5">
        <v>2768460</v>
      </c>
      <c r="M3302" s="5">
        <v>196451.75</v>
      </c>
      <c r="N3302" s="5">
        <v>8.3500000000000005E-2</v>
      </c>
      <c r="O3302" s="5">
        <v>0</v>
      </c>
      <c r="P3302" s="5">
        <v>0</v>
      </c>
    </row>
    <row r="3303" spans="1:16" x14ac:dyDescent="0.3">
      <c r="A3303" s="5">
        <v>81</v>
      </c>
      <c r="B3303" s="5" t="s">
        <v>146</v>
      </c>
      <c r="C3303" s="5">
        <v>6</v>
      </c>
      <c r="D3303" s="5" t="s">
        <v>90</v>
      </c>
      <c r="E3303" s="5">
        <v>2023</v>
      </c>
      <c r="F3303" s="5">
        <v>12</v>
      </c>
      <c r="G3303" s="5" t="s">
        <v>57</v>
      </c>
      <c r="H3303" s="5">
        <v>2566331</v>
      </c>
      <c r="I3303" s="5">
        <v>2207934.17</v>
      </c>
      <c r="J3303" s="5">
        <v>34</v>
      </c>
      <c r="K3303" s="5">
        <v>259864</v>
      </c>
      <c r="L3303" s="5">
        <v>2812780</v>
      </c>
      <c r="M3303" s="5">
        <v>358396.83</v>
      </c>
      <c r="N3303" s="5">
        <v>0.13969999999999999</v>
      </c>
      <c r="O3303" s="5">
        <v>0</v>
      </c>
      <c r="P3303" s="5">
        <v>0</v>
      </c>
    </row>
    <row r="3304" spans="1:16" x14ac:dyDescent="0.3">
      <c r="A3304" s="5">
        <v>81</v>
      </c>
      <c r="B3304" s="5" t="s">
        <v>146</v>
      </c>
      <c r="C3304" s="5">
        <v>6</v>
      </c>
      <c r="D3304" s="5" t="s">
        <v>90</v>
      </c>
      <c r="E3304" s="5">
        <v>2024</v>
      </c>
      <c r="F3304" s="5">
        <v>1</v>
      </c>
      <c r="G3304" s="5" t="s">
        <v>58</v>
      </c>
      <c r="H3304" s="5">
        <v>1917377</v>
      </c>
      <c r="I3304" s="5">
        <v>1739568</v>
      </c>
      <c r="J3304" s="5">
        <v>25</v>
      </c>
      <c r="K3304" s="5">
        <v>295212</v>
      </c>
      <c r="L3304" s="5">
        <v>2208120</v>
      </c>
      <c r="M3304" s="5">
        <v>177809</v>
      </c>
      <c r="N3304" s="5">
        <v>9.2700000000000005E-2</v>
      </c>
      <c r="O3304" s="5">
        <v>1</v>
      </c>
      <c r="P3304" s="5">
        <v>1032</v>
      </c>
    </row>
    <row r="3305" spans="1:16" x14ac:dyDescent="0.3">
      <c r="A3305" s="5">
        <v>81</v>
      </c>
      <c r="B3305" s="5" t="s">
        <v>146</v>
      </c>
      <c r="C3305" s="5">
        <v>6</v>
      </c>
      <c r="D3305" s="5" t="s">
        <v>90</v>
      </c>
      <c r="E3305" s="5">
        <v>2024</v>
      </c>
      <c r="F3305" s="5">
        <v>2</v>
      </c>
      <c r="G3305" s="5" t="s">
        <v>59</v>
      </c>
      <c r="H3305" s="5">
        <v>1702706</v>
      </c>
      <c r="I3305" s="5">
        <v>1399554.88</v>
      </c>
      <c r="J3305" s="5">
        <v>23</v>
      </c>
      <c r="K3305" s="5">
        <v>124013</v>
      </c>
      <c r="L3305" s="5">
        <v>1817590</v>
      </c>
      <c r="M3305" s="5">
        <v>303151.12</v>
      </c>
      <c r="N3305" s="5">
        <v>0.17799999999999999</v>
      </c>
      <c r="O3305" s="5">
        <v>1</v>
      </c>
      <c r="P3305" s="5">
        <v>15259</v>
      </c>
    </row>
    <row r="3306" spans="1:16" x14ac:dyDescent="0.3">
      <c r="A3306" s="5">
        <v>81</v>
      </c>
      <c r="B3306" s="5" t="s">
        <v>146</v>
      </c>
      <c r="C3306" s="5">
        <v>6</v>
      </c>
      <c r="D3306" s="5" t="s">
        <v>90</v>
      </c>
      <c r="E3306" s="5">
        <v>2024</v>
      </c>
      <c r="F3306" s="5">
        <v>3</v>
      </c>
      <c r="G3306" s="5" t="s">
        <v>60</v>
      </c>
      <c r="H3306" s="5">
        <v>2119030</v>
      </c>
      <c r="I3306" s="5">
        <v>1833151.02</v>
      </c>
      <c r="J3306" s="5">
        <v>24</v>
      </c>
      <c r="K3306" s="5">
        <v>191916</v>
      </c>
      <c r="L3306" s="5">
        <v>2307700</v>
      </c>
      <c r="M3306" s="5">
        <v>285878.98</v>
      </c>
      <c r="N3306" s="5">
        <v>0.13489999999999999</v>
      </c>
      <c r="O3306" s="5">
        <v>2</v>
      </c>
      <c r="P3306" s="5">
        <v>22992</v>
      </c>
    </row>
    <row r="3307" spans="1:16" x14ac:dyDescent="0.3">
      <c r="A3307" s="5">
        <v>81</v>
      </c>
      <c r="B3307" s="5" t="s">
        <v>146</v>
      </c>
      <c r="C3307" s="5">
        <v>6</v>
      </c>
      <c r="D3307" s="5" t="s">
        <v>90</v>
      </c>
      <c r="E3307" s="5">
        <v>2024</v>
      </c>
      <c r="F3307" s="5">
        <v>4</v>
      </c>
      <c r="G3307" s="5" t="s">
        <v>61</v>
      </c>
      <c r="H3307" s="5">
        <v>1112045</v>
      </c>
      <c r="I3307" s="5">
        <v>961186.59</v>
      </c>
      <c r="J3307" s="5">
        <v>25</v>
      </c>
      <c r="K3307" s="5">
        <v>145250</v>
      </c>
      <c r="L3307" s="5">
        <v>1254780</v>
      </c>
      <c r="M3307" s="5">
        <v>150858.41</v>
      </c>
      <c r="N3307" s="5">
        <v>0.13569999999999999</v>
      </c>
      <c r="O3307" s="5">
        <v>1</v>
      </c>
      <c r="P3307" s="5">
        <v>12805</v>
      </c>
    </row>
    <row r="3308" spans="1:16" x14ac:dyDescent="0.3">
      <c r="A3308" s="5">
        <v>81</v>
      </c>
      <c r="B3308" s="5" t="s">
        <v>146</v>
      </c>
      <c r="C3308" s="5">
        <v>6</v>
      </c>
      <c r="D3308" s="5" t="s">
        <v>90</v>
      </c>
      <c r="E3308" s="5">
        <v>2024</v>
      </c>
      <c r="F3308" s="5">
        <v>5</v>
      </c>
      <c r="G3308" s="5" t="s">
        <v>62</v>
      </c>
      <c r="H3308" s="5">
        <v>3834580</v>
      </c>
      <c r="I3308" s="5">
        <v>3343711.52</v>
      </c>
      <c r="J3308" s="5">
        <v>39</v>
      </c>
      <c r="K3308" s="5">
        <v>387869</v>
      </c>
      <c r="L3308" s="5">
        <v>4211350</v>
      </c>
      <c r="M3308" s="5">
        <v>490868.47999999998</v>
      </c>
      <c r="N3308" s="5">
        <v>0.128</v>
      </c>
      <c r="O3308" s="5">
        <v>6</v>
      </c>
      <c r="P3308" s="5">
        <v>346753</v>
      </c>
    </row>
    <row r="3309" spans="1:16" x14ac:dyDescent="0.3">
      <c r="A3309" s="5">
        <v>81</v>
      </c>
      <c r="B3309" s="5" t="s">
        <v>146</v>
      </c>
      <c r="C3309" s="5">
        <v>6</v>
      </c>
      <c r="D3309" s="5" t="s">
        <v>90</v>
      </c>
      <c r="E3309" s="5">
        <v>2024</v>
      </c>
      <c r="F3309" s="5">
        <v>6</v>
      </c>
      <c r="G3309" s="5" t="s">
        <v>63</v>
      </c>
      <c r="H3309" s="5">
        <v>2728314</v>
      </c>
      <c r="I3309" s="5">
        <v>2219842.58</v>
      </c>
      <c r="J3309" s="5">
        <v>31</v>
      </c>
      <c r="K3309" s="5">
        <v>171593</v>
      </c>
      <c r="L3309" s="5">
        <v>2891840</v>
      </c>
      <c r="M3309" s="5">
        <v>508471.42</v>
      </c>
      <c r="N3309" s="5">
        <v>0.18640000000000001</v>
      </c>
      <c r="O3309" s="5">
        <v>1</v>
      </c>
      <c r="P3309" s="5">
        <v>3586</v>
      </c>
    </row>
    <row r="3310" spans="1:16" x14ac:dyDescent="0.3">
      <c r="A3310" s="5">
        <v>81</v>
      </c>
      <c r="B3310" s="5" t="s">
        <v>146</v>
      </c>
      <c r="C3310" s="5">
        <v>6</v>
      </c>
      <c r="D3310" s="5" t="s">
        <v>90</v>
      </c>
      <c r="E3310" s="5">
        <v>2024</v>
      </c>
      <c r="F3310" s="5">
        <v>7</v>
      </c>
      <c r="G3310" s="5" t="s">
        <v>64</v>
      </c>
      <c r="H3310" s="5">
        <v>3148924</v>
      </c>
      <c r="I3310" s="5">
        <v>2675217</v>
      </c>
      <c r="J3310" s="5">
        <v>37</v>
      </c>
      <c r="K3310" s="5">
        <v>242489</v>
      </c>
      <c r="L3310" s="5">
        <v>3383610</v>
      </c>
      <c r="M3310" s="5">
        <v>473707</v>
      </c>
      <c r="N3310" s="5">
        <v>0.15040000000000001</v>
      </c>
      <c r="O3310" s="5">
        <v>2</v>
      </c>
      <c r="P3310" s="5">
        <v>206740</v>
      </c>
    </row>
    <row r="3311" spans="1:16" x14ac:dyDescent="0.3">
      <c r="A3311" s="5">
        <v>81</v>
      </c>
      <c r="B3311" s="5" t="s">
        <v>146</v>
      </c>
      <c r="C3311" s="5">
        <v>6</v>
      </c>
      <c r="D3311" s="5" t="s">
        <v>90</v>
      </c>
      <c r="E3311" s="5">
        <v>2024</v>
      </c>
      <c r="F3311" s="5">
        <v>8</v>
      </c>
      <c r="G3311" s="5" t="s">
        <v>65</v>
      </c>
      <c r="H3311" s="5">
        <v>1683520</v>
      </c>
      <c r="I3311" s="5">
        <v>1423340.43</v>
      </c>
      <c r="J3311" s="5">
        <v>24</v>
      </c>
      <c r="K3311" s="5">
        <v>171554</v>
      </c>
      <c r="L3311" s="5">
        <v>1850030</v>
      </c>
      <c r="M3311" s="5">
        <v>260179.57</v>
      </c>
      <c r="N3311" s="5">
        <v>0.1545</v>
      </c>
      <c r="O3311" s="5">
        <v>4</v>
      </c>
      <c r="P3311" s="5">
        <v>88014</v>
      </c>
    </row>
    <row r="3312" spans="1:16" x14ac:dyDescent="0.3">
      <c r="A3312" s="5">
        <v>81</v>
      </c>
      <c r="B3312" s="5" t="s">
        <v>146</v>
      </c>
      <c r="C3312" s="5">
        <v>6</v>
      </c>
      <c r="D3312" s="5" t="s">
        <v>90</v>
      </c>
      <c r="E3312" s="5">
        <v>2024</v>
      </c>
      <c r="F3312" s="5">
        <v>9</v>
      </c>
      <c r="G3312" s="5" t="s">
        <v>66</v>
      </c>
      <c r="H3312" s="5">
        <v>914793</v>
      </c>
      <c r="I3312" s="5">
        <v>736409.8</v>
      </c>
      <c r="J3312" s="5">
        <v>19</v>
      </c>
      <c r="K3312" s="5">
        <v>40649</v>
      </c>
      <c r="L3312" s="5">
        <v>953850</v>
      </c>
      <c r="M3312" s="5">
        <v>178383.2</v>
      </c>
      <c r="N3312" s="5">
        <v>0.19500000000000001</v>
      </c>
      <c r="O3312" s="5">
        <v>3</v>
      </c>
      <c r="P3312" s="5">
        <v>41342</v>
      </c>
    </row>
    <row r="3313" spans="1:16" x14ac:dyDescent="0.3">
      <c r="A3313" s="5">
        <v>81</v>
      </c>
      <c r="B3313" s="5" t="s">
        <v>146</v>
      </c>
      <c r="C3313" s="5">
        <v>6</v>
      </c>
      <c r="D3313" s="5" t="s">
        <v>90</v>
      </c>
      <c r="E3313" s="5">
        <v>2024</v>
      </c>
      <c r="F3313" s="5">
        <v>10</v>
      </c>
      <c r="G3313" s="5" t="s">
        <v>67</v>
      </c>
      <c r="H3313" s="5">
        <v>2434751</v>
      </c>
      <c r="I3313" s="5">
        <v>1892713.92</v>
      </c>
      <c r="J3313" s="5">
        <v>39</v>
      </c>
      <c r="K3313" s="5">
        <v>110614</v>
      </c>
      <c r="L3313" s="5">
        <v>2538050</v>
      </c>
      <c r="M3313" s="5">
        <v>542037.07999999996</v>
      </c>
      <c r="N3313" s="5">
        <v>0.22259999999999999</v>
      </c>
      <c r="O3313" s="5">
        <v>2</v>
      </c>
      <c r="P3313" s="5">
        <v>52539</v>
      </c>
    </row>
    <row r="3314" spans="1:16" x14ac:dyDescent="0.3">
      <c r="A3314" s="5">
        <v>81</v>
      </c>
      <c r="B3314" s="5" t="s">
        <v>146</v>
      </c>
      <c r="C3314" s="5">
        <v>6</v>
      </c>
      <c r="D3314" s="5" t="s">
        <v>90</v>
      </c>
      <c r="E3314" s="5">
        <v>2024</v>
      </c>
      <c r="F3314" s="5">
        <v>11</v>
      </c>
      <c r="G3314" s="5" t="s">
        <v>68</v>
      </c>
      <c r="H3314" s="5">
        <v>2349289</v>
      </c>
      <c r="I3314" s="5">
        <v>1955032.73</v>
      </c>
      <c r="J3314" s="5">
        <v>44</v>
      </c>
      <c r="K3314" s="5">
        <v>145645</v>
      </c>
      <c r="L3314" s="5">
        <v>2490350</v>
      </c>
      <c r="M3314" s="5">
        <v>394256.27</v>
      </c>
      <c r="N3314" s="5">
        <v>0.1678</v>
      </c>
      <c r="O3314" s="5">
        <v>2</v>
      </c>
      <c r="P3314" s="5">
        <v>36771</v>
      </c>
    </row>
    <row r="3315" spans="1:16" x14ac:dyDescent="0.3">
      <c r="A3315" s="5">
        <v>81</v>
      </c>
      <c r="B3315" s="5" t="s">
        <v>146</v>
      </c>
      <c r="C3315" s="5">
        <v>6</v>
      </c>
      <c r="D3315" s="5" t="s">
        <v>90</v>
      </c>
      <c r="E3315" s="5">
        <v>2024</v>
      </c>
      <c r="F3315" s="5">
        <v>12</v>
      </c>
      <c r="G3315" s="5" t="s">
        <v>69</v>
      </c>
      <c r="H3315" s="5">
        <v>2240815</v>
      </c>
      <c r="I3315" s="5">
        <v>1810857.38</v>
      </c>
      <c r="J3315" s="5">
        <v>26</v>
      </c>
      <c r="K3315" s="5">
        <v>71600</v>
      </c>
      <c r="L3315" s="5">
        <v>2303110</v>
      </c>
      <c r="M3315" s="5">
        <v>429957.62</v>
      </c>
      <c r="N3315" s="5">
        <v>0.19189999999999999</v>
      </c>
      <c r="O3315" s="5">
        <v>0</v>
      </c>
      <c r="P3315" s="5">
        <v>0</v>
      </c>
    </row>
    <row r="3316" spans="1:16" x14ac:dyDescent="0.3">
      <c r="A3316" s="5">
        <v>15</v>
      </c>
      <c r="B3316" s="5" t="s">
        <v>147</v>
      </c>
      <c r="C3316" s="5">
        <v>6</v>
      </c>
      <c r="D3316" s="5" t="s">
        <v>90</v>
      </c>
      <c r="E3316" s="5">
        <v>2021</v>
      </c>
      <c r="F3316" s="5">
        <v>1</v>
      </c>
      <c r="G3316" s="5" t="s">
        <v>22</v>
      </c>
      <c r="H3316" s="5">
        <v>561981</v>
      </c>
      <c r="I3316" s="5">
        <v>484950.87</v>
      </c>
      <c r="J3316" s="5">
        <v>9</v>
      </c>
      <c r="K3316" s="5">
        <v>66583</v>
      </c>
      <c r="L3316" s="5">
        <v>626200</v>
      </c>
      <c r="M3316" s="5">
        <v>77030.13</v>
      </c>
      <c r="N3316" s="5">
        <v>0.1371</v>
      </c>
      <c r="O3316" s="5">
        <v>0</v>
      </c>
      <c r="P3316" s="5">
        <v>0</v>
      </c>
    </row>
    <row r="3317" spans="1:16" x14ac:dyDescent="0.3">
      <c r="A3317" s="5">
        <v>31</v>
      </c>
      <c r="B3317" s="5" t="s">
        <v>147</v>
      </c>
      <c r="C3317" s="5">
        <v>6</v>
      </c>
      <c r="D3317" s="5" t="s">
        <v>90</v>
      </c>
      <c r="E3317" s="5">
        <v>2021</v>
      </c>
      <c r="F3317" s="5">
        <v>1</v>
      </c>
      <c r="G3317" s="5" t="s">
        <v>22</v>
      </c>
      <c r="H3317" s="5">
        <v>1389893</v>
      </c>
      <c r="I3317" s="5">
        <v>1276508.18</v>
      </c>
      <c r="J3317" s="5">
        <v>20</v>
      </c>
      <c r="K3317" s="5">
        <v>218944</v>
      </c>
      <c r="L3317" s="5">
        <v>1602500</v>
      </c>
      <c r="M3317" s="5">
        <v>113384.82</v>
      </c>
      <c r="N3317" s="5">
        <v>8.1600000000000006E-2</v>
      </c>
      <c r="O3317" s="5">
        <v>1</v>
      </c>
      <c r="P3317" s="5">
        <v>9384</v>
      </c>
    </row>
    <row r="3318" spans="1:16" x14ac:dyDescent="0.3">
      <c r="A3318" s="5">
        <v>85</v>
      </c>
      <c r="B3318" s="5" t="s">
        <v>147</v>
      </c>
      <c r="C3318" s="5">
        <v>6</v>
      </c>
      <c r="D3318" s="5" t="s">
        <v>90</v>
      </c>
      <c r="E3318" s="5">
        <v>2021</v>
      </c>
      <c r="F3318" s="5">
        <v>1</v>
      </c>
      <c r="G3318" s="5" t="s">
        <v>22</v>
      </c>
      <c r="H3318" s="5">
        <v>610280</v>
      </c>
      <c r="I3318" s="5">
        <v>528367.68999999994</v>
      </c>
      <c r="J3318" s="5">
        <v>5</v>
      </c>
      <c r="K3318" s="5">
        <v>101006</v>
      </c>
      <c r="L3318" s="5">
        <v>709500</v>
      </c>
      <c r="M3318" s="5">
        <v>81912.31</v>
      </c>
      <c r="N3318" s="5">
        <v>0.13420000000000001</v>
      </c>
      <c r="O3318" s="5">
        <v>3</v>
      </c>
      <c r="P3318" s="5">
        <v>320401</v>
      </c>
    </row>
    <row r="3319" spans="1:16" x14ac:dyDescent="0.3">
      <c r="A3319" s="5">
        <v>112</v>
      </c>
      <c r="B3319" s="5" t="s">
        <v>147</v>
      </c>
      <c r="C3319" s="5">
        <v>6</v>
      </c>
      <c r="D3319" s="5" t="s">
        <v>90</v>
      </c>
      <c r="E3319" s="5">
        <v>2021</v>
      </c>
      <c r="F3319" s="5">
        <v>1</v>
      </c>
      <c r="G3319" s="5" t="s">
        <v>22</v>
      </c>
      <c r="H3319" s="5">
        <v>1089824</v>
      </c>
      <c r="I3319" s="5">
        <v>872406.9</v>
      </c>
      <c r="J3319" s="5">
        <v>14</v>
      </c>
      <c r="K3319" s="5">
        <v>33699</v>
      </c>
      <c r="L3319" s="5">
        <v>1116100</v>
      </c>
      <c r="M3319" s="5">
        <v>217417.1</v>
      </c>
      <c r="N3319" s="5">
        <v>0.19950000000000001</v>
      </c>
      <c r="O3319" s="5">
        <v>1</v>
      </c>
      <c r="P3319" s="5">
        <v>20732</v>
      </c>
    </row>
    <row r="3320" spans="1:16" x14ac:dyDescent="0.3">
      <c r="A3320" s="5">
        <v>119</v>
      </c>
      <c r="B3320" s="5" t="s">
        <v>147</v>
      </c>
      <c r="C3320" s="5">
        <v>6</v>
      </c>
      <c r="D3320" s="5" t="s">
        <v>90</v>
      </c>
      <c r="E3320" s="5">
        <v>2021</v>
      </c>
      <c r="F3320" s="5">
        <v>1</v>
      </c>
      <c r="G3320" s="5" t="s">
        <v>22</v>
      </c>
      <c r="H3320" s="5">
        <v>1920452</v>
      </c>
      <c r="I3320" s="5">
        <v>1650509.39</v>
      </c>
      <c r="J3320" s="5">
        <v>28</v>
      </c>
      <c r="K3320" s="5">
        <v>225027</v>
      </c>
      <c r="L3320" s="5">
        <v>2133160</v>
      </c>
      <c r="M3320" s="5">
        <v>269942.61</v>
      </c>
      <c r="N3320" s="5">
        <v>0.1406</v>
      </c>
      <c r="O3320" s="5">
        <v>1</v>
      </c>
      <c r="P3320" s="5">
        <v>11971</v>
      </c>
    </row>
    <row r="3321" spans="1:16" x14ac:dyDescent="0.3">
      <c r="A3321" s="5">
        <v>15</v>
      </c>
      <c r="B3321" s="5" t="s">
        <v>147</v>
      </c>
      <c r="C3321" s="5">
        <v>6</v>
      </c>
      <c r="D3321" s="5" t="s">
        <v>90</v>
      </c>
      <c r="E3321" s="5">
        <v>2021</v>
      </c>
      <c r="F3321" s="5">
        <v>2</v>
      </c>
      <c r="G3321" s="5" t="s">
        <v>23</v>
      </c>
      <c r="H3321" s="5">
        <v>480537</v>
      </c>
      <c r="I3321" s="5">
        <v>408304.6</v>
      </c>
      <c r="J3321" s="5">
        <v>5</v>
      </c>
      <c r="K3321" s="5">
        <v>44027</v>
      </c>
      <c r="L3321" s="5">
        <v>524560</v>
      </c>
      <c r="M3321" s="5">
        <v>72232.399999999994</v>
      </c>
      <c r="N3321" s="5">
        <v>0.15029999999999999</v>
      </c>
      <c r="O3321" s="5">
        <v>1</v>
      </c>
      <c r="P3321" s="5">
        <v>64258</v>
      </c>
    </row>
    <row r="3322" spans="1:16" x14ac:dyDescent="0.3">
      <c r="A3322" s="5">
        <v>31</v>
      </c>
      <c r="B3322" s="5" t="s">
        <v>147</v>
      </c>
      <c r="C3322" s="5">
        <v>6</v>
      </c>
      <c r="D3322" s="5" t="s">
        <v>90</v>
      </c>
      <c r="E3322" s="5">
        <v>2021</v>
      </c>
      <c r="F3322" s="5">
        <v>2</v>
      </c>
      <c r="G3322" s="5" t="s">
        <v>23</v>
      </c>
      <c r="H3322" s="5">
        <v>2264752</v>
      </c>
      <c r="I3322" s="5">
        <v>2023180.21</v>
      </c>
      <c r="J3322" s="5">
        <v>24</v>
      </c>
      <c r="K3322" s="5">
        <v>310395</v>
      </c>
      <c r="L3322" s="5">
        <v>2568410</v>
      </c>
      <c r="M3322" s="5">
        <v>241571.79</v>
      </c>
      <c r="N3322" s="5">
        <v>0.1067</v>
      </c>
      <c r="O3322" s="5">
        <v>2</v>
      </c>
      <c r="P3322" s="5">
        <v>17841</v>
      </c>
    </row>
    <row r="3323" spans="1:16" x14ac:dyDescent="0.3">
      <c r="A3323" s="5">
        <v>85</v>
      </c>
      <c r="B3323" s="5" t="s">
        <v>147</v>
      </c>
      <c r="C3323" s="5">
        <v>6</v>
      </c>
      <c r="D3323" s="5" t="s">
        <v>90</v>
      </c>
      <c r="E3323" s="5">
        <v>2021</v>
      </c>
      <c r="F3323" s="5">
        <v>2</v>
      </c>
      <c r="G3323" s="5" t="s">
        <v>23</v>
      </c>
      <c r="H3323" s="5">
        <v>178073</v>
      </c>
      <c r="I3323" s="5">
        <v>171800.75</v>
      </c>
      <c r="J3323" s="5">
        <v>4</v>
      </c>
      <c r="K3323" s="5">
        <v>53249</v>
      </c>
      <c r="L3323" s="5">
        <v>231160</v>
      </c>
      <c r="M3323" s="5">
        <v>6272.25</v>
      </c>
      <c r="N3323" s="5">
        <v>3.5200000000000002E-2</v>
      </c>
      <c r="O3323" s="5">
        <v>0</v>
      </c>
      <c r="P3323" s="5">
        <v>0</v>
      </c>
    </row>
    <row r="3324" spans="1:16" x14ac:dyDescent="0.3">
      <c r="A3324" s="5">
        <v>112</v>
      </c>
      <c r="B3324" s="5" t="s">
        <v>147</v>
      </c>
      <c r="C3324" s="5">
        <v>6</v>
      </c>
      <c r="D3324" s="5" t="s">
        <v>90</v>
      </c>
      <c r="E3324" s="5">
        <v>2021</v>
      </c>
      <c r="F3324" s="5">
        <v>2</v>
      </c>
      <c r="G3324" s="5" t="s">
        <v>23</v>
      </c>
      <c r="H3324" s="5">
        <v>570345</v>
      </c>
      <c r="I3324" s="5">
        <v>493940.34</v>
      </c>
      <c r="J3324" s="5">
        <v>13</v>
      </c>
      <c r="K3324" s="5">
        <v>64093</v>
      </c>
      <c r="L3324" s="5">
        <v>632090</v>
      </c>
      <c r="M3324" s="5">
        <v>76404.66</v>
      </c>
      <c r="N3324" s="5">
        <v>0.13400000000000001</v>
      </c>
      <c r="O3324" s="5">
        <v>2</v>
      </c>
      <c r="P3324" s="5">
        <v>11601</v>
      </c>
    </row>
    <row r="3325" spans="1:16" x14ac:dyDescent="0.3">
      <c r="A3325" s="5">
        <v>119</v>
      </c>
      <c r="B3325" s="5" t="s">
        <v>147</v>
      </c>
      <c r="C3325" s="5">
        <v>6</v>
      </c>
      <c r="D3325" s="5" t="s">
        <v>90</v>
      </c>
      <c r="E3325" s="5">
        <v>2021</v>
      </c>
      <c r="F3325" s="5">
        <v>2</v>
      </c>
      <c r="G3325" s="5" t="s">
        <v>23</v>
      </c>
      <c r="H3325" s="5">
        <v>1724158</v>
      </c>
      <c r="I3325" s="5">
        <v>1504233.5</v>
      </c>
      <c r="J3325" s="5">
        <v>37</v>
      </c>
      <c r="K3325" s="5">
        <v>202630</v>
      </c>
      <c r="L3325" s="5">
        <v>1914540</v>
      </c>
      <c r="M3325" s="5">
        <v>219924.5</v>
      </c>
      <c r="N3325" s="5">
        <v>0.12759999999999999</v>
      </c>
      <c r="O3325" s="5">
        <v>2</v>
      </c>
      <c r="P3325" s="5">
        <v>6096</v>
      </c>
    </row>
    <row r="3326" spans="1:16" x14ac:dyDescent="0.3">
      <c r="A3326" s="5">
        <v>15</v>
      </c>
      <c r="B3326" s="5" t="s">
        <v>147</v>
      </c>
      <c r="C3326" s="5">
        <v>6</v>
      </c>
      <c r="D3326" s="5" t="s">
        <v>90</v>
      </c>
      <c r="E3326" s="5">
        <v>2021</v>
      </c>
      <c r="F3326" s="5">
        <v>3</v>
      </c>
      <c r="G3326" s="5" t="s">
        <v>24</v>
      </c>
      <c r="H3326" s="5">
        <v>563113</v>
      </c>
      <c r="I3326" s="5">
        <v>509066.67</v>
      </c>
      <c r="J3326" s="5">
        <v>8</v>
      </c>
      <c r="K3326" s="5">
        <v>76760</v>
      </c>
      <c r="L3326" s="5">
        <v>636020</v>
      </c>
      <c r="M3326" s="5">
        <v>54046.33</v>
      </c>
      <c r="N3326" s="5">
        <v>9.6000000000000002E-2</v>
      </c>
      <c r="O3326" s="5">
        <v>0</v>
      </c>
      <c r="P3326" s="5">
        <v>0</v>
      </c>
    </row>
    <row r="3327" spans="1:16" x14ac:dyDescent="0.3">
      <c r="A3327" s="5">
        <v>31</v>
      </c>
      <c r="B3327" s="5" t="s">
        <v>147</v>
      </c>
      <c r="C3327" s="5">
        <v>6</v>
      </c>
      <c r="D3327" s="5" t="s">
        <v>90</v>
      </c>
      <c r="E3327" s="5">
        <v>2021</v>
      </c>
      <c r="F3327" s="5">
        <v>3</v>
      </c>
      <c r="G3327" s="5" t="s">
        <v>24</v>
      </c>
      <c r="H3327" s="5">
        <v>1309986</v>
      </c>
      <c r="I3327" s="5">
        <v>1079576.32</v>
      </c>
      <c r="J3327" s="5">
        <v>18</v>
      </c>
      <c r="K3327" s="5">
        <v>63298</v>
      </c>
      <c r="L3327" s="5">
        <v>1372060</v>
      </c>
      <c r="M3327" s="5">
        <v>230409.68</v>
      </c>
      <c r="N3327" s="5">
        <v>0.1759</v>
      </c>
      <c r="O3327" s="5">
        <v>2</v>
      </c>
      <c r="P3327" s="5">
        <v>22677</v>
      </c>
    </row>
    <row r="3328" spans="1:16" x14ac:dyDescent="0.3">
      <c r="A3328" s="5">
        <v>85</v>
      </c>
      <c r="B3328" s="5" t="s">
        <v>147</v>
      </c>
      <c r="C3328" s="5">
        <v>6</v>
      </c>
      <c r="D3328" s="5" t="s">
        <v>90</v>
      </c>
      <c r="E3328" s="5">
        <v>2021</v>
      </c>
      <c r="F3328" s="5">
        <v>3</v>
      </c>
      <c r="G3328" s="5" t="s">
        <v>24</v>
      </c>
      <c r="H3328" s="5">
        <v>255077</v>
      </c>
      <c r="I3328" s="5">
        <v>232787.12</v>
      </c>
      <c r="J3328" s="5">
        <v>5</v>
      </c>
      <c r="K3328" s="5">
        <v>39581</v>
      </c>
      <c r="L3328" s="5">
        <v>294600</v>
      </c>
      <c r="M3328" s="5">
        <v>22289.88</v>
      </c>
      <c r="N3328" s="5">
        <v>8.7400000000000005E-2</v>
      </c>
      <c r="O3328" s="5">
        <v>0</v>
      </c>
      <c r="P3328" s="5">
        <v>0</v>
      </c>
    </row>
    <row r="3329" spans="1:16" x14ac:dyDescent="0.3">
      <c r="A3329" s="5">
        <v>112</v>
      </c>
      <c r="B3329" s="5" t="s">
        <v>147</v>
      </c>
      <c r="C3329" s="5">
        <v>6</v>
      </c>
      <c r="D3329" s="5" t="s">
        <v>90</v>
      </c>
      <c r="E3329" s="5">
        <v>2021</v>
      </c>
      <c r="F3329" s="5">
        <v>3</v>
      </c>
      <c r="G3329" s="5" t="s">
        <v>24</v>
      </c>
      <c r="H3329" s="5">
        <v>425121</v>
      </c>
      <c r="I3329" s="5">
        <v>346949.72</v>
      </c>
      <c r="J3329" s="5">
        <v>9</v>
      </c>
      <c r="K3329" s="5">
        <v>28090</v>
      </c>
      <c r="L3329" s="5">
        <v>451980</v>
      </c>
      <c r="M3329" s="5">
        <v>78171.28</v>
      </c>
      <c r="N3329" s="5">
        <v>0.18390000000000001</v>
      </c>
      <c r="O3329" s="5">
        <v>0</v>
      </c>
      <c r="P3329" s="5">
        <v>0</v>
      </c>
    </row>
    <row r="3330" spans="1:16" x14ac:dyDescent="0.3">
      <c r="A3330" s="5">
        <v>119</v>
      </c>
      <c r="B3330" s="5" t="s">
        <v>147</v>
      </c>
      <c r="C3330" s="5">
        <v>6</v>
      </c>
      <c r="D3330" s="5" t="s">
        <v>90</v>
      </c>
      <c r="E3330" s="5">
        <v>2021</v>
      </c>
      <c r="F3330" s="5">
        <v>3</v>
      </c>
      <c r="G3330" s="5" t="s">
        <v>24</v>
      </c>
      <c r="H3330" s="5">
        <v>2672258</v>
      </c>
      <c r="I3330" s="5">
        <v>2242768.37</v>
      </c>
      <c r="J3330" s="5">
        <v>31</v>
      </c>
      <c r="K3330" s="5">
        <v>219356</v>
      </c>
      <c r="L3330" s="5">
        <v>2881590</v>
      </c>
      <c r="M3330" s="5">
        <v>429489.63</v>
      </c>
      <c r="N3330" s="5">
        <v>0.16070000000000001</v>
      </c>
      <c r="O3330" s="5">
        <v>2</v>
      </c>
      <c r="P3330" s="5">
        <v>79958</v>
      </c>
    </row>
    <row r="3331" spans="1:16" x14ac:dyDescent="0.3">
      <c r="A3331" s="5">
        <v>15</v>
      </c>
      <c r="B3331" s="5" t="s">
        <v>147</v>
      </c>
      <c r="C3331" s="5">
        <v>6</v>
      </c>
      <c r="D3331" s="5" t="s">
        <v>90</v>
      </c>
      <c r="E3331" s="5">
        <v>2021</v>
      </c>
      <c r="F3331" s="5">
        <v>4</v>
      </c>
      <c r="G3331" s="5" t="s">
        <v>25</v>
      </c>
      <c r="H3331" s="5">
        <v>474237</v>
      </c>
      <c r="I3331" s="5">
        <v>446118.24</v>
      </c>
      <c r="J3331" s="5">
        <v>9</v>
      </c>
      <c r="K3331" s="5">
        <v>101047</v>
      </c>
      <c r="L3331" s="5">
        <v>573910</v>
      </c>
      <c r="M3331" s="5">
        <v>28118.76</v>
      </c>
      <c r="N3331" s="5">
        <v>5.9299999999999999E-2</v>
      </c>
      <c r="O3331" s="5">
        <v>1</v>
      </c>
      <c r="P3331" s="5">
        <v>15019</v>
      </c>
    </row>
    <row r="3332" spans="1:16" x14ac:dyDescent="0.3">
      <c r="A3332" s="5">
        <v>31</v>
      </c>
      <c r="B3332" s="5" t="s">
        <v>147</v>
      </c>
      <c r="C3332" s="5">
        <v>6</v>
      </c>
      <c r="D3332" s="5" t="s">
        <v>90</v>
      </c>
      <c r="E3332" s="5">
        <v>2021</v>
      </c>
      <c r="F3332" s="5">
        <v>4</v>
      </c>
      <c r="G3332" s="5" t="s">
        <v>25</v>
      </c>
      <c r="H3332" s="5">
        <v>1154245</v>
      </c>
      <c r="I3332" s="5">
        <v>1116263.3</v>
      </c>
      <c r="J3332" s="5">
        <v>23</v>
      </c>
      <c r="K3332" s="5">
        <v>231604</v>
      </c>
      <c r="L3332" s="5">
        <v>1383640</v>
      </c>
      <c r="M3332" s="5">
        <v>37981.699999999997</v>
      </c>
      <c r="N3332" s="5">
        <v>3.2899999999999999E-2</v>
      </c>
      <c r="O3332" s="5">
        <v>4</v>
      </c>
      <c r="P3332" s="5">
        <v>82147</v>
      </c>
    </row>
    <row r="3333" spans="1:16" x14ac:dyDescent="0.3">
      <c r="A3333" s="5">
        <v>85</v>
      </c>
      <c r="B3333" s="5" t="s">
        <v>147</v>
      </c>
      <c r="C3333" s="5">
        <v>6</v>
      </c>
      <c r="D3333" s="5" t="s">
        <v>90</v>
      </c>
      <c r="E3333" s="5">
        <v>2021</v>
      </c>
      <c r="F3333" s="5">
        <v>4</v>
      </c>
      <c r="G3333" s="5" t="s">
        <v>25</v>
      </c>
      <c r="H3333" s="5">
        <v>283764</v>
      </c>
      <c r="I3333" s="5">
        <v>229080.46</v>
      </c>
      <c r="J3333" s="5">
        <v>7</v>
      </c>
      <c r="K3333" s="5">
        <v>49213</v>
      </c>
      <c r="L3333" s="5">
        <v>332600</v>
      </c>
      <c r="M3333" s="5">
        <v>54683.54</v>
      </c>
      <c r="N3333" s="5">
        <v>0.19270000000000001</v>
      </c>
      <c r="O3333" s="5">
        <v>1</v>
      </c>
      <c r="P3333" s="5">
        <v>828</v>
      </c>
    </row>
    <row r="3334" spans="1:16" x14ac:dyDescent="0.3">
      <c r="A3334" s="5">
        <v>112</v>
      </c>
      <c r="B3334" s="5" t="s">
        <v>147</v>
      </c>
      <c r="C3334" s="5">
        <v>6</v>
      </c>
      <c r="D3334" s="5" t="s">
        <v>90</v>
      </c>
      <c r="E3334" s="5">
        <v>2021</v>
      </c>
      <c r="F3334" s="5">
        <v>4</v>
      </c>
      <c r="G3334" s="5" t="s">
        <v>25</v>
      </c>
      <c r="H3334" s="5">
        <v>1037040</v>
      </c>
      <c r="I3334" s="5">
        <v>961851.41</v>
      </c>
      <c r="J3334" s="5">
        <v>13</v>
      </c>
      <c r="K3334" s="5">
        <v>224971</v>
      </c>
      <c r="L3334" s="5">
        <v>1258640</v>
      </c>
      <c r="M3334" s="5">
        <v>75188.59</v>
      </c>
      <c r="N3334" s="5">
        <v>7.2499999999999995E-2</v>
      </c>
      <c r="O3334" s="5">
        <v>1</v>
      </c>
      <c r="P3334" s="5">
        <v>8413</v>
      </c>
    </row>
    <row r="3335" spans="1:16" x14ac:dyDescent="0.3">
      <c r="A3335" s="5">
        <v>119</v>
      </c>
      <c r="B3335" s="5" t="s">
        <v>147</v>
      </c>
      <c r="C3335" s="5">
        <v>6</v>
      </c>
      <c r="D3335" s="5" t="s">
        <v>90</v>
      </c>
      <c r="E3335" s="5">
        <v>2021</v>
      </c>
      <c r="F3335" s="5">
        <v>4</v>
      </c>
      <c r="G3335" s="5" t="s">
        <v>25</v>
      </c>
      <c r="H3335" s="5">
        <v>3349699</v>
      </c>
      <c r="I3335" s="5">
        <v>2962455.62</v>
      </c>
      <c r="J3335" s="5">
        <v>39</v>
      </c>
      <c r="K3335" s="5">
        <v>420255</v>
      </c>
      <c r="L3335" s="5">
        <v>3762750</v>
      </c>
      <c r="M3335" s="5">
        <v>387243.38</v>
      </c>
      <c r="N3335" s="5">
        <v>0.11559999999999999</v>
      </c>
      <c r="O3335" s="5">
        <v>9</v>
      </c>
      <c r="P3335" s="5">
        <v>320102</v>
      </c>
    </row>
    <row r="3336" spans="1:16" x14ac:dyDescent="0.3">
      <c r="A3336" s="5">
        <v>15</v>
      </c>
      <c r="B3336" s="5" t="s">
        <v>147</v>
      </c>
      <c r="C3336" s="5">
        <v>6</v>
      </c>
      <c r="D3336" s="5" t="s">
        <v>90</v>
      </c>
      <c r="E3336" s="5">
        <v>2021</v>
      </c>
      <c r="F3336" s="5">
        <v>5</v>
      </c>
      <c r="G3336" s="5" t="s">
        <v>26</v>
      </c>
      <c r="H3336" s="5">
        <v>707599</v>
      </c>
      <c r="I3336" s="5">
        <v>566510.62</v>
      </c>
      <c r="J3336" s="5">
        <v>9</v>
      </c>
      <c r="K3336" s="5">
        <v>12779</v>
      </c>
      <c r="L3336" s="5">
        <v>712710</v>
      </c>
      <c r="M3336" s="5">
        <v>141088.38</v>
      </c>
      <c r="N3336" s="5">
        <v>0.19939999999999999</v>
      </c>
      <c r="O3336" s="5">
        <v>0</v>
      </c>
      <c r="P3336" s="5">
        <v>0</v>
      </c>
    </row>
    <row r="3337" spans="1:16" x14ac:dyDescent="0.3">
      <c r="A3337" s="5">
        <v>31</v>
      </c>
      <c r="B3337" s="5" t="s">
        <v>147</v>
      </c>
      <c r="C3337" s="5">
        <v>6</v>
      </c>
      <c r="D3337" s="5" t="s">
        <v>90</v>
      </c>
      <c r="E3337" s="5">
        <v>2021</v>
      </c>
      <c r="F3337" s="5">
        <v>5</v>
      </c>
      <c r="G3337" s="5" t="s">
        <v>26</v>
      </c>
      <c r="H3337" s="5">
        <v>1126980</v>
      </c>
      <c r="I3337" s="5">
        <v>1000309.94</v>
      </c>
      <c r="J3337" s="5">
        <v>24</v>
      </c>
      <c r="K3337" s="5">
        <v>216925</v>
      </c>
      <c r="L3337" s="5">
        <v>1343160</v>
      </c>
      <c r="M3337" s="5">
        <v>126670.06</v>
      </c>
      <c r="N3337" s="5">
        <v>0.1124</v>
      </c>
      <c r="O3337" s="5">
        <v>2</v>
      </c>
      <c r="P3337" s="5">
        <v>38153</v>
      </c>
    </row>
    <row r="3338" spans="1:16" x14ac:dyDescent="0.3">
      <c r="A3338" s="5">
        <v>85</v>
      </c>
      <c r="B3338" s="5" t="s">
        <v>147</v>
      </c>
      <c r="C3338" s="5">
        <v>6</v>
      </c>
      <c r="D3338" s="5" t="s">
        <v>90</v>
      </c>
      <c r="E3338" s="5">
        <v>2021</v>
      </c>
      <c r="F3338" s="5">
        <v>5</v>
      </c>
      <c r="G3338" s="5" t="s">
        <v>26</v>
      </c>
      <c r="H3338" s="5">
        <v>179373</v>
      </c>
      <c r="I3338" s="5">
        <v>144732.01</v>
      </c>
      <c r="J3338" s="5">
        <v>7</v>
      </c>
      <c r="K3338" s="5">
        <v>13634</v>
      </c>
      <c r="L3338" s="5">
        <v>191820</v>
      </c>
      <c r="M3338" s="5">
        <v>34640.99</v>
      </c>
      <c r="N3338" s="5">
        <v>0.19309999999999999</v>
      </c>
      <c r="O3338" s="5">
        <v>1</v>
      </c>
      <c r="P3338" s="5">
        <v>3877</v>
      </c>
    </row>
    <row r="3339" spans="1:16" x14ac:dyDescent="0.3">
      <c r="A3339" s="5">
        <v>112</v>
      </c>
      <c r="B3339" s="5" t="s">
        <v>147</v>
      </c>
      <c r="C3339" s="5">
        <v>6</v>
      </c>
      <c r="D3339" s="5" t="s">
        <v>90</v>
      </c>
      <c r="E3339" s="5">
        <v>2021</v>
      </c>
      <c r="F3339" s="5">
        <v>5</v>
      </c>
      <c r="G3339" s="5" t="s">
        <v>26</v>
      </c>
      <c r="H3339" s="5">
        <v>1062633</v>
      </c>
      <c r="I3339" s="5">
        <v>819770.75</v>
      </c>
      <c r="J3339" s="5">
        <v>10</v>
      </c>
      <c r="K3339" s="5">
        <v>23090</v>
      </c>
      <c r="L3339" s="5">
        <v>1079490</v>
      </c>
      <c r="M3339" s="5">
        <v>242862.25</v>
      </c>
      <c r="N3339" s="5">
        <v>0.22850000000000001</v>
      </c>
      <c r="O3339" s="5">
        <v>2</v>
      </c>
      <c r="P3339" s="5">
        <v>18192</v>
      </c>
    </row>
    <row r="3340" spans="1:16" x14ac:dyDescent="0.3">
      <c r="A3340" s="5">
        <v>119</v>
      </c>
      <c r="B3340" s="5" t="s">
        <v>147</v>
      </c>
      <c r="C3340" s="5">
        <v>6</v>
      </c>
      <c r="D3340" s="5" t="s">
        <v>90</v>
      </c>
      <c r="E3340" s="5">
        <v>2021</v>
      </c>
      <c r="F3340" s="5">
        <v>5</v>
      </c>
      <c r="G3340" s="5" t="s">
        <v>26</v>
      </c>
      <c r="H3340" s="5">
        <v>3229045</v>
      </c>
      <c r="I3340" s="5">
        <v>2795061.93</v>
      </c>
      <c r="J3340" s="5">
        <v>49</v>
      </c>
      <c r="K3340" s="5">
        <v>419833</v>
      </c>
      <c r="L3340" s="5">
        <v>3641800</v>
      </c>
      <c r="M3340" s="5">
        <v>433983.07</v>
      </c>
      <c r="N3340" s="5">
        <v>0.13439999999999999</v>
      </c>
      <c r="O3340" s="5">
        <v>2</v>
      </c>
      <c r="P3340" s="5">
        <v>15454</v>
      </c>
    </row>
    <row r="3341" spans="1:16" x14ac:dyDescent="0.3">
      <c r="A3341" s="5">
        <v>15</v>
      </c>
      <c r="B3341" s="5" t="s">
        <v>147</v>
      </c>
      <c r="C3341" s="5">
        <v>6</v>
      </c>
      <c r="D3341" s="5" t="s">
        <v>90</v>
      </c>
      <c r="E3341" s="5">
        <v>2021</v>
      </c>
      <c r="F3341" s="5">
        <v>6</v>
      </c>
      <c r="G3341" s="5" t="s">
        <v>27</v>
      </c>
      <c r="H3341" s="5">
        <v>804104</v>
      </c>
      <c r="I3341" s="5">
        <v>655979.5</v>
      </c>
      <c r="J3341" s="5">
        <v>12</v>
      </c>
      <c r="K3341" s="5">
        <v>78106</v>
      </c>
      <c r="L3341" s="5">
        <v>874730</v>
      </c>
      <c r="M3341" s="5">
        <v>148124.5</v>
      </c>
      <c r="N3341" s="5">
        <v>0.1842</v>
      </c>
      <c r="O3341" s="5">
        <v>3</v>
      </c>
      <c r="P3341" s="5">
        <v>26606</v>
      </c>
    </row>
    <row r="3342" spans="1:16" x14ac:dyDescent="0.3">
      <c r="A3342" s="5">
        <v>31</v>
      </c>
      <c r="B3342" s="5" t="s">
        <v>147</v>
      </c>
      <c r="C3342" s="5">
        <v>6</v>
      </c>
      <c r="D3342" s="5" t="s">
        <v>90</v>
      </c>
      <c r="E3342" s="5">
        <v>2021</v>
      </c>
      <c r="F3342" s="5">
        <v>6</v>
      </c>
      <c r="G3342" s="5" t="s">
        <v>27</v>
      </c>
      <c r="H3342" s="5">
        <v>3052030</v>
      </c>
      <c r="I3342" s="5">
        <v>2539467.33</v>
      </c>
      <c r="J3342" s="5">
        <v>34</v>
      </c>
      <c r="K3342" s="5">
        <v>239669</v>
      </c>
      <c r="L3342" s="5">
        <v>3282400</v>
      </c>
      <c r="M3342" s="5">
        <v>512562.67</v>
      </c>
      <c r="N3342" s="5">
        <v>0.16789999999999999</v>
      </c>
      <c r="O3342" s="5">
        <v>4</v>
      </c>
      <c r="P3342" s="5">
        <v>187939</v>
      </c>
    </row>
    <row r="3343" spans="1:16" x14ac:dyDescent="0.3">
      <c r="A3343" s="5">
        <v>85</v>
      </c>
      <c r="B3343" s="5" t="s">
        <v>147</v>
      </c>
      <c r="C3343" s="5">
        <v>6</v>
      </c>
      <c r="D3343" s="5" t="s">
        <v>90</v>
      </c>
      <c r="E3343" s="5">
        <v>2021</v>
      </c>
      <c r="F3343" s="5">
        <v>6</v>
      </c>
      <c r="G3343" s="5" t="s">
        <v>27</v>
      </c>
      <c r="H3343" s="5">
        <v>371201</v>
      </c>
      <c r="I3343" s="5">
        <v>290014.61</v>
      </c>
      <c r="J3343" s="5">
        <v>5</v>
      </c>
      <c r="K3343" s="5">
        <v>16720</v>
      </c>
      <c r="L3343" s="5">
        <v>383960</v>
      </c>
      <c r="M3343" s="5">
        <v>81186.39</v>
      </c>
      <c r="N3343" s="5">
        <v>0.21870000000000001</v>
      </c>
      <c r="O3343" s="5">
        <v>2</v>
      </c>
      <c r="P3343" s="5">
        <v>113550</v>
      </c>
    </row>
    <row r="3344" spans="1:16" x14ac:dyDescent="0.3">
      <c r="A3344" s="5">
        <v>112</v>
      </c>
      <c r="B3344" s="5" t="s">
        <v>147</v>
      </c>
      <c r="C3344" s="5">
        <v>6</v>
      </c>
      <c r="D3344" s="5" t="s">
        <v>90</v>
      </c>
      <c r="E3344" s="5">
        <v>2021</v>
      </c>
      <c r="F3344" s="5">
        <v>6</v>
      </c>
      <c r="G3344" s="5" t="s">
        <v>27</v>
      </c>
      <c r="H3344" s="5">
        <v>978666</v>
      </c>
      <c r="I3344" s="5">
        <v>935667.44</v>
      </c>
      <c r="J3344" s="5">
        <v>15</v>
      </c>
      <c r="K3344" s="5">
        <v>209603</v>
      </c>
      <c r="L3344" s="5">
        <v>1187570</v>
      </c>
      <c r="M3344" s="5">
        <v>42998.559999999998</v>
      </c>
      <c r="N3344" s="5">
        <v>4.3900000000000002E-2</v>
      </c>
      <c r="O3344" s="5">
        <v>2</v>
      </c>
      <c r="P3344" s="5">
        <v>10892</v>
      </c>
    </row>
    <row r="3345" spans="1:16" x14ac:dyDescent="0.3">
      <c r="A3345" s="5">
        <v>119</v>
      </c>
      <c r="B3345" s="5" t="s">
        <v>147</v>
      </c>
      <c r="C3345" s="5">
        <v>6</v>
      </c>
      <c r="D3345" s="5" t="s">
        <v>90</v>
      </c>
      <c r="E3345" s="5">
        <v>2021</v>
      </c>
      <c r="F3345" s="5">
        <v>6</v>
      </c>
      <c r="G3345" s="5" t="s">
        <v>27</v>
      </c>
      <c r="H3345" s="5">
        <v>2378792</v>
      </c>
      <c r="I3345" s="5">
        <v>2076904.6</v>
      </c>
      <c r="J3345" s="5">
        <v>42</v>
      </c>
      <c r="K3345" s="5">
        <v>310494</v>
      </c>
      <c r="L3345" s="5">
        <v>2683750</v>
      </c>
      <c r="M3345" s="5">
        <v>301887.40000000002</v>
      </c>
      <c r="N3345" s="5">
        <v>0.12690000000000001</v>
      </c>
      <c r="O3345" s="5">
        <v>3</v>
      </c>
      <c r="P3345" s="5">
        <v>49154</v>
      </c>
    </row>
    <row r="3346" spans="1:16" x14ac:dyDescent="0.3">
      <c r="A3346" s="5">
        <v>15</v>
      </c>
      <c r="B3346" s="5" t="s">
        <v>147</v>
      </c>
      <c r="C3346" s="5">
        <v>6</v>
      </c>
      <c r="D3346" s="5" t="s">
        <v>90</v>
      </c>
      <c r="E3346" s="5">
        <v>2021</v>
      </c>
      <c r="F3346" s="5">
        <v>7</v>
      </c>
      <c r="G3346" s="5" t="s">
        <v>28</v>
      </c>
      <c r="H3346" s="5">
        <v>799966</v>
      </c>
      <c r="I3346" s="5">
        <v>692196.93</v>
      </c>
      <c r="J3346" s="5">
        <v>18</v>
      </c>
      <c r="K3346" s="5">
        <v>131688</v>
      </c>
      <c r="L3346" s="5">
        <v>929340</v>
      </c>
      <c r="M3346" s="5">
        <v>107769.07</v>
      </c>
      <c r="N3346" s="5">
        <v>0.13469999999999999</v>
      </c>
      <c r="O3346" s="5">
        <v>3</v>
      </c>
      <c r="P3346" s="5">
        <v>31286</v>
      </c>
    </row>
    <row r="3347" spans="1:16" x14ac:dyDescent="0.3">
      <c r="A3347" s="5">
        <v>31</v>
      </c>
      <c r="B3347" s="5" t="s">
        <v>147</v>
      </c>
      <c r="C3347" s="5">
        <v>6</v>
      </c>
      <c r="D3347" s="5" t="s">
        <v>90</v>
      </c>
      <c r="E3347" s="5">
        <v>2021</v>
      </c>
      <c r="F3347" s="5">
        <v>7</v>
      </c>
      <c r="G3347" s="5" t="s">
        <v>28</v>
      </c>
      <c r="H3347" s="5">
        <v>1316023</v>
      </c>
      <c r="I3347" s="5">
        <v>1102036.22</v>
      </c>
      <c r="J3347" s="5">
        <v>21</v>
      </c>
      <c r="K3347" s="5">
        <v>161608</v>
      </c>
      <c r="L3347" s="5">
        <v>1473300</v>
      </c>
      <c r="M3347" s="5">
        <v>213986.78</v>
      </c>
      <c r="N3347" s="5">
        <v>0.16259999999999999</v>
      </c>
      <c r="O3347" s="5">
        <v>2</v>
      </c>
      <c r="P3347" s="5">
        <v>18750</v>
      </c>
    </row>
    <row r="3348" spans="1:16" x14ac:dyDescent="0.3">
      <c r="A3348" s="5">
        <v>85</v>
      </c>
      <c r="B3348" s="5" t="s">
        <v>147</v>
      </c>
      <c r="C3348" s="5">
        <v>6</v>
      </c>
      <c r="D3348" s="5" t="s">
        <v>90</v>
      </c>
      <c r="E3348" s="5">
        <v>2021</v>
      </c>
      <c r="F3348" s="5">
        <v>7</v>
      </c>
      <c r="G3348" s="5" t="s">
        <v>28</v>
      </c>
      <c r="H3348" s="5">
        <v>324876</v>
      </c>
      <c r="I3348" s="5">
        <v>270076.28000000003</v>
      </c>
      <c r="J3348" s="5">
        <v>7</v>
      </c>
      <c r="K3348" s="5">
        <v>44335</v>
      </c>
      <c r="L3348" s="5">
        <v>368680</v>
      </c>
      <c r="M3348" s="5">
        <v>54799.72</v>
      </c>
      <c r="N3348" s="5">
        <v>0.16869999999999999</v>
      </c>
      <c r="O3348" s="5">
        <v>2</v>
      </c>
      <c r="P3348" s="5">
        <v>47251</v>
      </c>
    </row>
    <row r="3349" spans="1:16" x14ac:dyDescent="0.3">
      <c r="A3349" s="5">
        <v>112</v>
      </c>
      <c r="B3349" s="5" t="s">
        <v>147</v>
      </c>
      <c r="C3349" s="5">
        <v>6</v>
      </c>
      <c r="D3349" s="5" t="s">
        <v>90</v>
      </c>
      <c r="E3349" s="5">
        <v>2021</v>
      </c>
      <c r="F3349" s="5">
        <v>7</v>
      </c>
      <c r="G3349" s="5" t="s">
        <v>28</v>
      </c>
      <c r="H3349" s="5">
        <v>880362</v>
      </c>
      <c r="I3349" s="5">
        <v>770046.41</v>
      </c>
      <c r="J3349" s="5">
        <v>13</v>
      </c>
      <c r="K3349" s="5">
        <v>82190</v>
      </c>
      <c r="L3349" s="5">
        <v>957820</v>
      </c>
      <c r="M3349" s="5">
        <v>110315.59</v>
      </c>
      <c r="N3349" s="5">
        <v>0.12529999999999999</v>
      </c>
      <c r="O3349" s="5">
        <v>2</v>
      </c>
      <c r="P3349" s="5">
        <v>7341</v>
      </c>
    </row>
    <row r="3350" spans="1:16" x14ac:dyDescent="0.3">
      <c r="A3350" s="5">
        <v>119</v>
      </c>
      <c r="B3350" s="5" t="s">
        <v>147</v>
      </c>
      <c r="C3350" s="5">
        <v>6</v>
      </c>
      <c r="D3350" s="5" t="s">
        <v>90</v>
      </c>
      <c r="E3350" s="5">
        <v>2021</v>
      </c>
      <c r="F3350" s="5">
        <v>7</v>
      </c>
      <c r="G3350" s="5" t="s">
        <v>28</v>
      </c>
      <c r="H3350" s="5">
        <v>2176521</v>
      </c>
      <c r="I3350" s="5">
        <v>1981601.73</v>
      </c>
      <c r="J3350" s="5">
        <v>34</v>
      </c>
      <c r="K3350" s="5">
        <v>313885</v>
      </c>
      <c r="L3350" s="5">
        <v>2486770</v>
      </c>
      <c r="M3350" s="5">
        <v>194919.27</v>
      </c>
      <c r="N3350" s="5">
        <v>8.9599999999999999E-2</v>
      </c>
      <c r="O3350" s="5">
        <v>3</v>
      </c>
      <c r="P3350" s="5">
        <v>36654</v>
      </c>
    </row>
    <row r="3351" spans="1:16" x14ac:dyDescent="0.3">
      <c r="A3351" s="5">
        <v>15</v>
      </c>
      <c r="B3351" s="5" t="s">
        <v>147</v>
      </c>
      <c r="C3351" s="5">
        <v>6</v>
      </c>
      <c r="D3351" s="5" t="s">
        <v>90</v>
      </c>
      <c r="E3351" s="5">
        <v>2021</v>
      </c>
      <c r="F3351" s="5">
        <v>8</v>
      </c>
      <c r="G3351" s="5" t="s">
        <v>29</v>
      </c>
      <c r="H3351" s="5">
        <v>778995</v>
      </c>
      <c r="I3351" s="5">
        <v>680346.61</v>
      </c>
      <c r="J3351" s="5">
        <v>17</v>
      </c>
      <c r="K3351" s="5">
        <v>85424</v>
      </c>
      <c r="L3351" s="5">
        <v>864280</v>
      </c>
      <c r="M3351" s="5">
        <v>98648.39</v>
      </c>
      <c r="N3351" s="5">
        <v>0.12659999999999999</v>
      </c>
      <c r="O3351" s="5">
        <v>0</v>
      </c>
      <c r="P3351" s="5">
        <v>0</v>
      </c>
    </row>
    <row r="3352" spans="1:16" x14ac:dyDescent="0.3">
      <c r="A3352" s="5">
        <v>31</v>
      </c>
      <c r="B3352" s="5" t="s">
        <v>147</v>
      </c>
      <c r="C3352" s="5">
        <v>6</v>
      </c>
      <c r="D3352" s="5" t="s">
        <v>90</v>
      </c>
      <c r="E3352" s="5">
        <v>2021</v>
      </c>
      <c r="F3352" s="5">
        <v>8</v>
      </c>
      <c r="G3352" s="5" t="s">
        <v>29</v>
      </c>
      <c r="H3352" s="5">
        <v>2139021</v>
      </c>
      <c r="I3352" s="5">
        <v>1775916.84</v>
      </c>
      <c r="J3352" s="5">
        <v>31</v>
      </c>
      <c r="K3352" s="5">
        <v>166104</v>
      </c>
      <c r="L3352" s="5">
        <v>2298270</v>
      </c>
      <c r="M3352" s="5">
        <v>363104.16</v>
      </c>
      <c r="N3352" s="5">
        <v>0.16980000000000001</v>
      </c>
      <c r="O3352" s="5">
        <v>2</v>
      </c>
      <c r="P3352" s="5">
        <v>24579</v>
      </c>
    </row>
    <row r="3353" spans="1:16" x14ac:dyDescent="0.3">
      <c r="A3353" s="5">
        <v>85</v>
      </c>
      <c r="B3353" s="5" t="s">
        <v>147</v>
      </c>
      <c r="C3353" s="5">
        <v>6</v>
      </c>
      <c r="D3353" s="5" t="s">
        <v>90</v>
      </c>
      <c r="E3353" s="5">
        <v>2021</v>
      </c>
      <c r="F3353" s="5">
        <v>8</v>
      </c>
      <c r="G3353" s="5" t="s">
        <v>29</v>
      </c>
      <c r="H3353" s="5">
        <v>164326</v>
      </c>
      <c r="I3353" s="5">
        <v>129743.46</v>
      </c>
      <c r="J3353" s="5">
        <v>6</v>
      </c>
      <c r="K3353" s="5">
        <v>10120</v>
      </c>
      <c r="L3353" s="5">
        <v>174410</v>
      </c>
      <c r="M3353" s="5">
        <v>34582.54</v>
      </c>
      <c r="N3353" s="5">
        <v>0.21049999999999999</v>
      </c>
      <c r="O3353" s="5">
        <v>1</v>
      </c>
      <c r="P3353" s="5">
        <v>21646</v>
      </c>
    </row>
    <row r="3354" spans="1:16" x14ac:dyDescent="0.3">
      <c r="A3354" s="5">
        <v>112</v>
      </c>
      <c r="B3354" s="5" t="s">
        <v>147</v>
      </c>
      <c r="C3354" s="5">
        <v>6</v>
      </c>
      <c r="D3354" s="5" t="s">
        <v>90</v>
      </c>
      <c r="E3354" s="5">
        <v>2021</v>
      </c>
      <c r="F3354" s="5">
        <v>8</v>
      </c>
      <c r="G3354" s="5" t="s">
        <v>29</v>
      </c>
      <c r="H3354" s="5">
        <v>2226199</v>
      </c>
      <c r="I3354" s="5">
        <v>1819823.68</v>
      </c>
      <c r="J3354" s="5">
        <v>21</v>
      </c>
      <c r="K3354" s="5">
        <v>176850</v>
      </c>
      <c r="L3354" s="5">
        <v>2392510</v>
      </c>
      <c r="M3354" s="5">
        <v>406375.32</v>
      </c>
      <c r="N3354" s="5">
        <v>0.1825</v>
      </c>
      <c r="O3354" s="5">
        <v>1</v>
      </c>
      <c r="P3354" s="5">
        <v>367870</v>
      </c>
    </row>
    <row r="3355" spans="1:16" x14ac:dyDescent="0.3">
      <c r="A3355" s="5">
        <v>119</v>
      </c>
      <c r="B3355" s="5" t="s">
        <v>147</v>
      </c>
      <c r="C3355" s="5">
        <v>6</v>
      </c>
      <c r="D3355" s="5" t="s">
        <v>90</v>
      </c>
      <c r="E3355" s="5">
        <v>2021</v>
      </c>
      <c r="F3355" s="5">
        <v>8</v>
      </c>
      <c r="G3355" s="5" t="s">
        <v>29</v>
      </c>
      <c r="H3355" s="5">
        <v>2073259</v>
      </c>
      <c r="I3355" s="5">
        <v>1746183.18</v>
      </c>
      <c r="J3355" s="5">
        <v>28</v>
      </c>
      <c r="K3355" s="5">
        <v>174155</v>
      </c>
      <c r="L3355" s="5">
        <v>2237330</v>
      </c>
      <c r="M3355" s="5">
        <v>327075.82</v>
      </c>
      <c r="N3355" s="5">
        <v>0.1578</v>
      </c>
      <c r="O3355" s="5">
        <v>1</v>
      </c>
      <c r="P3355" s="5">
        <v>324314</v>
      </c>
    </row>
    <row r="3356" spans="1:16" x14ac:dyDescent="0.3">
      <c r="A3356" s="5">
        <v>15</v>
      </c>
      <c r="B3356" s="5" t="s">
        <v>147</v>
      </c>
      <c r="C3356" s="5">
        <v>6</v>
      </c>
      <c r="D3356" s="5" t="s">
        <v>90</v>
      </c>
      <c r="E3356" s="5">
        <v>2021</v>
      </c>
      <c r="F3356" s="5">
        <v>9</v>
      </c>
      <c r="G3356" s="5" t="s">
        <v>30</v>
      </c>
      <c r="H3356" s="5">
        <v>676014</v>
      </c>
      <c r="I3356" s="5">
        <v>611780.43999999994</v>
      </c>
      <c r="J3356" s="5">
        <v>10</v>
      </c>
      <c r="K3356" s="5">
        <v>157382</v>
      </c>
      <c r="L3356" s="5">
        <v>833230</v>
      </c>
      <c r="M3356" s="5">
        <v>64233.56</v>
      </c>
      <c r="N3356" s="5">
        <v>9.5000000000000001E-2</v>
      </c>
      <c r="O3356" s="5">
        <v>1</v>
      </c>
      <c r="P3356" s="5">
        <v>5602</v>
      </c>
    </row>
    <row r="3357" spans="1:16" x14ac:dyDescent="0.3">
      <c r="A3357" s="5">
        <v>31</v>
      </c>
      <c r="B3357" s="5" t="s">
        <v>147</v>
      </c>
      <c r="C3357" s="5">
        <v>6</v>
      </c>
      <c r="D3357" s="5" t="s">
        <v>90</v>
      </c>
      <c r="E3357" s="5">
        <v>2021</v>
      </c>
      <c r="F3357" s="5">
        <v>9</v>
      </c>
      <c r="G3357" s="5" t="s">
        <v>30</v>
      </c>
      <c r="H3357" s="5">
        <v>1880219</v>
      </c>
      <c r="I3357" s="5">
        <v>1601413.84</v>
      </c>
      <c r="J3357" s="5">
        <v>23</v>
      </c>
      <c r="K3357" s="5">
        <v>179818</v>
      </c>
      <c r="L3357" s="5">
        <v>2052500</v>
      </c>
      <c r="M3357" s="5">
        <v>278805.15999999997</v>
      </c>
      <c r="N3357" s="5">
        <v>0.14829999999999999</v>
      </c>
      <c r="O3357" s="5">
        <v>0</v>
      </c>
      <c r="P3357" s="5">
        <v>0</v>
      </c>
    </row>
    <row r="3358" spans="1:16" x14ac:dyDescent="0.3">
      <c r="A3358" s="5">
        <v>85</v>
      </c>
      <c r="B3358" s="5" t="s">
        <v>147</v>
      </c>
      <c r="C3358" s="5">
        <v>6</v>
      </c>
      <c r="D3358" s="5" t="s">
        <v>90</v>
      </c>
      <c r="E3358" s="5">
        <v>2021</v>
      </c>
      <c r="F3358" s="5">
        <v>9</v>
      </c>
      <c r="G3358" s="5" t="s">
        <v>30</v>
      </c>
      <c r="H3358" s="5">
        <v>338897</v>
      </c>
      <c r="I3358" s="5">
        <v>259684.58</v>
      </c>
      <c r="J3358" s="5">
        <v>3</v>
      </c>
      <c r="K3358" s="5">
        <v>2315</v>
      </c>
      <c r="L3358" s="5">
        <v>339110</v>
      </c>
      <c r="M3358" s="5">
        <v>79212.42</v>
      </c>
      <c r="N3358" s="5">
        <v>0.23369999999999999</v>
      </c>
      <c r="O3358" s="5">
        <v>0</v>
      </c>
      <c r="P3358" s="5">
        <v>0</v>
      </c>
    </row>
    <row r="3359" spans="1:16" x14ac:dyDescent="0.3">
      <c r="A3359" s="5">
        <v>112</v>
      </c>
      <c r="B3359" s="5" t="s">
        <v>147</v>
      </c>
      <c r="C3359" s="5">
        <v>6</v>
      </c>
      <c r="D3359" s="5" t="s">
        <v>90</v>
      </c>
      <c r="E3359" s="5">
        <v>2021</v>
      </c>
      <c r="F3359" s="5">
        <v>9</v>
      </c>
      <c r="G3359" s="5" t="s">
        <v>30</v>
      </c>
      <c r="H3359" s="5">
        <v>230496</v>
      </c>
      <c r="I3359" s="5">
        <v>182429.95</v>
      </c>
      <c r="J3359" s="5">
        <v>7</v>
      </c>
      <c r="K3359" s="5">
        <v>24353</v>
      </c>
      <c r="L3359" s="5">
        <v>253920</v>
      </c>
      <c r="M3359" s="5">
        <v>48066.05</v>
      </c>
      <c r="N3359" s="5">
        <v>0.20849999999999999</v>
      </c>
      <c r="O3359" s="5">
        <v>0</v>
      </c>
      <c r="P3359" s="5">
        <v>0</v>
      </c>
    </row>
    <row r="3360" spans="1:16" x14ac:dyDescent="0.3">
      <c r="A3360" s="5">
        <v>119</v>
      </c>
      <c r="B3360" s="5" t="s">
        <v>147</v>
      </c>
      <c r="C3360" s="5">
        <v>6</v>
      </c>
      <c r="D3360" s="5" t="s">
        <v>90</v>
      </c>
      <c r="E3360" s="5">
        <v>2021</v>
      </c>
      <c r="F3360" s="5">
        <v>9</v>
      </c>
      <c r="G3360" s="5" t="s">
        <v>30</v>
      </c>
      <c r="H3360" s="5">
        <v>1819344</v>
      </c>
      <c r="I3360" s="5">
        <v>1592358.97</v>
      </c>
      <c r="J3360" s="5">
        <v>38</v>
      </c>
      <c r="K3360" s="5">
        <v>236854</v>
      </c>
      <c r="L3360" s="5">
        <v>2051140</v>
      </c>
      <c r="M3360" s="5">
        <v>226985.03</v>
      </c>
      <c r="N3360" s="5">
        <v>0.12479999999999999</v>
      </c>
      <c r="O3360" s="5">
        <v>2</v>
      </c>
      <c r="P3360" s="5">
        <v>19016</v>
      </c>
    </row>
    <row r="3361" spans="1:16" x14ac:dyDescent="0.3">
      <c r="A3361" s="5">
        <v>15</v>
      </c>
      <c r="B3361" s="5" t="s">
        <v>147</v>
      </c>
      <c r="C3361" s="5">
        <v>6</v>
      </c>
      <c r="D3361" s="5" t="s">
        <v>90</v>
      </c>
      <c r="E3361" s="5">
        <v>2021</v>
      </c>
      <c r="F3361" s="5">
        <v>10</v>
      </c>
      <c r="G3361" s="5" t="s">
        <v>31</v>
      </c>
      <c r="H3361" s="5">
        <v>1924679</v>
      </c>
      <c r="I3361" s="5">
        <v>1609650.98</v>
      </c>
      <c r="J3361" s="5">
        <v>26</v>
      </c>
      <c r="K3361" s="5">
        <v>187526</v>
      </c>
      <c r="L3361" s="5">
        <v>2112000</v>
      </c>
      <c r="M3361" s="5">
        <v>315028.02</v>
      </c>
      <c r="N3361" s="5">
        <v>0.16370000000000001</v>
      </c>
      <c r="O3361" s="5">
        <v>0</v>
      </c>
      <c r="P3361" s="5">
        <v>0</v>
      </c>
    </row>
    <row r="3362" spans="1:16" x14ac:dyDescent="0.3">
      <c r="A3362" s="5">
        <v>31</v>
      </c>
      <c r="B3362" s="5" t="s">
        <v>147</v>
      </c>
      <c r="C3362" s="5">
        <v>6</v>
      </c>
      <c r="D3362" s="5" t="s">
        <v>90</v>
      </c>
      <c r="E3362" s="5">
        <v>2021</v>
      </c>
      <c r="F3362" s="5">
        <v>10</v>
      </c>
      <c r="G3362" s="5" t="s">
        <v>31</v>
      </c>
      <c r="H3362" s="5">
        <v>3374721</v>
      </c>
      <c r="I3362" s="5">
        <v>2802372.68</v>
      </c>
      <c r="J3362" s="5">
        <v>37</v>
      </c>
      <c r="K3362" s="5">
        <v>190254</v>
      </c>
      <c r="L3362" s="5">
        <v>3548790</v>
      </c>
      <c r="M3362" s="5">
        <v>572348.31999999995</v>
      </c>
      <c r="N3362" s="5">
        <v>0.1696</v>
      </c>
      <c r="O3362" s="5">
        <v>3</v>
      </c>
      <c r="P3362" s="5">
        <v>80163</v>
      </c>
    </row>
    <row r="3363" spans="1:16" x14ac:dyDescent="0.3">
      <c r="A3363" s="5">
        <v>85</v>
      </c>
      <c r="B3363" s="5" t="s">
        <v>147</v>
      </c>
      <c r="C3363" s="5">
        <v>6</v>
      </c>
      <c r="D3363" s="5" t="s">
        <v>90</v>
      </c>
      <c r="E3363" s="5">
        <v>2021</v>
      </c>
      <c r="F3363" s="5">
        <v>10</v>
      </c>
      <c r="G3363" s="5" t="s">
        <v>31</v>
      </c>
      <c r="H3363" s="5">
        <v>1077917</v>
      </c>
      <c r="I3363" s="5">
        <v>859031.07</v>
      </c>
      <c r="J3363" s="5">
        <v>6</v>
      </c>
      <c r="K3363" s="5">
        <v>47033</v>
      </c>
      <c r="L3363" s="5">
        <v>1115270</v>
      </c>
      <c r="M3363" s="5">
        <v>218885.93</v>
      </c>
      <c r="N3363" s="5">
        <v>0.2031</v>
      </c>
      <c r="O3363" s="5">
        <v>1</v>
      </c>
      <c r="P3363" s="5">
        <v>2045</v>
      </c>
    </row>
    <row r="3364" spans="1:16" x14ac:dyDescent="0.3">
      <c r="A3364" s="5">
        <v>112</v>
      </c>
      <c r="B3364" s="5" t="s">
        <v>147</v>
      </c>
      <c r="C3364" s="5">
        <v>6</v>
      </c>
      <c r="D3364" s="5" t="s">
        <v>90</v>
      </c>
      <c r="E3364" s="5">
        <v>2021</v>
      </c>
      <c r="F3364" s="5">
        <v>10</v>
      </c>
      <c r="G3364" s="5" t="s">
        <v>31</v>
      </c>
      <c r="H3364" s="5">
        <v>1379772</v>
      </c>
      <c r="I3364" s="5">
        <v>1187512.23</v>
      </c>
      <c r="J3364" s="5">
        <v>18</v>
      </c>
      <c r="K3364" s="5">
        <v>146079</v>
      </c>
      <c r="L3364" s="5">
        <v>1522410</v>
      </c>
      <c r="M3364" s="5">
        <v>192259.77</v>
      </c>
      <c r="N3364" s="5">
        <v>0.13930000000000001</v>
      </c>
      <c r="O3364" s="5">
        <v>2</v>
      </c>
      <c r="P3364" s="5">
        <v>10216</v>
      </c>
    </row>
    <row r="3365" spans="1:16" x14ac:dyDescent="0.3">
      <c r="A3365" s="5">
        <v>119</v>
      </c>
      <c r="B3365" s="5" t="s">
        <v>147</v>
      </c>
      <c r="C3365" s="5">
        <v>6</v>
      </c>
      <c r="D3365" s="5" t="s">
        <v>90</v>
      </c>
      <c r="E3365" s="5">
        <v>2021</v>
      </c>
      <c r="F3365" s="5">
        <v>10</v>
      </c>
      <c r="G3365" s="5" t="s">
        <v>31</v>
      </c>
      <c r="H3365" s="5">
        <v>1837803</v>
      </c>
      <c r="I3365" s="5">
        <v>1544879.22</v>
      </c>
      <c r="J3365" s="5">
        <v>37</v>
      </c>
      <c r="K3365" s="5">
        <v>165487</v>
      </c>
      <c r="L3365" s="5">
        <v>1999660</v>
      </c>
      <c r="M3365" s="5">
        <v>292923.78000000003</v>
      </c>
      <c r="N3365" s="5">
        <v>0.15939999999999999</v>
      </c>
      <c r="O3365" s="5">
        <v>4</v>
      </c>
      <c r="P3365" s="5">
        <v>90181</v>
      </c>
    </row>
    <row r="3366" spans="1:16" x14ac:dyDescent="0.3">
      <c r="A3366" s="5">
        <v>15</v>
      </c>
      <c r="B3366" s="5" t="s">
        <v>147</v>
      </c>
      <c r="C3366" s="5">
        <v>6</v>
      </c>
      <c r="D3366" s="5" t="s">
        <v>90</v>
      </c>
      <c r="E3366" s="5">
        <v>2021</v>
      </c>
      <c r="F3366" s="5">
        <v>11</v>
      </c>
      <c r="G3366" s="5" t="s">
        <v>32</v>
      </c>
      <c r="H3366" s="5">
        <v>725838</v>
      </c>
      <c r="I3366" s="5">
        <v>617534.96</v>
      </c>
      <c r="J3366" s="5">
        <v>10</v>
      </c>
      <c r="K3366" s="5">
        <v>47581</v>
      </c>
      <c r="L3366" s="5">
        <v>773100</v>
      </c>
      <c r="M3366" s="5">
        <v>108303.03999999999</v>
      </c>
      <c r="N3366" s="5">
        <v>0.1492</v>
      </c>
      <c r="O3366" s="5">
        <v>0</v>
      </c>
      <c r="P3366" s="5">
        <v>0</v>
      </c>
    </row>
    <row r="3367" spans="1:16" x14ac:dyDescent="0.3">
      <c r="A3367" s="5">
        <v>31</v>
      </c>
      <c r="B3367" s="5" t="s">
        <v>147</v>
      </c>
      <c r="C3367" s="5">
        <v>6</v>
      </c>
      <c r="D3367" s="5" t="s">
        <v>90</v>
      </c>
      <c r="E3367" s="5">
        <v>2021</v>
      </c>
      <c r="F3367" s="5">
        <v>11</v>
      </c>
      <c r="G3367" s="5" t="s">
        <v>32</v>
      </c>
      <c r="H3367" s="5">
        <v>3243732</v>
      </c>
      <c r="I3367" s="5">
        <v>2613755.81</v>
      </c>
      <c r="J3367" s="5">
        <v>37</v>
      </c>
      <c r="K3367" s="5">
        <v>165331</v>
      </c>
      <c r="L3367" s="5">
        <v>3404230</v>
      </c>
      <c r="M3367" s="5">
        <v>629976.18999999994</v>
      </c>
      <c r="N3367" s="5">
        <v>0.19420000000000001</v>
      </c>
      <c r="O3367" s="5">
        <v>7</v>
      </c>
      <c r="P3367" s="5">
        <v>323533</v>
      </c>
    </row>
    <row r="3368" spans="1:16" x14ac:dyDescent="0.3">
      <c r="A3368" s="5">
        <v>85</v>
      </c>
      <c r="B3368" s="5" t="s">
        <v>147</v>
      </c>
      <c r="C3368" s="5">
        <v>6</v>
      </c>
      <c r="D3368" s="5" t="s">
        <v>90</v>
      </c>
      <c r="E3368" s="5">
        <v>2021</v>
      </c>
      <c r="F3368" s="5">
        <v>11</v>
      </c>
      <c r="G3368" s="5" t="s">
        <v>32</v>
      </c>
      <c r="H3368" s="5">
        <v>311078</v>
      </c>
      <c r="I3368" s="5">
        <v>239365.8</v>
      </c>
      <c r="J3368" s="5">
        <v>6</v>
      </c>
      <c r="K3368" s="5">
        <v>6986</v>
      </c>
      <c r="L3368" s="5">
        <v>316130</v>
      </c>
      <c r="M3368" s="5">
        <v>71712.2</v>
      </c>
      <c r="N3368" s="5">
        <v>0.23050000000000001</v>
      </c>
      <c r="O3368" s="5">
        <v>0</v>
      </c>
      <c r="P3368" s="5">
        <v>0</v>
      </c>
    </row>
    <row r="3369" spans="1:16" x14ac:dyDescent="0.3">
      <c r="A3369" s="5">
        <v>112</v>
      </c>
      <c r="B3369" s="5" t="s">
        <v>147</v>
      </c>
      <c r="C3369" s="5">
        <v>6</v>
      </c>
      <c r="D3369" s="5" t="s">
        <v>90</v>
      </c>
      <c r="E3369" s="5">
        <v>2021</v>
      </c>
      <c r="F3369" s="5">
        <v>11</v>
      </c>
      <c r="G3369" s="5" t="s">
        <v>32</v>
      </c>
      <c r="H3369" s="5">
        <v>1032254</v>
      </c>
      <c r="I3369" s="5">
        <v>824745.82</v>
      </c>
      <c r="J3369" s="5">
        <v>15</v>
      </c>
      <c r="K3369" s="5">
        <v>49794</v>
      </c>
      <c r="L3369" s="5">
        <v>1081150</v>
      </c>
      <c r="M3369" s="5">
        <v>207508.18</v>
      </c>
      <c r="N3369" s="5">
        <v>0.20100000000000001</v>
      </c>
      <c r="O3369" s="5">
        <v>0</v>
      </c>
      <c r="P3369" s="5">
        <v>0</v>
      </c>
    </row>
    <row r="3370" spans="1:16" x14ac:dyDescent="0.3">
      <c r="A3370" s="5">
        <v>119</v>
      </c>
      <c r="B3370" s="5" t="s">
        <v>147</v>
      </c>
      <c r="C3370" s="5">
        <v>6</v>
      </c>
      <c r="D3370" s="5" t="s">
        <v>90</v>
      </c>
      <c r="E3370" s="5">
        <v>2021</v>
      </c>
      <c r="F3370" s="5">
        <v>11</v>
      </c>
      <c r="G3370" s="5" t="s">
        <v>32</v>
      </c>
      <c r="H3370" s="5">
        <v>3916697</v>
      </c>
      <c r="I3370" s="5">
        <v>3183310.96</v>
      </c>
      <c r="J3370" s="5">
        <v>55</v>
      </c>
      <c r="K3370" s="5">
        <v>217969</v>
      </c>
      <c r="L3370" s="5">
        <v>4122390</v>
      </c>
      <c r="M3370" s="5">
        <v>733386.04</v>
      </c>
      <c r="N3370" s="5">
        <v>0.18720000000000001</v>
      </c>
      <c r="O3370" s="5">
        <v>4</v>
      </c>
      <c r="P3370" s="5">
        <v>54774</v>
      </c>
    </row>
    <row r="3371" spans="1:16" x14ac:dyDescent="0.3">
      <c r="A3371" s="5">
        <v>15</v>
      </c>
      <c r="B3371" s="5" t="s">
        <v>147</v>
      </c>
      <c r="C3371" s="5">
        <v>6</v>
      </c>
      <c r="D3371" s="5" t="s">
        <v>90</v>
      </c>
      <c r="E3371" s="5">
        <v>2021</v>
      </c>
      <c r="F3371" s="5">
        <v>12</v>
      </c>
      <c r="G3371" s="5" t="s">
        <v>33</v>
      </c>
      <c r="H3371" s="5">
        <v>1064743</v>
      </c>
      <c r="I3371" s="5">
        <v>899121.99</v>
      </c>
      <c r="J3371" s="5">
        <v>17</v>
      </c>
      <c r="K3371" s="5">
        <v>105336</v>
      </c>
      <c r="L3371" s="5">
        <v>1168090</v>
      </c>
      <c r="M3371" s="5">
        <v>165621.01</v>
      </c>
      <c r="N3371" s="5">
        <v>0.15559999999999999</v>
      </c>
      <c r="O3371" s="5">
        <v>1</v>
      </c>
      <c r="P3371" s="5">
        <v>14654</v>
      </c>
    </row>
    <row r="3372" spans="1:16" x14ac:dyDescent="0.3">
      <c r="A3372" s="5">
        <v>31</v>
      </c>
      <c r="B3372" s="5" t="s">
        <v>147</v>
      </c>
      <c r="C3372" s="5">
        <v>6</v>
      </c>
      <c r="D3372" s="5" t="s">
        <v>90</v>
      </c>
      <c r="E3372" s="5">
        <v>2021</v>
      </c>
      <c r="F3372" s="5">
        <v>12</v>
      </c>
      <c r="G3372" s="5" t="s">
        <v>33</v>
      </c>
      <c r="H3372" s="5">
        <v>2283085</v>
      </c>
      <c r="I3372" s="5">
        <v>1920860.22</v>
      </c>
      <c r="J3372" s="5">
        <v>27</v>
      </c>
      <c r="K3372" s="5">
        <v>125489</v>
      </c>
      <c r="L3372" s="5">
        <v>2401100</v>
      </c>
      <c r="M3372" s="5">
        <v>362224.78</v>
      </c>
      <c r="N3372" s="5">
        <v>0.15870000000000001</v>
      </c>
      <c r="O3372" s="5">
        <v>2</v>
      </c>
      <c r="P3372" s="5">
        <v>118185</v>
      </c>
    </row>
    <row r="3373" spans="1:16" x14ac:dyDescent="0.3">
      <c r="A3373" s="5">
        <v>85</v>
      </c>
      <c r="B3373" s="5" t="s">
        <v>147</v>
      </c>
      <c r="C3373" s="5">
        <v>6</v>
      </c>
      <c r="D3373" s="5" t="s">
        <v>90</v>
      </c>
      <c r="E3373" s="5">
        <v>2021</v>
      </c>
      <c r="F3373" s="5">
        <v>12</v>
      </c>
      <c r="G3373" s="5" t="s">
        <v>33</v>
      </c>
      <c r="H3373" s="5">
        <v>1526845</v>
      </c>
      <c r="I3373" s="5">
        <v>1231794.77</v>
      </c>
      <c r="J3373" s="5">
        <v>14</v>
      </c>
      <c r="K3373" s="5">
        <v>114159</v>
      </c>
      <c r="L3373" s="5">
        <v>1635600</v>
      </c>
      <c r="M3373" s="5">
        <v>295050.23</v>
      </c>
      <c r="N3373" s="5">
        <v>0.19320000000000001</v>
      </c>
      <c r="O3373" s="5">
        <v>1</v>
      </c>
      <c r="P3373" s="5">
        <v>41565</v>
      </c>
    </row>
    <row r="3374" spans="1:16" x14ac:dyDescent="0.3">
      <c r="A3374" s="5">
        <v>112</v>
      </c>
      <c r="B3374" s="5" t="s">
        <v>147</v>
      </c>
      <c r="C3374" s="5">
        <v>6</v>
      </c>
      <c r="D3374" s="5" t="s">
        <v>90</v>
      </c>
      <c r="E3374" s="5">
        <v>2021</v>
      </c>
      <c r="F3374" s="5">
        <v>12</v>
      </c>
      <c r="G3374" s="5" t="s">
        <v>33</v>
      </c>
      <c r="H3374" s="5">
        <v>1801494</v>
      </c>
      <c r="I3374" s="5">
        <v>1557210.92</v>
      </c>
      <c r="J3374" s="5">
        <v>20</v>
      </c>
      <c r="K3374" s="5">
        <v>90904</v>
      </c>
      <c r="L3374" s="5">
        <v>1889910</v>
      </c>
      <c r="M3374" s="5">
        <v>244283.08</v>
      </c>
      <c r="N3374" s="5">
        <v>0.1356</v>
      </c>
      <c r="O3374" s="5">
        <v>1</v>
      </c>
      <c r="P3374" s="5">
        <v>72159</v>
      </c>
    </row>
    <row r="3375" spans="1:16" x14ac:dyDescent="0.3">
      <c r="A3375" s="5">
        <v>119</v>
      </c>
      <c r="B3375" s="5" t="s">
        <v>147</v>
      </c>
      <c r="C3375" s="5">
        <v>6</v>
      </c>
      <c r="D3375" s="5" t="s">
        <v>90</v>
      </c>
      <c r="E3375" s="5">
        <v>2021</v>
      </c>
      <c r="F3375" s="5">
        <v>12</v>
      </c>
      <c r="G3375" s="5" t="s">
        <v>33</v>
      </c>
      <c r="H3375" s="5">
        <v>4099587</v>
      </c>
      <c r="I3375" s="5">
        <v>3245449.7</v>
      </c>
      <c r="J3375" s="5">
        <v>57</v>
      </c>
      <c r="K3375" s="5">
        <v>156945</v>
      </c>
      <c r="L3375" s="5">
        <v>4245180</v>
      </c>
      <c r="M3375" s="5">
        <v>854137.3</v>
      </c>
      <c r="N3375" s="5">
        <v>0.20830000000000001</v>
      </c>
      <c r="O3375" s="5">
        <v>4</v>
      </c>
      <c r="P3375" s="5">
        <v>61366</v>
      </c>
    </row>
    <row r="3376" spans="1:16" x14ac:dyDescent="0.3">
      <c r="A3376" s="5">
        <v>15</v>
      </c>
      <c r="B3376" s="5" t="s">
        <v>147</v>
      </c>
      <c r="C3376" s="5">
        <v>6</v>
      </c>
      <c r="D3376" s="5" t="s">
        <v>90</v>
      </c>
      <c r="E3376" s="5">
        <v>2022</v>
      </c>
      <c r="F3376" s="5">
        <v>1</v>
      </c>
      <c r="G3376" s="5" t="s">
        <v>34</v>
      </c>
      <c r="H3376" s="5">
        <v>1407528</v>
      </c>
      <c r="I3376" s="5">
        <v>1136493.78</v>
      </c>
      <c r="J3376" s="5">
        <v>22</v>
      </c>
      <c r="K3376" s="5">
        <v>56321</v>
      </c>
      <c r="L3376" s="5">
        <v>1456230</v>
      </c>
      <c r="M3376" s="5">
        <v>271034.21999999997</v>
      </c>
      <c r="N3376" s="5">
        <v>0.19259999999999999</v>
      </c>
      <c r="O3376" s="5">
        <v>3</v>
      </c>
      <c r="P3376" s="5">
        <v>130049</v>
      </c>
    </row>
    <row r="3377" spans="1:16" x14ac:dyDescent="0.3">
      <c r="A3377" s="5">
        <v>31</v>
      </c>
      <c r="B3377" s="5" t="s">
        <v>147</v>
      </c>
      <c r="C3377" s="5">
        <v>6</v>
      </c>
      <c r="D3377" s="5" t="s">
        <v>90</v>
      </c>
      <c r="E3377" s="5">
        <v>2022</v>
      </c>
      <c r="F3377" s="5">
        <v>1</v>
      </c>
      <c r="G3377" s="5" t="s">
        <v>34</v>
      </c>
      <c r="H3377" s="5">
        <v>1309347</v>
      </c>
      <c r="I3377" s="5">
        <v>1051500.6200000001</v>
      </c>
      <c r="J3377" s="5">
        <v>20</v>
      </c>
      <c r="K3377" s="5">
        <v>80172</v>
      </c>
      <c r="L3377" s="5">
        <v>1381880</v>
      </c>
      <c r="M3377" s="5">
        <v>257846.38</v>
      </c>
      <c r="N3377" s="5">
        <v>0.19689999999999999</v>
      </c>
      <c r="O3377" s="5">
        <v>2</v>
      </c>
      <c r="P3377" s="5">
        <v>95106</v>
      </c>
    </row>
    <row r="3378" spans="1:16" x14ac:dyDescent="0.3">
      <c r="A3378" s="5">
        <v>85</v>
      </c>
      <c r="B3378" s="5" t="s">
        <v>147</v>
      </c>
      <c r="C3378" s="5">
        <v>6</v>
      </c>
      <c r="D3378" s="5" t="s">
        <v>90</v>
      </c>
      <c r="E3378" s="5">
        <v>2022</v>
      </c>
      <c r="F3378" s="5">
        <v>1</v>
      </c>
      <c r="G3378" s="5" t="s">
        <v>34</v>
      </c>
      <c r="H3378" s="5">
        <v>616969</v>
      </c>
      <c r="I3378" s="5">
        <v>480417.65</v>
      </c>
      <c r="J3378" s="5">
        <v>13</v>
      </c>
      <c r="K3378" s="5">
        <v>41581</v>
      </c>
      <c r="L3378" s="5">
        <v>656990</v>
      </c>
      <c r="M3378" s="5">
        <v>136551.35</v>
      </c>
      <c r="N3378" s="5">
        <v>0.2213</v>
      </c>
      <c r="O3378" s="5">
        <v>0</v>
      </c>
      <c r="P3378" s="5">
        <v>0</v>
      </c>
    </row>
    <row r="3379" spans="1:16" x14ac:dyDescent="0.3">
      <c r="A3379" s="5">
        <v>112</v>
      </c>
      <c r="B3379" s="5" t="s">
        <v>147</v>
      </c>
      <c r="C3379" s="5">
        <v>6</v>
      </c>
      <c r="D3379" s="5" t="s">
        <v>90</v>
      </c>
      <c r="E3379" s="5">
        <v>2022</v>
      </c>
      <c r="F3379" s="5">
        <v>1</v>
      </c>
      <c r="G3379" s="5" t="s">
        <v>34</v>
      </c>
      <c r="H3379" s="5">
        <v>592355</v>
      </c>
      <c r="I3379" s="5">
        <v>490701.4</v>
      </c>
      <c r="J3379" s="5">
        <v>12</v>
      </c>
      <c r="K3379" s="5">
        <v>53303</v>
      </c>
      <c r="L3379" s="5">
        <v>644480</v>
      </c>
      <c r="M3379" s="5">
        <v>101653.6</v>
      </c>
      <c r="N3379" s="5">
        <v>0.1716</v>
      </c>
      <c r="O3379" s="5">
        <v>2</v>
      </c>
      <c r="P3379" s="5">
        <v>38211</v>
      </c>
    </row>
    <row r="3380" spans="1:16" x14ac:dyDescent="0.3">
      <c r="A3380" s="5">
        <v>119</v>
      </c>
      <c r="B3380" s="5" t="s">
        <v>147</v>
      </c>
      <c r="C3380" s="5">
        <v>6</v>
      </c>
      <c r="D3380" s="5" t="s">
        <v>90</v>
      </c>
      <c r="E3380" s="5">
        <v>2022</v>
      </c>
      <c r="F3380" s="5">
        <v>1</v>
      </c>
      <c r="G3380" s="5" t="s">
        <v>34</v>
      </c>
      <c r="H3380" s="5">
        <v>4730105</v>
      </c>
      <c r="I3380" s="5">
        <v>3903417.48</v>
      </c>
      <c r="J3380" s="5">
        <v>61</v>
      </c>
      <c r="K3380" s="5">
        <v>219058</v>
      </c>
      <c r="L3380" s="5">
        <v>4935230</v>
      </c>
      <c r="M3380" s="5">
        <v>826687.52</v>
      </c>
      <c r="N3380" s="5">
        <v>0.17480000000000001</v>
      </c>
      <c r="O3380" s="5">
        <v>2</v>
      </c>
      <c r="P3380" s="5">
        <v>25061</v>
      </c>
    </row>
    <row r="3381" spans="1:16" x14ac:dyDescent="0.3">
      <c r="A3381" s="5">
        <v>15</v>
      </c>
      <c r="B3381" s="5" t="s">
        <v>147</v>
      </c>
      <c r="C3381" s="5">
        <v>6</v>
      </c>
      <c r="D3381" s="5" t="s">
        <v>90</v>
      </c>
      <c r="E3381" s="5">
        <v>2022</v>
      </c>
      <c r="F3381" s="5">
        <v>2</v>
      </c>
      <c r="G3381" s="5" t="s">
        <v>35</v>
      </c>
      <c r="H3381" s="5">
        <v>676669</v>
      </c>
      <c r="I3381" s="5">
        <v>560371.52</v>
      </c>
      <c r="J3381" s="5">
        <v>11</v>
      </c>
      <c r="K3381" s="5">
        <v>63472</v>
      </c>
      <c r="L3381" s="5">
        <v>739050</v>
      </c>
      <c r="M3381" s="5">
        <v>116297.48</v>
      </c>
      <c r="N3381" s="5">
        <v>0.1719</v>
      </c>
      <c r="O3381" s="5">
        <v>0</v>
      </c>
      <c r="P3381" s="5">
        <v>0</v>
      </c>
    </row>
    <row r="3382" spans="1:16" x14ac:dyDescent="0.3">
      <c r="A3382" s="5">
        <v>31</v>
      </c>
      <c r="B3382" s="5" t="s">
        <v>147</v>
      </c>
      <c r="C3382" s="5">
        <v>6</v>
      </c>
      <c r="D3382" s="5" t="s">
        <v>90</v>
      </c>
      <c r="E3382" s="5">
        <v>2022</v>
      </c>
      <c r="F3382" s="5">
        <v>2</v>
      </c>
      <c r="G3382" s="5" t="s">
        <v>35</v>
      </c>
      <c r="H3382" s="5">
        <v>1672080</v>
      </c>
      <c r="I3382" s="5">
        <v>1358522.57</v>
      </c>
      <c r="J3382" s="5">
        <v>27</v>
      </c>
      <c r="K3382" s="5">
        <v>112473</v>
      </c>
      <c r="L3382" s="5">
        <v>1778680</v>
      </c>
      <c r="M3382" s="5">
        <v>313557.43</v>
      </c>
      <c r="N3382" s="5">
        <v>0.1875</v>
      </c>
      <c r="O3382" s="5">
        <v>1</v>
      </c>
      <c r="P3382" s="5">
        <v>21515</v>
      </c>
    </row>
    <row r="3383" spans="1:16" x14ac:dyDescent="0.3">
      <c r="A3383" s="5">
        <v>85</v>
      </c>
      <c r="B3383" s="5" t="s">
        <v>147</v>
      </c>
      <c r="C3383" s="5">
        <v>6</v>
      </c>
      <c r="D3383" s="5" t="s">
        <v>90</v>
      </c>
      <c r="E3383" s="5">
        <v>2022</v>
      </c>
      <c r="F3383" s="5">
        <v>2</v>
      </c>
      <c r="G3383" s="5" t="s">
        <v>35</v>
      </c>
      <c r="H3383" s="5">
        <v>367385</v>
      </c>
      <c r="I3383" s="5">
        <v>265168.88</v>
      </c>
      <c r="J3383" s="5">
        <v>5</v>
      </c>
      <c r="K3383" s="5">
        <v>7184</v>
      </c>
      <c r="L3383" s="5">
        <v>370640</v>
      </c>
      <c r="M3383" s="5">
        <v>102216.12</v>
      </c>
      <c r="N3383" s="5">
        <v>0.2782</v>
      </c>
      <c r="O3383" s="5">
        <v>1</v>
      </c>
      <c r="P3383" s="5">
        <v>122106</v>
      </c>
    </row>
    <row r="3384" spans="1:16" x14ac:dyDescent="0.3">
      <c r="A3384" s="5">
        <v>112</v>
      </c>
      <c r="B3384" s="5" t="s">
        <v>147</v>
      </c>
      <c r="C3384" s="5">
        <v>6</v>
      </c>
      <c r="D3384" s="5" t="s">
        <v>90</v>
      </c>
      <c r="E3384" s="5">
        <v>2022</v>
      </c>
      <c r="F3384" s="5">
        <v>2</v>
      </c>
      <c r="G3384" s="5" t="s">
        <v>35</v>
      </c>
      <c r="H3384" s="5">
        <v>922598</v>
      </c>
      <c r="I3384" s="5">
        <v>765898.94</v>
      </c>
      <c r="J3384" s="5">
        <v>12</v>
      </c>
      <c r="K3384" s="5">
        <v>40752</v>
      </c>
      <c r="L3384" s="5">
        <v>958770</v>
      </c>
      <c r="M3384" s="5">
        <v>156699.06</v>
      </c>
      <c r="N3384" s="5">
        <v>0.16980000000000001</v>
      </c>
      <c r="O3384" s="5">
        <v>2</v>
      </c>
      <c r="P3384" s="5">
        <v>202942</v>
      </c>
    </row>
    <row r="3385" spans="1:16" x14ac:dyDescent="0.3">
      <c r="A3385" s="5">
        <v>119</v>
      </c>
      <c r="B3385" s="5" t="s">
        <v>147</v>
      </c>
      <c r="C3385" s="5">
        <v>6</v>
      </c>
      <c r="D3385" s="5" t="s">
        <v>90</v>
      </c>
      <c r="E3385" s="5">
        <v>2022</v>
      </c>
      <c r="F3385" s="5">
        <v>2</v>
      </c>
      <c r="G3385" s="5" t="s">
        <v>35</v>
      </c>
      <c r="H3385" s="5">
        <v>3586816</v>
      </c>
      <c r="I3385" s="5">
        <v>3021516.21</v>
      </c>
      <c r="J3385" s="5">
        <v>49</v>
      </c>
      <c r="K3385" s="5">
        <v>349039</v>
      </c>
      <c r="L3385" s="5">
        <v>3923480</v>
      </c>
      <c r="M3385" s="5">
        <v>565299.79</v>
      </c>
      <c r="N3385" s="5">
        <v>0.15759999999999999</v>
      </c>
      <c r="O3385" s="5">
        <v>5</v>
      </c>
      <c r="P3385" s="5">
        <v>137292</v>
      </c>
    </row>
    <row r="3386" spans="1:16" x14ac:dyDescent="0.3">
      <c r="A3386" s="5">
        <v>15</v>
      </c>
      <c r="B3386" s="5" t="s">
        <v>147</v>
      </c>
      <c r="C3386" s="5">
        <v>6</v>
      </c>
      <c r="D3386" s="5" t="s">
        <v>90</v>
      </c>
      <c r="E3386" s="5">
        <v>2022</v>
      </c>
      <c r="F3386" s="5">
        <v>3</v>
      </c>
      <c r="G3386" s="5" t="s">
        <v>36</v>
      </c>
      <c r="H3386" s="5">
        <v>1321481</v>
      </c>
      <c r="I3386" s="5">
        <v>1066220.18</v>
      </c>
      <c r="J3386" s="5">
        <v>16</v>
      </c>
      <c r="K3386" s="5">
        <v>49491</v>
      </c>
      <c r="L3386" s="5">
        <v>1367020</v>
      </c>
      <c r="M3386" s="5">
        <v>255260.82</v>
      </c>
      <c r="N3386" s="5">
        <v>0.19320000000000001</v>
      </c>
      <c r="O3386" s="5">
        <v>2</v>
      </c>
      <c r="P3386" s="5">
        <v>66468</v>
      </c>
    </row>
    <row r="3387" spans="1:16" x14ac:dyDescent="0.3">
      <c r="A3387" s="5">
        <v>31</v>
      </c>
      <c r="B3387" s="5" t="s">
        <v>147</v>
      </c>
      <c r="C3387" s="5">
        <v>6</v>
      </c>
      <c r="D3387" s="5" t="s">
        <v>90</v>
      </c>
      <c r="E3387" s="5">
        <v>2022</v>
      </c>
      <c r="F3387" s="5">
        <v>3</v>
      </c>
      <c r="G3387" s="5" t="s">
        <v>36</v>
      </c>
      <c r="H3387" s="5">
        <v>1792779</v>
      </c>
      <c r="I3387" s="5">
        <v>1480028.95</v>
      </c>
      <c r="J3387" s="5">
        <v>34</v>
      </c>
      <c r="K3387" s="5">
        <v>166172</v>
      </c>
      <c r="L3387" s="5">
        <v>1951300</v>
      </c>
      <c r="M3387" s="5">
        <v>312750.05</v>
      </c>
      <c r="N3387" s="5">
        <v>0.1744</v>
      </c>
      <c r="O3387" s="5">
        <v>0</v>
      </c>
      <c r="P3387" s="5">
        <v>0</v>
      </c>
    </row>
    <row r="3388" spans="1:16" x14ac:dyDescent="0.3">
      <c r="A3388" s="5">
        <v>85</v>
      </c>
      <c r="B3388" s="5" t="s">
        <v>147</v>
      </c>
      <c r="C3388" s="5">
        <v>6</v>
      </c>
      <c r="D3388" s="5" t="s">
        <v>90</v>
      </c>
      <c r="E3388" s="5">
        <v>2022</v>
      </c>
      <c r="F3388" s="5">
        <v>3</v>
      </c>
      <c r="G3388" s="5" t="s">
        <v>36</v>
      </c>
      <c r="H3388" s="5">
        <v>560265</v>
      </c>
      <c r="I3388" s="5">
        <v>449447.91</v>
      </c>
      <c r="J3388" s="5">
        <v>10</v>
      </c>
      <c r="K3388" s="5">
        <v>28004</v>
      </c>
      <c r="L3388" s="5">
        <v>586310</v>
      </c>
      <c r="M3388" s="5">
        <v>110817.09</v>
      </c>
      <c r="N3388" s="5">
        <v>0.1978</v>
      </c>
      <c r="O3388" s="5">
        <v>0</v>
      </c>
      <c r="P3388" s="5">
        <v>0</v>
      </c>
    </row>
    <row r="3389" spans="1:16" x14ac:dyDescent="0.3">
      <c r="A3389" s="5">
        <v>112</v>
      </c>
      <c r="B3389" s="5" t="s">
        <v>147</v>
      </c>
      <c r="C3389" s="5">
        <v>6</v>
      </c>
      <c r="D3389" s="5" t="s">
        <v>90</v>
      </c>
      <c r="E3389" s="5">
        <v>2022</v>
      </c>
      <c r="F3389" s="5">
        <v>3</v>
      </c>
      <c r="G3389" s="5" t="s">
        <v>36</v>
      </c>
      <c r="H3389" s="5">
        <v>1547017</v>
      </c>
      <c r="I3389" s="5">
        <v>1367477.23</v>
      </c>
      <c r="J3389" s="5">
        <v>26</v>
      </c>
      <c r="K3389" s="5">
        <v>221361</v>
      </c>
      <c r="L3389" s="5">
        <v>1765320</v>
      </c>
      <c r="M3389" s="5">
        <v>179539.77</v>
      </c>
      <c r="N3389" s="5">
        <v>0.11609999999999999</v>
      </c>
      <c r="O3389" s="5">
        <v>1</v>
      </c>
      <c r="P3389" s="5">
        <v>7231</v>
      </c>
    </row>
    <row r="3390" spans="1:16" x14ac:dyDescent="0.3">
      <c r="A3390" s="5">
        <v>119</v>
      </c>
      <c r="B3390" s="5" t="s">
        <v>147</v>
      </c>
      <c r="C3390" s="5">
        <v>6</v>
      </c>
      <c r="D3390" s="5" t="s">
        <v>90</v>
      </c>
      <c r="E3390" s="5">
        <v>2022</v>
      </c>
      <c r="F3390" s="5">
        <v>3</v>
      </c>
      <c r="G3390" s="5" t="s">
        <v>36</v>
      </c>
      <c r="H3390" s="5">
        <v>4372823</v>
      </c>
      <c r="I3390" s="5">
        <v>3805342.64</v>
      </c>
      <c r="J3390" s="5">
        <v>53</v>
      </c>
      <c r="K3390" s="5">
        <v>512286</v>
      </c>
      <c r="L3390" s="5">
        <v>4870920</v>
      </c>
      <c r="M3390" s="5">
        <v>567480.36</v>
      </c>
      <c r="N3390" s="5">
        <v>0.1298</v>
      </c>
      <c r="O3390" s="5">
        <v>4</v>
      </c>
      <c r="P3390" s="5">
        <v>22540</v>
      </c>
    </row>
    <row r="3391" spans="1:16" x14ac:dyDescent="0.3">
      <c r="A3391" s="5">
        <v>15</v>
      </c>
      <c r="B3391" s="5" t="s">
        <v>147</v>
      </c>
      <c r="C3391" s="5">
        <v>6</v>
      </c>
      <c r="D3391" s="5" t="s">
        <v>90</v>
      </c>
      <c r="E3391" s="5">
        <v>2022</v>
      </c>
      <c r="F3391" s="5">
        <v>4</v>
      </c>
      <c r="G3391" s="5" t="s">
        <v>37</v>
      </c>
      <c r="H3391" s="5">
        <v>1089175</v>
      </c>
      <c r="I3391" s="5">
        <v>912390.85</v>
      </c>
      <c r="J3391" s="5">
        <v>15</v>
      </c>
      <c r="K3391" s="5">
        <v>90016</v>
      </c>
      <c r="L3391" s="5">
        <v>1174910</v>
      </c>
      <c r="M3391" s="5">
        <v>176784.15</v>
      </c>
      <c r="N3391" s="5">
        <v>0.1623</v>
      </c>
      <c r="O3391" s="5">
        <v>1</v>
      </c>
      <c r="P3391" s="5">
        <v>21753</v>
      </c>
    </row>
    <row r="3392" spans="1:16" x14ac:dyDescent="0.3">
      <c r="A3392" s="5">
        <v>31</v>
      </c>
      <c r="B3392" s="5" t="s">
        <v>147</v>
      </c>
      <c r="C3392" s="5">
        <v>6</v>
      </c>
      <c r="D3392" s="5" t="s">
        <v>90</v>
      </c>
      <c r="E3392" s="5">
        <v>2022</v>
      </c>
      <c r="F3392" s="5">
        <v>4</v>
      </c>
      <c r="G3392" s="5" t="s">
        <v>37</v>
      </c>
      <c r="H3392" s="5">
        <v>1955071</v>
      </c>
      <c r="I3392" s="5">
        <v>1612816.34</v>
      </c>
      <c r="J3392" s="5">
        <v>37</v>
      </c>
      <c r="K3392" s="5">
        <v>155312</v>
      </c>
      <c r="L3392" s="5">
        <v>2100440</v>
      </c>
      <c r="M3392" s="5">
        <v>342254.66</v>
      </c>
      <c r="N3392" s="5">
        <v>0.17510000000000001</v>
      </c>
      <c r="O3392" s="5">
        <v>4</v>
      </c>
      <c r="P3392" s="5">
        <v>139744</v>
      </c>
    </row>
    <row r="3393" spans="1:16" x14ac:dyDescent="0.3">
      <c r="A3393" s="5">
        <v>85</v>
      </c>
      <c r="B3393" s="5" t="s">
        <v>147</v>
      </c>
      <c r="C3393" s="5">
        <v>6</v>
      </c>
      <c r="D3393" s="5" t="s">
        <v>90</v>
      </c>
      <c r="E3393" s="5">
        <v>2022</v>
      </c>
      <c r="F3393" s="5">
        <v>4</v>
      </c>
      <c r="G3393" s="5" t="s">
        <v>37</v>
      </c>
      <c r="H3393" s="5">
        <v>524099</v>
      </c>
      <c r="I3393" s="5">
        <v>483571.48</v>
      </c>
      <c r="J3393" s="5">
        <v>9</v>
      </c>
      <c r="K3393" s="5">
        <v>87125</v>
      </c>
      <c r="L3393" s="5">
        <v>609500</v>
      </c>
      <c r="M3393" s="5">
        <v>40527.519999999997</v>
      </c>
      <c r="N3393" s="5">
        <v>7.7299999999999994E-2</v>
      </c>
      <c r="O3393" s="5">
        <v>0</v>
      </c>
      <c r="P3393" s="5">
        <v>0</v>
      </c>
    </row>
    <row r="3394" spans="1:16" x14ac:dyDescent="0.3">
      <c r="A3394" s="5">
        <v>112</v>
      </c>
      <c r="B3394" s="5" t="s">
        <v>147</v>
      </c>
      <c r="C3394" s="5">
        <v>6</v>
      </c>
      <c r="D3394" s="5" t="s">
        <v>90</v>
      </c>
      <c r="E3394" s="5">
        <v>2022</v>
      </c>
      <c r="F3394" s="5">
        <v>4</v>
      </c>
      <c r="G3394" s="5" t="s">
        <v>37</v>
      </c>
      <c r="H3394" s="5">
        <v>1168392</v>
      </c>
      <c r="I3394" s="5">
        <v>1068767.8400000001</v>
      </c>
      <c r="J3394" s="5">
        <v>17</v>
      </c>
      <c r="K3394" s="5">
        <v>199354</v>
      </c>
      <c r="L3394" s="5">
        <v>1364780</v>
      </c>
      <c r="M3394" s="5">
        <v>99624.16</v>
      </c>
      <c r="N3394" s="5">
        <v>8.5300000000000001E-2</v>
      </c>
      <c r="O3394" s="5">
        <v>3</v>
      </c>
      <c r="P3394" s="5">
        <v>101933</v>
      </c>
    </row>
    <row r="3395" spans="1:16" x14ac:dyDescent="0.3">
      <c r="A3395" s="5">
        <v>119</v>
      </c>
      <c r="B3395" s="5" t="s">
        <v>147</v>
      </c>
      <c r="C3395" s="5">
        <v>6</v>
      </c>
      <c r="D3395" s="5" t="s">
        <v>90</v>
      </c>
      <c r="E3395" s="5">
        <v>2022</v>
      </c>
      <c r="F3395" s="5">
        <v>4</v>
      </c>
      <c r="G3395" s="5" t="s">
        <v>37</v>
      </c>
      <c r="H3395" s="5">
        <v>2659845</v>
      </c>
      <c r="I3395" s="5">
        <v>2276357.83</v>
      </c>
      <c r="J3395" s="5">
        <v>49</v>
      </c>
      <c r="K3395" s="5">
        <v>245326</v>
      </c>
      <c r="L3395" s="5">
        <v>2899040</v>
      </c>
      <c r="M3395" s="5">
        <v>383487.17</v>
      </c>
      <c r="N3395" s="5">
        <v>0.14419999999999999</v>
      </c>
      <c r="O3395" s="5">
        <v>3</v>
      </c>
      <c r="P3395" s="5">
        <v>10816</v>
      </c>
    </row>
    <row r="3396" spans="1:16" x14ac:dyDescent="0.3">
      <c r="A3396" s="5">
        <v>15</v>
      </c>
      <c r="B3396" s="5" t="s">
        <v>147</v>
      </c>
      <c r="C3396" s="5">
        <v>6</v>
      </c>
      <c r="D3396" s="5" t="s">
        <v>90</v>
      </c>
      <c r="E3396" s="5">
        <v>2022</v>
      </c>
      <c r="F3396" s="5">
        <v>5</v>
      </c>
      <c r="G3396" s="5" t="s">
        <v>38</v>
      </c>
      <c r="H3396" s="5">
        <v>888713</v>
      </c>
      <c r="I3396" s="5">
        <v>806762.67</v>
      </c>
      <c r="J3396" s="5">
        <v>19</v>
      </c>
      <c r="K3396" s="5">
        <v>151525</v>
      </c>
      <c r="L3396" s="5">
        <v>1035830</v>
      </c>
      <c r="M3396" s="5">
        <v>81950.33</v>
      </c>
      <c r="N3396" s="5">
        <v>9.2200000000000004E-2</v>
      </c>
      <c r="O3396" s="5">
        <v>4</v>
      </c>
      <c r="P3396" s="5">
        <v>73203</v>
      </c>
    </row>
    <row r="3397" spans="1:16" x14ac:dyDescent="0.3">
      <c r="A3397" s="5">
        <v>31</v>
      </c>
      <c r="B3397" s="5" t="s">
        <v>147</v>
      </c>
      <c r="C3397" s="5">
        <v>6</v>
      </c>
      <c r="D3397" s="5" t="s">
        <v>90</v>
      </c>
      <c r="E3397" s="5">
        <v>2022</v>
      </c>
      <c r="F3397" s="5">
        <v>5</v>
      </c>
      <c r="G3397" s="5" t="s">
        <v>38</v>
      </c>
      <c r="H3397" s="5">
        <v>2472697</v>
      </c>
      <c r="I3397" s="5">
        <v>2124037.9500000002</v>
      </c>
      <c r="J3397" s="5">
        <v>33</v>
      </c>
      <c r="K3397" s="5">
        <v>258847</v>
      </c>
      <c r="L3397" s="5">
        <v>2722340</v>
      </c>
      <c r="M3397" s="5">
        <v>348659.05</v>
      </c>
      <c r="N3397" s="5">
        <v>0.14099999999999999</v>
      </c>
      <c r="O3397" s="5">
        <v>1</v>
      </c>
      <c r="P3397" s="5">
        <v>33101</v>
      </c>
    </row>
    <row r="3398" spans="1:16" x14ac:dyDescent="0.3">
      <c r="A3398" s="5">
        <v>85</v>
      </c>
      <c r="B3398" s="5" t="s">
        <v>147</v>
      </c>
      <c r="C3398" s="5">
        <v>6</v>
      </c>
      <c r="D3398" s="5" t="s">
        <v>90</v>
      </c>
      <c r="E3398" s="5">
        <v>2022</v>
      </c>
      <c r="F3398" s="5">
        <v>5</v>
      </c>
      <c r="G3398" s="5" t="s">
        <v>38</v>
      </c>
      <c r="H3398" s="5">
        <v>400664</v>
      </c>
      <c r="I3398" s="5">
        <v>360124.36</v>
      </c>
      <c r="J3398" s="5">
        <v>14</v>
      </c>
      <c r="K3398" s="5">
        <v>63307</v>
      </c>
      <c r="L3398" s="5">
        <v>463730</v>
      </c>
      <c r="M3398" s="5">
        <v>40539.64</v>
      </c>
      <c r="N3398" s="5">
        <v>0.1012</v>
      </c>
      <c r="O3398" s="5">
        <v>1</v>
      </c>
      <c r="P3398" s="5">
        <v>121035</v>
      </c>
    </row>
    <row r="3399" spans="1:16" x14ac:dyDescent="0.3">
      <c r="A3399" s="5">
        <v>112</v>
      </c>
      <c r="B3399" s="5" t="s">
        <v>147</v>
      </c>
      <c r="C3399" s="5">
        <v>6</v>
      </c>
      <c r="D3399" s="5" t="s">
        <v>90</v>
      </c>
      <c r="E3399" s="5">
        <v>2022</v>
      </c>
      <c r="F3399" s="5">
        <v>5</v>
      </c>
      <c r="G3399" s="5" t="s">
        <v>38</v>
      </c>
      <c r="H3399" s="5">
        <v>1593358</v>
      </c>
      <c r="I3399" s="5">
        <v>1469673.31</v>
      </c>
      <c r="J3399" s="5">
        <v>17</v>
      </c>
      <c r="K3399" s="5">
        <v>356392</v>
      </c>
      <c r="L3399" s="5">
        <v>1939510</v>
      </c>
      <c r="M3399" s="5">
        <v>123684.69</v>
      </c>
      <c r="N3399" s="5">
        <v>7.7600000000000002E-2</v>
      </c>
      <c r="O3399" s="5">
        <v>3</v>
      </c>
      <c r="P3399" s="5">
        <v>134627</v>
      </c>
    </row>
    <row r="3400" spans="1:16" x14ac:dyDescent="0.3">
      <c r="A3400" s="5">
        <v>119</v>
      </c>
      <c r="B3400" s="5" t="s">
        <v>147</v>
      </c>
      <c r="C3400" s="5">
        <v>6</v>
      </c>
      <c r="D3400" s="5" t="s">
        <v>90</v>
      </c>
      <c r="E3400" s="5">
        <v>2022</v>
      </c>
      <c r="F3400" s="5">
        <v>5</v>
      </c>
      <c r="G3400" s="5" t="s">
        <v>38</v>
      </c>
      <c r="H3400" s="5">
        <v>5183465</v>
      </c>
      <c r="I3400" s="5">
        <v>4546721.24</v>
      </c>
      <c r="J3400" s="5">
        <v>71</v>
      </c>
      <c r="K3400" s="5">
        <v>670700</v>
      </c>
      <c r="L3400" s="5">
        <v>5834820</v>
      </c>
      <c r="M3400" s="5">
        <v>636743.76</v>
      </c>
      <c r="N3400" s="5">
        <v>0.12280000000000001</v>
      </c>
      <c r="O3400" s="5">
        <v>3</v>
      </c>
      <c r="P3400" s="5">
        <v>59675</v>
      </c>
    </row>
    <row r="3401" spans="1:16" x14ac:dyDescent="0.3">
      <c r="A3401" s="5">
        <v>15</v>
      </c>
      <c r="B3401" s="5" t="s">
        <v>147</v>
      </c>
      <c r="C3401" s="5">
        <v>6</v>
      </c>
      <c r="D3401" s="5" t="s">
        <v>90</v>
      </c>
      <c r="E3401" s="5">
        <v>2022</v>
      </c>
      <c r="F3401" s="5">
        <v>6</v>
      </c>
      <c r="G3401" s="5" t="s">
        <v>39</v>
      </c>
      <c r="H3401" s="5">
        <v>2202872</v>
      </c>
      <c r="I3401" s="5">
        <v>1906079.23</v>
      </c>
      <c r="J3401" s="5">
        <v>26</v>
      </c>
      <c r="K3401" s="5">
        <v>148432</v>
      </c>
      <c r="L3401" s="5">
        <v>2344300</v>
      </c>
      <c r="M3401" s="5">
        <v>296792.77</v>
      </c>
      <c r="N3401" s="5">
        <v>0.13469999999999999</v>
      </c>
      <c r="O3401" s="5">
        <v>3</v>
      </c>
      <c r="P3401" s="5">
        <v>124714</v>
      </c>
    </row>
    <row r="3402" spans="1:16" x14ac:dyDescent="0.3">
      <c r="A3402" s="5">
        <v>31</v>
      </c>
      <c r="B3402" s="5" t="s">
        <v>147</v>
      </c>
      <c r="C3402" s="5">
        <v>6</v>
      </c>
      <c r="D3402" s="5" t="s">
        <v>90</v>
      </c>
      <c r="E3402" s="5">
        <v>2022</v>
      </c>
      <c r="F3402" s="5">
        <v>6</v>
      </c>
      <c r="G3402" s="5" t="s">
        <v>39</v>
      </c>
      <c r="H3402" s="5">
        <v>3182144</v>
      </c>
      <c r="I3402" s="5">
        <v>2791157.49</v>
      </c>
      <c r="J3402" s="5">
        <v>40</v>
      </c>
      <c r="K3402" s="5">
        <v>370754</v>
      </c>
      <c r="L3402" s="5">
        <v>3534400</v>
      </c>
      <c r="M3402" s="5">
        <v>390986.51</v>
      </c>
      <c r="N3402" s="5">
        <v>0.1229</v>
      </c>
      <c r="O3402" s="5">
        <v>6</v>
      </c>
      <c r="P3402" s="5">
        <v>218833</v>
      </c>
    </row>
    <row r="3403" spans="1:16" x14ac:dyDescent="0.3">
      <c r="A3403" s="5">
        <v>85</v>
      </c>
      <c r="B3403" s="5" t="s">
        <v>147</v>
      </c>
      <c r="C3403" s="5">
        <v>6</v>
      </c>
      <c r="D3403" s="5" t="s">
        <v>90</v>
      </c>
      <c r="E3403" s="5">
        <v>2022</v>
      </c>
      <c r="F3403" s="5">
        <v>6</v>
      </c>
      <c r="G3403" s="5" t="s">
        <v>39</v>
      </c>
      <c r="H3403" s="5">
        <v>817692</v>
      </c>
      <c r="I3403" s="5">
        <v>749863.2</v>
      </c>
      <c r="J3403" s="5">
        <v>11</v>
      </c>
      <c r="K3403" s="5">
        <v>116938</v>
      </c>
      <c r="L3403" s="5">
        <v>931970</v>
      </c>
      <c r="M3403" s="5">
        <v>67828.800000000003</v>
      </c>
      <c r="N3403" s="5">
        <v>8.3000000000000004E-2</v>
      </c>
      <c r="O3403" s="5">
        <v>1</v>
      </c>
      <c r="P3403" s="5">
        <v>39519</v>
      </c>
    </row>
    <row r="3404" spans="1:16" x14ac:dyDescent="0.3">
      <c r="A3404" s="5">
        <v>112</v>
      </c>
      <c r="B3404" s="5" t="s">
        <v>147</v>
      </c>
      <c r="C3404" s="5">
        <v>6</v>
      </c>
      <c r="D3404" s="5" t="s">
        <v>90</v>
      </c>
      <c r="E3404" s="5">
        <v>2022</v>
      </c>
      <c r="F3404" s="5">
        <v>6</v>
      </c>
      <c r="G3404" s="5" t="s">
        <v>39</v>
      </c>
      <c r="H3404" s="5">
        <v>633827</v>
      </c>
      <c r="I3404" s="5">
        <v>602347.46</v>
      </c>
      <c r="J3404" s="5">
        <v>9</v>
      </c>
      <c r="K3404" s="5">
        <v>111086</v>
      </c>
      <c r="L3404" s="5">
        <v>744810</v>
      </c>
      <c r="M3404" s="5">
        <v>31479.54</v>
      </c>
      <c r="N3404" s="5">
        <v>4.9700000000000001E-2</v>
      </c>
      <c r="O3404" s="5">
        <v>0</v>
      </c>
      <c r="P3404" s="5">
        <v>0</v>
      </c>
    </row>
    <row r="3405" spans="1:16" x14ac:dyDescent="0.3">
      <c r="A3405" s="5">
        <v>119</v>
      </c>
      <c r="B3405" s="5" t="s">
        <v>147</v>
      </c>
      <c r="C3405" s="5">
        <v>6</v>
      </c>
      <c r="D3405" s="5" t="s">
        <v>90</v>
      </c>
      <c r="E3405" s="5">
        <v>2022</v>
      </c>
      <c r="F3405" s="5">
        <v>6</v>
      </c>
      <c r="G3405" s="5" t="s">
        <v>39</v>
      </c>
      <c r="H3405" s="5">
        <v>3134072</v>
      </c>
      <c r="I3405" s="5">
        <v>2759231.41</v>
      </c>
      <c r="J3405" s="5">
        <v>49</v>
      </c>
      <c r="K3405" s="5">
        <v>409382</v>
      </c>
      <c r="L3405" s="5">
        <v>3535430</v>
      </c>
      <c r="M3405" s="5">
        <v>374840.59</v>
      </c>
      <c r="N3405" s="5">
        <v>0.1196</v>
      </c>
      <c r="O3405" s="5">
        <v>9</v>
      </c>
      <c r="P3405" s="5">
        <v>244449</v>
      </c>
    </row>
    <row r="3406" spans="1:16" x14ac:dyDescent="0.3">
      <c r="A3406" s="5">
        <v>15</v>
      </c>
      <c r="B3406" s="5" t="s">
        <v>147</v>
      </c>
      <c r="C3406" s="5">
        <v>6</v>
      </c>
      <c r="D3406" s="5" t="s">
        <v>90</v>
      </c>
      <c r="E3406" s="5">
        <v>2022</v>
      </c>
      <c r="F3406" s="5">
        <v>7</v>
      </c>
      <c r="G3406" s="5" t="s">
        <v>40</v>
      </c>
      <c r="H3406" s="5">
        <v>796944</v>
      </c>
      <c r="I3406" s="5">
        <v>630138.19999999995</v>
      </c>
      <c r="J3406" s="5">
        <v>13</v>
      </c>
      <c r="K3406" s="5">
        <v>61476</v>
      </c>
      <c r="L3406" s="5">
        <v>857490</v>
      </c>
      <c r="M3406" s="5">
        <v>166805.79999999999</v>
      </c>
      <c r="N3406" s="5">
        <v>0.20930000000000001</v>
      </c>
      <c r="O3406" s="5">
        <v>2</v>
      </c>
      <c r="P3406" s="5">
        <v>123617</v>
      </c>
    </row>
    <row r="3407" spans="1:16" x14ac:dyDescent="0.3">
      <c r="A3407" s="5">
        <v>31</v>
      </c>
      <c r="B3407" s="5" t="s">
        <v>147</v>
      </c>
      <c r="C3407" s="5">
        <v>6</v>
      </c>
      <c r="D3407" s="5" t="s">
        <v>90</v>
      </c>
      <c r="E3407" s="5">
        <v>2022</v>
      </c>
      <c r="F3407" s="5">
        <v>7</v>
      </c>
      <c r="G3407" s="5" t="s">
        <v>40</v>
      </c>
      <c r="H3407" s="5">
        <v>1977291</v>
      </c>
      <c r="I3407" s="5">
        <v>1792533.54</v>
      </c>
      <c r="J3407" s="5">
        <v>29</v>
      </c>
      <c r="K3407" s="5">
        <v>307285</v>
      </c>
      <c r="L3407" s="5">
        <v>2280550</v>
      </c>
      <c r="M3407" s="5">
        <v>184757.46</v>
      </c>
      <c r="N3407" s="5">
        <v>9.3399999999999997E-2</v>
      </c>
      <c r="O3407" s="5">
        <v>4</v>
      </c>
      <c r="P3407" s="5">
        <v>132364</v>
      </c>
    </row>
    <row r="3408" spans="1:16" x14ac:dyDescent="0.3">
      <c r="A3408" s="5">
        <v>85</v>
      </c>
      <c r="B3408" s="5" t="s">
        <v>147</v>
      </c>
      <c r="C3408" s="5">
        <v>6</v>
      </c>
      <c r="D3408" s="5" t="s">
        <v>90</v>
      </c>
      <c r="E3408" s="5">
        <v>2022</v>
      </c>
      <c r="F3408" s="5">
        <v>7</v>
      </c>
      <c r="G3408" s="5" t="s">
        <v>40</v>
      </c>
      <c r="H3408" s="5">
        <v>1411726</v>
      </c>
      <c r="I3408" s="5">
        <v>1244219.3700000001</v>
      </c>
      <c r="J3408" s="5">
        <v>15</v>
      </c>
      <c r="K3408" s="5">
        <v>165074</v>
      </c>
      <c r="L3408" s="5">
        <v>1573420</v>
      </c>
      <c r="M3408" s="5">
        <v>167506.63</v>
      </c>
      <c r="N3408" s="5">
        <v>0.1187</v>
      </c>
      <c r="O3408" s="5">
        <v>0</v>
      </c>
      <c r="P3408" s="5">
        <v>0</v>
      </c>
    </row>
    <row r="3409" spans="1:16" x14ac:dyDescent="0.3">
      <c r="A3409" s="5">
        <v>112</v>
      </c>
      <c r="B3409" s="5" t="s">
        <v>147</v>
      </c>
      <c r="C3409" s="5">
        <v>6</v>
      </c>
      <c r="D3409" s="5" t="s">
        <v>90</v>
      </c>
      <c r="E3409" s="5">
        <v>2022</v>
      </c>
      <c r="F3409" s="5">
        <v>7</v>
      </c>
      <c r="G3409" s="5" t="s">
        <v>40</v>
      </c>
      <c r="H3409" s="5">
        <v>751422</v>
      </c>
      <c r="I3409" s="5">
        <v>686675.19</v>
      </c>
      <c r="J3409" s="5">
        <v>9</v>
      </c>
      <c r="K3409" s="5">
        <v>148658</v>
      </c>
      <c r="L3409" s="5">
        <v>895900</v>
      </c>
      <c r="M3409" s="5">
        <v>64746.81</v>
      </c>
      <c r="N3409" s="5">
        <v>8.6199999999999999E-2</v>
      </c>
      <c r="O3409" s="5">
        <v>0</v>
      </c>
      <c r="P3409" s="5">
        <v>0</v>
      </c>
    </row>
    <row r="3410" spans="1:16" x14ac:dyDescent="0.3">
      <c r="A3410" s="5">
        <v>119</v>
      </c>
      <c r="B3410" s="5" t="s">
        <v>147</v>
      </c>
      <c r="C3410" s="5">
        <v>6</v>
      </c>
      <c r="D3410" s="5" t="s">
        <v>90</v>
      </c>
      <c r="E3410" s="5">
        <v>2022</v>
      </c>
      <c r="F3410" s="5">
        <v>7</v>
      </c>
      <c r="G3410" s="5" t="s">
        <v>40</v>
      </c>
      <c r="H3410" s="5">
        <v>4908021</v>
      </c>
      <c r="I3410" s="5">
        <v>4523172.75</v>
      </c>
      <c r="J3410" s="5">
        <v>65</v>
      </c>
      <c r="K3410" s="5">
        <v>917517</v>
      </c>
      <c r="L3410" s="5">
        <v>5816000</v>
      </c>
      <c r="M3410" s="5">
        <v>384848.25</v>
      </c>
      <c r="N3410" s="5">
        <v>7.8399999999999997E-2</v>
      </c>
      <c r="O3410" s="5">
        <v>1</v>
      </c>
      <c r="P3410" s="5">
        <v>13986</v>
      </c>
    </row>
    <row r="3411" spans="1:16" x14ac:dyDescent="0.3">
      <c r="A3411" s="5">
        <v>15</v>
      </c>
      <c r="B3411" s="5" t="s">
        <v>147</v>
      </c>
      <c r="C3411" s="5">
        <v>6</v>
      </c>
      <c r="D3411" s="5" t="s">
        <v>90</v>
      </c>
      <c r="E3411" s="5">
        <v>2022</v>
      </c>
      <c r="F3411" s="5">
        <v>8</v>
      </c>
      <c r="G3411" s="5" t="s">
        <v>41</v>
      </c>
      <c r="H3411" s="5">
        <v>1154189</v>
      </c>
      <c r="I3411" s="5">
        <v>1000393.77</v>
      </c>
      <c r="J3411" s="5">
        <v>16</v>
      </c>
      <c r="K3411" s="5">
        <v>135502</v>
      </c>
      <c r="L3411" s="5">
        <v>1287120</v>
      </c>
      <c r="M3411" s="5">
        <v>153795.23000000001</v>
      </c>
      <c r="N3411" s="5">
        <v>0.13320000000000001</v>
      </c>
      <c r="O3411" s="5">
        <v>2</v>
      </c>
      <c r="P3411" s="5">
        <v>4951</v>
      </c>
    </row>
    <row r="3412" spans="1:16" x14ac:dyDescent="0.3">
      <c r="A3412" s="5">
        <v>31</v>
      </c>
      <c r="B3412" s="5" t="s">
        <v>147</v>
      </c>
      <c r="C3412" s="5">
        <v>6</v>
      </c>
      <c r="D3412" s="5" t="s">
        <v>90</v>
      </c>
      <c r="E3412" s="5">
        <v>2022</v>
      </c>
      <c r="F3412" s="5">
        <v>8</v>
      </c>
      <c r="G3412" s="5" t="s">
        <v>41</v>
      </c>
      <c r="H3412" s="5">
        <v>1716554</v>
      </c>
      <c r="I3412" s="5">
        <v>1659135.8</v>
      </c>
      <c r="J3412" s="5">
        <v>39</v>
      </c>
      <c r="K3412" s="5">
        <v>426358</v>
      </c>
      <c r="L3412" s="5">
        <v>2137420</v>
      </c>
      <c r="M3412" s="5">
        <v>57418.2</v>
      </c>
      <c r="N3412" s="5">
        <v>3.3399999999999999E-2</v>
      </c>
      <c r="O3412" s="5">
        <v>3</v>
      </c>
      <c r="P3412" s="5">
        <v>17092</v>
      </c>
    </row>
    <row r="3413" spans="1:16" x14ac:dyDescent="0.3">
      <c r="A3413" s="5">
        <v>85</v>
      </c>
      <c r="B3413" s="5" t="s">
        <v>147</v>
      </c>
      <c r="C3413" s="5">
        <v>6</v>
      </c>
      <c r="D3413" s="5" t="s">
        <v>90</v>
      </c>
      <c r="E3413" s="5">
        <v>2022</v>
      </c>
      <c r="F3413" s="5">
        <v>8</v>
      </c>
      <c r="G3413" s="5" t="s">
        <v>41</v>
      </c>
      <c r="H3413" s="5">
        <v>556909</v>
      </c>
      <c r="I3413" s="5">
        <v>570911.19999999995</v>
      </c>
      <c r="J3413" s="5">
        <v>8</v>
      </c>
      <c r="K3413" s="5">
        <v>184865</v>
      </c>
      <c r="L3413" s="5">
        <v>741490</v>
      </c>
      <c r="M3413" s="5">
        <v>-14002.2</v>
      </c>
      <c r="N3413" s="5">
        <v>-2.5100000000000001E-2</v>
      </c>
      <c r="O3413" s="5">
        <v>1</v>
      </c>
      <c r="P3413" s="5">
        <v>3492</v>
      </c>
    </row>
    <row r="3414" spans="1:16" x14ac:dyDescent="0.3">
      <c r="A3414" s="5">
        <v>112</v>
      </c>
      <c r="B3414" s="5" t="s">
        <v>147</v>
      </c>
      <c r="C3414" s="5">
        <v>6</v>
      </c>
      <c r="D3414" s="5" t="s">
        <v>90</v>
      </c>
      <c r="E3414" s="5">
        <v>2022</v>
      </c>
      <c r="F3414" s="5">
        <v>8</v>
      </c>
      <c r="G3414" s="5" t="s">
        <v>41</v>
      </c>
      <c r="H3414" s="5">
        <v>1131486</v>
      </c>
      <c r="I3414" s="5">
        <v>1059161.7</v>
      </c>
      <c r="J3414" s="5">
        <v>21</v>
      </c>
      <c r="K3414" s="5">
        <v>227888</v>
      </c>
      <c r="L3414" s="5">
        <v>1354720</v>
      </c>
      <c r="M3414" s="5">
        <v>72324.3</v>
      </c>
      <c r="N3414" s="5">
        <v>6.3899999999999998E-2</v>
      </c>
      <c r="O3414" s="5">
        <v>2</v>
      </c>
      <c r="P3414" s="5">
        <v>129706</v>
      </c>
    </row>
    <row r="3415" spans="1:16" x14ac:dyDescent="0.3">
      <c r="A3415" s="5">
        <v>119</v>
      </c>
      <c r="B3415" s="5" t="s">
        <v>147</v>
      </c>
      <c r="C3415" s="5">
        <v>6</v>
      </c>
      <c r="D3415" s="5" t="s">
        <v>90</v>
      </c>
      <c r="E3415" s="5">
        <v>2022</v>
      </c>
      <c r="F3415" s="5">
        <v>8</v>
      </c>
      <c r="G3415" s="5" t="s">
        <v>41</v>
      </c>
      <c r="H3415" s="5">
        <v>2560080</v>
      </c>
      <c r="I3415" s="5">
        <v>2601523.89</v>
      </c>
      <c r="J3415" s="5">
        <v>52</v>
      </c>
      <c r="K3415" s="5">
        <v>777364</v>
      </c>
      <c r="L3415" s="5">
        <v>3331850</v>
      </c>
      <c r="M3415" s="5">
        <v>-41443.89</v>
      </c>
      <c r="N3415" s="5">
        <v>-1.6199999999999999E-2</v>
      </c>
      <c r="O3415" s="5">
        <v>7</v>
      </c>
      <c r="P3415" s="5">
        <v>55044</v>
      </c>
    </row>
    <row r="3416" spans="1:16" x14ac:dyDescent="0.3">
      <c r="A3416" s="5">
        <v>15</v>
      </c>
      <c r="B3416" s="5" t="s">
        <v>147</v>
      </c>
      <c r="C3416" s="5">
        <v>6</v>
      </c>
      <c r="D3416" s="5" t="s">
        <v>90</v>
      </c>
      <c r="E3416" s="5">
        <v>2022</v>
      </c>
      <c r="F3416" s="5">
        <v>9</v>
      </c>
      <c r="G3416" s="5" t="s">
        <v>42</v>
      </c>
      <c r="H3416" s="5">
        <v>1267394</v>
      </c>
      <c r="I3416" s="5">
        <v>973072.7</v>
      </c>
      <c r="J3416" s="5">
        <v>17</v>
      </c>
      <c r="K3416" s="5">
        <v>37666</v>
      </c>
      <c r="L3416" s="5">
        <v>1297160</v>
      </c>
      <c r="M3416" s="5">
        <v>294321.3</v>
      </c>
      <c r="N3416" s="5">
        <v>0.23219999999999999</v>
      </c>
      <c r="O3416" s="5">
        <v>2</v>
      </c>
      <c r="P3416" s="5">
        <v>13575</v>
      </c>
    </row>
    <row r="3417" spans="1:16" x14ac:dyDescent="0.3">
      <c r="A3417" s="5">
        <v>31</v>
      </c>
      <c r="B3417" s="5" t="s">
        <v>147</v>
      </c>
      <c r="C3417" s="5">
        <v>6</v>
      </c>
      <c r="D3417" s="5" t="s">
        <v>90</v>
      </c>
      <c r="E3417" s="5">
        <v>2022</v>
      </c>
      <c r="F3417" s="5">
        <v>9</v>
      </c>
      <c r="G3417" s="5" t="s">
        <v>42</v>
      </c>
      <c r="H3417" s="5">
        <v>2878361</v>
      </c>
      <c r="I3417" s="5">
        <v>2304139.65</v>
      </c>
      <c r="J3417" s="5">
        <v>48</v>
      </c>
      <c r="K3417" s="5">
        <v>208173</v>
      </c>
      <c r="L3417" s="5">
        <v>3070350</v>
      </c>
      <c r="M3417" s="5">
        <v>574221.35</v>
      </c>
      <c r="N3417" s="5">
        <v>0.19950000000000001</v>
      </c>
      <c r="O3417" s="5">
        <v>6</v>
      </c>
      <c r="P3417" s="5">
        <v>144011</v>
      </c>
    </row>
    <row r="3418" spans="1:16" x14ac:dyDescent="0.3">
      <c r="A3418" s="5">
        <v>85</v>
      </c>
      <c r="B3418" s="5" t="s">
        <v>147</v>
      </c>
      <c r="C3418" s="5">
        <v>6</v>
      </c>
      <c r="D3418" s="5" t="s">
        <v>90</v>
      </c>
      <c r="E3418" s="5">
        <v>2022</v>
      </c>
      <c r="F3418" s="5">
        <v>9</v>
      </c>
      <c r="G3418" s="5" t="s">
        <v>42</v>
      </c>
      <c r="H3418" s="5">
        <v>300506</v>
      </c>
      <c r="I3418" s="5">
        <v>238955.81</v>
      </c>
      <c r="J3418" s="5">
        <v>11</v>
      </c>
      <c r="K3418" s="5">
        <v>23892</v>
      </c>
      <c r="L3418" s="5">
        <v>322550</v>
      </c>
      <c r="M3418" s="5">
        <v>61550.19</v>
      </c>
      <c r="N3418" s="5">
        <v>0.20480000000000001</v>
      </c>
      <c r="O3418" s="5">
        <v>0</v>
      </c>
      <c r="P3418" s="5">
        <v>0</v>
      </c>
    </row>
    <row r="3419" spans="1:16" x14ac:dyDescent="0.3">
      <c r="A3419" s="5">
        <v>112</v>
      </c>
      <c r="B3419" s="5" t="s">
        <v>147</v>
      </c>
      <c r="C3419" s="5">
        <v>6</v>
      </c>
      <c r="D3419" s="5" t="s">
        <v>90</v>
      </c>
      <c r="E3419" s="5">
        <v>2022</v>
      </c>
      <c r="F3419" s="5">
        <v>9</v>
      </c>
      <c r="G3419" s="5" t="s">
        <v>42</v>
      </c>
      <c r="H3419" s="5">
        <v>586717</v>
      </c>
      <c r="I3419" s="5">
        <v>530169.9</v>
      </c>
      <c r="J3419" s="5">
        <v>9</v>
      </c>
      <c r="K3419" s="5">
        <v>86154</v>
      </c>
      <c r="L3419" s="5">
        <v>670830</v>
      </c>
      <c r="M3419" s="5">
        <v>56547.1</v>
      </c>
      <c r="N3419" s="5">
        <v>9.64E-2</v>
      </c>
      <c r="O3419" s="5">
        <v>0</v>
      </c>
      <c r="P3419" s="5">
        <v>0</v>
      </c>
    </row>
    <row r="3420" spans="1:16" x14ac:dyDescent="0.3">
      <c r="A3420" s="5">
        <v>119</v>
      </c>
      <c r="B3420" s="5" t="s">
        <v>147</v>
      </c>
      <c r="C3420" s="5">
        <v>6</v>
      </c>
      <c r="D3420" s="5" t="s">
        <v>90</v>
      </c>
      <c r="E3420" s="5">
        <v>2022</v>
      </c>
      <c r="F3420" s="5">
        <v>9</v>
      </c>
      <c r="G3420" s="5" t="s">
        <v>42</v>
      </c>
      <c r="H3420" s="5">
        <v>4187782</v>
      </c>
      <c r="I3420" s="5">
        <v>3657262.67</v>
      </c>
      <c r="J3420" s="5">
        <v>63</v>
      </c>
      <c r="K3420" s="5">
        <v>627480</v>
      </c>
      <c r="L3420" s="5">
        <v>4802660</v>
      </c>
      <c r="M3420" s="5">
        <v>530519.32999999996</v>
      </c>
      <c r="N3420" s="5">
        <v>0.12670000000000001</v>
      </c>
      <c r="O3420" s="5">
        <v>5</v>
      </c>
      <c r="P3420" s="5">
        <v>31568</v>
      </c>
    </row>
    <row r="3421" spans="1:16" x14ac:dyDescent="0.3">
      <c r="A3421" s="5">
        <v>15</v>
      </c>
      <c r="B3421" s="5" t="s">
        <v>147</v>
      </c>
      <c r="C3421" s="5">
        <v>6</v>
      </c>
      <c r="D3421" s="5" t="s">
        <v>90</v>
      </c>
      <c r="E3421" s="5">
        <v>2022</v>
      </c>
      <c r="F3421" s="5">
        <v>10</v>
      </c>
      <c r="G3421" s="5" t="s">
        <v>43</v>
      </c>
      <c r="H3421" s="5">
        <v>1791297</v>
      </c>
      <c r="I3421" s="5">
        <v>1537754.72</v>
      </c>
      <c r="J3421" s="5">
        <v>24</v>
      </c>
      <c r="K3421" s="5">
        <v>214463</v>
      </c>
      <c r="L3421" s="5">
        <v>1997630</v>
      </c>
      <c r="M3421" s="5">
        <v>253542.28</v>
      </c>
      <c r="N3421" s="5">
        <v>0.14149999999999999</v>
      </c>
      <c r="O3421" s="5">
        <v>4</v>
      </c>
      <c r="P3421" s="5">
        <v>23864</v>
      </c>
    </row>
    <row r="3422" spans="1:16" x14ac:dyDescent="0.3">
      <c r="A3422" s="5">
        <v>31</v>
      </c>
      <c r="B3422" s="5" t="s">
        <v>147</v>
      </c>
      <c r="C3422" s="5">
        <v>6</v>
      </c>
      <c r="D3422" s="5" t="s">
        <v>90</v>
      </c>
      <c r="E3422" s="5">
        <v>2022</v>
      </c>
      <c r="F3422" s="5">
        <v>10</v>
      </c>
      <c r="G3422" s="5" t="s">
        <v>43</v>
      </c>
      <c r="H3422" s="5">
        <v>2505296</v>
      </c>
      <c r="I3422" s="5">
        <v>2148398.56</v>
      </c>
      <c r="J3422" s="5">
        <v>47</v>
      </c>
      <c r="K3422" s="5">
        <v>378684</v>
      </c>
      <c r="L3422" s="5">
        <v>2872450</v>
      </c>
      <c r="M3422" s="5">
        <v>356897.44</v>
      </c>
      <c r="N3422" s="5">
        <v>0.14249999999999999</v>
      </c>
      <c r="O3422" s="5">
        <v>3</v>
      </c>
      <c r="P3422" s="5">
        <v>49996</v>
      </c>
    </row>
    <row r="3423" spans="1:16" x14ac:dyDescent="0.3">
      <c r="A3423" s="5">
        <v>85</v>
      </c>
      <c r="B3423" s="5" t="s">
        <v>147</v>
      </c>
      <c r="C3423" s="5">
        <v>6</v>
      </c>
      <c r="D3423" s="5" t="s">
        <v>90</v>
      </c>
      <c r="E3423" s="5">
        <v>2022</v>
      </c>
      <c r="F3423" s="5">
        <v>10</v>
      </c>
      <c r="G3423" s="5" t="s">
        <v>43</v>
      </c>
      <c r="H3423" s="5">
        <v>780529</v>
      </c>
      <c r="I3423" s="5">
        <v>704863.21</v>
      </c>
      <c r="J3423" s="5">
        <v>19</v>
      </c>
      <c r="K3423" s="5">
        <v>141574</v>
      </c>
      <c r="L3423" s="5">
        <v>919060</v>
      </c>
      <c r="M3423" s="5">
        <v>75665.789999999994</v>
      </c>
      <c r="N3423" s="5">
        <v>9.69E-2</v>
      </c>
      <c r="O3423" s="5">
        <v>2</v>
      </c>
      <c r="P3423" s="5">
        <v>10178</v>
      </c>
    </row>
    <row r="3424" spans="1:16" x14ac:dyDescent="0.3">
      <c r="A3424" s="5">
        <v>112</v>
      </c>
      <c r="B3424" s="5" t="s">
        <v>147</v>
      </c>
      <c r="C3424" s="5">
        <v>6</v>
      </c>
      <c r="D3424" s="5" t="s">
        <v>90</v>
      </c>
      <c r="E3424" s="5">
        <v>2022</v>
      </c>
      <c r="F3424" s="5">
        <v>10</v>
      </c>
      <c r="G3424" s="5" t="s">
        <v>43</v>
      </c>
      <c r="H3424" s="5">
        <v>594351</v>
      </c>
      <c r="I3424" s="5">
        <v>490726.04</v>
      </c>
      <c r="J3424" s="5">
        <v>21</v>
      </c>
      <c r="K3424" s="5">
        <v>97486</v>
      </c>
      <c r="L3424" s="5">
        <v>690330</v>
      </c>
      <c r="M3424" s="5">
        <v>103624.96000000001</v>
      </c>
      <c r="N3424" s="5">
        <v>0.17430000000000001</v>
      </c>
      <c r="O3424" s="5">
        <v>1</v>
      </c>
      <c r="P3424" s="5">
        <v>3580</v>
      </c>
    </row>
    <row r="3425" spans="1:16" x14ac:dyDescent="0.3">
      <c r="A3425" s="5">
        <v>119</v>
      </c>
      <c r="B3425" s="5" t="s">
        <v>147</v>
      </c>
      <c r="C3425" s="5">
        <v>6</v>
      </c>
      <c r="D3425" s="5" t="s">
        <v>90</v>
      </c>
      <c r="E3425" s="5">
        <v>2022</v>
      </c>
      <c r="F3425" s="5">
        <v>10</v>
      </c>
      <c r="G3425" s="5" t="s">
        <v>43</v>
      </c>
      <c r="H3425" s="5">
        <v>3689069</v>
      </c>
      <c r="I3425" s="5">
        <v>3403750</v>
      </c>
      <c r="J3425" s="5">
        <v>63</v>
      </c>
      <c r="K3425" s="5">
        <v>667073</v>
      </c>
      <c r="L3425" s="5">
        <v>4348470</v>
      </c>
      <c r="M3425" s="5">
        <v>285319</v>
      </c>
      <c r="N3425" s="5">
        <v>7.7299999999999994E-2</v>
      </c>
      <c r="O3425" s="5">
        <v>3</v>
      </c>
      <c r="P3425" s="5">
        <v>85712</v>
      </c>
    </row>
    <row r="3426" spans="1:16" x14ac:dyDescent="0.3">
      <c r="A3426" s="5">
        <v>15</v>
      </c>
      <c r="B3426" s="5" t="s">
        <v>147</v>
      </c>
      <c r="C3426" s="5">
        <v>6</v>
      </c>
      <c r="D3426" s="5" t="s">
        <v>90</v>
      </c>
      <c r="E3426" s="5">
        <v>2022</v>
      </c>
      <c r="F3426" s="5">
        <v>11</v>
      </c>
      <c r="G3426" s="5" t="s">
        <v>44</v>
      </c>
      <c r="H3426" s="5">
        <v>2102436</v>
      </c>
      <c r="I3426" s="5">
        <v>1745112.31</v>
      </c>
      <c r="J3426" s="5">
        <v>22</v>
      </c>
      <c r="K3426" s="5">
        <v>185682</v>
      </c>
      <c r="L3426" s="5">
        <v>2281420</v>
      </c>
      <c r="M3426" s="5">
        <v>357323.69</v>
      </c>
      <c r="N3426" s="5">
        <v>0.17</v>
      </c>
      <c r="O3426" s="5">
        <v>2</v>
      </c>
      <c r="P3426" s="5">
        <v>356547</v>
      </c>
    </row>
    <row r="3427" spans="1:16" x14ac:dyDescent="0.3">
      <c r="A3427" s="5">
        <v>31</v>
      </c>
      <c r="B3427" s="5" t="s">
        <v>147</v>
      </c>
      <c r="C3427" s="5">
        <v>6</v>
      </c>
      <c r="D3427" s="5" t="s">
        <v>90</v>
      </c>
      <c r="E3427" s="5">
        <v>2022</v>
      </c>
      <c r="F3427" s="5">
        <v>11</v>
      </c>
      <c r="G3427" s="5" t="s">
        <v>44</v>
      </c>
      <c r="H3427" s="5">
        <v>1945699</v>
      </c>
      <c r="I3427" s="5">
        <v>1666917.01</v>
      </c>
      <c r="J3427" s="5">
        <v>41</v>
      </c>
      <c r="K3427" s="5">
        <v>257377</v>
      </c>
      <c r="L3427" s="5">
        <v>2200270</v>
      </c>
      <c r="M3427" s="5">
        <v>278781.99</v>
      </c>
      <c r="N3427" s="5">
        <v>0.14330000000000001</v>
      </c>
      <c r="O3427" s="5">
        <v>3</v>
      </c>
      <c r="P3427" s="5">
        <v>7060</v>
      </c>
    </row>
    <row r="3428" spans="1:16" x14ac:dyDescent="0.3">
      <c r="A3428" s="5">
        <v>85</v>
      </c>
      <c r="B3428" s="5" t="s">
        <v>147</v>
      </c>
      <c r="C3428" s="5">
        <v>6</v>
      </c>
      <c r="D3428" s="5" t="s">
        <v>90</v>
      </c>
      <c r="E3428" s="5">
        <v>2022</v>
      </c>
      <c r="F3428" s="5">
        <v>11</v>
      </c>
      <c r="G3428" s="5" t="s">
        <v>44</v>
      </c>
      <c r="H3428" s="5">
        <v>836582</v>
      </c>
      <c r="I3428" s="5">
        <v>716505.95</v>
      </c>
      <c r="J3428" s="5">
        <v>17</v>
      </c>
      <c r="K3428" s="5">
        <v>89482</v>
      </c>
      <c r="L3428" s="5">
        <v>922840</v>
      </c>
      <c r="M3428" s="5">
        <v>120076.05</v>
      </c>
      <c r="N3428" s="5">
        <v>0.14349999999999999</v>
      </c>
      <c r="O3428" s="5">
        <v>0</v>
      </c>
      <c r="P3428" s="5">
        <v>0</v>
      </c>
    </row>
    <row r="3429" spans="1:16" x14ac:dyDescent="0.3">
      <c r="A3429" s="5">
        <v>112</v>
      </c>
      <c r="B3429" s="5" t="s">
        <v>147</v>
      </c>
      <c r="C3429" s="5">
        <v>6</v>
      </c>
      <c r="D3429" s="5" t="s">
        <v>90</v>
      </c>
      <c r="E3429" s="5">
        <v>2022</v>
      </c>
      <c r="F3429" s="5">
        <v>11</v>
      </c>
      <c r="G3429" s="5" t="s">
        <v>44</v>
      </c>
      <c r="H3429" s="5">
        <v>2067650</v>
      </c>
      <c r="I3429" s="5">
        <v>1829428.7</v>
      </c>
      <c r="J3429" s="5">
        <v>20</v>
      </c>
      <c r="K3429" s="5">
        <v>227271</v>
      </c>
      <c r="L3429" s="5">
        <v>2292560</v>
      </c>
      <c r="M3429" s="5">
        <v>238221.3</v>
      </c>
      <c r="N3429" s="5">
        <v>0.1152</v>
      </c>
      <c r="O3429" s="5">
        <v>2</v>
      </c>
      <c r="P3429" s="5">
        <v>96096</v>
      </c>
    </row>
    <row r="3430" spans="1:16" x14ac:dyDescent="0.3">
      <c r="A3430" s="5">
        <v>119</v>
      </c>
      <c r="B3430" s="5" t="s">
        <v>147</v>
      </c>
      <c r="C3430" s="5">
        <v>6</v>
      </c>
      <c r="D3430" s="5" t="s">
        <v>90</v>
      </c>
      <c r="E3430" s="5">
        <v>2022</v>
      </c>
      <c r="F3430" s="5">
        <v>11</v>
      </c>
      <c r="G3430" s="5" t="s">
        <v>44</v>
      </c>
      <c r="H3430" s="5">
        <v>6483792</v>
      </c>
      <c r="I3430" s="5">
        <v>5473182.2800000003</v>
      </c>
      <c r="J3430" s="5">
        <v>83</v>
      </c>
      <c r="K3430" s="5">
        <v>561329</v>
      </c>
      <c r="L3430" s="5">
        <v>7012100</v>
      </c>
      <c r="M3430" s="5">
        <v>1010609.72</v>
      </c>
      <c r="N3430" s="5">
        <v>0.15590000000000001</v>
      </c>
      <c r="O3430" s="5">
        <v>6</v>
      </c>
      <c r="P3430" s="5">
        <v>404373</v>
      </c>
    </row>
    <row r="3431" spans="1:16" x14ac:dyDescent="0.3">
      <c r="A3431" s="5">
        <v>15</v>
      </c>
      <c r="B3431" s="5" t="s">
        <v>147</v>
      </c>
      <c r="C3431" s="5">
        <v>6</v>
      </c>
      <c r="D3431" s="5" t="s">
        <v>90</v>
      </c>
      <c r="E3431" s="5">
        <v>2022</v>
      </c>
      <c r="F3431" s="5">
        <v>12</v>
      </c>
      <c r="G3431" s="5" t="s">
        <v>45</v>
      </c>
      <c r="H3431" s="5">
        <v>2191621</v>
      </c>
      <c r="I3431" s="5">
        <v>1935176.19</v>
      </c>
      <c r="J3431" s="5">
        <v>26</v>
      </c>
      <c r="K3431" s="5">
        <v>207641</v>
      </c>
      <c r="L3431" s="5">
        <v>2396220</v>
      </c>
      <c r="M3431" s="5">
        <v>256444.81</v>
      </c>
      <c r="N3431" s="5">
        <v>0.11700000000000001</v>
      </c>
      <c r="O3431" s="5">
        <v>2</v>
      </c>
      <c r="P3431" s="5">
        <v>91103</v>
      </c>
    </row>
    <row r="3432" spans="1:16" x14ac:dyDescent="0.3">
      <c r="A3432" s="5">
        <v>31</v>
      </c>
      <c r="B3432" s="5" t="s">
        <v>147</v>
      </c>
      <c r="C3432" s="5">
        <v>6</v>
      </c>
      <c r="D3432" s="5" t="s">
        <v>90</v>
      </c>
      <c r="E3432" s="5">
        <v>2022</v>
      </c>
      <c r="F3432" s="5">
        <v>12</v>
      </c>
      <c r="G3432" s="5" t="s">
        <v>45</v>
      </c>
      <c r="H3432" s="5">
        <v>3048879</v>
      </c>
      <c r="I3432" s="5">
        <v>2534099.65</v>
      </c>
      <c r="J3432" s="5">
        <v>36</v>
      </c>
      <c r="K3432" s="5">
        <v>172260</v>
      </c>
      <c r="L3432" s="5">
        <v>3200850</v>
      </c>
      <c r="M3432" s="5">
        <v>514779.35</v>
      </c>
      <c r="N3432" s="5">
        <v>0.16880000000000001</v>
      </c>
      <c r="O3432" s="5">
        <v>2</v>
      </c>
      <c r="P3432" s="5">
        <v>24469</v>
      </c>
    </row>
    <row r="3433" spans="1:16" x14ac:dyDescent="0.3">
      <c r="A3433" s="5">
        <v>85</v>
      </c>
      <c r="B3433" s="5" t="s">
        <v>147</v>
      </c>
      <c r="C3433" s="5">
        <v>6</v>
      </c>
      <c r="D3433" s="5" t="s">
        <v>90</v>
      </c>
      <c r="E3433" s="5">
        <v>2022</v>
      </c>
      <c r="F3433" s="5">
        <v>12</v>
      </c>
      <c r="G3433" s="5" t="s">
        <v>45</v>
      </c>
      <c r="H3433" s="5">
        <v>401185</v>
      </c>
      <c r="I3433" s="5">
        <v>336066.39</v>
      </c>
      <c r="J3433" s="5">
        <v>13</v>
      </c>
      <c r="K3433" s="5">
        <v>31829</v>
      </c>
      <c r="L3433" s="5">
        <v>432870</v>
      </c>
      <c r="M3433" s="5">
        <v>65118.61</v>
      </c>
      <c r="N3433" s="5">
        <v>0.1623</v>
      </c>
      <c r="O3433" s="5">
        <v>1</v>
      </c>
      <c r="P3433" s="5">
        <v>1978</v>
      </c>
    </row>
    <row r="3434" spans="1:16" x14ac:dyDescent="0.3">
      <c r="A3434" s="5">
        <v>112</v>
      </c>
      <c r="B3434" s="5" t="s">
        <v>147</v>
      </c>
      <c r="C3434" s="5">
        <v>6</v>
      </c>
      <c r="D3434" s="5" t="s">
        <v>90</v>
      </c>
      <c r="E3434" s="5">
        <v>2022</v>
      </c>
      <c r="F3434" s="5">
        <v>12</v>
      </c>
      <c r="G3434" s="5" t="s">
        <v>45</v>
      </c>
      <c r="H3434" s="5">
        <v>1501734</v>
      </c>
      <c r="I3434" s="5">
        <v>1255169.0900000001</v>
      </c>
      <c r="J3434" s="5">
        <v>20</v>
      </c>
      <c r="K3434" s="5">
        <v>117878</v>
      </c>
      <c r="L3434" s="5">
        <v>1611440</v>
      </c>
      <c r="M3434" s="5">
        <v>246564.91</v>
      </c>
      <c r="N3434" s="5">
        <v>0.16420000000000001</v>
      </c>
      <c r="O3434" s="5">
        <v>4</v>
      </c>
      <c r="P3434" s="5">
        <v>113001</v>
      </c>
    </row>
    <row r="3435" spans="1:16" x14ac:dyDescent="0.3">
      <c r="A3435" s="5">
        <v>119</v>
      </c>
      <c r="B3435" s="5" t="s">
        <v>147</v>
      </c>
      <c r="C3435" s="5">
        <v>6</v>
      </c>
      <c r="D3435" s="5" t="s">
        <v>90</v>
      </c>
      <c r="E3435" s="5">
        <v>2022</v>
      </c>
      <c r="F3435" s="5">
        <v>12</v>
      </c>
      <c r="G3435" s="5" t="s">
        <v>45</v>
      </c>
      <c r="H3435" s="5">
        <v>6244737</v>
      </c>
      <c r="I3435" s="5">
        <v>5319198.49</v>
      </c>
      <c r="J3435" s="5">
        <v>81</v>
      </c>
      <c r="K3435" s="5">
        <v>561222</v>
      </c>
      <c r="L3435" s="5">
        <v>6795460</v>
      </c>
      <c r="M3435" s="5">
        <v>925538.51</v>
      </c>
      <c r="N3435" s="5">
        <v>0.1482</v>
      </c>
      <c r="O3435" s="5">
        <v>6</v>
      </c>
      <c r="P3435" s="5">
        <v>78048</v>
      </c>
    </row>
    <row r="3436" spans="1:16" x14ac:dyDescent="0.3">
      <c r="A3436" s="5">
        <v>15</v>
      </c>
      <c r="B3436" s="5" t="s">
        <v>147</v>
      </c>
      <c r="C3436" s="5">
        <v>6</v>
      </c>
      <c r="D3436" s="5" t="s">
        <v>90</v>
      </c>
      <c r="E3436" s="5">
        <v>2023</v>
      </c>
      <c r="F3436" s="5">
        <v>1</v>
      </c>
      <c r="G3436" s="5" t="s">
        <v>46</v>
      </c>
      <c r="H3436" s="5">
        <v>1582236</v>
      </c>
      <c r="I3436" s="5">
        <v>1366691.58</v>
      </c>
      <c r="J3436" s="5">
        <v>22</v>
      </c>
      <c r="K3436" s="5">
        <v>202028</v>
      </c>
      <c r="L3436" s="5">
        <v>1776430</v>
      </c>
      <c r="M3436" s="5">
        <v>215544.42</v>
      </c>
      <c r="N3436" s="5">
        <v>0.13619999999999999</v>
      </c>
      <c r="O3436" s="5">
        <v>1</v>
      </c>
      <c r="P3436" s="5">
        <v>5864</v>
      </c>
    </row>
    <row r="3437" spans="1:16" x14ac:dyDescent="0.3">
      <c r="A3437" s="5">
        <v>31</v>
      </c>
      <c r="B3437" s="5" t="s">
        <v>147</v>
      </c>
      <c r="C3437" s="5">
        <v>6</v>
      </c>
      <c r="D3437" s="5" t="s">
        <v>90</v>
      </c>
      <c r="E3437" s="5">
        <v>2023</v>
      </c>
      <c r="F3437" s="5">
        <v>1</v>
      </c>
      <c r="G3437" s="5" t="s">
        <v>46</v>
      </c>
      <c r="H3437" s="5">
        <v>2330634</v>
      </c>
      <c r="I3437" s="5">
        <v>1951964.57</v>
      </c>
      <c r="J3437" s="5">
        <v>36</v>
      </c>
      <c r="K3437" s="5">
        <v>267627</v>
      </c>
      <c r="L3437" s="5">
        <v>2589250</v>
      </c>
      <c r="M3437" s="5">
        <v>378669.43</v>
      </c>
      <c r="N3437" s="5">
        <v>0.16250000000000001</v>
      </c>
      <c r="O3437" s="5">
        <v>1</v>
      </c>
      <c r="P3437" s="5">
        <v>3157</v>
      </c>
    </row>
    <row r="3438" spans="1:16" x14ac:dyDescent="0.3">
      <c r="A3438" s="5">
        <v>85</v>
      </c>
      <c r="B3438" s="5" t="s">
        <v>147</v>
      </c>
      <c r="C3438" s="5">
        <v>6</v>
      </c>
      <c r="D3438" s="5" t="s">
        <v>90</v>
      </c>
      <c r="E3438" s="5">
        <v>2023</v>
      </c>
      <c r="F3438" s="5">
        <v>1</v>
      </c>
      <c r="G3438" s="5" t="s">
        <v>46</v>
      </c>
      <c r="H3438" s="5">
        <v>616433</v>
      </c>
      <c r="I3438" s="5">
        <v>523593.22</v>
      </c>
      <c r="J3438" s="5">
        <v>11</v>
      </c>
      <c r="K3438" s="5">
        <v>44094</v>
      </c>
      <c r="L3438" s="5">
        <v>659550</v>
      </c>
      <c r="M3438" s="5">
        <v>92839.78</v>
      </c>
      <c r="N3438" s="5">
        <v>0.15060000000000001</v>
      </c>
      <c r="O3438" s="5">
        <v>2</v>
      </c>
      <c r="P3438" s="5">
        <v>51800</v>
      </c>
    </row>
    <row r="3439" spans="1:16" x14ac:dyDescent="0.3">
      <c r="A3439" s="5">
        <v>112</v>
      </c>
      <c r="B3439" s="5" t="s">
        <v>147</v>
      </c>
      <c r="C3439" s="5">
        <v>6</v>
      </c>
      <c r="D3439" s="5" t="s">
        <v>90</v>
      </c>
      <c r="E3439" s="5">
        <v>2023</v>
      </c>
      <c r="F3439" s="5">
        <v>1</v>
      </c>
      <c r="G3439" s="5" t="s">
        <v>46</v>
      </c>
      <c r="H3439" s="5">
        <v>800915</v>
      </c>
      <c r="I3439" s="5">
        <v>708865.48</v>
      </c>
      <c r="J3439" s="5">
        <v>13</v>
      </c>
      <c r="K3439" s="5">
        <v>116926</v>
      </c>
      <c r="L3439" s="5">
        <v>915580</v>
      </c>
      <c r="M3439" s="5">
        <v>92049.52</v>
      </c>
      <c r="N3439" s="5">
        <v>0.1149</v>
      </c>
      <c r="O3439" s="5">
        <v>0</v>
      </c>
      <c r="P3439" s="5">
        <v>0</v>
      </c>
    </row>
    <row r="3440" spans="1:16" x14ac:dyDescent="0.3">
      <c r="A3440" s="5">
        <v>119</v>
      </c>
      <c r="B3440" s="5" t="s">
        <v>147</v>
      </c>
      <c r="C3440" s="5">
        <v>6</v>
      </c>
      <c r="D3440" s="5" t="s">
        <v>90</v>
      </c>
      <c r="E3440" s="5">
        <v>2023</v>
      </c>
      <c r="F3440" s="5">
        <v>1</v>
      </c>
      <c r="G3440" s="5" t="s">
        <v>46</v>
      </c>
      <c r="H3440" s="5">
        <v>3657834</v>
      </c>
      <c r="I3440" s="5">
        <v>3243277.7</v>
      </c>
      <c r="J3440" s="5">
        <v>60</v>
      </c>
      <c r="K3440" s="5">
        <v>577874</v>
      </c>
      <c r="L3440" s="5">
        <v>4226400</v>
      </c>
      <c r="M3440" s="5">
        <v>414556.3</v>
      </c>
      <c r="N3440" s="5">
        <v>0.1133</v>
      </c>
      <c r="O3440" s="5">
        <v>5</v>
      </c>
      <c r="P3440" s="5">
        <v>153060</v>
      </c>
    </row>
    <row r="3441" spans="1:16" x14ac:dyDescent="0.3">
      <c r="A3441" s="5">
        <v>15</v>
      </c>
      <c r="B3441" s="5" t="s">
        <v>147</v>
      </c>
      <c r="C3441" s="5">
        <v>6</v>
      </c>
      <c r="D3441" s="5" t="s">
        <v>90</v>
      </c>
      <c r="E3441" s="5">
        <v>2023</v>
      </c>
      <c r="F3441" s="5">
        <v>2</v>
      </c>
      <c r="G3441" s="5" t="s">
        <v>47</v>
      </c>
      <c r="H3441" s="5">
        <v>1480062</v>
      </c>
      <c r="I3441" s="5">
        <v>1306443.31</v>
      </c>
      <c r="J3441" s="5">
        <v>19</v>
      </c>
      <c r="K3441" s="5">
        <v>175100</v>
      </c>
      <c r="L3441" s="5">
        <v>1652580</v>
      </c>
      <c r="M3441" s="5">
        <v>173618.69</v>
      </c>
      <c r="N3441" s="5">
        <v>0.1173</v>
      </c>
      <c r="O3441" s="5">
        <v>1</v>
      </c>
      <c r="P3441" s="5">
        <v>8895</v>
      </c>
    </row>
    <row r="3442" spans="1:16" x14ac:dyDescent="0.3">
      <c r="A3442" s="5">
        <v>31</v>
      </c>
      <c r="B3442" s="5" t="s">
        <v>147</v>
      </c>
      <c r="C3442" s="5">
        <v>6</v>
      </c>
      <c r="D3442" s="5" t="s">
        <v>90</v>
      </c>
      <c r="E3442" s="5">
        <v>2023</v>
      </c>
      <c r="F3442" s="5">
        <v>2</v>
      </c>
      <c r="G3442" s="5" t="s">
        <v>47</v>
      </c>
      <c r="H3442" s="5">
        <v>2296125</v>
      </c>
      <c r="I3442" s="5">
        <v>2049594.57</v>
      </c>
      <c r="J3442" s="5">
        <v>34</v>
      </c>
      <c r="K3442" s="5">
        <v>329649</v>
      </c>
      <c r="L3442" s="5">
        <v>2610100</v>
      </c>
      <c r="M3442" s="5">
        <v>246530.43</v>
      </c>
      <c r="N3442" s="5">
        <v>0.1074</v>
      </c>
      <c r="O3442" s="5">
        <v>2</v>
      </c>
      <c r="P3442" s="5">
        <v>58683</v>
      </c>
    </row>
    <row r="3443" spans="1:16" x14ac:dyDescent="0.3">
      <c r="A3443" s="5">
        <v>85</v>
      </c>
      <c r="B3443" s="5" t="s">
        <v>147</v>
      </c>
      <c r="C3443" s="5">
        <v>6</v>
      </c>
      <c r="D3443" s="5" t="s">
        <v>90</v>
      </c>
      <c r="E3443" s="5">
        <v>2023</v>
      </c>
      <c r="F3443" s="5">
        <v>2</v>
      </c>
      <c r="G3443" s="5" t="s">
        <v>47</v>
      </c>
      <c r="H3443" s="5">
        <v>674590</v>
      </c>
      <c r="I3443" s="5">
        <v>561633.32999999996</v>
      </c>
      <c r="J3443" s="5">
        <v>8</v>
      </c>
      <c r="K3443" s="5">
        <v>23525</v>
      </c>
      <c r="L3443" s="5">
        <v>695900</v>
      </c>
      <c r="M3443" s="5">
        <v>112956.67</v>
      </c>
      <c r="N3443" s="5">
        <v>0.16739999999999999</v>
      </c>
      <c r="O3443" s="5">
        <v>0</v>
      </c>
      <c r="P3443" s="5">
        <v>0</v>
      </c>
    </row>
    <row r="3444" spans="1:16" x14ac:dyDescent="0.3">
      <c r="A3444" s="5">
        <v>112</v>
      </c>
      <c r="B3444" s="5" t="s">
        <v>147</v>
      </c>
      <c r="C3444" s="5">
        <v>6</v>
      </c>
      <c r="D3444" s="5" t="s">
        <v>90</v>
      </c>
      <c r="E3444" s="5">
        <v>2023</v>
      </c>
      <c r="F3444" s="5">
        <v>2</v>
      </c>
      <c r="G3444" s="5" t="s">
        <v>47</v>
      </c>
      <c r="H3444" s="5">
        <v>1208027</v>
      </c>
      <c r="I3444" s="5">
        <v>1013984.75</v>
      </c>
      <c r="J3444" s="5">
        <v>16</v>
      </c>
      <c r="K3444" s="5">
        <v>98708</v>
      </c>
      <c r="L3444" s="5">
        <v>1294700</v>
      </c>
      <c r="M3444" s="5">
        <v>194042.25</v>
      </c>
      <c r="N3444" s="5">
        <v>0.16059999999999999</v>
      </c>
      <c r="O3444" s="5">
        <v>4</v>
      </c>
      <c r="P3444" s="5">
        <v>63290</v>
      </c>
    </row>
    <row r="3445" spans="1:16" x14ac:dyDescent="0.3">
      <c r="A3445" s="5">
        <v>119</v>
      </c>
      <c r="B3445" s="5" t="s">
        <v>147</v>
      </c>
      <c r="C3445" s="5">
        <v>6</v>
      </c>
      <c r="D3445" s="5" t="s">
        <v>90</v>
      </c>
      <c r="E3445" s="5">
        <v>2023</v>
      </c>
      <c r="F3445" s="5">
        <v>2</v>
      </c>
      <c r="G3445" s="5" t="s">
        <v>47</v>
      </c>
      <c r="H3445" s="5">
        <v>2848222</v>
      </c>
      <c r="I3445" s="5">
        <v>2605904.83</v>
      </c>
      <c r="J3445" s="5">
        <v>45</v>
      </c>
      <c r="K3445" s="5">
        <v>486625</v>
      </c>
      <c r="L3445" s="5">
        <v>3328010</v>
      </c>
      <c r="M3445" s="5">
        <v>242317.17</v>
      </c>
      <c r="N3445" s="5">
        <v>8.5099999999999995E-2</v>
      </c>
      <c r="O3445" s="5">
        <v>1</v>
      </c>
      <c r="P3445" s="5">
        <v>4274</v>
      </c>
    </row>
    <row r="3446" spans="1:16" x14ac:dyDescent="0.3">
      <c r="A3446" s="5">
        <v>15</v>
      </c>
      <c r="B3446" s="5" t="s">
        <v>147</v>
      </c>
      <c r="C3446" s="5">
        <v>6</v>
      </c>
      <c r="D3446" s="5" t="s">
        <v>90</v>
      </c>
      <c r="E3446" s="5">
        <v>2023</v>
      </c>
      <c r="F3446" s="5">
        <v>3</v>
      </c>
      <c r="G3446" s="5" t="s">
        <v>48</v>
      </c>
      <c r="H3446" s="5">
        <v>1672809</v>
      </c>
      <c r="I3446" s="5">
        <v>1546349.66</v>
      </c>
      <c r="J3446" s="5">
        <v>22</v>
      </c>
      <c r="K3446" s="5">
        <v>319459</v>
      </c>
      <c r="L3446" s="5">
        <v>1987130</v>
      </c>
      <c r="M3446" s="5">
        <v>126459.34</v>
      </c>
      <c r="N3446" s="5">
        <v>7.5600000000000001E-2</v>
      </c>
      <c r="O3446" s="5">
        <v>3</v>
      </c>
      <c r="P3446" s="5">
        <v>380822</v>
      </c>
    </row>
    <row r="3447" spans="1:16" x14ac:dyDescent="0.3">
      <c r="A3447" s="5">
        <v>31</v>
      </c>
      <c r="B3447" s="5" t="s">
        <v>147</v>
      </c>
      <c r="C3447" s="5">
        <v>6</v>
      </c>
      <c r="D3447" s="5" t="s">
        <v>90</v>
      </c>
      <c r="E3447" s="5">
        <v>2023</v>
      </c>
      <c r="F3447" s="5">
        <v>3</v>
      </c>
      <c r="G3447" s="5" t="s">
        <v>48</v>
      </c>
      <c r="H3447" s="5">
        <v>2136671</v>
      </c>
      <c r="I3447" s="5">
        <v>1754328.05</v>
      </c>
      <c r="J3447" s="5">
        <v>37</v>
      </c>
      <c r="K3447" s="5">
        <v>132958</v>
      </c>
      <c r="L3447" s="5">
        <v>2256820</v>
      </c>
      <c r="M3447" s="5">
        <v>382342.95</v>
      </c>
      <c r="N3447" s="5">
        <v>0.1789</v>
      </c>
      <c r="O3447" s="5">
        <v>5</v>
      </c>
      <c r="P3447" s="5">
        <v>73189</v>
      </c>
    </row>
    <row r="3448" spans="1:16" x14ac:dyDescent="0.3">
      <c r="A3448" s="5">
        <v>85</v>
      </c>
      <c r="B3448" s="5" t="s">
        <v>147</v>
      </c>
      <c r="C3448" s="5">
        <v>6</v>
      </c>
      <c r="D3448" s="5" t="s">
        <v>90</v>
      </c>
      <c r="E3448" s="5">
        <v>2023</v>
      </c>
      <c r="F3448" s="5">
        <v>3</v>
      </c>
      <c r="G3448" s="5" t="s">
        <v>48</v>
      </c>
      <c r="H3448" s="5">
        <v>437100</v>
      </c>
      <c r="I3448" s="5">
        <v>430099.31</v>
      </c>
      <c r="J3448" s="5">
        <v>10</v>
      </c>
      <c r="K3448" s="5">
        <v>102944</v>
      </c>
      <c r="L3448" s="5">
        <v>540000</v>
      </c>
      <c r="M3448" s="5">
        <v>7000.69</v>
      </c>
      <c r="N3448" s="5">
        <v>1.6E-2</v>
      </c>
      <c r="O3448" s="5">
        <v>0</v>
      </c>
      <c r="P3448" s="5">
        <v>0</v>
      </c>
    </row>
    <row r="3449" spans="1:16" x14ac:dyDescent="0.3">
      <c r="A3449" s="5">
        <v>112</v>
      </c>
      <c r="B3449" s="5" t="s">
        <v>147</v>
      </c>
      <c r="C3449" s="5">
        <v>6</v>
      </c>
      <c r="D3449" s="5" t="s">
        <v>90</v>
      </c>
      <c r="E3449" s="5">
        <v>2023</v>
      </c>
      <c r="F3449" s="5">
        <v>3</v>
      </c>
      <c r="G3449" s="5" t="s">
        <v>48</v>
      </c>
      <c r="H3449" s="5">
        <v>1212674</v>
      </c>
      <c r="I3449" s="5">
        <v>1072717.94</v>
      </c>
      <c r="J3449" s="5">
        <v>20</v>
      </c>
      <c r="K3449" s="5">
        <v>150829</v>
      </c>
      <c r="L3449" s="5">
        <v>1361610</v>
      </c>
      <c r="M3449" s="5">
        <v>139956.06</v>
      </c>
      <c r="N3449" s="5">
        <v>0.1154</v>
      </c>
      <c r="O3449" s="5">
        <v>3</v>
      </c>
      <c r="P3449" s="5">
        <v>35822</v>
      </c>
    </row>
    <row r="3450" spans="1:16" x14ac:dyDescent="0.3">
      <c r="A3450" s="5">
        <v>119</v>
      </c>
      <c r="B3450" s="5" t="s">
        <v>147</v>
      </c>
      <c r="C3450" s="5">
        <v>6</v>
      </c>
      <c r="D3450" s="5" t="s">
        <v>90</v>
      </c>
      <c r="E3450" s="5">
        <v>2023</v>
      </c>
      <c r="F3450" s="5">
        <v>3</v>
      </c>
      <c r="G3450" s="5" t="s">
        <v>48</v>
      </c>
      <c r="H3450" s="5">
        <v>3209625</v>
      </c>
      <c r="I3450" s="5">
        <v>2720127.39</v>
      </c>
      <c r="J3450" s="5">
        <v>62</v>
      </c>
      <c r="K3450" s="5">
        <v>348688</v>
      </c>
      <c r="L3450" s="5">
        <v>3545810</v>
      </c>
      <c r="M3450" s="5">
        <v>489497.61</v>
      </c>
      <c r="N3450" s="5">
        <v>0.1525</v>
      </c>
      <c r="O3450" s="5">
        <v>4</v>
      </c>
      <c r="P3450" s="5">
        <v>143352</v>
      </c>
    </row>
    <row r="3451" spans="1:16" x14ac:dyDescent="0.3">
      <c r="A3451" s="5">
        <v>15</v>
      </c>
      <c r="B3451" s="5" t="s">
        <v>147</v>
      </c>
      <c r="C3451" s="5">
        <v>6</v>
      </c>
      <c r="D3451" s="5" t="s">
        <v>90</v>
      </c>
      <c r="E3451" s="5">
        <v>2023</v>
      </c>
      <c r="F3451" s="5">
        <v>4</v>
      </c>
      <c r="G3451" s="5" t="s">
        <v>49</v>
      </c>
      <c r="H3451" s="5">
        <v>1506650</v>
      </c>
      <c r="I3451" s="5">
        <v>1436893.24</v>
      </c>
      <c r="J3451" s="5">
        <v>20</v>
      </c>
      <c r="K3451" s="5">
        <v>316184</v>
      </c>
      <c r="L3451" s="5">
        <v>1821890</v>
      </c>
      <c r="M3451" s="5">
        <v>69756.759999999995</v>
      </c>
      <c r="N3451" s="5">
        <v>4.6300000000000001E-2</v>
      </c>
      <c r="O3451" s="5">
        <v>0</v>
      </c>
      <c r="P3451" s="5">
        <v>0</v>
      </c>
    </row>
    <row r="3452" spans="1:16" x14ac:dyDescent="0.3">
      <c r="A3452" s="5">
        <v>31</v>
      </c>
      <c r="B3452" s="5" t="s">
        <v>147</v>
      </c>
      <c r="C3452" s="5">
        <v>6</v>
      </c>
      <c r="D3452" s="5" t="s">
        <v>90</v>
      </c>
      <c r="E3452" s="5">
        <v>2023</v>
      </c>
      <c r="F3452" s="5">
        <v>4</v>
      </c>
      <c r="G3452" s="5" t="s">
        <v>49</v>
      </c>
      <c r="H3452" s="5">
        <v>3258768</v>
      </c>
      <c r="I3452" s="5">
        <v>2677786.4500000002</v>
      </c>
      <c r="J3452" s="5">
        <v>44</v>
      </c>
      <c r="K3452" s="5">
        <v>285026</v>
      </c>
      <c r="L3452" s="5">
        <v>3523260</v>
      </c>
      <c r="M3452" s="5">
        <v>580981.55000000005</v>
      </c>
      <c r="N3452" s="5">
        <v>0.17829999999999999</v>
      </c>
      <c r="O3452" s="5">
        <v>2</v>
      </c>
      <c r="P3452" s="5">
        <v>142042</v>
      </c>
    </row>
    <row r="3453" spans="1:16" x14ac:dyDescent="0.3">
      <c r="A3453" s="5">
        <v>85</v>
      </c>
      <c r="B3453" s="5" t="s">
        <v>147</v>
      </c>
      <c r="C3453" s="5">
        <v>6</v>
      </c>
      <c r="D3453" s="5" t="s">
        <v>90</v>
      </c>
      <c r="E3453" s="5">
        <v>2023</v>
      </c>
      <c r="F3453" s="5">
        <v>4</v>
      </c>
      <c r="G3453" s="5" t="s">
        <v>49</v>
      </c>
      <c r="H3453" s="5">
        <v>1230231</v>
      </c>
      <c r="I3453" s="5">
        <v>1065177.9099999999</v>
      </c>
      <c r="J3453" s="5">
        <v>16</v>
      </c>
      <c r="K3453" s="5">
        <v>89278</v>
      </c>
      <c r="L3453" s="5">
        <v>1316940</v>
      </c>
      <c r="M3453" s="5">
        <v>165053.09</v>
      </c>
      <c r="N3453" s="5">
        <v>0.13420000000000001</v>
      </c>
      <c r="O3453" s="5">
        <v>1</v>
      </c>
      <c r="P3453" s="5">
        <v>1333</v>
      </c>
    </row>
    <row r="3454" spans="1:16" x14ac:dyDescent="0.3">
      <c r="A3454" s="5">
        <v>112</v>
      </c>
      <c r="B3454" s="5" t="s">
        <v>147</v>
      </c>
      <c r="C3454" s="5">
        <v>6</v>
      </c>
      <c r="D3454" s="5" t="s">
        <v>90</v>
      </c>
      <c r="E3454" s="5">
        <v>2023</v>
      </c>
      <c r="F3454" s="5">
        <v>4</v>
      </c>
      <c r="G3454" s="5" t="s">
        <v>49</v>
      </c>
      <c r="H3454" s="5">
        <v>1024864</v>
      </c>
      <c r="I3454" s="5">
        <v>946114.46</v>
      </c>
      <c r="J3454" s="5">
        <v>19</v>
      </c>
      <c r="K3454" s="5">
        <v>167413</v>
      </c>
      <c r="L3454" s="5">
        <v>1187630</v>
      </c>
      <c r="M3454" s="5">
        <v>78749.539999999994</v>
      </c>
      <c r="N3454" s="5">
        <v>7.6799999999999993E-2</v>
      </c>
      <c r="O3454" s="5">
        <v>1</v>
      </c>
      <c r="P3454" s="5">
        <v>59005</v>
      </c>
    </row>
    <row r="3455" spans="1:16" x14ac:dyDescent="0.3">
      <c r="A3455" s="5">
        <v>119</v>
      </c>
      <c r="B3455" s="5" t="s">
        <v>147</v>
      </c>
      <c r="C3455" s="5">
        <v>6</v>
      </c>
      <c r="D3455" s="5" t="s">
        <v>90</v>
      </c>
      <c r="E3455" s="5">
        <v>2023</v>
      </c>
      <c r="F3455" s="5">
        <v>4</v>
      </c>
      <c r="G3455" s="5" t="s">
        <v>49</v>
      </c>
      <c r="H3455" s="5">
        <v>6345943</v>
      </c>
      <c r="I3455" s="5">
        <v>5564938.1699999999</v>
      </c>
      <c r="J3455" s="5">
        <v>85</v>
      </c>
      <c r="K3455" s="5">
        <v>755135</v>
      </c>
      <c r="L3455" s="5">
        <v>7073940</v>
      </c>
      <c r="M3455" s="5">
        <v>781004.83</v>
      </c>
      <c r="N3455" s="5">
        <v>0.1231</v>
      </c>
      <c r="O3455" s="5">
        <v>5</v>
      </c>
      <c r="P3455" s="5">
        <v>453687</v>
      </c>
    </row>
    <row r="3456" spans="1:16" x14ac:dyDescent="0.3">
      <c r="A3456" s="5">
        <v>15</v>
      </c>
      <c r="B3456" s="5" t="s">
        <v>147</v>
      </c>
      <c r="C3456" s="5">
        <v>6</v>
      </c>
      <c r="D3456" s="5" t="s">
        <v>90</v>
      </c>
      <c r="E3456" s="5">
        <v>2023</v>
      </c>
      <c r="F3456" s="5">
        <v>5</v>
      </c>
      <c r="G3456" s="5" t="s">
        <v>50</v>
      </c>
      <c r="H3456" s="5">
        <v>937366</v>
      </c>
      <c r="I3456" s="5">
        <v>770529.14</v>
      </c>
      <c r="J3456" s="5">
        <v>16</v>
      </c>
      <c r="K3456" s="5">
        <v>114048</v>
      </c>
      <c r="L3456" s="5">
        <v>1050330</v>
      </c>
      <c r="M3456" s="5">
        <v>166836.85999999999</v>
      </c>
      <c r="N3456" s="5">
        <v>0.17799999999999999</v>
      </c>
      <c r="O3456" s="5">
        <v>1</v>
      </c>
      <c r="P3456" s="5">
        <v>24484</v>
      </c>
    </row>
    <row r="3457" spans="1:16" x14ac:dyDescent="0.3">
      <c r="A3457" s="5">
        <v>31</v>
      </c>
      <c r="B3457" s="5" t="s">
        <v>147</v>
      </c>
      <c r="C3457" s="5">
        <v>6</v>
      </c>
      <c r="D3457" s="5" t="s">
        <v>90</v>
      </c>
      <c r="E3457" s="5">
        <v>2023</v>
      </c>
      <c r="F3457" s="5">
        <v>5</v>
      </c>
      <c r="G3457" s="5" t="s">
        <v>50</v>
      </c>
      <c r="H3457" s="5">
        <v>3528426</v>
      </c>
      <c r="I3457" s="5">
        <v>3088882.55</v>
      </c>
      <c r="J3457" s="5">
        <v>52</v>
      </c>
      <c r="K3457" s="5">
        <v>499574</v>
      </c>
      <c r="L3457" s="5">
        <v>4014220</v>
      </c>
      <c r="M3457" s="5">
        <v>439543.45</v>
      </c>
      <c r="N3457" s="5">
        <v>0.1246</v>
      </c>
      <c r="O3457" s="5">
        <v>6</v>
      </c>
      <c r="P3457" s="5">
        <v>355523</v>
      </c>
    </row>
    <row r="3458" spans="1:16" x14ac:dyDescent="0.3">
      <c r="A3458" s="5">
        <v>85</v>
      </c>
      <c r="B3458" s="5" t="s">
        <v>147</v>
      </c>
      <c r="C3458" s="5">
        <v>6</v>
      </c>
      <c r="D3458" s="5" t="s">
        <v>90</v>
      </c>
      <c r="E3458" s="5">
        <v>2023</v>
      </c>
      <c r="F3458" s="5">
        <v>5</v>
      </c>
      <c r="G3458" s="5" t="s">
        <v>50</v>
      </c>
      <c r="H3458" s="5">
        <v>1373738</v>
      </c>
      <c r="I3458" s="5">
        <v>1246741.6399999999</v>
      </c>
      <c r="J3458" s="5">
        <v>16</v>
      </c>
      <c r="K3458" s="5">
        <v>212312</v>
      </c>
      <c r="L3458" s="5">
        <v>1581350</v>
      </c>
      <c r="M3458" s="5">
        <v>126996.36</v>
      </c>
      <c r="N3458" s="5">
        <v>9.2399999999999996E-2</v>
      </c>
      <c r="O3458" s="5">
        <v>3</v>
      </c>
      <c r="P3458" s="5">
        <v>110398</v>
      </c>
    </row>
    <row r="3459" spans="1:16" x14ac:dyDescent="0.3">
      <c r="A3459" s="5">
        <v>112</v>
      </c>
      <c r="B3459" s="5" t="s">
        <v>147</v>
      </c>
      <c r="C3459" s="5">
        <v>6</v>
      </c>
      <c r="D3459" s="5" t="s">
        <v>90</v>
      </c>
      <c r="E3459" s="5">
        <v>2023</v>
      </c>
      <c r="F3459" s="5">
        <v>5</v>
      </c>
      <c r="G3459" s="5" t="s">
        <v>50</v>
      </c>
      <c r="H3459" s="5">
        <v>1830128</v>
      </c>
      <c r="I3459" s="5">
        <v>1574879.52</v>
      </c>
      <c r="J3459" s="5">
        <v>20</v>
      </c>
      <c r="K3459" s="5">
        <v>201413</v>
      </c>
      <c r="L3459" s="5">
        <v>2023750</v>
      </c>
      <c r="M3459" s="5">
        <v>255248.48</v>
      </c>
      <c r="N3459" s="5">
        <v>0.13950000000000001</v>
      </c>
      <c r="O3459" s="5">
        <v>4</v>
      </c>
      <c r="P3459" s="5">
        <v>299895</v>
      </c>
    </row>
    <row r="3460" spans="1:16" x14ac:dyDescent="0.3">
      <c r="A3460" s="5">
        <v>119</v>
      </c>
      <c r="B3460" s="5" t="s">
        <v>147</v>
      </c>
      <c r="C3460" s="5">
        <v>6</v>
      </c>
      <c r="D3460" s="5" t="s">
        <v>90</v>
      </c>
      <c r="E3460" s="5">
        <v>2023</v>
      </c>
      <c r="F3460" s="5">
        <v>5</v>
      </c>
      <c r="G3460" s="5" t="s">
        <v>50</v>
      </c>
      <c r="H3460" s="5">
        <v>5015032</v>
      </c>
      <c r="I3460" s="5">
        <v>4376229.82</v>
      </c>
      <c r="J3460" s="5">
        <v>71</v>
      </c>
      <c r="K3460" s="5">
        <v>575070</v>
      </c>
      <c r="L3460" s="5">
        <v>5571720</v>
      </c>
      <c r="M3460" s="5">
        <v>638802.18000000005</v>
      </c>
      <c r="N3460" s="5">
        <v>0.12740000000000001</v>
      </c>
      <c r="O3460" s="5">
        <v>3</v>
      </c>
      <c r="P3460" s="5">
        <v>109749</v>
      </c>
    </row>
    <row r="3461" spans="1:16" x14ac:dyDescent="0.3">
      <c r="A3461" s="5">
        <v>15</v>
      </c>
      <c r="B3461" s="5" t="s">
        <v>147</v>
      </c>
      <c r="C3461" s="5">
        <v>6</v>
      </c>
      <c r="D3461" s="5" t="s">
        <v>90</v>
      </c>
      <c r="E3461" s="5">
        <v>2023</v>
      </c>
      <c r="F3461" s="5">
        <v>6</v>
      </c>
      <c r="G3461" s="5" t="s">
        <v>51</v>
      </c>
      <c r="H3461" s="5">
        <v>713335</v>
      </c>
      <c r="I3461" s="5">
        <v>550461.29</v>
      </c>
      <c r="J3461" s="5">
        <v>17</v>
      </c>
      <c r="K3461" s="5">
        <v>40824</v>
      </c>
      <c r="L3461" s="5">
        <v>751200</v>
      </c>
      <c r="M3461" s="5">
        <v>162873.71</v>
      </c>
      <c r="N3461" s="5">
        <v>0.2283</v>
      </c>
      <c r="O3461" s="5">
        <v>0</v>
      </c>
      <c r="P3461" s="5">
        <v>0</v>
      </c>
    </row>
    <row r="3462" spans="1:16" x14ac:dyDescent="0.3">
      <c r="A3462" s="5">
        <v>31</v>
      </c>
      <c r="B3462" s="5" t="s">
        <v>147</v>
      </c>
      <c r="C3462" s="5">
        <v>6</v>
      </c>
      <c r="D3462" s="5" t="s">
        <v>90</v>
      </c>
      <c r="E3462" s="5">
        <v>2023</v>
      </c>
      <c r="F3462" s="5">
        <v>6</v>
      </c>
      <c r="G3462" s="5" t="s">
        <v>51</v>
      </c>
      <c r="H3462" s="5">
        <v>3288566</v>
      </c>
      <c r="I3462" s="5">
        <v>2831694.71</v>
      </c>
      <c r="J3462" s="5">
        <v>46</v>
      </c>
      <c r="K3462" s="5">
        <v>369810</v>
      </c>
      <c r="L3462" s="5">
        <v>3648930</v>
      </c>
      <c r="M3462" s="5">
        <v>456871.29</v>
      </c>
      <c r="N3462" s="5">
        <v>0.1389</v>
      </c>
      <c r="O3462" s="5">
        <v>6</v>
      </c>
      <c r="P3462" s="5">
        <v>224122</v>
      </c>
    </row>
    <row r="3463" spans="1:16" x14ac:dyDescent="0.3">
      <c r="A3463" s="5">
        <v>85</v>
      </c>
      <c r="B3463" s="5" t="s">
        <v>147</v>
      </c>
      <c r="C3463" s="5">
        <v>6</v>
      </c>
      <c r="D3463" s="5" t="s">
        <v>90</v>
      </c>
      <c r="E3463" s="5">
        <v>2023</v>
      </c>
      <c r="F3463" s="5">
        <v>6</v>
      </c>
      <c r="G3463" s="5" t="s">
        <v>51</v>
      </c>
      <c r="H3463" s="5">
        <v>1288254</v>
      </c>
      <c r="I3463" s="5">
        <v>1191177.56</v>
      </c>
      <c r="J3463" s="5">
        <v>14</v>
      </c>
      <c r="K3463" s="5">
        <v>171653</v>
      </c>
      <c r="L3463" s="5">
        <v>1455760</v>
      </c>
      <c r="M3463" s="5">
        <v>97076.44</v>
      </c>
      <c r="N3463" s="5">
        <v>7.5399999999999995E-2</v>
      </c>
      <c r="O3463" s="5">
        <v>1</v>
      </c>
      <c r="P3463" s="5">
        <v>136215</v>
      </c>
    </row>
    <row r="3464" spans="1:16" x14ac:dyDescent="0.3">
      <c r="A3464" s="5">
        <v>112</v>
      </c>
      <c r="B3464" s="5" t="s">
        <v>147</v>
      </c>
      <c r="C3464" s="5">
        <v>6</v>
      </c>
      <c r="D3464" s="5" t="s">
        <v>90</v>
      </c>
      <c r="E3464" s="5">
        <v>2023</v>
      </c>
      <c r="F3464" s="5">
        <v>6</v>
      </c>
      <c r="G3464" s="5" t="s">
        <v>51</v>
      </c>
      <c r="H3464" s="5">
        <v>1554541</v>
      </c>
      <c r="I3464" s="5">
        <v>1388698.41</v>
      </c>
      <c r="J3464" s="5">
        <v>27</v>
      </c>
      <c r="K3464" s="5">
        <v>246852</v>
      </c>
      <c r="L3464" s="5">
        <v>1798150</v>
      </c>
      <c r="M3464" s="5">
        <v>165842.59</v>
      </c>
      <c r="N3464" s="5">
        <v>0.1067</v>
      </c>
      <c r="O3464" s="5">
        <v>3</v>
      </c>
      <c r="P3464" s="5">
        <v>16059</v>
      </c>
    </row>
    <row r="3465" spans="1:16" x14ac:dyDescent="0.3">
      <c r="A3465" s="5">
        <v>119</v>
      </c>
      <c r="B3465" s="5" t="s">
        <v>147</v>
      </c>
      <c r="C3465" s="5">
        <v>6</v>
      </c>
      <c r="D3465" s="5" t="s">
        <v>90</v>
      </c>
      <c r="E3465" s="5">
        <v>2023</v>
      </c>
      <c r="F3465" s="5">
        <v>6</v>
      </c>
      <c r="G3465" s="5" t="s">
        <v>51</v>
      </c>
      <c r="H3465" s="5">
        <v>4909033</v>
      </c>
      <c r="I3465" s="5">
        <v>4129654.67</v>
      </c>
      <c r="J3465" s="5">
        <v>71</v>
      </c>
      <c r="K3465" s="5">
        <v>416374</v>
      </c>
      <c r="L3465" s="5">
        <v>5305370</v>
      </c>
      <c r="M3465" s="5">
        <v>779378.33</v>
      </c>
      <c r="N3465" s="5">
        <v>0.1588</v>
      </c>
      <c r="O3465" s="5">
        <v>8</v>
      </c>
      <c r="P3465" s="5">
        <v>211150</v>
      </c>
    </row>
    <row r="3466" spans="1:16" x14ac:dyDescent="0.3">
      <c r="A3466" s="5">
        <v>15</v>
      </c>
      <c r="B3466" s="5" t="s">
        <v>147</v>
      </c>
      <c r="C3466" s="5">
        <v>6</v>
      </c>
      <c r="D3466" s="5" t="s">
        <v>90</v>
      </c>
      <c r="E3466" s="5">
        <v>2023</v>
      </c>
      <c r="F3466" s="5">
        <v>7</v>
      </c>
      <c r="G3466" s="5" t="s">
        <v>52</v>
      </c>
      <c r="H3466" s="5">
        <v>1262081</v>
      </c>
      <c r="I3466" s="5">
        <v>1098677.04</v>
      </c>
      <c r="J3466" s="5">
        <v>18</v>
      </c>
      <c r="K3466" s="5">
        <v>112054</v>
      </c>
      <c r="L3466" s="5">
        <v>1364200</v>
      </c>
      <c r="M3466" s="5">
        <v>163403.96</v>
      </c>
      <c r="N3466" s="5">
        <v>0.1295</v>
      </c>
      <c r="O3466" s="5">
        <v>1</v>
      </c>
      <c r="P3466" s="5">
        <v>3537</v>
      </c>
    </row>
    <row r="3467" spans="1:16" x14ac:dyDescent="0.3">
      <c r="A3467" s="5">
        <v>31</v>
      </c>
      <c r="B3467" s="5" t="s">
        <v>147</v>
      </c>
      <c r="C3467" s="5">
        <v>6</v>
      </c>
      <c r="D3467" s="5" t="s">
        <v>90</v>
      </c>
      <c r="E3467" s="5">
        <v>2023</v>
      </c>
      <c r="F3467" s="5">
        <v>7</v>
      </c>
      <c r="G3467" s="5" t="s">
        <v>52</v>
      </c>
      <c r="H3467" s="5">
        <v>1504022</v>
      </c>
      <c r="I3467" s="5">
        <v>1372827.07</v>
      </c>
      <c r="J3467" s="5">
        <v>37</v>
      </c>
      <c r="K3467" s="5">
        <v>315435</v>
      </c>
      <c r="L3467" s="5">
        <v>1816730</v>
      </c>
      <c r="M3467" s="5">
        <v>131194.93</v>
      </c>
      <c r="N3467" s="5">
        <v>8.72E-2</v>
      </c>
      <c r="O3467" s="5">
        <v>5</v>
      </c>
      <c r="P3467" s="5">
        <v>85556</v>
      </c>
    </row>
    <row r="3468" spans="1:16" x14ac:dyDescent="0.3">
      <c r="A3468" s="5">
        <v>85</v>
      </c>
      <c r="B3468" s="5" t="s">
        <v>147</v>
      </c>
      <c r="C3468" s="5">
        <v>6</v>
      </c>
      <c r="D3468" s="5" t="s">
        <v>90</v>
      </c>
      <c r="E3468" s="5">
        <v>2023</v>
      </c>
      <c r="F3468" s="5">
        <v>7</v>
      </c>
      <c r="G3468" s="5" t="s">
        <v>52</v>
      </c>
      <c r="H3468" s="5">
        <v>679495</v>
      </c>
      <c r="I3468" s="5">
        <v>570501.61</v>
      </c>
      <c r="J3468" s="5">
        <v>19</v>
      </c>
      <c r="K3468" s="5">
        <v>74058</v>
      </c>
      <c r="L3468" s="5">
        <v>751410</v>
      </c>
      <c r="M3468" s="5">
        <v>108993.39</v>
      </c>
      <c r="N3468" s="5">
        <v>0.16039999999999999</v>
      </c>
      <c r="O3468" s="5">
        <v>2</v>
      </c>
      <c r="P3468" s="5">
        <v>10285</v>
      </c>
    </row>
    <row r="3469" spans="1:16" x14ac:dyDescent="0.3">
      <c r="A3469" s="5">
        <v>112</v>
      </c>
      <c r="B3469" s="5" t="s">
        <v>147</v>
      </c>
      <c r="C3469" s="5">
        <v>6</v>
      </c>
      <c r="D3469" s="5" t="s">
        <v>90</v>
      </c>
      <c r="E3469" s="5">
        <v>2023</v>
      </c>
      <c r="F3469" s="5">
        <v>7</v>
      </c>
      <c r="G3469" s="5" t="s">
        <v>52</v>
      </c>
      <c r="H3469" s="5">
        <v>1781155</v>
      </c>
      <c r="I3469" s="5">
        <v>1477430.7</v>
      </c>
      <c r="J3469" s="5">
        <v>24</v>
      </c>
      <c r="K3469" s="5">
        <v>129783</v>
      </c>
      <c r="L3469" s="5">
        <v>1899820</v>
      </c>
      <c r="M3469" s="5">
        <v>303724.3</v>
      </c>
      <c r="N3469" s="5">
        <v>0.17050000000000001</v>
      </c>
      <c r="O3469" s="5">
        <v>4</v>
      </c>
      <c r="P3469" s="5">
        <v>149389</v>
      </c>
    </row>
    <row r="3470" spans="1:16" x14ac:dyDescent="0.3">
      <c r="A3470" s="5">
        <v>119</v>
      </c>
      <c r="B3470" s="5" t="s">
        <v>147</v>
      </c>
      <c r="C3470" s="5">
        <v>6</v>
      </c>
      <c r="D3470" s="5" t="s">
        <v>90</v>
      </c>
      <c r="E3470" s="5">
        <v>2023</v>
      </c>
      <c r="F3470" s="5">
        <v>7</v>
      </c>
      <c r="G3470" s="5" t="s">
        <v>52</v>
      </c>
      <c r="H3470" s="5">
        <v>4195002</v>
      </c>
      <c r="I3470" s="5">
        <v>3737441.56</v>
      </c>
      <c r="J3470" s="5">
        <v>67</v>
      </c>
      <c r="K3470" s="5">
        <v>635031</v>
      </c>
      <c r="L3470" s="5">
        <v>4816130</v>
      </c>
      <c r="M3470" s="5">
        <v>457560.44</v>
      </c>
      <c r="N3470" s="5">
        <v>0.1091</v>
      </c>
      <c r="O3470" s="5">
        <v>5</v>
      </c>
      <c r="P3470" s="5">
        <v>60179</v>
      </c>
    </row>
    <row r="3471" spans="1:16" x14ac:dyDescent="0.3">
      <c r="A3471" s="5">
        <v>15</v>
      </c>
      <c r="B3471" s="5" t="s">
        <v>147</v>
      </c>
      <c r="C3471" s="5">
        <v>6</v>
      </c>
      <c r="D3471" s="5" t="s">
        <v>90</v>
      </c>
      <c r="E3471" s="5">
        <v>2023</v>
      </c>
      <c r="F3471" s="5">
        <v>8</v>
      </c>
      <c r="G3471" s="5" t="s">
        <v>53</v>
      </c>
      <c r="H3471" s="5">
        <v>1395298</v>
      </c>
      <c r="I3471" s="5">
        <v>1152604.8700000001</v>
      </c>
      <c r="J3471" s="5">
        <v>23</v>
      </c>
      <c r="K3471" s="5">
        <v>92411</v>
      </c>
      <c r="L3471" s="5">
        <v>1484910</v>
      </c>
      <c r="M3471" s="5">
        <v>242693.13</v>
      </c>
      <c r="N3471" s="5">
        <v>0.1739</v>
      </c>
      <c r="O3471" s="5">
        <v>0</v>
      </c>
      <c r="P3471" s="5">
        <v>0</v>
      </c>
    </row>
    <row r="3472" spans="1:16" x14ac:dyDescent="0.3">
      <c r="A3472" s="5">
        <v>31</v>
      </c>
      <c r="B3472" s="5" t="s">
        <v>147</v>
      </c>
      <c r="C3472" s="5">
        <v>6</v>
      </c>
      <c r="D3472" s="5" t="s">
        <v>90</v>
      </c>
      <c r="E3472" s="5">
        <v>2023</v>
      </c>
      <c r="F3472" s="5">
        <v>8</v>
      </c>
      <c r="G3472" s="5" t="s">
        <v>53</v>
      </c>
      <c r="H3472" s="5">
        <v>4151476</v>
      </c>
      <c r="I3472" s="5">
        <v>3608175.99</v>
      </c>
      <c r="J3472" s="5">
        <v>53</v>
      </c>
      <c r="K3472" s="5">
        <v>476903</v>
      </c>
      <c r="L3472" s="5">
        <v>4613620</v>
      </c>
      <c r="M3472" s="5">
        <v>543300.01</v>
      </c>
      <c r="N3472" s="5">
        <v>0.13089999999999999</v>
      </c>
      <c r="O3472" s="5">
        <v>1</v>
      </c>
      <c r="P3472" s="5">
        <v>3629</v>
      </c>
    </row>
    <row r="3473" spans="1:16" x14ac:dyDescent="0.3">
      <c r="A3473" s="5">
        <v>85</v>
      </c>
      <c r="B3473" s="5" t="s">
        <v>147</v>
      </c>
      <c r="C3473" s="5">
        <v>6</v>
      </c>
      <c r="D3473" s="5" t="s">
        <v>90</v>
      </c>
      <c r="E3473" s="5">
        <v>2023</v>
      </c>
      <c r="F3473" s="5">
        <v>8</v>
      </c>
      <c r="G3473" s="5" t="s">
        <v>53</v>
      </c>
      <c r="H3473" s="5">
        <v>886787</v>
      </c>
      <c r="I3473" s="5">
        <v>705495.6</v>
      </c>
      <c r="J3473" s="5">
        <v>10</v>
      </c>
      <c r="K3473" s="5">
        <v>43538</v>
      </c>
      <c r="L3473" s="5">
        <v>925710</v>
      </c>
      <c r="M3473" s="5">
        <v>181291.4</v>
      </c>
      <c r="N3473" s="5">
        <v>0.2044</v>
      </c>
      <c r="O3473" s="5">
        <v>1</v>
      </c>
      <c r="P3473" s="5">
        <v>43953</v>
      </c>
    </row>
    <row r="3474" spans="1:16" x14ac:dyDescent="0.3">
      <c r="A3474" s="5">
        <v>112</v>
      </c>
      <c r="B3474" s="5" t="s">
        <v>147</v>
      </c>
      <c r="C3474" s="5">
        <v>6</v>
      </c>
      <c r="D3474" s="5" t="s">
        <v>90</v>
      </c>
      <c r="E3474" s="5">
        <v>2023</v>
      </c>
      <c r="F3474" s="5">
        <v>8</v>
      </c>
      <c r="G3474" s="5" t="s">
        <v>53</v>
      </c>
      <c r="H3474" s="5">
        <v>1371767</v>
      </c>
      <c r="I3474" s="5">
        <v>1198452.43</v>
      </c>
      <c r="J3474" s="5">
        <v>19</v>
      </c>
      <c r="K3474" s="5">
        <v>179797</v>
      </c>
      <c r="L3474" s="5">
        <v>1545700</v>
      </c>
      <c r="M3474" s="5">
        <v>173314.57</v>
      </c>
      <c r="N3474" s="5">
        <v>0.1263</v>
      </c>
      <c r="O3474" s="5">
        <v>1</v>
      </c>
      <c r="P3474" s="5">
        <v>4821</v>
      </c>
    </row>
    <row r="3475" spans="1:16" x14ac:dyDescent="0.3">
      <c r="A3475" s="5">
        <v>119</v>
      </c>
      <c r="B3475" s="5" t="s">
        <v>147</v>
      </c>
      <c r="C3475" s="5">
        <v>6</v>
      </c>
      <c r="D3475" s="5" t="s">
        <v>90</v>
      </c>
      <c r="E3475" s="5">
        <v>2023</v>
      </c>
      <c r="F3475" s="5">
        <v>8</v>
      </c>
      <c r="G3475" s="5" t="s">
        <v>53</v>
      </c>
      <c r="H3475" s="5">
        <v>3948839</v>
      </c>
      <c r="I3475" s="5">
        <v>3507335.44</v>
      </c>
      <c r="J3475" s="5">
        <v>69</v>
      </c>
      <c r="K3475" s="5">
        <v>558418</v>
      </c>
      <c r="L3475" s="5">
        <v>4498210</v>
      </c>
      <c r="M3475" s="5">
        <v>441503.56</v>
      </c>
      <c r="N3475" s="5">
        <v>0.1118</v>
      </c>
      <c r="O3475" s="5">
        <v>3</v>
      </c>
      <c r="P3475" s="5">
        <v>195531</v>
      </c>
    </row>
    <row r="3476" spans="1:16" x14ac:dyDescent="0.3">
      <c r="A3476" s="5">
        <v>15</v>
      </c>
      <c r="B3476" s="5" t="s">
        <v>147</v>
      </c>
      <c r="C3476" s="5">
        <v>6</v>
      </c>
      <c r="D3476" s="5" t="s">
        <v>90</v>
      </c>
      <c r="E3476" s="5">
        <v>2023</v>
      </c>
      <c r="F3476" s="5">
        <v>9</v>
      </c>
      <c r="G3476" s="5" t="s">
        <v>54</v>
      </c>
      <c r="H3476" s="5">
        <v>1610505</v>
      </c>
      <c r="I3476" s="5">
        <v>1398394.28</v>
      </c>
      <c r="J3476" s="5">
        <v>26</v>
      </c>
      <c r="K3476" s="5">
        <v>232536</v>
      </c>
      <c r="L3476" s="5">
        <v>1829380</v>
      </c>
      <c r="M3476" s="5">
        <v>212110.72</v>
      </c>
      <c r="N3476" s="5">
        <v>0.13170000000000001</v>
      </c>
      <c r="O3476" s="5">
        <v>1</v>
      </c>
      <c r="P3476" s="5">
        <v>11222</v>
      </c>
    </row>
    <row r="3477" spans="1:16" x14ac:dyDescent="0.3">
      <c r="A3477" s="5">
        <v>31</v>
      </c>
      <c r="B3477" s="5" t="s">
        <v>147</v>
      </c>
      <c r="C3477" s="5">
        <v>6</v>
      </c>
      <c r="D3477" s="5" t="s">
        <v>90</v>
      </c>
      <c r="E3477" s="5">
        <v>2023</v>
      </c>
      <c r="F3477" s="5">
        <v>9</v>
      </c>
      <c r="G3477" s="5" t="s">
        <v>54</v>
      </c>
      <c r="H3477" s="5">
        <v>2683667</v>
      </c>
      <c r="I3477" s="5">
        <v>2516864.17</v>
      </c>
      <c r="J3477" s="5">
        <v>43</v>
      </c>
      <c r="K3477" s="5">
        <v>556929</v>
      </c>
      <c r="L3477" s="5">
        <v>3236910</v>
      </c>
      <c r="M3477" s="5">
        <v>166802.82999999999</v>
      </c>
      <c r="N3477" s="5">
        <v>6.2199999999999998E-2</v>
      </c>
      <c r="O3477" s="5">
        <v>3</v>
      </c>
      <c r="P3477" s="5">
        <v>16700</v>
      </c>
    </row>
    <row r="3478" spans="1:16" x14ac:dyDescent="0.3">
      <c r="A3478" s="5">
        <v>85</v>
      </c>
      <c r="B3478" s="5" t="s">
        <v>147</v>
      </c>
      <c r="C3478" s="5">
        <v>6</v>
      </c>
      <c r="D3478" s="5" t="s">
        <v>90</v>
      </c>
      <c r="E3478" s="5">
        <v>2023</v>
      </c>
      <c r="F3478" s="5">
        <v>9</v>
      </c>
      <c r="G3478" s="5" t="s">
        <v>54</v>
      </c>
      <c r="H3478" s="5">
        <v>764151</v>
      </c>
      <c r="I3478" s="5">
        <v>674609.37</v>
      </c>
      <c r="J3478" s="5">
        <v>13</v>
      </c>
      <c r="K3478" s="5">
        <v>110556</v>
      </c>
      <c r="L3478" s="5">
        <v>874670</v>
      </c>
      <c r="M3478" s="5">
        <v>89541.63</v>
      </c>
      <c r="N3478" s="5">
        <v>0.1172</v>
      </c>
      <c r="O3478" s="5">
        <v>0</v>
      </c>
      <c r="P3478" s="5">
        <v>0</v>
      </c>
    </row>
    <row r="3479" spans="1:16" x14ac:dyDescent="0.3">
      <c r="A3479" s="5">
        <v>112</v>
      </c>
      <c r="B3479" s="5" t="s">
        <v>147</v>
      </c>
      <c r="C3479" s="5">
        <v>6</v>
      </c>
      <c r="D3479" s="5" t="s">
        <v>90</v>
      </c>
      <c r="E3479" s="5">
        <v>2023</v>
      </c>
      <c r="F3479" s="5">
        <v>9</v>
      </c>
      <c r="G3479" s="5" t="s">
        <v>54</v>
      </c>
      <c r="H3479" s="5">
        <v>1235113</v>
      </c>
      <c r="I3479" s="5">
        <v>1135360.28</v>
      </c>
      <c r="J3479" s="5">
        <v>22</v>
      </c>
      <c r="K3479" s="5">
        <v>217897</v>
      </c>
      <c r="L3479" s="5">
        <v>1447310</v>
      </c>
      <c r="M3479" s="5">
        <v>99752.72</v>
      </c>
      <c r="N3479" s="5">
        <v>8.0799999999999997E-2</v>
      </c>
      <c r="O3479" s="5">
        <v>3</v>
      </c>
      <c r="P3479" s="5">
        <v>9475</v>
      </c>
    </row>
    <row r="3480" spans="1:16" x14ac:dyDescent="0.3">
      <c r="A3480" s="5">
        <v>119</v>
      </c>
      <c r="B3480" s="5" t="s">
        <v>147</v>
      </c>
      <c r="C3480" s="5">
        <v>6</v>
      </c>
      <c r="D3480" s="5" t="s">
        <v>90</v>
      </c>
      <c r="E3480" s="5">
        <v>2023</v>
      </c>
      <c r="F3480" s="5">
        <v>9</v>
      </c>
      <c r="G3480" s="5" t="s">
        <v>54</v>
      </c>
      <c r="H3480" s="5">
        <v>5365926</v>
      </c>
      <c r="I3480" s="5">
        <v>4952142.75</v>
      </c>
      <c r="J3480" s="5">
        <v>75</v>
      </c>
      <c r="K3480" s="5">
        <v>1040089</v>
      </c>
      <c r="L3480" s="5">
        <v>6390370</v>
      </c>
      <c r="M3480" s="5">
        <v>413783.25</v>
      </c>
      <c r="N3480" s="5">
        <v>7.7100000000000002E-2</v>
      </c>
      <c r="O3480" s="5">
        <v>8</v>
      </c>
      <c r="P3480" s="5">
        <v>72666</v>
      </c>
    </row>
    <row r="3481" spans="1:16" x14ac:dyDescent="0.3">
      <c r="A3481" s="5">
        <v>15</v>
      </c>
      <c r="B3481" s="5" t="s">
        <v>147</v>
      </c>
      <c r="C3481" s="5">
        <v>6</v>
      </c>
      <c r="D3481" s="5" t="s">
        <v>90</v>
      </c>
      <c r="E3481" s="5">
        <v>2023</v>
      </c>
      <c r="F3481" s="5">
        <v>10</v>
      </c>
      <c r="G3481" s="5" t="s">
        <v>55</v>
      </c>
      <c r="H3481" s="5">
        <v>1711590</v>
      </c>
      <c r="I3481" s="5">
        <v>1423615.01</v>
      </c>
      <c r="J3481" s="5">
        <v>24</v>
      </c>
      <c r="K3481" s="5">
        <v>105348</v>
      </c>
      <c r="L3481" s="5">
        <v>1810300</v>
      </c>
      <c r="M3481" s="5">
        <v>287974.99</v>
      </c>
      <c r="N3481" s="5">
        <v>0.16819999999999999</v>
      </c>
      <c r="O3481" s="5">
        <v>5</v>
      </c>
      <c r="P3481" s="5">
        <v>52847</v>
      </c>
    </row>
    <row r="3482" spans="1:16" x14ac:dyDescent="0.3">
      <c r="A3482" s="5">
        <v>31</v>
      </c>
      <c r="B3482" s="5" t="s">
        <v>147</v>
      </c>
      <c r="C3482" s="5">
        <v>6</v>
      </c>
      <c r="D3482" s="5" t="s">
        <v>90</v>
      </c>
      <c r="E3482" s="5">
        <v>2023</v>
      </c>
      <c r="F3482" s="5">
        <v>10</v>
      </c>
      <c r="G3482" s="5" t="s">
        <v>55</v>
      </c>
      <c r="H3482" s="5">
        <v>3211464</v>
      </c>
      <c r="I3482" s="5">
        <v>2919838.57</v>
      </c>
      <c r="J3482" s="5">
        <v>48</v>
      </c>
      <c r="K3482" s="5">
        <v>471697</v>
      </c>
      <c r="L3482" s="5">
        <v>3671950</v>
      </c>
      <c r="M3482" s="5">
        <v>291625.43</v>
      </c>
      <c r="N3482" s="5">
        <v>9.0800000000000006E-2</v>
      </c>
      <c r="O3482" s="5">
        <v>1</v>
      </c>
      <c r="P3482" s="5">
        <v>2038</v>
      </c>
    </row>
    <row r="3483" spans="1:16" x14ac:dyDescent="0.3">
      <c r="A3483" s="5">
        <v>85</v>
      </c>
      <c r="B3483" s="5" t="s">
        <v>147</v>
      </c>
      <c r="C3483" s="5">
        <v>6</v>
      </c>
      <c r="D3483" s="5" t="s">
        <v>90</v>
      </c>
      <c r="E3483" s="5">
        <v>2023</v>
      </c>
      <c r="F3483" s="5">
        <v>10</v>
      </c>
      <c r="G3483" s="5" t="s">
        <v>55</v>
      </c>
      <c r="H3483" s="5">
        <v>2047538</v>
      </c>
      <c r="I3483" s="5">
        <v>1719664.06</v>
      </c>
      <c r="J3483" s="5">
        <v>25</v>
      </c>
      <c r="K3483" s="5">
        <v>127493</v>
      </c>
      <c r="L3483" s="5">
        <v>2162870</v>
      </c>
      <c r="M3483" s="5">
        <v>327873.94</v>
      </c>
      <c r="N3483" s="5">
        <v>0.16009999999999999</v>
      </c>
      <c r="O3483" s="5">
        <v>3</v>
      </c>
      <c r="P3483" s="5">
        <v>61718</v>
      </c>
    </row>
    <row r="3484" spans="1:16" x14ac:dyDescent="0.3">
      <c r="A3484" s="5">
        <v>112</v>
      </c>
      <c r="B3484" s="5" t="s">
        <v>147</v>
      </c>
      <c r="C3484" s="5">
        <v>6</v>
      </c>
      <c r="D3484" s="5" t="s">
        <v>90</v>
      </c>
      <c r="E3484" s="5">
        <v>2023</v>
      </c>
      <c r="F3484" s="5">
        <v>10</v>
      </c>
      <c r="G3484" s="5" t="s">
        <v>55</v>
      </c>
      <c r="H3484" s="5">
        <v>1913270</v>
      </c>
      <c r="I3484" s="5">
        <v>1652411.45</v>
      </c>
      <c r="J3484" s="5">
        <v>20</v>
      </c>
      <c r="K3484" s="5">
        <v>186188</v>
      </c>
      <c r="L3484" s="5">
        <v>2091770</v>
      </c>
      <c r="M3484" s="5">
        <v>260858.55</v>
      </c>
      <c r="N3484" s="5">
        <v>0.1363</v>
      </c>
      <c r="O3484" s="5">
        <v>5</v>
      </c>
      <c r="P3484" s="5">
        <v>33356</v>
      </c>
    </row>
    <row r="3485" spans="1:16" x14ac:dyDescent="0.3">
      <c r="A3485" s="5">
        <v>119</v>
      </c>
      <c r="B3485" s="5" t="s">
        <v>147</v>
      </c>
      <c r="C3485" s="5">
        <v>6</v>
      </c>
      <c r="D3485" s="5" t="s">
        <v>90</v>
      </c>
      <c r="E3485" s="5">
        <v>2023</v>
      </c>
      <c r="F3485" s="5">
        <v>10</v>
      </c>
      <c r="G3485" s="5" t="s">
        <v>55</v>
      </c>
      <c r="H3485" s="5">
        <v>6848085</v>
      </c>
      <c r="I3485" s="5">
        <v>5922368.2800000003</v>
      </c>
      <c r="J3485" s="5">
        <v>104</v>
      </c>
      <c r="K3485" s="5">
        <v>740131</v>
      </c>
      <c r="L3485" s="5">
        <v>7557290</v>
      </c>
      <c r="M3485" s="5">
        <v>925716.72</v>
      </c>
      <c r="N3485" s="5">
        <v>0.13519999999999999</v>
      </c>
      <c r="O3485" s="5">
        <v>7</v>
      </c>
      <c r="P3485" s="5">
        <v>352319</v>
      </c>
    </row>
    <row r="3486" spans="1:16" x14ac:dyDescent="0.3">
      <c r="A3486" s="5">
        <v>15</v>
      </c>
      <c r="B3486" s="5" t="s">
        <v>147</v>
      </c>
      <c r="C3486" s="5">
        <v>6</v>
      </c>
      <c r="D3486" s="5" t="s">
        <v>90</v>
      </c>
      <c r="E3486" s="5">
        <v>2023</v>
      </c>
      <c r="F3486" s="5">
        <v>11</v>
      </c>
      <c r="G3486" s="5" t="s">
        <v>56</v>
      </c>
      <c r="H3486" s="5">
        <v>2643703</v>
      </c>
      <c r="I3486" s="5">
        <v>2280909.5699999998</v>
      </c>
      <c r="J3486" s="5">
        <v>30</v>
      </c>
      <c r="K3486" s="5">
        <v>298955</v>
      </c>
      <c r="L3486" s="5">
        <v>2931530</v>
      </c>
      <c r="M3486" s="5">
        <v>362793.43</v>
      </c>
      <c r="N3486" s="5">
        <v>0.13719999999999999</v>
      </c>
      <c r="O3486" s="5">
        <v>1</v>
      </c>
      <c r="P3486" s="5">
        <v>11372</v>
      </c>
    </row>
    <row r="3487" spans="1:16" x14ac:dyDescent="0.3">
      <c r="A3487" s="5">
        <v>31</v>
      </c>
      <c r="B3487" s="5" t="s">
        <v>147</v>
      </c>
      <c r="C3487" s="5">
        <v>6</v>
      </c>
      <c r="D3487" s="5" t="s">
        <v>90</v>
      </c>
      <c r="E3487" s="5">
        <v>2023</v>
      </c>
      <c r="F3487" s="5">
        <v>11</v>
      </c>
      <c r="G3487" s="5" t="s">
        <v>56</v>
      </c>
      <c r="H3487" s="5">
        <v>3851720</v>
      </c>
      <c r="I3487" s="5">
        <v>3330941.78</v>
      </c>
      <c r="J3487" s="5">
        <v>66</v>
      </c>
      <c r="K3487" s="5">
        <v>481527</v>
      </c>
      <c r="L3487" s="5">
        <v>4309660</v>
      </c>
      <c r="M3487" s="5">
        <v>520778.22</v>
      </c>
      <c r="N3487" s="5">
        <v>0.13519999999999999</v>
      </c>
      <c r="O3487" s="5">
        <v>8</v>
      </c>
      <c r="P3487" s="5">
        <v>333636</v>
      </c>
    </row>
    <row r="3488" spans="1:16" x14ac:dyDescent="0.3">
      <c r="A3488" s="5">
        <v>85</v>
      </c>
      <c r="B3488" s="5" t="s">
        <v>147</v>
      </c>
      <c r="C3488" s="5">
        <v>6</v>
      </c>
      <c r="D3488" s="5" t="s">
        <v>90</v>
      </c>
      <c r="E3488" s="5">
        <v>2023</v>
      </c>
      <c r="F3488" s="5">
        <v>11</v>
      </c>
      <c r="G3488" s="5" t="s">
        <v>56</v>
      </c>
      <c r="H3488" s="5">
        <v>855618</v>
      </c>
      <c r="I3488" s="5">
        <v>707306.87</v>
      </c>
      <c r="J3488" s="5">
        <v>13</v>
      </c>
      <c r="K3488" s="5">
        <v>75028</v>
      </c>
      <c r="L3488" s="5">
        <v>928410</v>
      </c>
      <c r="M3488" s="5">
        <v>148311.13</v>
      </c>
      <c r="N3488" s="5">
        <v>0.17330000000000001</v>
      </c>
      <c r="O3488" s="5">
        <v>1</v>
      </c>
      <c r="P3488" s="5">
        <v>55471</v>
      </c>
    </row>
    <row r="3489" spans="1:16" x14ac:dyDescent="0.3">
      <c r="A3489" s="5">
        <v>112</v>
      </c>
      <c r="B3489" s="5" t="s">
        <v>147</v>
      </c>
      <c r="C3489" s="5">
        <v>6</v>
      </c>
      <c r="D3489" s="5" t="s">
        <v>90</v>
      </c>
      <c r="E3489" s="5">
        <v>2023</v>
      </c>
      <c r="F3489" s="5">
        <v>11</v>
      </c>
      <c r="G3489" s="5" t="s">
        <v>56</v>
      </c>
      <c r="H3489" s="5">
        <v>1658715</v>
      </c>
      <c r="I3489" s="5">
        <v>1523503.93</v>
      </c>
      <c r="J3489" s="5">
        <v>29</v>
      </c>
      <c r="K3489" s="5">
        <v>285801</v>
      </c>
      <c r="L3489" s="5">
        <v>1936890</v>
      </c>
      <c r="M3489" s="5">
        <v>135211.07</v>
      </c>
      <c r="N3489" s="5">
        <v>8.1500000000000003E-2</v>
      </c>
      <c r="O3489" s="5">
        <v>0</v>
      </c>
      <c r="P3489" s="5">
        <v>0</v>
      </c>
    </row>
    <row r="3490" spans="1:16" x14ac:dyDescent="0.3">
      <c r="A3490" s="5">
        <v>119</v>
      </c>
      <c r="B3490" s="5" t="s">
        <v>147</v>
      </c>
      <c r="C3490" s="5">
        <v>6</v>
      </c>
      <c r="D3490" s="5" t="s">
        <v>90</v>
      </c>
      <c r="E3490" s="5">
        <v>2023</v>
      </c>
      <c r="F3490" s="5">
        <v>11</v>
      </c>
      <c r="G3490" s="5" t="s">
        <v>56</v>
      </c>
      <c r="H3490" s="5">
        <v>7619517</v>
      </c>
      <c r="I3490" s="5">
        <v>6587917.8099999996</v>
      </c>
      <c r="J3490" s="5">
        <v>95</v>
      </c>
      <c r="K3490" s="5">
        <v>869552</v>
      </c>
      <c r="L3490" s="5">
        <v>8458570</v>
      </c>
      <c r="M3490" s="5">
        <v>1031599.19</v>
      </c>
      <c r="N3490" s="5">
        <v>0.13539999999999999</v>
      </c>
      <c r="O3490" s="5">
        <v>6</v>
      </c>
      <c r="P3490" s="5">
        <v>93247</v>
      </c>
    </row>
    <row r="3491" spans="1:16" x14ac:dyDescent="0.3">
      <c r="A3491" s="5">
        <v>15</v>
      </c>
      <c r="B3491" s="5" t="s">
        <v>147</v>
      </c>
      <c r="C3491" s="5">
        <v>6</v>
      </c>
      <c r="D3491" s="5" t="s">
        <v>90</v>
      </c>
      <c r="E3491" s="5">
        <v>2023</v>
      </c>
      <c r="F3491" s="5">
        <v>12</v>
      </c>
      <c r="G3491" s="5" t="s">
        <v>57</v>
      </c>
      <c r="H3491" s="5">
        <v>3138282</v>
      </c>
      <c r="I3491" s="5">
        <v>2770833.94</v>
      </c>
      <c r="J3491" s="5">
        <v>46</v>
      </c>
      <c r="K3491" s="5">
        <v>425050</v>
      </c>
      <c r="L3491" s="5">
        <v>3548920</v>
      </c>
      <c r="M3491" s="5">
        <v>367448.06</v>
      </c>
      <c r="N3491" s="5">
        <v>0.1171</v>
      </c>
      <c r="O3491" s="5">
        <v>4</v>
      </c>
      <c r="P3491" s="5">
        <v>194897</v>
      </c>
    </row>
    <row r="3492" spans="1:16" x14ac:dyDescent="0.3">
      <c r="A3492" s="5">
        <v>31</v>
      </c>
      <c r="B3492" s="5" t="s">
        <v>147</v>
      </c>
      <c r="C3492" s="5">
        <v>6</v>
      </c>
      <c r="D3492" s="5" t="s">
        <v>90</v>
      </c>
      <c r="E3492" s="5">
        <v>2023</v>
      </c>
      <c r="F3492" s="5">
        <v>12</v>
      </c>
      <c r="G3492" s="5" t="s">
        <v>57</v>
      </c>
      <c r="H3492" s="5">
        <v>3999578</v>
      </c>
      <c r="I3492" s="5">
        <v>3664195.12</v>
      </c>
      <c r="J3492" s="5">
        <v>65</v>
      </c>
      <c r="K3492" s="5">
        <v>794462</v>
      </c>
      <c r="L3492" s="5">
        <v>4784700</v>
      </c>
      <c r="M3492" s="5">
        <v>335382.88</v>
      </c>
      <c r="N3492" s="5">
        <v>8.3900000000000002E-2</v>
      </c>
      <c r="O3492" s="5">
        <v>7</v>
      </c>
      <c r="P3492" s="5">
        <v>235636</v>
      </c>
    </row>
    <row r="3493" spans="1:16" x14ac:dyDescent="0.3">
      <c r="A3493" s="5">
        <v>85</v>
      </c>
      <c r="B3493" s="5" t="s">
        <v>147</v>
      </c>
      <c r="C3493" s="5">
        <v>6</v>
      </c>
      <c r="D3493" s="5" t="s">
        <v>90</v>
      </c>
      <c r="E3493" s="5">
        <v>2023</v>
      </c>
      <c r="F3493" s="5">
        <v>12</v>
      </c>
      <c r="G3493" s="5" t="s">
        <v>57</v>
      </c>
      <c r="H3493" s="5">
        <v>1410223</v>
      </c>
      <c r="I3493" s="5">
        <v>1256509.28</v>
      </c>
      <c r="J3493" s="5">
        <v>14</v>
      </c>
      <c r="K3493" s="5">
        <v>168021</v>
      </c>
      <c r="L3493" s="5">
        <v>1574300</v>
      </c>
      <c r="M3493" s="5">
        <v>153713.72</v>
      </c>
      <c r="N3493" s="5">
        <v>0.109</v>
      </c>
      <c r="O3493" s="5">
        <v>1</v>
      </c>
      <c r="P3493" s="5">
        <v>6564</v>
      </c>
    </row>
    <row r="3494" spans="1:16" x14ac:dyDescent="0.3">
      <c r="A3494" s="5">
        <v>112</v>
      </c>
      <c r="B3494" s="5" t="s">
        <v>147</v>
      </c>
      <c r="C3494" s="5">
        <v>6</v>
      </c>
      <c r="D3494" s="5" t="s">
        <v>90</v>
      </c>
      <c r="E3494" s="5">
        <v>2023</v>
      </c>
      <c r="F3494" s="5">
        <v>12</v>
      </c>
      <c r="G3494" s="5" t="s">
        <v>57</v>
      </c>
      <c r="H3494" s="5">
        <v>1967482</v>
      </c>
      <c r="I3494" s="5">
        <v>1773476.22</v>
      </c>
      <c r="J3494" s="5">
        <v>24</v>
      </c>
      <c r="K3494" s="5">
        <v>333611</v>
      </c>
      <c r="L3494" s="5">
        <v>2297510</v>
      </c>
      <c r="M3494" s="5">
        <v>194005.78</v>
      </c>
      <c r="N3494" s="5">
        <v>9.8599999999999993E-2</v>
      </c>
      <c r="O3494" s="5">
        <v>1</v>
      </c>
      <c r="P3494" s="5">
        <v>8461</v>
      </c>
    </row>
    <row r="3495" spans="1:16" x14ac:dyDescent="0.3">
      <c r="A3495" s="5">
        <v>119</v>
      </c>
      <c r="B3495" s="5" t="s">
        <v>147</v>
      </c>
      <c r="C3495" s="5">
        <v>6</v>
      </c>
      <c r="D3495" s="5" t="s">
        <v>90</v>
      </c>
      <c r="E3495" s="5">
        <v>2023</v>
      </c>
      <c r="F3495" s="5">
        <v>12</v>
      </c>
      <c r="G3495" s="5" t="s">
        <v>57</v>
      </c>
      <c r="H3495" s="5">
        <v>6691741</v>
      </c>
      <c r="I3495" s="5">
        <v>6121047.9000000004</v>
      </c>
      <c r="J3495" s="5">
        <v>91</v>
      </c>
      <c r="K3495" s="5">
        <v>1246159</v>
      </c>
      <c r="L3495" s="5">
        <v>7905670</v>
      </c>
      <c r="M3495" s="5">
        <v>570693.1</v>
      </c>
      <c r="N3495" s="5">
        <v>8.5300000000000001E-2</v>
      </c>
      <c r="O3495" s="5">
        <v>6</v>
      </c>
      <c r="P3495" s="5">
        <v>168686</v>
      </c>
    </row>
    <row r="3496" spans="1:16" x14ac:dyDescent="0.3">
      <c r="A3496" s="5">
        <v>15</v>
      </c>
      <c r="B3496" s="5" t="s">
        <v>147</v>
      </c>
      <c r="C3496" s="5">
        <v>6</v>
      </c>
      <c r="D3496" s="5" t="s">
        <v>90</v>
      </c>
      <c r="E3496" s="5">
        <v>2024</v>
      </c>
      <c r="F3496" s="5">
        <v>1</v>
      </c>
      <c r="G3496" s="5" t="s">
        <v>58</v>
      </c>
      <c r="H3496" s="5">
        <v>1067242</v>
      </c>
      <c r="I3496" s="5">
        <v>950373.62</v>
      </c>
      <c r="J3496" s="5">
        <v>20</v>
      </c>
      <c r="K3496" s="5">
        <v>182076</v>
      </c>
      <c r="L3496" s="5">
        <v>1244990</v>
      </c>
      <c r="M3496" s="5">
        <v>116868.38</v>
      </c>
      <c r="N3496" s="5">
        <v>0.1095</v>
      </c>
      <c r="O3496" s="5">
        <v>1</v>
      </c>
      <c r="P3496" s="5">
        <v>1092</v>
      </c>
    </row>
    <row r="3497" spans="1:16" x14ac:dyDescent="0.3">
      <c r="A3497" s="5">
        <v>31</v>
      </c>
      <c r="B3497" s="5" t="s">
        <v>147</v>
      </c>
      <c r="C3497" s="5">
        <v>6</v>
      </c>
      <c r="D3497" s="5" t="s">
        <v>90</v>
      </c>
      <c r="E3497" s="5">
        <v>2024</v>
      </c>
      <c r="F3497" s="5">
        <v>1</v>
      </c>
      <c r="G3497" s="5" t="s">
        <v>58</v>
      </c>
      <c r="H3497" s="5">
        <v>3514413</v>
      </c>
      <c r="I3497" s="5">
        <v>2957635.63</v>
      </c>
      <c r="J3497" s="5">
        <v>43</v>
      </c>
      <c r="K3497" s="5">
        <v>399870</v>
      </c>
      <c r="L3497" s="5">
        <v>3900680</v>
      </c>
      <c r="M3497" s="5">
        <v>556777.37</v>
      </c>
      <c r="N3497" s="5">
        <v>0.15840000000000001</v>
      </c>
      <c r="O3497" s="5">
        <v>6</v>
      </c>
      <c r="P3497" s="5">
        <v>111828</v>
      </c>
    </row>
    <row r="3498" spans="1:16" x14ac:dyDescent="0.3">
      <c r="A3498" s="5">
        <v>85</v>
      </c>
      <c r="B3498" s="5" t="s">
        <v>147</v>
      </c>
      <c r="C3498" s="5">
        <v>6</v>
      </c>
      <c r="D3498" s="5" t="s">
        <v>90</v>
      </c>
      <c r="E3498" s="5">
        <v>2024</v>
      </c>
      <c r="F3498" s="5">
        <v>1</v>
      </c>
      <c r="G3498" s="5" t="s">
        <v>58</v>
      </c>
      <c r="H3498" s="5">
        <v>639299</v>
      </c>
      <c r="I3498" s="5">
        <v>591657.96</v>
      </c>
      <c r="J3498" s="5">
        <v>9</v>
      </c>
      <c r="K3498" s="5">
        <v>123564</v>
      </c>
      <c r="L3498" s="5">
        <v>761970</v>
      </c>
      <c r="M3498" s="5">
        <v>47641.04</v>
      </c>
      <c r="N3498" s="5">
        <v>7.4499999999999997E-2</v>
      </c>
      <c r="O3498" s="5">
        <v>0</v>
      </c>
      <c r="P3498" s="5">
        <v>0</v>
      </c>
    </row>
    <row r="3499" spans="1:16" x14ac:dyDescent="0.3">
      <c r="A3499" s="5">
        <v>112</v>
      </c>
      <c r="B3499" s="5" t="s">
        <v>147</v>
      </c>
      <c r="C3499" s="5">
        <v>6</v>
      </c>
      <c r="D3499" s="5" t="s">
        <v>90</v>
      </c>
      <c r="E3499" s="5">
        <v>2024</v>
      </c>
      <c r="F3499" s="5">
        <v>1</v>
      </c>
      <c r="G3499" s="5" t="s">
        <v>58</v>
      </c>
      <c r="H3499" s="5">
        <v>1427404</v>
      </c>
      <c r="I3499" s="5">
        <v>1309960.8400000001</v>
      </c>
      <c r="J3499" s="5">
        <v>25</v>
      </c>
      <c r="K3499" s="5">
        <v>232964</v>
      </c>
      <c r="L3499" s="5">
        <v>1654670</v>
      </c>
      <c r="M3499" s="5">
        <v>117443.16</v>
      </c>
      <c r="N3499" s="5">
        <v>8.2299999999999998E-2</v>
      </c>
      <c r="O3499" s="5">
        <v>6</v>
      </c>
      <c r="P3499" s="5">
        <v>195373</v>
      </c>
    </row>
    <row r="3500" spans="1:16" x14ac:dyDescent="0.3">
      <c r="A3500" s="5">
        <v>119</v>
      </c>
      <c r="B3500" s="5" t="s">
        <v>147</v>
      </c>
      <c r="C3500" s="5">
        <v>6</v>
      </c>
      <c r="D3500" s="5" t="s">
        <v>90</v>
      </c>
      <c r="E3500" s="5">
        <v>2024</v>
      </c>
      <c r="F3500" s="5">
        <v>1</v>
      </c>
      <c r="G3500" s="5" t="s">
        <v>58</v>
      </c>
      <c r="H3500" s="5">
        <v>3402101</v>
      </c>
      <c r="I3500" s="5">
        <v>2883945.46</v>
      </c>
      <c r="J3500" s="5">
        <v>62</v>
      </c>
      <c r="K3500" s="5">
        <v>361701</v>
      </c>
      <c r="L3500" s="5">
        <v>3755230</v>
      </c>
      <c r="M3500" s="5">
        <v>518155.54</v>
      </c>
      <c r="N3500" s="5">
        <v>0.15229999999999999</v>
      </c>
      <c r="O3500" s="5">
        <v>1</v>
      </c>
      <c r="P3500" s="5">
        <v>7971</v>
      </c>
    </row>
    <row r="3501" spans="1:16" x14ac:dyDescent="0.3">
      <c r="A3501" s="5">
        <v>15</v>
      </c>
      <c r="B3501" s="5" t="s">
        <v>147</v>
      </c>
      <c r="C3501" s="5">
        <v>6</v>
      </c>
      <c r="D3501" s="5" t="s">
        <v>90</v>
      </c>
      <c r="E3501" s="5">
        <v>2024</v>
      </c>
      <c r="F3501" s="5">
        <v>2</v>
      </c>
      <c r="G3501" s="5" t="s">
        <v>59</v>
      </c>
      <c r="H3501" s="5">
        <v>1300157</v>
      </c>
      <c r="I3501" s="5">
        <v>1111948.8999999999</v>
      </c>
      <c r="J3501" s="5">
        <v>24</v>
      </c>
      <c r="K3501" s="5">
        <v>150167</v>
      </c>
      <c r="L3501" s="5">
        <v>1447670</v>
      </c>
      <c r="M3501" s="5">
        <v>188208.1</v>
      </c>
      <c r="N3501" s="5">
        <v>0.14480000000000001</v>
      </c>
      <c r="O3501" s="5">
        <v>3</v>
      </c>
      <c r="P3501" s="5">
        <v>58361</v>
      </c>
    </row>
    <row r="3502" spans="1:16" x14ac:dyDescent="0.3">
      <c r="A3502" s="5">
        <v>31</v>
      </c>
      <c r="B3502" s="5" t="s">
        <v>147</v>
      </c>
      <c r="C3502" s="5">
        <v>6</v>
      </c>
      <c r="D3502" s="5" t="s">
        <v>90</v>
      </c>
      <c r="E3502" s="5">
        <v>2024</v>
      </c>
      <c r="F3502" s="5">
        <v>2</v>
      </c>
      <c r="G3502" s="5" t="s">
        <v>59</v>
      </c>
      <c r="H3502" s="5">
        <v>2990382</v>
      </c>
      <c r="I3502" s="5">
        <v>2540636.71</v>
      </c>
      <c r="J3502" s="5">
        <v>49</v>
      </c>
      <c r="K3502" s="5">
        <v>302437</v>
      </c>
      <c r="L3502" s="5">
        <v>3285360</v>
      </c>
      <c r="M3502" s="5">
        <v>449745.29</v>
      </c>
      <c r="N3502" s="5">
        <v>0.15040000000000001</v>
      </c>
      <c r="O3502" s="5">
        <v>2</v>
      </c>
      <c r="P3502" s="5">
        <v>34889</v>
      </c>
    </row>
    <row r="3503" spans="1:16" x14ac:dyDescent="0.3">
      <c r="A3503" s="5">
        <v>85</v>
      </c>
      <c r="B3503" s="5" t="s">
        <v>147</v>
      </c>
      <c r="C3503" s="5">
        <v>6</v>
      </c>
      <c r="D3503" s="5" t="s">
        <v>90</v>
      </c>
      <c r="E3503" s="5">
        <v>2024</v>
      </c>
      <c r="F3503" s="5">
        <v>2</v>
      </c>
      <c r="G3503" s="5" t="s">
        <v>59</v>
      </c>
      <c r="H3503" s="5">
        <v>1298150</v>
      </c>
      <c r="I3503" s="5">
        <v>1126503.51</v>
      </c>
      <c r="J3503" s="5">
        <v>14</v>
      </c>
      <c r="K3503" s="5">
        <v>141468</v>
      </c>
      <c r="L3503" s="5">
        <v>1435100</v>
      </c>
      <c r="M3503" s="5">
        <v>171646.49</v>
      </c>
      <c r="N3503" s="5">
        <v>0.13220000000000001</v>
      </c>
      <c r="O3503" s="5">
        <v>1</v>
      </c>
      <c r="P3503" s="5">
        <v>1853</v>
      </c>
    </row>
    <row r="3504" spans="1:16" x14ac:dyDescent="0.3">
      <c r="A3504" s="5">
        <v>112</v>
      </c>
      <c r="B3504" s="5" t="s">
        <v>147</v>
      </c>
      <c r="C3504" s="5">
        <v>6</v>
      </c>
      <c r="D3504" s="5" t="s">
        <v>90</v>
      </c>
      <c r="E3504" s="5">
        <v>2024</v>
      </c>
      <c r="F3504" s="5">
        <v>2</v>
      </c>
      <c r="G3504" s="5" t="s">
        <v>59</v>
      </c>
      <c r="H3504" s="5">
        <v>584650</v>
      </c>
      <c r="I3504" s="5">
        <v>527869.65</v>
      </c>
      <c r="J3504" s="5">
        <v>12</v>
      </c>
      <c r="K3504" s="5">
        <v>95696</v>
      </c>
      <c r="L3504" s="5">
        <v>680330</v>
      </c>
      <c r="M3504" s="5">
        <v>56780.35</v>
      </c>
      <c r="N3504" s="5">
        <v>9.7100000000000006E-2</v>
      </c>
      <c r="O3504" s="5">
        <v>0</v>
      </c>
      <c r="P3504" s="5">
        <v>0</v>
      </c>
    </row>
    <row r="3505" spans="1:16" x14ac:dyDescent="0.3">
      <c r="A3505" s="5">
        <v>119</v>
      </c>
      <c r="B3505" s="5" t="s">
        <v>147</v>
      </c>
      <c r="C3505" s="5">
        <v>6</v>
      </c>
      <c r="D3505" s="5" t="s">
        <v>90</v>
      </c>
      <c r="E3505" s="5">
        <v>2024</v>
      </c>
      <c r="F3505" s="5">
        <v>2</v>
      </c>
      <c r="G3505" s="5" t="s">
        <v>59</v>
      </c>
      <c r="H3505" s="5">
        <v>4500179</v>
      </c>
      <c r="I3505" s="5">
        <v>3849215.42</v>
      </c>
      <c r="J3505" s="5">
        <v>62</v>
      </c>
      <c r="K3505" s="5">
        <v>405735</v>
      </c>
      <c r="L3505" s="5">
        <v>4895170</v>
      </c>
      <c r="M3505" s="5">
        <v>650963.57999999996</v>
      </c>
      <c r="N3505" s="5">
        <v>0.1447</v>
      </c>
      <c r="O3505" s="5">
        <v>6</v>
      </c>
      <c r="P3505" s="5">
        <v>235608</v>
      </c>
    </row>
    <row r="3506" spans="1:16" x14ac:dyDescent="0.3">
      <c r="A3506" s="5">
        <v>15</v>
      </c>
      <c r="B3506" s="5" t="s">
        <v>147</v>
      </c>
      <c r="C3506" s="5">
        <v>6</v>
      </c>
      <c r="D3506" s="5" t="s">
        <v>90</v>
      </c>
      <c r="E3506" s="5">
        <v>2024</v>
      </c>
      <c r="F3506" s="5">
        <v>3</v>
      </c>
      <c r="G3506" s="5" t="s">
        <v>60</v>
      </c>
      <c r="H3506" s="5">
        <v>1556915</v>
      </c>
      <c r="I3506" s="5">
        <v>1326945.4099999999</v>
      </c>
      <c r="J3506" s="5">
        <v>30</v>
      </c>
      <c r="K3506" s="5">
        <v>203176</v>
      </c>
      <c r="L3506" s="5">
        <v>1757040</v>
      </c>
      <c r="M3506" s="5">
        <v>229969.59</v>
      </c>
      <c r="N3506" s="5">
        <v>0.1477</v>
      </c>
      <c r="O3506" s="5">
        <v>2</v>
      </c>
      <c r="P3506" s="5">
        <v>63821</v>
      </c>
    </row>
    <row r="3507" spans="1:16" x14ac:dyDescent="0.3">
      <c r="A3507" s="5">
        <v>31</v>
      </c>
      <c r="B3507" s="5" t="s">
        <v>147</v>
      </c>
      <c r="C3507" s="5">
        <v>6</v>
      </c>
      <c r="D3507" s="5" t="s">
        <v>90</v>
      </c>
      <c r="E3507" s="5">
        <v>2024</v>
      </c>
      <c r="F3507" s="5">
        <v>3</v>
      </c>
      <c r="G3507" s="5" t="s">
        <v>60</v>
      </c>
      <c r="H3507" s="5">
        <v>2600366</v>
      </c>
      <c r="I3507" s="5">
        <v>2299856.67</v>
      </c>
      <c r="J3507" s="5">
        <v>43</v>
      </c>
      <c r="K3507" s="5">
        <v>345103</v>
      </c>
      <c r="L3507" s="5">
        <v>2936570</v>
      </c>
      <c r="M3507" s="5">
        <v>300509.33</v>
      </c>
      <c r="N3507" s="5">
        <v>0.11559999999999999</v>
      </c>
      <c r="O3507" s="5">
        <v>5</v>
      </c>
      <c r="P3507" s="5">
        <v>114961</v>
      </c>
    </row>
    <row r="3508" spans="1:16" x14ac:dyDescent="0.3">
      <c r="A3508" s="5">
        <v>85</v>
      </c>
      <c r="B3508" s="5" t="s">
        <v>147</v>
      </c>
      <c r="C3508" s="5">
        <v>6</v>
      </c>
      <c r="D3508" s="5" t="s">
        <v>90</v>
      </c>
      <c r="E3508" s="5">
        <v>2024</v>
      </c>
      <c r="F3508" s="5">
        <v>3</v>
      </c>
      <c r="G3508" s="5" t="s">
        <v>60</v>
      </c>
      <c r="H3508" s="5">
        <v>1301319</v>
      </c>
      <c r="I3508" s="5">
        <v>1332655.69</v>
      </c>
      <c r="J3508" s="5">
        <v>11</v>
      </c>
      <c r="K3508" s="5">
        <v>321825</v>
      </c>
      <c r="L3508" s="5">
        <v>1622430</v>
      </c>
      <c r="M3508" s="5">
        <v>-31336.69</v>
      </c>
      <c r="N3508" s="5">
        <v>-2.41E-2</v>
      </c>
      <c r="O3508" s="5">
        <v>1</v>
      </c>
      <c r="P3508" s="5">
        <v>5425</v>
      </c>
    </row>
    <row r="3509" spans="1:16" x14ac:dyDescent="0.3">
      <c r="A3509" s="5">
        <v>112</v>
      </c>
      <c r="B3509" s="5" t="s">
        <v>147</v>
      </c>
      <c r="C3509" s="5">
        <v>6</v>
      </c>
      <c r="D3509" s="5" t="s">
        <v>90</v>
      </c>
      <c r="E3509" s="5">
        <v>2024</v>
      </c>
      <c r="F3509" s="5">
        <v>3</v>
      </c>
      <c r="G3509" s="5" t="s">
        <v>60</v>
      </c>
      <c r="H3509" s="5">
        <v>1542845</v>
      </c>
      <c r="I3509" s="5">
        <v>1320338.8600000001</v>
      </c>
      <c r="J3509" s="5">
        <v>22</v>
      </c>
      <c r="K3509" s="5">
        <v>196612</v>
      </c>
      <c r="L3509" s="5">
        <v>1737020</v>
      </c>
      <c r="M3509" s="5">
        <v>222506.14</v>
      </c>
      <c r="N3509" s="5">
        <v>0.14419999999999999</v>
      </c>
      <c r="O3509" s="5">
        <v>1</v>
      </c>
      <c r="P3509" s="5">
        <v>1991</v>
      </c>
    </row>
    <row r="3510" spans="1:16" x14ac:dyDescent="0.3">
      <c r="A3510" s="5">
        <v>119</v>
      </c>
      <c r="B3510" s="5" t="s">
        <v>147</v>
      </c>
      <c r="C3510" s="5">
        <v>6</v>
      </c>
      <c r="D3510" s="5" t="s">
        <v>90</v>
      </c>
      <c r="E3510" s="5">
        <v>2024</v>
      </c>
      <c r="F3510" s="5">
        <v>3</v>
      </c>
      <c r="G3510" s="5" t="s">
        <v>60</v>
      </c>
      <c r="H3510" s="5">
        <v>3990544</v>
      </c>
      <c r="I3510" s="5">
        <v>3457755.81</v>
      </c>
      <c r="J3510" s="5">
        <v>79</v>
      </c>
      <c r="K3510" s="5">
        <v>591323</v>
      </c>
      <c r="L3510" s="5">
        <v>4567300</v>
      </c>
      <c r="M3510" s="5">
        <v>532788.18999999994</v>
      </c>
      <c r="N3510" s="5">
        <v>0.13350000000000001</v>
      </c>
      <c r="O3510" s="5">
        <v>3</v>
      </c>
      <c r="P3510" s="5">
        <v>10320</v>
      </c>
    </row>
    <row r="3511" spans="1:16" x14ac:dyDescent="0.3">
      <c r="A3511" s="5">
        <v>15</v>
      </c>
      <c r="B3511" s="5" t="s">
        <v>147</v>
      </c>
      <c r="C3511" s="5">
        <v>6</v>
      </c>
      <c r="D3511" s="5" t="s">
        <v>90</v>
      </c>
      <c r="E3511" s="5">
        <v>2024</v>
      </c>
      <c r="F3511" s="5">
        <v>4</v>
      </c>
      <c r="G3511" s="5" t="s">
        <v>61</v>
      </c>
      <c r="H3511" s="5">
        <v>921332</v>
      </c>
      <c r="I3511" s="5">
        <v>809410.04</v>
      </c>
      <c r="J3511" s="5">
        <v>16</v>
      </c>
      <c r="K3511" s="5">
        <v>107516</v>
      </c>
      <c r="L3511" s="5">
        <v>1027930</v>
      </c>
      <c r="M3511" s="5">
        <v>111921.96</v>
      </c>
      <c r="N3511" s="5">
        <v>0.1215</v>
      </c>
      <c r="O3511" s="5">
        <v>0</v>
      </c>
      <c r="P3511" s="5">
        <v>0</v>
      </c>
    </row>
    <row r="3512" spans="1:16" x14ac:dyDescent="0.3">
      <c r="A3512" s="5">
        <v>31</v>
      </c>
      <c r="B3512" s="5" t="s">
        <v>147</v>
      </c>
      <c r="C3512" s="5">
        <v>6</v>
      </c>
      <c r="D3512" s="5" t="s">
        <v>90</v>
      </c>
      <c r="E3512" s="5">
        <v>2024</v>
      </c>
      <c r="F3512" s="5">
        <v>4</v>
      </c>
      <c r="G3512" s="5" t="s">
        <v>61</v>
      </c>
      <c r="H3512" s="5">
        <v>3819798</v>
      </c>
      <c r="I3512" s="5">
        <v>3395944.16</v>
      </c>
      <c r="J3512" s="5">
        <v>48</v>
      </c>
      <c r="K3512" s="5">
        <v>521599</v>
      </c>
      <c r="L3512" s="5">
        <v>4328940</v>
      </c>
      <c r="M3512" s="5">
        <v>423853.84</v>
      </c>
      <c r="N3512" s="5">
        <v>0.111</v>
      </c>
      <c r="O3512" s="5">
        <v>8</v>
      </c>
      <c r="P3512" s="5">
        <v>363590</v>
      </c>
    </row>
    <row r="3513" spans="1:16" x14ac:dyDescent="0.3">
      <c r="A3513" s="5">
        <v>85</v>
      </c>
      <c r="B3513" s="5" t="s">
        <v>147</v>
      </c>
      <c r="C3513" s="5">
        <v>6</v>
      </c>
      <c r="D3513" s="5" t="s">
        <v>90</v>
      </c>
      <c r="E3513" s="5">
        <v>2024</v>
      </c>
      <c r="F3513" s="5">
        <v>4</v>
      </c>
      <c r="G3513" s="5" t="s">
        <v>61</v>
      </c>
      <c r="H3513" s="5">
        <v>567149</v>
      </c>
      <c r="I3513" s="5">
        <v>473906.44</v>
      </c>
      <c r="J3513" s="5">
        <v>11</v>
      </c>
      <c r="K3513" s="5">
        <v>60146</v>
      </c>
      <c r="L3513" s="5">
        <v>626080</v>
      </c>
      <c r="M3513" s="5">
        <v>93242.559999999998</v>
      </c>
      <c r="N3513" s="5">
        <v>0.16439999999999999</v>
      </c>
      <c r="O3513" s="5">
        <v>1</v>
      </c>
      <c r="P3513" s="5">
        <v>31901</v>
      </c>
    </row>
    <row r="3514" spans="1:16" x14ac:dyDescent="0.3">
      <c r="A3514" s="5">
        <v>112</v>
      </c>
      <c r="B3514" s="5" t="s">
        <v>147</v>
      </c>
      <c r="C3514" s="5">
        <v>6</v>
      </c>
      <c r="D3514" s="5" t="s">
        <v>90</v>
      </c>
      <c r="E3514" s="5">
        <v>2024</v>
      </c>
      <c r="F3514" s="5">
        <v>4</v>
      </c>
      <c r="G3514" s="5" t="s">
        <v>61</v>
      </c>
      <c r="H3514" s="5">
        <v>1551144</v>
      </c>
      <c r="I3514" s="5">
        <v>1241529.04</v>
      </c>
      <c r="J3514" s="5">
        <v>25</v>
      </c>
      <c r="K3514" s="5">
        <v>83807</v>
      </c>
      <c r="L3514" s="5">
        <v>1631820</v>
      </c>
      <c r="M3514" s="5">
        <v>309614.96000000002</v>
      </c>
      <c r="N3514" s="5">
        <v>0.1996</v>
      </c>
      <c r="O3514" s="5">
        <v>1</v>
      </c>
      <c r="P3514" s="5">
        <v>13933</v>
      </c>
    </row>
    <row r="3515" spans="1:16" x14ac:dyDescent="0.3">
      <c r="A3515" s="5">
        <v>119</v>
      </c>
      <c r="B3515" s="5" t="s">
        <v>147</v>
      </c>
      <c r="C3515" s="5">
        <v>6</v>
      </c>
      <c r="D3515" s="5" t="s">
        <v>90</v>
      </c>
      <c r="E3515" s="5">
        <v>2024</v>
      </c>
      <c r="F3515" s="5">
        <v>4</v>
      </c>
      <c r="G3515" s="5" t="s">
        <v>61</v>
      </c>
      <c r="H3515" s="5">
        <v>5059336</v>
      </c>
      <c r="I3515" s="5">
        <v>4273860.5</v>
      </c>
      <c r="J3515" s="5">
        <v>83</v>
      </c>
      <c r="K3515" s="5">
        <v>568451</v>
      </c>
      <c r="L3515" s="5">
        <v>5606130</v>
      </c>
      <c r="M3515" s="5">
        <v>785475.5</v>
      </c>
      <c r="N3515" s="5">
        <v>0.15529999999999999</v>
      </c>
      <c r="O3515" s="5">
        <v>7</v>
      </c>
      <c r="P3515" s="5">
        <v>127007</v>
      </c>
    </row>
    <row r="3516" spans="1:16" x14ac:dyDescent="0.3">
      <c r="A3516" s="5">
        <v>15</v>
      </c>
      <c r="B3516" s="5" t="s">
        <v>147</v>
      </c>
      <c r="C3516" s="5">
        <v>6</v>
      </c>
      <c r="D3516" s="5" t="s">
        <v>90</v>
      </c>
      <c r="E3516" s="5">
        <v>2024</v>
      </c>
      <c r="F3516" s="5">
        <v>5</v>
      </c>
      <c r="G3516" s="5" t="s">
        <v>62</v>
      </c>
      <c r="H3516" s="5">
        <v>1784177</v>
      </c>
      <c r="I3516" s="5">
        <v>1641698.54</v>
      </c>
      <c r="J3516" s="5">
        <v>28</v>
      </c>
      <c r="K3516" s="5">
        <v>321800</v>
      </c>
      <c r="L3516" s="5">
        <v>2102700</v>
      </c>
      <c r="M3516" s="5">
        <v>142478.46</v>
      </c>
      <c r="N3516" s="5">
        <v>7.9899999999999999E-2</v>
      </c>
      <c r="O3516" s="5">
        <v>2</v>
      </c>
      <c r="P3516" s="5">
        <v>7034</v>
      </c>
    </row>
    <row r="3517" spans="1:16" x14ac:dyDescent="0.3">
      <c r="A3517" s="5">
        <v>31</v>
      </c>
      <c r="B3517" s="5" t="s">
        <v>147</v>
      </c>
      <c r="C3517" s="5">
        <v>6</v>
      </c>
      <c r="D3517" s="5" t="s">
        <v>90</v>
      </c>
      <c r="E3517" s="5">
        <v>2024</v>
      </c>
      <c r="F3517" s="5">
        <v>5</v>
      </c>
      <c r="G3517" s="5" t="s">
        <v>62</v>
      </c>
      <c r="H3517" s="5">
        <v>4050085</v>
      </c>
      <c r="I3517" s="5">
        <v>3578571.18</v>
      </c>
      <c r="J3517" s="5">
        <v>51</v>
      </c>
      <c r="K3517" s="5">
        <v>505642</v>
      </c>
      <c r="L3517" s="5">
        <v>4535190</v>
      </c>
      <c r="M3517" s="5">
        <v>471513.82</v>
      </c>
      <c r="N3517" s="5">
        <v>0.1164</v>
      </c>
      <c r="O3517" s="5">
        <v>7</v>
      </c>
      <c r="P3517" s="5">
        <v>587624</v>
      </c>
    </row>
    <row r="3518" spans="1:16" x14ac:dyDescent="0.3">
      <c r="A3518" s="5">
        <v>85</v>
      </c>
      <c r="B3518" s="5" t="s">
        <v>147</v>
      </c>
      <c r="C3518" s="5">
        <v>6</v>
      </c>
      <c r="D3518" s="5" t="s">
        <v>90</v>
      </c>
      <c r="E3518" s="5">
        <v>2024</v>
      </c>
      <c r="F3518" s="5">
        <v>5</v>
      </c>
      <c r="G3518" s="5" t="s">
        <v>62</v>
      </c>
      <c r="H3518" s="5">
        <v>1358361</v>
      </c>
      <c r="I3518" s="5">
        <v>1236485.08</v>
      </c>
      <c r="J3518" s="5">
        <v>13</v>
      </c>
      <c r="K3518" s="5">
        <v>177683</v>
      </c>
      <c r="L3518" s="5">
        <v>1533110</v>
      </c>
      <c r="M3518" s="5">
        <v>121875.92</v>
      </c>
      <c r="N3518" s="5">
        <v>8.9700000000000002E-2</v>
      </c>
      <c r="O3518" s="5">
        <v>1</v>
      </c>
      <c r="P3518" s="5">
        <v>7366</v>
      </c>
    </row>
    <row r="3519" spans="1:16" x14ac:dyDescent="0.3">
      <c r="A3519" s="5">
        <v>112</v>
      </c>
      <c r="B3519" s="5" t="s">
        <v>147</v>
      </c>
      <c r="C3519" s="5">
        <v>6</v>
      </c>
      <c r="D3519" s="5" t="s">
        <v>90</v>
      </c>
      <c r="E3519" s="5">
        <v>2024</v>
      </c>
      <c r="F3519" s="5">
        <v>5</v>
      </c>
      <c r="G3519" s="5" t="s">
        <v>62</v>
      </c>
      <c r="H3519" s="5">
        <v>1666754</v>
      </c>
      <c r="I3519" s="5">
        <v>1381901.39</v>
      </c>
      <c r="J3519" s="5">
        <v>21</v>
      </c>
      <c r="K3519" s="5">
        <v>132999</v>
      </c>
      <c r="L3519" s="5">
        <v>1795300</v>
      </c>
      <c r="M3519" s="5">
        <v>284852.61</v>
      </c>
      <c r="N3519" s="5">
        <v>0.1709</v>
      </c>
      <c r="O3519" s="5">
        <v>4</v>
      </c>
      <c r="P3519" s="5">
        <v>111357</v>
      </c>
    </row>
    <row r="3520" spans="1:16" x14ac:dyDescent="0.3">
      <c r="A3520" s="5">
        <v>119</v>
      </c>
      <c r="B3520" s="5" t="s">
        <v>147</v>
      </c>
      <c r="C3520" s="5">
        <v>6</v>
      </c>
      <c r="D3520" s="5" t="s">
        <v>90</v>
      </c>
      <c r="E3520" s="5">
        <v>2024</v>
      </c>
      <c r="F3520" s="5">
        <v>5</v>
      </c>
      <c r="G3520" s="5" t="s">
        <v>62</v>
      </c>
      <c r="H3520" s="5">
        <v>5801070</v>
      </c>
      <c r="I3520" s="5">
        <v>5141466.72</v>
      </c>
      <c r="J3520" s="5">
        <v>80</v>
      </c>
      <c r="K3520" s="5">
        <v>868249</v>
      </c>
      <c r="L3520" s="5">
        <v>6652040</v>
      </c>
      <c r="M3520" s="5">
        <v>659603.28</v>
      </c>
      <c r="N3520" s="5">
        <v>0.1137</v>
      </c>
      <c r="O3520" s="5">
        <v>4</v>
      </c>
      <c r="P3520" s="5">
        <v>181983</v>
      </c>
    </row>
    <row r="3521" spans="1:16" x14ac:dyDescent="0.3">
      <c r="A3521" s="5">
        <v>15</v>
      </c>
      <c r="B3521" s="5" t="s">
        <v>147</v>
      </c>
      <c r="C3521" s="5">
        <v>6</v>
      </c>
      <c r="D3521" s="5" t="s">
        <v>90</v>
      </c>
      <c r="E3521" s="5">
        <v>2024</v>
      </c>
      <c r="F3521" s="5">
        <v>6</v>
      </c>
      <c r="G3521" s="5" t="s">
        <v>63</v>
      </c>
      <c r="H3521" s="5">
        <v>1772360</v>
      </c>
      <c r="I3521" s="5">
        <v>1488236.18</v>
      </c>
      <c r="J3521" s="5">
        <v>21</v>
      </c>
      <c r="K3521" s="5">
        <v>94674</v>
      </c>
      <c r="L3521" s="5">
        <v>1860600</v>
      </c>
      <c r="M3521" s="5">
        <v>284123.82</v>
      </c>
      <c r="N3521" s="5">
        <v>0.1603</v>
      </c>
      <c r="O3521" s="5">
        <v>4</v>
      </c>
      <c r="P3521" s="5">
        <v>302524</v>
      </c>
    </row>
    <row r="3522" spans="1:16" x14ac:dyDescent="0.3">
      <c r="A3522" s="5">
        <v>31</v>
      </c>
      <c r="B3522" s="5" t="s">
        <v>147</v>
      </c>
      <c r="C3522" s="5">
        <v>6</v>
      </c>
      <c r="D3522" s="5" t="s">
        <v>90</v>
      </c>
      <c r="E3522" s="5">
        <v>2024</v>
      </c>
      <c r="F3522" s="5">
        <v>6</v>
      </c>
      <c r="G3522" s="5" t="s">
        <v>63</v>
      </c>
      <c r="H3522" s="5">
        <v>3985863</v>
      </c>
      <c r="I3522" s="5">
        <v>3188373.55</v>
      </c>
      <c r="J3522" s="5">
        <v>60</v>
      </c>
      <c r="K3522" s="5">
        <v>229529</v>
      </c>
      <c r="L3522" s="5">
        <v>4186110</v>
      </c>
      <c r="M3522" s="5">
        <v>797489.45</v>
      </c>
      <c r="N3522" s="5">
        <v>0.2001</v>
      </c>
      <c r="O3522" s="5">
        <v>2</v>
      </c>
      <c r="P3522" s="5">
        <v>5809</v>
      </c>
    </row>
    <row r="3523" spans="1:16" x14ac:dyDescent="0.3">
      <c r="A3523" s="5">
        <v>85</v>
      </c>
      <c r="B3523" s="5" t="s">
        <v>147</v>
      </c>
      <c r="C3523" s="5">
        <v>6</v>
      </c>
      <c r="D3523" s="5" t="s">
        <v>90</v>
      </c>
      <c r="E3523" s="5">
        <v>2024</v>
      </c>
      <c r="F3523" s="5">
        <v>6</v>
      </c>
      <c r="G3523" s="5" t="s">
        <v>63</v>
      </c>
      <c r="H3523" s="5">
        <v>978783</v>
      </c>
      <c r="I3523" s="5">
        <v>823227.15</v>
      </c>
      <c r="J3523" s="5">
        <v>16</v>
      </c>
      <c r="K3523" s="5">
        <v>79470</v>
      </c>
      <c r="L3523" s="5">
        <v>1056560</v>
      </c>
      <c r="M3523" s="5">
        <v>155555.85</v>
      </c>
      <c r="N3523" s="5">
        <v>0.15890000000000001</v>
      </c>
      <c r="O3523" s="5">
        <v>3</v>
      </c>
      <c r="P3523" s="5">
        <v>146217</v>
      </c>
    </row>
    <row r="3524" spans="1:16" x14ac:dyDescent="0.3">
      <c r="A3524" s="5">
        <v>112</v>
      </c>
      <c r="B3524" s="5" t="s">
        <v>147</v>
      </c>
      <c r="C3524" s="5">
        <v>6</v>
      </c>
      <c r="D3524" s="5" t="s">
        <v>90</v>
      </c>
      <c r="E3524" s="5">
        <v>2024</v>
      </c>
      <c r="F3524" s="5">
        <v>6</v>
      </c>
      <c r="G3524" s="5" t="s">
        <v>63</v>
      </c>
      <c r="H3524" s="5">
        <v>1261843</v>
      </c>
      <c r="I3524" s="5">
        <v>1116809.45</v>
      </c>
      <c r="J3524" s="5">
        <v>24</v>
      </c>
      <c r="K3524" s="5">
        <v>159728</v>
      </c>
      <c r="L3524" s="5">
        <v>1420900</v>
      </c>
      <c r="M3524" s="5">
        <v>145033.54999999999</v>
      </c>
      <c r="N3524" s="5">
        <v>0.1149</v>
      </c>
      <c r="O3524" s="5">
        <v>1</v>
      </c>
      <c r="P3524" s="5">
        <v>8641</v>
      </c>
    </row>
    <row r="3525" spans="1:16" x14ac:dyDescent="0.3">
      <c r="A3525" s="5">
        <v>119</v>
      </c>
      <c r="B3525" s="5" t="s">
        <v>147</v>
      </c>
      <c r="C3525" s="5">
        <v>6</v>
      </c>
      <c r="D3525" s="5" t="s">
        <v>90</v>
      </c>
      <c r="E3525" s="5">
        <v>2024</v>
      </c>
      <c r="F3525" s="5">
        <v>6</v>
      </c>
      <c r="G3525" s="5" t="s">
        <v>63</v>
      </c>
      <c r="H3525" s="5">
        <v>4001996</v>
      </c>
      <c r="I3525" s="5">
        <v>3443202.87</v>
      </c>
      <c r="J3525" s="5">
        <v>70</v>
      </c>
      <c r="K3525" s="5">
        <v>439261</v>
      </c>
      <c r="L3525" s="5">
        <v>4431430</v>
      </c>
      <c r="M3525" s="5">
        <v>558793.13</v>
      </c>
      <c r="N3525" s="5">
        <v>0.1396</v>
      </c>
      <c r="O3525" s="5">
        <v>3</v>
      </c>
      <c r="P3525" s="5">
        <v>136196</v>
      </c>
    </row>
    <row r="3526" spans="1:16" x14ac:dyDescent="0.3">
      <c r="A3526" s="5">
        <v>15</v>
      </c>
      <c r="B3526" s="5" t="s">
        <v>147</v>
      </c>
      <c r="C3526" s="5">
        <v>6</v>
      </c>
      <c r="D3526" s="5" t="s">
        <v>90</v>
      </c>
      <c r="E3526" s="5">
        <v>2024</v>
      </c>
      <c r="F3526" s="5">
        <v>7</v>
      </c>
      <c r="G3526" s="5" t="s">
        <v>64</v>
      </c>
      <c r="H3526" s="5">
        <v>1391478</v>
      </c>
      <c r="I3526" s="5">
        <v>1131651.56</v>
      </c>
      <c r="J3526" s="5">
        <v>18</v>
      </c>
      <c r="K3526" s="5">
        <v>58183</v>
      </c>
      <c r="L3526" s="5">
        <v>1438150</v>
      </c>
      <c r="M3526" s="5">
        <v>259826.44</v>
      </c>
      <c r="N3526" s="5">
        <v>0.1867</v>
      </c>
      <c r="O3526" s="5">
        <v>1</v>
      </c>
      <c r="P3526" s="5">
        <v>31047</v>
      </c>
    </row>
    <row r="3527" spans="1:16" x14ac:dyDescent="0.3">
      <c r="A3527" s="5">
        <v>31</v>
      </c>
      <c r="B3527" s="5" t="s">
        <v>147</v>
      </c>
      <c r="C3527" s="5">
        <v>6</v>
      </c>
      <c r="D3527" s="5" t="s">
        <v>90</v>
      </c>
      <c r="E3527" s="5">
        <v>2024</v>
      </c>
      <c r="F3527" s="5">
        <v>7</v>
      </c>
      <c r="G3527" s="5" t="s">
        <v>64</v>
      </c>
      <c r="H3527" s="5">
        <v>1637114</v>
      </c>
      <c r="I3527" s="5">
        <v>1415917.46</v>
      </c>
      <c r="J3527" s="5">
        <v>35</v>
      </c>
      <c r="K3527" s="5">
        <v>183977</v>
      </c>
      <c r="L3527" s="5">
        <v>1815830</v>
      </c>
      <c r="M3527" s="5">
        <v>221196.54</v>
      </c>
      <c r="N3527" s="5">
        <v>0.1351</v>
      </c>
      <c r="O3527" s="5">
        <v>4</v>
      </c>
      <c r="P3527" s="5">
        <v>40702</v>
      </c>
    </row>
    <row r="3528" spans="1:16" x14ac:dyDescent="0.3">
      <c r="A3528" s="5">
        <v>85</v>
      </c>
      <c r="B3528" s="5" t="s">
        <v>147</v>
      </c>
      <c r="C3528" s="5">
        <v>6</v>
      </c>
      <c r="D3528" s="5" t="s">
        <v>90</v>
      </c>
      <c r="E3528" s="5">
        <v>2024</v>
      </c>
      <c r="F3528" s="5">
        <v>7</v>
      </c>
      <c r="G3528" s="5" t="s">
        <v>64</v>
      </c>
      <c r="H3528" s="5">
        <v>1074531</v>
      </c>
      <c r="I3528" s="5">
        <v>869092.41</v>
      </c>
      <c r="J3528" s="5">
        <v>15</v>
      </c>
      <c r="K3528" s="5">
        <v>73647</v>
      </c>
      <c r="L3528" s="5">
        <v>1142700</v>
      </c>
      <c r="M3528" s="5">
        <v>205438.59</v>
      </c>
      <c r="N3528" s="5">
        <v>0.19120000000000001</v>
      </c>
      <c r="O3528" s="5">
        <v>0</v>
      </c>
      <c r="P3528" s="5">
        <v>0</v>
      </c>
    </row>
    <row r="3529" spans="1:16" x14ac:dyDescent="0.3">
      <c r="A3529" s="5">
        <v>112</v>
      </c>
      <c r="B3529" s="5" t="s">
        <v>147</v>
      </c>
      <c r="C3529" s="5">
        <v>6</v>
      </c>
      <c r="D3529" s="5" t="s">
        <v>90</v>
      </c>
      <c r="E3529" s="5">
        <v>2024</v>
      </c>
      <c r="F3529" s="5">
        <v>7</v>
      </c>
      <c r="G3529" s="5" t="s">
        <v>64</v>
      </c>
      <c r="H3529" s="5">
        <v>1844435</v>
      </c>
      <c r="I3529" s="5">
        <v>1584424.54</v>
      </c>
      <c r="J3529" s="5">
        <v>20</v>
      </c>
      <c r="K3529" s="5">
        <v>203504</v>
      </c>
      <c r="L3529" s="5">
        <v>2039490</v>
      </c>
      <c r="M3529" s="5">
        <v>260010.46</v>
      </c>
      <c r="N3529" s="5">
        <v>0.14099999999999999</v>
      </c>
      <c r="O3529" s="5">
        <v>0</v>
      </c>
      <c r="P3529" s="5">
        <v>0</v>
      </c>
    </row>
    <row r="3530" spans="1:16" x14ac:dyDescent="0.3">
      <c r="A3530" s="5">
        <v>119</v>
      </c>
      <c r="B3530" s="5" t="s">
        <v>147</v>
      </c>
      <c r="C3530" s="5">
        <v>6</v>
      </c>
      <c r="D3530" s="5" t="s">
        <v>90</v>
      </c>
      <c r="E3530" s="5">
        <v>2024</v>
      </c>
      <c r="F3530" s="5">
        <v>7</v>
      </c>
      <c r="G3530" s="5" t="s">
        <v>64</v>
      </c>
      <c r="H3530" s="5">
        <v>4867823</v>
      </c>
      <c r="I3530" s="5">
        <v>4304362.4800000004</v>
      </c>
      <c r="J3530" s="5">
        <v>74</v>
      </c>
      <c r="K3530" s="5">
        <v>670251</v>
      </c>
      <c r="L3530" s="5">
        <v>5526870</v>
      </c>
      <c r="M3530" s="5">
        <v>563460.52</v>
      </c>
      <c r="N3530" s="5">
        <v>0.1158</v>
      </c>
      <c r="O3530" s="5">
        <v>7</v>
      </c>
      <c r="P3530" s="5">
        <v>151162</v>
      </c>
    </row>
    <row r="3531" spans="1:16" x14ac:dyDescent="0.3">
      <c r="A3531" s="5">
        <v>15</v>
      </c>
      <c r="B3531" s="5" t="s">
        <v>147</v>
      </c>
      <c r="C3531" s="5">
        <v>6</v>
      </c>
      <c r="D3531" s="5" t="s">
        <v>90</v>
      </c>
      <c r="E3531" s="5">
        <v>2024</v>
      </c>
      <c r="F3531" s="5">
        <v>8</v>
      </c>
      <c r="G3531" s="5" t="s">
        <v>65</v>
      </c>
      <c r="H3531" s="5">
        <v>1817480</v>
      </c>
      <c r="I3531" s="5">
        <v>1567356.4</v>
      </c>
      <c r="J3531" s="5">
        <v>22</v>
      </c>
      <c r="K3531" s="5">
        <v>165196</v>
      </c>
      <c r="L3531" s="5">
        <v>1977730</v>
      </c>
      <c r="M3531" s="5">
        <v>250123.6</v>
      </c>
      <c r="N3531" s="5">
        <v>0.1376</v>
      </c>
      <c r="O3531" s="5">
        <v>4</v>
      </c>
      <c r="P3531" s="5">
        <v>173261</v>
      </c>
    </row>
    <row r="3532" spans="1:16" x14ac:dyDescent="0.3">
      <c r="A3532" s="5">
        <v>31</v>
      </c>
      <c r="B3532" s="5" t="s">
        <v>147</v>
      </c>
      <c r="C3532" s="5">
        <v>6</v>
      </c>
      <c r="D3532" s="5" t="s">
        <v>90</v>
      </c>
      <c r="E3532" s="5">
        <v>2024</v>
      </c>
      <c r="F3532" s="5">
        <v>8</v>
      </c>
      <c r="G3532" s="5" t="s">
        <v>65</v>
      </c>
      <c r="H3532" s="5">
        <v>2119692</v>
      </c>
      <c r="I3532" s="5">
        <v>1699320.5</v>
      </c>
      <c r="J3532" s="5">
        <v>47</v>
      </c>
      <c r="K3532" s="5">
        <v>181542</v>
      </c>
      <c r="L3532" s="5">
        <v>2290080</v>
      </c>
      <c r="M3532" s="5">
        <v>420371.5</v>
      </c>
      <c r="N3532" s="5">
        <v>0.1983</v>
      </c>
      <c r="O3532" s="5">
        <v>3</v>
      </c>
      <c r="P3532" s="5">
        <v>42777</v>
      </c>
    </row>
    <row r="3533" spans="1:16" x14ac:dyDescent="0.3">
      <c r="A3533" s="5">
        <v>85</v>
      </c>
      <c r="B3533" s="5" t="s">
        <v>147</v>
      </c>
      <c r="C3533" s="5">
        <v>6</v>
      </c>
      <c r="D3533" s="5" t="s">
        <v>90</v>
      </c>
      <c r="E3533" s="5">
        <v>2024</v>
      </c>
      <c r="F3533" s="5">
        <v>8</v>
      </c>
      <c r="G3533" s="5" t="s">
        <v>65</v>
      </c>
      <c r="H3533" s="5">
        <v>1101861</v>
      </c>
      <c r="I3533" s="5">
        <v>977973.75</v>
      </c>
      <c r="J3533" s="5">
        <v>15</v>
      </c>
      <c r="K3533" s="5">
        <v>121461</v>
      </c>
      <c r="L3533" s="5">
        <v>1221860</v>
      </c>
      <c r="M3533" s="5">
        <v>123887.25</v>
      </c>
      <c r="N3533" s="5">
        <v>0.1124</v>
      </c>
      <c r="O3533" s="5">
        <v>1</v>
      </c>
      <c r="P3533" s="5">
        <v>468</v>
      </c>
    </row>
    <row r="3534" spans="1:16" x14ac:dyDescent="0.3">
      <c r="A3534" s="5">
        <v>112</v>
      </c>
      <c r="B3534" s="5" t="s">
        <v>147</v>
      </c>
      <c r="C3534" s="5">
        <v>6</v>
      </c>
      <c r="D3534" s="5" t="s">
        <v>90</v>
      </c>
      <c r="E3534" s="5">
        <v>2024</v>
      </c>
      <c r="F3534" s="5">
        <v>8</v>
      </c>
      <c r="G3534" s="5" t="s">
        <v>65</v>
      </c>
      <c r="H3534" s="5">
        <v>1836050</v>
      </c>
      <c r="I3534" s="5">
        <v>1589875.9</v>
      </c>
      <c r="J3534" s="5">
        <v>30</v>
      </c>
      <c r="K3534" s="5">
        <v>191442</v>
      </c>
      <c r="L3534" s="5">
        <v>2024490</v>
      </c>
      <c r="M3534" s="5">
        <v>246174.1</v>
      </c>
      <c r="N3534" s="5">
        <v>0.1341</v>
      </c>
      <c r="O3534" s="5">
        <v>3</v>
      </c>
      <c r="P3534" s="5">
        <v>98294</v>
      </c>
    </row>
    <row r="3535" spans="1:16" x14ac:dyDescent="0.3">
      <c r="A3535" s="5">
        <v>119</v>
      </c>
      <c r="B3535" s="5" t="s">
        <v>147</v>
      </c>
      <c r="C3535" s="5">
        <v>6</v>
      </c>
      <c r="D3535" s="5" t="s">
        <v>90</v>
      </c>
      <c r="E3535" s="5">
        <v>2024</v>
      </c>
      <c r="F3535" s="5">
        <v>8</v>
      </c>
      <c r="G3535" s="5" t="s">
        <v>65</v>
      </c>
      <c r="H3535" s="5">
        <v>4543526</v>
      </c>
      <c r="I3535" s="5">
        <v>3993749.07</v>
      </c>
      <c r="J3535" s="5">
        <v>76</v>
      </c>
      <c r="K3535" s="5">
        <v>576429</v>
      </c>
      <c r="L3535" s="5">
        <v>5110020</v>
      </c>
      <c r="M3535" s="5">
        <v>549776.93000000005</v>
      </c>
      <c r="N3535" s="5">
        <v>0.121</v>
      </c>
      <c r="O3535" s="5">
        <v>4</v>
      </c>
      <c r="P3535" s="5">
        <v>151398</v>
      </c>
    </row>
    <row r="3536" spans="1:16" x14ac:dyDescent="0.3">
      <c r="A3536" s="5">
        <v>15</v>
      </c>
      <c r="B3536" s="5" t="s">
        <v>147</v>
      </c>
      <c r="C3536" s="5">
        <v>6</v>
      </c>
      <c r="D3536" s="5" t="s">
        <v>90</v>
      </c>
      <c r="E3536" s="5">
        <v>2024</v>
      </c>
      <c r="F3536" s="5">
        <v>9</v>
      </c>
      <c r="G3536" s="5" t="s">
        <v>66</v>
      </c>
      <c r="H3536" s="5">
        <v>1812149</v>
      </c>
      <c r="I3536" s="5">
        <v>1501578.06</v>
      </c>
      <c r="J3536" s="5">
        <v>26</v>
      </c>
      <c r="K3536" s="5">
        <v>95304</v>
      </c>
      <c r="L3536" s="5">
        <v>1899310</v>
      </c>
      <c r="M3536" s="5">
        <v>310570.94</v>
      </c>
      <c r="N3536" s="5">
        <v>0.1714</v>
      </c>
      <c r="O3536" s="5">
        <v>1</v>
      </c>
      <c r="P3536" s="5">
        <v>7276</v>
      </c>
    </row>
    <row r="3537" spans="1:16" x14ac:dyDescent="0.3">
      <c r="A3537" s="5">
        <v>31</v>
      </c>
      <c r="B3537" s="5" t="s">
        <v>147</v>
      </c>
      <c r="C3537" s="5">
        <v>6</v>
      </c>
      <c r="D3537" s="5" t="s">
        <v>90</v>
      </c>
      <c r="E3537" s="5">
        <v>2024</v>
      </c>
      <c r="F3537" s="5">
        <v>9</v>
      </c>
      <c r="G3537" s="5" t="s">
        <v>66</v>
      </c>
      <c r="H3537" s="5">
        <v>3464222</v>
      </c>
      <c r="I3537" s="5">
        <v>2826686.57</v>
      </c>
      <c r="J3537" s="5">
        <v>59</v>
      </c>
      <c r="K3537" s="5">
        <v>220547</v>
      </c>
      <c r="L3537" s="5">
        <v>3673780</v>
      </c>
      <c r="M3537" s="5">
        <v>637535.43000000005</v>
      </c>
      <c r="N3537" s="5">
        <v>0.184</v>
      </c>
      <c r="O3537" s="5">
        <v>10</v>
      </c>
      <c r="P3537" s="5">
        <v>291212</v>
      </c>
    </row>
    <row r="3538" spans="1:16" x14ac:dyDescent="0.3">
      <c r="A3538" s="5">
        <v>85</v>
      </c>
      <c r="B3538" s="5" t="s">
        <v>147</v>
      </c>
      <c r="C3538" s="5">
        <v>6</v>
      </c>
      <c r="D3538" s="5" t="s">
        <v>90</v>
      </c>
      <c r="E3538" s="5">
        <v>2024</v>
      </c>
      <c r="F3538" s="5">
        <v>9</v>
      </c>
      <c r="G3538" s="5" t="s">
        <v>66</v>
      </c>
      <c r="H3538" s="5">
        <v>1024926</v>
      </c>
      <c r="I3538" s="5">
        <v>840250.86</v>
      </c>
      <c r="J3538" s="5">
        <v>16</v>
      </c>
      <c r="K3538" s="5">
        <v>82171</v>
      </c>
      <c r="L3538" s="5">
        <v>1105060</v>
      </c>
      <c r="M3538" s="5">
        <v>184675.14</v>
      </c>
      <c r="N3538" s="5">
        <v>0.1802</v>
      </c>
      <c r="O3538" s="5">
        <v>3</v>
      </c>
      <c r="P3538" s="5">
        <v>25348</v>
      </c>
    </row>
    <row r="3539" spans="1:16" x14ac:dyDescent="0.3">
      <c r="A3539" s="5">
        <v>112</v>
      </c>
      <c r="B3539" s="5" t="s">
        <v>147</v>
      </c>
      <c r="C3539" s="5">
        <v>6</v>
      </c>
      <c r="D3539" s="5" t="s">
        <v>90</v>
      </c>
      <c r="E3539" s="5">
        <v>2024</v>
      </c>
      <c r="F3539" s="5">
        <v>9</v>
      </c>
      <c r="G3539" s="5" t="s">
        <v>66</v>
      </c>
      <c r="H3539" s="5">
        <v>2721643</v>
      </c>
      <c r="I3539" s="5">
        <v>2200669.36</v>
      </c>
      <c r="J3539" s="5">
        <v>35</v>
      </c>
      <c r="K3539" s="5">
        <v>114395</v>
      </c>
      <c r="L3539" s="5">
        <v>2824140</v>
      </c>
      <c r="M3539" s="5">
        <v>520973.64</v>
      </c>
      <c r="N3539" s="5">
        <v>0.19139999999999999</v>
      </c>
      <c r="O3539" s="5">
        <v>2</v>
      </c>
      <c r="P3539" s="5">
        <v>75779</v>
      </c>
    </row>
    <row r="3540" spans="1:16" x14ac:dyDescent="0.3">
      <c r="A3540" s="5">
        <v>119</v>
      </c>
      <c r="B3540" s="5" t="s">
        <v>147</v>
      </c>
      <c r="C3540" s="5">
        <v>6</v>
      </c>
      <c r="D3540" s="5" t="s">
        <v>90</v>
      </c>
      <c r="E3540" s="5">
        <v>2024</v>
      </c>
      <c r="F3540" s="5">
        <v>9</v>
      </c>
      <c r="G3540" s="5" t="s">
        <v>66</v>
      </c>
      <c r="H3540" s="5">
        <v>6772996</v>
      </c>
      <c r="I3540" s="5">
        <v>5528565.9900000002</v>
      </c>
      <c r="J3540" s="5">
        <v>90</v>
      </c>
      <c r="K3540" s="5">
        <v>412549</v>
      </c>
      <c r="L3540" s="5">
        <v>7157260</v>
      </c>
      <c r="M3540" s="5">
        <v>1244430.01</v>
      </c>
      <c r="N3540" s="5">
        <v>0.1837</v>
      </c>
      <c r="O3540" s="5">
        <v>10</v>
      </c>
      <c r="P3540" s="5">
        <v>439165</v>
      </c>
    </row>
    <row r="3541" spans="1:16" x14ac:dyDescent="0.3">
      <c r="A3541" s="5">
        <v>15</v>
      </c>
      <c r="B3541" s="5" t="s">
        <v>147</v>
      </c>
      <c r="C3541" s="5">
        <v>6</v>
      </c>
      <c r="D3541" s="5" t="s">
        <v>90</v>
      </c>
      <c r="E3541" s="5">
        <v>2024</v>
      </c>
      <c r="F3541" s="5">
        <v>10</v>
      </c>
      <c r="G3541" s="5" t="s">
        <v>67</v>
      </c>
      <c r="H3541" s="5">
        <v>3530798</v>
      </c>
      <c r="I3541" s="5">
        <v>2891396.13</v>
      </c>
      <c r="J3541" s="5">
        <v>34</v>
      </c>
      <c r="K3541" s="5">
        <v>104118</v>
      </c>
      <c r="L3541" s="5">
        <v>3627800</v>
      </c>
      <c r="M3541" s="5">
        <v>639401.87</v>
      </c>
      <c r="N3541" s="5">
        <v>0.18110000000000001</v>
      </c>
      <c r="O3541" s="5">
        <v>2</v>
      </c>
      <c r="P3541" s="5">
        <v>387210</v>
      </c>
    </row>
    <row r="3542" spans="1:16" x14ac:dyDescent="0.3">
      <c r="A3542" s="5">
        <v>31</v>
      </c>
      <c r="B3542" s="5" t="s">
        <v>147</v>
      </c>
      <c r="C3542" s="5">
        <v>6</v>
      </c>
      <c r="D3542" s="5" t="s">
        <v>90</v>
      </c>
      <c r="E3542" s="5">
        <v>2024</v>
      </c>
      <c r="F3542" s="5">
        <v>10</v>
      </c>
      <c r="G3542" s="5" t="s">
        <v>67</v>
      </c>
      <c r="H3542" s="5">
        <v>3397134</v>
      </c>
      <c r="I3542" s="5">
        <v>2679489.96</v>
      </c>
      <c r="J3542" s="5">
        <v>56</v>
      </c>
      <c r="K3542" s="5">
        <v>157441</v>
      </c>
      <c r="L3542" s="5">
        <v>3546190</v>
      </c>
      <c r="M3542" s="5">
        <v>717644.04</v>
      </c>
      <c r="N3542" s="5">
        <v>0.2112</v>
      </c>
      <c r="O3542" s="5">
        <v>5</v>
      </c>
      <c r="P3542" s="5">
        <v>53925</v>
      </c>
    </row>
    <row r="3543" spans="1:16" x14ac:dyDescent="0.3">
      <c r="A3543" s="5">
        <v>85</v>
      </c>
      <c r="B3543" s="5" t="s">
        <v>147</v>
      </c>
      <c r="C3543" s="5">
        <v>6</v>
      </c>
      <c r="D3543" s="5" t="s">
        <v>90</v>
      </c>
      <c r="E3543" s="5">
        <v>2024</v>
      </c>
      <c r="F3543" s="5">
        <v>10</v>
      </c>
      <c r="G3543" s="5" t="s">
        <v>67</v>
      </c>
      <c r="H3543" s="5">
        <v>848861</v>
      </c>
      <c r="I3543" s="5">
        <v>674067.63</v>
      </c>
      <c r="J3543" s="5">
        <v>15</v>
      </c>
      <c r="K3543" s="5">
        <v>26971</v>
      </c>
      <c r="L3543" s="5">
        <v>870060</v>
      </c>
      <c r="M3543" s="5">
        <v>174793.37</v>
      </c>
      <c r="N3543" s="5">
        <v>0.2059</v>
      </c>
      <c r="O3543" s="5">
        <v>0</v>
      </c>
      <c r="P3543" s="5">
        <v>0</v>
      </c>
    </row>
    <row r="3544" spans="1:16" x14ac:dyDescent="0.3">
      <c r="A3544" s="5">
        <v>112</v>
      </c>
      <c r="B3544" s="5" t="s">
        <v>147</v>
      </c>
      <c r="C3544" s="5">
        <v>6</v>
      </c>
      <c r="D3544" s="5" t="s">
        <v>90</v>
      </c>
      <c r="E3544" s="5">
        <v>2024</v>
      </c>
      <c r="F3544" s="5">
        <v>10</v>
      </c>
      <c r="G3544" s="5" t="s">
        <v>67</v>
      </c>
      <c r="H3544" s="5">
        <v>1780382</v>
      </c>
      <c r="I3544" s="5">
        <v>1406558.48</v>
      </c>
      <c r="J3544" s="5">
        <v>32</v>
      </c>
      <c r="K3544" s="5">
        <v>49960</v>
      </c>
      <c r="L3544" s="5">
        <v>1824480</v>
      </c>
      <c r="M3544" s="5">
        <v>373823.52</v>
      </c>
      <c r="N3544" s="5">
        <v>0.21</v>
      </c>
      <c r="O3544" s="5">
        <v>1</v>
      </c>
      <c r="P3544" s="5">
        <v>45436</v>
      </c>
    </row>
    <row r="3545" spans="1:16" x14ac:dyDescent="0.3">
      <c r="A3545" s="5">
        <v>119</v>
      </c>
      <c r="B3545" s="5" t="s">
        <v>147</v>
      </c>
      <c r="C3545" s="5">
        <v>6</v>
      </c>
      <c r="D3545" s="5" t="s">
        <v>90</v>
      </c>
      <c r="E3545" s="5">
        <v>2024</v>
      </c>
      <c r="F3545" s="5">
        <v>10</v>
      </c>
      <c r="G3545" s="5" t="s">
        <v>67</v>
      </c>
      <c r="H3545" s="5">
        <v>8542247</v>
      </c>
      <c r="I3545" s="5">
        <v>6892983.29</v>
      </c>
      <c r="J3545" s="5">
        <v>104</v>
      </c>
      <c r="K3545" s="5">
        <v>276857</v>
      </c>
      <c r="L3545" s="5">
        <v>8792400</v>
      </c>
      <c r="M3545" s="5">
        <v>1649263.71</v>
      </c>
      <c r="N3545" s="5">
        <v>0.19309999999999999</v>
      </c>
      <c r="O3545" s="5">
        <v>14</v>
      </c>
      <c r="P3545" s="5">
        <v>544529</v>
      </c>
    </row>
    <row r="3546" spans="1:16" x14ac:dyDescent="0.3">
      <c r="A3546" s="5">
        <v>15</v>
      </c>
      <c r="B3546" s="5" t="s">
        <v>147</v>
      </c>
      <c r="C3546" s="5">
        <v>6</v>
      </c>
      <c r="D3546" s="5" t="s">
        <v>90</v>
      </c>
      <c r="E3546" s="5">
        <v>2024</v>
      </c>
      <c r="F3546" s="5">
        <v>11</v>
      </c>
      <c r="G3546" s="5" t="s">
        <v>68</v>
      </c>
      <c r="H3546" s="5">
        <v>2111130</v>
      </c>
      <c r="I3546" s="5">
        <v>1786926.58</v>
      </c>
      <c r="J3546" s="5">
        <v>34</v>
      </c>
      <c r="K3546" s="5">
        <v>164416</v>
      </c>
      <c r="L3546" s="5">
        <v>2265220</v>
      </c>
      <c r="M3546" s="5">
        <v>324203.42</v>
      </c>
      <c r="N3546" s="5">
        <v>0.15359999999999999</v>
      </c>
      <c r="O3546" s="5">
        <v>4</v>
      </c>
      <c r="P3546" s="5">
        <v>444595</v>
      </c>
    </row>
    <row r="3547" spans="1:16" x14ac:dyDescent="0.3">
      <c r="A3547" s="5">
        <v>31</v>
      </c>
      <c r="B3547" s="5" t="s">
        <v>147</v>
      </c>
      <c r="C3547" s="5">
        <v>6</v>
      </c>
      <c r="D3547" s="5" t="s">
        <v>90</v>
      </c>
      <c r="E3547" s="5">
        <v>2024</v>
      </c>
      <c r="F3547" s="5">
        <v>11</v>
      </c>
      <c r="G3547" s="5" t="s">
        <v>68</v>
      </c>
      <c r="H3547" s="5">
        <v>5291180</v>
      </c>
      <c r="I3547" s="5">
        <v>4423171.97</v>
      </c>
      <c r="J3547" s="5">
        <v>64</v>
      </c>
      <c r="K3547" s="5">
        <v>456178</v>
      </c>
      <c r="L3547" s="5">
        <v>5731220</v>
      </c>
      <c r="M3547" s="5">
        <v>868008.03</v>
      </c>
      <c r="N3547" s="5">
        <v>0.16400000000000001</v>
      </c>
      <c r="O3547" s="5">
        <v>2</v>
      </c>
      <c r="P3547" s="5">
        <v>3868</v>
      </c>
    </row>
    <row r="3548" spans="1:16" x14ac:dyDescent="0.3">
      <c r="A3548" s="5">
        <v>85</v>
      </c>
      <c r="B3548" s="5" t="s">
        <v>147</v>
      </c>
      <c r="C3548" s="5">
        <v>6</v>
      </c>
      <c r="D3548" s="5" t="s">
        <v>90</v>
      </c>
      <c r="E3548" s="5">
        <v>2024</v>
      </c>
      <c r="F3548" s="5">
        <v>11</v>
      </c>
      <c r="G3548" s="5" t="s">
        <v>68</v>
      </c>
      <c r="H3548" s="5">
        <v>837615</v>
      </c>
      <c r="I3548" s="5">
        <v>694014.07</v>
      </c>
      <c r="J3548" s="5">
        <v>16</v>
      </c>
      <c r="K3548" s="5">
        <v>100950</v>
      </c>
      <c r="L3548" s="5">
        <v>936510</v>
      </c>
      <c r="M3548" s="5">
        <v>143600.93</v>
      </c>
      <c r="N3548" s="5">
        <v>0.1714</v>
      </c>
      <c r="O3548" s="5">
        <v>1</v>
      </c>
      <c r="P3548" s="5">
        <v>74655</v>
      </c>
    </row>
    <row r="3549" spans="1:16" x14ac:dyDescent="0.3">
      <c r="A3549" s="5">
        <v>112</v>
      </c>
      <c r="B3549" s="5" t="s">
        <v>147</v>
      </c>
      <c r="C3549" s="5">
        <v>6</v>
      </c>
      <c r="D3549" s="5" t="s">
        <v>90</v>
      </c>
      <c r="E3549" s="5">
        <v>2024</v>
      </c>
      <c r="F3549" s="5">
        <v>11</v>
      </c>
      <c r="G3549" s="5" t="s">
        <v>68</v>
      </c>
      <c r="H3549" s="5">
        <v>1895231</v>
      </c>
      <c r="I3549" s="5">
        <v>1583303.98</v>
      </c>
      <c r="J3549" s="5">
        <v>33</v>
      </c>
      <c r="K3549" s="5">
        <v>178208</v>
      </c>
      <c r="L3549" s="5">
        <v>2064710</v>
      </c>
      <c r="M3549" s="5">
        <v>311927.02</v>
      </c>
      <c r="N3549" s="5">
        <v>0.1646</v>
      </c>
      <c r="O3549" s="5">
        <v>3</v>
      </c>
      <c r="P3549" s="5">
        <v>168186</v>
      </c>
    </row>
    <row r="3550" spans="1:16" x14ac:dyDescent="0.3">
      <c r="A3550" s="5">
        <v>119</v>
      </c>
      <c r="B3550" s="5" t="s">
        <v>147</v>
      </c>
      <c r="C3550" s="5">
        <v>6</v>
      </c>
      <c r="D3550" s="5" t="s">
        <v>90</v>
      </c>
      <c r="E3550" s="5">
        <v>2024</v>
      </c>
      <c r="F3550" s="5">
        <v>11</v>
      </c>
      <c r="G3550" s="5" t="s">
        <v>68</v>
      </c>
      <c r="H3550" s="5">
        <v>7480340</v>
      </c>
      <c r="I3550" s="5">
        <v>6364708.2199999997</v>
      </c>
      <c r="J3550" s="5">
        <v>117</v>
      </c>
      <c r="K3550" s="5">
        <v>700844</v>
      </c>
      <c r="L3550" s="5">
        <v>8157770</v>
      </c>
      <c r="M3550" s="5">
        <v>1115631.78</v>
      </c>
      <c r="N3550" s="5">
        <v>0.14910000000000001</v>
      </c>
      <c r="O3550" s="5">
        <v>11</v>
      </c>
      <c r="P3550" s="5">
        <v>143292</v>
      </c>
    </row>
    <row r="3551" spans="1:16" x14ac:dyDescent="0.3">
      <c r="A3551" s="5">
        <v>15</v>
      </c>
      <c r="B3551" s="5" t="s">
        <v>147</v>
      </c>
      <c r="C3551" s="5">
        <v>6</v>
      </c>
      <c r="D3551" s="5" t="s">
        <v>90</v>
      </c>
      <c r="E3551" s="5">
        <v>2024</v>
      </c>
      <c r="F3551" s="5">
        <v>12</v>
      </c>
      <c r="G3551" s="5" t="s">
        <v>69</v>
      </c>
      <c r="H3551" s="5">
        <v>1501991</v>
      </c>
      <c r="I3551" s="5">
        <v>1220090.46</v>
      </c>
      <c r="J3551" s="5">
        <v>23</v>
      </c>
      <c r="K3551" s="5">
        <v>40685</v>
      </c>
      <c r="L3551" s="5">
        <v>1538050</v>
      </c>
      <c r="M3551" s="5">
        <v>281900.53999999998</v>
      </c>
      <c r="N3551" s="5">
        <v>0.18770000000000001</v>
      </c>
      <c r="O3551" s="5">
        <v>0</v>
      </c>
      <c r="P3551" s="5">
        <v>0</v>
      </c>
    </row>
    <row r="3552" spans="1:16" x14ac:dyDescent="0.3">
      <c r="A3552" s="5">
        <v>31</v>
      </c>
      <c r="B3552" s="5" t="s">
        <v>147</v>
      </c>
      <c r="C3552" s="5">
        <v>6</v>
      </c>
      <c r="D3552" s="5" t="s">
        <v>90</v>
      </c>
      <c r="E3552" s="5">
        <v>2024</v>
      </c>
      <c r="F3552" s="5">
        <v>12</v>
      </c>
      <c r="G3552" s="5" t="s">
        <v>69</v>
      </c>
      <c r="H3552" s="5">
        <v>5375419</v>
      </c>
      <c r="I3552" s="5">
        <v>4286680.8600000003</v>
      </c>
      <c r="J3552" s="5">
        <v>63</v>
      </c>
      <c r="K3552" s="5">
        <v>167952</v>
      </c>
      <c r="L3552" s="5">
        <v>5524750</v>
      </c>
      <c r="M3552" s="5">
        <v>1088738.1399999999</v>
      </c>
      <c r="N3552" s="5">
        <v>0.20250000000000001</v>
      </c>
      <c r="O3552" s="5">
        <v>3</v>
      </c>
      <c r="P3552" s="5">
        <v>151980</v>
      </c>
    </row>
    <row r="3553" spans="1:16" x14ac:dyDescent="0.3">
      <c r="A3553" s="5">
        <v>85</v>
      </c>
      <c r="B3553" s="5" t="s">
        <v>147</v>
      </c>
      <c r="C3553" s="5">
        <v>6</v>
      </c>
      <c r="D3553" s="5" t="s">
        <v>90</v>
      </c>
      <c r="E3553" s="5">
        <v>2024</v>
      </c>
      <c r="F3553" s="5">
        <v>12</v>
      </c>
      <c r="G3553" s="5" t="s">
        <v>69</v>
      </c>
      <c r="H3553" s="5">
        <v>3640514</v>
      </c>
      <c r="I3553" s="5">
        <v>2986098.01</v>
      </c>
      <c r="J3553" s="5">
        <v>28</v>
      </c>
      <c r="K3553" s="5">
        <v>91639</v>
      </c>
      <c r="L3553" s="5">
        <v>3713930</v>
      </c>
      <c r="M3553" s="5">
        <v>654415.99</v>
      </c>
      <c r="N3553" s="5">
        <v>0.17979999999999999</v>
      </c>
      <c r="O3553" s="5">
        <v>2</v>
      </c>
      <c r="P3553" s="5">
        <v>283087</v>
      </c>
    </row>
    <row r="3554" spans="1:16" x14ac:dyDescent="0.3">
      <c r="A3554" s="5">
        <v>112</v>
      </c>
      <c r="B3554" s="5" t="s">
        <v>147</v>
      </c>
      <c r="C3554" s="5">
        <v>6</v>
      </c>
      <c r="D3554" s="5" t="s">
        <v>90</v>
      </c>
      <c r="E3554" s="5">
        <v>2024</v>
      </c>
      <c r="F3554" s="5">
        <v>12</v>
      </c>
      <c r="G3554" s="5" t="s">
        <v>69</v>
      </c>
      <c r="H3554" s="5">
        <v>3785560</v>
      </c>
      <c r="I3554" s="5">
        <v>3166290.78</v>
      </c>
      <c r="J3554" s="5">
        <v>34</v>
      </c>
      <c r="K3554" s="5">
        <v>178125</v>
      </c>
      <c r="L3554" s="5">
        <v>3960500</v>
      </c>
      <c r="M3554" s="5">
        <v>619269.22</v>
      </c>
      <c r="N3554" s="5">
        <v>0.1636</v>
      </c>
      <c r="O3554" s="5">
        <v>2</v>
      </c>
      <c r="P3554" s="5">
        <v>115576</v>
      </c>
    </row>
    <row r="3555" spans="1:16" x14ac:dyDescent="0.3">
      <c r="A3555" s="5">
        <v>119</v>
      </c>
      <c r="B3555" s="5" t="s">
        <v>147</v>
      </c>
      <c r="C3555" s="5">
        <v>6</v>
      </c>
      <c r="D3555" s="5" t="s">
        <v>90</v>
      </c>
      <c r="E3555" s="5">
        <v>2024</v>
      </c>
      <c r="F3555" s="5">
        <v>12</v>
      </c>
      <c r="G3555" s="5" t="s">
        <v>69</v>
      </c>
      <c r="H3555" s="5">
        <v>9033380</v>
      </c>
      <c r="I3555" s="5">
        <v>7119499.4299999997</v>
      </c>
      <c r="J3555" s="5">
        <v>109</v>
      </c>
      <c r="K3555" s="5">
        <v>223732</v>
      </c>
      <c r="L3555" s="5">
        <v>9193400</v>
      </c>
      <c r="M3555" s="5">
        <v>1913880.57</v>
      </c>
      <c r="N3555" s="5">
        <v>0.21190000000000001</v>
      </c>
      <c r="O3555" s="5">
        <v>7</v>
      </c>
      <c r="P3555" s="5">
        <v>155013</v>
      </c>
    </row>
    <row r="3556" spans="1:16" x14ac:dyDescent="0.3">
      <c r="A3556" s="5">
        <v>46</v>
      </c>
      <c r="B3556" s="5" t="s">
        <v>148</v>
      </c>
      <c r="C3556" s="5">
        <v>5</v>
      </c>
      <c r="D3556" s="5" t="s">
        <v>80</v>
      </c>
      <c r="E3556" s="5">
        <v>2021</v>
      </c>
      <c r="F3556" s="5">
        <v>1</v>
      </c>
      <c r="G3556" s="5" t="s">
        <v>22</v>
      </c>
      <c r="H3556" s="5">
        <v>404810</v>
      </c>
      <c r="I3556" s="5">
        <v>370473.16</v>
      </c>
      <c r="J3556" s="5">
        <v>7</v>
      </c>
      <c r="K3556" s="5">
        <v>79590</v>
      </c>
      <c r="L3556" s="5">
        <v>484400</v>
      </c>
      <c r="M3556" s="5">
        <v>34336.839999999997</v>
      </c>
      <c r="N3556" s="5">
        <v>8.48E-2</v>
      </c>
      <c r="O3556" s="5">
        <v>0</v>
      </c>
      <c r="P3556" s="5">
        <v>0</v>
      </c>
    </row>
    <row r="3557" spans="1:16" x14ac:dyDescent="0.3">
      <c r="A3557" s="5">
        <v>46</v>
      </c>
      <c r="B3557" s="5" t="s">
        <v>148</v>
      </c>
      <c r="C3557" s="5">
        <v>5</v>
      </c>
      <c r="D3557" s="5" t="s">
        <v>80</v>
      </c>
      <c r="E3557" s="5">
        <v>2021</v>
      </c>
      <c r="F3557" s="5">
        <v>2</v>
      </c>
      <c r="G3557" s="5" t="s">
        <v>23</v>
      </c>
      <c r="H3557" s="5">
        <v>965524</v>
      </c>
      <c r="I3557" s="5">
        <v>777045.22</v>
      </c>
      <c r="J3557" s="5">
        <v>16</v>
      </c>
      <c r="K3557" s="5">
        <v>86493</v>
      </c>
      <c r="L3557" s="5">
        <v>1046640</v>
      </c>
      <c r="M3557" s="5">
        <v>188478.78</v>
      </c>
      <c r="N3557" s="5">
        <v>0.19520000000000001</v>
      </c>
      <c r="O3557" s="5">
        <v>0</v>
      </c>
      <c r="P3557" s="5">
        <v>0</v>
      </c>
    </row>
    <row r="3558" spans="1:16" x14ac:dyDescent="0.3">
      <c r="A3558" s="5">
        <v>46</v>
      </c>
      <c r="B3558" s="5" t="s">
        <v>148</v>
      </c>
      <c r="C3558" s="5">
        <v>5</v>
      </c>
      <c r="D3558" s="5" t="s">
        <v>80</v>
      </c>
      <c r="E3558" s="5">
        <v>2021</v>
      </c>
      <c r="F3558" s="5">
        <v>3</v>
      </c>
      <c r="G3558" s="5" t="s">
        <v>24</v>
      </c>
      <c r="H3558" s="5">
        <v>524960</v>
      </c>
      <c r="I3558" s="5">
        <v>468932.69</v>
      </c>
      <c r="J3558" s="5">
        <v>12</v>
      </c>
      <c r="K3558" s="5">
        <v>56921</v>
      </c>
      <c r="L3558" s="5">
        <v>581430</v>
      </c>
      <c r="M3558" s="5">
        <v>56027.31</v>
      </c>
      <c r="N3558" s="5">
        <v>0.1067</v>
      </c>
      <c r="O3558" s="5">
        <v>1</v>
      </c>
      <c r="P3558" s="5">
        <v>7531</v>
      </c>
    </row>
    <row r="3559" spans="1:16" x14ac:dyDescent="0.3">
      <c r="A3559" s="5">
        <v>46</v>
      </c>
      <c r="B3559" s="5" t="s">
        <v>148</v>
      </c>
      <c r="C3559" s="5">
        <v>5</v>
      </c>
      <c r="D3559" s="5" t="s">
        <v>80</v>
      </c>
      <c r="E3559" s="5">
        <v>2021</v>
      </c>
      <c r="F3559" s="5">
        <v>4</v>
      </c>
      <c r="G3559" s="5" t="s">
        <v>25</v>
      </c>
      <c r="H3559" s="5">
        <v>892771</v>
      </c>
      <c r="I3559" s="5">
        <v>741765.35</v>
      </c>
      <c r="J3559" s="5">
        <v>13</v>
      </c>
      <c r="K3559" s="5">
        <v>60854</v>
      </c>
      <c r="L3559" s="5">
        <v>948780</v>
      </c>
      <c r="M3559" s="5">
        <v>151005.65</v>
      </c>
      <c r="N3559" s="5">
        <v>0.1691</v>
      </c>
      <c r="O3559" s="5">
        <v>0</v>
      </c>
      <c r="P3559" s="5">
        <v>0</v>
      </c>
    </row>
    <row r="3560" spans="1:16" x14ac:dyDescent="0.3">
      <c r="A3560" s="5">
        <v>46</v>
      </c>
      <c r="B3560" s="5" t="s">
        <v>148</v>
      </c>
      <c r="C3560" s="5">
        <v>5</v>
      </c>
      <c r="D3560" s="5" t="s">
        <v>80</v>
      </c>
      <c r="E3560" s="5">
        <v>2021</v>
      </c>
      <c r="F3560" s="5">
        <v>5</v>
      </c>
      <c r="G3560" s="5" t="s">
        <v>26</v>
      </c>
      <c r="H3560" s="5">
        <v>1210306</v>
      </c>
      <c r="I3560" s="5">
        <v>1067404.1599999999</v>
      </c>
      <c r="J3560" s="5">
        <v>13</v>
      </c>
      <c r="K3560" s="5">
        <v>131090</v>
      </c>
      <c r="L3560" s="5">
        <v>1337060</v>
      </c>
      <c r="M3560" s="5">
        <v>142901.84</v>
      </c>
      <c r="N3560" s="5">
        <v>0.1181</v>
      </c>
      <c r="O3560" s="5">
        <v>4</v>
      </c>
      <c r="P3560" s="5">
        <v>91618</v>
      </c>
    </row>
    <row r="3561" spans="1:16" x14ac:dyDescent="0.3">
      <c r="A3561" s="5">
        <v>46</v>
      </c>
      <c r="B3561" s="5" t="s">
        <v>148</v>
      </c>
      <c r="C3561" s="5">
        <v>5</v>
      </c>
      <c r="D3561" s="5" t="s">
        <v>80</v>
      </c>
      <c r="E3561" s="5">
        <v>2021</v>
      </c>
      <c r="F3561" s="5">
        <v>6</v>
      </c>
      <c r="G3561" s="5" t="s">
        <v>27</v>
      </c>
      <c r="H3561" s="5">
        <v>606312</v>
      </c>
      <c r="I3561" s="5">
        <v>513621.2</v>
      </c>
      <c r="J3561" s="5">
        <v>13</v>
      </c>
      <c r="K3561" s="5">
        <v>73961</v>
      </c>
      <c r="L3561" s="5">
        <v>678710</v>
      </c>
      <c r="M3561" s="5">
        <v>92690.8</v>
      </c>
      <c r="N3561" s="5">
        <v>0.15290000000000001</v>
      </c>
      <c r="O3561" s="5">
        <v>2</v>
      </c>
      <c r="P3561" s="5">
        <v>27525</v>
      </c>
    </row>
    <row r="3562" spans="1:16" x14ac:dyDescent="0.3">
      <c r="A3562" s="5">
        <v>46</v>
      </c>
      <c r="B3562" s="5" t="s">
        <v>148</v>
      </c>
      <c r="C3562" s="5">
        <v>5</v>
      </c>
      <c r="D3562" s="5" t="s">
        <v>80</v>
      </c>
      <c r="E3562" s="5">
        <v>2021</v>
      </c>
      <c r="F3562" s="5">
        <v>7</v>
      </c>
      <c r="G3562" s="5" t="s">
        <v>28</v>
      </c>
      <c r="H3562" s="5">
        <v>1178778</v>
      </c>
      <c r="I3562" s="5">
        <v>1049933.74</v>
      </c>
      <c r="J3562" s="5">
        <v>20</v>
      </c>
      <c r="K3562" s="5">
        <v>189664</v>
      </c>
      <c r="L3562" s="5">
        <v>1365440</v>
      </c>
      <c r="M3562" s="5">
        <v>128844.26</v>
      </c>
      <c r="N3562" s="5">
        <v>0.10929999999999999</v>
      </c>
      <c r="O3562" s="5">
        <v>3</v>
      </c>
      <c r="P3562" s="5">
        <v>19888</v>
      </c>
    </row>
    <row r="3563" spans="1:16" x14ac:dyDescent="0.3">
      <c r="A3563" s="5">
        <v>46</v>
      </c>
      <c r="B3563" s="5" t="s">
        <v>148</v>
      </c>
      <c r="C3563" s="5">
        <v>5</v>
      </c>
      <c r="D3563" s="5" t="s">
        <v>80</v>
      </c>
      <c r="E3563" s="5">
        <v>2021</v>
      </c>
      <c r="F3563" s="5">
        <v>8</v>
      </c>
      <c r="G3563" s="5" t="s">
        <v>29</v>
      </c>
      <c r="H3563" s="5">
        <v>1700881</v>
      </c>
      <c r="I3563" s="5">
        <v>1418862.62</v>
      </c>
      <c r="J3563" s="5">
        <v>17</v>
      </c>
      <c r="K3563" s="5">
        <v>145152</v>
      </c>
      <c r="L3563" s="5">
        <v>1839240</v>
      </c>
      <c r="M3563" s="5">
        <v>282018.38</v>
      </c>
      <c r="N3563" s="5">
        <v>0.1658</v>
      </c>
      <c r="O3563" s="5">
        <v>1</v>
      </c>
      <c r="P3563" s="5">
        <v>1668</v>
      </c>
    </row>
    <row r="3564" spans="1:16" x14ac:dyDescent="0.3">
      <c r="A3564" s="5">
        <v>46</v>
      </c>
      <c r="B3564" s="5" t="s">
        <v>148</v>
      </c>
      <c r="C3564" s="5">
        <v>5</v>
      </c>
      <c r="D3564" s="5" t="s">
        <v>80</v>
      </c>
      <c r="E3564" s="5">
        <v>2021</v>
      </c>
      <c r="F3564" s="5">
        <v>9</v>
      </c>
      <c r="G3564" s="5" t="s">
        <v>30</v>
      </c>
      <c r="H3564" s="5">
        <v>1025493</v>
      </c>
      <c r="I3564" s="5">
        <v>891519.92</v>
      </c>
      <c r="J3564" s="5">
        <v>14</v>
      </c>
      <c r="K3564" s="5">
        <v>120277</v>
      </c>
      <c r="L3564" s="5">
        <v>1139800</v>
      </c>
      <c r="M3564" s="5">
        <v>133973.07999999999</v>
      </c>
      <c r="N3564" s="5">
        <v>0.13059999999999999</v>
      </c>
      <c r="O3564" s="5">
        <v>3</v>
      </c>
      <c r="P3564" s="5">
        <v>69673</v>
      </c>
    </row>
    <row r="3565" spans="1:16" x14ac:dyDescent="0.3">
      <c r="A3565" s="5">
        <v>46</v>
      </c>
      <c r="B3565" s="5" t="s">
        <v>148</v>
      </c>
      <c r="C3565" s="5">
        <v>5</v>
      </c>
      <c r="D3565" s="5" t="s">
        <v>80</v>
      </c>
      <c r="E3565" s="5">
        <v>2021</v>
      </c>
      <c r="F3565" s="5">
        <v>10</v>
      </c>
      <c r="G3565" s="5" t="s">
        <v>31</v>
      </c>
      <c r="H3565" s="5">
        <v>1292148</v>
      </c>
      <c r="I3565" s="5">
        <v>1156565.83</v>
      </c>
      <c r="J3565" s="5">
        <v>21</v>
      </c>
      <c r="K3565" s="5">
        <v>167553</v>
      </c>
      <c r="L3565" s="5">
        <v>1458620</v>
      </c>
      <c r="M3565" s="5">
        <v>135582.17000000001</v>
      </c>
      <c r="N3565" s="5">
        <v>0.10489999999999999</v>
      </c>
      <c r="O3565" s="5">
        <v>2</v>
      </c>
      <c r="P3565" s="5">
        <v>17447</v>
      </c>
    </row>
    <row r="3566" spans="1:16" x14ac:dyDescent="0.3">
      <c r="A3566" s="5">
        <v>46</v>
      </c>
      <c r="B3566" s="5" t="s">
        <v>148</v>
      </c>
      <c r="C3566" s="5">
        <v>5</v>
      </c>
      <c r="D3566" s="5" t="s">
        <v>80</v>
      </c>
      <c r="E3566" s="5">
        <v>2021</v>
      </c>
      <c r="F3566" s="5">
        <v>11</v>
      </c>
      <c r="G3566" s="5" t="s">
        <v>32</v>
      </c>
      <c r="H3566" s="5">
        <v>1001444</v>
      </c>
      <c r="I3566" s="5">
        <v>863425.95</v>
      </c>
      <c r="J3566" s="5">
        <v>19</v>
      </c>
      <c r="K3566" s="5">
        <v>62192</v>
      </c>
      <c r="L3566" s="5">
        <v>1061940</v>
      </c>
      <c r="M3566" s="5">
        <v>138018.04999999999</v>
      </c>
      <c r="N3566" s="5">
        <v>0.13780000000000001</v>
      </c>
      <c r="O3566" s="5">
        <v>3</v>
      </c>
      <c r="P3566" s="5">
        <v>28653</v>
      </c>
    </row>
    <row r="3567" spans="1:16" x14ac:dyDescent="0.3">
      <c r="A3567" s="5">
        <v>46</v>
      </c>
      <c r="B3567" s="5" t="s">
        <v>148</v>
      </c>
      <c r="C3567" s="5">
        <v>5</v>
      </c>
      <c r="D3567" s="5" t="s">
        <v>80</v>
      </c>
      <c r="E3567" s="5">
        <v>2021</v>
      </c>
      <c r="F3567" s="5">
        <v>12</v>
      </c>
      <c r="G3567" s="5" t="s">
        <v>33</v>
      </c>
      <c r="H3567" s="5">
        <v>887451</v>
      </c>
      <c r="I3567" s="5">
        <v>674713.21</v>
      </c>
      <c r="J3567" s="5">
        <v>17</v>
      </c>
      <c r="K3567" s="5">
        <v>11971</v>
      </c>
      <c r="L3567" s="5">
        <v>891170</v>
      </c>
      <c r="M3567" s="5">
        <v>212737.79</v>
      </c>
      <c r="N3567" s="5">
        <v>0.2397</v>
      </c>
      <c r="O3567" s="5">
        <v>3</v>
      </c>
      <c r="P3567" s="5">
        <v>99326</v>
      </c>
    </row>
    <row r="3568" spans="1:16" x14ac:dyDescent="0.3">
      <c r="A3568" s="5">
        <v>46</v>
      </c>
      <c r="B3568" s="5" t="s">
        <v>148</v>
      </c>
      <c r="C3568" s="5">
        <v>5</v>
      </c>
      <c r="D3568" s="5" t="s">
        <v>80</v>
      </c>
      <c r="E3568" s="5">
        <v>2022</v>
      </c>
      <c r="F3568" s="5">
        <v>1</v>
      </c>
      <c r="G3568" s="5" t="s">
        <v>34</v>
      </c>
      <c r="H3568" s="5">
        <v>1553767</v>
      </c>
      <c r="I3568" s="5">
        <v>1301901.01</v>
      </c>
      <c r="J3568" s="5">
        <v>21</v>
      </c>
      <c r="K3568" s="5">
        <v>122459</v>
      </c>
      <c r="L3568" s="5">
        <v>1672380</v>
      </c>
      <c r="M3568" s="5">
        <v>251865.99</v>
      </c>
      <c r="N3568" s="5">
        <v>0.16209999999999999</v>
      </c>
      <c r="O3568" s="5">
        <v>1</v>
      </c>
      <c r="P3568" s="5">
        <v>41395</v>
      </c>
    </row>
    <row r="3569" spans="1:16" x14ac:dyDescent="0.3">
      <c r="A3569" s="5">
        <v>46</v>
      </c>
      <c r="B3569" s="5" t="s">
        <v>148</v>
      </c>
      <c r="C3569" s="5">
        <v>5</v>
      </c>
      <c r="D3569" s="5" t="s">
        <v>80</v>
      </c>
      <c r="E3569" s="5">
        <v>2022</v>
      </c>
      <c r="F3569" s="5">
        <v>2</v>
      </c>
      <c r="G3569" s="5" t="s">
        <v>35</v>
      </c>
      <c r="H3569" s="5">
        <v>827780</v>
      </c>
      <c r="I3569" s="5">
        <v>701691.82</v>
      </c>
      <c r="J3569" s="5">
        <v>16</v>
      </c>
      <c r="K3569" s="5">
        <v>70450</v>
      </c>
      <c r="L3569" s="5">
        <v>896000</v>
      </c>
      <c r="M3569" s="5">
        <v>126088.18</v>
      </c>
      <c r="N3569" s="5">
        <v>0.15229999999999999</v>
      </c>
      <c r="O3569" s="5">
        <v>1</v>
      </c>
      <c r="P3569" s="5">
        <v>30273</v>
      </c>
    </row>
    <row r="3570" spans="1:16" x14ac:dyDescent="0.3">
      <c r="A3570" s="5">
        <v>46</v>
      </c>
      <c r="B3570" s="5" t="s">
        <v>148</v>
      </c>
      <c r="C3570" s="5">
        <v>5</v>
      </c>
      <c r="D3570" s="5" t="s">
        <v>80</v>
      </c>
      <c r="E3570" s="5">
        <v>2022</v>
      </c>
      <c r="F3570" s="5">
        <v>3</v>
      </c>
      <c r="G3570" s="5" t="s">
        <v>36</v>
      </c>
      <c r="H3570" s="5">
        <v>2169434</v>
      </c>
      <c r="I3570" s="5">
        <v>1791611.9</v>
      </c>
      <c r="J3570" s="5">
        <v>25</v>
      </c>
      <c r="K3570" s="5">
        <v>136747</v>
      </c>
      <c r="L3570" s="5">
        <v>2303690</v>
      </c>
      <c r="M3570" s="5">
        <v>377822.1</v>
      </c>
      <c r="N3570" s="5">
        <v>0.17419999999999999</v>
      </c>
      <c r="O3570" s="5">
        <v>5</v>
      </c>
      <c r="P3570" s="5">
        <v>472564</v>
      </c>
    </row>
    <row r="3571" spans="1:16" x14ac:dyDescent="0.3">
      <c r="A3571" s="5">
        <v>46</v>
      </c>
      <c r="B3571" s="5" t="s">
        <v>148</v>
      </c>
      <c r="C3571" s="5">
        <v>5</v>
      </c>
      <c r="D3571" s="5" t="s">
        <v>80</v>
      </c>
      <c r="E3571" s="5">
        <v>2022</v>
      </c>
      <c r="F3571" s="5">
        <v>4</v>
      </c>
      <c r="G3571" s="5" t="s">
        <v>37</v>
      </c>
      <c r="H3571" s="5">
        <v>744375</v>
      </c>
      <c r="I3571" s="5">
        <v>648930.88</v>
      </c>
      <c r="J3571" s="5">
        <v>13</v>
      </c>
      <c r="K3571" s="5">
        <v>120004</v>
      </c>
      <c r="L3571" s="5">
        <v>862680</v>
      </c>
      <c r="M3571" s="5">
        <v>95444.12</v>
      </c>
      <c r="N3571" s="5">
        <v>0.12820000000000001</v>
      </c>
      <c r="O3571" s="5">
        <v>2</v>
      </c>
      <c r="P3571" s="5">
        <v>34299</v>
      </c>
    </row>
    <row r="3572" spans="1:16" x14ac:dyDescent="0.3">
      <c r="A3572" s="5">
        <v>46</v>
      </c>
      <c r="B3572" s="5" t="s">
        <v>148</v>
      </c>
      <c r="C3572" s="5">
        <v>5</v>
      </c>
      <c r="D3572" s="5" t="s">
        <v>80</v>
      </c>
      <c r="E3572" s="5">
        <v>2022</v>
      </c>
      <c r="F3572" s="5">
        <v>5</v>
      </c>
      <c r="G3572" s="5" t="s">
        <v>38</v>
      </c>
      <c r="H3572" s="5">
        <v>1993995</v>
      </c>
      <c r="I3572" s="5">
        <v>1699513.67</v>
      </c>
      <c r="J3572" s="5">
        <v>28</v>
      </c>
      <c r="K3572" s="5">
        <v>166413</v>
      </c>
      <c r="L3572" s="5">
        <v>2157510</v>
      </c>
      <c r="M3572" s="5">
        <v>294481.33</v>
      </c>
      <c r="N3572" s="5">
        <v>0.1477</v>
      </c>
      <c r="O3572" s="5">
        <v>0</v>
      </c>
      <c r="P3572" s="5">
        <v>0</v>
      </c>
    </row>
    <row r="3573" spans="1:16" x14ac:dyDescent="0.3">
      <c r="A3573" s="5">
        <v>46</v>
      </c>
      <c r="B3573" s="5" t="s">
        <v>148</v>
      </c>
      <c r="C3573" s="5">
        <v>5</v>
      </c>
      <c r="D3573" s="5" t="s">
        <v>80</v>
      </c>
      <c r="E3573" s="5">
        <v>2022</v>
      </c>
      <c r="F3573" s="5">
        <v>6</v>
      </c>
      <c r="G3573" s="5" t="s">
        <v>39</v>
      </c>
      <c r="H3573" s="5">
        <v>1233981</v>
      </c>
      <c r="I3573" s="5">
        <v>1027791.4</v>
      </c>
      <c r="J3573" s="5">
        <v>19</v>
      </c>
      <c r="K3573" s="5">
        <v>124188</v>
      </c>
      <c r="L3573" s="5">
        <v>1354120</v>
      </c>
      <c r="M3573" s="5">
        <v>206189.6</v>
      </c>
      <c r="N3573" s="5">
        <v>0.1671</v>
      </c>
      <c r="O3573" s="5">
        <v>4</v>
      </c>
      <c r="P3573" s="5">
        <v>67408</v>
      </c>
    </row>
    <row r="3574" spans="1:16" x14ac:dyDescent="0.3">
      <c r="A3574" s="5">
        <v>46</v>
      </c>
      <c r="B3574" s="5" t="s">
        <v>148</v>
      </c>
      <c r="C3574" s="5">
        <v>5</v>
      </c>
      <c r="D3574" s="5" t="s">
        <v>80</v>
      </c>
      <c r="E3574" s="5">
        <v>2022</v>
      </c>
      <c r="F3574" s="5">
        <v>7</v>
      </c>
      <c r="G3574" s="5" t="s">
        <v>40</v>
      </c>
      <c r="H3574" s="5">
        <v>943601</v>
      </c>
      <c r="I3574" s="5">
        <v>801499.31</v>
      </c>
      <c r="J3574" s="5">
        <v>19</v>
      </c>
      <c r="K3574" s="5">
        <v>121350</v>
      </c>
      <c r="L3574" s="5">
        <v>1061850</v>
      </c>
      <c r="M3574" s="5">
        <v>142101.69</v>
      </c>
      <c r="N3574" s="5">
        <v>0.15060000000000001</v>
      </c>
      <c r="O3574" s="5">
        <v>0</v>
      </c>
      <c r="P3574" s="5">
        <v>0</v>
      </c>
    </row>
    <row r="3575" spans="1:16" x14ac:dyDescent="0.3">
      <c r="A3575" s="5">
        <v>46</v>
      </c>
      <c r="B3575" s="5" t="s">
        <v>148</v>
      </c>
      <c r="C3575" s="5">
        <v>5</v>
      </c>
      <c r="D3575" s="5" t="s">
        <v>80</v>
      </c>
      <c r="E3575" s="5">
        <v>2022</v>
      </c>
      <c r="F3575" s="5">
        <v>8</v>
      </c>
      <c r="G3575" s="5" t="s">
        <v>41</v>
      </c>
      <c r="H3575" s="5">
        <v>1378453</v>
      </c>
      <c r="I3575" s="5">
        <v>1278918.8600000001</v>
      </c>
      <c r="J3575" s="5">
        <v>20</v>
      </c>
      <c r="K3575" s="5">
        <v>265584</v>
      </c>
      <c r="L3575" s="5">
        <v>1638640</v>
      </c>
      <c r="M3575" s="5">
        <v>99534.14</v>
      </c>
      <c r="N3575" s="5">
        <v>7.22E-2</v>
      </c>
      <c r="O3575" s="5">
        <v>3</v>
      </c>
      <c r="P3575" s="5">
        <v>15866</v>
      </c>
    </row>
    <row r="3576" spans="1:16" x14ac:dyDescent="0.3">
      <c r="A3576" s="5">
        <v>46</v>
      </c>
      <c r="B3576" s="5" t="s">
        <v>148</v>
      </c>
      <c r="C3576" s="5">
        <v>5</v>
      </c>
      <c r="D3576" s="5" t="s">
        <v>80</v>
      </c>
      <c r="E3576" s="5">
        <v>2022</v>
      </c>
      <c r="F3576" s="5">
        <v>9</v>
      </c>
      <c r="G3576" s="5" t="s">
        <v>42</v>
      </c>
      <c r="H3576" s="5">
        <v>1521886</v>
      </c>
      <c r="I3576" s="5">
        <v>1338493.6100000001</v>
      </c>
      <c r="J3576" s="5">
        <v>23</v>
      </c>
      <c r="K3576" s="5">
        <v>137103</v>
      </c>
      <c r="L3576" s="5">
        <v>1657600</v>
      </c>
      <c r="M3576" s="5">
        <v>183392.39</v>
      </c>
      <c r="N3576" s="5">
        <v>0.1205</v>
      </c>
      <c r="O3576" s="5">
        <v>1</v>
      </c>
      <c r="P3576" s="5">
        <v>24742</v>
      </c>
    </row>
    <row r="3577" spans="1:16" x14ac:dyDescent="0.3">
      <c r="A3577" s="5">
        <v>46</v>
      </c>
      <c r="B3577" s="5" t="s">
        <v>148</v>
      </c>
      <c r="C3577" s="5">
        <v>5</v>
      </c>
      <c r="D3577" s="5" t="s">
        <v>80</v>
      </c>
      <c r="E3577" s="5">
        <v>2022</v>
      </c>
      <c r="F3577" s="5">
        <v>10</v>
      </c>
      <c r="G3577" s="5" t="s">
        <v>43</v>
      </c>
      <c r="H3577" s="5">
        <v>2442214</v>
      </c>
      <c r="I3577" s="5">
        <v>2262101.7799999998</v>
      </c>
      <c r="J3577" s="5">
        <v>37</v>
      </c>
      <c r="K3577" s="5">
        <v>468294</v>
      </c>
      <c r="L3577" s="5">
        <v>2905540</v>
      </c>
      <c r="M3577" s="5">
        <v>180112.22</v>
      </c>
      <c r="N3577" s="5">
        <v>7.3700000000000002E-2</v>
      </c>
      <c r="O3577" s="5">
        <v>4</v>
      </c>
      <c r="P3577" s="5">
        <v>119001</v>
      </c>
    </row>
    <row r="3578" spans="1:16" x14ac:dyDescent="0.3">
      <c r="A3578" s="5">
        <v>46</v>
      </c>
      <c r="B3578" s="5" t="s">
        <v>148</v>
      </c>
      <c r="C3578" s="5">
        <v>5</v>
      </c>
      <c r="D3578" s="5" t="s">
        <v>80</v>
      </c>
      <c r="E3578" s="5">
        <v>2022</v>
      </c>
      <c r="F3578" s="5">
        <v>11</v>
      </c>
      <c r="G3578" s="5" t="s">
        <v>44</v>
      </c>
      <c r="H3578" s="5">
        <v>2017610</v>
      </c>
      <c r="I3578" s="5">
        <v>1860910.69</v>
      </c>
      <c r="J3578" s="5">
        <v>30</v>
      </c>
      <c r="K3578" s="5">
        <v>324050</v>
      </c>
      <c r="L3578" s="5">
        <v>2337730</v>
      </c>
      <c r="M3578" s="5">
        <v>156699.31</v>
      </c>
      <c r="N3578" s="5">
        <v>7.7700000000000005E-2</v>
      </c>
      <c r="O3578" s="5">
        <v>1</v>
      </c>
      <c r="P3578" s="5">
        <v>14607</v>
      </c>
    </row>
    <row r="3579" spans="1:16" x14ac:dyDescent="0.3">
      <c r="A3579" s="5">
        <v>46</v>
      </c>
      <c r="B3579" s="5" t="s">
        <v>148</v>
      </c>
      <c r="C3579" s="5">
        <v>5</v>
      </c>
      <c r="D3579" s="5" t="s">
        <v>80</v>
      </c>
      <c r="E3579" s="5">
        <v>2022</v>
      </c>
      <c r="F3579" s="5">
        <v>12</v>
      </c>
      <c r="G3579" s="5" t="s">
        <v>45</v>
      </c>
      <c r="H3579" s="5">
        <v>3182484</v>
      </c>
      <c r="I3579" s="5">
        <v>2819182.76</v>
      </c>
      <c r="J3579" s="5">
        <v>28</v>
      </c>
      <c r="K3579" s="5">
        <v>368868</v>
      </c>
      <c r="L3579" s="5">
        <v>3548520</v>
      </c>
      <c r="M3579" s="5">
        <v>363301.24</v>
      </c>
      <c r="N3579" s="5">
        <v>0.1142</v>
      </c>
      <c r="O3579" s="5">
        <v>3</v>
      </c>
      <c r="P3579" s="5">
        <v>127321</v>
      </c>
    </row>
    <row r="3580" spans="1:16" x14ac:dyDescent="0.3">
      <c r="A3580" s="5">
        <v>46</v>
      </c>
      <c r="B3580" s="5" t="s">
        <v>148</v>
      </c>
      <c r="C3580" s="5">
        <v>5</v>
      </c>
      <c r="D3580" s="5" t="s">
        <v>80</v>
      </c>
      <c r="E3580" s="5">
        <v>2023</v>
      </c>
      <c r="F3580" s="5">
        <v>1</v>
      </c>
      <c r="G3580" s="5" t="s">
        <v>46</v>
      </c>
      <c r="H3580" s="5">
        <v>1680819</v>
      </c>
      <c r="I3580" s="5">
        <v>1425592.01</v>
      </c>
      <c r="J3580" s="5">
        <v>19</v>
      </c>
      <c r="K3580" s="5">
        <v>157456</v>
      </c>
      <c r="L3580" s="5">
        <v>1831820</v>
      </c>
      <c r="M3580" s="5">
        <v>255226.99</v>
      </c>
      <c r="N3580" s="5">
        <v>0.15179999999999999</v>
      </c>
      <c r="O3580" s="5">
        <v>1</v>
      </c>
      <c r="P3580" s="5">
        <v>52085</v>
      </c>
    </row>
    <row r="3581" spans="1:16" x14ac:dyDescent="0.3">
      <c r="A3581" s="5">
        <v>46</v>
      </c>
      <c r="B3581" s="5" t="s">
        <v>148</v>
      </c>
      <c r="C3581" s="5">
        <v>5</v>
      </c>
      <c r="D3581" s="5" t="s">
        <v>80</v>
      </c>
      <c r="E3581" s="5">
        <v>2023</v>
      </c>
      <c r="F3581" s="5">
        <v>2</v>
      </c>
      <c r="G3581" s="5" t="s">
        <v>47</v>
      </c>
      <c r="H3581" s="5">
        <v>844151</v>
      </c>
      <c r="I3581" s="5">
        <v>734599.2</v>
      </c>
      <c r="J3581" s="5">
        <v>16</v>
      </c>
      <c r="K3581" s="5">
        <v>102067</v>
      </c>
      <c r="L3581" s="5">
        <v>943350</v>
      </c>
      <c r="M3581" s="5">
        <v>109551.8</v>
      </c>
      <c r="N3581" s="5">
        <v>0.1298</v>
      </c>
      <c r="O3581" s="5">
        <v>1</v>
      </c>
      <c r="P3581" s="5">
        <v>7545</v>
      </c>
    </row>
    <row r="3582" spans="1:16" x14ac:dyDescent="0.3">
      <c r="A3582" s="5">
        <v>46</v>
      </c>
      <c r="B3582" s="5" t="s">
        <v>148</v>
      </c>
      <c r="C3582" s="5">
        <v>5</v>
      </c>
      <c r="D3582" s="5" t="s">
        <v>80</v>
      </c>
      <c r="E3582" s="5">
        <v>2023</v>
      </c>
      <c r="F3582" s="5">
        <v>3</v>
      </c>
      <c r="G3582" s="5" t="s">
        <v>48</v>
      </c>
      <c r="H3582" s="5">
        <v>1437137</v>
      </c>
      <c r="I3582" s="5">
        <v>1235621.27</v>
      </c>
      <c r="J3582" s="5">
        <v>26</v>
      </c>
      <c r="K3582" s="5">
        <v>210680</v>
      </c>
      <c r="L3582" s="5">
        <v>1647160</v>
      </c>
      <c r="M3582" s="5">
        <v>201515.73</v>
      </c>
      <c r="N3582" s="5">
        <v>0.14019999999999999</v>
      </c>
      <c r="O3582" s="5">
        <v>2</v>
      </c>
      <c r="P3582" s="5">
        <v>62912</v>
      </c>
    </row>
    <row r="3583" spans="1:16" x14ac:dyDescent="0.3">
      <c r="A3583" s="5">
        <v>46</v>
      </c>
      <c r="B3583" s="5" t="s">
        <v>148</v>
      </c>
      <c r="C3583" s="5">
        <v>5</v>
      </c>
      <c r="D3583" s="5" t="s">
        <v>80</v>
      </c>
      <c r="E3583" s="5">
        <v>2023</v>
      </c>
      <c r="F3583" s="5">
        <v>4</v>
      </c>
      <c r="G3583" s="5" t="s">
        <v>49</v>
      </c>
      <c r="H3583" s="5">
        <v>1769059</v>
      </c>
      <c r="I3583" s="5">
        <v>1591859.13</v>
      </c>
      <c r="J3583" s="5">
        <v>20</v>
      </c>
      <c r="K3583" s="5">
        <v>225641</v>
      </c>
      <c r="L3583" s="5">
        <v>1980460</v>
      </c>
      <c r="M3583" s="5">
        <v>177199.87</v>
      </c>
      <c r="N3583" s="5">
        <v>0.1002</v>
      </c>
      <c r="O3583" s="5">
        <v>2</v>
      </c>
      <c r="P3583" s="5">
        <v>7046</v>
      </c>
    </row>
    <row r="3584" spans="1:16" x14ac:dyDescent="0.3">
      <c r="A3584" s="5">
        <v>46</v>
      </c>
      <c r="B3584" s="5" t="s">
        <v>148</v>
      </c>
      <c r="C3584" s="5">
        <v>5</v>
      </c>
      <c r="D3584" s="5" t="s">
        <v>80</v>
      </c>
      <c r="E3584" s="5">
        <v>2023</v>
      </c>
      <c r="F3584" s="5">
        <v>5</v>
      </c>
      <c r="G3584" s="5" t="s">
        <v>50</v>
      </c>
      <c r="H3584" s="5">
        <v>1148103</v>
      </c>
      <c r="I3584" s="5">
        <v>948334.95</v>
      </c>
      <c r="J3584" s="5">
        <v>21</v>
      </c>
      <c r="K3584" s="5">
        <v>94863</v>
      </c>
      <c r="L3584" s="5">
        <v>1237990</v>
      </c>
      <c r="M3584" s="5">
        <v>199768.05</v>
      </c>
      <c r="N3584" s="5">
        <v>0.17399999999999999</v>
      </c>
      <c r="O3584" s="5">
        <v>3</v>
      </c>
      <c r="P3584" s="5">
        <v>42551</v>
      </c>
    </row>
    <row r="3585" spans="1:16" x14ac:dyDescent="0.3">
      <c r="A3585" s="5">
        <v>46</v>
      </c>
      <c r="B3585" s="5" t="s">
        <v>148</v>
      </c>
      <c r="C3585" s="5">
        <v>5</v>
      </c>
      <c r="D3585" s="5" t="s">
        <v>80</v>
      </c>
      <c r="E3585" s="5">
        <v>2023</v>
      </c>
      <c r="F3585" s="5">
        <v>6</v>
      </c>
      <c r="G3585" s="5" t="s">
        <v>51</v>
      </c>
      <c r="H3585" s="5">
        <v>2085973</v>
      </c>
      <c r="I3585" s="5">
        <v>1711443.88</v>
      </c>
      <c r="J3585" s="5">
        <v>27</v>
      </c>
      <c r="K3585" s="5">
        <v>223339</v>
      </c>
      <c r="L3585" s="5">
        <v>2303120</v>
      </c>
      <c r="M3585" s="5">
        <v>374529.12</v>
      </c>
      <c r="N3585" s="5">
        <v>0.17949999999999999</v>
      </c>
      <c r="O3585" s="5">
        <v>4</v>
      </c>
      <c r="P3585" s="5">
        <v>47919</v>
      </c>
    </row>
    <row r="3586" spans="1:16" x14ac:dyDescent="0.3">
      <c r="A3586" s="5">
        <v>46</v>
      </c>
      <c r="B3586" s="5" t="s">
        <v>148</v>
      </c>
      <c r="C3586" s="5">
        <v>5</v>
      </c>
      <c r="D3586" s="5" t="s">
        <v>80</v>
      </c>
      <c r="E3586" s="5">
        <v>2023</v>
      </c>
      <c r="F3586" s="5">
        <v>7</v>
      </c>
      <c r="G3586" s="5" t="s">
        <v>52</v>
      </c>
      <c r="H3586" s="5">
        <v>1186428</v>
      </c>
      <c r="I3586" s="5">
        <v>1072507.42</v>
      </c>
      <c r="J3586" s="5">
        <v>12</v>
      </c>
      <c r="K3586" s="5">
        <v>201118</v>
      </c>
      <c r="L3586" s="5">
        <v>1384740</v>
      </c>
      <c r="M3586" s="5">
        <v>113920.58</v>
      </c>
      <c r="N3586" s="5">
        <v>9.6000000000000002E-2</v>
      </c>
      <c r="O3586" s="5">
        <v>2</v>
      </c>
      <c r="P3586" s="5">
        <v>96501</v>
      </c>
    </row>
    <row r="3587" spans="1:16" x14ac:dyDescent="0.3">
      <c r="A3587" s="5">
        <v>46</v>
      </c>
      <c r="B3587" s="5" t="s">
        <v>148</v>
      </c>
      <c r="C3587" s="5">
        <v>5</v>
      </c>
      <c r="D3587" s="5" t="s">
        <v>80</v>
      </c>
      <c r="E3587" s="5">
        <v>2023</v>
      </c>
      <c r="F3587" s="5">
        <v>8</v>
      </c>
      <c r="G3587" s="5" t="s">
        <v>53</v>
      </c>
      <c r="H3587" s="5">
        <v>1346086</v>
      </c>
      <c r="I3587" s="5">
        <v>1140943.77</v>
      </c>
      <c r="J3587" s="5">
        <v>18</v>
      </c>
      <c r="K3587" s="5">
        <v>132534</v>
      </c>
      <c r="L3587" s="5">
        <v>1466680</v>
      </c>
      <c r="M3587" s="5">
        <v>205142.23</v>
      </c>
      <c r="N3587" s="5">
        <v>0.15240000000000001</v>
      </c>
      <c r="O3587" s="5">
        <v>2</v>
      </c>
      <c r="P3587" s="5">
        <v>143961</v>
      </c>
    </row>
    <row r="3588" spans="1:16" x14ac:dyDescent="0.3">
      <c r="A3588" s="5">
        <v>46</v>
      </c>
      <c r="B3588" s="5" t="s">
        <v>148</v>
      </c>
      <c r="C3588" s="5">
        <v>5</v>
      </c>
      <c r="D3588" s="5" t="s">
        <v>80</v>
      </c>
      <c r="E3588" s="5">
        <v>2023</v>
      </c>
      <c r="F3588" s="5">
        <v>9</v>
      </c>
      <c r="G3588" s="5" t="s">
        <v>54</v>
      </c>
      <c r="H3588" s="5">
        <v>1112696</v>
      </c>
      <c r="I3588" s="5">
        <v>960301.71</v>
      </c>
      <c r="J3588" s="5">
        <v>22</v>
      </c>
      <c r="K3588" s="5">
        <v>175478</v>
      </c>
      <c r="L3588" s="5">
        <v>1285700</v>
      </c>
      <c r="M3588" s="5">
        <v>152394.29</v>
      </c>
      <c r="N3588" s="5">
        <v>0.13700000000000001</v>
      </c>
      <c r="O3588" s="5">
        <v>2</v>
      </c>
      <c r="P3588" s="5">
        <v>100533</v>
      </c>
    </row>
    <row r="3589" spans="1:16" x14ac:dyDescent="0.3">
      <c r="A3589" s="5">
        <v>46</v>
      </c>
      <c r="B3589" s="5" t="s">
        <v>148</v>
      </c>
      <c r="C3589" s="5">
        <v>5</v>
      </c>
      <c r="D3589" s="5" t="s">
        <v>80</v>
      </c>
      <c r="E3589" s="5">
        <v>2023</v>
      </c>
      <c r="F3589" s="5">
        <v>10</v>
      </c>
      <c r="G3589" s="5" t="s">
        <v>55</v>
      </c>
      <c r="H3589" s="5">
        <v>1762954</v>
      </c>
      <c r="I3589" s="5">
        <v>1593368.44</v>
      </c>
      <c r="J3589" s="5">
        <v>29</v>
      </c>
      <c r="K3589" s="5">
        <v>297209</v>
      </c>
      <c r="L3589" s="5">
        <v>2055360</v>
      </c>
      <c r="M3589" s="5">
        <v>169585.56</v>
      </c>
      <c r="N3589" s="5">
        <v>9.6199999999999994E-2</v>
      </c>
      <c r="O3589" s="5">
        <v>4</v>
      </c>
      <c r="P3589" s="5">
        <v>34292</v>
      </c>
    </row>
    <row r="3590" spans="1:16" x14ac:dyDescent="0.3">
      <c r="A3590" s="5">
        <v>46</v>
      </c>
      <c r="B3590" s="5" t="s">
        <v>148</v>
      </c>
      <c r="C3590" s="5">
        <v>5</v>
      </c>
      <c r="D3590" s="5" t="s">
        <v>80</v>
      </c>
      <c r="E3590" s="5">
        <v>2023</v>
      </c>
      <c r="F3590" s="5">
        <v>11</v>
      </c>
      <c r="G3590" s="5" t="s">
        <v>56</v>
      </c>
      <c r="H3590" s="5">
        <v>1706301</v>
      </c>
      <c r="I3590" s="5">
        <v>1605938.12</v>
      </c>
      <c r="J3590" s="5">
        <v>35</v>
      </c>
      <c r="K3590" s="5">
        <v>405508</v>
      </c>
      <c r="L3590" s="5">
        <v>2110560</v>
      </c>
      <c r="M3590" s="5">
        <v>100362.88</v>
      </c>
      <c r="N3590" s="5">
        <v>5.8799999999999998E-2</v>
      </c>
      <c r="O3590" s="5">
        <v>4</v>
      </c>
      <c r="P3590" s="5">
        <v>86100</v>
      </c>
    </row>
    <row r="3591" spans="1:16" x14ac:dyDescent="0.3">
      <c r="A3591" s="5">
        <v>46</v>
      </c>
      <c r="B3591" s="5" t="s">
        <v>148</v>
      </c>
      <c r="C3591" s="5">
        <v>5</v>
      </c>
      <c r="D3591" s="5" t="s">
        <v>80</v>
      </c>
      <c r="E3591" s="5">
        <v>2023</v>
      </c>
      <c r="F3591" s="5">
        <v>12</v>
      </c>
      <c r="G3591" s="5" t="s">
        <v>57</v>
      </c>
      <c r="H3591" s="5">
        <v>2761206</v>
      </c>
      <c r="I3591" s="5">
        <v>2392012.85</v>
      </c>
      <c r="J3591" s="5">
        <v>49</v>
      </c>
      <c r="K3591" s="5">
        <v>287430</v>
      </c>
      <c r="L3591" s="5">
        <v>3037790</v>
      </c>
      <c r="M3591" s="5">
        <v>369193.15</v>
      </c>
      <c r="N3591" s="5">
        <v>0.13370000000000001</v>
      </c>
      <c r="O3591" s="5">
        <v>3</v>
      </c>
      <c r="P3591" s="5">
        <v>31244</v>
      </c>
    </row>
    <row r="3592" spans="1:16" x14ac:dyDescent="0.3">
      <c r="A3592" s="5">
        <v>46</v>
      </c>
      <c r="B3592" s="5" t="s">
        <v>148</v>
      </c>
      <c r="C3592" s="5">
        <v>5</v>
      </c>
      <c r="D3592" s="5" t="s">
        <v>80</v>
      </c>
      <c r="E3592" s="5">
        <v>2024</v>
      </c>
      <c r="F3592" s="5">
        <v>1</v>
      </c>
      <c r="G3592" s="5" t="s">
        <v>58</v>
      </c>
      <c r="H3592" s="5">
        <v>1524501</v>
      </c>
      <c r="I3592" s="5">
        <v>1302327.76</v>
      </c>
      <c r="J3592" s="5">
        <v>20</v>
      </c>
      <c r="K3592" s="5">
        <v>163012</v>
      </c>
      <c r="L3592" s="5">
        <v>1682340</v>
      </c>
      <c r="M3592" s="5">
        <v>222173.24</v>
      </c>
      <c r="N3592" s="5">
        <v>0.1457</v>
      </c>
      <c r="O3592" s="5">
        <v>1</v>
      </c>
      <c r="P3592" s="5">
        <v>3526</v>
      </c>
    </row>
    <row r="3593" spans="1:16" x14ac:dyDescent="0.3">
      <c r="A3593" s="5">
        <v>46</v>
      </c>
      <c r="B3593" s="5" t="s">
        <v>148</v>
      </c>
      <c r="C3593" s="5">
        <v>5</v>
      </c>
      <c r="D3593" s="5" t="s">
        <v>80</v>
      </c>
      <c r="E3593" s="5">
        <v>2024</v>
      </c>
      <c r="F3593" s="5">
        <v>2</v>
      </c>
      <c r="G3593" s="5" t="s">
        <v>59</v>
      </c>
      <c r="H3593" s="5">
        <v>2592204</v>
      </c>
      <c r="I3593" s="5">
        <v>2278564.09</v>
      </c>
      <c r="J3593" s="5">
        <v>24</v>
      </c>
      <c r="K3593" s="5">
        <v>287631</v>
      </c>
      <c r="L3593" s="5">
        <v>2877660</v>
      </c>
      <c r="M3593" s="5">
        <v>313639.90999999997</v>
      </c>
      <c r="N3593" s="5">
        <v>0.121</v>
      </c>
      <c r="O3593" s="5">
        <v>4</v>
      </c>
      <c r="P3593" s="5">
        <v>69807</v>
      </c>
    </row>
    <row r="3594" spans="1:16" x14ac:dyDescent="0.3">
      <c r="A3594" s="5">
        <v>46</v>
      </c>
      <c r="B3594" s="5" t="s">
        <v>148</v>
      </c>
      <c r="C3594" s="5">
        <v>5</v>
      </c>
      <c r="D3594" s="5" t="s">
        <v>80</v>
      </c>
      <c r="E3594" s="5">
        <v>2024</v>
      </c>
      <c r="F3594" s="5">
        <v>3</v>
      </c>
      <c r="G3594" s="5" t="s">
        <v>60</v>
      </c>
      <c r="H3594" s="5">
        <v>1626388</v>
      </c>
      <c r="I3594" s="5">
        <v>1485707.37</v>
      </c>
      <c r="J3594" s="5">
        <v>25</v>
      </c>
      <c r="K3594" s="5">
        <v>324788</v>
      </c>
      <c r="L3594" s="5">
        <v>1943430</v>
      </c>
      <c r="M3594" s="5">
        <v>140680.63</v>
      </c>
      <c r="N3594" s="5">
        <v>8.6499999999999994E-2</v>
      </c>
      <c r="O3594" s="5">
        <v>2</v>
      </c>
      <c r="P3594" s="5">
        <v>20288</v>
      </c>
    </row>
    <row r="3595" spans="1:16" x14ac:dyDescent="0.3">
      <c r="A3595" s="5">
        <v>46</v>
      </c>
      <c r="B3595" s="5" t="s">
        <v>148</v>
      </c>
      <c r="C3595" s="5">
        <v>5</v>
      </c>
      <c r="D3595" s="5" t="s">
        <v>80</v>
      </c>
      <c r="E3595" s="5">
        <v>2024</v>
      </c>
      <c r="F3595" s="5">
        <v>4</v>
      </c>
      <c r="G3595" s="5" t="s">
        <v>61</v>
      </c>
      <c r="H3595" s="5">
        <v>1930966</v>
      </c>
      <c r="I3595" s="5">
        <v>1697381.79</v>
      </c>
      <c r="J3595" s="5">
        <v>31</v>
      </c>
      <c r="K3595" s="5">
        <v>287102</v>
      </c>
      <c r="L3595" s="5">
        <v>2214980</v>
      </c>
      <c r="M3595" s="5">
        <v>233584.21</v>
      </c>
      <c r="N3595" s="5">
        <v>0.121</v>
      </c>
      <c r="O3595" s="5">
        <v>2</v>
      </c>
      <c r="P3595" s="5">
        <v>37845</v>
      </c>
    </row>
    <row r="3596" spans="1:16" x14ac:dyDescent="0.3">
      <c r="A3596" s="5">
        <v>46</v>
      </c>
      <c r="B3596" s="5" t="s">
        <v>148</v>
      </c>
      <c r="C3596" s="5">
        <v>5</v>
      </c>
      <c r="D3596" s="5" t="s">
        <v>80</v>
      </c>
      <c r="E3596" s="5">
        <v>2024</v>
      </c>
      <c r="F3596" s="5">
        <v>5</v>
      </c>
      <c r="G3596" s="5" t="s">
        <v>62</v>
      </c>
      <c r="H3596" s="5">
        <v>2323870</v>
      </c>
      <c r="I3596" s="5">
        <v>2340289.96</v>
      </c>
      <c r="J3596" s="5">
        <v>37</v>
      </c>
      <c r="K3596" s="5">
        <v>606640</v>
      </c>
      <c r="L3596" s="5">
        <v>2925020</v>
      </c>
      <c r="M3596" s="5">
        <v>-16419.96</v>
      </c>
      <c r="N3596" s="5">
        <v>-7.1000000000000004E-3</v>
      </c>
      <c r="O3596" s="5">
        <v>6</v>
      </c>
      <c r="P3596" s="5">
        <v>221427</v>
      </c>
    </row>
    <row r="3597" spans="1:16" x14ac:dyDescent="0.3">
      <c r="A3597" s="5">
        <v>46</v>
      </c>
      <c r="B3597" s="5" t="s">
        <v>148</v>
      </c>
      <c r="C3597" s="5">
        <v>5</v>
      </c>
      <c r="D3597" s="5" t="s">
        <v>80</v>
      </c>
      <c r="E3597" s="5">
        <v>2024</v>
      </c>
      <c r="F3597" s="5">
        <v>6</v>
      </c>
      <c r="G3597" s="5" t="s">
        <v>63</v>
      </c>
      <c r="H3597" s="5">
        <v>2401562</v>
      </c>
      <c r="I3597" s="5">
        <v>2060672.9</v>
      </c>
      <c r="J3597" s="5">
        <v>20</v>
      </c>
      <c r="K3597" s="5">
        <v>214152</v>
      </c>
      <c r="L3597" s="5">
        <v>2608800</v>
      </c>
      <c r="M3597" s="5">
        <v>340889.1</v>
      </c>
      <c r="N3597" s="5">
        <v>0.1419</v>
      </c>
      <c r="O3597" s="5">
        <v>2</v>
      </c>
      <c r="P3597" s="5">
        <v>95120</v>
      </c>
    </row>
    <row r="3598" spans="1:16" x14ac:dyDescent="0.3">
      <c r="A3598" s="5">
        <v>46</v>
      </c>
      <c r="B3598" s="5" t="s">
        <v>148</v>
      </c>
      <c r="C3598" s="5">
        <v>5</v>
      </c>
      <c r="D3598" s="5" t="s">
        <v>80</v>
      </c>
      <c r="E3598" s="5">
        <v>2024</v>
      </c>
      <c r="F3598" s="5">
        <v>7</v>
      </c>
      <c r="G3598" s="5" t="s">
        <v>64</v>
      </c>
      <c r="H3598" s="5">
        <v>2308515</v>
      </c>
      <c r="I3598" s="5">
        <v>1965673.99</v>
      </c>
      <c r="J3598" s="5">
        <v>28</v>
      </c>
      <c r="K3598" s="5">
        <v>221330</v>
      </c>
      <c r="L3598" s="5">
        <v>2520710</v>
      </c>
      <c r="M3598" s="5">
        <v>342841.01</v>
      </c>
      <c r="N3598" s="5">
        <v>0.14849999999999999</v>
      </c>
      <c r="O3598" s="5">
        <v>4</v>
      </c>
      <c r="P3598" s="5">
        <v>162552</v>
      </c>
    </row>
    <row r="3599" spans="1:16" x14ac:dyDescent="0.3">
      <c r="A3599" s="5">
        <v>46</v>
      </c>
      <c r="B3599" s="5" t="s">
        <v>148</v>
      </c>
      <c r="C3599" s="5">
        <v>5</v>
      </c>
      <c r="D3599" s="5" t="s">
        <v>80</v>
      </c>
      <c r="E3599" s="5">
        <v>2024</v>
      </c>
      <c r="F3599" s="5">
        <v>8</v>
      </c>
      <c r="G3599" s="5" t="s">
        <v>65</v>
      </c>
      <c r="H3599" s="5">
        <v>1080440</v>
      </c>
      <c r="I3599" s="5">
        <v>862032.63</v>
      </c>
      <c r="J3599" s="5">
        <v>20</v>
      </c>
      <c r="K3599" s="5">
        <v>105346</v>
      </c>
      <c r="L3599" s="5">
        <v>1179630</v>
      </c>
      <c r="M3599" s="5">
        <v>218407.37</v>
      </c>
      <c r="N3599" s="5">
        <v>0.2021</v>
      </c>
      <c r="O3599" s="5">
        <v>0</v>
      </c>
      <c r="P3599" s="5">
        <v>0</v>
      </c>
    </row>
    <row r="3600" spans="1:16" x14ac:dyDescent="0.3">
      <c r="A3600" s="5">
        <v>46</v>
      </c>
      <c r="B3600" s="5" t="s">
        <v>148</v>
      </c>
      <c r="C3600" s="5">
        <v>5</v>
      </c>
      <c r="D3600" s="5" t="s">
        <v>80</v>
      </c>
      <c r="E3600" s="5">
        <v>2024</v>
      </c>
      <c r="F3600" s="5">
        <v>9</v>
      </c>
      <c r="G3600" s="5" t="s">
        <v>66</v>
      </c>
      <c r="H3600" s="5">
        <v>1511002</v>
      </c>
      <c r="I3600" s="5">
        <v>1210321.6499999999</v>
      </c>
      <c r="J3600" s="5">
        <v>28</v>
      </c>
      <c r="K3600" s="5">
        <v>90135</v>
      </c>
      <c r="L3600" s="5">
        <v>1596890</v>
      </c>
      <c r="M3600" s="5">
        <v>300680.34999999998</v>
      </c>
      <c r="N3600" s="5">
        <v>0.19900000000000001</v>
      </c>
      <c r="O3600" s="5">
        <v>4</v>
      </c>
      <c r="P3600" s="5">
        <v>105601</v>
      </c>
    </row>
    <row r="3601" spans="1:16" x14ac:dyDescent="0.3">
      <c r="A3601" s="5">
        <v>46</v>
      </c>
      <c r="B3601" s="5" t="s">
        <v>148</v>
      </c>
      <c r="C3601" s="5">
        <v>5</v>
      </c>
      <c r="D3601" s="5" t="s">
        <v>80</v>
      </c>
      <c r="E3601" s="5">
        <v>2024</v>
      </c>
      <c r="F3601" s="5">
        <v>10</v>
      </c>
      <c r="G3601" s="5" t="s">
        <v>67</v>
      </c>
      <c r="H3601" s="5">
        <v>2401529</v>
      </c>
      <c r="I3601" s="5">
        <v>1952599.73</v>
      </c>
      <c r="J3601" s="5">
        <v>34</v>
      </c>
      <c r="K3601" s="5">
        <v>91702</v>
      </c>
      <c r="L3601" s="5">
        <v>2485220</v>
      </c>
      <c r="M3601" s="5">
        <v>448929.27</v>
      </c>
      <c r="N3601" s="5">
        <v>0.18690000000000001</v>
      </c>
      <c r="O3601" s="5">
        <v>5</v>
      </c>
      <c r="P3601" s="5">
        <v>297648</v>
      </c>
    </row>
    <row r="3602" spans="1:16" x14ac:dyDescent="0.3">
      <c r="A3602" s="5">
        <v>46</v>
      </c>
      <c r="B3602" s="5" t="s">
        <v>148</v>
      </c>
      <c r="C3602" s="5">
        <v>5</v>
      </c>
      <c r="D3602" s="5" t="s">
        <v>80</v>
      </c>
      <c r="E3602" s="5">
        <v>2024</v>
      </c>
      <c r="F3602" s="5">
        <v>11</v>
      </c>
      <c r="G3602" s="5" t="s">
        <v>68</v>
      </c>
      <c r="H3602" s="5">
        <v>2277135</v>
      </c>
      <c r="I3602" s="5">
        <v>1993490.38</v>
      </c>
      <c r="J3602" s="5">
        <v>44</v>
      </c>
      <c r="K3602" s="5">
        <v>290304</v>
      </c>
      <c r="L3602" s="5">
        <v>2562260</v>
      </c>
      <c r="M3602" s="5">
        <v>283644.62</v>
      </c>
      <c r="N3602" s="5">
        <v>0.1246</v>
      </c>
      <c r="O3602" s="5">
        <v>3</v>
      </c>
      <c r="P3602" s="5">
        <v>131477</v>
      </c>
    </row>
    <row r="3603" spans="1:16" x14ac:dyDescent="0.3">
      <c r="A3603" s="5">
        <v>46</v>
      </c>
      <c r="B3603" s="5" t="s">
        <v>148</v>
      </c>
      <c r="C3603" s="5">
        <v>5</v>
      </c>
      <c r="D3603" s="5" t="s">
        <v>80</v>
      </c>
      <c r="E3603" s="5">
        <v>2024</v>
      </c>
      <c r="F3603" s="5">
        <v>12</v>
      </c>
      <c r="G3603" s="5" t="s">
        <v>69</v>
      </c>
      <c r="H3603" s="5">
        <v>2658935</v>
      </c>
      <c r="I3603" s="5">
        <v>2136149.2400000002</v>
      </c>
      <c r="J3603" s="5">
        <v>28</v>
      </c>
      <c r="K3603" s="5">
        <v>93155</v>
      </c>
      <c r="L3603" s="5">
        <v>2742850</v>
      </c>
      <c r="M3603" s="5">
        <v>522785.76</v>
      </c>
      <c r="N3603" s="5">
        <v>0.1966</v>
      </c>
      <c r="O3603" s="5">
        <v>1</v>
      </c>
      <c r="P3603" s="5">
        <v>38496</v>
      </c>
    </row>
    <row r="3604" spans="1:16" x14ac:dyDescent="0.3">
      <c r="A3604" s="5">
        <v>56</v>
      </c>
      <c r="B3604" s="5" t="s">
        <v>149</v>
      </c>
      <c r="C3604" s="5">
        <v>5</v>
      </c>
      <c r="D3604" s="5" t="s">
        <v>80</v>
      </c>
      <c r="E3604" s="5">
        <v>2021</v>
      </c>
      <c r="F3604" s="5">
        <v>1</v>
      </c>
      <c r="G3604" s="5" t="s">
        <v>22</v>
      </c>
      <c r="H3604" s="5">
        <v>1317467</v>
      </c>
      <c r="I3604" s="5">
        <v>1160727</v>
      </c>
      <c r="J3604" s="5">
        <v>7</v>
      </c>
      <c r="K3604" s="5">
        <v>150350</v>
      </c>
      <c r="L3604" s="5">
        <v>1463300</v>
      </c>
      <c r="M3604" s="5">
        <v>156740</v>
      </c>
      <c r="N3604" s="5">
        <v>0.11899999999999999</v>
      </c>
      <c r="O3604" s="5">
        <v>0</v>
      </c>
      <c r="P3604" s="5">
        <v>0</v>
      </c>
    </row>
    <row r="3605" spans="1:16" x14ac:dyDescent="0.3">
      <c r="A3605" s="5">
        <v>56</v>
      </c>
      <c r="B3605" s="5" t="s">
        <v>149</v>
      </c>
      <c r="C3605" s="5">
        <v>5</v>
      </c>
      <c r="D3605" s="5" t="s">
        <v>80</v>
      </c>
      <c r="E3605" s="5">
        <v>2021</v>
      </c>
      <c r="F3605" s="5">
        <v>2</v>
      </c>
      <c r="G3605" s="5" t="s">
        <v>23</v>
      </c>
      <c r="H3605" s="5">
        <v>1032108</v>
      </c>
      <c r="I3605" s="5">
        <v>922308.75</v>
      </c>
      <c r="J3605" s="5">
        <v>10</v>
      </c>
      <c r="K3605" s="5">
        <v>150624</v>
      </c>
      <c r="L3605" s="5">
        <v>1182100</v>
      </c>
      <c r="M3605" s="5">
        <v>109799.25</v>
      </c>
      <c r="N3605" s="5">
        <v>0.10639999999999999</v>
      </c>
      <c r="O3605" s="5">
        <v>0</v>
      </c>
      <c r="P3605" s="5">
        <v>0</v>
      </c>
    </row>
    <row r="3606" spans="1:16" x14ac:dyDescent="0.3">
      <c r="A3606" s="5">
        <v>56</v>
      </c>
      <c r="B3606" s="5" t="s">
        <v>149</v>
      </c>
      <c r="C3606" s="5">
        <v>5</v>
      </c>
      <c r="D3606" s="5" t="s">
        <v>80</v>
      </c>
      <c r="E3606" s="5">
        <v>2021</v>
      </c>
      <c r="F3606" s="5">
        <v>3</v>
      </c>
      <c r="G3606" s="5" t="s">
        <v>24</v>
      </c>
      <c r="H3606" s="5">
        <v>838563</v>
      </c>
      <c r="I3606" s="5">
        <v>660733.21</v>
      </c>
      <c r="J3606" s="5">
        <v>15</v>
      </c>
      <c r="K3606" s="5">
        <v>32926</v>
      </c>
      <c r="L3606" s="5">
        <v>870340</v>
      </c>
      <c r="M3606" s="5">
        <v>177829.79</v>
      </c>
      <c r="N3606" s="5">
        <v>0.21210000000000001</v>
      </c>
      <c r="O3606" s="5">
        <v>1</v>
      </c>
      <c r="P3606" s="5">
        <v>13749</v>
      </c>
    </row>
    <row r="3607" spans="1:16" x14ac:dyDescent="0.3">
      <c r="A3607" s="5">
        <v>56</v>
      </c>
      <c r="B3607" s="5" t="s">
        <v>149</v>
      </c>
      <c r="C3607" s="5">
        <v>5</v>
      </c>
      <c r="D3607" s="5" t="s">
        <v>80</v>
      </c>
      <c r="E3607" s="5">
        <v>2021</v>
      </c>
      <c r="F3607" s="5">
        <v>4</v>
      </c>
      <c r="G3607" s="5" t="s">
        <v>25</v>
      </c>
      <c r="H3607" s="5">
        <v>751211</v>
      </c>
      <c r="I3607" s="5">
        <v>626337.51</v>
      </c>
      <c r="J3607" s="5">
        <v>14</v>
      </c>
      <c r="K3607" s="5">
        <v>66021</v>
      </c>
      <c r="L3607" s="5">
        <v>816210</v>
      </c>
      <c r="M3607" s="5">
        <v>124873.49</v>
      </c>
      <c r="N3607" s="5">
        <v>0.16619999999999999</v>
      </c>
      <c r="O3607" s="5">
        <v>1</v>
      </c>
      <c r="P3607" s="5">
        <v>85805</v>
      </c>
    </row>
    <row r="3608" spans="1:16" x14ac:dyDescent="0.3">
      <c r="A3608" s="5">
        <v>56</v>
      </c>
      <c r="B3608" s="5" t="s">
        <v>149</v>
      </c>
      <c r="C3608" s="5">
        <v>5</v>
      </c>
      <c r="D3608" s="5" t="s">
        <v>80</v>
      </c>
      <c r="E3608" s="5">
        <v>2021</v>
      </c>
      <c r="F3608" s="5">
        <v>5</v>
      </c>
      <c r="G3608" s="5" t="s">
        <v>26</v>
      </c>
      <c r="H3608" s="5">
        <v>1568425</v>
      </c>
      <c r="I3608" s="5">
        <v>1312165.22</v>
      </c>
      <c r="J3608" s="5">
        <v>17</v>
      </c>
      <c r="K3608" s="5">
        <v>133477</v>
      </c>
      <c r="L3608" s="5">
        <v>1692290</v>
      </c>
      <c r="M3608" s="5">
        <v>256259.78</v>
      </c>
      <c r="N3608" s="5">
        <v>0.16339999999999999</v>
      </c>
      <c r="O3608" s="5">
        <v>2</v>
      </c>
      <c r="P3608" s="5">
        <v>17851</v>
      </c>
    </row>
    <row r="3609" spans="1:16" x14ac:dyDescent="0.3">
      <c r="A3609" s="5">
        <v>56</v>
      </c>
      <c r="B3609" s="5" t="s">
        <v>149</v>
      </c>
      <c r="C3609" s="5">
        <v>5</v>
      </c>
      <c r="D3609" s="5" t="s">
        <v>80</v>
      </c>
      <c r="E3609" s="5">
        <v>2021</v>
      </c>
      <c r="F3609" s="5">
        <v>6</v>
      </c>
      <c r="G3609" s="5" t="s">
        <v>27</v>
      </c>
      <c r="H3609" s="5">
        <v>648747</v>
      </c>
      <c r="I3609" s="5">
        <v>512801.72</v>
      </c>
      <c r="J3609" s="5">
        <v>14</v>
      </c>
      <c r="K3609" s="5">
        <v>27818</v>
      </c>
      <c r="L3609" s="5">
        <v>673470</v>
      </c>
      <c r="M3609" s="5">
        <v>135945.28</v>
      </c>
      <c r="N3609" s="5">
        <v>0.20960000000000001</v>
      </c>
      <c r="O3609" s="5">
        <v>0</v>
      </c>
      <c r="P3609" s="5">
        <v>0</v>
      </c>
    </row>
    <row r="3610" spans="1:16" x14ac:dyDescent="0.3">
      <c r="A3610" s="5">
        <v>56</v>
      </c>
      <c r="B3610" s="5" t="s">
        <v>149</v>
      </c>
      <c r="C3610" s="5">
        <v>5</v>
      </c>
      <c r="D3610" s="5" t="s">
        <v>80</v>
      </c>
      <c r="E3610" s="5">
        <v>2021</v>
      </c>
      <c r="F3610" s="5">
        <v>7</v>
      </c>
      <c r="G3610" s="5" t="s">
        <v>28</v>
      </c>
      <c r="H3610" s="5">
        <v>441880</v>
      </c>
      <c r="I3610" s="5">
        <v>398430.1</v>
      </c>
      <c r="J3610" s="5">
        <v>11</v>
      </c>
      <c r="K3610" s="5">
        <v>107194</v>
      </c>
      <c r="L3610" s="5">
        <v>548220</v>
      </c>
      <c r="M3610" s="5">
        <v>43449.9</v>
      </c>
      <c r="N3610" s="5">
        <v>9.8299999999999998E-2</v>
      </c>
      <c r="O3610" s="5">
        <v>2</v>
      </c>
      <c r="P3610" s="5">
        <v>48763</v>
      </c>
    </row>
    <row r="3611" spans="1:16" x14ac:dyDescent="0.3">
      <c r="A3611" s="5">
        <v>56</v>
      </c>
      <c r="B3611" s="5" t="s">
        <v>149</v>
      </c>
      <c r="C3611" s="5">
        <v>5</v>
      </c>
      <c r="D3611" s="5" t="s">
        <v>80</v>
      </c>
      <c r="E3611" s="5">
        <v>2021</v>
      </c>
      <c r="F3611" s="5">
        <v>8</v>
      </c>
      <c r="G3611" s="5" t="s">
        <v>29</v>
      </c>
      <c r="H3611" s="5">
        <v>1115774</v>
      </c>
      <c r="I3611" s="5">
        <v>907170.99</v>
      </c>
      <c r="J3611" s="5">
        <v>12</v>
      </c>
      <c r="K3611" s="5">
        <v>48559</v>
      </c>
      <c r="L3611" s="5">
        <v>1154010</v>
      </c>
      <c r="M3611" s="5">
        <v>208603.01</v>
      </c>
      <c r="N3611" s="5">
        <v>0.187</v>
      </c>
      <c r="O3611" s="5">
        <v>1</v>
      </c>
      <c r="P3611" s="5">
        <v>2870</v>
      </c>
    </row>
    <row r="3612" spans="1:16" x14ac:dyDescent="0.3">
      <c r="A3612" s="5">
        <v>56</v>
      </c>
      <c r="B3612" s="5" t="s">
        <v>149</v>
      </c>
      <c r="C3612" s="5">
        <v>5</v>
      </c>
      <c r="D3612" s="5" t="s">
        <v>80</v>
      </c>
      <c r="E3612" s="5">
        <v>2021</v>
      </c>
      <c r="F3612" s="5">
        <v>9</v>
      </c>
      <c r="G3612" s="5" t="s">
        <v>30</v>
      </c>
      <c r="H3612" s="5">
        <v>2027555</v>
      </c>
      <c r="I3612" s="5">
        <v>1853140.91</v>
      </c>
      <c r="J3612" s="5">
        <v>22</v>
      </c>
      <c r="K3612" s="5">
        <v>293438</v>
      </c>
      <c r="L3612" s="5">
        <v>2309210</v>
      </c>
      <c r="M3612" s="5">
        <v>174414.09</v>
      </c>
      <c r="N3612" s="5">
        <v>8.5999999999999993E-2</v>
      </c>
      <c r="O3612" s="5">
        <v>3</v>
      </c>
      <c r="P3612" s="5">
        <v>149239</v>
      </c>
    </row>
    <row r="3613" spans="1:16" x14ac:dyDescent="0.3">
      <c r="A3613" s="5">
        <v>56</v>
      </c>
      <c r="B3613" s="5" t="s">
        <v>149</v>
      </c>
      <c r="C3613" s="5">
        <v>5</v>
      </c>
      <c r="D3613" s="5" t="s">
        <v>80</v>
      </c>
      <c r="E3613" s="5">
        <v>2021</v>
      </c>
      <c r="F3613" s="5">
        <v>10</v>
      </c>
      <c r="G3613" s="5" t="s">
        <v>31</v>
      </c>
      <c r="H3613" s="5">
        <v>1654068</v>
      </c>
      <c r="I3613" s="5">
        <v>1396383.16</v>
      </c>
      <c r="J3613" s="5">
        <v>26</v>
      </c>
      <c r="K3613" s="5">
        <v>170914</v>
      </c>
      <c r="L3613" s="5">
        <v>1821510</v>
      </c>
      <c r="M3613" s="5">
        <v>257684.84</v>
      </c>
      <c r="N3613" s="5">
        <v>0.15579999999999999</v>
      </c>
      <c r="O3613" s="5">
        <v>2</v>
      </c>
      <c r="P3613" s="5">
        <v>28435</v>
      </c>
    </row>
    <row r="3614" spans="1:16" x14ac:dyDescent="0.3">
      <c r="A3614" s="5">
        <v>56</v>
      </c>
      <c r="B3614" s="5" t="s">
        <v>149</v>
      </c>
      <c r="C3614" s="5">
        <v>5</v>
      </c>
      <c r="D3614" s="5" t="s">
        <v>80</v>
      </c>
      <c r="E3614" s="5">
        <v>2021</v>
      </c>
      <c r="F3614" s="5">
        <v>11</v>
      </c>
      <c r="G3614" s="5" t="s">
        <v>32</v>
      </c>
      <c r="H3614" s="5">
        <v>2174618</v>
      </c>
      <c r="I3614" s="5">
        <v>1851646.43</v>
      </c>
      <c r="J3614" s="5">
        <v>24</v>
      </c>
      <c r="K3614" s="5">
        <v>156837</v>
      </c>
      <c r="L3614" s="5">
        <v>2320830</v>
      </c>
      <c r="M3614" s="5">
        <v>322971.57</v>
      </c>
      <c r="N3614" s="5">
        <v>0.14849999999999999</v>
      </c>
      <c r="O3614" s="5">
        <v>2</v>
      </c>
      <c r="P3614" s="5">
        <v>204001</v>
      </c>
    </row>
    <row r="3615" spans="1:16" x14ac:dyDescent="0.3">
      <c r="A3615" s="5">
        <v>56</v>
      </c>
      <c r="B3615" s="5" t="s">
        <v>149</v>
      </c>
      <c r="C3615" s="5">
        <v>5</v>
      </c>
      <c r="D3615" s="5" t="s">
        <v>80</v>
      </c>
      <c r="E3615" s="5">
        <v>2021</v>
      </c>
      <c r="F3615" s="5">
        <v>12</v>
      </c>
      <c r="G3615" s="5" t="s">
        <v>33</v>
      </c>
      <c r="H3615" s="5">
        <v>1295876</v>
      </c>
      <c r="I3615" s="5">
        <v>1052076.74</v>
      </c>
      <c r="J3615" s="5">
        <v>21</v>
      </c>
      <c r="K3615" s="5">
        <v>70565</v>
      </c>
      <c r="L3615" s="5">
        <v>1360220</v>
      </c>
      <c r="M3615" s="5">
        <v>243799.26</v>
      </c>
      <c r="N3615" s="5">
        <v>0.18809999999999999</v>
      </c>
      <c r="O3615" s="5">
        <v>1</v>
      </c>
      <c r="P3615" s="5">
        <v>56619</v>
      </c>
    </row>
    <row r="3616" spans="1:16" x14ac:dyDescent="0.3">
      <c r="A3616" s="5">
        <v>56</v>
      </c>
      <c r="B3616" s="5" t="s">
        <v>149</v>
      </c>
      <c r="C3616" s="5">
        <v>5</v>
      </c>
      <c r="D3616" s="5" t="s">
        <v>80</v>
      </c>
      <c r="E3616" s="5">
        <v>2022</v>
      </c>
      <c r="F3616" s="5">
        <v>1</v>
      </c>
      <c r="G3616" s="5" t="s">
        <v>34</v>
      </c>
      <c r="H3616" s="5">
        <v>1249623</v>
      </c>
      <c r="I3616" s="5">
        <v>1052540.1100000001</v>
      </c>
      <c r="J3616" s="5">
        <v>19</v>
      </c>
      <c r="K3616" s="5">
        <v>150761</v>
      </c>
      <c r="L3616" s="5">
        <v>1399070</v>
      </c>
      <c r="M3616" s="5">
        <v>197082.89</v>
      </c>
      <c r="N3616" s="5">
        <v>0.15770000000000001</v>
      </c>
      <c r="O3616" s="5">
        <v>3</v>
      </c>
      <c r="P3616" s="5">
        <v>77903</v>
      </c>
    </row>
    <row r="3617" spans="1:16" x14ac:dyDescent="0.3">
      <c r="A3617" s="5">
        <v>56</v>
      </c>
      <c r="B3617" s="5" t="s">
        <v>149</v>
      </c>
      <c r="C3617" s="5">
        <v>5</v>
      </c>
      <c r="D3617" s="5" t="s">
        <v>80</v>
      </c>
      <c r="E3617" s="5">
        <v>2022</v>
      </c>
      <c r="F3617" s="5">
        <v>2</v>
      </c>
      <c r="G3617" s="5" t="s">
        <v>35</v>
      </c>
      <c r="H3617" s="5">
        <v>935022</v>
      </c>
      <c r="I3617" s="5">
        <v>733041.84</v>
      </c>
      <c r="J3617" s="5">
        <v>11</v>
      </c>
      <c r="K3617" s="5">
        <v>27652</v>
      </c>
      <c r="L3617" s="5">
        <v>961400</v>
      </c>
      <c r="M3617" s="5">
        <v>201980.16</v>
      </c>
      <c r="N3617" s="5">
        <v>0.216</v>
      </c>
      <c r="O3617" s="5">
        <v>1</v>
      </c>
      <c r="P3617" s="5">
        <v>88815</v>
      </c>
    </row>
    <row r="3618" spans="1:16" x14ac:dyDescent="0.3">
      <c r="A3618" s="5">
        <v>56</v>
      </c>
      <c r="B3618" s="5" t="s">
        <v>149</v>
      </c>
      <c r="C3618" s="5">
        <v>5</v>
      </c>
      <c r="D3618" s="5" t="s">
        <v>80</v>
      </c>
      <c r="E3618" s="5">
        <v>2022</v>
      </c>
      <c r="F3618" s="5">
        <v>3</v>
      </c>
      <c r="G3618" s="5" t="s">
        <v>36</v>
      </c>
      <c r="H3618" s="5">
        <v>1149492</v>
      </c>
      <c r="I3618" s="5">
        <v>985216.09</v>
      </c>
      <c r="J3618" s="5">
        <v>18</v>
      </c>
      <c r="K3618" s="5">
        <v>112132</v>
      </c>
      <c r="L3618" s="5">
        <v>1258140</v>
      </c>
      <c r="M3618" s="5">
        <v>164275.91</v>
      </c>
      <c r="N3618" s="5">
        <v>0.1429</v>
      </c>
      <c r="O3618" s="5">
        <v>1</v>
      </c>
      <c r="P3618" s="5">
        <v>23601</v>
      </c>
    </row>
    <row r="3619" spans="1:16" x14ac:dyDescent="0.3">
      <c r="A3619" s="5">
        <v>56</v>
      </c>
      <c r="B3619" s="5" t="s">
        <v>149</v>
      </c>
      <c r="C3619" s="5">
        <v>5</v>
      </c>
      <c r="D3619" s="5" t="s">
        <v>80</v>
      </c>
      <c r="E3619" s="5">
        <v>2022</v>
      </c>
      <c r="F3619" s="5">
        <v>4</v>
      </c>
      <c r="G3619" s="5" t="s">
        <v>37</v>
      </c>
      <c r="H3619" s="5">
        <v>1031622</v>
      </c>
      <c r="I3619" s="5">
        <v>862531.61</v>
      </c>
      <c r="J3619" s="5">
        <v>12</v>
      </c>
      <c r="K3619" s="5">
        <v>69212</v>
      </c>
      <c r="L3619" s="5">
        <v>1098300</v>
      </c>
      <c r="M3619" s="5">
        <v>169090.39</v>
      </c>
      <c r="N3619" s="5">
        <v>0.16389999999999999</v>
      </c>
      <c r="O3619" s="5">
        <v>1</v>
      </c>
      <c r="P3619" s="5">
        <v>2609</v>
      </c>
    </row>
    <row r="3620" spans="1:16" x14ac:dyDescent="0.3">
      <c r="A3620" s="5">
        <v>56</v>
      </c>
      <c r="B3620" s="5" t="s">
        <v>149</v>
      </c>
      <c r="C3620" s="5">
        <v>5</v>
      </c>
      <c r="D3620" s="5" t="s">
        <v>80</v>
      </c>
      <c r="E3620" s="5">
        <v>2022</v>
      </c>
      <c r="F3620" s="5">
        <v>5</v>
      </c>
      <c r="G3620" s="5" t="s">
        <v>38</v>
      </c>
      <c r="H3620" s="5">
        <v>1172226</v>
      </c>
      <c r="I3620" s="5">
        <v>973057.37</v>
      </c>
      <c r="J3620" s="5">
        <v>22</v>
      </c>
      <c r="K3620" s="5">
        <v>75362</v>
      </c>
      <c r="L3620" s="5">
        <v>1241140</v>
      </c>
      <c r="M3620" s="5">
        <v>199168.63</v>
      </c>
      <c r="N3620" s="5">
        <v>0.1699</v>
      </c>
      <c r="O3620" s="5">
        <v>2</v>
      </c>
      <c r="P3620" s="5">
        <v>10468</v>
      </c>
    </row>
    <row r="3621" spans="1:16" x14ac:dyDescent="0.3">
      <c r="A3621" s="5">
        <v>56</v>
      </c>
      <c r="B3621" s="5" t="s">
        <v>149</v>
      </c>
      <c r="C3621" s="5">
        <v>5</v>
      </c>
      <c r="D3621" s="5" t="s">
        <v>80</v>
      </c>
      <c r="E3621" s="5">
        <v>2022</v>
      </c>
      <c r="F3621" s="5">
        <v>6</v>
      </c>
      <c r="G3621" s="5" t="s">
        <v>39</v>
      </c>
      <c r="H3621" s="5">
        <v>1044669</v>
      </c>
      <c r="I3621" s="5">
        <v>845788.66</v>
      </c>
      <c r="J3621" s="5">
        <v>21</v>
      </c>
      <c r="K3621" s="5">
        <v>70880</v>
      </c>
      <c r="L3621" s="5">
        <v>1108210</v>
      </c>
      <c r="M3621" s="5">
        <v>198880.34</v>
      </c>
      <c r="N3621" s="5">
        <v>0.19040000000000001</v>
      </c>
      <c r="O3621" s="5">
        <v>1</v>
      </c>
      <c r="P3621" s="5">
        <v>17179</v>
      </c>
    </row>
    <row r="3622" spans="1:16" x14ac:dyDescent="0.3">
      <c r="A3622" s="5">
        <v>56</v>
      </c>
      <c r="B3622" s="5" t="s">
        <v>149</v>
      </c>
      <c r="C3622" s="5">
        <v>5</v>
      </c>
      <c r="D3622" s="5" t="s">
        <v>80</v>
      </c>
      <c r="E3622" s="5">
        <v>2022</v>
      </c>
      <c r="F3622" s="5">
        <v>7</v>
      </c>
      <c r="G3622" s="5" t="s">
        <v>40</v>
      </c>
      <c r="H3622" s="5">
        <v>1641634</v>
      </c>
      <c r="I3622" s="5">
        <v>1411583.4</v>
      </c>
      <c r="J3622" s="5">
        <v>22</v>
      </c>
      <c r="K3622" s="5">
        <v>150106</v>
      </c>
      <c r="L3622" s="5">
        <v>1788170</v>
      </c>
      <c r="M3622" s="5">
        <v>230050.6</v>
      </c>
      <c r="N3622" s="5">
        <v>0.1401</v>
      </c>
      <c r="O3622" s="5">
        <v>1</v>
      </c>
      <c r="P3622" s="5">
        <v>119042</v>
      </c>
    </row>
    <row r="3623" spans="1:16" x14ac:dyDescent="0.3">
      <c r="A3623" s="5">
        <v>56</v>
      </c>
      <c r="B3623" s="5" t="s">
        <v>149</v>
      </c>
      <c r="C3623" s="5">
        <v>5</v>
      </c>
      <c r="D3623" s="5" t="s">
        <v>80</v>
      </c>
      <c r="E3623" s="5">
        <v>2022</v>
      </c>
      <c r="F3623" s="5">
        <v>8</v>
      </c>
      <c r="G3623" s="5" t="s">
        <v>41</v>
      </c>
      <c r="H3623" s="5">
        <v>521547</v>
      </c>
      <c r="I3623" s="5">
        <v>441947.23</v>
      </c>
      <c r="J3623" s="5">
        <v>12</v>
      </c>
      <c r="K3623" s="5">
        <v>71164</v>
      </c>
      <c r="L3623" s="5">
        <v>590860</v>
      </c>
      <c r="M3623" s="5">
        <v>79599.77</v>
      </c>
      <c r="N3623" s="5">
        <v>0.15260000000000001</v>
      </c>
      <c r="O3623" s="5">
        <v>0</v>
      </c>
      <c r="P3623" s="5">
        <v>0</v>
      </c>
    </row>
    <row r="3624" spans="1:16" x14ac:dyDescent="0.3">
      <c r="A3624" s="5">
        <v>56</v>
      </c>
      <c r="B3624" s="5" t="s">
        <v>149</v>
      </c>
      <c r="C3624" s="5">
        <v>5</v>
      </c>
      <c r="D3624" s="5" t="s">
        <v>80</v>
      </c>
      <c r="E3624" s="5">
        <v>2022</v>
      </c>
      <c r="F3624" s="5">
        <v>9</v>
      </c>
      <c r="G3624" s="5" t="s">
        <v>42</v>
      </c>
      <c r="H3624" s="5">
        <v>1192071</v>
      </c>
      <c r="I3624" s="5">
        <v>982646.95</v>
      </c>
      <c r="J3624" s="5">
        <v>14</v>
      </c>
      <c r="K3624" s="5">
        <v>99250</v>
      </c>
      <c r="L3624" s="5">
        <v>1282790</v>
      </c>
      <c r="M3624" s="5">
        <v>209424.05</v>
      </c>
      <c r="N3624" s="5">
        <v>0.1757</v>
      </c>
      <c r="O3624" s="5">
        <v>4</v>
      </c>
      <c r="P3624" s="5">
        <v>103525</v>
      </c>
    </row>
    <row r="3625" spans="1:16" x14ac:dyDescent="0.3">
      <c r="A3625" s="5">
        <v>56</v>
      </c>
      <c r="B3625" s="5" t="s">
        <v>149</v>
      </c>
      <c r="C3625" s="5">
        <v>5</v>
      </c>
      <c r="D3625" s="5" t="s">
        <v>80</v>
      </c>
      <c r="E3625" s="5">
        <v>2022</v>
      </c>
      <c r="F3625" s="5">
        <v>10</v>
      </c>
      <c r="G3625" s="5" t="s">
        <v>43</v>
      </c>
      <c r="H3625" s="5">
        <v>1156572</v>
      </c>
      <c r="I3625" s="5">
        <v>996916.21</v>
      </c>
      <c r="J3625" s="5">
        <v>21</v>
      </c>
      <c r="K3625" s="5">
        <v>138522</v>
      </c>
      <c r="L3625" s="5">
        <v>1290590</v>
      </c>
      <c r="M3625" s="5">
        <v>159655.79</v>
      </c>
      <c r="N3625" s="5">
        <v>0.13800000000000001</v>
      </c>
      <c r="O3625" s="5">
        <v>1</v>
      </c>
      <c r="P3625" s="5">
        <v>2349</v>
      </c>
    </row>
    <row r="3626" spans="1:16" x14ac:dyDescent="0.3">
      <c r="A3626" s="5">
        <v>56</v>
      </c>
      <c r="B3626" s="5" t="s">
        <v>149</v>
      </c>
      <c r="C3626" s="5">
        <v>5</v>
      </c>
      <c r="D3626" s="5" t="s">
        <v>80</v>
      </c>
      <c r="E3626" s="5">
        <v>2022</v>
      </c>
      <c r="F3626" s="5">
        <v>11</v>
      </c>
      <c r="G3626" s="5" t="s">
        <v>44</v>
      </c>
      <c r="H3626" s="5">
        <v>1401966</v>
      </c>
      <c r="I3626" s="5">
        <v>1235764.6599999999</v>
      </c>
      <c r="J3626" s="5">
        <v>18</v>
      </c>
      <c r="K3626" s="5">
        <v>171742</v>
      </c>
      <c r="L3626" s="5">
        <v>1570720</v>
      </c>
      <c r="M3626" s="5">
        <v>166201.34</v>
      </c>
      <c r="N3626" s="5">
        <v>0.11849999999999999</v>
      </c>
      <c r="O3626" s="5">
        <v>4</v>
      </c>
      <c r="P3626" s="5">
        <v>173913</v>
      </c>
    </row>
    <row r="3627" spans="1:16" x14ac:dyDescent="0.3">
      <c r="A3627" s="5">
        <v>56</v>
      </c>
      <c r="B3627" s="5" t="s">
        <v>149</v>
      </c>
      <c r="C3627" s="5">
        <v>5</v>
      </c>
      <c r="D3627" s="5" t="s">
        <v>80</v>
      </c>
      <c r="E3627" s="5">
        <v>2022</v>
      </c>
      <c r="F3627" s="5">
        <v>12</v>
      </c>
      <c r="G3627" s="5" t="s">
        <v>45</v>
      </c>
      <c r="H3627" s="5">
        <v>1875169</v>
      </c>
      <c r="I3627" s="5">
        <v>1568831.61</v>
      </c>
      <c r="J3627" s="5">
        <v>29</v>
      </c>
      <c r="K3627" s="5">
        <v>108521</v>
      </c>
      <c r="L3627" s="5">
        <v>1970350</v>
      </c>
      <c r="M3627" s="5">
        <v>306337.39</v>
      </c>
      <c r="N3627" s="5">
        <v>0.16339999999999999</v>
      </c>
      <c r="O3627" s="5">
        <v>3</v>
      </c>
      <c r="P3627" s="5">
        <v>4489</v>
      </c>
    </row>
    <row r="3628" spans="1:16" x14ac:dyDescent="0.3">
      <c r="A3628" s="5">
        <v>56</v>
      </c>
      <c r="B3628" s="5" t="s">
        <v>149</v>
      </c>
      <c r="C3628" s="5">
        <v>5</v>
      </c>
      <c r="D3628" s="5" t="s">
        <v>80</v>
      </c>
      <c r="E3628" s="5">
        <v>2023</v>
      </c>
      <c r="F3628" s="5">
        <v>1</v>
      </c>
      <c r="G3628" s="5" t="s">
        <v>46</v>
      </c>
      <c r="H3628" s="5">
        <v>1814133</v>
      </c>
      <c r="I3628" s="5">
        <v>1842414.01</v>
      </c>
      <c r="J3628" s="5">
        <v>25</v>
      </c>
      <c r="K3628" s="5">
        <v>524968</v>
      </c>
      <c r="L3628" s="5">
        <v>2336720</v>
      </c>
      <c r="M3628" s="5">
        <v>-28281.01</v>
      </c>
      <c r="N3628" s="5">
        <v>-1.5599999999999999E-2</v>
      </c>
      <c r="O3628" s="5">
        <v>0</v>
      </c>
      <c r="P3628" s="5">
        <v>0</v>
      </c>
    </row>
    <row r="3629" spans="1:16" x14ac:dyDescent="0.3">
      <c r="A3629" s="5">
        <v>56</v>
      </c>
      <c r="B3629" s="5" t="s">
        <v>149</v>
      </c>
      <c r="C3629" s="5">
        <v>5</v>
      </c>
      <c r="D3629" s="5" t="s">
        <v>80</v>
      </c>
      <c r="E3629" s="5">
        <v>2023</v>
      </c>
      <c r="F3629" s="5">
        <v>2</v>
      </c>
      <c r="G3629" s="5" t="s">
        <v>47</v>
      </c>
      <c r="H3629" s="5">
        <v>1841422</v>
      </c>
      <c r="I3629" s="5">
        <v>1505719.25</v>
      </c>
      <c r="J3629" s="5">
        <v>21</v>
      </c>
      <c r="K3629" s="5">
        <v>118352</v>
      </c>
      <c r="L3629" s="5">
        <v>1952250</v>
      </c>
      <c r="M3629" s="5">
        <v>335702.75</v>
      </c>
      <c r="N3629" s="5">
        <v>0.18229999999999999</v>
      </c>
      <c r="O3629" s="5">
        <v>0</v>
      </c>
      <c r="P3629" s="5">
        <v>0</v>
      </c>
    </row>
    <row r="3630" spans="1:16" x14ac:dyDescent="0.3">
      <c r="A3630" s="5">
        <v>56</v>
      </c>
      <c r="B3630" s="5" t="s">
        <v>149</v>
      </c>
      <c r="C3630" s="5">
        <v>5</v>
      </c>
      <c r="D3630" s="5" t="s">
        <v>80</v>
      </c>
      <c r="E3630" s="5">
        <v>2023</v>
      </c>
      <c r="F3630" s="5">
        <v>3</v>
      </c>
      <c r="G3630" s="5" t="s">
        <v>48</v>
      </c>
      <c r="H3630" s="5">
        <v>1215259</v>
      </c>
      <c r="I3630" s="5">
        <v>1008967.49</v>
      </c>
      <c r="J3630" s="5">
        <v>16</v>
      </c>
      <c r="K3630" s="5">
        <v>113539</v>
      </c>
      <c r="L3630" s="5">
        <v>1322790</v>
      </c>
      <c r="M3630" s="5">
        <v>206291.51</v>
      </c>
      <c r="N3630" s="5">
        <v>0.16980000000000001</v>
      </c>
      <c r="O3630" s="5">
        <v>1</v>
      </c>
      <c r="P3630" s="5">
        <v>1982</v>
      </c>
    </row>
    <row r="3631" spans="1:16" x14ac:dyDescent="0.3">
      <c r="A3631" s="5">
        <v>56</v>
      </c>
      <c r="B3631" s="5" t="s">
        <v>149</v>
      </c>
      <c r="C3631" s="5">
        <v>5</v>
      </c>
      <c r="D3631" s="5" t="s">
        <v>80</v>
      </c>
      <c r="E3631" s="5">
        <v>2023</v>
      </c>
      <c r="F3631" s="5">
        <v>4</v>
      </c>
      <c r="G3631" s="5" t="s">
        <v>49</v>
      </c>
      <c r="H3631" s="5">
        <v>949139</v>
      </c>
      <c r="I3631" s="5">
        <v>813817.02</v>
      </c>
      <c r="J3631" s="5">
        <v>22</v>
      </c>
      <c r="K3631" s="5">
        <v>110736</v>
      </c>
      <c r="L3631" s="5">
        <v>1055460</v>
      </c>
      <c r="M3631" s="5">
        <v>135321.98000000001</v>
      </c>
      <c r="N3631" s="5">
        <v>0.1426</v>
      </c>
      <c r="O3631" s="5">
        <v>2</v>
      </c>
      <c r="P3631" s="5">
        <v>39642</v>
      </c>
    </row>
    <row r="3632" spans="1:16" x14ac:dyDescent="0.3">
      <c r="A3632" s="5">
        <v>56</v>
      </c>
      <c r="B3632" s="5" t="s">
        <v>149</v>
      </c>
      <c r="C3632" s="5">
        <v>5</v>
      </c>
      <c r="D3632" s="5" t="s">
        <v>80</v>
      </c>
      <c r="E3632" s="5">
        <v>2023</v>
      </c>
      <c r="F3632" s="5">
        <v>5</v>
      </c>
      <c r="G3632" s="5" t="s">
        <v>50</v>
      </c>
      <c r="H3632" s="5">
        <v>1311236</v>
      </c>
      <c r="I3632" s="5">
        <v>1081889.29</v>
      </c>
      <c r="J3632" s="5">
        <v>23</v>
      </c>
      <c r="K3632" s="5">
        <v>134273</v>
      </c>
      <c r="L3632" s="5">
        <v>1442380</v>
      </c>
      <c r="M3632" s="5">
        <v>229346.71</v>
      </c>
      <c r="N3632" s="5">
        <v>0.1749</v>
      </c>
      <c r="O3632" s="5">
        <v>1</v>
      </c>
      <c r="P3632" s="5">
        <v>75180</v>
      </c>
    </row>
    <row r="3633" spans="1:16" x14ac:dyDescent="0.3">
      <c r="A3633" s="5">
        <v>56</v>
      </c>
      <c r="B3633" s="5" t="s">
        <v>149</v>
      </c>
      <c r="C3633" s="5">
        <v>5</v>
      </c>
      <c r="D3633" s="5" t="s">
        <v>80</v>
      </c>
      <c r="E3633" s="5">
        <v>2023</v>
      </c>
      <c r="F3633" s="5">
        <v>6</v>
      </c>
      <c r="G3633" s="5" t="s">
        <v>51</v>
      </c>
      <c r="H3633" s="5">
        <v>1607939</v>
      </c>
      <c r="I3633" s="5">
        <v>1353982.87</v>
      </c>
      <c r="J3633" s="5">
        <v>21</v>
      </c>
      <c r="K3633" s="5">
        <v>172503</v>
      </c>
      <c r="L3633" s="5">
        <v>1778620</v>
      </c>
      <c r="M3633" s="5">
        <v>253956.13</v>
      </c>
      <c r="N3633" s="5">
        <v>0.15790000000000001</v>
      </c>
      <c r="O3633" s="5">
        <v>2</v>
      </c>
      <c r="P3633" s="5">
        <v>56298</v>
      </c>
    </row>
    <row r="3634" spans="1:16" x14ac:dyDescent="0.3">
      <c r="A3634" s="5">
        <v>56</v>
      </c>
      <c r="B3634" s="5" t="s">
        <v>149</v>
      </c>
      <c r="C3634" s="5">
        <v>5</v>
      </c>
      <c r="D3634" s="5" t="s">
        <v>80</v>
      </c>
      <c r="E3634" s="5">
        <v>2023</v>
      </c>
      <c r="F3634" s="5">
        <v>7</v>
      </c>
      <c r="G3634" s="5" t="s">
        <v>52</v>
      </c>
      <c r="H3634" s="5">
        <v>1826444</v>
      </c>
      <c r="I3634" s="5">
        <v>1638626.24</v>
      </c>
      <c r="J3634" s="5">
        <v>30</v>
      </c>
      <c r="K3634" s="5">
        <v>291327</v>
      </c>
      <c r="L3634" s="5">
        <v>2104490</v>
      </c>
      <c r="M3634" s="5">
        <v>187817.76</v>
      </c>
      <c r="N3634" s="5">
        <v>0.1028</v>
      </c>
      <c r="O3634" s="5">
        <v>0</v>
      </c>
      <c r="P3634" s="5">
        <v>0</v>
      </c>
    </row>
    <row r="3635" spans="1:16" x14ac:dyDescent="0.3">
      <c r="A3635" s="5">
        <v>56</v>
      </c>
      <c r="B3635" s="5" t="s">
        <v>149</v>
      </c>
      <c r="C3635" s="5">
        <v>5</v>
      </c>
      <c r="D3635" s="5" t="s">
        <v>80</v>
      </c>
      <c r="E3635" s="5">
        <v>2023</v>
      </c>
      <c r="F3635" s="5">
        <v>8</v>
      </c>
      <c r="G3635" s="5" t="s">
        <v>53</v>
      </c>
      <c r="H3635" s="5">
        <v>1412698</v>
      </c>
      <c r="I3635" s="5">
        <v>1277589.57</v>
      </c>
      <c r="J3635" s="5">
        <v>22</v>
      </c>
      <c r="K3635" s="5">
        <v>235245</v>
      </c>
      <c r="L3635" s="5">
        <v>1645510</v>
      </c>
      <c r="M3635" s="5">
        <v>135108.43</v>
      </c>
      <c r="N3635" s="5">
        <v>9.5600000000000004E-2</v>
      </c>
      <c r="O3635" s="5">
        <v>0</v>
      </c>
      <c r="P3635" s="5">
        <v>0</v>
      </c>
    </row>
    <row r="3636" spans="1:16" x14ac:dyDescent="0.3">
      <c r="A3636" s="5">
        <v>56</v>
      </c>
      <c r="B3636" s="5" t="s">
        <v>149</v>
      </c>
      <c r="C3636" s="5">
        <v>5</v>
      </c>
      <c r="D3636" s="5" t="s">
        <v>80</v>
      </c>
      <c r="E3636" s="5">
        <v>2023</v>
      </c>
      <c r="F3636" s="5">
        <v>9</v>
      </c>
      <c r="G3636" s="5" t="s">
        <v>54</v>
      </c>
      <c r="H3636" s="5">
        <v>2026883</v>
      </c>
      <c r="I3636" s="5">
        <v>1726500.74</v>
      </c>
      <c r="J3636" s="5">
        <v>26</v>
      </c>
      <c r="K3636" s="5">
        <v>173597</v>
      </c>
      <c r="L3636" s="5">
        <v>2185530</v>
      </c>
      <c r="M3636" s="5">
        <v>300382.26</v>
      </c>
      <c r="N3636" s="5">
        <v>0.1482</v>
      </c>
      <c r="O3636" s="5">
        <v>0</v>
      </c>
      <c r="P3636" s="5">
        <v>0</v>
      </c>
    </row>
    <row r="3637" spans="1:16" x14ac:dyDescent="0.3">
      <c r="A3637" s="5">
        <v>56</v>
      </c>
      <c r="B3637" s="5" t="s">
        <v>149</v>
      </c>
      <c r="C3637" s="5">
        <v>5</v>
      </c>
      <c r="D3637" s="5" t="s">
        <v>80</v>
      </c>
      <c r="E3637" s="5">
        <v>2023</v>
      </c>
      <c r="F3637" s="5">
        <v>10</v>
      </c>
      <c r="G3637" s="5" t="s">
        <v>55</v>
      </c>
      <c r="H3637" s="5">
        <v>2057715</v>
      </c>
      <c r="I3637" s="5">
        <v>1770328.92</v>
      </c>
      <c r="J3637" s="5">
        <v>33</v>
      </c>
      <c r="K3637" s="5">
        <v>168830</v>
      </c>
      <c r="L3637" s="5">
        <v>2216020</v>
      </c>
      <c r="M3637" s="5">
        <v>287386.08</v>
      </c>
      <c r="N3637" s="5">
        <v>0.13969999999999999</v>
      </c>
      <c r="O3637" s="5">
        <v>3</v>
      </c>
      <c r="P3637" s="5">
        <v>37672</v>
      </c>
    </row>
    <row r="3638" spans="1:16" x14ac:dyDescent="0.3">
      <c r="A3638" s="5">
        <v>56</v>
      </c>
      <c r="B3638" s="5" t="s">
        <v>149</v>
      </c>
      <c r="C3638" s="5">
        <v>5</v>
      </c>
      <c r="D3638" s="5" t="s">
        <v>80</v>
      </c>
      <c r="E3638" s="5">
        <v>2023</v>
      </c>
      <c r="F3638" s="5">
        <v>11</v>
      </c>
      <c r="G3638" s="5" t="s">
        <v>56</v>
      </c>
      <c r="H3638" s="5">
        <v>2757804</v>
      </c>
      <c r="I3638" s="5">
        <v>2381208.13</v>
      </c>
      <c r="J3638" s="5">
        <v>37</v>
      </c>
      <c r="K3638" s="5">
        <v>281018</v>
      </c>
      <c r="L3638" s="5">
        <v>3019470</v>
      </c>
      <c r="M3638" s="5">
        <v>376595.87</v>
      </c>
      <c r="N3638" s="5">
        <v>0.1366</v>
      </c>
      <c r="O3638" s="5">
        <v>4</v>
      </c>
      <c r="P3638" s="5">
        <v>222137</v>
      </c>
    </row>
    <row r="3639" spans="1:16" x14ac:dyDescent="0.3">
      <c r="A3639" s="5">
        <v>56</v>
      </c>
      <c r="B3639" s="5" t="s">
        <v>149</v>
      </c>
      <c r="C3639" s="5">
        <v>5</v>
      </c>
      <c r="D3639" s="5" t="s">
        <v>80</v>
      </c>
      <c r="E3639" s="5">
        <v>2023</v>
      </c>
      <c r="F3639" s="5">
        <v>12</v>
      </c>
      <c r="G3639" s="5" t="s">
        <v>57</v>
      </c>
      <c r="H3639" s="5">
        <v>3599703</v>
      </c>
      <c r="I3639" s="5">
        <v>3107387.05</v>
      </c>
      <c r="J3639" s="5">
        <v>48</v>
      </c>
      <c r="K3639" s="5">
        <v>407147</v>
      </c>
      <c r="L3639" s="5">
        <v>3985540</v>
      </c>
      <c r="M3639" s="5">
        <v>492315.95</v>
      </c>
      <c r="N3639" s="5">
        <v>0.1368</v>
      </c>
      <c r="O3639" s="5">
        <v>7</v>
      </c>
      <c r="P3639" s="5">
        <v>124707</v>
      </c>
    </row>
    <row r="3640" spans="1:16" x14ac:dyDescent="0.3">
      <c r="A3640" s="5">
        <v>56</v>
      </c>
      <c r="B3640" s="5" t="s">
        <v>149</v>
      </c>
      <c r="C3640" s="5">
        <v>5</v>
      </c>
      <c r="D3640" s="5" t="s">
        <v>80</v>
      </c>
      <c r="E3640" s="5">
        <v>2024</v>
      </c>
      <c r="F3640" s="5">
        <v>1</v>
      </c>
      <c r="G3640" s="5" t="s">
        <v>58</v>
      </c>
      <c r="H3640" s="5">
        <v>1554172</v>
      </c>
      <c r="I3640" s="5">
        <v>1310778.8999999999</v>
      </c>
      <c r="J3640" s="5">
        <v>25</v>
      </c>
      <c r="K3640" s="5">
        <v>187744</v>
      </c>
      <c r="L3640" s="5">
        <v>1735540</v>
      </c>
      <c r="M3640" s="5">
        <v>243393.1</v>
      </c>
      <c r="N3640" s="5">
        <v>0.15659999999999999</v>
      </c>
      <c r="O3640" s="5">
        <v>3</v>
      </c>
      <c r="P3640" s="5">
        <v>6671</v>
      </c>
    </row>
    <row r="3641" spans="1:16" x14ac:dyDescent="0.3">
      <c r="A3641" s="5">
        <v>56</v>
      </c>
      <c r="B3641" s="5" t="s">
        <v>149</v>
      </c>
      <c r="C3641" s="5">
        <v>5</v>
      </c>
      <c r="D3641" s="5" t="s">
        <v>80</v>
      </c>
      <c r="E3641" s="5">
        <v>2024</v>
      </c>
      <c r="F3641" s="5">
        <v>2</v>
      </c>
      <c r="G3641" s="5" t="s">
        <v>59</v>
      </c>
      <c r="H3641" s="5">
        <v>1109190</v>
      </c>
      <c r="I3641" s="5">
        <v>1018278.75</v>
      </c>
      <c r="J3641" s="5">
        <v>18</v>
      </c>
      <c r="K3641" s="5">
        <v>202280</v>
      </c>
      <c r="L3641" s="5">
        <v>1310750</v>
      </c>
      <c r="M3641" s="5">
        <v>90911.25</v>
      </c>
      <c r="N3641" s="5">
        <v>8.2000000000000003E-2</v>
      </c>
      <c r="O3641" s="5">
        <v>3</v>
      </c>
      <c r="P3641" s="5">
        <v>370337</v>
      </c>
    </row>
    <row r="3642" spans="1:16" x14ac:dyDescent="0.3">
      <c r="A3642" s="5">
        <v>56</v>
      </c>
      <c r="B3642" s="5" t="s">
        <v>149</v>
      </c>
      <c r="C3642" s="5">
        <v>5</v>
      </c>
      <c r="D3642" s="5" t="s">
        <v>80</v>
      </c>
      <c r="E3642" s="5">
        <v>2024</v>
      </c>
      <c r="F3642" s="5">
        <v>3</v>
      </c>
      <c r="G3642" s="5" t="s">
        <v>60</v>
      </c>
      <c r="H3642" s="5">
        <v>1942511</v>
      </c>
      <c r="I3642" s="5">
        <v>1615414.1</v>
      </c>
      <c r="J3642" s="5">
        <v>24</v>
      </c>
      <c r="K3642" s="5">
        <v>154473</v>
      </c>
      <c r="L3642" s="5">
        <v>2090450</v>
      </c>
      <c r="M3642" s="5">
        <v>327096.90000000002</v>
      </c>
      <c r="N3642" s="5">
        <v>0.16839999999999999</v>
      </c>
      <c r="O3642" s="5">
        <v>1</v>
      </c>
      <c r="P3642" s="5">
        <v>56366</v>
      </c>
    </row>
    <row r="3643" spans="1:16" x14ac:dyDescent="0.3">
      <c r="A3643" s="5">
        <v>56</v>
      </c>
      <c r="B3643" s="5" t="s">
        <v>149</v>
      </c>
      <c r="C3643" s="5">
        <v>5</v>
      </c>
      <c r="D3643" s="5" t="s">
        <v>80</v>
      </c>
      <c r="E3643" s="5">
        <v>2024</v>
      </c>
      <c r="F3643" s="5">
        <v>4</v>
      </c>
      <c r="G3643" s="5" t="s">
        <v>61</v>
      </c>
      <c r="H3643" s="5">
        <v>2260562</v>
      </c>
      <c r="I3643" s="5">
        <v>1904923.63</v>
      </c>
      <c r="J3643" s="5">
        <v>28</v>
      </c>
      <c r="K3643" s="5">
        <v>168607</v>
      </c>
      <c r="L3643" s="5">
        <v>2422410</v>
      </c>
      <c r="M3643" s="5">
        <v>355638.37</v>
      </c>
      <c r="N3643" s="5">
        <v>0.1573</v>
      </c>
      <c r="O3643" s="5">
        <v>1</v>
      </c>
      <c r="P3643" s="5">
        <v>1086</v>
      </c>
    </row>
    <row r="3644" spans="1:16" x14ac:dyDescent="0.3">
      <c r="A3644" s="5">
        <v>56</v>
      </c>
      <c r="B3644" s="5" t="s">
        <v>149</v>
      </c>
      <c r="C3644" s="5">
        <v>5</v>
      </c>
      <c r="D3644" s="5" t="s">
        <v>80</v>
      </c>
      <c r="E3644" s="5">
        <v>2024</v>
      </c>
      <c r="F3644" s="5">
        <v>5</v>
      </c>
      <c r="G3644" s="5" t="s">
        <v>62</v>
      </c>
      <c r="H3644" s="5">
        <v>2445868</v>
      </c>
      <c r="I3644" s="5">
        <v>2063057.9</v>
      </c>
      <c r="J3644" s="5">
        <v>36</v>
      </c>
      <c r="K3644" s="5">
        <v>242524</v>
      </c>
      <c r="L3644" s="5">
        <v>2685130</v>
      </c>
      <c r="M3644" s="5">
        <v>382810.1</v>
      </c>
      <c r="N3644" s="5">
        <v>0.1565</v>
      </c>
      <c r="O3644" s="5">
        <v>3</v>
      </c>
      <c r="P3644" s="5">
        <v>67187</v>
      </c>
    </row>
    <row r="3645" spans="1:16" x14ac:dyDescent="0.3">
      <c r="A3645" s="5">
        <v>56</v>
      </c>
      <c r="B3645" s="5" t="s">
        <v>149</v>
      </c>
      <c r="C3645" s="5">
        <v>5</v>
      </c>
      <c r="D3645" s="5" t="s">
        <v>80</v>
      </c>
      <c r="E3645" s="5">
        <v>2024</v>
      </c>
      <c r="F3645" s="5">
        <v>6</v>
      </c>
      <c r="G3645" s="5" t="s">
        <v>63</v>
      </c>
      <c r="H3645" s="5">
        <v>1549870</v>
      </c>
      <c r="I3645" s="5">
        <v>1335135.42</v>
      </c>
      <c r="J3645" s="5">
        <v>24</v>
      </c>
      <c r="K3645" s="5">
        <v>170403</v>
      </c>
      <c r="L3645" s="5">
        <v>1712840</v>
      </c>
      <c r="M3645" s="5">
        <v>214734.58</v>
      </c>
      <c r="N3645" s="5">
        <v>0.1386</v>
      </c>
      <c r="O3645" s="5">
        <v>1</v>
      </c>
      <c r="P3645" s="5">
        <v>157543</v>
      </c>
    </row>
    <row r="3646" spans="1:16" x14ac:dyDescent="0.3">
      <c r="A3646" s="5">
        <v>56</v>
      </c>
      <c r="B3646" s="5" t="s">
        <v>149</v>
      </c>
      <c r="C3646" s="5">
        <v>5</v>
      </c>
      <c r="D3646" s="5" t="s">
        <v>80</v>
      </c>
      <c r="E3646" s="5">
        <v>2024</v>
      </c>
      <c r="F3646" s="5">
        <v>7</v>
      </c>
      <c r="G3646" s="5" t="s">
        <v>64</v>
      </c>
      <c r="H3646" s="5">
        <v>1431936</v>
      </c>
      <c r="I3646" s="5">
        <v>1149573.24</v>
      </c>
      <c r="J3646" s="5">
        <v>24</v>
      </c>
      <c r="K3646" s="5">
        <v>81140</v>
      </c>
      <c r="L3646" s="5">
        <v>1510980</v>
      </c>
      <c r="M3646" s="5">
        <v>282362.76</v>
      </c>
      <c r="N3646" s="5">
        <v>0.19719999999999999</v>
      </c>
      <c r="O3646" s="5">
        <v>2</v>
      </c>
      <c r="P3646" s="5">
        <v>42437</v>
      </c>
    </row>
    <row r="3647" spans="1:16" x14ac:dyDescent="0.3">
      <c r="A3647" s="5">
        <v>56</v>
      </c>
      <c r="B3647" s="5" t="s">
        <v>149</v>
      </c>
      <c r="C3647" s="5">
        <v>5</v>
      </c>
      <c r="D3647" s="5" t="s">
        <v>80</v>
      </c>
      <c r="E3647" s="5">
        <v>2024</v>
      </c>
      <c r="F3647" s="5">
        <v>8</v>
      </c>
      <c r="G3647" s="5" t="s">
        <v>65</v>
      </c>
      <c r="H3647" s="5">
        <v>1699443</v>
      </c>
      <c r="I3647" s="5">
        <v>1413696.29</v>
      </c>
      <c r="J3647" s="5">
        <v>20</v>
      </c>
      <c r="K3647" s="5">
        <v>104324</v>
      </c>
      <c r="L3647" s="5">
        <v>1790840</v>
      </c>
      <c r="M3647" s="5">
        <v>285746.71000000002</v>
      </c>
      <c r="N3647" s="5">
        <v>0.1681</v>
      </c>
      <c r="O3647" s="5">
        <v>2</v>
      </c>
      <c r="P3647" s="5">
        <v>5473</v>
      </c>
    </row>
    <row r="3648" spans="1:16" x14ac:dyDescent="0.3">
      <c r="A3648" s="5">
        <v>56</v>
      </c>
      <c r="B3648" s="5" t="s">
        <v>149</v>
      </c>
      <c r="C3648" s="5">
        <v>5</v>
      </c>
      <c r="D3648" s="5" t="s">
        <v>80</v>
      </c>
      <c r="E3648" s="5">
        <v>2024</v>
      </c>
      <c r="F3648" s="5">
        <v>9</v>
      </c>
      <c r="G3648" s="5" t="s">
        <v>66</v>
      </c>
      <c r="H3648" s="5">
        <v>3092491</v>
      </c>
      <c r="I3648" s="5">
        <v>2589205.11</v>
      </c>
      <c r="J3648" s="5">
        <v>26</v>
      </c>
      <c r="K3648" s="5">
        <v>165187</v>
      </c>
      <c r="L3648" s="5">
        <v>3242530</v>
      </c>
      <c r="M3648" s="5">
        <v>503285.89</v>
      </c>
      <c r="N3648" s="5">
        <v>0.16270000000000001</v>
      </c>
      <c r="O3648" s="5">
        <v>2</v>
      </c>
      <c r="P3648" s="5">
        <v>207643</v>
      </c>
    </row>
    <row r="3649" spans="1:16" x14ac:dyDescent="0.3">
      <c r="A3649" s="5">
        <v>56</v>
      </c>
      <c r="B3649" s="5" t="s">
        <v>149</v>
      </c>
      <c r="C3649" s="5">
        <v>5</v>
      </c>
      <c r="D3649" s="5" t="s">
        <v>80</v>
      </c>
      <c r="E3649" s="5">
        <v>2024</v>
      </c>
      <c r="F3649" s="5">
        <v>10</v>
      </c>
      <c r="G3649" s="5" t="s">
        <v>67</v>
      </c>
      <c r="H3649" s="5">
        <v>2217631</v>
      </c>
      <c r="I3649" s="5">
        <v>1837426.58</v>
      </c>
      <c r="J3649" s="5">
        <v>30</v>
      </c>
      <c r="K3649" s="5">
        <v>100253</v>
      </c>
      <c r="L3649" s="5">
        <v>2315210</v>
      </c>
      <c r="M3649" s="5">
        <v>380204.42</v>
      </c>
      <c r="N3649" s="5">
        <v>0.1714</v>
      </c>
      <c r="O3649" s="5">
        <v>0</v>
      </c>
      <c r="P3649" s="5">
        <v>0</v>
      </c>
    </row>
    <row r="3650" spans="1:16" x14ac:dyDescent="0.3">
      <c r="A3650" s="5">
        <v>56</v>
      </c>
      <c r="B3650" s="5" t="s">
        <v>149</v>
      </c>
      <c r="C3650" s="5">
        <v>5</v>
      </c>
      <c r="D3650" s="5" t="s">
        <v>80</v>
      </c>
      <c r="E3650" s="5">
        <v>2024</v>
      </c>
      <c r="F3650" s="5">
        <v>11</v>
      </c>
      <c r="G3650" s="5" t="s">
        <v>68</v>
      </c>
      <c r="H3650" s="5">
        <v>2710895</v>
      </c>
      <c r="I3650" s="5">
        <v>2246732.33</v>
      </c>
      <c r="J3650" s="5">
        <v>43</v>
      </c>
      <c r="K3650" s="5">
        <v>226838</v>
      </c>
      <c r="L3650" s="5">
        <v>2925410</v>
      </c>
      <c r="M3650" s="5">
        <v>464162.67</v>
      </c>
      <c r="N3650" s="5">
        <v>0.17119999999999999</v>
      </c>
      <c r="O3650" s="5">
        <v>1</v>
      </c>
      <c r="P3650" s="5">
        <v>3954</v>
      </c>
    </row>
    <row r="3651" spans="1:16" x14ac:dyDescent="0.3">
      <c r="A3651" s="5">
        <v>56</v>
      </c>
      <c r="B3651" s="5" t="s">
        <v>149</v>
      </c>
      <c r="C3651" s="5">
        <v>5</v>
      </c>
      <c r="D3651" s="5" t="s">
        <v>80</v>
      </c>
      <c r="E3651" s="5">
        <v>2024</v>
      </c>
      <c r="F3651" s="5">
        <v>12</v>
      </c>
      <c r="G3651" s="5" t="s">
        <v>69</v>
      </c>
      <c r="H3651" s="5">
        <v>2487637</v>
      </c>
      <c r="I3651" s="5">
        <v>1961340.88</v>
      </c>
      <c r="J3651" s="5">
        <v>35</v>
      </c>
      <c r="K3651" s="5">
        <v>69798</v>
      </c>
      <c r="L3651" s="5">
        <v>2536800</v>
      </c>
      <c r="M3651" s="5">
        <v>526296.12</v>
      </c>
      <c r="N3651" s="5">
        <v>0.21160000000000001</v>
      </c>
      <c r="O3651" s="5">
        <v>1</v>
      </c>
      <c r="P3651" s="5">
        <v>48504</v>
      </c>
    </row>
    <row r="3652" spans="1:16" x14ac:dyDescent="0.3">
      <c r="A3652" s="5">
        <v>45</v>
      </c>
      <c r="B3652" s="5" t="s">
        <v>150</v>
      </c>
      <c r="C3652" s="5">
        <v>3</v>
      </c>
      <c r="D3652" s="5" t="s">
        <v>85</v>
      </c>
      <c r="E3652" s="5">
        <v>2021</v>
      </c>
      <c r="F3652" s="5">
        <v>1</v>
      </c>
      <c r="G3652" s="5" t="s">
        <v>22</v>
      </c>
      <c r="H3652" s="5">
        <v>1184289</v>
      </c>
      <c r="I3652" s="5">
        <v>1111579.49</v>
      </c>
      <c r="J3652" s="5">
        <v>25</v>
      </c>
      <c r="K3652" s="5">
        <v>230521</v>
      </c>
      <c r="L3652" s="5">
        <v>1412690</v>
      </c>
      <c r="M3652" s="5">
        <v>72709.509999999995</v>
      </c>
      <c r="N3652" s="5">
        <v>6.1400000000000003E-2</v>
      </c>
      <c r="O3652" s="5">
        <v>2</v>
      </c>
      <c r="P3652" s="5">
        <v>13342</v>
      </c>
    </row>
    <row r="3653" spans="1:16" x14ac:dyDescent="0.3">
      <c r="A3653" s="5">
        <v>45</v>
      </c>
      <c r="B3653" s="5" t="s">
        <v>150</v>
      </c>
      <c r="C3653" s="5">
        <v>3</v>
      </c>
      <c r="D3653" s="5" t="s">
        <v>85</v>
      </c>
      <c r="E3653" s="5">
        <v>2021</v>
      </c>
      <c r="F3653" s="5">
        <v>2</v>
      </c>
      <c r="G3653" s="5" t="s">
        <v>23</v>
      </c>
      <c r="H3653" s="5">
        <v>1673278</v>
      </c>
      <c r="I3653" s="5">
        <v>1388462.07</v>
      </c>
      <c r="J3653" s="5">
        <v>20</v>
      </c>
      <c r="K3653" s="5">
        <v>96839</v>
      </c>
      <c r="L3653" s="5">
        <v>1761410</v>
      </c>
      <c r="M3653" s="5">
        <v>284815.93</v>
      </c>
      <c r="N3653" s="5">
        <v>0.17019999999999999</v>
      </c>
      <c r="O3653" s="5">
        <v>0</v>
      </c>
      <c r="P3653" s="5">
        <v>0</v>
      </c>
    </row>
    <row r="3654" spans="1:16" x14ac:dyDescent="0.3">
      <c r="A3654" s="5">
        <v>45</v>
      </c>
      <c r="B3654" s="5" t="s">
        <v>150</v>
      </c>
      <c r="C3654" s="5">
        <v>3</v>
      </c>
      <c r="D3654" s="5" t="s">
        <v>85</v>
      </c>
      <c r="E3654" s="5">
        <v>2021</v>
      </c>
      <c r="F3654" s="5">
        <v>3</v>
      </c>
      <c r="G3654" s="5" t="s">
        <v>24</v>
      </c>
      <c r="H3654" s="5">
        <v>1947858</v>
      </c>
      <c r="I3654" s="5">
        <v>1503087.3</v>
      </c>
      <c r="J3654" s="5">
        <v>34</v>
      </c>
      <c r="K3654" s="5">
        <v>97510</v>
      </c>
      <c r="L3654" s="5">
        <v>2041080</v>
      </c>
      <c r="M3654" s="5">
        <v>444770.7</v>
      </c>
      <c r="N3654" s="5">
        <v>0.2283</v>
      </c>
      <c r="O3654" s="5">
        <v>4</v>
      </c>
      <c r="P3654" s="5">
        <v>33557</v>
      </c>
    </row>
    <row r="3655" spans="1:16" x14ac:dyDescent="0.3">
      <c r="A3655" s="5">
        <v>45</v>
      </c>
      <c r="B3655" s="5" t="s">
        <v>150</v>
      </c>
      <c r="C3655" s="5">
        <v>3</v>
      </c>
      <c r="D3655" s="5" t="s">
        <v>85</v>
      </c>
      <c r="E3655" s="5">
        <v>2021</v>
      </c>
      <c r="F3655" s="5">
        <v>4</v>
      </c>
      <c r="G3655" s="5" t="s">
        <v>25</v>
      </c>
      <c r="H3655" s="5">
        <v>2585452</v>
      </c>
      <c r="I3655" s="5">
        <v>2203122.48</v>
      </c>
      <c r="J3655" s="5">
        <v>38</v>
      </c>
      <c r="K3655" s="5">
        <v>266242</v>
      </c>
      <c r="L3655" s="5">
        <v>2845560</v>
      </c>
      <c r="M3655" s="5">
        <v>382329.52</v>
      </c>
      <c r="N3655" s="5">
        <v>0.1479</v>
      </c>
      <c r="O3655" s="5">
        <v>1</v>
      </c>
      <c r="P3655" s="5">
        <v>38700</v>
      </c>
    </row>
    <row r="3656" spans="1:16" x14ac:dyDescent="0.3">
      <c r="A3656" s="5">
        <v>45</v>
      </c>
      <c r="B3656" s="5" t="s">
        <v>150</v>
      </c>
      <c r="C3656" s="5">
        <v>3</v>
      </c>
      <c r="D3656" s="5" t="s">
        <v>85</v>
      </c>
      <c r="E3656" s="5">
        <v>2021</v>
      </c>
      <c r="F3656" s="5">
        <v>5</v>
      </c>
      <c r="G3656" s="5" t="s">
        <v>26</v>
      </c>
      <c r="H3656" s="5">
        <v>1497255</v>
      </c>
      <c r="I3656" s="5">
        <v>1251219.3500000001</v>
      </c>
      <c r="J3656" s="5">
        <v>36</v>
      </c>
      <c r="K3656" s="5">
        <v>157759</v>
      </c>
      <c r="L3656" s="5">
        <v>1651680</v>
      </c>
      <c r="M3656" s="5">
        <v>246035.65</v>
      </c>
      <c r="N3656" s="5">
        <v>0.1643</v>
      </c>
      <c r="O3656" s="5">
        <v>5</v>
      </c>
      <c r="P3656" s="5">
        <v>84774</v>
      </c>
    </row>
    <row r="3657" spans="1:16" x14ac:dyDescent="0.3">
      <c r="A3657" s="5">
        <v>45</v>
      </c>
      <c r="B3657" s="5" t="s">
        <v>150</v>
      </c>
      <c r="C3657" s="5">
        <v>3</v>
      </c>
      <c r="D3657" s="5" t="s">
        <v>85</v>
      </c>
      <c r="E3657" s="5">
        <v>2021</v>
      </c>
      <c r="F3657" s="5">
        <v>6</v>
      </c>
      <c r="G3657" s="5" t="s">
        <v>27</v>
      </c>
      <c r="H3657" s="5">
        <v>1860454</v>
      </c>
      <c r="I3657" s="5">
        <v>1592375.34</v>
      </c>
      <c r="J3657" s="5">
        <v>23</v>
      </c>
      <c r="K3657" s="5">
        <v>202781</v>
      </c>
      <c r="L3657" s="5">
        <v>2059410</v>
      </c>
      <c r="M3657" s="5">
        <v>268078.65999999997</v>
      </c>
      <c r="N3657" s="5">
        <v>0.14410000000000001</v>
      </c>
      <c r="O3657" s="5">
        <v>1</v>
      </c>
      <c r="P3657" s="5">
        <v>8107</v>
      </c>
    </row>
    <row r="3658" spans="1:16" x14ac:dyDescent="0.3">
      <c r="A3658" s="5">
        <v>45</v>
      </c>
      <c r="B3658" s="5" t="s">
        <v>150</v>
      </c>
      <c r="C3658" s="5">
        <v>3</v>
      </c>
      <c r="D3658" s="5" t="s">
        <v>85</v>
      </c>
      <c r="E3658" s="5">
        <v>2021</v>
      </c>
      <c r="F3658" s="5">
        <v>7</v>
      </c>
      <c r="G3658" s="5" t="s">
        <v>28</v>
      </c>
      <c r="H3658" s="5">
        <v>2290598</v>
      </c>
      <c r="I3658" s="5">
        <v>1952540.72</v>
      </c>
      <c r="J3658" s="5">
        <v>29</v>
      </c>
      <c r="K3658" s="5">
        <v>233408</v>
      </c>
      <c r="L3658" s="5">
        <v>2508690</v>
      </c>
      <c r="M3658" s="5">
        <v>338057.28</v>
      </c>
      <c r="N3658" s="5">
        <v>0.14760000000000001</v>
      </c>
      <c r="O3658" s="5">
        <v>6</v>
      </c>
      <c r="P3658" s="5">
        <v>226508</v>
      </c>
    </row>
    <row r="3659" spans="1:16" x14ac:dyDescent="0.3">
      <c r="A3659" s="5">
        <v>45</v>
      </c>
      <c r="B3659" s="5" t="s">
        <v>150</v>
      </c>
      <c r="C3659" s="5">
        <v>3</v>
      </c>
      <c r="D3659" s="5" t="s">
        <v>85</v>
      </c>
      <c r="E3659" s="5">
        <v>2021</v>
      </c>
      <c r="F3659" s="5">
        <v>8</v>
      </c>
      <c r="G3659" s="5" t="s">
        <v>29</v>
      </c>
      <c r="H3659" s="5">
        <v>1339758</v>
      </c>
      <c r="I3659" s="5">
        <v>1145404.5900000001</v>
      </c>
      <c r="J3659" s="5">
        <v>25</v>
      </c>
      <c r="K3659" s="5">
        <v>160747</v>
      </c>
      <c r="L3659" s="5">
        <v>1499690</v>
      </c>
      <c r="M3659" s="5">
        <v>194353.41</v>
      </c>
      <c r="N3659" s="5">
        <v>0.14510000000000001</v>
      </c>
      <c r="O3659" s="5">
        <v>1</v>
      </c>
      <c r="P3659" s="5">
        <v>12448</v>
      </c>
    </row>
    <row r="3660" spans="1:16" x14ac:dyDescent="0.3">
      <c r="A3660" s="5">
        <v>45</v>
      </c>
      <c r="B3660" s="5" t="s">
        <v>150</v>
      </c>
      <c r="C3660" s="5">
        <v>3</v>
      </c>
      <c r="D3660" s="5" t="s">
        <v>85</v>
      </c>
      <c r="E3660" s="5">
        <v>2021</v>
      </c>
      <c r="F3660" s="5">
        <v>9</v>
      </c>
      <c r="G3660" s="5" t="s">
        <v>30</v>
      </c>
      <c r="H3660" s="5">
        <v>2468154</v>
      </c>
      <c r="I3660" s="5">
        <v>2116549.38</v>
      </c>
      <c r="J3660" s="5">
        <v>30</v>
      </c>
      <c r="K3660" s="5">
        <v>300732</v>
      </c>
      <c r="L3660" s="5">
        <v>2762340</v>
      </c>
      <c r="M3660" s="5">
        <v>351604.62</v>
      </c>
      <c r="N3660" s="5">
        <v>0.14249999999999999</v>
      </c>
      <c r="O3660" s="5">
        <v>4</v>
      </c>
      <c r="P3660" s="5">
        <v>189611</v>
      </c>
    </row>
    <row r="3661" spans="1:16" x14ac:dyDescent="0.3">
      <c r="A3661" s="5">
        <v>45</v>
      </c>
      <c r="B3661" s="5" t="s">
        <v>150</v>
      </c>
      <c r="C3661" s="5">
        <v>3</v>
      </c>
      <c r="D3661" s="5" t="s">
        <v>85</v>
      </c>
      <c r="E3661" s="5">
        <v>2021</v>
      </c>
      <c r="F3661" s="5">
        <v>10</v>
      </c>
      <c r="G3661" s="5" t="s">
        <v>31</v>
      </c>
      <c r="H3661" s="5">
        <v>3376482</v>
      </c>
      <c r="I3661" s="5">
        <v>2791249.47</v>
      </c>
      <c r="J3661" s="5">
        <v>44</v>
      </c>
      <c r="K3661" s="5">
        <v>217391</v>
      </c>
      <c r="L3661" s="5">
        <v>3572690</v>
      </c>
      <c r="M3661" s="5">
        <v>585232.53</v>
      </c>
      <c r="N3661" s="5">
        <v>0.17330000000000001</v>
      </c>
      <c r="O3661" s="5">
        <v>3</v>
      </c>
      <c r="P3661" s="5">
        <v>14131</v>
      </c>
    </row>
    <row r="3662" spans="1:16" x14ac:dyDescent="0.3">
      <c r="A3662" s="5">
        <v>45</v>
      </c>
      <c r="B3662" s="5" t="s">
        <v>150</v>
      </c>
      <c r="C3662" s="5">
        <v>3</v>
      </c>
      <c r="D3662" s="5" t="s">
        <v>85</v>
      </c>
      <c r="E3662" s="5">
        <v>2021</v>
      </c>
      <c r="F3662" s="5">
        <v>11</v>
      </c>
      <c r="G3662" s="5" t="s">
        <v>32</v>
      </c>
      <c r="H3662" s="5">
        <v>3283347</v>
      </c>
      <c r="I3662" s="5">
        <v>2740018.15</v>
      </c>
      <c r="J3662" s="5">
        <v>41</v>
      </c>
      <c r="K3662" s="5">
        <v>163399</v>
      </c>
      <c r="L3662" s="5">
        <v>3440720</v>
      </c>
      <c r="M3662" s="5">
        <v>543328.85</v>
      </c>
      <c r="N3662" s="5">
        <v>0.16550000000000001</v>
      </c>
      <c r="O3662" s="5">
        <v>4</v>
      </c>
      <c r="P3662" s="5">
        <v>251035</v>
      </c>
    </row>
    <row r="3663" spans="1:16" x14ac:dyDescent="0.3">
      <c r="A3663" s="5">
        <v>45</v>
      </c>
      <c r="B3663" s="5" t="s">
        <v>150</v>
      </c>
      <c r="C3663" s="5">
        <v>3</v>
      </c>
      <c r="D3663" s="5" t="s">
        <v>85</v>
      </c>
      <c r="E3663" s="5">
        <v>2021</v>
      </c>
      <c r="F3663" s="5">
        <v>12</v>
      </c>
      <c r="G3663" s="5" t="s">
        <v>33</v>
      </c>
      <c r="H3663" s="5">
        <v>2841265</v>
      </c>
      <c r="I3663" s="5">
        <v>2403592.54</v>
      </c>
      <c r="J3663" s="5">
        <v>40</v>
      </c>
      <c r="K3663" s="5">
        <v>251117</v>
      </c>
      <c r="L3663" s="5">
        <v>3089180</v>
      </c>
      <c r="M3663" s="5">
        <v>437672.46</v>
      </c>
      <c r="N3663" s="5">
        <v>0.154</v>
      </c>
      <c r="O3663" s="5">
        <v>5</v>
      </c>
      <c r="P3663" s="5">
        <v>49673</v>
      </c>
    </row>
    <row r="3664" spans="1:16" x14ac:dyDescent="0.3">
      <c r="A3664" s="5">
        <v>45</v>
      </c>
      <c r="B3664" s="5" t="s">
        <v>150</v>
      </c>
      <c r="C3664" s="5">
        <v>3</v>
      </c>
      <c r="D3664" s="5" t="s">
        <v>85</v>
      </c>
      <c r="E3664" s="5">
        <v>2022</v>
      </c>
      <c r="F3664" s="5">
        <v>1</v>
      </c>
      <c r="G3664" s="5" t="s">
        <v>34</v>
      </c>
      <c r="H3664" s="5">
        <v>1823283</v>
      </c>
      <c r="I3664" s="5">
        <v>1514835.86</v>
      </c>
      <c r="J3664" s="5">
        <v>34</v>
      </c>
      <c r="K3664" s="5">
        <v>135524</v>
      </c>
      <c r="L3664" s="5">
        <v>1955110</v>
      </c>
      <c r="M3664" s="5">
        <v>308447.14</v>
      </c>
      <c r="N3664" s="5">
        <v>0.16919999999999999</v>
      </c>
      <c r="O3664" s="5">
        <v>4</v>
      </c>
      <c r="P3664" s="5">
        <v>104206</v>
      </c>
    </row>
    <row r="3665" spans="1:16" x14ac:dyDescent="0.3">
      <c r="A3665" s="5">
        <v>45</v>
      </c>
      <c r="B3665" s="5" t="s">
        <v>150</v>
      </c>
      <c r="C3665" s="5">
        <v>3</v>
      </c>
      <c r="D3665" s="5" t="s">
        <v>85</v>
      </c>
      <c r="E3665" s="5">
        <v>2022</v>
      </c>
      <c r="F3665" s="5">
        <v>2</v>
      </c>
      <c r="G3665" s="5" t="s">
        <v>35</v>
      </c>
      <c r="H3665" s="5">
        <v>1732627</v>
      </c>
      <c r="I3665" s="5">
        <v>1494829.93</v>
      </c>
      <c r="J3665" s="5">
        <v>30</v>
      </c>
      <c r="K3665" s="5">
        <v>198104</v>
      </c>
      <c r="L3665" s="5">
        <v>1923150</v>
      </c>
      <c r="M3665" s="5">
        <v>237797.07</v>
      </c>
      <c r="N3665" s="5">
        <v>0.13719999999999999</v>
      </c>
      <c r="O3665" s="5">
        <v>2</v>
      </c>
      <c r="P3665" s="5">
        <v>78007</v>
      </c>
    </row>
    <row r="3666" spans="1:16" x14ac:dyDescent="0.3">
      <c r="A3666" s="5">
        <v>45</v>
      </c>
      <c r="B3666" s="5" t="s">
        <v>150</v>
      </c>
      <c r="C3666" s="5">
        <v>3</v>
      </c>
      <c r="D3666" s="5" t="s">
        <v>85</v>
      </c>
      <c r="E3666" s="5">
        <v>2022</v>
      </c>
      <c r="F3666" s="5">
        <v>3</v>
      </c>
      <c r="G3666" s="5" t="s">
        <v>36</v>
      </c>
      <c r="H3666" s="5">
        <v>3036779</v>
      </c>
      <c r="I3666" s="5">
        <v>2695725.83</v>
      </c>
      <c r="J3666" s="5">
        <v>31</v>
      </c>
      <c r="K3666" s="5">
        <v>404651</v>
      </c>
      <c r="L3666" s="5">
        <v>3438250</v>
      </c>
      <c r="M3666" s="5">
        <v>341053.17</v>
      </c>
      <c r="N3666" s="5">
        <v>0.1123</v>
      </c>
      <c r="O3666" s="5">
        <v>4</v>
      </c>
      <c r="P3666" s="5">
        <v>163990</v>
      </c>
    </row>
    <row r="3667" spans="1:16" x14ac:dyDescent="0.3">
      <c r="A3667" s="5">
        <v>45</v>
      </c>
      <c r="B3667" s="5" t="s">
        <v>150</v>
      </c>
      <c r="C3667" s="5">
        <v>3</v>
      </c>
      <c r="D3667" s="5" t="s">
        <v>85</v>
      </c>
      <c r="E3667" s="5">
        <v>2022</v>
      </c>
      <c r="F3667" s="5">
        <v>4</v>
      </c>
      <c r="G3667" s="5" t="s">
        <v>37</v>
      </c>
      <c r="H3667" s="5">
        <v>3856074</v>
      </c>
      <c r="I3667" s="5">
        <v>3395301.5</v>
      </c>
      <c r="J3667" s="5">
        <v>56</v>
      </c>
      <c r="K3667" s="5">
        <v>503385</v>
      </c>
      <c r="L3667" s="5">
        <v>4349290</v>
      </c>
      <c r="M3667" s="5">
        <v>460772.5</v>
      </c>
      <c r="N3667" s="5">
        <v>0.1195</v>
      </c>
      <c r="O3667" s="5">
        <v>4</v>
      </c>
      <c r="P3667" s="5">
        <v>114350</v>
      </c>
    </row>
    <row r="3668" spans="1:16" x14ac:dyDescent="0.3">
      <c r="A3668" s="5">
        <v>45</v>
      </c>
      <c r="B3668" s="5" t="s">
        <v>150</v>
      </c>
      <c r="C3668" s="5">
        <v>3</v>
      </c>
      <c r="D3668" s="5" t="s">
        <v>85</v>
      </c>
      <c r="E3668" s="5">
        <v>2022</v>
      </c>
      <c r="F3668" s="5">
        <v>5</v>
      </c>
      <c r="G3668" s="5" t="s">
        <v>38</v>
      </c>
      <c r="H3668" s="5">
        <v>3281015</v>
      </c>
      <c r="I3668" s="5">
        <v>2890664.12</v>
      </c>
      <c r="J3668" s="5">
        <v>44</v>
      </c>
      <c r="K3668" s="5">
        <v>428243</v>
      </c>
      <c r="L3668" s="5">
        <v>3700970</v>
      </c>
      <c r="M3668" s="5">
        <v>390350.88</v>
      </c>
      <c r="N3668" s="5">
        <v>0.11899999999999999</v>
      </c>
      <c r="O3668" s="5">
        <v>5</v>
      </c>
      <c r="P3668" s="5">
        <v>289580</v>
      </c>
    </row>
    <row r="3669" spans="1:16" x14ac:dyDescent="0.3">
      <c r="A3669" s="5">
        <v>45</v>
      </c>
      <c r="B3669" s="5" t="s">
        <v>150</v>
      </c>
      <c r="C3669" s="5">
        <v>3</v>
      </c>
      <c r="D3669" s="5" t="s">
        <v>85</v>
      </c>
      <c r="E3669" s="5">
        <v>2022</v>
      </c>
      <c r="F3669" s="5">
        <v>6</v>
      </c>
      <c r="G3669" s="5" t="s">
        <v>39</v>
      </c>
      <c r="H3669" s="5">
        <v>2018478</v>
      </c>
      <c r="I3669" s="5">
        <v>1802392.91</v>
      </c>
      <c r="J3669" s="5">
        <v>37</v>
      </c>
      <c r="K3669" s="5">
        <v>285584</v>
      </c>
      <c r="L3669" s="5">
        <v>2302140</v>
      </c>
      <c r="M3669" s="5">
        <v>216085.09</v>
      </c>
      <c r="N3669" s="5">
        <v>0.1071</v>
      </c>
      <c r="O3669" s="5">
        <v>1</v>
      </c>
      <c r="P3669" s="5">
        <v>2784</v>
      </c>
    </row>
    <row r="3670" spans="1:16" x14ac:dyDescent="0.3">
      <c r="A3670" s="5">
        <v>45</v>
      </c>
      <c r="B3670" s="5" t="s">
        <v>150</v>
      </c>
      <c r="C3670" s="5">
        <v>3</v>
      </c>
      <c r="D3670" s="5" t="s">
        <v>85</v>
      </c>
      <c r="E3670" s="5">
        <v>2022</v>
      </c>
      <c r="F3670" s="5">
        <v>7</v>
      </c>
      <c r="G3670" s="5" t="s">
        <v>40</v>
      </c>
      <c r="H3670" s="5">
        <v>2864617</v>
      </c>
      <c r="I3670" s="5">
        <v>2647847.2799999998</v>
      </c>
      <c r="J3670" s="5">
        <v>35</v>
      </c>
      <c r="K3670" s="5">
        <v>490346</v>
      </c>
      <c r="L3670" s="5">
        <v>3344720</v>
      </c>
      <c r="M3670" s="5">
        <v>216769.72</v>
      </c>
      <c r="N3670" s="5">
        <v>7.5700000000000003E-2</v>
      </c>
      <c r="O3670" s="5">
        <v>2</v>
      </c>
      <c r="P3670" s="5">
        <v>12630</v>
      </c>
    </row>
    <row r="3671" spans="1:16" x14ac:dyDescent="0.3">
      <c r="A3671" s="5">
        <v>45</v>
      </c>
      <c r="B3671" s="5" t="s">
        <v>150</v>
      </c>
      <c r="C3671" s="5">
        <v>3</v>
      </c>
      <c r="D3671" s="5" t="s">
        <v>85</v>
      </c>
      <c r="E3671" s="5">
        <v>2022</v>
      </c>
      <c r="F3671" s="5">
        <v>8</v>
      </c>
      <c r="G3671" s="5" t="s">
        <v>41</v>
      </c>
      <c r="H3671" s="5">
        <v>2280711</v>
      </c>
      <c r="I3671" s="5">
        <v>2152906.54</v>
      </c>
      <c r="J3671" s="5">
        <v>26</v>
      </c>
      <c r="K3671" s="5">
        <v>483507</v>
      </c>
      <c r="L3671" s="5">
        <v>2756050</v>
      </c>
      <c r="M3671" s="5">
        <v>127804.46</v>
      </c>
      <c r="N3671" s="5">
        <v>5.6000000000000001E-2</v>
      </c>
      <c r="O3671" s="5">
        <v>1</v>
      </c>
      <c r="P3671" s="5">
        <v>37575</v>
      </c>
    </row>
    <row r="3672" spans="1:16" x14ac:dyDescent="0.3">
      <c r="A3672" s="5">
        <v>45</v>
      </c>
      <c r="B3672" s="5" t="s">
        <v>150</v>
      </c>
      <c r="C3672" s="5">
        <v>3</v>
      </c>
      <c r="D3672" s="5" t="s">
        <v>85</v>
      </c>
      <c r="E3672" s="5">
        <v>2022</v>
      </c>
      <c r="F3672" s="5">
        <v>9</v>
      </c>
      <c r="G3672" s="5" t="s">
        <v>42</v>
      </c>
      <c r="H3672" s="5">
        <v>3695825</v>
      </c>
      <c r="I3672" s="5">
        <v>3279691.96</v>
      </c>
      <c r="J3672" s="5">
        <v>53</v>
      </c>
      <c r="K3672" s="5">
        <v>496159</v>
      </c>
      <c r="L3672" s="5">
        <v>4182760</v>
      </c>
      <c r="M3672" s="5">
        <v>416133.04</v>
      </c>
      <c r="N3672" s="5">
        <v>0.11260000000000001</v>
      </c>
      <c r="O3672" s="5">
        <v>1</v>
      </c>
      <c r="P3672" s="5">
        <v>53504</v>
      </c>
    </row>
    <row r="3673" spans="1:16" x14ac:dyDescent="0.3">
      <c r="A3673" s="5">
        <v>45</v>
      </c>
      <c r="B3673" s="5" t="s">
        <v>150</v>
      </c>
      <c r="C3673" s="5">
        <v>3</v>
      </c>
      <c r="D3673" s="5" t="s">
        <v>85</v>
      </c>
      <c r="E3673" s="5">
        <v>2022</v>
      </c>
      <c r="F3673" s="5">
        <v>10</v>
      </c>
      <c r="G3673" s="5" t="s">
        <v>43</v>
      </c>
      <c r="H3673" s="5">
        <v>3390643</v>
      </c>
      <c r="I3673" s="5">
        <v>3023221.41</v>
      </c>
      <c r="J3673" s="5">
        <v>54</v>
      </c>
      <c r="K3673" s="5">
        <v>532940</v>
      </c>
      <c r="L3673" s="5">
        <v>3913940</v>
      </c>
      <c r="M3673" s="5">
        <v>367421.59</v>
      </c>
      <c r="N3673" s="5">
        <v>0.1084</v>
      </c>
      <c r="O3673" s="5">
        <v>4</v>
      </c>
      <c r="P3673" s="5">
        <v>74825</v>
      </c>
    </row>
    <row r="3674" spans="1:16" x14ac:dyDescent="0.3">
      <c r="A3674" s="5">
        <v>45</v>
      </c>
      <c r="B3674" s="5" t="s">
        <v>150</v>
      </c>
      <c r="C3674" s="5">
        <v>3</v>
      </c>
      <c r="D3674" s="5" t="s">
        <v>85</v>
      </c>
      <c r="E3674" s="5">
        <v>2022</v>
      </c>
      <c r="F3674" s="5">
        <v>11</v>
      </c>
      <c r="G3674" s="5" t="s">
        <v>44</v>
      </c>
      <c r="H3674" s="5">
        <v>3946735</v>
      </c>
      <c r="I3674" s="5">
        <v>3560457.55</v>
      </c>
      <c r="J3674" s="5">
        <v>54</v>
      </c>
      <c r="K3674" s="5">
        <v>584724</v>
      </c>
      <c r="L3674" s="5">
        <v>4522970</v>
      </c>
      <c r="M3674" s="5">
        <v>386277.45</v>
      </c>
      <c r="N3674" s="5">
        <v>9.7900000000000001E-2</v>
      </c>
      <c r="O3674" s="5">
        <v>4</v>
      </c>
      <c r="P3674" s="5">
        <v>53818</v>
      </c>
    </row>
    <row r="3675" spans="1:16" x14ac:dyDescent="0.3">
      <c r="A3675" s="5">
        <v>45</v>
      </c>
      <c r="B3675" s="5" t="s">
        <v>150</v>
      </c>
      <c r="C3675" s="5">
        <v>3</v>
      </c>
      <c r="D3675" s="5" t="s">
        <v>85</v>
      </c>
      <c r="E3675" s="5">
        <v>2022</v>
      </c>
      <c r="F3675" s="5">
        <v>12</v>
      </c>
      <c r="G3675" s="5" t="s">
        <v>45</v>
      </c>
      <c r="H3675" s="5">
        <v>4161751</v>
      </c>
      <c r="I3675" s="5">
        <v>3566186.9</v>
      </c>
      <c r="J3675" s="5">
        <v>56</v>
      </c>
      <c r="K3675" s="5">
        <v>426066</v>
      </c>
      <c r="L3675" s="5">
        <v>4584080</v>
      </c>
      <c r="M3675" s="5">
        <v>595564.1</v>
      </c>
      <c r="N3675" s="5">
        <v>0.1431</v>
      </c>
      <c r="O3675" s="5">
        <v>2</v>
      </c>
      <c r="P3675" s="5">
        <v>44244</v>
      </c>
    </row>
    <row r="3676" spans="1:16" x14ac:dyDescent="0.3">
      <c r="A3676" s="5">
        <v>45</v>
      </c>
      <c r="B3676" s="5" t="s">
        <v>150</v>
      </c>
      <c r="C3676" s="5">
        <v>3</v>
      </c>
      <c r="D3676" s="5" t="s">
        <v>85</v>
      </c>
      <c r="E3676" s="5">
        <v>2023</v>
      </c>
      <c r="F3676" s="5">
        <v>1</v>
      </c>
      <c r="G3676" s="5" t="s">
        <v>46</v>
      </c>
      <c r="H3676" s="5">
        <v>2622903</v>
      </c>
      <c r="I3676" s="5">
        <v>2390276.7200000002</v>
      </c>
      <c r="J3676" s="5">
        <v>41</v>
      </c>
      <c r="K3676" s="5">
        <v>454524</v>
      </c>
      <c r="L3676" s="5">
        <v>3073430</v>
      </c>
      <c r="M3676" s="5">
        <v>232626.28</v>
      </c>
      <c r="N3676" s="5">
        <v>8.8700000000000001E-2</v>
      </c>
      <c r="O3676" s="5">
        <v>7</v>
      </c>
      <c r="P3676" s="5">
        <v>115981</v>
      </c>
    </row>
    <row r="3677" spans="1:16" x14ac:dyDescent="0.3">
      <c r="A3677" s="5">
        <v>45</v>
      </c>
      <c r="B3677" s="5" t="s">
        <v>150</v>
      </c>
      <c r="C3677" s="5">
        <v>3</v>
      </c>
      <c r="D3677" s="5" t="s">
        <v>85</v>
      </c>
      <c r="E3677" s="5">
        <v>2023</v>
      </c>
      <c r="F3677" s="5">
        <v>2</v>
      </c>
      <c r="G3677" s="5" t="s">
        <v>47</v>
      </c>
      <c r="H3677" s="5">
        <v>1805611</v>
      </c>
      <c r="I3677" s="5">
        <v>1557023.69</v>
      </c>
      <c r="J3677" s="5">
        <v>39</v>
      </c>
      <c r="K3677" s="5">
        <v>233808</v>
      </c>
      <c r="L3677" s="5">
        <v>2036530</v>
      </c>
      <c r="M3677" s="5">
        <v>248587.31</v>
      </c>
      <c r="N3677" s="5">
        <v>0.13769999999999999</v>
      </c>
      <c r="O3677" s="5">
        <v>2</v>
      </c>
      <c r="P3677" s="5">
        <v>19922</v>
      </c>
    </row>
    <row r="3678" spans="1:16" x14ac:dyDescent="0.3">
      <c r="A3678" s="5">
        <v>45</v>
      </c>
      <c r="B3678" s="5" t="s">
        <v>150</v>
      </c>
      <c r="C3678" s="5">
        <v>3</v>
      </c>
      <c r="D3678" s="5" t="s">
        <v>85</v>
      </c>
      <c r="E3678" s="5">
        <v>2023</v>
      </c>
      <c r="F3678" s="5">
        <v>3</v>
      </c>
      <c r="G3678" s="5" t="s">
        <v>48</v>
      </c>
      <c r="H3678" s="5">
        <v>2465089</v>
      </c>
      <c r="I3678" s="5">
        <v>2342928.63</v>
      </c>
      <c r="J3678" s="5">
        <v>41</v>
      </c>
      <c r="K3678" s="5">
        <v>484256</v>
      </c>
      <c r="L3678" s="5">
        <v>2946540</v>
      </c>
      <c r="M3678" s="5">
        <v>122160.37</v>
      </c>
      <c r="N3678" s="5">
        <v>4.9599999999999998E-2</v>
      </c>
      <c r="O3678" s="5">
        <v>2</v>
      </c>
      <c r="P3678" s="5">
        <v>7361</v>
      </c>
    </row>
    <row r="3679" spans="1:16" x14ac:dyDescent="0.3">
      <c r="A3679" s="5">
        <v>45</v>
      </c>
      <c r="B3679" s="5" t="s">
        <v>150</v>
      </c>
      <c r="C3679" s="5">
        <v>3</v>
      </c>
      <c r="D3679" s="5" t="s">
        <v>85</v>
      </c>
      <c r="E3679" s="5">
        <v>2023</v>
      </c>
      <c r="F3679" s="5">
        <v>4</v>
      </c>
      <c r="G3679" s="5" t="s">
        <v>49</v>
      </c>
      <c r="H3679" s="5">
        <v>3445717</v>
      </c>
      <c r="I3679" s="5">
        <v>3117453.02</v>
      </c>
      <c r="J3679" s="5">
        <v>50</v>
      </c>
      <c r="K3679" s="5">
        <v>475074</v>
      </c>
      <c r="L3679" s="5">
        <v>3911730</v>
      </c>
      <c r="M3679" s="5">
        <v>328263.98</v>
      </c>
      <c r="N3679" s="5">
        <v>9.5299999999999996E-2</v>
      </c>
      <c r="O3679" s="5">
        <v>2</v>
      </c>
      <c r="P3679" s="5">
        <v>224991</v>
      </c>
    </row>
    <row r="3680" spans="1:16" x14ac:dyDescent="0.3">
      <c r="A3680" s="5">
        <v>45</v>
      </c>
      <c r="B3680" s="5" t="s">
        <v>150</v>
      </c>
      <c r="C3680" s="5">
        <v>3</v>
      </c>
      <c r="D3680" s="5" t="s">
        <v>85</v>
      </c>
      <c r="E3680" s="5">
        <v>2023</v>
      </c>
      <c r="F3680" s="5">
        <v>5</v>
      </c>
      <c r="G3680" s="5" t="s">
        <v>50</v>
      </c>
      <c r="H3680" s="5">
        <v>3281283</v>
      </c>
      <c r="I3680" s="5">
        <v>2774366.11</v>
      </c>
      <c r="J3680" s="5">
        <v>64</v>
      </c>
      <c r="K3680" s="5">
        <v>368060</v>
      </c>
      <c r="L3680" s="5">
        <v>3637810</v>
      </c>
      <c r="M3680" s="5">
        <v>506916.89</v>
      </c>
      <c r="N3680" s="5">
        <v>0.1545</v>
      </c>
      <c r="O3680" s="5">
        <v>9</v>
      </c>
      <c r="P3680" s="5">
        <v>181461</v>
      </c>
    </row>
    <row r="3681" spans="1:16" x14ac:dyDescent="0.3">
      <c r="A3681" s="5">
        <v>45</v>
      </c>
      <c r="B3681" s="5" t="s">
        <v>150</v>
      </c>
      <c r="C3681" s="5">
        <v>3</v>
      </c>
      <c r="D3681" s="5" t="s">
        <v>85</v>
      </c>
      <c r="E3681" s="5">
        <v>2023</v>
      </c>
      <c r="F3681" s="5">
        <v>6</v>
      </c>
      <c r="G3681" s="5" t="s">
        <v>51</v>
      </c>
      <c r="H3681" s="5">
        <v>3563923</v>
      </c>
      <c r="I3681" s="5">
        <v>2983916.89</v>
      </c>
      <c r="J3681" s="5">
        <v>48</v>
      </c>
      <c r="K3681" s="5">
        <v>319404</v>
      </c>
      <c r="L3681" s="5">
        <v>3872700</v>
      </c>
      <c r="M3681" s="5">
        <v>580006.11</v>
      </c>
      <c r="N3681" s="5">
        <v>0.16270000000000001</v>
      </c>
      <c r="O3681" s="5">
        <v>5</v>
      </c>
      <c r="P3681" s="5">
        <v>97028</v>
      </c>
    </row>
    <row r="3682" spans="1:16" x14ac:dyDescent="0.3">
      <c r="A3682" s="5">
        <v>45</v>
      </c>
      <c r="B3682" s="5" t="s">
        <v>150</v>
      </c>
      <c r="C3682" s="5">
        <v>3</v>
      </c>
      <c r="D3682" s="5" t="s">
        <v>85</v>
      </c>
      <c r="E3682" s="5">
        <v>2023</v>
      </c>
      <c r="F3682" s="5">
        <v>7</v>
      </c>
      <c r="G3682" s="5" t="s">
        <v>52</v>
      </c>
      <c r="H3682" s="5">
        <v>3048862</v>
      </c>
      <c r="I3682" s="5">
        <v>2708711.13</v>
      </c>
      <c r="J3682" s="5">
        <v>56</v>
      </c>
      <c r="K3682" s="5">
        <v>437183</v>
      </c>
      <c r="L3682" s="5">
        <v>3471720</v>
      </c>
      <c r="M3682" s="5">
        <v>340150.87</v>
      </c>
      <c r="N3682" s="5">
        <v>0.1116</v>
      </c>
      <c r="O3682" s="5">
        <v>3</v>
      </c>
      <c r="P3682" s="5">
        <v>51754</v>
      </c>
    </row>
    <row r="3683" spans="1:16" x14ac:dyDescent="0.3">
      <c r="A3683" s="5">
        <v>45</v>
      </c>
      <c r="B3683" s="5" t="s">
        <v>150</v>
      </c>
      <c r="C3683" s="5">
        <v>3</v>
      </c>
      <c r="D3683" s="5" t="s">
        <v>85</v>
      </c>
      <c r="E3683" s="5">
        <v>2023</v>
      </c>
      <c r="F3683" s="5">
        <v>8</v>
      </c>
      <c r="G3683" s="5" t="s">
        <v>53</v>
      </c>
      <c r="H3683" s="5">
        <v>3469919</v>
      </c>
      <c r="I3683" s="5">
        <v>3070299.62</v>
      </c>
      <c r="J3683" s="5">
        <v>51</v>
      </c>
      <c r="K3683" s="5">
        <v>417898</v>
      </c>
      <c r="L3683" s="5">
        <v>3872520</v>
      </c>
      <c r="M3683" s="5">
        <v>399619.38</v>
      </c>
      <c r="N3683" s="5">
        <v>0.1152</v>
      </c>
      <c r="O3683" s="5">
        <v>4</v>
      </c>
      <c r="P3683" s="5">
        <v>88765</v>
      </c>
    </row>
    <row r="3684" spans="1:16" x14ac:dyDescent="0.3">
      <c r="A3684" s="5">
        <v>45</v>
      </c>
      <c r="B3684" s="5" t="s">
        <v>150</v>
      </c>
      <c r="C3684" s="5">
        <v>3</v>
      </c>
      <c r="D3684" s="5" t="s">
        <v>85</v>
      </c>
      <c r="E3684" s="5">
        <v>2023</v>
      </c>
      <c r="F3684" s="5">
        <v>9</v>
      </c>
      <c r="G3684" s="5" t="s">
        <v>54</v>
      </c>
      <c r="H3684" s="5">
        <v>2760590</v>
      </c>
      <c r="I3684" s="5">
        <v>2373713.6800000002</v>
      </c>
      <c r="J3684" s="5">
        <v>59</v>
      </c>
      <c r="K3684" s="5">
        <v>388045</v>
      </c>
      <c r="L3684" s="5">
        <v>3141990</v>
      </c>
      <c r="M3684" s="5">
        <v>386876.32</v>
      </c>
      <c r="N3684" s="5">
        <v>0.1401</v>
      </c>
      <c r="O3684" s="5">
        <v>3</v>
      </c>
      <c r="P3684" s="5">
        <v>15539</v>
      </c>
    </row>
    <row r="3685" spans="1:16" x14ac:dyDescent="0.3">
      <c r="A3685" s="5">
        <v>45</v>
      </c>
      <c r="B3685" s="5" t="s">
        <v>150</v>
      </c>
      <c r="C3685" s="5">
        <v>3</v>
      </c>
      <c r="D3685" s="5" t="s">
        <v>85</v>
      </c>
      <c r="E3685" s="5">
        <v>2023</v>
      </c>
      <c r="F3685" s="5">
        <v>10</v>
      </c>
      <c r="G3685" s="5" t="s">
        <v>55</v>
      </c>
      <c r="H3685" s="5">
        <v>4867741</v>
      </c>
      <c r="I3685" s="5">
        <v>4161903.21</v>
      </c>
      <c r="J3685" s="5">
        <v>70</v>
      </c>
      <c r="K3685" s="5">
        <v>497866</v>
      </c>
      <c r="L3685" s="5">
        <v>5349970</v>
      </c>
      <c r="M3685" s="5">
        <v>705837.79</v>
      </c>
      <c r="N3685" s="5">
        <v>0.14499999999999999</v>
      </c>
      <c r="O3685" s="5">
        <v>7</v>
      </c>
      <c r="P3685" s="5">
        <v>105960</v>
      </c>
    </row>
    <row r="3686" spans="1:16" x14ac:dyDescent="0.3">
      <c r="A3686" s="5">
        <v>45</v>
      </c>
      <c r="B3686" s="5" t="s">
        <v>150</v>
      </c>
      <c r="C3686" s="5">
        <v>3</v>
      </c>
      <c r="D3686" s="5" t="s">
        <v>85</v>
      </c>
      <c r="E3686" s="5">
        <v>2023</v>
      </c>
      <c r="F3686" s="5">
        <v>11</v>
      </c>
      <c r="G3686" s="5" t="s">
        <v>56</v>
      </c>
      <c r="H3686" s="5">
        <v>5018344</v>
      </c>
      <c r="I3686" s="5">
        <v>4408326.91</v>
      </c>
      <c r="J3686" s="5">
        <v>67</v>
      </c>
      <c r="K3686" s="5">
        <v>639532</v>
      </c>
      <c r="L3686" s="5">
        <v>5627580</v>
      </c>
      <c r="M3686" s="5">
        <v>610017.09</v>
      </c>
      <c r="N3686" s="5">
        <v>0.1216</v>
      </c>
      <c r="O3686" s="5">
        <v>11</v>
      </c>
      <c r="P3686" s="5">
        <v>312232</v>
      </c>
    </row>
    <row r="3687" spans="1:16" x14ac:dyDescent="0.3">
      <c r="A3687" s="5">
        <v>45</v>
      </c>
      <c r="B3687" s="5" t="s">
        <v>150</v>
      </c>
      <c r="C3687" s="5">
        <v>3</v>
      </c>
      <c r="D3687" s="5" t="s">
        <v>85</v>
      </c>
      <c r="E3687" s="5">
        <v>2023</v>
      </c>
      <c r="F3687" s="5">
        <v>12</v>
      </c>
      <c r="G3687" s="5" t="s">
        <v>57</v>
      </c>
      <c r="H3687" s="5">
        <v>4754279</v>
      </c>
      <c r="I3687" s="5">
        <v>4286510.29</v>
      </c>
      <c r="J3687" s="5">
        <v>78</v>
      </c>
      <c r="K3687" s="5">
        <v>832516</v>
      </c>
      <c r="L3687" s="5">
        <v>5570020</v>
      </c>
      <c r="M3687" s="5">
        <v>467768.71</v>
      </c>
      <c r="N3687" s="5">
        <v>9.8400000000000001E-2</v>
      </c>
      <c r="O3687" s="5">
        <v>8</v>
      </c>
      <c r="P3687" s="5">
        <v>261106</v>
      </c>
    </row>
    <row r="3688" spans="1:16" x14ac:dyDescent="0.3">
      <c r="A3688" s="5">
        <v>45</v>
      </c>
      <c r="B3688" s="5" t="s">
        <v>150</v>
      </c>
      <c r="C3688" s="5">
        <v>3</v>
      </c>
      <c r="D3688" s="5" t="s">
        <v>85</v>
      </c>
      <c r="E3688" s="5">
        <v>2024</v>
      </c>
      <c r="F3688" s="5">
        <v>1</v>
      </c>
      <c r="G3688" s="5" t="s">
        <v>58</v>
      </c>
      <c r="H3688" s="5">
        <v>2596435</v>
      </c>
      <c r="I3688" s="5">
        <v>2301275.0099999998</v>
      </c>
      <c r="J3688" s="5">
        <v>50</v>
      </c>
      <c r="K3688" s="5">
        <v>437973</v>
      </c>
      <c r="L3688" s="5">
        <v>3025390</v>
      </c>
      <c r="M3688" s="5">
        <v>295159.99</v>
      </c>
      <c r="N3688" s="5">
        <v>0.1137</v>
      </c>
      <c r="O3688" s="5">
        <v>5</v>
      </c>
      <c r="P3688" s="5">
        <v>139314</v>
      </c>
    </row>
    <row r="3689" spans="1:16" x14ac:dyDescent="0.3">
      <c r="A3689" s="5">
        <v>45</v>
      </c>
      <c r="B3689" s="5" t="s">
        <v>150</v>
      </c>
      <c r="C3689" s="5">
        <v>3</v>
      </c>
      <c r="D3689" s="5" t="s">
        <v>85</v>
      </c>
      <c r="E3689" s="5">
        <v>2024</v>
      </c>
      <c r="F3689" s="5">
        <v>2</v>
      </c>
      <c r="G3689" s="5" t="s">
        <v>59</v>
      </c>
      <c r="H3689" s="5">
        <v>3403821</v>
      </c>
      <c r="I3689" s="5">
        <v>2912719.97</v>
      </c>
      <c r="J3689" s="5">
        <v>43</v>
      </c>
      <c r="K3689" s="5">
        <v>280025</v>
      </c>
      <c r="L3689" s="5">
        <v>3666660</v>
      </c>
      <c r="M3689" s="5">
        <v>491101.03</v>
      </c>
      <c r="N3689" s="5">
        <v>0.14430000000000001</v>
      </c>
      <c r="O3689" s="5">
        <v>1</v>
      </c>
      <c r="P3689" s="5">
        <v>6645</v>
      </c>
    </row>
    <row r="3690" spans="1:16" x14ac:dyDescent="0.3">
      <c r="A3690" s="5">
        <v>45</v>
      </c>
      <c r="B3690" s="5" t="s">
        <v>150</v>
      </c>
      <c r="C3690" s="5">
        <v>3</v>
      </c>
      <c r="D3690" s="5" t="s">
        <v>85</v>
      </c>
      <c r="E3690" s="5">
        <v>2024</v>
      </c>
      <c r="F3690" s="5">
        <v>3</v>
      </c>
      <c r="G3690" s="5" t="s">
        <v>60</v>
      </c>
      <c r="H3690" s="5">
        <v>3653890</v>
      </c>
      <c r="I3690" s="5">
        <v>3071242.83</v>
      </c>
      <c r="J3690" s="5">
        <v>57</v>
      </c>
      <c r="K3690" s="5">
        <v>297537</v>
      </c>
      <c r="L3690" s="5">
        <v>3939860</v>
      </c>
      <c r="M3690" s="5">
        <v>582647.17000000004</v>
      </c>
      <c r="N3690" s="5">
        <v>0.1595</v>
      </c>
      <c r="O3690" s="5">
        <v>4</v>
      </c>
      <c r="P3690" s="5">
        <v>84328</v>
      </c>
    </row>
    <row r="3691" spans="1:16" x14ac:dyDescent="0.3">
      <c r="A3691" s="5">
        <v>45</v>
      </c>
      <c r="B3691" s="5" t="s">
        <v>150</v>
      </c>
      <c r="C3691" s="5">
        <v>3</v>
      </c>
      <c r="D3691" s="5" t="s">
        <v>85</v>
      </c>
      <c r="E3691" s="5">
        <v>2024</v>
      </c>
      <c r="F3691" s="5">
        <v>4</v>
      </c>
      <c r="G3691" s="5" t="s">
        <v>61</v>
      </c>
      <c r="H3691" s="5">
        <v>3169415</v>
      </c>
      <c r="I3691" s="5">
        <v>2869083.84</v>
      </c>
      <c r="J3691" s="5">
        <v>47</v>
      </c>
      <c r="K3691" s="5">
        <v>502127</v>
      </c>
      <c r="L3691" s="5">
        <v>3669640</v>
      </c>
      <c r="M3691" s="5">
        <v>300331.15999999997</v>
      </c>
      <c r="N3691" s="5">
        <v>9.4799999999999995E-2</v>
      </c>
      <c r="O3691" s="5">
        <v>5</v>
      </c>
      <c r="P3691" s="5">
        <v>231441</v>
      </c>
    </row>
    <row r="3692" spans="1:16" x14ac:dyDescent="0.3">
      <c r="A3692" s="5">
        <v>45</v>
      </c>
      <c r="B3692" s="5" t="s">
        <v>150</v>
      </c>
      <c r="C3692" s="5">
        <v>3</v>
      </c>
      <c r="D3692" s="5" t="s">
        <v>85</v>
      </c>
      <c r="E3692" s="5">
        <v>2024</v>
      </c>
      <c r="F3692" s="5">
        <v>5</v>
      </c>
      <c r="G3692" s="5" t="s">
        <v>62</v>
      </c>
      <c r="H3692" s="5">
        <v>3105202</v>
      </c>
      <c r="I3692" s="5">
        <v>2852977.64</v>
      </c>
      <c r="J3692" s="5">
        <v>52</v>
      </c>
      <c r="K3692" s="5">
        <v>619283</v>
      </c>
      <c r="L3692" s="5">
        <v>3709000</v>
      </c>
      <c r="M3692" s="5">
        <v>252224.36</v>
      </c>
      <c r="N3692" s="5">
        <v>8.1199999999999994E-2</v>
      </c>
      <c r="O3692" s="5">
        <v>1</v>
      </c>
      <c r="P3692" s="5">
        <v>14217</v>
      </c>
    </row>
    <row r="3693" spans="1:16" x14ac:dyDescent="0.3">
      <c r="A3693" s="5">
        <v>45</v>
      </c>
      <c r="B3693" s="5" t="s">
        <v>150</v>
      </c>
      <c r="C3693" s="5">
        <v>3</v>
      </c>
      <c r="D3693" s="5" t="s">
        <v>85</v>
      </c>
      <c r="E3693" s="5">
        <v>2024</v>
      </c>
      <c r="F3693" s="5">
        <v>6</v>
      </c>
      <c r="G3693" s="5" t="s">
        <v>63</v>
      </c>
      <c r="H3693" s="5">
        <v>3605639</v>
      </c>
      <c r="I3693" s="5">
        <v>3018195.58</v>
      </c>
      <c r="J3693" s="5">
        <v>46</v>
      </c>
      <c r="K3693" s="5">
        <v>268231</v>
      </c>
      <c r="L3693" s="5">
        <v>3863470</v>
      </c>
      <c r="M3693" s="5">
        <v>587443.42000000004</v>
      </c>
      <c r="N3693" s="5">
        <v>0.16289999999999999</v>
      </c>
      <c r="O3693" s="5">
        <v>5</v>
      </c>
      <c r="P3693" s="5">
        <v>65397</v>
      </c>
    </row>
    <row r="3694" spans="1:16" x14ac:dyDescent="0.3">
      <c r="A3694" s="5">
        <v>45</v>
      </c>
      <c r="B3694" s="5" t="s">
        <v>150</v>
      </c>
      <c r="C3694" s="5">
        <v>3</v>
      </c>
      <c r="D3694" s="5" t="s">
        <v>85</v>
      </c>
      <c r="E3694" s="5">
        <v>2024</v>
      </c>
      <c r="F3694" s="5">
        <v>7</v>
      </c>
      <c r="G3694" s="5" t="s">
        <v>64</v>
      </c>
      <c r="H3694" s="5">
        <v>2805075</v>
      </c>
      <c r="I3694" s="5">
        <v>2431805.5299999998</v>
      </c>
      <c r="J3694" s="5">
        <v>51</v>
      </c>
      <c r="K3694" s="5">
        <v>359905</v>
      </c>
      <c r="L3694" s="5">
        <v>3154250</v>
      </c>
      <c r="M3694" s="5">
        <v>373269.47</v>
      </c>
      <c r="N3694" s="5">
        <v>0.1331</v>
      </c>
      <c r="O3694" s="5">
        <v>5</v>
      </c>
      <c r="P3694" s="5">
        <v>275267</v>
      </c>
    </row>
    <row r="3695" spans="1:16" x14ac:dyDescent="0.3">
      <c r="A3695" s="5">
        <v>45</v>
      </c>
      <c r="B3695" s="5" t="s">
        <v>150</v>
      </c>
      <c r="C3695" s="5">
        <v>3</v>
      </c>
      <c r="D3695" s="5" t="s">
        <v>85</v>
      </c>
      <c r="E3695" s="5">
        <v>2024</v>
      </c>
      <c r="F3695" s="5">
        <v>8</v>
      </c>
      <c r="G3695" s="5" t="s">
        <v>65</v>
      </c>
      <c r="H3695" s="5">
        <v>4004296</v>
      </c>
      <c r="I3695" s="5">
        <v>3380739.54</v>
      </c>
      <c r="J3695" s="5">
        <v>63</v>
      </c>
      <c r="K3695" s="5">
        <v>342735</v>
      </c>
      <c r="L3695" s="5">
        <v>4337160</v>
      </c>
      <c r="M3695" s="5">
        <v>623556.46</v>
      </c>
      <c r="N3695" s="5">
        <v>0.15570000000000001</v>
      </c>
      <c r="O3695" s="5">
        <v>3</v>
      </c>
      <c r="P3695" s="5">
        <v>30658</v>
      </c>
    </row>
    <row r="3696" spans="1:16" x14ac:dyDescent="0.3">
      <c r="A3696" s="5">
        <v>45</v>
      </c>
      <c r="B3696" s="5" t="s">
        <v>150</v>
      </c>
      <c r="C3696" s="5">
        <v>3</v>
      </c>
      <c r="D3696" s="5" t="s">
        <v>85</v>
      </c>
      <c r="E3696" s="5">
        <v>2024</v>
      </c>
      <c r="F3696" s="5">
        <v>9</v>
      </c>
      <c r="G3696" s="5" t="s">
        <v>66</v>
      </c>
      <c r="H3696" s="5">
        <v>2960735</v>
      </c>
      <c r="I3696" s="5">
        <v>2356593.89</v>
      </c>
      <c r="J3696" s="5">
        <v>58</v>
      </c>
      <c r="K3696" s="5">
        <v>122286</v>
      </c>
      <c r="L3696" s="5">
        <v>3066640</v>
      </c>
      <c r="M3696" s="5">
        <v>604141.11</v>
      </c>
      <c r="N3696" s="5">
        <v>0.2041</v>
      </c>
      <c r="O3696" s="5">
        <v>6</v>
      </c>
      <c r="P3696" s="5">
        <v>99755</v>
      </c>
    </row>
    <row r="3697" spans="1:16" x14ac:dyDescent="0.3">
      <c r="A3697" s="5">
        <v>45</v>
      </c>
      <c r="B3697" s="5" t="s">
        <v>150</v>
      </c>
      <c r="C3697" s="5">
        <v>3</v>
      </c>
      <c r="D3697" s="5" t="s">
        <v>85</v>
      </c>
      <c r="E3697" s="5">
        <v>2024</v>
      </c>
      <c r="F3697" s="5">
        <v>10</v>
      </c>
      <c r="G3697" s="5" t="s">
        <v>67</v>
      </c>
      <c r="H3697" s="5">
        <v>6626817</v>
      </c>
      <c r="I3697" s="5">
        <v>5349061.6399999997</v>
      </c>
      <c r="J3697" s="5">
        <v>79</v>
      </c>
      <c r="K3697" s="5">
        <v>189555</v>
      </c>
      <c r="L3697" s="5">
        <v>6787320</v>
      </c>
      <c r="M3697" s="5">
        <v>1277755.3600000001</v>
      </c>
      <c r="N3697" s="5">
        <v>0.1928</v>
      </c>
      <c r="O3697" s="5">
        <v>8</v>
      </c>
      <c r="P3697" s="5">
        <v>356921</v>
      </c>
    </row>
    <row r="3698" spans="1:16" x14ac:dyDescent="0.3">
      <c r="A3698" s="5">
        <v>45</v>
      </c>
      <c r="B3698" s="5" t="s">
        <v>150</v>
      </c>
      <c r="C3698" s="5">
        <v>3</v>
      </c>
      <c r="D3698" s="5" t="s">
        <v>85</v>
      </c>
      <c r="E3698" s="5">
        <v>2024</v>
      </c>
      <c r="F3698" s="5">
        <v>11</v>
      </c>
      <c r="G3698" s="5" t="s">
        <v>68</v>
      </c>
      <c r="H3698" s="5">
        <v>5951348</v>
      </c>
      <c r="I3698" s="5">
        <v>5008859.33</v>
      </c>
      <c r="J3698" s="5">
        <v>82</v>
      </c>
      <c r="K3698" s="5">
        <v>490954</v>
      </c>
      <c r="L3698" s="5">
        <v>6420110</v>
      </c>
      <c r="M3698" s="5">
        <v>942488.67</v>
      </c>
      <c r="N3698" s="5">
        <v>0.15840000000000001</v>
      </c>
      <c r="O3698" s="5">
        <v>5</v>
      </c>
      <c r="P3698" s="5">
        <v>76551</v>
      </c>
    </row>
    <row r="3699" spans="1:16" x14ac:dyDescent="0.3">
      <c r="A3699" s="5">
        <v>45</v>
      </c>
      <c r="B3699" s="5" t="s">
        <v>150</v>
      </c>
      <c r="C3699" s="5">
        <v>3</v>
      </c>
      <c r="D3699" s="5" t="s">
        <v>85</v>
      </c>
      <c r="E3699" s="5">
        <v>2024</v>
      </c>
      <c r="F3699" s="5">
        <v>12</v>
      </c>
      <c r="G3699" s="5" t="s">
        <v>69</v>
      </c>
      <c r="H3699" s="5">
        <v>5660564</v>
      </c>
      <c r="I3699" s="5">
        <v>4573454.55</v>
      </c>
      <c r="J3699" s="5">
        <v>65</v>
      </c>
      <c r="K3699" s="5">
        <v>214194</v>
      </c>
      <c r="L3699" s="5">
        <v>5863500</v>
      </c>
      <c r="M3699" s="5">
        <v>1087109.45</v>
      </c>
      <c r="N3699" s="5">
        <v>0.192</v>
      </c>
      <c r="O3699" s="5">
        <v>3</v>
      </c>
      <c r="P3699" s="5">
        <v>44234</v>
      </c>
    </row>
    <row r="3700" spans="1:16" x14ac:dyDescent="0.3">
      <c r="A3700" s="5">
        <v>25</v>
      </c>
      <c r="B3700" s="5" t="s">
        <v>151</v>
      </c>
      <c r="C3700" s="5">
        <v>3</v>
      </c>
      <c r="D3700" s="5" t="s">
        <v>85</v>
      </c>
      <c r="E3700" s="5">
        <v>2021</v>
      </c>
      <c r="F3700" s="5">
        <v>1</v>
      </c>
      <c r="G3700" s="5" t="s">
        <v>22</v>
      </c>
      <c r="H3700" s="5">
        <v>9464467</v>
      </c>
      <c r="I3700" s="5">
        <v>8723359.8599999994</v>
      </c>
      <c r="J3700" s="5">
        <v>138</v>
      </c>
      <c r="K3700" s="5">
        <v>1718397</v>
      </c>
      <c r="L3700" s="5">
        <v>11150730</v>
      </c>
      <c r="M3700" s="5">
        <v>741107.14</v>
      </c>
      <c r="N3700" s="5">
        <v>7.8299999999999995E-2</v>
      </c>
      <c r="O3700" s="5">
        <v>11</v>
      </c>
      <c r="P3700" s="5">
        <v>303328</v>
      </c>
    </row>
    <row r="3701" spans="1:16" x14ac:dyDescent="0.3">
      <c r="A3701" s="5">
        <v>25</v>
      </c>
      <c r="B3701" s="5" t="s">
        <v>151</v>
      </c>
      <c r="C3701" s="5">
        <v>3</v>
      </c>
      <c r="D3701" s="5" t="s">
        <v>85</v>
      </c>
      <c r="E3701" s="5">
        <v>2021</v>
      </c>
      <c r="F3701" s="5">
        <v>2</v>
      </c>
      <c r="G3701" s="5" t="s">
        <v>23</v>
      </c>
      <c r="H3701" s="5">
        <v>7888603</v>
      </c>
      <c r="I3701" s="5">
        <v>7165064.0999999996</v>
      </c>
      <c r="J3701" s="5">
        <v>132</v>
      </c>
      <c r="K3701" s="5">
        <v>1283350</v>
      </c>
      <c r="L3701" s="5">
        <v>9149080</v>
      </c>
      <c r="M3701" s="5">
        <v>723538.9</v>
      </c>
      <c r="N3701" s="5">
        <v>9.1700000000000004E-2</v>
      </c>
      <c r="O3701" s="5">
        <v>10</v>
      </c>
      <c r="P3701" s="5">
        <v>332343</v>
      </c>
    </row>
    <row r="3702" spans="1:16" x14ac:dyDescent="0.3">
      <c r="A3702" s="5">
        <v>25</v>
      </c>
      <c r="B3702" s="5" t="s">
        <v>151</v>
      </c>
      <c r="C3702" s="5">
        <v>3</v>
      </c>
      <c r="D3702" s="5" t="s">
        <v>85</v>
      </c>
      <c r="E3702" s="5">
        <v>2021</v>
      </c>
      <c r="F3702" s="5">
        <v>3</v>
      </c>
      <c r="G3702" s="5" t="s">
        <v>24</v>
      </c>
      <c r="H3702" s="5">
        <v>9089842</v>
      </c>
      <c r="I3702" s="5">
        <v>7569895.2699999996</v>
      </c>
      <c r="J3702" s="5">
        <v>159</v>
      </c>
      <c r="K3702" s="5">
        <v>742011</v>
      </c>
      <c r="L3702" s="5">
        <v>9800200</v>
      </c>
      <c r="M3702" s="5">
        <v>1519946.73</v>
      </c>
      <c r="N3702" s="5">
        <v>0.16719999999999999</v>
      </c>
      <c r="O3702" s="5">
        <v>14</v>
      </c>
      <c r="P3702" s="5">
        <v>314135</v>
      </c>
    </row>
    <row r="3703" spans="1:16" x14ac:dyDescent="0.3">
      <c r="A3703" s="5">
        <v>25</v>
      </c>
      <c r="B3703" s="5" t="s">
        <v>151</v>
      </c>
      <c r="C3703" s="5">
        <v>3</v>
      </c>
      <c r="D3703" s="5" t="s">
        <v>85</v>
      </c>
      <c r="E3703" s="5">
        <v>2021</v>
      </c>
      <c r="F3703" s="5">
        <v>4</v>
      </c>
      <c r="G3703" s="5" t="s">
        <v>25</v>
      </c>
      <c r="H3703" s="5">
        <v>12110186</v>
      </c>
      <c r="I3703" s="5">
        <v>10342900.74</v>
      </c>
      <c r="J3703" s="5">
        <v>166</v>
      </c>
      <c r="K3703" s="5">
        <v>1342738</v>
      </c>
      <c r="L3703" s="5">
        <v>13392250</v>
      </c>
      <c r="M3703" s="5">
        <v>1767285.26</v>
      </c>
      <c r="N3703" s="5">
        <v>0.1459</v>
      </c>
      <c r="O3703" s="5">
        <v>16</v>
      </c>
      <c r="P3703" s="5">
        <v>846967</v>
      </c>
    </row>
    <row r="3704" spans="1:16" x14ac:dyDescent="0.3">
      <c r="A3704" s="5">
        <v>25</v>
      </c>
      <c r="B3704" s="5" t="s">
        <v>151</v>
      </c>
      <c r="C3704" s="5">
        <v>3</v>
      </c>
      <c r="D3704" s="5" t="s">
        <v>85</v>
      </c>
      <c r="E3704" s="5">
        <v>2021</v>
      </c>
      <c r="F3704" s="5">
        <v>5</v>
      </c>
      <c r="G3704" s="5" t="s">
        <v>26</v>
      </c>
      <c r="H3704" s="5">
        <v>13135483</v>
      </c>
      <c r="I3704" s="5">
        <v>11278906.689999999</v>
      </c>
      <c r="J3704" s="5">
        <v>204</v>
      </c>
      <c r="K3704" s="5">
        <v>1394282</v>
      </c>
      <c r="L3704" s="5">
        <v>14474960</v>
      </c>
      <c r="M3704" s="5">
        <v>1856576.31</v>
      </c>
      <c r="N3704" s="5">
        <v>0.14130000000000001</v>
      </c>
      <c r="O3704" s="5">
        <v>18</v>
      </c>
      <c r="P3704" s="5">
        <v>970939</v>
      </c>
    </row>
    <row r="3705" spans="1:16" x14ac:dyDescent="0.3">
      <c r="A3705" s="5">
        <v>25</v>
      </c>
      <c r="B3705" s="5" t="s">
        <v>151</v>
      </c>
      <c r="C3705" s="5">
        <v>3</v>
      </c>
      <c r="D3705" s="5" t="s">
        <v>85</v>
      </c>
      <c r="E3705" s="5">
        <v>2021</v>
      </c>
      <c r="F3705" s="5">
        <v>6</v>
      </c>
      <c r="G3705" s="5" t="s">
        <v>27</v>
      </c>
      <c r="H3705" s="5">
        <v>12988420</v>
      </c>
      <c r="I3705" s="5">
        <v>11289406.689999999</v>
      </c>
      <c r="J3705" s="5">
        <v>173</v>
      </c>
      <c r="K3705" s="5">
        <v>1448357</v>
      </c>
      <c r="L3705" s="5">
        <v>14386850</v>
      </c>
      <c r="M3705" s="5">
        <v>1699013.31</v>
      </c>
      <c r="N3705" s="5">
        <v>0.1308</v>
      </c>
      <c r="O3705" s="5">
        <v>12</v>
      </c>
      <c r="P3705" s="5">
        <v>172278</v>
      </c>
    </row>
    <row r="3706" spans="1:16" x14ac:dyDescent="0.3">
      <c r="A3706" s="5">
        <v>25</v>
      </c>
      <c r="B3706" s="5" t="s">
        <v>151</v>
      </c>
      <c r="C3706" s="5">
        <v>3</v>
      </c>
      <c r="D3706" s="5" t="s">
        <v>85</v>
      </c>
      <c r="E3706" s="5">
        <v>2021</v>
      </c>
      <c r="F3706" s="5">
        <v>7</v>
      </c>
      <c r="G3706" s="5" t="s">
        <v>28</v>
      </c>
      <c r="H3706" s="5">
        <v>10325526</v>
      </c>
      <c r="I3706" s="5">
        <v>9189190.3499999996</v>
      </c>
      <c r="J3706" s="5">
        <v>171</v>
      </c>
      <c r="K3706" s="5">
        <v>1546022</v>
      </c>
      <c r="L3706" s="5">
        <v>11838260</v>
      </c>
      <c r="M3706" s="5">
        <v>1136335.6499999999</v>
      </c>
      <c r="N3706" s="5">
        <v>0.1101</v>
      </c>
      <c r="O3706" s="5">
        <v>11</v>
      </c>
      <c r="P3706" s="5">
        <v>697166</v>
      </c>
    </row>
    <row r="3707" spans="1:16" x14ac:dyDescent="0.3">
      <c r="A3707" s="5">
        <v>25</v>
      </c>
      <c r="B3707" s="5" t="s">
        <v>151</v>
      </c>
      <c r="C3707" s="5">
        <v>3</v>
      </c>
      <c r="D3707" s="5" t="s">
        <v>85</v>
      </c>
      <c r="E3707" s="5">
        <v>2021</v>
      </c>
      <c r="F3707" s="5">
        <v>8</v>
      </c>
      <c r="G3707" s="5" t="s">
        <v>29</v>
      </c>
      <c r="H3707" s="5">
        <v>14501387</v>
      </c>
      <c r="I3707" s="5">
        <v>12274099.140000001</v>
      </c>
      <c r="J3707" s="5">
        <v>215</v>
      </c>
      <c r="K3707" s="5">
        <v>1440011</v>
      </c>
      <c r="L3707" s="5">
        <v>15895250</v>
      </c>
      <c r="M3707" s="5">
        <v>2227287.86</v>
      </c>
      <c r="N3707" s="5">
        <v>0.15359999999999999</v>
      </c>
      <c r="O3707" s="5">
        <v>11</v>
      </c>
      <c r="P3707" s="5">
        <v>821388</v>
      </c>
    </row>
    <row r="3708" spans="1:16" x14ac:dyDescent="0.3">
      <c r="A3708" s="5">
        <v>25</v>
      </c>
      <c r="B3708" s="5" t="s">
        <v>151</v>
      </c>
      <c r="C3708" s="5">
        <v>3</v>
      </c>
      <c r="D3708" s="5" t="s">
        <v>85</v>
      </c>
      <c r="E3708" s="5">
        <v>2021</v>
      </c>
      <c r="F3708" s="5">
        <v>9</v>
      </c>
      <c r="G3708" s="5" t="s">
        <v>30</v>
      </c>
      <c r="H3708" s="5">
        <v>10874911</v>
      </c>
      <c r="I3708" s="5">
        <v>9434811.2799999993</v>
      </c>
      <c r="J3708" s="5">
        <v>174</v>
      </c>
      <c r="K3708" s="5">
        <v>1414996</v>
      </c>
      <c r="L3708" s="5">
        <v>12250120</v>
      </c>
      <c r="M3708" s="5">
        <v>1440099.72</v>
      </c>
      <c r="N3708" s="5">
        <v>0.13239999999999999</v>
      </c>
      <c r="O3708" s="5">
        <v>15</v>
      </c>
      <c r="P3708" s="5">
        <v>236475</v>
      </c>
    </row>
    <row r="3709" spans="1:16" x14ac:dyDescent="0.3">
      <c r="A3709" s="5">
        <v>25</v>
      </c>
      <c r="B3709" s="5" t="s">
        <v>151</v>
      </c>
      <c r="C3709" s="5">
        <v>3</v>
      </c>
      <c r="D3709" s="5" t="s">
        <v>85</v>
      </c>
      <c r="E3709" s="5">
        <v>2021</v>
      </c>
      <c r="F3709" s="5">
        <v>10</v>
      </c>
      <c r="G3709" s="5" t="s">
        <v>31</v>
      </c>
      <c r="H3709" s="5">
        <v>17929474</v>
      </c>
      <c r="I3709" s="5">
        <v>15280972.18</v>
      </c>
      <c r="J3709" s="5">
        <v>259</v>
      </c>
      <c r="K3709" s="5">
        <v>1719596</v>
      </c>
      <c r="L3709" s="5">
        <v>19593520</v>
      </c>
      <c r="M3709" s="5">
        <v>2648501.8199999998</v>
      </c>
      <c r="N3709" s="5">
        <v>0.1477</v>
      </c>
      <c r="O3709" s="5">
        <v>17</v>
      </c>
      <c r="P3709" s="5">
        <v>512706</v>
      </c>
    </row>
    <row r="3710" spans="1:16" x14ac:dyDescent="0.3">
      <c r="A3710" s="5">
        <v>25</v>
      </c>
      <c r="B3710" s="5" t="s">
        <v>151</v>
      </c>
      <c r="C3710" s="5">
        <v>3</v>
      </c>
      <c r="D3710" s="5" t="s">
        <v>85</v>
      </c>
      <c r="E3710" s="5">
        <v>2021</v>
      </c>
      <c r="F3710" s="5">
        <v>11</v>
      </c>
      <c r="G3710" s="5" t="s">
        <v>32</v>
      </c>
      <c r="H3710" s="5">
        <v>17581683</v>
      </c>
      <c r="I3710" s="5">
        <v>14801609.369999999</v>
      </c>
      <c r="J3710" s="5">
        <v>239</v>
      </c>
      <c r="K3710" s="5">
        <v>1312244</v>
      </c>
      <c r="L3710" s="5">
        <v>18833190</v>
      </c>
      <c r="M3710" s="5">
        <v>2780073.63</v>
      </c>
      <c r="N3710" s="5">
        <v>0.15809999999999999</v>
      </c>
      <c r="O3710" s="5">
        <v>16</v>
      </c>
      <c r="P3710" s="5">
        <v>324964</v>
      </c>
    </row>
    <row r="3711" spans="1:16" x14ac:dyDescent="0.3">
      <c r="A3711" s="5">
        <v>25</v>
      </c>
      <c r="B3711" s="5" t="s">
        <v>151</v>
      </c>
      <c r="C3711" s="5">
        <v>3</v>
      </c>
      <c r="D3711" s="5" t="s">
        <v>85</v>
      </c>
      <c r="E3711" s="5">
        <v>2021</v>
      </c>
      <c r="F3711" s="5">
        <v>12</v>
      </c>
      <c r="G3711" s="5" t="s">
        <v>33</v>
      </c>
      <c r="H3711" s="5">
        <v>14429609</v>
      </c>
      <c r="I3711" s="5">
        <v>12209810</v>
      </c>
      <c r="J3711" s="5">
        <v>200</v>
      </c>
      <c r="K3711" s="5">
        <v>1274342</v>
      </c>
      <c r="L3711" s="5">
        <v>15652740</v>
      </c>
      <c r="M3711" s="5">
        <v>2219799</v>
      </c>
      <c r="N3711" s="5">
        <v>0.15379999999999999</v>
      </c>
      <c r="O3711" s="5">
        <v>8</v>
      </c>
      <c r="P3711" s="5">
        <v>502191</v>
      </c>
    </row>
    <row r="3712" spans="1:16" x14ac:dyDescent="0.3">
      <c r="A3712" s="5">
        <v>25</v>
      </c>
      <c r="B3712" s="5" t="s">
        <v>151</v>
      </c>
      <c r="C3712" s="5">
        <v>3</v>
      </c>
      <c r="D3712" s="5" t="s">
        <v>85</v>
      </c>
      <c r="E3712" s="5">
        <v>2022</v>
      </c>
      <c r="F3712" s="5">
        <v>1</v>
      </c>
      <c r="G3712" s="5" t="s">
        <v>34</v>
      </c>
      <c r="H3712" s="5">
        <v>12184961</v>
      </c>
      <c r="I3712" s="5">
        <v>10235119.49</v>
      </c>
      <c r="J3712" s="5">
        <v>202</v>
      </c>
      <c r="K3712" s="5">
        <v>834332</v>
      </c>
      <c r="L3712" s="5">
        <v>12972810</v>
      </c>
      <c r="M3712" s="5">
        <v>1949841.51</v>
      </c>
      <c r="N3712" s="5">
        <v>0.16</v>
      </c>
      <c r="O3712" s="5">
        <v>20</v>
      </c>
      <c r="P3712" s="5">
        <v>575063</v>
      </c>
    </row>
    <row r="3713" spans="1:16" x14ac:dyDescent="0.3">
      <c r="A3713" s="5">
        <v>25</v>
      </c>
      <c r="B3713" s="5" t="s">
        <v>151</v>
      </c>
      <c r="C3713" s="5">
        <v>3</v>
      </c>
      <c r="D3713" s="5" t="s">
        <v>85</v>
      </c>
      <c r="E3713" s="5">
        <v>2022</v>
      </c>
      <c r="F3713" s="5">
        <v>2</v>
      </c>
      <c r="G3713" s="5" t="s">
        <v>35</v>
      </c>
      <c r="H3713" s="5">
        <v>10360506</v>
      </c>
      <c r="I3713" s="5">
        <v>8681866.4000000004</v>
      </c>
      <c r="J3713" s="5">
        <v>178</v>
      </c>
      <c r="K3713" s="5">
        <v>927888</v>
      </c>
      <c r="L3713" s="5">
        <v>11246320</v>
      </c>
      <c r="M3713" s="5">
        <v>1678639.6</v>
      </c>
      <c r="N3713" s="5">
        <v>0.16200000000000001</v>
      </c>
      <c r="O3713" s="5">
        <v>20</v>
      </c>
      <c r="P3713" s="5">
        <v>686005</v>
      </c>
    </row>
    <row r="3714" spans="1:16" x14ac:dyDescent="0.3">
      <c r="A3714" s="5">
        <v>25</v>
      </c>
      <c r="B3714" s="5" t="s">
        <v>151</v>
      </c>
      <c r="C3714" s="5">
        <v>3</v>
      </c>
      <c r="D3714" s="5" t="s">
        <v>85</v>
      </c>
      <c r="E3714" s="5">
        <v>2022</v>
      </c>
      <c r="F3714" s="5">
        <v>3</v>
      </c>
      <c r="G3714" s="5" t="s">
        <v>36</v>
      </c>
      <c r="H3714" s="5">
        <v>15536337</v>
      </c>
      <c r="I3714" s="5">
        <v>13185827.98</v>
      </c>
      <c r="J3714" s="5">
        <v>231</v>
      </c>
      <c r="K3714" s="5">
        <v>1476542</v>
      </c>
      <c r="L3714" s="5">
        <v>16960670</v>
      </c>
      <c r="M3714" s="5">
        <v>2350509.02</v>
      </c>
      <c r="N3714" s="5">
        <v>0.15129999999999999</v>
      </c>
      <c r="O3714" s="5">
        <v>18</v>
      </c>
      <c r="P3714" s="5">
        <v>396987</v>
      </c>
    </row>
    <row r="3715" spans="1:16" x14ac:dyDescent="0.3">
      <c r="A3715" s="5">
        <v>25</v>
      </c>
      <c r="B3715" s="5" t="s">
        <v>151</v>
      </c>
      <c r="C3715" s="5">
        <v>3</v>
      </c>
      <c r="D3715" s="5" t="s">
        <v>85</v>
      </c>
      <c r="E3715" s="5">
        <v>2022</v>
      </c>
      <c r="F3715" s="5">
        <v>4</v>
      </c>
      <c r="G3715" s="5" t="s">
        <v>37</v>
      </c>
      <c r="H3715" s="5">
        <v>17927652</v>
      </c>
      <c r="I3715" s="5">
        <v>15412381.18</v>
      </c>
      <c r="J3715" s="5">
        <v>229</v>
      </c>
      <c r="K3715" s="5">
        <v>1809681</v>
      </c>
      <c r="L3715" s="5">
        <v>19657850</v>
      </c>
      <c r="M3715" s="5">
        <v>2515270.8199999998</v>
      </c>
      <c r="N3715" s="5">
        <v>0.14030000000000001</v>
      </c>
      <c r="O3715" s="5">
        <v>25</v>
      </c>
      <c r="P3715" s="5">
        <v>1068689</v>
      </c>
    </row>
    <row r="3716" spans="1:16" x14ac:dyDescent="0.3">
      <c r="A3716" s="5">
        <v>25</v>
      </c>
      <c r="B3716" s="5" t="s">
        <v>151</v>
      </c>
      <c r="C3716" s="5">
        <v>3</v>
      </c>
      <c r="D3716" s="5" t="s">
        <v>85</v>
      </c>
      <c r="E3716" s="5">
        <v>2022</v>
      </c>
      <c r="F3716" s="5">
        <v>5</v>
      </c>
      <c r="G3716" s="5" t="s">
        <v>38</v>
      </c>
      <c r="H3716" s="5">
        <v>19001222</v>
      </c>
      <c r="I3716" s="5">
        <v>16577868.550000001</v>
      </c>
      <c r="J3716" s="5">
        <v>284</v>
      </c>
      <c r="K3716" s="5">
        <v>2433819</v>
      </c>
      <c r="L3716" s="5">
        <v>21368750</v>
      </c>
      <c r="M3716" s="5">
        <v>2423353.4500000002</v>
      </c>
      <c r="N3716" s="5">
        <v>0.1275</v>
      </c>
      <c r="O3716" s="5">
        <v>21</v>
      </c>
      <c r="P3716" s="5">
        <v>666043</v>
      </c>
    </row>
    <row r="3717" spans="1:16" x14ac:dyDescent="0.3">
      <c r="A3717" s="5">
        <v>25</v>
      </c>
      <c r="B3717" s="5" t="s">
        <v>151</v>
      </c>
      <c r="C3717" s="5">
        <v>3</v>
      </c>
      <c r="D3717" s="5" t="s">
        <v>85</v>
      </c>
      <c r="E3717" s="5">
        <v>2022</v>
      </c>
      <c r="F3717" s="5">
        <v>6</v>
      </c>
      <c r="G3717" s="5" t="s">
        <v>39</v>
      </c>
      <c r="H3717" s="5">
        <v>17301417</v>
      </c>
      <c r="I3717" s="5">
        <v>14462982.24</v>
      </c>
      <c r="J3717" s="5">
        <v>240</v>
      </c>
      <c r="K3717" s="5">
        <v>1395670</v>
      </c>
      <c r="L3717" s="5">
        <v>18630030</v>
      </c>
      <c r="M3717" s="5">
        <v>2838434.76</v>
      </c>
      <c r="N3717" s="5">
        <v>0.1641</v>
      </c>
      <c r="O3717" s="5">
        <v>16</v>
      </c>
      <c r="P3717" s="5">
        <v>337556</v>
      </c>
    </row>
    <row r="3718" spans="1:16" x14ac:dyDescent="0.3">
      <c r="A3718" s="5">
        <v>25</v>
      </c>
      <c r="B3718" s="5" t="s">
        <v>151</v>
      </c>
      <c r="C3718" s="5">
        <v>3</v>
      </c>
      <c r="D3718" s="5" t="s">
        <v>85</v>
      </c>
      <c r="E3718" s="5">
        <v>2022</v>
      </c>
      <c r="F3718" s="5">
        <v>7</v>
      </c>
      <c r="G3718" s="5" t="s">
        <v>40</v>
      </c>
      <c r="H3718" s="5">
        <v>14925142</v>
      </c>
      <c r="I3718" s="5">
        <v>13271257.24</v>
      </c>
      <c r="J3718" s="5">
        <v>236</v>
      </c>
      <c r="K3718" s="5">
        <v>2163059</v>
      </c>
      <c r="L3718" s="5">
        <v>17040190</v>
      </c>
      <c r="M3718" s="5">
        <v>1653884.76</v>
      </c>
      <c r="N3718" s="5">
        <v>0.1108</v>
      </c>
      <c r="O3718" s="5">
        <v>18</v>
      </c>
      <c r="P3718" s="5">
        <v>646635</v>
      </c>
    </row>
    <row r="3719" spans="1:16" x14ac:dyDescent="0.3">
      <c r="A3719" s="5">
        <v>25</v>
      </c>
      <c r="B3719" s="5" t="s">
        <v>151</v>
      </c>
      <c r="C3719" s="5">
        <v>3</v>
      </c>
      <c r="D3719" s="5" t="s">
        <v>85</v>
      </c>
      <c r="E3719" s="5">
        <v>2022</v>
      </c>
      <c r="F3719" s="5">
        <v>8</v>
      </c>
      <c r="G3719" s="5" t="s">
        <v>41</v>
      </c>
      <c r="H3719" s="5">
        <v>14607407</v>
      </c>
      <c r="I3719" s="5">
        <v>13835104.310000001</v>
      </c>
      <c r="J3719" s="5">
        <v>254</v>
      </c>
      <c r="K3719" s="5">
        <v>3437114</v>
      </c>
      <c r="L3719" s="5">
        <v>17981090</v>
      </c>
      <c r="M3719" s="5">
        <v>772302.69</v>
      </c>
      <c r="N3719" s="5">
        <v>5.2900000000000003E-2</v>
      </c>
      <c r="O3719" s="5">
        <v>16</v>
      </c>
      <c r="P3719" s="5">
        <v>266399</v>
      </c>
    </row>
    <row r="3720" spans="1:16" x14ac:dyDescent="0.3">
      <c r="A3720" s="5">
        <v>25</v>
      </c>
      <c r="B3720" s="5" t="s">
        <v>151</v>
      </c>
      <c r="C3720" s="5">
        <v>3</v>
      </c>
      <c r="D3720" s="5" t="s">
        <v>85</v>
      </c>
      <c r="E3720" s="5">
        <v>2022</v>
      </c>
      <c r="F3720" s="5">
        <v>9</v>
      </c>
      <c r="G3720" s="5" t="s">
        <v>42</v>
      </c>
      <c r="H3720" s="5">
        <v>18914887</v>
      </c>
      <c r="I3720" s="5">
        <v>16491901.800000001</v>
      </c>
      <c r="J3720" s="5">
        <v>279</v>
      </c>
      <c r="K3720" s="5">
        <v>2375029</v>
      </c>
      <c r="L3720" s="5">
        <v>21231460</v>
      </c>
      <c r="M3720" s="5">
        <v>2422985.2000000002</v>
      </c>
      <c r="N3720" s="5">
        <v>0.12809999999999999</v>
      </c>
      <c r="O3720" s="5">
        <v>25</v>
      </c>
      <c r="P3720" s="5">
        <v>729443</v>
      </c>
    </row>
    <row r="3721" spans="1:16" x14ac:dyDescent="0.3">
      <c r="A3721" s="5">
        <v>25</v>
      </c>
      <c r="B3721" s="5" t="s">
        <v>151</v>
      </c>
      <c r="C3721" s="5">
        <v>3</v>
      </c>
      <c r="D3721" s="5" t="s">
        <v>85</v>
      </c>
      <c r="E3721" s="5">
        <v>2022</v>
      </c>
      <c r="F3721" s="5">
        <v>10</v>
      </c>
      <c r="G3721" s="5" t="s">
        <v>43</v>
      </c>
      <c r="H3721" s="5">
        <v>20285217</v>
      </c>
      <c r="I3721" s="5">
        <v>17853535.77</v>
      </c>
      <c r="J3721" s="5">
        <v>339</v>
      </c>
      <c r="K3721" s="5">
        <v>2915748</v>
      </c>
      <c r="L3721" s="5">
        <v>23100720</v>
      </c>
      <c r="M3721" s="5">
        <v>2431681.23</v>
      </c>
      <c r="N3721" s="5">
        <v>0.11990000000000001</v>
      </c>
      <c r="O3721" s="5">
        <v>30</v>
      </c>
      <c r="P3721" s="5">
        <v>523240</v>
      </c>
    </row>
    <row r="3722" spans="1:16" x14ac:dyDescent="0.3">
      <c r="A3722" s="5">
        <v>25</v>
      </c>
      <c r="B3722" s="5" t="s">
        <v>151</v>
      </c>
      <c r="C3722" s="5">
        <v>3</v>
      </c>
      <c r="D3722" s="5" t="s">
        <v>85</v>
      </c>
      <c r="E3722" s="5">
        <v>2022</v>
      </c>
      <c r="F3722" s="5">
        <v>11</v>
      </c>
      <c r="G3722" s="5" t="s">
        <v>44</v>
      </c>
      <c r="H3722" s="5">
        <v>23386753</v>
      </c>
      <c r="I3722" s="5">
        <v>19663899.18</v>
      </c>
      <c r="J3722" s="5">
        <v>355</v>
      </c>
      <c r="K3722" s="5">
        <v>1993671</v>
      </c>
      <c r="L3722" s="5">
        <v>25296030</v>
      </c>
      <c r="M3722" s="5">
        <v>3722853.82</v>
      </c>
      <c r="N3722" s="5">
        <v>0.15920000000000001</v>
      </c>
      <c r="O3722" s="5">
        <v>27</v>
      </c>
      <c r="P3722" s="5">
        <v>659714</v>
      </c>
    </row>
    <row r="3723" spans="1:16" x14ac:dyDescent="0.3">
      <c r="A3723" s="5">
        <v>25</v>
      </c>
      <c r="B3723" s="5" t="s">
        <v>151</v>
      </c>
      <c r="C3723" s="5">
        <v>3</v>
      </c>
      <c r="D3723" s="5" t="s">
        <v>85</v>
      </c>
      <c r="E3723" s="5">
        <v>2022</v>
      </c>
      <c r="F3723" s="5">
        <v>12</v>
      </c>
      <c r="G3723" s="5" t="s">
        <v>45</v>
      </c>
      <c r="H3723" s="5">
        <v>25554041</v>
      </c>
      <c r="I3723" s="5">
        <v>21311738.23</v>
      </c>
      <c r="J3723" s="5">
        <v>343</v>
      </c>
      <c r="K3723" s="5">
        <v>1713722</v>
      </c>
      <c r="L3723" s="5">
        <v>27203510</v>
      </c>
      <c r="M3723" s="5">
        <v>4242302.7699999996</v>
      </c>
      <c r="N3723" s="5">
        <v>0.16600000000000001</v>
      </c>
      <c r="O3723" s="5">
        <v>25</v>
      </c>
      <c r="P3723" s="5">
        <v>591517</v>
      </c>
    </row>
    <row r="3724" spans="1:16" x14ac:dyDescent="0.3">
      <c r="A3724" s="5">
        <v>25</v>
      </c>
      <c r="B3724" s="5" t="s">
        <v>151</v>
      </c>
      <c r="C3724" s="5">
        <v>3</v>
      </c>
      <c r="D3724" s="5" t="s">
        <v>85</v>
      </c>
      <c r="E3724" s="5">
        <v>2023</v>
      </c>
      <c r="F3724" s="5">
        <v>1</v>
      </c>
      <c r="G3724" s="5" t="s">
        <v>46</v>
      </c>
      <c r="H3724" s="5">
        <v>19392029</v>
      </c>
      <c r="I3724" s="5">
        <v>17156053.129999999</v>
      </c>
      <c r="J3724" s="5">
        <v>280</v>
      </c>
      <c r="K3724" s="5">
        <v>2677134</v>
      </c>
      <c r="L3724" s="5">
        <v>22011660</v>
      </c>
      <c r="M3724" s="5">
        <v>2235975.87</v>
      </c>
      <c r="N3724" s="5">
        <v>0.1153</v>
      </c>
      <c r="O3724" s="5">
        <v>19</v>
      </c>
      <c r="P3724" s="5">
        <v>567293</v>
      </c>
    </row>
    <row r="3725" spans="1:16" x14ac:dyDescent="0.3">
      <c r="A3725" s="5">
        <v>25</v>
      </c>
      <c r="B3725" s="5" t="s">
        <v>151</v>
      </c>
      <c r="C3725" s="5">
        <v>3</v>
      </c>
      <c r="D3725" s="5" t="s">
        <v>85</v>
      </c>
      <c r="E3725" s="5">
        <v>2023</v>
      </c>
      <c r="F3725" s="5">
        <v>2</v>
      </c>
      <c r="G3725" s="5" t="s">
        <v>47</v>
      </c>
      <c r="H3725" s="5">
        <v>16768765</v>
      </c>
      <c r="I3725" s="5">
        <v>14200835.57</v>
      </c>
      <c r="J3725" s="5">
        <v>263</v>
      </c>
      <c r="K3725" s="5">
        <v>1595948</v>
      </c>
      <c r="L3725" s="5">
        <v>18309120</v>
      </c>
      <c r="M3725" s="5">
        <v>2567929.4300000002</v>
      </c>
      <c r="N3725" s="5">
        <v>0.15310000000000001</v>
      </c>
      <c r="O3725" s="5">
        <v>18</v>
      </c>
      <c r="P3725" s="5">
        <v>557987</v>
      </c>
    </row>
    <row r="3726" spans="1:16" x14ac:dyDescent="0.3">
      <c r="A3726" s="5">
        <v>25</v>
      </c>
      <c r="B3726" s="5" t="s">
        <v>151</v>
      </c>
      <c r="C3726" s="5">
        <v>3</v>
      </c>
      <c r="D3726" s="5" t="s">
        <v>85</v>
      </c>
      <c r="E3726" s="5">
        <v>2023</v>
      </c>
      <c r="F3726" s="5">
        <v>3</v>
      </c>
      <c r="G3726" s="5" t="s">
        <v>48</v>
      </c>
      <c r="H3726" s="5">
        <v>19280138</v>
      </c>
      <c r="I3726" s="5">
        <v>16667455.68</v>
      </c>
      <c r="J3726" s="5">
        <v>296</v>
      </c>
      <c r="K3726" s="5">
        <v>2424419</v>
      </c>
      <c r="L3726" s="5">
        <v>21638090</v>
      </c>
      <c r="M3726" s="5">
        <v>2612682.3199999998</v>
      </c>
      <c r="N3726" s="5">
        <v>0.13550000000000001</v>
      </c>
      <c r="O3726" s="5">
        <v>22</v>
      </c>
      <c r="P3726" s="5">
        <v>508289</v>
      </c>
    </row>
    <row r="3727" spans="1:16" x14ac:dyDescent="0.3">
      <c r="A3727" s="5">
        <v>25</v>
      </c>
      <c r="B3727" s="5" t="s">
        <v>151</v>
      </c>
      <c r="C3727" s="5">
        <v>3</v>
      </c>
      <c r="D3727" s="5" t="s">
        <v>85</v>
      </c>
      <c r="E3727" s="5">
        <v>2023</v>
      </c>
      <c r="F3727" s="5">
        <v>4</v>
      </c>
      <c r="G3727" s="5" t="s">
        <v>49</v>
      </c>
      <c r="H3727" s="5">
        <v>17630936</v>
      </c>
      <c r="I3727" s="5">
        <v>15207347.800000001</v>
      </c>
      <c r="J3727" s="5">
        <v>316</v>
      </c>
      <c r="K3727" s="5">
        <v>2103125</v>
      </c>
      <c r="L3727" s="5">
        <v>19685900</v>
      </c>
      <c r="M3727" s="5">
        <v>2423588.2000000002</v>
      </c>
      <c r="N3727" s="5">
        <v>0.13750000000000001</v>
      </c>
      <c r="O3727" s="5">
        <v>20</v>
      </c>
      <c r="P3727" s="5">
        <v>781181</v>
      </c>
    </row>
    <row r="3728" spans="1:16" x14ac:dyDescent="0.3">
      <c r="A3728" s="5">
        <v>25</v>
      </c>
      <c r="B3728" s="5" t="s">
        <v>151</v>
      </c>
      <c r="C3728" s="5">
        <v>3</v>
      </c>
      <c r="D3728" s="5" t="s">
        <v>85</v>
      </c>
      <c r="E3728" s="5">
        <v>2023</v>
      </c>
      <c r="F3728" s="5">
        <v>5</v>
      </c>
      <c r="G3728" s="5" t="s">
        <v>50</v>
      </c>
      <c r="H3728" s="5">
        <v>22841728</v>
      </c>
      <c r="I3728" s="5">
        <v>19676830.489999998</v>
      </c>
      <c r="J3728" s="5">
        <v>340</v>
      </c>
      <c r="K3728" s="5">
        <v>2614955</v>
      </c>
      <c r="L3728" s="5">
        <v>25381990</v>
      </c>
      <c r="M3728" s="5">
        <v>3164897.51</v>
      </c>
      <c r="N3728" s="5">
        <v>0.1386</v>
      </c>
      <c r="O3728" s="5">
        <v>36</v>
      </c>
      <c r="P3728" s="5">
        <v>1333435</v>
      </c>
    </row>
    <row r="3729" spans="1:16" x14ac:dyDescent="0.3">
      <c r="A3729" s="5">
        <v>25</v>
      </c>
      <c r="B3729" s="5" t="s">
        <v>151</v>
      </c>
      <c r="C3729" s="5">
        <v>3</v>
      </c>
      <c r="D3729" s="5" t="s">
        <v>85</v>
      </c>
      <c r="E3729" s="5">
        <v>2023</v>
      </c>
      <c r="F3729" s="5">
        <v>6</v>
      </c>
      <c r="G3729" s="5" t="s">
        <v>51</v>
      </c>
      <c r="H3729" s="5">
        <v>22773553</v>
      </c>
      <c r="I3729" s="5">
        <v>19438961.079999998</v>
      </c>
      <c r="J3729" s="5">
        <v>325</v>
      </c>
      <c r="K3729" s="5">
        <v>2296548</v>
      </c>
      <c r="L3729" s="5">
        <v>24992220</v>
      </c>
      <c r="M3729" s="5">
        <v>3334591.92</v>
      </c>
      <c r="N3729" s="5">
        <v>0.1464</v>
      </c>
      <c r="O3729" s="5">
        <v>28</v>
      </c>
      <c r="P3729" s="5">
        <v>713753</v>
      </c>
    </row>
    <row r="3730" spans="1:16" x14ac:dyDescent="0.3">
      <c r="A3730" s="5">
        <v>25</v>
      </c>
      <c r="B3730" s="5" t="s">
        <v>151</v>
      </c>
      <c r="C3730" s="5">
        <v>3</v>
      </c>
      <c r="D3730" s="5" t="s">
        <v>85</v>
      </c>
      <c r="E3730" s="5">
        <v>2023</v>
      </c>
      <c r="F3730" s="5">
        <v>7</v>
      </c>
      <c r="G3730" s="5" t="s">
        <v>52</v>
      </c>
      <c r="H3730" s="5">
        <v>19814447</v>
      </c>
      <c r="I3730" s="5">
        <v>17137757.940000001</v>
      </c>
      <c r="J3730" s="5">
        <v>324</v>
      </c>
      <c r="K3730" s="5">
        <v>2397881</v>
      </c>
      <c r="L3730" s="5">
        <v>22139900</v>
      </c>
      <c r="M3730" s="5">
        <v>2676689.06</v>
      </c>
      <c r="N3730" s="5">
        <v>0.1351</v>
      </c>
      <c r="O3730" s="5">
        <v>24</v>
      </c>
      <c r="P3730" s="5">
        <v>703647</v>
      </c>
    </row>
    <row r="3731" spans="1:16" x14ac:dyDescent="0.3">
      <c r="A3731" s="5">
        <v>25</v>
      </c>
      <c r="B3731" s="5" t="s">
        <v>151</v>
      </c>
      <c r="C3731" s="5">
        <v>3</v>
      </c>
      <c r="D3731" s="5" t="s">
        <v>85</v>
      </c>
      <c r="E3731" s="5">
        <v>2023</v>
      </c>
      <c r="F3731" s="5">
        <v>8</v>
      </c>
      <c r="G3731" s="5" t="s">
        <v>53</v>
      </c>
      <c r="H3731" s="5">
        <v>18717080</v>
      </c>
      <c r="I3731" s="5">
        <v>16917624.940000001</v>
      </c>
      <c r="J3731" s="5">
        <v>289</v>
      </c>
      <c r="K3731" s="5">
        <v>2849631</v>
      </c>
      <c r="L3731" s="5">
        <v>21476840</v>
      </c>
      <c r="M3731" s="5">
        <v>1799455.06</v>
      </c>
      <c r="N3731" s="5">
        <v>9.6100000000000005E-2</v>
      </c>
      <c r="O3731" s="5">
        <v>29</v>
      </c>
      <c r="P3731" s="5">
        <v>673340</v>
      </c>
    </row>
    <row r="3732" spans="1:16" x14ac:dyDescent="0.3">
      <c r="A3732" s="5">
        <v>25</v>
      </c>
      <c r="B3732" s="5" t="s">
        <v>151</v>
      </c>
      <c r="C3732" s="5">
        <v>3</v>
      </c>
      <c r="D3732" s="5" t="s">
        <v>85</v>
      </c>
      <c r="E3732" s="5">
        <v>2023</v>
      </c>
      <c r="F3732" s="5">
        <v>9</v>
      </c>
      <c r="G3732" s="5" t="s">
        <v>54</v>
      </c>
      <c r="H3732" s="5">
        <v>22928675</v>
      </c>
      <c r="I3732" s="5">
        <v>20490618.120000001</v>
      </c>
      <c r="J3732" s="5">
        <v>339</v>
      </c>
      <c r="K3732" s="5">
        <v>3480526</v>
      </c>
      <c r="L3732" s="5">
        <v>26310940</v>
      </c>
      <c r="M3732" s="5">
        <v>2438056.88</v>
      </c>
      <c r="N3732" s="5">
        <v>0.10630000000000001</v>
      </c>
      <c r="O3732" s="5">
        <v>19</v>
      </c>
      <c r="P3732" s="5">
        <v>525467</v>
      </c>
    </row>
    <row r="3733" spans="1:16" x14ac:dyDescent="0.3">
      <c r="A3733" s="5">
        <v>25</v>
      </c>
      <c r="B3733" s="5" t="s">
        <v>151</v>
      </c>
      <c r="C3733" s="5">
        <v>3</v>
      </c>
      <c r="D3733" s="5" t="s">
        <v>85</v>
      </c>
      <c r="E3733" s="5">
        <v>2023</v>
      </c>
      <c r="F3733" s="5">
        <v>10</v>
      </c>
      <c r="G3733" s="5" t="s">
        <v>55</v>
      </c>
      <c r="H3733" s="5">
        <v>26197979</v>
      </c>
      <c r="I3733" s="5">
        <v>22320748.050000001</v>
      </c>
      <c r="J3733" s="5">
        <v>396</v>
      </c>
      <c r="K3733" s="5">
        <v>2641717</v>
      </c>
      <c r="L3733" s="5">
        <v>28761150</v>
      </c>
      <c r="M3733" s="5">
        <v>3877230.95</v>
      </c>
      <c r="N3733" s="5">
        <v>0.14799999999999999</v>
      </c>
      <c r="O3733" s="5">
        <v>30</v>
      </c>
      <c r="P3733" s="5">
        <v>847870</v>
      </c>
    </row>
    <row r="3734" spans="1:16" x14ac:dyDescent="0.3">
      <c r="A3734" s="5">
        <v>25</v>
      </c>
      <c r="B3734" s="5" t="s">
        <v>151</v>
      </c>
      <c r="C3734" s="5">
        <v>3</v>
      </c>
      <c r="D3734" s="5" t="s">
        <v>85</v>
      </c>
      <c r="E3734" s="5">
        <v>2023</v>
      </c>
      <c r="F3734" s="5">
        <v>11</v>
      </c>
      <c r="G3734" s="5" t="s">
        <v>56</v>
      </c>
      <c r="H3734" s="5">
        <v>26191348</v>
      </c>
      <c r="I3734" s="5">
        <v>23311820.09</v>
      </c>
      <c r="J3734" s="5">
        <v>433</v>
      </c>
      <c r="K3734" s="5">
        <v>4016304</v>
      </c>
      <c r="L3734" s="5">
        <v>30113520</v>
      </c>
      <c r="M3734" s="5">
        <v>2879527.91</v>
      </c>
      <c r="N3734" s="5">
        <v>0.1099</v>
      </c>
      <c r="O3734" s="5">
        <v>32</v>
      </c>
      <c r="P3734" s="5">
        <v>487525</v>
      </c>
    </row>
    <row r="3735" spans="1:16" x14ac:dyDescent="0.3">
      <c r="A3735" s="5">
        <v>25</v>
      </c>
      <c r="B3735" s="5" t="s">
        <v>151</v>
      </c>
      <c r="C3735" s="5">
        <v>3</v>
      </c>
      <c r="D3735" s="5" t="s">
        <v>85</v>
      </c>
      <c r="E3735" s="5">
        <v>2023</v>
      </c>
      <c r="F3735" s="5">
        <v>12</v>
      </c>
      <c r="G3735" s="5" t="s">
        <v>57</v>
      </c>
      <c r="H3735" s="5">
        <v>30878399</v>
      </c>
      <c r="I3735" s="5">
        <v>27796895.620000001</v>
      </c>
      <c r="J3735" s="5">
        <v>466</v>
      </c>
      <c r="K3735" s="5">
        <v>5032679</v>
      </c>
      <c r="L3735" s="5">
        <v>35790820</v>
      </c>
      <c r="M3735" s="5">
        <v>3081503.38</v>
      </c>
      <c r="N3735" s="5">
        <v>9.98E-2</v>
      </c>
      <c r="O3735" s="5">
        <v>33</v>
      </c>
      <c r="P3735" s="5">
        <v>861427</v>
      </c>
    </row>
    <row r="3736" spans="1:16" x14ac:dyDescent="0.3">
      <c r="A3736" s="5">
        <v>25</v>
      </c>
      <c r="B3736" s="5" t="s">
        <v>151</v>
      </c>
      <c r="C3736" s="5">
        <v>3</v>
      </c>
      <c r="D3736" s="5" t="s">
        <v>85</v>
      </c>
      <c r="E3736" s="5">
        <v>2024</v>
      </c>
      <c r="F3736" s="5">
        <v>1</v>
      </c>
      <c r="G3736" s="5" t="s">
        <v>58</v>
      </c>
      <c r="H3736" s="5">
        <v>19765585</v>
      </c>
      <c r="I3736" s="5">
        <v>17373656.469999999</v>
      </c>
      <c r="J3736" s="5">
        <v>299</v>
      </c>
      <c r="K3736" s="5">
        <v>2776577</v>
      </c>
      <c r="L3736" s="5">
        <v>22487720</v>
      </c>
      <c r="M3736" s="5">
        <v>2391928.5299999998</v>
      </c>
      <c r="N3736" s="5">
        <v>0.121</v>
      </c>
      <c r="O3736" s="5">
        <v>36</v>
      </c>
      <c r="P3736" s="5">
        <v>1018653</v>
      </c>
    </row>
    <row r="3737" spans="1:16" x14ac:dyDescent="0.3">
      <c r="A3737" s="5">
        <v>25</v>
      </c>
      <c r="B3737" s="5" t="s">
        <v>151</v>
      </c>
      <c r="C3737" s="5">
        <v>3</v>
      </c>
      <c r="D3737" s="5" t="s">
        <v>85</v>
      </c>
      <c r="E3737" s="5">
        <v>2024</v>
      </c>
      <c r="F3737" s="5">
        <v>2</v>
      </c>
      <c r="G3737" s="5" t="s">
        <v>59</v>
      </c>
      <c r="H3737" s="5">
        <v>20295302</v>
      </c>
      <c r="I3737" s="5">
        <v>17475251.670000002</v>
      </c>
      <c r="J3737" s="5">
        <v>278</v>
      </c>
      <c r="K3737" s="5">
        <v>2184337</v>
      </c>
      <c r="L3737" s="5">
        <v>22420770</v>
      </c>
      <c r="M3737" s="5">
        <v>2820050.33</v>
      </c>
      <c r="N3737" s="5">
        <v>0.13900000000000001</v>
      </c>
      <c r="O3737" s="5">
        <v>18</v>
      </c>
      <c r="P3737" s="5">
        <v>487576</v>
      </c>
    </row>
    <row r="3738" spans="1:16" x14ac:dyDescent="0.3">
      <c r="A3738" s="5">
        <v>25</v>
      </c>
      <c r="B3738" s="5" t="s">
        <v>151</v>
      </c>
      <c r="C3738" s="5">
        <v>3</v>
      </c>
      <c r="D3738" s="5" t="s">
        <v>85</v>
      </c>
      <c r="E3738" s="5">
        <v>2024</v>
      </c>
      <c r="F3738" s="5">
        <v>3</v>
      </c>
      <c r="G3738" s="5" t="s">
        <v>60</v>
      </c>
      <c r="H3738" s="5">
        <v>21883427</v>
      </c>
      <c r="I3738" s="5">
        <v>19155164.620000001</v>
      </c>
      <c r="J3738" s="5">
        <v>332</v>
      </c>
      <c r="K3738" s="5">
        <v>2680270</v>
      </c>
      <c r="L3738" s="5">
        <v>24494540</v>
      </c>
      <c r="M3738" s="5">
        <v>2728262.38</v>
      </c>
      <c r="N3738" s="5">
        <v>0.12470000000000001</v>
      </c>
      <c r="O3738" s="5">
        <v>28</v>
      </c>
      <c r="P3738" s="5">
        <v>563418</v>
      </c>
    </row>
    <row r="3739" spans="1:16" x14ac:dyDescent="0.3">
      <c r="A3739" s="5">
        <v>25</v>
      </c>
      <c r="B3739" s="5" t="s">
        <v>151</v>
      </c>
      <c r="C3739" s="5">
        <v>3</v>
      </c>
      <c r="D3739" s="5" t="s">
        <v>85</v>
      </c>
      <c r="E3739" s="5">
        <v>2024</v>
      </c>
      <c r="F3739" s="5">
        <v>4</v>
      </c>
      <c r="G3739" s="5" t="s">
        <v>61</v>
      </c>
      <c r="H3739" s="5">
        <v>20029203</v>
      </c>
      <c r="I3739" s="5">
        <v>17089010.620000001</v>
      </c>
      <c r="J3739" s="5">
        <v>300</v>
      </c>
      <c r="K3739" s="5">
        <v>2163661</v>
      </c>
      <c r="L3739" s="5">
        <v>22120810</v>
      </c>
      <c r="M3739" s="5">
        <v>2940192.38</v>
      </c>
      <c r="N3739" s="5">
        <v>0.14680000000000001</v>
      </c>
      <c r="O3739" s="5">
        <v>30</v>
      </c>
      <c r="P3739" s="5">
        <v>1206834</v>
      </c>
    </row>
    <row r="3740" spans="1:16" x14ac:dyDescent="0.3">
      <c r="A3740" s="5">
        <v>25</v>
      </c>
      <c r="B3740" s="5" t="s">
        <v>151</v>
      </c>
      <c r="C3740" s="5">
        <v>3</v>
      </c>
      <c r="D3740" s="5" t="s">
        <v>85</v>
      </c>
      <c r="E3740" s="5">
        <v>2024</v>
      </c>
      <c r="F3740" s="5">
        <v>5</v>
      </c>
      <c r="G3740" s="5" t="s">
        <v>62</v>
      </c>
      <c r="H3740" s="5">
        <v>24485104</v>
      </c>
      <c r="I3740" s="5">
        <v>21527252.719999999</v>
      </c>
      <c r="J3740" s="5">
        <v>358</v>
      </c>
      <c r="K3740" s="5">
        <v>3131641</v>
      </c>
      <c r="L3740" s="5">
        <v>27547280</v>
      </c>
      <c r="M3740" s="5">
        <v>2957851.28</v>
      </c>
      <c r="N3740" s="5">
        <v>0.1208</v>
      </c>
      <c r="O3740" s="5">
        <v>32</v>
      </c>
      <c r="P3740" s="5">
        <v>872192</v>
      </c>
    </row>
    <row r="3741" spans="1:16" x14ac:dyDescent="0.3">
      <c r="A3741" s="5">
        <v>25</v>
      </c>
      <c r="B3741" s="5" t="s">
        <v>151</v>
      </c>
      <c r="C3741" s="5">
        <v>3</v>
      </c>
      <c r="D3741" s="5" t="s">
        <v>85</v>
      </c>
      <c r="E3741" s="5">
        <v>2024</v>
      </c>
      <c r="F3741" s="5">
        <v>6</v>
      </c>
      <c r="G3741" s="5" t="s">
        <v>63</v>
      </c>
      <c r="H3741" s="5">
        <v>28496059</v>
      </c>
      <c r="I3741" s="5">
        <v>23783171.23</v>
      </c>
      <c r="J3741" s="5">
        <v>392</v>
      </c>
      <c r="K3741" s="5">
        <v>2118039</v>
      </c>
      <c r="L3741" s="5">
        <v>30524180</v>
      </c>
      <c r="M3741" s="5">
        <v>4712887.7699999996</v>
      </c>
      <c r="N3741" s="5">
        <v>0.16539999999999999</v>
      </c>
      <c r="O3741" s="5">
        <v>38</v>
      </c>
      <c r="P3741" s="5">
        <v>1110555</v>
      </c>
    </row>
    <row r="3742" spans="1:16" x14ac:dyDescent="0.3">
      <c r="A3742" s="5">
        <v>25</v>
      </c>
      <c r="B3742" s="5" t="s">
        <v>151</v>
      </c>
      <c r="C3742" s="5">
        <v>3</v>
      </c>
      <c r="D3742" s="5" t="s">
        <v>85</v>
      </c>
      <c r="E3742" s="5">
        <v>2024</v>
      </c>
      <c r="F3742" s="5">
        <v>7</v>
      </c>
      <c r="G3742" s="5" t="s">
        <v>64</v>
      </c>
      <c r="H3742" s="5">
        <v>19664885</v>
      </c>
      <c r="I3742" s="5">
        <v>16653542.77</v>
      </c>
      <c r="J3742" s="5">
        <v>323</v>
      </c>
      <c r="K3742" s="5">
        <v>1972258</v>
      </c>
      <c r="L3742" s="5">
        <v>21568630</v>
      </c>
      <c r="M3742" s="5">
        <v>3011342.23</v>
      </c>
      <c r="N3742" s="5">
        <v>0.15310000000000001</v>
      </c>
      <c r="O3742" s="5">
        <v>24</v>
      </c>
      <c r="P3742" s="5">
        <v>657753</v>
      </c>
    </row>
    <row r="3743" spans="1:16" x14ac:dyDescent="0.3">
      <c r="A3743" s="5">
        <v>25</v>
      </c>
      <c r="B3743" s="5" t="s">
        <v>151</v>
      </c>
      <c r="C3743" s="5">
        <v>3</v>
      </c>
      <c r="D3743" s="5" t="s">
        <v>85</v>
      </c>
      <c r="E3743" s="5">
        <v>2024</v>
      </c>
      <c r="F3743" s="5">
        <v>8</v>
      </c>
      <c r="G3743" s="5" t="s">
        <v>65</v>
      </c>
      <c r="H3743" s="5">
        <v>21399080</v>
      </c>
      <c r="I3743" s="5">
        <v>18218844.359999999</v>
      </c>
      <c r="J3743" s="5">
        <v>330</v>
      </c>
      <c r="K3743" s="5">
        <v>2189821</v>
      </c>
      <c r="L3743" s="5">
        <v>23520710</v>
      </c>
      <c r="M3743" s="5">
        <v>3180235.64</v>
      </c>
      <c r="N3743" s="5">
        <v>0.14860000000000001</v>
      </c>
      <c r="O3743" s="5">
        <v>26</v>
      </c>
      <c r="P3743" s="5">
        <v>751617</v>
      </c>
    </row>
    <row r="3744" spans="1:16" x14ac:dyDescent="0.3">
      <c r="A3744" s="5">
        <v>25</v>
      </c>
      <c r="B3744" s="5" t="s">
        <v>151</v>
      </c>
      <c r="C3744" s="5">
        <v>3</v>
      </c>
      <c r="D3744" s="5" t="s">
        <v>85</v>
      </c>
      <c r="E3744" s="5">
        <v>2024</v>
      </c>
      <c r="F3744" s="5">
        <v>9</v>
      </c>
      <c r="G3744" s="5" t="s">
        <v>66</v>
      </c>
      <c r="H3744" s="5">
        <v>30656095</v>
      </c>
      <c r="I3744" s="5">
        <v>25494066.140000001</v>
      </c>
      <c r="J3744" s="5">
        <v>384</v>
      </c>
      <c r="K3744" s="5">
        <v>1900161</v>
      </c>
      <c r="L3744" s="5">
        <v>32438180</v>
      </c>
      <c r="M3744" s="5">
        <v>5162028.8600000003</v>
      </c>
      <c r="N3744" s="5">
        <v>0.16839999999999999</v>
      </c>
      <c r="O3744" s="5">
        <v>22</v>
      </c>
      <c r="P3744" s="5">
        <v>887632</v>
      </c>
    </row>
    <row r="3745" spans="1:16" x14ac:dyDescent="0.3">
      <c r="A3745" s="5">
        <v>25</v>
      </c>
      <c r="B3745" s="5" t="s">
        <v>151</v>
      </c>
      <c r="C3745" s="5">
        <v>3</v>
      </c>
      <c r="D3745" s="5" t="s">
        <v>85</v>
      </c>
      <c r="E3745" s="5">
        <v>2024</v>
      </c>
      <c r="F3745" s="5">
        <v>10</v>
      </c>
      <c r="G3745" s="5" t="s">
        <v>67</v>
      </c>
      <c r="H3745" s="5">
        <v>33554391</v>
      </c>
      <c r="I3745" s="5">
        <v>27098533.690000001</v>
      </c>
      <c r="J3745" s="5">
        <v>502</v>
      </c>
      <c r="K3745" s="5">
        <v>1129507</v>
      </c>
      <c r="L3745" s="5">
        <v>34599090</v>
      </c>
      <c r="M3745" s="5">
        <v>6455857.3099999996</v>
      </c>
      <c r="N3745" s="5">
        <v>0.19239999999999999</v>
      </c>
      <c r="O3745" s="5">
        <v>43</v>
      </c>
      <c r="P3745" s="5">
        <v>961702</v>
      </c>
    </row>
    <row r="3746" spans="1:16" x14ac:dyDescent="0.3">
      <c r="A3746" s="5">
        <v>25</v>
      </c>
      <c r="B3746" s="5" t="s">
        <v>151</v>
      </c>
      <c r="C3746" s="5">
        <v>3</v>
      </c>
      <c r="D3746" s="5" t="s">
        <v>85</v>
      </c>
      <c r="E3746" s="5">
        <v>2024</v>
      </c>
      <c r="F3746" s="5">
        <v>11</v>
      </c>
      <c r="G3746" s="5" t="s">
        <v>68</v>
      </c>
      <c r="H3746" s="5">
        <v>34962209</v>
      </c>
      <c r="I3746" s="5">
        <v>29256535.16</v>
      </c>
      <c r="J3746" s="5">
        <v>500</v>
      </c>
      <c r="K3746" s="5">
        <v>2753290</v>
      </c>
      <c r="L3746" s="5">
        <v>37581590</v>
      </c>
      <c r="M3746" s="5">
        <v>5705673.8399999999</v>
      </c>
      <c r="N3746" s="5">
        <v>0.16320000000000001</v>
      </c>
      <c r="O3746" s="5">
        <v>41</v>
      </c>
      <c r="P3746" s="5">
        <v>850430</v>
      </c>
    </row>
    <row r="3747" spans="1:16" x14ac:dyDescent="0.3">
      <c r="A3747" s="5">
        <v>25</v>
      </c>
      <c r="B3747" s="5" t="s">
        <v>151</v>
      </c>
      <c r="C3747" s="5">
        <v>3</v>
      </c>
      <c r="D3747" s="5" t="s">
        <v>85</v>
      </c>
      <c r="E3747" s="5">
        <v>2024</v>
      </c>
      <c r="F3747" s="5">
        <v>12</v>
      </c>
      <c r="G3747" s="5" t="s">
        <v>69</v>
      </c>
      <c r="H3747" s="5">
        <v>34057489</v>
      </c>
      <c r="I3747" s="5">
        <v>27470891.719999999</v>
      </c>
      <c r="J3747" s="5">
        <v>491</v>
      </c>
      <c r="K3747" s="5">
        <v>1212294</v>
      </c>
      <c r="L3747" s="5">
        <v>35180950</v>
      </c>
      <c r="M3747" s="5">
        <v>6586597.2800000003</v>
      </c>
      <c r="N3747" s="5">
        <v>0.19339999999999999</v>
      </c>
      <c r="O3747" s="5">
        <v>29</v>
      </c>
      <c r="P3747" s="5">
        <v>646240</v>
      </c>
    </row>
    <row r="3748" spans="1:16" x14ac:dyDescent="0.3">
      <c r="A3748" s="5">
        <v>13</v>
      </c>
      <c r="B3748" s="5" t="s">
        <v>152</v>
      </c>
      <c r="C3748" s="5">
        <v>3</v>
      </c>
      <c r="D3748" s="5" t="s">
        <v>85</v>
      </c>
      <c r="E3748" s="5">
        <v>2021</v>
      </c>
      <c r="F3748" s="5">
        <v>1</v>
      </c>
      <c r="G3748" s="5" t="s">
        <v>22</v>
      </c>
      <c r="H3748" s="5">
        <v>2998980</v>
      </c>
      <c r="I3748" s="5">
        <v>2598447.96</v>
      </c>
      <c r="J3748" s="5">
        <v>50</v>
      </c>
      <c r="K3748" s="5">
        <v>431825</v>
      </c>
      <c r="L3748" s="5">
        <v>3423160</v>
      </c>
      <c r="M3748" s="5">
        <v>400532.04</v>
      </c>
      <c r="N3748" s="5">
        <v>0.1336</v>
      </c>
      <c r="O3748" s="5">
        <v>4</v>
      </c>
      <c r="P3748" s="5">
        <v>32064</v>
      </c>
    </row>
    <row r="3749" spans="1:16" x14ac:dyDescent="0.3">
      <c r="A3749" s="5">
        <v>13</v>
      </c>
      <c r="B3749" s="5" t="s">
        <v>152</v>
      </c>
      <c r="C3749" s="5">
        <v>3</v>
      </c>
      <c r="D3749" s="5" t="s">
        <v>85</v>
      </c>
      <c r="E3749" s="5">
        <v>2021</v>
      </c>
      <c r="F3749" s="5">
        <v>2</v>
      </c>
      <c r="G3749" s="5" t="s">
        <v>23</v>
      </c>
      <c r="H3749" s="5">
        <v>3018493</v>
      </c>
      <c r="I3749" s="5">
        <v>2686438.01</v>
      </c>
      <c r="J3749" s="5">
        <v>47</v>
      </c>
      <c r="K3749" s="5">
        <v>466662</v>
      </c>
      <c r="L3749" s="5">
        <v>3476290</v>
      </c>
      <c r="M3749" s="5">
        <v>332054.99</v>
      </c>
      <c r="N3749" s="5">
        <v>0.11</v>
      </c>
      <c r="O3749" s="5">
        <v>6</v>
      </c>
      <c r="P3749" s="5">
        <v>96684</v>
      </c>
    </row>
    <row r="3750" spans="1:16" x14ac:dyDescent="0.3">
      <c r="A3750" s="5">
        <v>13</v>
      </c>
      <c r="B3750" s="5" t="s">
        <v>152</v>
      </c>
      <c r="C3750" s="5">
        <v>3</v>
      </c>
      <c r="D3750" s="5" t="s">
        <v>85</v>
      </c>
      <c r="E3750" s="5">
        <v>2021</v>
      </c>
      <c r="F3750" s="5">
        <v>3</v>
      </c>
      <c r="G3750" s="5" t="s">
        <v>24</v>
      </c>
      <c r="H3750" s="5">
        <v>4500830</v>
      </c>
      <c r="I3750" s="5">
        <v>3818592.41</v>
      </c>
      <c r="J3750" s="5">
        <v>52</v>
      </c>
      <c r="K3750" s="5">
        <v>459205</v>
      </c>
      <c r="L3750" s="5">
        <v>4939440</v>
      </c>
      <c r="M3750" s="5">
        <v>682237.59</v>
      </c>
      <c r="N3750" s="5">
        <v>0.15160000000000001</v>
      </c>
      <c r="O3750" s="5">
        <v>4</v>
      </c>
      <c r="P3750" s="5">
        <v>575231</v>
      </c>
    </row>
    <row r="3751" spans="1:16" x14ac:dyDescent="0.3">
      <c r="A3751" s="5">
        <v>13</v>
      </c>
      <c r="B3751" s="5" t="s">
        <v>152</v>
      </c>
      <c r="C3751" s="5">
        <v>3</v>
      </c>
      <c r="D3751" s="5" t="s">
        <v>85</v>
      </c>
      <c r="E3751" s="5">
        <v>2021</v>
      </c>
      <c r="F3751" s="5">
        <v>4</v>
      </c>
      <c r="G3751" s="5" t="s">
        <v>25</v>
      </c>
      <c r="H3751" s="5">
        <v>3639182</v>
      </c>
      <c r="I3751" s="5">
        <v>3125323.91</v>
      </c>
      <c r="J3751" s="5">
        <v>57</v>
      </c>
      <c r="K3751" s="5">
        <v>412691</v>
      </c>
      <c r="L3751" s="5">
        <v>4037200</v>
      </c>
      <c r="M3751" s="5">
        <v>513858.09</v>
      </c>
      <c r="N3751" s="5">
        <v>0.14119999999999999</v>
      </c>
      <c r="O3751" s="5">
        <v>3</v>
      </c>
      <c r="P3751" s="5">
        <v>80592</v>
      </c>
    </row>
    <row r="3752" spans="1:16" x14ac:dyDescent="0.3">
      <c r="A3752" s="5">
        <v>13</v>
      </c>
      <c r="B3752" s="5" t="s">
        <v>152</v>
      </c>
      <c r="C3752" s="5">
        <v>3</v>
      </c>
      <c r="D3752" s="5" t="s">
        <v>85</v>
      </c>
      <c r="E3752" s="5">
        <v>2021</v>
      </c>
      <c r="F3752" s="5">
        <v>5</v>
      </c>
      <c r="G3752" s="5" t="s">
        <v>26</v>
      </c>
      <c r="H3752" s="5">
        <v>3031731</v>
      </c>
      <c r="I3752" s="5">
        <v>2663934.98</v>
      </c>
      <c r="J3752" s="5">
        <v>61</v>
      </c>
      <c r="K3752" s="5">
        <v>454358</v>
      </c>
      <c r="L3752" s="5">
        <v>3479650</v>
      </c>
      <c r="M3752" s="5">
        <v>367796.02</v>
      </c>
      <c r="N3752" s="5">
        <v>0.12130000000000001</v>
      </c>
      <c r="O3752" s="5">
        <v>6</v>
      </c>
      <c r="P3752" s="5">
        <v>271763</v>
      </c>
    </row>
    <row r="3753" spans="1:16" x14ac:dyDescent="0.3">
      <c r="A3753" s="5">
        <v>13</v>
      </c>
      <c r="B3753" s="5" t="s">
        <v>152</v>
      </c>
      <c r="C3753" s="5">
        <v>3</v>
      </c>
      <c r="D3753" s="5" t="s">
        <v>85</v>
      </c>
      <c r="E3753" s="5">
        <v>2021</v>
      </c>
      <c r="F3753" s="5">
        <v>6</v>
      </c>
      <c r="G3753" s="5" t="s">
        <v>27</v>
      </c>
      <c r="H3753" s="5">
        <v>5691143</v>
      </c>
      <c r="I3753" s="5">
        <v>5095699.9800000004</v>
      </c>
      <c r="J3753" s="5">
        <v>71</v>
      </c>
      <c r="K3753" s="5">
        <v>871997</v>
      </c>
      <c r="L3753" s="5">
        <v>6552340</v>
      </c>
      <c r="M3753" s="5">
        <v>595443.02</v>
      </c>
      <c r="N3753" s="5">
        <v>0.1046</v>
      </c>
      <c r="O3753" s="5">
        <v>7</v>
      </c>
      <c r="P3753" s="5">
        <v>329831</v>
      </c>
    </row>
    <row r="3754" spans="1:16" x14ac:dyDescent="0.3">
      <c r="A3754" s="5">
        <v>13</v>
      </c>
      <c r="B3754" s="5" t="s">
        <v>152</v>
      </c>
      <c r="C3754" s="5">
        <v>3</v>
      </c>
      <c r="D3754" s="5" t="s">
        <v>85</v>
      </c>
      <c r="E3754" s="5">
        <v>2021</v>
      </c>
      <c r="F3754" s="5">
        <v>7</v>
      </c>
      <c r="G3754" s="5" t="s">
        <v>28</v>
      </c>
      <c r="H3754" s="5">
        <v>4402000</v>
      </c>
      <c r="I3754" s="5">
        <v>3959615.65</v>
      </c>
      <c r="J3754" s="5">
        <v>70</v>
      </c>
      <c r="K3754" s="5">
        <v>709066</v>
      </c>
      <c r="L3754" s="5">
        <v>5099960</v>
      </c>
      <c r="M3754" s="5">
        <v>442384.35</v>
      </c>
      <c r="N3754" s="5">
        <v>0.10050000000000001</v>
      </c>
      <c r="O3754" s="5">
        <v>6</v>
      </c>
      <c r="P3754" s="5">
        <v>100322</v>
      </c>
    </row>
    <row r="3755" spans="1:16" x14ac:dyDescent="0.3">
      <c r="A3755" s="5">
        <v>13</v>
      </c>
      <c r="B3755" s="5" t="s">
        <v>152</v>
      </c>
      <c r="C3755" s="5">
        <v>3</v>
      </c>
      <c r="D3755" s="5" t="s">
        <v>85</v>
      </c>
      <c r="E3755" s="5">
        <v>2021</v>
      </c>
      <c r="F3755" s="5">
        <v>8</v>
      </c>
      <c r="G3755" s="5" t="s">
        <v>29</v>
      </c>
      <c r="H3755" s="5">
        <v>2828840</v>
      </c>
      <c r="I3755" s="5">
        <v>2358930.08</v>
      </c>
      <c r="J3755" s="5">
        <v>47</v>
      </c>
      <c r="K3755" s="5">
        <v>255331</v>
      </c>
      <c r="L3755" s="5">
        <v>3074640</v>
      </c>
      <c r="M3755" s="5">
        <v>469909.92</v>
      </c>
      <c r="N3755" s="5">
        <v>0.1661</v>
      </c>
      <c r="O3755" s="5">
        <v>1</v>
      </c>
      <c r="P3755" s="5">
        <v>55867</v>
      </c>
    </row>
    <row r="3756" spans="1:16" x14ac:dyDescent="0.3">
      <c r="A3756" s="5">
        <v>13</v>
      </c>
      <c r="B3756" s="5" t="s">
        <v>152</v>
      </c>
      <c r="C3756" s="5">
        <v>3</v>
      </c>
      <c r="D3756" s="5" t="s">
        <v>85</v>
      </c>
      <c r="E3756" s="5">
        <v>2021</v>
      </c>
      <c r="F3756" s="5">
        <v>9</v>
      </c>
      <c r="G3756" s="5" t="s">
        <v>30</v>
      </c>
      <c r="H3756" s="5">
        <v>5241340</v>
      </c>
      <c r="I3756" s="5">
        <v>4455629.3600000003</v>
      </c>
      <c r="J3756" s="5">
        <v>57</v>
      </c>
      <c r="K3756" s="5">
        <v>562598</v>
      </c>
      <c r="L3756" s="5">
        <v>5793350</v>
      </c>
      <c r="M3756" s="5">
        <v>785710.64</v>
      </c>
      <c r="N3756" s="5">
        <v>0.14990000000000001</v>
      </c>
      <c r="O3756" s="5">
        <v>8</v>
      </c>
      <c r="P3756" s="5">
        <v>477344</v>
      </c>
    </row>
    <row r="3757" spans="1:16" x14ac:dyDescent="0.3">
      <c r="A3757" s="5">
        <v>13</v>
      </c>
      <c r="B3757" s="5" t="s">
        <v>152</v>
      </c>
      <c r="C3757" s="5">
        <v>3</v>
      </c>
      <c r="D3757" s="5" t="s">
        <v>85</v>
      </c>
      <c r="E3757" s="5">
        <v>2021</v>
      </c>
      <c r="F3757" s="5">
        <v>10</v>
      </c>
      <c r="G3757" s="5" t="s">
        <v>31</v>
      </c>
      <c r="H3757" s="5">
        <v>5393302</v>
      </c>
      <c r="I3757" s="5">
        <v>4629166.04</v>
      </c>
      <c r="J3757" s="5">
        <v>79</v>
      </c>
      <c r="K3757" s="5">
        <v>453046</v>
      </c>
      <c r="L3757" s="5">
        <v>5833080</v>
      </c>
      <c r="M3757" s="5">
        <v>764135.96</v>
      </c>
      <c r="N3757" s="5">
        <v>0.14169999999999999</v>
      </c>
      <c r="O3757" s="5">
        <v>4</v>
      </c>
      <c r="P3757" s="5">
        <v>73676</v>
      </c>
    </row>
    <row r="3758" spans="1:16" x14ac:dyDescent="0.3">
      <c r="A3758" s="5">
        <v>13</v>
      </c>
      <c r="B3758" s="5" t="s">
        <v>152</v>
      </c>
      <c r="C3758" s="5">
        <v>3</v>
      </c>
      <c r="D3758" s="5" t="s">
        <v>85</v>
      </c>
      <c r="E3758" s="5">
        <v>2021</v>
      </c>
      <c r="F3758" s="5">
        <v>11</v>
      </c>
      <c r="G3758" s="5" t="s">
        <v>32</v>
      </c>
      <c r="H3758" s="5">
        <v>5610822</v>
      </c>
      <c r="I3758" s="5">
        <v>4730875.12</v>
      </c>
      <c r="J3758" s="5">
        <v>78</v>
      </c>
      <c r="K3758" s="5">
        <v>321815</v>
      </c>
      <c r="L3758" s="5">
        <v>5912980</v>
      </c>
      <c r="M3758" s="5">
        <v>879946.88</v>
      </c>
      <c r="N3758" s="5">
        <v>0.15679999999999999</v>
      </c>
      <c r="O3758" s="5">
        <v>8</v>
      </c>
      <c r="P3758" s="5">
        <v>194052</v>
      </c>
    </row>
    <row r="3759" spans="1:16" x14ac:dyDescent="0.3">
      <c r="A3759" s="5">
        <v>13</v>
      </c>
      <c r="B3759" s="5" t="s">
        <v>152</v>
      </c>
      <c r="C3759" s="5">
        <v>3</v>
      </c>
      <c r="D3759" s="5" t="s">
        <v>85</v>
      </c>
      <c r="E3759" s="5">
        <v>2021</v>
      </c>
      <c r="F3759" s="5">
        <v>12</v>
      </c>
      <c r="G3759" s="5" t="s">
        <v>33</v>
      </c>
      <c r="H3759" s="5">
        <v>4844193</v>
      </c>
      <c r="I3759" s="5">
        <v>4162077.45</v>
      </c>
      <c r="J3759" s="5">
        <v>69</v>
      </c>
      <c r="K3759" s="5">
        <v>378998</v>
      </c>
      <c r="L3759" s="5">
        <v>5204580</v>
      </c>
      <c r="M3759" s="5">
        <v>682115.55</v>
      </c>
      <c r="N3759" s="5">
        <v>0.14080000000000001</v>
      </c>
      <c r="O3759" s="5">
        <v>8</v>
      </c>
      <c r="P3759" s="5">
        <v>269137</v>
      </c>
    </row>
    <row r="3760" spans="1:16" x14ac:dyDescent="0.3">
      <c r="A3760" s="5">
        <v>13</v>
      </c>
      <c r="B3760" s="5" t="s">
        <v>152</v>
      </c>
      <c r="C3760" s="5">
        <v>3</v>
      </c>
      <c r="D3760" s="5" t="s">
        <v>85</v>
      </c>
      <c r="E3760" s="5">
        <v>2022</v>
      </c>
      <c r="F3760" s="5">
        <v>1</v>
      </c>
      <c r="G3760" s="5" t="s">
        <v>34</v>
      </c>
      <c r="H3760" s="5">
        <v>6926947</v>
      </c>
      <c r="I3760" s="5">
        <v>5842110.7199999997</v>
      </c>
      <c r="J3760" s="5">
        <v>88</v>
      </c>
      <c r="K3760" s="5">
        <v>597244</v>
      </c>
      <c r="L3760" s="5">
        <v>7505090</v>
      </c>
      <c r="M3760" s="5">
        <v>1084836.28</v>
      </c>
      <c r="N3760" s="5">
        <v>0.15659999999999999</v>
      </c>
      <c r="O3760" s="5">
        <v>4</v>
      </c>
      <c r="P3760" s="5">
        <v>106667</v>
      </c>
    </row>
    <row r="3761" spans="1:16" x14ac:dyDescent="0.3">
      <c r="A3761" s="5">
        <v>13</v>
      </c>
      <c r="B3761" s="5" t="s">
        <v>152</v>
      </c>
      <c r="C3761" s="5">
        <v>3</v>
      </c>
      <c r="D3761" s="5" t="s">
        <v>85</v>
      </c>
      <c r="E3761" s="5">
        <v>2022</v>
      </c>
      <c r="F3761" s="5">
        <v>2</v>
      </c>
      <c r="G3761" s="5" t="s">
        <v>35</v>
      </c>
      <c r="H3761" s="5">
        <v>4242689</v>
      </c>
      <c r="I3761" s="5">
        <v>3723521.9</v>
      </c>
      <c r="J3761" s="5">
        <v>53</v>
      </c>
      <c r="K3761" s="5">
        <v>462078</v>
      </c>
      <c r="L3761" s="5">
        <v>4697830</v>
      </c>
      <c r="M3761" s="5">
        <v>519167.1</v>
      </c>
      <c r="N3761" s="5">
        <v>0.12239999999999999</v>
      </c>
      <c r="O3761" s="5">
        <v>7</v>
      </c>
      <c r="P3761" s="5">
        <v>447894</v>
      </c>
    </row>
    <row r="3762" spans="1:16" x14ac:dyDescent="0.3">
      <c r="A3762" s="5">
        <v>13</v>
      </c>
      <c r="B3762" s="5" t="s">
        <v>152</v>
      </c>
      <c r="C3762" s="5">
        <v>3</v>
      </c>
      <c r="D3762" s="5" t="s">
        <v>85</v>
      </c>
      <c r="E3762" s="5">
        <v>2022</v>
      </c>
      <c r="F3762" s="5">
        <v>3</v>
      </c>
      <c r="G3762" s="5" t="s">
        <v>36</v>
      </c>
      <c r="H3762" s="5">
        <v>6167971</v>
      </c>
      <c r="I3762" s="5">
        <v>5326207.57</v>
      </c>
      <c r="J3762" s="5">
        <v>91</v>
      </c>
      <c r="K3762" s="5">
        <v>618461</v>
      </c>
      <c r="L3762" s="5">
        <v>6768550</v>
      </c>
      <c r="M3762" s="5">
        <v>841763.43</v>
      </c>
      <c r="N3762" s="5">
        <v>0.13650000000000001</v>
      </c>
      <c r="O3762" s="5">
        <v>9</v>
      </c>
      <c r="P3762" s="5">
        <v>361884</v>
      </c>
    </row>
    <row r="3763" spans="1:16" x14ac:dyDescent="0.3">
      <c r="A3763" s="5">
        <v>13</v>
      </c>
      <c r="B3763" s="5" t="s">
        <v>152</v>
      </c>
      <c r="C3763" s="5">
        <v>3</v>
      </c>
      <c r="D3763" s="5" t="s">
        <v>85</v>
      </c>
      <c r="E3763" s="5">
        <v>2022</v>
      </c>
      <c r="F3763" s="5">
        <v>4</v>
      </c>
      <c r="G3763" s="5" t="s">
        <v>37</v>
      </c>
      <c r="H3763" s="5">
        <v>6402410</v>
      </c>
      <c r="I3763" s="5">
        <v>5555062.7599999998</v>
      </c>
      <c r="J3763" s="5">
        <v>93</v>
      </c>
      <c r="K3763" s="5">
        <v>719360</v>
      </c>
      <c r="L3763" s="5">
        <v>7097480</v>
      </c>
      <c r="M3763" s="5">
        <v>847347.24</v>
      </c>
      <c r="N3763" s="5">
        <v>0.1323</v>
      </c>
      <c r="O3763" s="5">
        <v>5</v>
      </c>
      <c r="P3763" s="5">
        <v>210133</v>
      </c>
    </row>
    <row r="3764" spans="1:16" x14ac:dyDescent="0.3">
      <c r="A3764" s="5">
        <v>13</v>
      </c>
      <c r="B3764" s="5" t="s">
        <v>152</v>
      </c>
      <c r="C3764" s="5">
        <v>3</v>
      </c>
      <c r="D3764" s="5" t="s">
        <v>85</v>
      </c>
      <c r="E3764" s="5">
        <v>2022</v>
      </c>
      <c r="F3764" s="5">
        <v>5</v>
      </c>
      <c r="G3764" s="5" t="s">
        <v>38</v>
      </c>
      <c r="H3764" s="5">
        <v>5944839</v>
      </c>
      <c r="I3764" s="5">
        <v>5199643.84</v>
      </c>
      <c r="J3764" s="5">
        <v>88</v>
      </c>
      <c r="K3764" s="5">
        <v>689756</v>
      </c>
      <c r="L3764" s="5">
        <v>6608610</v>
      </c>
      <c r="M3764" s="5">
        <v>745195.16</v>
      </c>
      <c r="N3764" s="5">
        <v>0.12540000000000001</v>
      </c>
      <c r="O3764" s="5">
        <v>7</v>
      </c>
      <c r="P3764" s="5">
        <v>404215</v>
      </c>
    </row>
    <row r="3765" spans="1:16" x14ac:dyDescent="0.3">
      <c r="A3765" s="5">
        <v>13</v>
      </c>
      <c r="B3765" s="5" t="s">
        <v>152</v>
      </c>
      <c r="C3765" s="5">
        <v>3</v>
      </c>
      <c r="D3765" s="5" t="s">
        <v>85</v>
      </c>
      <c r="E3765" s="5">
        <v>2022</v>
      </c>
      <c r="F3765" s="5">
        <v>6</v>
      </c>
      <c r="G3765" s="5" t="s">
        <v>39</v>
      </c>
      <c r="H3765" s="5">
        <v>7047892</v>
      </c>
      <c r="I3765" s="5">
        <v>5924395.46</v>
      </c>
      <c r="J3765" s="5">
        <v>96</v>
      </c>
      <c r="K3765" s="5">
        <v>606914</v>
      </c>
      <c r="L3765" s="5">
        <v>7630500</v>
      </c>
      <c r="M3765" s="5">
        <v>1123496.54</v>
      </c>
      <c r="N3765" s="5">
        <v>0.15939999999999999</v>
      </c>
      <c r="O3765" s="5">
        <v>12</v>
      </c>
      <c r="P3765" s="5">
        <v>590740</v>
      </c>
    </row>
    <row r="3766" spans="1:16" x14ac:dyDescent="0.3">
      <c r="A3766" s="5">
        <v>13</v>
      </c>
      <c r="B3766" s="5" t="s">
        <v>152</v>
      </c>
      <c r="C3766" s="5">
        <v>3</v>
      </c>
      <c r="D3766" s="5" t="s">
        <v>85</v>
      </c>
      <c r="E3766" s="5">
        <v>2022</v>
      </c>
      <c r="F3766" s="5">
        <v>7</v>
      </c>
      <c r="G3766" s="5" t="s">
        <v>40</v>
      </c>
      <c r="H3766" s="5">
        <v>4844382</v>
      </c>
      <c r="I3766" s="5">
        <v>4267920.49</v>
      </c>
      <c r="J3766" s="5">
        <v>74</v>
      </c>
      <c r="K3766" s="5">
        <v>652922</v>
      </c>
      <c r="L3766" s="5">
        <v>5471210</v>
      </c>
      <c r="M3766" s="5">
        <v>576461.51</v>
      </c>
      <c r="N3766" s="5">
        <v>0.11899999999999999</v>
      </c>
      <c r="O3766" s="5">
        <v>6</v>
      </c>
      <c r="P3766" s="5">
        <v>224983</v>
      </c>
    </row>
    <row r="3767" spans="1:16" x14ac:dyDescent="0.3">
      <c r="A3767" s="5">
        <v>13</v>
      </c>
      <c r="B3767" s="5" t="s">
        <v>152</v>
      </c>
      <c r="C3767" s="5">
        <v>3</v>
      </c>
      <c r="D3767" s="5" t="s">
        <v>85</v>
      </c>
      <c r="E3767" s="5">
        <v>2022</v>
      </c>
      <c r="F3767" s="5">
        <v>8</v>
      </c>
      <c r="G3767" s="5" t="s">
        <v>41</v>
      </c>
      <c r="H3767" s="5">
        <v>4848616</v>
      </c>
      <c r="I3767" s="5">
        <v>4466703.26</v>
      </c>
      <c r="J3767" s="5">
        <v>80</v>
      </c>
      <c r="K3767" s="5">
        <v>870228</v>
      </c>
      <c r="L3767" s="5">
        <v>5700830</v>
      </c>
      <c r="M3767" s="5">
        <v>381912.74</v>
      </c>
      <c r="N3767" s="5">
        <v>7.8799999999999995E-2</v>
      </c>
      <c r="O3767" s="5">
        <v>8</v>
      </c>
      <c r="P3767" s="5">
        <v>286577</v>
      </c>
    </row>
    <row r="3768" spans="1:16" x14ac:dyDescent="0.3">
      <c r="A3768" s="5">
        <v>13</v>
      </c>
      <c r="B3768" s="5" t="s">
        <v>152</v>
      </c>
      <c r="C3768" s="5">
        <v>3</v>
      </c>
      <c r="D3768" s="5" t="s">
        <v>85</v>
      </c>
      <c r="E3768" s="5">
        <v>2022</v>
      </c>
      <c r="F3768" s="5">
        <v>9</v>
      </c>
      <c r="G3768" s="5" t="s">
        <v>42</v>
      </c>
      <c r="H3768" s="5">
        <v>7638004</v>
      </c>
      <c r="I3768" s="5">
        <v>6803984.4400000004</v>
      </c>
      <c r="J3768" s="5">
        <v>99</v>
      </c>
      <c r="K3768" s="5">
        <v>1080648</v>
      </c>
      <c r="L3768" s="5">
        <v>8695980</v>
      </c>
      <c r="M3768" s="5">
        <v>834019.56</v>
      </c>
      <c r="N3768" s="5">
        <v>0.10920000000000001</v>
      </c>
      <c r="O3768" s="5">
        <v>8</v>
      </c>
      <c r="P3768" s="5">
        <v>315608</v>
      </c>
    </row>
    <row r="3769" spans="1:16" x14ac:dyDescent="0.3">
      <c r="A3769" s="5">
        <v>13</v>
      </c>
      <c r="B3769" s="5" t="s">
        <v>152</v>
      </c>
      <c r="C3769" s="5">
        <v>3</v>
      </c>
      <c r="D3769" s="5" t="s">
        <v>85</v>
      </c>
      <c r="E3769" s="5">
        <v>2022</v>
      </c>
      <c r="F3769" s="5">
        <v>10</v>
      </c>
      <c r="G3769" s="5" t="s">
        <v>43</v>
      </c>
      <c r="H3769" s="5">
        <v>7426876</v>
      </c>
      <c r="I3769" s="5">
        <v>6874446.29</v>
      </c>
      <c r="J3769" s="5">
        <v>129</v>
      </c>
      <c r="K3769" s="5">
        <v>1476158</v>
      </c>
      <c r="L3769" s="5">
        <v>8869660</v>
      </c>
      <c r="M3769" s="5">
        <v>552429.71</v>
      </c>
      <c r="N3769" s="5">
        <v>7.4399999999999994E-2</v>
      </c>
      <c r="O3769" s="5">
        <v>8</v>
      </c>
      <c r="P3769" s="5">
        <v>214006</v>
      </c>
    </row>
    <row r="3770" spans="1:16" x14ac:dyDescent="0.3">
      <c r="A3770" s="5">
        <v>13</v>
      </c>
      <c r="B3770" s="5" t="s">
        <v>152</v>
      </c>
      <c r="C3770" s="5">
        <v>3</v>
      </c>
      <c r="D3770" s="5" t="s">
        <v>85</v>
      </c>
      <c r="E3770" s="5">
        <v>2022</v>
      </c>
      <c r="F3770" s="5">
        <v>11</v>
      </c>
      <c r="G3770" s="5" t="s">
        <v>44</v>
      </c>
      <c r="H3770" s="5">
        <v>6523585</v>
      </c>
      <c r="I3770" s="5">
        <v>5635946.6399999997</v>
      </c>
      <c r="J3770" s="5">
        <v>110</v>
      </c>
      <c r="K3770" s="5">
        <v>767792</v>
      </c>
      <c r="L3770" s="5">
        <v>7278780</v>
      </c>
      <c r="M3770" s="5">
        <v>887638.36</v>
      </c>
      <c r="N3770" s="5">
        <v>0.1361</v>
      </c>
      <c r="O3770" s="5">
        <v>9</v>
      </c>
      <c r="P3770" s="5">
        <v>166872</v>
      </c>
    </row>
    <row r="3771" spans="1:16" x14ac:dyDescent="0.3">
      <c r="A3771" s="5">
        <v>13</v>
      </c>
      <c r="B3771" s="5" t="s">
        <v>152</v>
      </c>
      <c r="C3771" s="5">
        <v>3</v>
      </c>
      <c r="D3771" s="5" t="s">
        <v>85</v>
      </c>
      <c r="E3771" s="5">
        <v>2022</v>
      </c>
      <c r="F3771" s="5">
        <v>12</v>
      </c>
      <c r="G3771" s="5" t="s">
        <v>45</v>
      </c>
      <c r="H3771" s="5">
        <v>8138431</v>
      </c>
      <c r="I3771" s="5">
        <v>6664830.9800000004</v>
      </c>
      <c r="J3771" s="5">
        <v>125</v>
      </c>
      <c r="K3771" s="5">
        <v>543037</v>
      </c>
      <c r="L3771" s="5">
        <v>8645830</v>
      </c>
      <c r="M3771" s="5">
        <v>1473600.02</v>
      </c>
      <c r="N3771" s="5">
        <v>0.18110000000000001</v>
      </c>
      <c r="O3771" s="5">
        <v>13</v>
      </c>
      <c r="P3771" s="5">
        <v>231035</v>
      </c>
    </row>
    <row r="3772" spans="1:16" x14ac:dyDescent="0.3">
      <c r="A3772" s="5">
        <v>13</v>
      </c>
      <c r="B3772" s="5" t="s">
        <v>152</v>
      </c>
      <c r="C3772" s="5">
        <v>3</v>
      </c>
      <c r="D3772" s="5" t="s">
        <v>85</v>
      </c>
      <c r="E3772" s="5">
        <v>2023</v>
      </c>
      <c r="F3772" s="5">
        <v>1</v>
      </c>
      <c r="G3772" s="5" t="s">
        <v>46</v>
      </c>
      <c r="H3772" s="5">
        <v>8935774</v>
      </c>
      <c r="I3772" s="5">
        <v>7852636.6299999999</v>
      </c>
      <c r="J3772" s="5">
        <v>103</v>
      </c>
      <c r="K3772" s="5">
        <v>1073068</v>
      </c>
      <c r="L3772" s="5">
        <v>9961800</v>
      </c>
      <c r="M3772" s="5">
        <v>1083137.3700000001</v>
      </c>
      <c r="N3772" s="5">
        <v>0.1212</v>
      </c>
      <c r="O3772" s="5">
        <v>7</v>
      </c>
      <c r="P3772" s="5">
        <v>159821</v>
      </c>
    </row>
    <row r="3773" spans="1:16" x14ac:dyDescent="0.3">
      <c r="A3773" s="5">
        <v>13</v>
      </c>
      <c r="B3773" s="5" t="s">
        <v>152</v>
      </c>
      <c r="C3773" s="5">
        <v>3</v>
      </c>
      <c r="D3773" s="5" t="s">
        <v>85</v>
      </c>
      <c r="E3773" s="5">
        <v>2023</v>
      </c>
      <c r="F3773" s="5">
        <v>2</v>
      </c>
      <c r="G3773" s="5" t="s">
        <v>47</v>
      </c>
      <c r="H3773" s="5">
        <v>5937715</v>
      </c>
      <c r="I3773" s="5">
        <v>5134367.78</v>
      </c>
      <c r="J3773" s="5">
        <v>85</v>
      </c>
      <c r="K3773" s="5">
        <v>582575</v>
      </c>
      <c r="L3773" s="5">
        <v>6503490</v>
      </c>
      <c r="M3773" s="5">
        <v>803347.22</v>
      </c>
      <c r="N3773" s="5">
        <v>0.1353</v>
      </c>
      <c r="O3773" s="5">
        <v>3</v>
      </c>
      <c r="P3773" s="5">
        <v>92479</v>
      </c>
    </row>
    <row r="3774" spans="1:16" x14ac:dyDescent="0.3">
      <c r="A3774" s="5">
        <v>13</v>
      </c>
      <c r="B3774" s="5" t="s">
        <v>152</v>
      </c>
      <c r="C3774" s="5">
        <v>3</v>
      </c>
      <c r="D3774" s="5" t="s">
        <v>85</v>
      </c>
      <c r="E3774" s="5">
        <v>2023</v>
      </c>
      <c r="F3774" s="5">
        <v>3</v>
      </c>
      <c r="G3774" s="5" t="s">
        <v>48</v>
      </c>
      <c r="H3774" s="5">
        <v>6879458</v>
      </c>
      <c r="I3774" s="5">
        <v>5749813.0499999998</v>
      </c>
      <c r="J3774" s="5">
        <v>103</v>
      </c>
      <c r="K3774" s="5">
        <v>649646</v>
      </c>
      <c r="L3774" s="5">
        <v>7501670</v>
      </c>
      <c r="M3774" s="5">
        <v>1129644.95</v>
      </c>
      <c r="N3774" s="5">
        <v>0.16420000000000001</v>
      </c>
      <c r="O3774" s="5">
        <v>5</v>
      </c>
      <c r="P3774" s="5">
        <v>327554</v>
      </c>
    </row>
    <row r="3775" spans="1:16" x14ac:dyDescent="0.3">
      <c r="A3775" s="5">
        <v>13</v>
      </c>
      <c r="B3775" s="5" t="s">
        <v>152</v>
      </c>
      <c r="C3775" s="5">
        <v>3</v>
      </c>
      <c r="D3775" s="5" t="s">
        <v>85</v>
      </c>
      <c r="E3775" s="5">
        <v>2023</v>
      </c>
      <c r="F3775" s="5">
        <v>4</v>
      </c>
      <c r="G3775" s="5" t="s">
        <v>49</v>
      </c>
      <c r="H3775" s="5">
        <v>8355245</v>
      </c>
      <c r="I3775" s="5">
        <v>7201450.04</v>
      </c>
      <c r="J3775" s="5">
        <v>126</v>
      </c>
      <c r="K3775" s="5">
        <v>1022893</v>
      </c>
      <c r="L3775" s="5">
        <v>9345680</v>
      </c>
      <c r="M3775" s="5">
        <v>1153794.96</v>
      </c>
      <c r="N3775" s="5">
        <v>0.1381</v>
      </c>
      <c r="O3775" s="5">
        <v>9</v>
      </c>
      <c r="P3775" s="5">
        <v>234116</v>
      </c>
    </row>
    <row r="3776" spans="1:16" x14ac:dyDescent="0.3">
      <c r="A3776" s="5">
        <v>13</v>
      </c>
      <c r="B3776" s="5" t="s">
        <v>152</v>
      </c>
      <c r="C3776" s="5">
        <v>3</v>
      </c>
      <c r="D3776" s="5" t="s">
        <v>85</v>
      </c>
      <c r="E3776" s="5">
        <v>2023</v>
      </c>
      <c r="F3776" s="5">
        <v>5</v>
      </c>
      <c r="G3776" s="5" t="s">
        <v>50</v>
      </c>
      <c r="H3776" s="5">
        <v>8717677</v>
      </c>
      <c r="I3776" s="5">
        <v>7573854.8899999997</v>
      </c>
      <c r="J3776" s="5">
        <v>137</v>
      </c>
      <c r="K3776" s="5">
        <v>1093884</v>
      </c>
      <c r="L3776" s="5">
        <v>9780710</v>
      </c>
      <c r="M3776" s="5">
        <v>1143822.1100000001</v>
      </c>
      <c r="N3776" s="5">
        <v>0.13120000000000001</v>
      </c>
      <c r="O3776" s="5">
        <v>17</v>
      </c>
      <c r="P3776" s="5">
        <v>460242</v>
      </c>
    </row>
    <row r="3777" spans="1:16" x14ac:dyDescent="0.3">
      <c r="A3777" s="5">
        <v>13</v>
      </c>
      <c r="B3777" s="5" t="s">
        <v>152</v>
      </c>
      <c r="C3777" s="5">
        <v>3</v>
      </c>
      <c r="D3777" s="5" t="s">
        <v>85</v>
      </c>
      <c r="E3777" s="5">
        <v>2023</v>
      </c>
      <c r="F3777" s="5">
        <v>6</v>
      </c>
      <c r="G3777" s="5" t="s">
        <v>51</v>
      </c>
      <c r="H3777" s="5">
        <v>6647349</v>
      </c>
      <c r="I3777" s="5">
        <v>5571213.04</v>
      </c>
      <c r="J3777" s="5">
        <v>93</v>
      </c>
      <c r="K3777" s="5">
        <v>513707</v>
      </c>
      <c r="L3777" s="5">
        <v>7131400</v>
      </c>
      <c r="M3777" s="5">
        <v>1076135.96</v>
      </c>
      <c r="N3777" s="5">
        <v>0.16189999999999999</v>
      </c>
      <c r="O3777" s="5">
        <v>7</v>
      </c>
      <c r="P3777" s="5">
        <v>166513</v>
      </c>
    </row>
    <row r="3778" spans="1:16" x14ac:dyDescent="0.3">
      <c r="A3778" s="5">
        <v>13</v>
      </c>
      <c r="B3778" s="5" t="s">
        <v>152</v>
      </c>
      <c r="C3778" s="5">
        <v>3</v>
      </c>
      <c r="D3778" s="5" t="s">
        <v>85</v>
      </c>
      <c r="E3778" s="5">
        <v>2023</v>
      </c>
      <c r="F3778" s="5">
        <v>7</v>
      </c>
      <c r="G3778" s="5" t="s">
        <v>52</v>
      </c>
      <c r="H3778" s="5">
        <v>8514273</v>
      </c>
      <c r="I3778" s="5">
        <v>7514411.3300000001</v>
      </c>
      <c r="J3778" s="5">
        <v>117</v>
      </c>
      <c r="K3778" s="5">
        <v>1236406</v>
      </c>
      <c r="L3778" s="5">
        <v>9712240</v>
      </c>
      <c r="M3778" s="5">
        <v>999861.67</v>
      </c>
      <c r="N3778" s="5">
        <v>0.1174</v>
      </c>
      <c r="O3778" s="5">
        <v>8</v>
      </c>
      <c r="P3778" s="5">
        <v>189857</v>
      </c>
    </row>
    <row r="3779" spans="1:16" x14ac:dyDescent="0.3">
      <c r="A3779" s="5">
        <v>13</v>
      </c>
      <c r="B3779" s="5" t="s">
        <v>152</v>
      </c>
      <c r="C3779" s="5">
        <v>3</v>
      </c>
      <c r="D3779" s="5" t="s">
        <v>85</v>
      </c>
      <c r="E3779" s="5">
        <v>2023</v>
      </c>
      <c r="F3779" s="5">
        <v>8</v>
      </c>
      <c r="G3779" s="5" t="s">
        <v>53</v>
      </c>
      <c r="H3779" s="5">
        <v>6694611</v>
      </c>
      <c r="I3779" s="5">
        <v>6099719.5499999998</v>
      </c>
      <c r="J3779" s="5">
        <v>112</v>
      </c>
      <c r="K3779" s="5">
        <v>1162709</v>
      </c>
      <c r="L3779" s="5">
        <v>7845240</v>
      </c>
      <c r="M3779" s="5">
        <v>594891.44999999995</v>
      </c>
      <c r="N3779" s="5">
        <v>8.8900000000000007E-2</v>
      </c>
      <c r="O3779" s="5">
        <v>13</v>
      </c>
      <c r="P3779" s="5">
        <v>324383</v>
      </c>
    </row>
    <row r="3780" spans="1:16" x14ac:dyDescent="0.3">
      <c r="A3780" s="5">
        <v>13</v>
      </c>
      <c r="B3780" s="5" t="s">
        <v>152</v>
      </c>
      <c r="C3780" s="5">
        <v>3</v>
      </c>
      <c r="D3780" s="5" t="s">
        <v>85</v>
      </c>
      <c r="E3780" s="5">
        <v>2023</v>
      </c>
      <c r="F3780" s="5">
        <v>9</v>
      </c>
      <c r="G3780" s="5" t="s">
        <v>54</v>
      </c>
      <c r="H3780" s="5">
        <v>7689174</v>
      </c>
      <c r="I3780" s="5">
        <v>6661509.5899999999</v>
      </c>
      <c r="J3780" s="5">
        <v>118</v>
      </c>
      <c r="K3780" s="5">
        <v>935169</v>
      </c>
      <c r="L3780" s="5">
        <v>8599510</v>
      </c>
      <c r="M3780" s="5">
        <v>1027664.41</v>
      </c>
      <c r="N3780" s="5">
        <v>0.13370000000000001</v>
      </c>
      <c r="O3780" s="5">
        <v>11</v>
      </c>
      <c r="P3780" s="5">
        <v>294237</v>
      </c>
    </row>
    <row r="3781" spans="1:16" x14ac:dyDescent="0.3">
      <c r="A3781" s="5">
        <v>13</v>
      </c>
      <c r="B3781" s="5" t="s">
        <v>152</v>
      </c>
      <c r="C3781" s="5">
        <v>3</v>
      </c>
      <c r="D3781" s="5" t="s">
        <v>85</v>
      </c>
      <c r="E3781" s="5">
        <v>2023</v>
      </c>
      <c r="F3781" s="5">
        <v>10</v>
      </c>
      <c r="G3781" s="5" t="s">
        <v>55</v>
      </c>
      <c r="H3781" s="5">
        <v>9964640</v>
      </c>
      <c r="I3781" s="5">
        <v>8660423.6400000006</v>
      </c>
      <c r="J3781" s="5">
        <v>157</v>
      </c>
      <c r="K3781" s="5">
        <v>1226833</v>
      </c>
      <c r="L3781" s="5">
        <v>11169010</v>
      </c>
      <c r="M3781" s="5">
        <v>1304216.3600000001</v>
      </c>
      <c r="N3781" s="5">
        <v>0.13089999999999999</v>
      </c>
      <c r="O3781" s="5">
        <v>17</v>
      </c>
      <c r="P3781" s="5">
        <v>582271</v>
      </c>
    </row>
    <row r="3782" spans="1:16" x14ac:dyDescent="0.3">
      <c r="A3782" s="5">
        <v>13</v>
      </c>
      <c r="B3782" s="5" t="s">
        <v>152</v>
      </c>
      <c r="C3782" s="5">
        <v>3</v>
      </c>
      <c r="D3782" s="5" t="s">
        <v>85</v>
      </c>
      <c r="E3782" s="5">
        <v>2023</v>
      </c>
      <c r="F3782" s="5">
        <v>11</v>
      </c>
      <c r="G3782" s="5" t="s">
        <v>56</v>
      </c>
      <c r="H3782" s="5">
        <v>10695540</v>
      </c>
      <c r="I3782" s="5">
        <v>9528307.6500000004</v>
      </c>
      <c r="J3782" s="5">
        <v>146</v>
      </c>
      <c r="K3782" s="5">
        <v>1472976</v>
      </c>
      <c r="L3782" s="5">
        <v>12128220</v>
      </c>
      <c r="M3782" s="5">
        <v>1167232.3500000001</v>
      </c>
      <c r="N3782" s="5">
        <v>0.1091</v>
      </c>
      <c r="O3782" s="5">
        <v>11</v>
      </c>
      <c r="P3782" s="5">
        <v>403153</v>
      </c>
    </row>
    <row r="3783" spans="1:16" x14ac:dyDescent="0.3">
      <c r="A3783" s="5">
        <v>13</v>
      </c>
      <c r="B3783" s="5" t="s">
        <v>152</v>
      </c>
      <c r="C3783" s="5">
        <v>3</v>
      </c>
      <c r="D3783" s="5" t="s">
        <v>85</v>
      </c>
      <c r="E3783" s="5">
        <v>2023</v>
      </c>
      <c r="F3783" s="5">
        <v>12</v>
      </c>
      <c r="G3783" s="5" t="s">
        <v>57</v>
      </c>
      <c r="H3783" s="5">
        <v>10608880</v>
      </c>
      <c r="I3783" s="5">
        <v>9735549.3599999994</v>
      </c>
      <c r="J3783" s="5">
        <v>163</v>
      </c>
      <c r="K3783" s="5">
        <v>2047928</v>
      </c>
      <c r="L3783" s="5">
        <v>12628650</v>
      </c>
      <c r="M3783" s="5">
        <v>873330.64</v>
      </c>
      <c r="N3783" s="5">
        <v>8.2299999999999998E-2</v>
      </c>
      <c r="O3783" s="5">
        <v>16</v>
      </c>
      <c r="P3783" s="5">
        <v>267072</v>
      </c>
    </row>
    <row r="3784" spans="1:16" x14ac:dyDescent="0.3">
      <c r="A3784" s="5">
        <v>13</v>
      </c>
      <c r="B3784" s="5" t="s">
        <v>152</v>
      </c>
      <c r="C3784" s="5">
        <v>3</v>
      </c>
      <c r="D3784" s="5" t="s">
        <v>85</v>
      </c>
      <c r="E3784" s="5">
        <v>2024</v>
      </c>
      <c r="F3784" s="5">
        <v>1</v>
      </c>
      <c r="G3784" s="5" t="s">
        <v>58</v>
      </c>
      <c r="H3784" s="5">
        <v>6982180</v>
      </c>
      <c r="I3784" s="5">
        <v>6031758.5599999996</v>
      </c>
      <c r="J3784" s="5">
        <v>108</v>
      </c>
      <c r="K3784" s="5">
        <v>888595</v>
      </c>
      <c r="L3784" s="5">
        <v>7843990</v>
      </c>
      <c r="M3784" s="5">
        <v>950421.44</v>
      </c>
      <c r="N3784" s="5">
        <v>0.1361</v>
      </c>
      <c r="O3784" s="5">
        <v>6</v>
      </c>
      <c r="P3784" s="5">
        <v>61113</v>
      </c>
    </row>
    <row r="3785" spans="1:16" x14ac:dyDescent="0.3">
      <c r="A3785" s="5">
        <v>13</v>
      </c>
      <c r="B3785" s="5" t="s">
        <v>152</v>
      </c>
      <c r="C3785" s="5">
        <v>3</v>
      </c>
      <c r="D3785" s="5" t="s">
        <v>85</v>
      </c>
      <c r="E3785" s="5">
        <v>2024</v>
      </c>
      <c r="F3785" s="5">
        <v>2</v>
      </c>
      <c r="G3785" s="5" t="s">
        <v>59</v>
      </c>
      <c r="H3785" s="5">
        <v>5184250</v>
      </c>
      <c r="I3785" s="5">
        <v>4395884.99</v>
      </c>
      <c r="J3785" s="5">
        <v>85</v>
      </c>
      <c r="K3785" s="5">
        <v>533097</v>
      </c>
      <c r="L3785" s="5">
        <v>5701390</v>
      </c>
      <c r="M3785" s="5">
        <v>788365.01</v>
      </c>
      <c r="N3785" s="5">
        <v>0.15210000000000001</v>
      </c>
      <c r="O3785" s="5">
        <v>5</v>
      </c>
      <c r="P3785" s="5">
        <v>94061</v>
      </c>
    </row>
    <row r="3786" spans="1:16" x14ac:dyDescent="0.3">
      <c r="A3786" s="5">
        <v>13</v>
      </c>
      <c r="B3786" s="5" t="s">
        <v>152</v>
      </c>
      <c r="C3786" s="5">
        <v>3</v>
      </c>
      <c r="D3786" s="5" t="s">
        <v>85</v>
      </c>
      <c r="E3786" s="5">
        <v>2024</v>
      </c>
      <c r="F3786" s="5">
        <v>3</v>
      </c>
      <c r="G3786" s="5" t="s">
        <v>60</v>
      </c>
      <c r="H3786" s="5">
        <v>8010096</v>
      </c>
      <c r="I3786" s="5">
        <v>7086981.4699999997</v>
      </c>
      <c r="J3786" s="5">
        <v>105</v>
      </c>
      <c r="K3786" s="5">
        <v>992876</v>
      </c>
      <c r="L3786" s="5">
        <v>8969660</v>
      </c>
      <c r="M3786" s="5">
        <v>923114.53</v>
      </c>
      <c r="N3786" s="5">
        <v>0.1152</v>
      </c>
      <c r="O3786" s="5">
        <v>11</v>
      </c>
      <c r="P3786" s="5">
        <v>412164</v>
      </c>
    </row>
    <row r="3787" spans="1:16" x14ac:dyDescent="0.3">
      <c r="A3787" s="5">
        <v>13</v>
      </c>
      <c r="B3787" s="5" t="s">
        <v>152</v>
      </c>
      <c r="C3787" s="5">
        <v>3</v>
      </c>
      <c r="D3787" s="5" t="s">
        <v>85</v>
      </c>
      <c r="E3787" s="5">
        <v>2024</v>
      </c>
      <c r="F3787" s="5">
        <v>4</v>
      </c>
      <c r="G3787" s="5" t="s">
        <v>61</v>
      </c>
      <c r="H3787" s="5">
        <v>9555340</v>
      </c>
      <c r="I3787" s="5">
        <v>8372515</v>
      </c>
      <c r="J3787" s="5">
        <v>149</v>
      </c>
      <c r="K3787" s="5">
        <v>1131219</v>
      </c>
      <c r="L3787" s="5">
        <v>10655080</v>
      </c>
      <c r="M3787" s="5">
        <v>1182825</v>
      </c>
      <c r="N3787" s="5">
        <v>0.12379999999999999</v>
      </c>
      <c r="O3787" s="5">
        <v>14</v>
      </c>
      <c r="P3787" s="5">
        <v>330934</v>
      </c>
    </row>
    <row r="3788" spans="1:16" x14ac:dyDescent="0.3">
      <c r="A3788" s="5">
        <v>13</v>
      </c>
      <c r="B3788" s="5" t="s">
        <v>152</v>
      </c>
      <c r="C3788" s="5">
        <v>3</v>
      </c>
      <c r="D3788" s="5" t="s">
        <v>85</v>
      </c>
      <c r="E3788" s="5">
        <v>2024</v>
      </c>
      <c r="F3788" s="5">
        <v>5</v>
      </c>
      <c r="G3788" s="5" t="s">
        <v>62</v>
      </c>
      <c r="H3788" s="5">
        <v>8278008</v>
      </c>
      <c r="I3788" s="5">
        <v>7331603.9699999997</v>
      </c>
      <c r="J3788" s="5">
        <v>129</v>
      </c>
      <c r="K3788" s="5">
        <v>1113025</v>
      </c>
      <c r="L3788" s="5">
        <v>9365940</v>
      </c>
      <c r="M3788" s="5">
        <v>946404.03</v>
      </c>
      <c r="N3788" s="5">
        <v>0.1143</v>
      </c>
      <c r="O3788" s="5">
        <v>9</v>
      </c>
      <c r="P3788" s="5">
        <v>112774</v>
      </c>
    </row>
    <row r="3789" spans="1:16" x14ac:dyDescent="0.3">
      <c r="A3789" s="5">
        <v>13</v>
      </c>
      <c r="B3789" s="5" t="s">
        <v>152</v>
      </c>
      <c r="C3789" s="5">
        <v>3</v>
      </c>
      <c r="D3789" s="5" t="s">
        <v>85</v>
      </c>
      <c r="E3789" s="5">
        <v>2024</v>
      </c>
      <c r="F3789" s="5">
        <v>6</v>
      </c>
      <c r="G3789" s="5" t="s">
        <v>63</v>
      </c>
      <c r="H3789" s="5">
        <v>13222563</v>
      </c>
      <c r="I3789" s="5">
        <v>10962944.130000001</v>
      </c>
      <c r="J3789" s="5">
        <v>147</v>
      </c>
      <c r="K3789" s="5">
        <v>737356</v>
      </c>
      <c r="L3789" s="5">
        <v>13905270</v>
      </c>
      <c r="M3789" s="5">
        <v>2259618.87</v>
      </c>
      <c r="N3789" s="5">
        <v>0.1709</v>
      </c>
      <c r="O3789" s="5">
        <v>12</v>
      </c>
      <c r="P3789" s="5">
        <v>455106</v>
      </c>
    </row>
    <row r="3790" spans="1:16" x14ac:dyDescent="0.3">
      <c r="A3790" s="5">
        <v>13</v>
      </c>
      <c r="B3790" s="5" t="s">
        <v>152</v>
      </c>
      <c r="C3790" s="5">
        <v>3</v>
      </c>
      <c r="D3790" s="5" t="s">
        <v>85</v>
      </c>
      <c r="E3790" s="5">
        <v>2024</v>
      </c>
      <c r="F3790" s="5">
        <v>7</v>
      </c>
      <c r="G3790" s="5" t="s">
        <v>64</v>
      </c>
      <c r="H3790" s="5">
        <v>7531309</v>
      </c>
      <c r="I3790" s="5">
        <v>6575986.5099999998</v>
      </c>
      <c r="J3790" s="5">
        <v>109</v>
      </c>
      <c r="K3790" s="5">
        <v>965300</v>
      </c>
      <c r="L3790" s="5">
        <v>8473960</v>
      </c>
      <c r="M3790" s="5">
        <v>955322.49</v>
      </c>
      <c r="N3790" s="5">
        <v>0.1268</v>
      </c>
      <c r="O3790" s="5">
        <v>10</v>
      </c>
      <c r="P3790" s="5">
        <v>343589</v>
      </c>
    </row>
    <row r="3791" spans="1:16" x14ac:dyDescent="0.3">
      <c r="A3791" s="5">
        <v>13</v>
      </c>
      <c r="B3791" s="5" t="s">
        <v>152</v>
      </c>
      <c r="C3791" s="5">
        <v>3</v>
      </c>
      <c r="D3791" s="5" t="s">
        <v>85</v>
      </c>
      <c r="E3791" s="5">
        <v>2024</v>
      </c>
      <c r="F3791" s="5">
        <v>8</v>
      </c>
      <c r="G3791" s="5" t="s">
        <v>65</v>
      </c>
      <c r="H3791" s="5">
        <v>7093408</v>
      </c>
      <c r="I3791" s="5">
        <v>6066590.4000000004</v>
      </c>
      <c r="J3791" s="5">
        <v>110</v>
      </c>
      <c r="K3791" s="5">
        <v>736981</v>
      </c>
      <c r="L3791" s="5">
        <v>7809650</v>
      </c>
      <c r="M3791" s="5">
        <v>1026817.6</v>
      </c>
      <c r="N3791" s="5">
        <v>0.14480000000000001</v>
      </c>
      <c r="O3791" s="5">
        <v>16</v>
      </c>
      <c r="P3791" s="5">
        <v>290567</v>
      </c>
    </row>
    <row r="3792" spans="1:16" x14ac:dyDescent="0.3">
      <c r="A3792" s="5">
        <v>13</v>
      </c>
      <c r="B3792" s="5" t="s">
        <v>152</v>
      </c>
      <c r="C3792" s="5">
        <v>3</v>
      </c>
      <c r="D3792" s="5" t="s">
        <v>85</v>
      </c>
      <c r="E3792" s="5">
        <v>2024</v>
      </c>
      <c r="F3792" s="5">
        <v>9</v>
      </c>
      <c r="G3792" s="5" t="s">
        <v>66</v>
      </c>
      <c r="H3792" s="5">
        <v>10489169</v>
      </c>
      <c r="I3792" s="5">
        <v>8658644.9900000002</v>
      </c>
      <c r="J3792" s="5">
        <v>144</v>
      </c>
      <c r="K3792" s="5">
        <v>645890</v>
      </c>
      <c r="L3792" s="5">
        <v>11107650</v>
      </c>
      <c r="M3792" s="5">
        <v>1830524.01</v>
      </c>
      <c r="N3792" s="5">
        <v>0.17449999999999999</v>
      </c>
      <c r="O3792" s="5">
        <v>19</v>
      </c>
      <c r="P3792" s="5">
        <v>360282</v>
      </c>
    </row>
    <row r="3793" spans="1:16" x14ac:dyDescent="0.3">
      <c r="A3793" s="5">
        <v>13</v>
      </c>
      <c r="B3793" s="5" t="s">
        <v>152</v>
      </c>
      <c r="C3793" s="5">
        <v>3</v>
      </c>
      <c r="D3793" s="5" t="s">
        <v>85</v>
      </c>
      <c r="E3793" s="5">
        <v>2024</v>
      </c>
      <c r="F3793" s="5">
        <v>10</v>
      </c>
      <c r="G3793" s="5" t="s">
        <v>67</v>
      </c>
      <c r="H3793" s="5">
        <v>13194926</v>
      </c>
      <c r="I3793" s="5">
        <v>10594671.08</v>
      </c>
      <c r="J3793" s="5">
        <v>174</v>
      </c>
      <c r="K3793" s="5">
        <v>467595</v>
      </c>
      <c r="L3793" s="5">
        <v>13618250</v>
      </c>
      <c r="M3793" s="5">
        <v>2600254.92</v>
      </c>
      <c r="N3793" s="5">
        <v>0.1971</v>
      </c>
      <c r="O3793" s="5">
        <v>14</v>
      </c>
      <c r="P3793" s="5">
        <v>482672</v>
      </c>
    </row>
    <row r="3794" spans="1:16" x14ac:dyDescent="0.3">
      <c r="A3794" s="5">
        <v>13</v>
      </c>
      <c r="B3794" s="5" t="s">
        <v>152</v>
      </c>
      <c r="C3794" s="5">
        <v>3</v>
      </c>
      <c r="D3794" s="5" t="s">
        <v>85</v>
      </c>
      <c r="E3794" s="5">
        <v>2024</v>
      </c>
      <c r="F3794" s="5">
        <v>11</v>
      </c>
      <c r="G3794" s="5" t="s">
        <v>68</v>
      </c>
      <c r="H3794" s="5">
        <v>13840432</v>
      </c>
      <c r="I3794" s="5">
        <v>11686205.880000001</v>
      </c>
      <c r="J3794" s="5">
        <v>178</v>
      </c>
      <c r="K3794" s="5">
        <v>1314475</v>
      </c>
      <c r="L3794" s="5">
        <v>15124500</v>
      </c>
      <c r="M3794" s="5">
        <v>2154226.12</v>
      </c>
      <c r="N3794" s="5">
        <v>0.15559999999999999</v>
      </c>
      <c r="O3794" s="5">
        <v>17</v>
      </c>
      <c r="P3794" s="5">
        <v>524815</v>
      </c>
    </row>
    <row r="3795" spans="1:16" x14ac:dyDescent="0.3">
      <c r="A3795" s="5">
        <v>13</v>
      </c>
      <c r="B3795" s="5" t="s">
        <v>152</v>
      </c>
      <c r="C3795" s="5">
        <v>3</v>
      </c>
      <c r="D3795" s="5" t="s">
        <v>85</v>
      </c>
      <c r="E3795" s="5">
        <v>2024</v>
      </c>
      <c r="F3795" s="5">
        <v>12</v>
      </c>
      <c r="G3795" s="5" t="s">
        <v>69</v>
      </c>
      <c r="H3795" s="5">
        <v>10567899</v>
      </c>
      <c r="I3795" s="5">
        <v>8518318.5399999991</v>
      </c>
      <c r="J3795" s="5">
        <v>139</v>
      </c>
      <c r="K3795" s="5">
        <v>376578</v>
      </c>
      <c r="L3795" s="5">
        <v>10916820</v>
      </c>
      <c r="M3795" s="5">
        <v>2049580.46</v>
      </c>
      <c r="N3795" s="5">
        <v>0.19389999999999999</v>
      </c>
      <c r="O3795" s="5">
        <v>11</v>
      </c>
      <c r="P3795" s="5">
        <v>112261</v>
      </c>
    </row>
    <row r="3796" spans="1:16" x14ac:dyDescent="0.3">
      <c r="A3796" s="5">
        <v>101</v>
      </c>
      <c r="B3796" s="5" t="s">
        <v>153</v>
      </c>
      <c r="C3796" s="5">
        <v>5</v>
      </c>
      <c r="D3796" s="5" t="s">
        <v>80</v>
      </c>
      <c r="E3796" s="5">
        <v>2021</v>
      </c>
      <c r="F3796" s="5">
        <v>1</v>
      </c>
      <c r="G3796" s="5" t="s">
        <v>22</v>
      </c>
      <c r="H3796" s="5">
        <v>1138680</v>
      </c>
      <c r="I3796" s="5">
        <v>1093816.8600000001</v>
      </c>
      <c r="J3796" s="5">
        <v>12</v>
      </c>
      <c r="K3796" s="5">
        <v>244627</v>
      </c>
      <c r="L3796" s="5">
        <v>1378020</v>
      </c>
      <c r="M3796" s="5">
        <v>44863.14</v>
      </c>
      <c r="N3796" s="5">
        <v>3.9399999999999998E-2</v>
      </c>
      <c r="O3796" s="5">
        <v>2</v>
      </c>
      <c r="P3796" s="5">
        <v>3619</v>
      </c>
    </row>
    <row r="3797" spans="1:16" x14ac:dyDescent="0.3">
      <c r="A3797" s="5">
        <v>101</v>
      </c>
      <c r="B3797" s="5" t="s">
        <v>153</v>
      </c>
      <c r="C3797" s="5">
        <v>5</v>
      </c>
      <c r="D3797" s="5" t="s">
        <v>80</v>
      </c>
      <c r="E3797" s="5">
        <v>2021</v>
      </c>
      <c r="F3797" s="5">
        <v>2</v>
      </c>
      <c r="G3797" s="5" t="s">
        <v>23</v>
      </c>
      <c r="H3797" s="5">
        <v>641653</v>
      </c>
      <c r="I3797" s="5">
        <v>600993.93000000005</v>
      </c>
      <c r="J3797" s="5">
        <v>7</v>
      </c>
      <c r="K3797" s="5">
        <v>105539</v>
      </c>
      <c r="L3797" s="5">
        <v>747170</v>
      </c>
      <c r="M3797" s="5">
        <v>40659.07</v>
      </c>
      <c r="N3797" s="5">
        <v>6.3399999999999998E-2</v>
      </c>
      <c r="O3797" s="5">
        <v>0</v>
      </c>
      <c r="P3797" s="5">
        <v>0</v>
      </c>
    </row>
    <row r="3798" spans="1:16" x14ac:dyDescent="0.3">
      <c r="A3798" s="5">
        <v>101</v>
      </c>
      <c r="B3798" s="5" t="s">
        <v>153</v>
      </c>
      <c r="C3798" s="5">
        <v>5</v>
      </c>
      <c r="D3798" s="5" t="s">
        <v>80</v>
      </c>
      <c r="E3798" s="5">
        <v>2021</v>
      </c>
      <c r="F3798" s="5">
        <v>3</v>
      </c>
      <c r="G3798" s="5" t="s">
        <v>24</v>
      </c>
      <c r="H3798" s="5">
        <v>1028164</v>
      </c>
      <c r="I3798" s="5">
        <v>881256.24</v>
      </c>
      <c r="J3798" s="5">
        <v>12</v>
      </c>
      <c r="K3798" s="5">
        <v>103851</v>
      </c>
      <c r="L3798" s="5">
        <v>1129950</v>
      </c>
      <c r="M3798" s="5">
        <v>146907.76</v>
      </c>
      <c r="N3798" s="5">
        <v>0.1429</v>
      </c>
      <c r="O3798" s="5">
        <v>1</v>
      </c>
      <c r="P3798" s="5">
        <v>4076</v>
      </c>
    </row>
    <row r="3799" spans="1:16" x14ac:dyDescent="0.3">
      <c r="A3799" s="5">
        <v>101</v>
      </c>
      <c r="B3799" s="5" t="s">
        <v>153</v>
      </c>
      <c r="C3799" s="5">
        <v>5</v>
      </c>
      <c r="D3799" s="5" t="s">
        <v>80</v>
      </c>
      <c r="E3799" s="5">
        <v>2021</v>
      </c>
      <c r="F3799" s="5">
        <v>4</v>
      </c>
      <c r="G3799" s="5" t="s">
        <v>25</v>
      </c>
      <c r="H3799" s="5">
        <v>554067</v>
      </c>
      <c r="I3799" s="5">
        <v>527105.05000000005</v>
      </c>
      <c r="J3799" s="5">
        <v>10</v>
      </c>
      <c r="K3799" s="5">
        <v>130035</v>
      </c>
      <c r="L3799" s="5">
        <v>683760</v>
      </c>
      <c r="M3799" s="5">
        <v>26961.95</v>
      </c>
      <c r="N3799" s="5">
        <v>4.87E-2</v>
      </c>
      <c r="O3799" s="5">
        <v>3</v>
      </c>
      <c r="P3799" s="5">
        <v>21626</v>
      </c>
    </row>
    <row r="3800" spans="1:16" x14ac:dyDescent="0.3">
      <c r="A3800" s="5">
        <v>101</v>
      </c>
      <c r="B3800" s="5" t="s">
        <v>153</v>
      </c>
      <c r="C3800" s="5">
        <v>5</v>
      </c>
      <c r="D3800" s="5" t="s">
        <v>80</v>
      </c>
      <c r="E3800" s="5">
        <v>2021</v>
      </c>
      <c r="F3800" s="5">
        <v>5</v>
      </c>
      <c r="G3800" s="5" t="s">
        <v>26</v>
      </c>
      <c r="H3800" s="5">
        <v>760768</v>
      </c>
      <c r="I3800" s="5">
        <v>705371.07</v>
      </c>
      <c r="J3800" s="5">
        <v>15</v>
      </c>
      <c r="K3800" s="5">
        <v>143986</v>
      </c>
      <c r="L3800" s="5">
        <v>903070</v>
      </c>
      <c r="M3800" s="5">
        <v>55396.93</v>
      </c>
      <c r="N3800" s="5">
        <v>7.2800000000000004E-2</v>
      </c>
      <c r="O3800" s="5">
        <v>3</v>
      </c>
      <c r="P3800" s="5">
        <v>71052</v>
      </c>
    </row>
    <row r="3801" spans="1:16" x14ac:dyDescent="0.3">
      <c r="A3801" s="5">
        <v>101</v>
      </c>
      <c r="B3801" s="5" t="s">
        <v>153</v>
      </c>
      <c r="C3801" s="5">
        <v>5</v>
      </c>
      <c r="D3801" s="5" t="s">
        <v>80</v>
      </c>
      <c r="E3801" s="5">
        <v>2021</v>
      </c>
      <c r="F3801" s="5">
        <v>6</v>
      </c>
      <c r="G3801" s="5" t="s">
        <v>27</v>
      </c>
      <c r="H3801" s="5">
        <v>747264</v>
      </c>
      <c r="I3801" s="5">
        <v>690508.63</v>
      </c>
      <c r="J3801" s="5">
        <v>13</v>
      </c>
      <c r="K3801" s="5">
        <v>106854</v>
      </c>
      <c r="L3801" s="5">
        <v>846920</v>
      </c>
      <c r="M3801" s="5">
        <v>56755.37</v>
      </c>
      <c r="N3801" s="5">
        <v>7.5999999999999998E-2</v>
      </c>
      <c r="O3801" s="5">
        <v>0</v>
      </c>
      <c r="P3801" s="5">
        <v>0</v>
      </c>
    </row>
    <row r="3802" spans="1:16" x14ac:dyDescent="0.3">
      <c r="A3802" s="5">
        <v>101</v>
      </c>
      <c r="B3802" s="5" t="s">
        <v>153</v>
      </c>
      <c r="C3802" s="5">
        <v>5</v>
      </c>
      <c r="D3802" s="5" t="s">
        <v>80</v>
      </c>
      <c r="E3802" s="5">
        <v>2021</v>
      </c>
      <c r="F3802" s="5">
        <v>7</v>
      </c>
      <c r="G3802" s="5" t="s">
        <v>28</v>
      </c>
      <c r="H3802" s="5">
        <v>1019067</v>
      </c>
      <c r="I3802" s="5">
        <v>972563.86</v>
      </c>
      <c r="J3802" s="5">
        <v>12</v>
      </c>
      <c r="K3802" s="5">
        <v>180648</v>
      </c>
      <c r="L3802" s="5">
        <v>1194450</v>
      </c>
      <c r="M3802" s="5">
        <v>46503.14</v>
      </c>
      <c r="N3802" s="5">
        <v>4.5600000000000002E-2</v>
      </c>
      <c r="O3802" s="5">
        <v>3</v>
      </c>
      <c r="P3802" s="5">
        <v>11355</v>
      </c>
    </row>
    <row r="3803" spans="1:16" x14ac:dyDescent="0.3">
      <c r="A3803" s="5">
        <v>101</v>
      </c>
      <c r="B3803" s="5" t="s">
        <v>153</v>
      </c>
      <c r="C3803" s="5">
        <v>5</v>
      </c>
      <c r="D3803" s="5" t="s">
        <v>80</v>
      </c>
      <c r="E3803" s="5">
        <v>2021</v>
      </c>
      <c r="F3803" s="5">
        <v>8</v>
      </c>
      <c r="G3803" s="5" t="s">
        <v>29</v>
      </c>
      <c r="H3803" s="5">
        <v>945001</v>
      </c>
      <c r="I3803" s="5">
        <v>764937.45</v>
      </c>
      <c r="J3803" s="5">
        <v>13</v>
      </c>
      <c r="K3803" s="5">
        <v>84941</v>
      </c>
      <c r="L3803" s="5">
        <v>1027020</v>
      </c>
      <c r="M3803" s="5">
        <v>180063.55</v>
      </c>
      <c r="N3803" s="5">
        <v>0.1905</v>
      </c>
      <c r="O3803" s="5">
        <v>1</v>
      </c>
      <c r="P3803" s="5">
        <v>8394</v>
      </c>
    </row>
    <row r="3804" spans="1:16" x14ac:dyDescent="0.3">
      <c r="A3804" s="5">
        <v>101</v>
      </c>
      <c r="B3804" s="5" t="s">
        <v>153</v>
      </c>
      <c r="C3804" s="5">
        <v>5</v>
      </c>
      <c r="D3804" s="5" t="s">
        <v>80</v>
      </c>
      <c r="E3804" s="5">
        <v>2021</v>
      </c>
      <c r="F3804" s="5">
        <v>9</v>
      </c>
      <c r="G3804" s="5" t="s">
        <v>30</v>
      </c>
      <c r="H3804" s="5">
        <v>1000246</v>
      </c>
      <c r="I3804" s="5">
        <v>894474.56</v>
      </c>
      <c r="J3804" s="5">
        <v>15</v>
      </c>
      <c r="K3804" s="5">
        <v>142403</v>
      </c>
      <c r="L3804" s="5">
        <v>1141000</v>
      </c>
      <c r="M3804" s="5">
        <v>105771.44</v>
      </c>
      <c r="N3804" s="5">
        <v>0.1057</v>
      </c>
      <c r="O3804" s="5">
        <v>2</v>
      </c>
      <c r="P3804" s="5">
        <v>15419</v>
      </c>
    </row>
    <row r="3805" spans="1:16" x14ac:dyDescent="0.3">
      <c r="A3805" s="5">
        <v>101</v>
      </c>
      <c r="B3805" s="5" t="s">
        <v>153</v>
      </c>
      <c r="C3805" s="5">
        <v>5</v>
      </c>
      <c r="D3805" s="5" t="s">
        <v>80</v>
      </c>
      <c r="E3805" s="5">
        <v>2021</v>
      </c>
      <c r="F3805" s="5">
        <v>10</v>
      </c>
      <c r="G3805" s="5" t="s">
        <v>31</v>
      </c>
      <c r="H3805" s="5">
        <v>573659</v>
      </c>
      <c r="I3805" s="5">
        <v>457207.96</v>
      </c>
      <c r="J3805" s="5">
        <v>8</v>
      </c>
      <c r="K3805" s="5">
        <v>7356</v>
      </c>
      <c r="L3805" s="5">
        <v>575090</v>
      </c>
      <c r="M3805" s="5">
        <v>116451.04</v>
      </c>
      <c r="N3805" s="5">
        <v>0.20300000000000001</v>
      </c>
      <c r="O3805" s="5">
        <v>3</v>
      </c>
      <c r="P3805" s="5">
        <v>115065</v>
      </c>
    </row>
    <row r="3806" spans="1:16" x14ac:dyDescent="0.3">
      <c r="A3806" s="5">
        <v>101</v>
      </c>
      <c r="B3806" s="5" t="s">
        <v>153</v>
      </c>
      <c r="C3806" s="5">
        <v>5</v>
      </c>
      <c r="D3806" s="5" t="s">
        <v>80</v>
      </c>
      <c r="E3806" s="5">
        <v>2021</v>
      </c>
      <c r="F3806" s="5">
        <v>11</v>
      </c>
      <c r="G3806" s="5" t="s">
        <v>32</v>
      </c>
      <c r="H3806" s="5">
        <v>2248338</v>
      </c>
      <c r="I3806" s="5">
        <v>1815176.22</v>
      </c>
      <c r="J3806" s="5">
        <v>22</v>
      </c>
      <c r="K3806" s="5">
        <v>164564</v>
      </c>
      <c r="L3806" s="5">
        <v>2403900</v>
      </c>
      <c r="M3806" s="5">
        <v>433161.78</v>
      </c>
      <c r="N3806" s="5">
        <v>0.19270000000000001</v>
      </c>
      <c r="O3806" s="5">
        <v>2</v>
      </c>
      <c r="P3806" s="5">
        <v>78422</v>
      </c>
    </row>
    <row r="3807" spans="1:16" x14ac:dyDescent="0.3">
      <c r="A3807" s="5">
        <v>101</v>
      </c>
      <c r="B3807" s="5" t="s">
        <v>153</v>
      </c>
      <c r="C3807" s="5">
        <v>5</v>
      </c>
      <c r="D3807" s="5" t="s">
        <v>80</v>
      </c>
      <c r="E3807" s="5">
        <v>2021</v>
      </c>
      <c r="F3807" s="5">
        <v>12</v>
      </c>
      <c r="G3807" s="5" t="s">
        <v>33</v>
      </c>
      <c r="H3807" s="5">
        <v>1121371</v>
      </c>
      <c r="I3807" s="5">
        <v>918930.61</v>
      </c>
      <c r="J3807" s="5">
        <v>19</v>
      </c>
      <c r="K3807" s="5">
        <v>99739</v>
      </c>
      <c r="L3807" s="5">
        <v>1219520</v>
      </c>
      <c r="M3807" s="5">
        <v>202440.39</v>
      </c>
      <c r="N3807" s="5">
        <v>0.18049999999999999</v>
      </c>
      <c r="O3807" s="5">
        <v>3</v>
      </c>
      <c r="P3807" s="5">
        <v>95311</v>
      </c>
    </row>
    <row r="3808" spans="1:16" x14ac:dyDescent="0.3">
      <c r="A3808" s="5">
        <v>101</v>
      </c>
      <c r="B3808" s="5" t="s">
        <v>153</v>
      </c>
      <c r="C3808" s="5">
        <v>5</v>
      </c>
      <c r="D3808" s="5" t="s">
        <v>80</v>
      </c>
      <c r="E3808" s="5">
        <v>2022</v>
      </c>
      <c r="F3808" s="5">
        <v>1</v>
      </c>
      <c r="G3808" s="5" t="s">
        <v>34</v>
      </c>
      <c r="H3808" s="5">
        <v>1003057</v>
      </c>
      <c r="I3808" s="5">
        <v>961540.41</v>
      </c>
      <c r="J3808" s="5">
        <v>12</v>
      </c>
      <c r="K3808" s="5">
        <v>209239</v>
      </c>
      <c r="L3808" s="5">
        <v>1210920</v>
      </c>
      <c r="M3808" s="5">
        <v>41516.589999999997</v>
      </c>
      <c r="N3808" s="5">
        <v>4.1399999999999999E-2</v>
      </c>
      <c r="O3808" s="5">
        <v>0</v>
      </c>
      <c r="P3808" s="5">
        <v>0</v>
      </c>
    </row>
    <row r="3809" spans="1:16" x14ac:dyDescent="0.3">
      <c r="A3809" s="5">
        <v>101</v>
      </c>
      <c r="B3809" s="5" t="s">
        <v>153</v>
      </c>
      <c r="C3809" s="5">
        <v>5</v>
      </c>
      <c r="D3809" s="5" t="s">
        <v>80</v>
      </c>
      <c r="E3809" s="5">
        <v>2022</v>
      </c>
      <c r="F3809" s="5">
        <v>2</v>
      </c>
      <c r="G3809" s="5" t="s">
        <v>35</v>
      </c>
      <c r="H3809" s="5">
        <v>290652</v>
      </c>
      <c r="I3809" s="5">
        <v>258497.91</v>
      </c>
      <c r="J3809" s="5">
        <v>7</v>
      </c>
      <c r="K3809" s="5">
        <v>45008</v>
      </c>
      <c r="L3809" s="5">
        <v>335210</v>
      </c>
      <c r="M3809" s="5">
        <v>32154.09</v>
      </c>
      <c r="N3809" s="5">
        <v>0.1106</v>
      </c>
      <c r="O3809" s="5">
        <v>3</v>
      </c>
      <c r="P3809" s="5">
        <v>55243</v>
      </c>
    </row>
    <row r="3810" spans="1:16" x14ac:dyDescent="0.3">
      <c r="A3810" s="5">
        <v>101</v>
      </c>
      <c r="B3810" s="5" t="s">
        <v>153</v>
      </c>
      <c r="C3810" s="5">
        <v>5</v>
      </c>
      <c r="D3810" s="5" t="s">
        <v>80</v>
      </c>
      <c r="E3810" s="5">
        <v>2022</v>
      </c>
      <c r="F3810" s="5">
        <v>3</v>
      </c>
      <c r="G3810" s="5" t="s">
        <v>36</v>
      </c>
      <c r="H3810" s="5">
        <v>877022</v>
      </c>
      <c r="I3810" s="5">
        <v>788602.17</v>
      </c>
      <c r="J3810" s="5">
        <v>12</v>
      </c>
      <c r="K3810" s="5">
        <v>99120</v>
      </c>
      <c r="L3810" s="5">
        <v>971260</v>
      </c>
      <c r="M3810" s="5">
        <v>88419.83</v>
      </c>
      <c r="N3810" s="5">
        <v>0.1008</v>
      </c>
      <c r="O3810" s="5">
        <v>1</v>
      </c>
      <c r="P3810" s="5">
        <v>1283</v>
      </c>
    </row>
    <row r="3811" spans="1:16" x14ac:dyDescent="0.3">
      <c r="A3811" s="5">
        <v>101</v>
      </c>
      <c r="B3811" s="5" t="s">
        <v>153</v>
      </c>
      <c r="C3811" s="5">
        <v>5</v>
      </c>
      <c r="D3811" s="5" t="s">
        <v>80</v>
      </c>
      <c r="E3811" s="5">
        <v>2022</v>
      </c>
      <c r="F3811" s="5">
        <v>4</v>
      </c>
      <c r="G3811" s="5" t="s">
        <v>37</v>
      </c>
      <c r="H3811" s="5">
        <v>912700</v>
      </c>
      <c r="I3811" s="5">
        <v>790673.58</v>
      </c>
      <c r="J3811" s="5">
        <v>11</v>
      </c>
      <c r="K3811" s="5">
        <v>111227</v>
      </c>
      <c r="L3811" s="5">
        <v>1023400</v>
      </c>
      <c r="M3811" s="5">
        <v>122026.42</v>
      </c>
      <c r="N3811" s="5">
        <v>0.13370000000000001</v>
      </c>
      <c r="O3811" s="5">
        <v>0</v>
      </c>
      <c r="P3811" s="5">
        <v>0</v>
      </c>
    </row>
    <row r="3812" spans="1:16" x14ac:dyDescent="0.3">
      <c r="A3812" s="5">
        <v>101</v>
      </c>
      <c r="B3812" s="5" t="s">
        <v>153</v>
      </c>
      <c r="C3812" s="5">
        <v>5</v>
      </c>
      <c r="D3812" s="5" t="s">
        <v>80</v>
      </c>
      <c r="E3812" s="5">
        <v>2022</v>
      </c>
      <c r="F3812" s="5">
        <v>5</v>
      </c>
      <c r="G3812" s="5" t="s">
        <v>38</v>
      </c>
      <c r="H3812" s="5">
        <v>850206</v>
      </c>
      <c r="I3812" s="5">
        <v>688520.32</v>
      </c>
      <c r="J3812" s="5">
        <v>18</v>
      </c>
      <c r="K3812" s="5">
        <v>86705</v>
      </c>
      <c r="L3812" s="5">
        <v>931470</v>
      </c>
      <c r="M3812" s="5">
        <v>161685.68</v>
      </c>
      <c r="N3812" s="5">
        <v>0.19020000000000001</v>
      </c>
      <c r="O3812" s="5">
        <v>3</v>
      </c>
      <c r="P3812" s="5">
        <v>12364</v>
      </c>
    </row>
    <row r="3813" spans="1:16" x14ac:dyDescent="0.3">
      <c r="A3813" s="5">
        <v>101</v>
      </c>
      <c r="B3813" s="5" t="s">
        <v>153</v>
      </c>
      <c r="C3813" s="5">
        <v>5</v>
      </c>
      <c r="D3813" s="5" t="s">
        <v>80</v>
      </c>
      <c r="E3813" s="5">
        <v>2022</v>
      </c>
      <c r="F3813" s="5">
        <v>6</v>
      </c>
      <c r="G3813" s="5" t="s">
        <v>39</v>
      </c>
      <c r="H3813" s="5">
        <v>586513</v>
      </c>
      <c r="I3813" s="5">
        <v>506878.95</v>
      </c>
      <c r="J3813" s="5">
        <v>13</v>
      </c>
      <c r="K3813" s="5">
        <v>59173</v>
      </c>
      <c r="L3813" s="5">
        <v>643570</v>
      </c>
      <c r="M3813" s="5">
        <v>79634.05</v>
      </c>
      <c r="N3813" s="5">
        <v>0.1358</v>
      </c>
      <c r="O3813" s="5">
        <v>0</v>
      </c>
      <c r="P3813" s="5">
        <v>0</v>
      </c>
    </row>
    <row r="3814" spans="1:16" x14ac:dyDescent="0.3">
      <c r="A3814" s="5">
        <v>101</v>
      </c>
      <c r="B3814" s="5" t="s">
        <v>153</v>
      </c>
      <c r="C3814" s="5">
        <v>5</v>
      </c>
      <c r="D3814" s="5" t="s">
        <v>80</v>
      </c>
      <c r="E3814" s="5">
        <v>2022</v>
      </c>
      <c r="F3814" s="5">
        <v>7</v>
      </c>
      <c r="G3814" s="5" t="s">
        <v>40</v>
      </c>
      <c r="H3814" s="5">
        <v>2382226</v>
      </c>
      <c r="I3814" s="5">
        <v>2124339.38</v>
      </c>
      <c r="J3814" s="5">
        <v>18</v>
      </c>
      <c r="K3814" s="5">
        <v>360737</v>
      </c>
      <c r="L3814" s="5">
        <v>2727550</v>
      </c>
      <c r="M3814" s="5">
        <v>257886.62</v>
      </c>
      <c r="N3814" s="5">
        <v>0.10829999999999999</v>
      </c>
      <c r="O3814" s="5">
        <v>1</v>
      </c>
      <c r="P3814" s="5">
        <v>80384</v>
      </c>
    </row>
    <row r="3815" spans="1:16" x14ac:dyDescent="0.3">
      <c r="A3815" s="5">
        <v>101</v>
      </c>
      <c r="B3815" s="5" t="s">
        <v>153</v>
      </c>
      <c r="C3815" s="5">
        <v>5</v>
      </c>
      <c r="D3815" s="5" t="s">
        <v>80</v>
      </c>
      <c r="E3815" s="5">
        <v>2022</v>
      </c>
      <c r="F3815" s="5">
        <v>8</v>
      </c>
      <c r="G3815" s="5" t="s">
        <v>41</v>
      </c>
      <c r="H3815" s="5">
        <v>404436</v>
      </c>
      <c r="I3815" s="5">
        <v>455718.53</v>
      </c>
      <c r="J3815" s="5">
        <v>7</v>
      </c>
      <c r="K3815" s="5">
        <v>188919</v>
      </c>
      <c r="L3815" s="5">
        <v>593190</v>
      </c>
      <c r="M3815" s="5">
        <v>-51282.53</v>
      </c>
      <c r="N3815" s="5">
        <v>-0.1268</v>
      </c>
      <c r="O3815" s="5">
        <v>2</v>
      </c>
      <c r="P3815" s="5">
        <v>155377</v>
      </c>
    </row>
    <row r="3816" spans="1:16" x14ac:dyDescent="0.3">
      <c r="A3816" s="5">
        <v>101</v>
      </c>
      <c r="B3816" s="5" t="s">
        <v>153</v>
      </c>
      <c r="C3816" s="5">
        <v>5</v>
      </c>
      <c r="D3816" s="5" t="s">
        <v>80</v>
      </c>
      <c r="E3816" s="5">
        <v>2022</v>
      </c>
      <c r="F3816" s="5">
        <v>9</v>
      </c>
      <c r="G3816" s="5" t="s">
        <v>42</v>
      </c>
      <c r="H3816" s="5">
        <v>1380241</v>
      </c>
      <c r="I3816" s="5">
        <v>1258711.49</v>
      </c>
      <c r="J3816" s="5">
        <v>17</v>
      </c>
      <c r="K3816" s="5">
        <v>207737</v>
      </c>
      <c r="L3816" s="5">
        <v>1584870</v>
      </c>
      <c r="M3816" s="5">
        <v>121529.51</v>
      </c>
      <c r="N3816" s="5">
        <v>8.7999999999999995E-2</v>
      </c>
      <c r="O3816" s="5">
        <v>0</v>
      </c>
      <c r="P3816" s="5">
        <v>0</v>
      </c>
    </row>
    <row r="3817" spans="1:16" x14ac:dyDescent="0.3">
      <c r="A3817" s="5">
        <v>101</v>
      </c>
      <c r="B3817" s="5" t="s">
        <v>153</v>
      </c>
      <c r="C3817" s="5">
        <v>5</v>
      </c>
      <c r="D3817" s="5" t="s">
        <v>80</v>
      </c>
      <c r="E3817" s="5">
        <v>2022</v>
      </c>
      <c r="F3817" s="5">
        <v>10</v>
      </c>
      <c r="G3817" s="5" t="s">
        <v>43</v>
      </c>
      <c r="H3817" s="5">
        <v>593338</v>
      </c>
      <c r="I3817" s="5">
        <v>552944.36</v>
      </c>
      <c r="J3817" s="5">
        <v>21</v>
      </c>
      <c r="K3817" s="5">
        <v>154283</v>
      </c>
      <c r="L3817" s="5">
        <v>746510</v>
      </c>
      <c r="M3817" s="5">
        <v>40393.64</v>
      </c>
      <c r="N3817" s="5">
        <v>6.8099999999999994E-2</v>
      </c>
      <c r="O3817" s="5">
        <v>2</v>
      </c>
      <c r="P3817" s="5">
        <v>2549</v>
      </c>
    </row>
    <row r="3818" spans="1:16" x14ac:dyDescent="0.3">
      <c r="A3818" s="5">
        <v>101</v>
      </c>
      <c r="B3818" s="5" t="s">
        <v>153</v>
      </c>
      <c r="C3818" s="5">
        <v>5</v>
      </c>
      <c r="D3818" s="5" t="s">
        <v>80</v>
      </c>
      <c r="E3818" s="5">
        <v>2022</v>
      </c>
      <c r="F3818" s="5">
        <v>11</v>
      </c>
      <c r="G3818" s="5" t="s">
        <v>44</v>
      </c>
      <c r="H3818" s="5">
        <v>1090590</v>
      </c>
      <c r="I3818" s="5">
        <v>930038.81</v>
      </c>
      <c r="J3818" s="5">
        <v>17</v>
      </c>
      <c r="K3818" s="5">
        <v>109177</v>
      </c>
      <c r="L3818" s="5">
        <v>1196940</v>
      </c>
      <c r="M3818" s="5">
        <v>160551.19</v>
      </c>
      <c r="N3818" s="5">
        <v>0.1472</v>
      </c>
      <c r="O3818" s="5">
        <v>2</v>
      </c>
      <c r="P3818" s="5">
        <v>109709</v>
      </c>
    </row>
    <row r="3819" spans="1:16" x14ac:dyDescent="0.3">
      <c r="A3819" s="5">
        <v>101</v>
      </c>
      <c r="B3819" s="5" t="s">
        <v>153</v>
      </c>
      <c r="C3819" s="5">
        <v>5</v>
      </c>
      <c r="D3819" s="5" t="s">
        <v>80</v>
      </c>
      <c r="E3819" s="5">
        <v>2022</v>
      </c>
      <c r="F3819" s="5">
        <v>12</v>
      </c>
      <c r="G3819" s="5" t="s">
        <v>45</v>
      </c>
      <c r="H3819" s="5">
        <v>1783696</v>
      </c>
      <c r="I3819" s="5">
        <v>1493682.09</v>
      </c>
      <c r="J3819" s="5">
        <v>28</v>
      </c>
      <c r="K3819" s="5">
        <v>169090</v>
      </c>
      <c r="L3819" s="5">
        <v>1944770</v>
      </c>
      <c r="M3819" s="5">
        <v>290013.90999999997</v>
      </c>
      <c r="N3819" s="5">
        <v>0.16259999999999999</v>
      </c>
      <c r="O3819" s="5">
        <v>2</v>
      </c>
      <c r="P3819" s="5">
        <v>12294</v>
      </c>
    </row>
    <row r="3820" spans="1:16" x14ac:dyDescent="0.3">
      <c r="A3820" s="5">
        <v>101</v>
      </c>
      <c r="B3820" s="5" t="s">
        <v>153</v>
      </c>
      <c r="C3820" s="5">
        <v>5</v>
      </c>
      <c r="D3820" s="5" t="s">
        <v>80</v>
      </c>
      <c r="E3820" s="5">
        <v>2023</v>
      </c>
      <c r="F3820" s="5">
        <v>1</v>
      </c>
      <c r="G3820" s="5" t="s">
        <v>46</v>
      </c>
      <c r="H3820" s="5">
        <v>1194400</v>
      </c>
      <c r="I3820" s="5">
        <v>1067440.8400000001</v>
      </c>
      <c r="J3820" s="5">
        <v>23</v>
      </c>
      <c r="K3820" s="5">
        <v>179507</v>
      </c>
      <c r="L3820" s="5">
        <v>1366190</v>
      </c>
      <c r="M3820" s="5">
        <v>126959.16</v>
      </c>
      <c r="N3820" s="5">
        <v>0.10630000000000001</v>
      </c>
      <c r="O3820" s="5">
        <v>2</v>
      </c>
      <c r="P3820" s="5">
        <v>166231</v>
      </c>
    </row>
    <row r="3821" spans="1:16" x14ac:dyDescent="0.3">
      <c r="A3821" s="5">
        <v>101</v>
      </c>
      <c r="B3821" s="5" t="s">
        <v>153</v>
      </c>
      <c r="C3821" s="5">
        <v>5</v>
      </c>
      <c r="D3821" s="5" t="s">
        <v>80</v>
      </c>
      <c r="E3821" s="5">
        <v>2023</v>
      </c>
      <c r="F3821" s="5">
        <v>2</v>
      </c>
      <c r="G3821" s="5" t="s">
        <v>47</v>
      </c>
      <c r="H3821" s="5">
        <v>927380</v>
      </c>
      <c r="I3821" s="5">
        <v>808050.07</v>
      </c>
      <c r="J3821" s="5">
        <v>7</v>
      </c>
      <c r="K3821" s="5">
        <v>98093</v>
      </c>
      <c r="L3821" s="5">
        <v>1023720</v>
      </c>
      <c r="M3821" s="5">
        <v>119329.93</v>
      </c>
      <c r="N3821" s="5">
        <v>0.12870000000000001</v>
      </c>
      <c r="O3821" s="5">
        <v>2</v>
      </c>
      <c r="P3821" s="5">
        <v>23113</v>
      </c>
    </row>
    <row r="3822" spans="1:16" x14ac:dyDescent="0.3">
      <c r="A3822" s="5">
        <v>101</v>
      </c>
      <c r="B3822" s="5" t="s">
        <v>153</v>
      </c>
      <c r="C3822" s="5">
        <v>5</v>
      </c>
      <c r="D3822" s="5" t="s">
        <v>80</v>
      </c>
      <c r="E3822" s="5">
        <v>2023</v>
      </c>
      <c r="F3822" s="5">
        <v>3</v>
      </c>
      <c r="G3822" s="5" t="s">
        <v>48</v>
      </c>
      <c r="H3822" s="5">
        <v>1575701</v>
      </c>
      <c r="I3822" s="5">
        <v>1513862.53</v>
      </c>
      <c r="J3822" s="5">
        <v>18</v>
      </c>
      <c r="K3822" s="5">
        <v>311097</v>
      </c>
      <c r="L3822" s="5">
        <v>1886590</v>
      </c>
      <c r="M3822" s="5">
        <v>61838.47</v>
      </c>
      <c r="N3822" s="5">
        <v>3.9199999999999999E-2</v>
      </c>
      <c r="O3822" s="5">
        <v>4</v>
      </c>
      <c r="P3822" s="5">
        <v>96023</v>
      </c>
    </row>
    <row r="3823" spans="1:16" x14ac:dyDescent="0.3">
      <c r="A3823" s="5">
        <v>101</v>
      </c>
      <c r="B3823" s="5" t="s">
        <v>153</v>
      </c>
      <c r="C3823" s="5">
        <v>5</v>
      </c>
      <c r="D3823" s="5" t="s">
        <v>80</v>
      </c>
      <c r="E3823" s="5">
        <v>2023</v>
      </c>
      <c r="F3823" s="5">
        <v>4</v>
      </c>
      <c r="G3823" s="5" t="s">
        <v>49</v>
      </c>
      <c r="H3823" s="5">
        <v>1864344</v>
      </c>
      <c r="I3823" s="5">
        <v>1564411.76</v>
      </c>
      <c r="J3823" s="5">
        <v>27</v>
      </c>
      <c r="K3823" s="5">
        <v>172865</v>
      </c>
      <c r="L3823" s="5">
        <v>2030900</v>
      </c>
      <c r="M3823" s="5">
        <v>299932.24</v>
      </c>
      <c r="N3823" s="5">
        <v>0.16089999999999999</v>
      </c>
      <c r="O3823" s="5">
        <v>0</v>
      </c>
      <c r="P3823" s="5">
        <v>0</v>
      </c>
    </row>
    <row r="3824" spans="1:16" x14ac:dyDescent="0.3">
      <c r="A3824" s="5">
        <v>101</v>
      </c>
      <c r="B3824" s="5" t="s">
        <v>153</v>
      </c>
      <c r="C3824" s="5">
        <v>5</v>
      </c>
      <c r="D3824" s="5" t="s">
        <v>80</v>
      </c>
      <c r="E3824" s="5">
        <v>2023</v>
      </c>
      <c r="F3824" s="5">
        <v>5</v>
      </c>
      <c r="G3824" s="5" t="s">
        <v>50</v>
      </c>
      <c r="H3824" s="5">
        <v>1634515</v>
      </c>
      <c r="I3824" s="5">
        <v>1353319.37</v>
      </c>
      <c r="J3824" s="5">
        <v>21</v>
      </c>
      <c r="K3824" s="5">
        <v>114060</v>
      </c>
      <c r="L3824" s="5">
        <v>1738480</v>
      </c>
      <c r="M3824" s="5">
        <v>281195.63</v>
      </c>
      <c r="N3824" s="5">
        <v>0.17199999999999999</v>
      </c>
      <c r="O3824" s="5">
        <v>0</v>
      </c>
      <c r="P3824" s="5">
        <v>0</v>
      </c>
    </row>
    <row r="3825" spans="1:16" x14ac:dyDescent="0.3">
      <c r="A3825" s="5">
        <v>101</v>
      </c>
      <c r="B3825" s="5" t="s">
        <v>153</v>
      </c>
      <c r="C3825" s="5">
        <v>5</v>
      </c>
      <c r="D3825" s="5" t="s">
        <v>80</v>
      </c>
      <c r="E3825" s="5">
        <v>2023</v>
      </c>
      <c r="F3825" s="5">
        <v>6</v>
      </c>
      <c r="G3825" s="5" t="s">
        <v>51</v>
      </c>
      <c r="H3825" s="5">
        <v>1048916</v>
      </c>
      <c r="I3825" s="5">
        <v>1019533.75</v>
      </c>
      <c r="J3825" s="5">
        <v>17</v>
      </c>
      <c r="K3825" s="5">
        <v>218530</v>
      </c>
      <c r="L3825" s="5">
        <v>1266400</v>
      </c>
      <c r="M3825" s="5">
        <v>29382.25</v>
      </c>
      <c r="N3825" s="5">
        <v>2.8000000000000001E-2</v>
      </c>
      <c r="O3825" s="5">
        <v>1</v>
      </c>
      <c r="P3825" s="5">
        <v>10533</v>
      </c>
    </row>
    <row r="3826" spans="1:16" x14ac:dyDescent="0.3">
      <c r="A3826" s="5">
        <v>101</v>
      </c>
      <c r="B3826" s="5" t="s">
        <v>153</v>
      </c>
      <c r="C3826" s="5">
        <v>5</v>
      </c>
      <c r="D3826" s="5" t="s">
        <v>80</v>
      </c>
      <c r="E3826" s="5">
        <v>2023</v>
      </c>
      <c r="F3826" s="5">
        <v>7</v>
      </c>
      <c r="G3826" s="5" t="s">
        <v>52</v>
      </c>
      <c r="H3826" s="5">
        <v>1660837</v>
      </c>
      <c r="I3826" s="5">
        <v>1365927.86</v>
      </c>
      <c r="J3826" s="5">
        <v>27</v>
      </c>
      <c r="K3826" s="5">
        <v>165147</v>
      </c>
      <c r="L3826" s="5">
        <v>1818070</v>
      </c>
      <c r="M3826" s="5">
        <v>294909.14</v>
      </c>
      <c r="N3826" s="5">
        <v>0.17760000000000001</v>
      </c>
      <c r="O3826" s="5">
        <v>3</v>
      </c>
      <c r="P3826" s="5">
        <v>174558</v>
      </c>
    </row>
    <row r="3827" spans="1:16" x14ac:dyDescent="0.3">
      <c r="A3827" s="5">
        <v>101</v>
      </c>
      <c r="B3827" s="5" t="s">
        <v>153</v>
      </c>
      <c r="C3827" s="5">
        <v>5</v>
      </c>
      <c r="D3827" s="5" t="s">
        <v>80</v>
      </c>
      <c r="E3827" s="5">
        <v>2023</v>
      </c>
      <c r="F3827" s="5">
        <v>8</v>
      </c>
      <c r="G3827" s="5" t="s">
        <v>53</v>
      </c>
      <c r="H3827" s="5">
        <v>1115395</v>
      </c>
      <c r="I3827" s="5">
        <v>970993.87</v>
      </c>
      <c r="J3827" s="5">
        <v>20</v>
      </c>
      <c r="K3827" s="5">
        <v>140739</v>
      </c>
      <c r="L3827" s="5">
        <v>1251090</v>
      </c>
      <c r="M3827" s="5">
        <v>144401.13</v>
      </c>
      <c r="N3827" s="5">
        <v>0.1295</v>
      </c>
      <c r="O3827" s="5">
        <v>2</v>
      </c>
      <c r="P3827" s="5">
        <v>58588</v>
      </c>
    </row>
    <row r="3828" spans="1:16" x14ac:dyDescent="0.3">
      <c r="A3828" s="5">
        <v>101</v>
      </c>
      <c r="B3828" s="5" t="s">
        <v>153</v>
      </c>
      <c r="C3828" s="5">
        <v>5</v>
      </c>
      <c r="D3828" s="5" t="s">
        <v>80</v>
      </c>
      <c r="E3828" s="5">
        <v>2023</v>
      </c>
      <c r="F3828" s="5">
        <v>9</v>
      </c>
      <c r="G3828" s="5" t="s">
        <v>54</v>
      </c>
      <c r="H3828" s="5">
        <v>1532942</v>
      </c>
      <c r="I3828" s="5">
        <v>1289108.31</v>
      </c>
      <c r="J3828" s="5">
        <v>19</v>
      </c>
      <c r="K3828" s="5">
        <v>121071</v>
      </c>
      <c r="L3828" s="5">
        <v>1644770</v>
      </c>
      <c r="M3828" s="5">
        <v>243833.69</v>
      </c>
      <c r="N3828" s="5">
        <v>0.15909999999999999</v>
      </c>
      <c r="O3828" s="5">
        <v>3</v>
      </c>
      <c r="P3828" s="5">
        <v>53136</v>
      </c>
    </row>
    <row r="3829" spans="1:16" x14ac:dyDescent="0.3">
      <c r="A3829" s="5">
        <v>101</v>
      </c>
      <c r="B3829" s="5" t="s">
        <v>153</v>
      </c>
      <c r="C3829" s="5">
        <v>5</v>
      </c>
      <c r="D3829" s="5" t="s">
        <v>80</v>
      </c>
      <c r="E3829" s="5">
        <v>2023</v>
      </c>
      <c r="F3829" s="5">
        <v>10</v>
      </c>
      <c r="G3829" s="5" t="s">
        <v>55</v>
      </c>
      <c r="H3829" s="5">
        <v>3110600</v>
      </c>
      <c r="I3829" s="5">
        <v>2675228.4</v>
      </c>
      <c r="J3829" s="5">
        <v>38</v>
      </c>
      <c r="K3829" s="5">
        <v>326763</v>
      </c>
      <c r="L3829" s="5">
        <v>3420470</v>
      </c>
      <c r="M3829" s="5">
        <v>435371.6</v>
      </c>
      <c r="N3829" s="5">
        <v>0.14000000000000001</v>
      </c>
      <c r="O3829" s="5">
        <v>4</v>
      </c>
      <c r="P3829" s="5">
        <v>34873</v>
      </c>
    </row>
    <row r="3830" spans="1:16" x14ac:dyDescent="0.3">
      <c r="A3830" s="5">
        <v>101</v>
      </c>
      <c r="B3830" s="5" t="s">
        <v>153</v>
      </c>
      <c r="C3830" s="5">
        <v>5</v>
      </c>
      <c r="D3830" s="5" t="s">
        <v>80</v>
      </c>
      <c r="E3830" s="5">
        <v>2023</v>
      </c>
      <c r="F3830" s="5">
        <v>11</v>
      </c>
      <c r="G3830" s="5" t="s">
        <v>56</v>
      </c>
      <c r="H3830" s="5">
        <v>1089234</v>
      </c>
      <c r="I3830" s="5">
        <v>957245.21</v>
      </c>
      <c r="J3830" s="5">
        <v>27</v>
      </c>
      <c r="K3830" s="5">
        <v>183789</v>
      </c>
      <c r="L3830" s="5">
        <v>1270720</v>
      </c>
      <c r="M3830" s="5">
        <v>131988.79</v>
      </c>
      <c r="N3830" s="5">
        <v>0.1212</v>
      </c>
      <c r="O3830" s="5">
        <v>2</v>
      </c>
      <c r="P3830" s="5">
        <v>13735</v>
      </c>
    </row>
    <row r="3831" spans="1:16" x14ac:dyDescent="0.3">
      <c r="A3831" s="5">
        <v>101</v>
      </c>
      <c r="B3831" s="5" t="s">
        <v>153</v>
      </c>
      <c r="C3831" s="5">
        <v>5</v>
      </c>
      <c r="D3831" s="5" t="s">
        <v>80</v>
      </c>
      <c r="E3831" s="5">
        <v>2023</v>
      </c>
      <c r="F3831" s="5">
        <v>12</v>
      </c>
      <c r="G3831" s="5" t="s">
        <v>57</v>
      </c>
      <c r="H3831" s="5">
        <v>1876950</v>
      </c>
      <c r="I3831" s="5">
        <v>1620710.6</v>
      </c>
      <c r="J3831" s="5">
        <v>28</v>
      </c>
      <c r="K3831" s="5">
        <v>209634</v>
      </c>
      <c r="L3831" s="5">
        <v>2080630</v>
      </c>
      <c r="M3831" s="5">
        <v>256239.4</v>
      </c>
      <c r="N3831" s="5">
        <v>0.13650000000000001</v>
      </c>
      <c r="O3831" s="5">
        <v>0</v>
      </c>
      <c r="P3831" s="5">
        <v>0</v>
      </c>
    </row>
    <row r="3832" spans="1:16" x14ac:dyDescent="0.3">
      <c r="A3832" s="5">
        <v>101</v>
      </c>
      <c r="B3832" s="5" t="s">
        <v>153</v>
      </c>
      <c r="C3832" s="5">
        <v>5</v>
      </c>
      <c r="D3832" s="5" t="s">
        <v>80</v>
      </c>
      <c r="E3832" s="5">
        <v>2024</v>
      </c>
      <c r="F3832" s="5">
        <v>1</v>
      </c>
      <c r="G3832" s="5" t="s">
        <v>58</v>
      </c>
      <c r="H3832" s="5">
        <v>1335287</v>
      </c>
      <c r="I3832" s="5">
        <v>1067099.47</v>
      </c>
      <c r="J3832" s="5">
        <v>16</v>
      </c>
      <c r="K3832" s="5">
        <v>66375</v>
      </c>
      <c r="L3832" s="5">
        <v>1392730</v>
      </c>
      <c r="M3832" s="5">
        <v>268187.53000000003</v>
      </c>
      <c r="N3832" s="5">
        <v>0.20080000000000001</v>
      </c>
      <c r="O3832" s="5">
        <v>0</v>
      </c>
      <c r="P3832" s="5">
        <v>0</v>
      </c>
    </row>
    <row r="3833" spans="1:16" x14ac:dyDescent="0.3">
      <c r="A3833" s="5">
        <v>101</v>
      </c>
      <c r="B3833" s="5" t="s">
        <v>153</v>
      </c>
      <c r="C3833" s="5">
        <v>5</v>
      </c>
      <c r="D3833" s="5" t="s">
        <v>80</v>
      </c>
      <c r="E3833" s="5">
        <v>2024</v>
      </c>
      <c r="F3833" s="5">
        <v>2</v>
      </c>
      <c r="G3833" s="5" t="s">
        <v>59</v>
      </c>
      <c r="H3833" s="5">
        <v>1314835</v>
      </c>
      <c r="I3833" s="5">
        <v>1172909.67</v>
      </c>
      <c r="J3833" s="5">
        <v>19</v>
      </c>
      <c r="K3833" s="5">
        <v>215508</v>
      </c>
      <c r="L3833" s="5">
        <v>1528450</v>
      </c>
      <c r="M3833" s="5">
        <v>141925.32999999999</v>
      </c>
      <c r="N3833" s="5">
        <v>0.1079</v>
      </c>
      <c r="O3833" s="5">
        <v>2</v>
      </c>
      <c r="P3833" s="5">
        <v>11226</v>
      </c>
    </row>
    <row r="3834" spans="1:16" x14ac:dyDescent="0.3">
      <c r="A3834" s="5">
        <v>101</v>
      </c>
      <c r="B3834" s="5" t="s">
        <v>153</v>
      </c>
      <c r="C3834" s="5">
        <v>5</v>
      </c>
      <c r="D3834" s="5" t="s">
        <v>80</v>
      </c>
      <c r="E3834" s="5">
        <v>2024</v>
      </c>
      <c r="F3834" s="5">
        <v>3</v>
      </c>
      <c r="G3834" s="5" t="s">
        <v>60</v>
      </c>
      <c r="H3834" s="5">
        <v>1178627</v>
      </c>
      <c r="I3834" s="5">
        <v>1004598.12</v>
      </c>
      <c r="J3834" s="5">
        <v>17</v>
      </c>
      <c r="K3834" s="5">
        <v>142654</v>
      </c>
      <c r="L3834" s="5">
        <v>1314770</v>
      </c>
      <c r="M3834" s="5">
        <v>174028.88</v>
      </c>
      <c r="N3834" s="5">
        <v>0.1477</v>
      </c>
      <c r="O3834" s="5">
        <v>1</v>
      </c>
      <c r="P3834" s="5">
        <v>9080</v>
      </c>
    </row>
    <row r="3835" spans="1:16" x14ac:dyDescent="0.3">
      <c r="A3835" s="5">
        <v>101</v>
      </c>
      <c r="B3835" s="5" t="s">
        <v>153</v>
      </c>
      <c r="C3835" s="5">
        <v>5</v>
      </c>
      <c r="D3835" s="5" t="s">
        <v>80</v>
      </c>
      <c r="E3835" s="5">
        <v>2024</v>
      </c>
      <c r="F3835" s="5">
        <v>4</v>
      </c>
      <c r="G3835" s="5" t="s">
        <v>61</v>
      </c>
      <c r="H3835" s="5">
        <v>862742</v>
      </c>
      <c r="I3835" s="5">
        <v>805429.5</v>
      </c>
      <c r="J3835" s="5">
        <v>16</v>
      </c>
      <c r="K3835" s="5">
        <v>155362</v>
      </c>
      <c r="L3835" s="5">
        <v>1015820</v>
      </c>
      <c r="M3835" s="5">
        <v>57312.5</v>
      </c>
      <c r="N3835" s="5">
        <v>6.6400000000000001E-2</v>
      </c>
      <c r="O3835" s="5">
        <v>2</v>
      </c>
      <c r="P3835" s="5">
        <v>28619</v>
      </c>
    </row>
    <row r="3836" spans="1:16" x14ac:dyDescent="0.3">
      <c r="A3836" s="5">
        <v>101</v>
      </c>
      <c r="B3836" s="5" t="s">
        <v>153</v>
      </c>
      <c r="C3836" s="5">
        <v>5</v>
      </c>
      <c r="D3836" s="5" t="s">
        <v>80</v>
      </c>
      <c r="E3836" s="5">
        <v>2024</v>
      </c>
      <c r="F3836" s="5">
        <v>5</v>
      </c>
      <c r="G3836" s="5" t="s">
        <v>62</v>
      </c>
      <c r="H3836" s="5">
        <v>1531623</v>
      </c>
      <c r="I3836" s="5">
        <v>1313928.69</v>
      </c>
      <c r="J3836" s="5">
        <v>25</v>
      </c>
      <c r="K3836" s="5">
        <v>138610</v>
      </c>
      <c r="L3836" s="5">
        <v>1665310</v>
      </c>
      <c r="M3836" s="5">
        <v>217694.31</v>
      </c>
      <c r="N3836" s="5">
        <v>0.1421</v>
      </c>
      <c r="O3836" s="5">
        <v>2</v>
      </c>
      <c r="P3836" s="5">
        <v>51540</v>
      </c>
    </row>
    <row r="3837" spans="1:16" x14ac:dyDescent="0.3">
      <c r="A3837" s="5">
        <v>101</v>
      </c>
      <c r="B3837" s="5" t="s">
        <v>153</v>
      </c>
      <c r="C3837" s="5">
        <v>5</v>
      </c>
      <c r="D3837" s="5" t="s">
        <v>80</v>
      </c>
      <c r="E3837" s="5">
        <v>2024</v>
      </c>
      <c r="F3837" s="5">
        <v>6</v>
      </c>
      <c r="G3837" s="5" t="s">
        <v>63</v>
      </c>
      <c r="H3837" s="5">
        <v>2057497</v>
      </c>
      <c r="I3837" s="5">
        <v>1795444.97</v>
      </c>
      <c r="J3837" s="5">
        <v>25</v>
      </c>
      <c r="K3837" s="5">
        <v>202596</v>
      </c>
      <c r="L3837" s="5">
        <v>2259890</v>
      </c>
      <c r="M3837" s="5">
        <v>262052.03</v>
      </c>
      <c r="N3837" s="5">
        <v>0.12740000000000001</v>
      </c>
      <c r="O3837" s="5">
        <v>4</v>
      </c>
      <c r="P3837" s="5">
        <v>64288</v>
      </c>
    </row>
    <row r="3838" spans="1:16" x14ac:dyDescent="0.3">
      <c r="A3838" s="5">
        <v>101</v>
      </c>
      <c r="B3838" s="5" t="s">
        <v>153</v>
      </c>
      <c r="C3838" s="5">
        <v>5</v>
      </c>
      <c r="D3838" s="5" t="s">
        <v>80</v>
      </c>
      <c r="E3838" s="5">
        <v>2024</v>
      </c>
      <c r="F3838" s="5">
        <v>7</v>
      </c>
      <c r="G3838" s="5" t="s">
        <v>64</v>
      </c>
      <c r="H3838" s="5">
        <v>1239904</v>
      </c>
      <c r="I3838" s="5">
        <v>1100011.95</v>
      </c>
      <c r="J3838" s="5">
        <v>20</v>
      </c>
      <c r="K3838" s="5">
        <v>188597</v>
      </c>
      <c r="L3838" s="5">
        <v>1422530</v>
      </c>
      <c r="M3838" s="5">
        <v>139892.04999999999</v>
      </c>
      <c r="N3838" s="5">
        <v>0.1128</v>
      </c>
      <c r="O3838" s="5">
        <v>0</v>
      </c>
      <c r="P3838" s="5">
        <v>0</v>
      </c>
    </row>
    <row r="3839" spans="1:16" x14ac:dyDescent="0.3">
      <c r="A3839" s="5">
        <v>101</v>
      </c>
      <c r="B3839" s="5" t="s">
        <v>153</v>
      </c>
      <c r="C3839" s="5">
        <v>5</v>
      </c>
      <c r="D3839" s="5" t="s">
        <v>80</v>
      </c>
      <c r="E3839" s="5">
        <v>2024</v>
      </c>
      <c r="F3839" s="5">
        <v>8</v>
      </c>
      <c r="G3839" s="5" t="s">
        <v>65</v>
      </c>
      <c r="H3839" s="5">
        <v>1233594</v>
      </c>
      <c r="I3839" s="5">
        <v>1049514.3899999999</v>
      </c>
      <c r="J3839" s="5">
        <v>21</v>
      </c>
      <c r="K3839" s="5">
        <v>125497</v>
      </c>
      <c r="L3839" s="5">
        <v>1357840</v>
      </c>
      <c r="M3839" s="5">
        <v>184079.61</v>
      </c>
      <c r="N3839" s="5">
        <v>0.1492</v>
      </c>
      <c r="O3839" s="5">
        <v>1</v>
      </c>
      <c r="P3839" s="5">
        <v>20296</v>
      </c>
    </row>
    <row r="3840" spans="1:16" x14ac:dyDescent="0.3">
      <c r="A3840" s="5">
        <v>101</v>
      </c>
      <c r="B3840" s="5" t="s">
        <v>153</v>
      </c>
      <c r="C3840" s="5">
        <v>5</v>
      </c>
      <c r="D3840" s="5" t="s">
        <v>80</v>
      </c>
      <c r="E3840" s="5">
        <v>2024</v>
      </c>
      <c r="F3840" s="5">
        <v>9</v>
      </c>
      <c r="G3840" s="5" t="s">
        <v>66</v>
      </c>
      <c r="H3840" s="5">
        <v>2226528</v>
      </c>
      <c r="I3840" s="5">
        <v>1856760.42</v>
      </c>
      <c r="J3840" s="5">
        <v>30</v>
      </c>
      <c r="K3840" s="5">
        <v>186411</v>
      </c>
      <c r="L3840" s="5">
        <v>2402690</v>
      </c>
      <c r="M3840" s="5">
        <v>369767.58</v>
      </c>
      <c r="N3840" s="5">
        <v>0.1661</v>
      </c>
      <c r="O3840" s="5">
        <v>2</v>
      </c>
      <c r="P3840" s="5">
        <v>6909</v>
      </c>
    </row>
    <row r="3841" spans="1:16" x14ac:dyDescent="0.3">
      <c r="A3841" s="5">
        <v>101</v>
      </c>
      <c r="B3841" s="5" t="s">
        <v>153</v>
      </c>
      <c r="C3841" s="5">
        <v>5</v>
      </c>
      <c r="D3841" s="5" t="s">
        <v>80</v>
      </c>
      <c r="E3841" s="5">
        <v>2024</v>
      </c>
      <c r="F3841" s="5">
        <v>10</v>
      </c>
      <c r="G3841" s="5" t="s">
        <v>67</v>
      </c>
      <c r="H3841" s="5">
        <v>2064362</v>
      </c>
      <c r="I3841" s="5">
        <v>1690450.14</v>
      </c>
      <c r="J3841" s="5">
        <v>31</v>
      </c>
      <c r="K3841" s="5">
        <v>81011</v>
      </c>
      <c r="L3841" s="5">
        <v>2138190</v>
      </c>
      <c r="M3841" s="5">
        <v>373911.86</v>
      </c>
      <c r="N3841" s="5">
        <v>0.18110000000000001</v>
      </c>
      <c r="O3841" s="5">
        <v>3</v>
      </c>
      <c r="P3841" s="5">
        <v>230698</v>
      </c>
    </row>
    <row r="3842" spans="1:16" x14ac:dyDescent="0.3">
      <c r="A3842" s="5">
        <v>101</v>
      </c>
      <c r="B3842" s="5" t="s">
        <v>153</v>
      </c>
      <c r="C3842" s="5">
        <v>5</v>
      </c>
      <c r="D3842" s="5" t="s">
        <v>80</v>
      </c>
      <c r="E3842" s="5">
        <v>2024</v>
      </c>
      <c r="F3842" s="5">
        <v>11</v>
      </c>
      <c r="G3842" s="5" t="s">
        <v>68</v>
      </c>
      <c r="H3842" s="5">
        <v>2200181</v>
      </c>
      <c r="I3842" s="5">
        <v>1832068.81</v>
      </c>
      <c r="J3842" s="5">
        <v>36</v>
      </c>
      <c r="K3842" s="5">
        <v>191989</v>
      </c>
      <c r="L3842" s="5">
        <v>2387350</v>
      </c>
      <c r="M3842" s="5">
        <v>368112.19</v>
      </c>
      <c r="N3842" s="5">
        <v>0.1673</v>
      </c>
      <c r="O3842" s="5">
        <v>2</v>
      </c>
      <c r="P3842" s="5">
        <v>4566</v>
      </c>
    </row>
    <row r="3843" spans="1:16" x14ac:dyDescent="0.3">
      <c r="A3843" s="5">
        <v>101</v>
      </c>
      <c r="B3843" s="5" t="s">
        <v>153</v>
      </c>
      <c r="C3843" s="5">
        <v>5</v>
      </c>
      <c r="D3843" s="5" t="s">
        <v>80</v>
      </c>
      <c r="E3843" s="5">
        <v>2024</v>
      </c>
      <c r="F3843" s="5">
        <v>12</v>
      </c>
      <c r="G3843" s="5" t="s">
        <v>69</v>
      </c>
      <c r="H3843" s="5">
        <v>2050009</v>
      </c>
      <c r="I3843" s="5">
        <v>1642779.71</v>
      </c>
      <c r="J3843" s="5">
        <v>41</v>
      </c>
      <c r="K3843" s="5">
        <v>71959</v>
      </c>
      <c r="L3843" s="5">
        <v>2115620</v>
      </c>
      <c r="M3843" s="5">
        <v>407229.29</v>
      </c>
      <c r="N3843" s="5">
        <v>0.1986</v>
      </c>
      <c r="O3843" s="5">
        <v>0</v>
      </c>
      <c r="P3843" s="5">
        <v>0</v>
      </c>
    </row>
    <row r="3844" spans="1:16" x14ac:dyDescent="0.3">
      <c r="A3844" s="5">
        <v>48</v>
      </c>
      <c r="B3844" s="5" t="s">
        <v>154</v>
      </c>
      <c r="C3844" s="5">
        <v>3</v>
      </c>
      <c r="D3844" s="5" t="s">
        <v>85</v>
      </c>
      <c r="E3844" s="5">
        <v>2021</v>
      </c>
      <c r="F3844" s="5">
        <v>1</v>
      </c>
      <c r="G3844" s="5" t="s">
        <v>22</v>
      </c>
      <c r="H3844" s="5">
        <v>762674</v>
      </c>
      <c r="I3844" s="5">
        <v>674303.19</v>
      </c>
      <c r="J3844" s="5">
        <v>16</v>
      </c>
      <c r="K3844" s="5">
        <v>124320</v>
      </c>
      <c r="L3844" s="5">
        <v>882030</v>
      </c>
      <c r="M3844" s="5">
        <v>88370.81</v>
      </c>
      <c r="N3844" s="5">
        <v>0.1159</v>
      </c>
      <c r="O3844" s="5">
        <v>2</v>
      </c>
      <c r="P3844" s="5">
        <v>8710</v>
      </c>
    </row>
    <row r="3845" spans="1:16" x14ac:dyDescent="0.3">
      <c r="A3845" s="5">
        <v>48</v>
      </c>
      <c r="B3845" s="5" t="s">
        <v>154</v>
      </c>
      <c r="C3845" s="5">
        <v>3</v>
      </c>
      <c r="D3845" s="5" t="s">
        <v>85</v>
      </c>
      <c r="E3845" s="5">
        <v>2021</v>
      </c>
      <c r="F3845" s="5">
        <v>2</v>
      </c>
      <c r="G3845" s="5" t="s">
        <v>23</v>
      </c>
      <c r="H3845" s="5">
        <v>385166</v>
      </c>
      <c r="I3845" s="5">
        <v>300952.51</v>
      </c>
      <c r="J3845" s="5">
        <v>8</v>
      </c>
      <c r="K3845" s="5">
        <v>41589</v>
      </c>
      <c r="L3845" s="5">
        <v>426350</v>
      </c>
      <c r="M3845" s="5">
        <v>84213.49</v>
      </c>
      <c r="N3845" s="5">
        <v>0.21859999999999999</v>
      </c>
      <c r="O3845" s="5">
        <v>1</v>
      </c>
      <c r="P3845" s="5">
        <v>80786</v>
      </c>
    </row>
    <row r="3846" spans="1:16" x14ac:dyDescent="0.3">
      <c r="A3846" s="5">
        <v>48</v>
      </c>
      <c r="B3846" s="5" t="s">
        <v>154</v>
      </c>
      <c r="C3846" s="5">
        <v>3</v>
      </c>
      <c r="D3846" s="5" t="s">
        <v>85</v>
      </c>
      <c r="E3846" s="5">
        <v>2021</v>
      </c>
      <c r="F3846" s="5">
        <v>3</v>
      </c>
      <c r="G3846" s="5" t="s">
        <v>24</v>
      </c>
      <c r="H3846" s="5">
        <v>1331185</v>
      </c>
      <c r="I3846" s="5">
        <v>1112983.45</v>
      </c>
      <c r="J3846" s="5">
        <v>12</v>
      </c>
      <c r="K3846" s="5">
        <v>55966</v>
      </c>
      <c r="L3846" s="5">
        <v>1375390</v>
      </c>
      <c r="M3846" s="5">
        <v>218201.55</v>
      </c>
      <c r="N3846" s="5">
        <v>0.16389999999999999</v>
      </c>
      <c r="O3846" s="5">
        <v>1</v>
      </c>
      <c r="P3846" s="5">
        <v>55462</v>
      </c>
    </row>
    <row r="3847" spans="1:16" x14ac:dyDescent="0.3">
      <c r="A3847" s="5">
        <v>48</v>
      </c>
      <c r="B3847" s="5" t="s">
        <v>154</v>
      </c>
      <c r="C3847" s="5">
        <v>3</v>
      </c>
      <c r="D3847" s="5" t="s">
        <v>85</v>
      </c>
      <c r="E3847" s="5">
        <v>2021</v>
      </c>
      <c r="F3847" s="5">
        <v>4</v>
      </c>
      <c r="G3847" s="5" t="s">
        <v>25</v>
      </c>
      <c r="H3847" s="5">
        <v>603753</v>
      </c>
      <c r="I3847" s="5">
        <v>558167.31999999995</v>
      </c>
      <c r="J3847" s="5">
        <v>11</v>
      </c>
      <c r="K3847" s="5">
        <v>113733</v>
      </c>
      <c r="L3847" s="5">
        <v>716950</v>
      </c>
      <c r="M3847" s="5">
        <v>45585.68</v>
      </c>
      <c r="N3847" s="5">
        <v>7.5499999999999998E-2</v>
      </c>
      <c r="O3847" s="5">
        <v>1</v>
      </c>
      <c r="P3847" s="5">
        <v>48545</v>
      </c>
    </row>
    <row r="3848" spans="1:16" x14ac:dyDescent="0.3">
      <c r="A3848" s="5">
        <v>48</v>
      </c>
      <c r="B3848" s="5" t="s">
        <v>154</v>
      </c>
      <c r="C3848" s="5">
        <v>3</v>
      </c>
      <c r="D3848" s="5" t="s">
        <v>85</v>
      </c>
      <c r="E3848" s="5">
        <v>2021</v>
      </c>
      <c r="F3848" s="5">
        <v>5</v>
      </c>
      <c r="G3848" s="5" t="s">
        <v>26</v>
      </c>
      <c r="H3848" s="5">
        <v>876050</v>
      </c>
      <c r="I3848" s="5">
        <v>747610.09</v>
      </c>
      <c r="J3848" s="5">
        <v>14</v>
      </c>
      <c r="K3848" s="5">
        <v>96941</v>
      </c>
      <c r="L3848" s="5">
        <v>972340</v>
      </c>
      <c r="M3848" s="5">
        <v>128439.91</v>
      </c>
      <c r="N3848" s="5">
        <v>0.14660000000000001</v>
      </c>
      <c r="O3848" s="5">
        <v>0</v>
      </c>
      <c r="P3848" s="5">
        <v>0</v>
      </c>
    </row>
    <row r="3849" spans="1:16" x14ac:dyDescent="0.3">
      <c r="A3849" s="5">
        <v>48</v>
      </c>
      <c r="B3849" s="5" t="s">
        <v>154</v>
      </c>
      <c r="C3849" s="5">
        <v>3</v>
      </c>
      <c r="D3849" s="5" t="s">
        <v>85</v>
      </c>
      <c r="E3849" s="5">
        <v>2021</v>
      </c>
      <c r="F3849" s="5">
        <v>6</v>
      </c>
      <c r="G3849" s="5" t="s">
        <v>27</v>
      </c>
      <c r="H3849" s="5">
        <v>1154492</v>
      </c>
      <c r="I3849" s="5">
        <v>974018.59</v>
      </c>
      <c r="J3849" s="5">
        <v>13</v>
      </c>
      <c r="K3849" s="5">
        <v>114102</v>
      </c>
      <c r="L3849" s="5">
        <v>1260250</v>
      </c>
      <c r="M3849" s="5">
        <v>180473.41</v>
      </c>
      <c r="N3849" s="5">
        <v>0.15629999999999999</v>
      </c>
      <c r="O3849" s="5">
        <v>1</v>
      </c>
      <c r="P3849" s="5">
        <v>98168</v>
      </c>
    </row>
    <row r="3850" spans="1:16" x14ac:dyDescent="0.3">
      <c r="A3850" s="5">
        <v>48</v>
      </c>
      <c r="B3850" s="5" t="s">
        <v>154</v>
      </c>
      <c r="C3850" s="5">
        <v>3</v>
      </c>
      <c r="D3850" s="5" t="s">
        <v>85</v>
      </c>
      <c r="E3850" s="5">
        <v>2021</v>
      </c>
      <c r="F3850" s="5">
        <v>7</v>
      </c>
      <c r="G3850" s="5" t="s">
        <v>28</v>
      </c>
      <c r="H3850" s="5">
        <v>983431</v>
      </c>
      <c r="I3850" s="5">
        <v>914996.31</v>
      </c>
      <c r="J3850" s="5">
        <v>11</v>
      </c>
      <c r="K3850" s="5">
        <v>170095</v>
      </c>
      <c r="L3850" s="5">
        <v>1152320</v>
      </c>
      <c r="M3850" s="5">
        <v>68434.69</v>
      </c>
      <c r="N3850" s="5">
        <v>6.9599999999999995E-2</v>
      </c>
      <c r="O3850" s="5">
        <v>2</v>
      </c>
      <c r="P3850" s="5">
        <v>5464</v>
      </c>
    </row>
    <row r="3851" spans="1:16" x14ac:dyDescent="0.3">
      <c r="A3851" s="5">
        <v>48</v>
      </c>
      <c r="B3851" s="5" t="s">
        <v>154</v>
      </c>
      <c r="C3851" s="5">
        <v>3</v>
      </c>
      <c r="D3851" s="5" t="s">
        <v>85</v>
      </c>
      <c r="E3851" s="5">
        <v>2021</v>
      </c>
      <c r="F3851" s="5">
        <v>8</v>
      </c>
      <c r="G3851" s="5" t="s">
        <v>29</v>
      </c>
      <c r="H3851" s="5">
        <v>481303</v>
      </c>
      <c r="I3851" s="5">
        <v>414185.66</v>
      </c>
      <c r="J3851" s="5">
        <v>13</v>
      </c>
      <c r="K3851" s="5">
        <v>68039</v>
      </c>
      <c r="L3851" s="5">
        <v>548980</v>
      </c>
      <c r="M3851" s="5">
        <v>67117.34</v>
      </c>
      <c r="N3851" s="5">
        <v>0.1394</v>
      </c>
      <c r="O3851" s="5">
        <v>2</v>
      </c>
      <c r="P3851" s="5">
        <v>23388</v>
      </c>
    </row>
    <row r="3852" spans="1:16" x14ac:dyDescent="0.3">
      <c r="A3852" s="5">
        <v>48</v>
      </c>
      <c r="B3852" s="5" t="s">
        <v>154</v>
      </c>
      <c r="C3852" s="5">
        <v>3</v>
      </c>
      <c r="D3852" s="5" t="s">
        <v>85</v>
      </c>
      <c r="E3852" s="5">
        <v>2021</v>
      </c>
      <c r="F3852" s="5">
        <v>9</v>
      </c>
      <c r="G3852" s="5" t="s">
        <v>30</v>
      </c>
      <c r="H3852" s="5">
        <v>421075</v>
      </c>
      <c r="I3852" s="5">
        <v>344845.53</v>
      </c>
      <c r="J3852" s="5">
        <v>12</v>
      </c>
      <c r="K3852" s="5">
        <v>51017</v>
      </c>
      <c r="L3852" s="5">
        <v>471160</v>
      </c>
      <c r="M3852" s="5">
        <v>76229.47</v>
      </c>
      <c r="N3852" s="5">
        <v>0.18099999999999999</v>
      </c>
      <c r="O3852" s="5">
        <v>1</v>
      </c>
      <c r="P3852" s="5">
        <v>46707</v>
      </c>
    </row>
    <row r="3853" spans="1:16" x14ac:dyDescent="0.3">
      <c r="A3853" s="5">
        <v>48</v>
      </c>
      <c r="B3853" s="5" t="s">
        <v>154</v>
      </c>
      <c r="C3853" s="5">
        <v>3</v>
      </c>
      <c r="D3853" s="5" t="s">
        <v>85</v>
      </c>
      <c r="E3853" s="5">
        <v>2021</v>
      </c>
      <c r="F3853" s="5">
        <v>10</v>
      </c>
      <c r="G3853" s="5" t="s">
        <v>31</v>
      </c>
      <c r="H3853" s="5">
        <v>523331</v>
      </c>
      <c r="I3853" s="5">
        <v>444497.46</v>
      </c>
      <c r="J3853" s="5">
        <v>13</v>
      </c>
      <c r="K3853" s="5">
        <v>62327</v>
      </c>
      <c r="L3853" s="5">
        <v>583690</v>
      </c>
      <c r="M3853" s="5">
        <v>78833.539999999994</v>
      </c>
      <c r="N3853" s="5">
        <v>0.15060000000000001</v>
      </c>
      <c r="O3853" s="5">
        <v>1</v>
      </c>
      <c r="P3853" s="5">
        <v>48769</v>
      </c>
    </row>
    <row r="3854" spans="1:16" x14ac:dyDescent="0.3">
      <c r="A3854" s="5">
        <v>48</v>
      </c>
      <c r="B3854" s="5" t="s">
        <v>154</v>
      </c>
      <c r="C3854" s="5">
        <v>3</v>
      </c>
      <c r="D3854" s="5" t="s">
        <v>85</v>
      </c>
      <c r="E3854" s="5">
        <v>2021</v>
      </c>
      <c r="F3854" s="5">
        <v>11</v>
      </c>
      <c r="G3854" s="5" t="s">
        <v>32</v>
      </c>
      <c r="H3854" s="5">
        <v>907481</v>
      </c>
      <c r="I3854" s="5">
        <v>769209.62</v>
      </c>
      <c r="J3854" s="5">
        <v>17</v>
      </c>
      <c r="K3854" s="5">
        <v>116975</v>
      </c>
      <c r="L3854" s="5">
        <v>1022490</v>
      </c>
      <c r="M3854" s="5">
        <v>138271.38</v>
      </c>
      <c r="N3854" s="5">
        <v>0.15240000000000001</v>
      </c>
      <c r="O3854" s="5">
        <v>0</v>
      </c>
      <c r="P3854" s="5">
        <v>0</v>
      </c>
    </row>
    <row r="3855" spans="1:16" x14ac:dyDescent="0.3">
      <c r="A3855" s="5">
        <v>48</v>
      </c>
      <c r="B3855" s="5" t="s">
        <v>154</v>
      </c>
      <c r="C3855" s="5">
        <v>3</v>
      </c>
      <c r="D3855" s="5" t="s">
        <v>85</v>
      </c>
      <c r="E3855" s="5">
        <v>2021</v>
      </c>
      <c r="F3855" s="5">
        <v>12</v>
      </c>
      <c r="G3855" s="5" t="s">
        <v>33</v>
      </c>
      <c r="H3855" s="5">
        <v>1479296</v>
      </c>
      <c r="I3855" s="5">
        <v>1225102.05</v>
      </c>
      <c r="J3855" s="5">
        <v>20</v>
      </c>
      <c r="K3855" s="5">
        <v>108554</v>
      </c>
      <c r="L3855" s="5">
        <v>1582600</v>
      </c>
      <c r="M3855" s="5">
        <v>254193.95</v>
      </c>
      <c r="N3855" s="5">
        <v>0.17180000000000001</v>
      </c>
      <c r="O3855" s="5">
        <v>2</v>
      </c>
      <c r="P3855" s="5">
        <v>103895</v>
      </c>
    </row>
    <row r="3856" spans="1:16" x14ac:dyDescent="0.3">
      <c r="A3856" s="5">
        <v>48</v>
      </c>
      <c r="B3856" s="5" t="s">
        <v>154</v>
      </c>
      <c r="C3856" s="5">
        <v>3</v>
      </c>
      <c r="D3856" s="5" t="s">
        <v>85</v>
      </c>
      <c r="E3856" s="5">
        <v>2022</v>
      </c>
      <c r="F3856" s="5">
        <v>1</v>
      </c>
      <c r="G3856" s="5" t="s">
        <v>34</v>
      </c>
      <c r="H3856" s="5">
        <v>166786</v>
      </c>
      <c r="I3856" s="5">
        <v>154548.01999999999</v>
      </c>
      <c r="J3856" s="5">
        <v>3</v>
      </c>
      <c r="K3856" s="5">
        <v>34604</v>
      </c>
      <c r="L3856" s="5">
        <v>201390</v>
      </c>
      <c r="M3856" s="5">
        <v>12237.98</v>
      </c>
      <c r="N3856" s="5">
        <v>7.3400000000000007E-2</v>
      </c>
      <c r="O3856" s="5">
        <v>0</v>
      </c>
      <c r="P3856" s="5">
        <v>0</v>
      </c>
    </row>
    <row r="3857" spans="1:16" x14ac:dyDescent="0.3">
      <c r="A3857" s="5">
        <v>48</v>
      </c>
      <c r="B3857" s="5" t="s">
        <v>154</v>
      </c>
      <c r="C3857" s="5">
        <v>3</v>
      </c>
      <c r="D3857" s="5" t="s">
        <v>85</v>
      </c>
      <c r="E3857" s="5">
        <v>2022</v>
      </c>
      <c r="F3857" s="5">
        <v>2</v>
      </c>
      <c r="G3857" s="5" t="s">
        <v>35</v>
      </c>
      <c r="H3857" s="5">
        <v>635918</v>
      </c>
      <c r="I3857" s="5">
        <v>514623.24</v>
      </c>
      <c r="J3857" s="5">
        <v>11</v>
      </c>
      <c r="K3857" s="5">
        <v>10833</v>
      </c>
      <c r="L3857" s="5">
        <v>642370</v>
      </c>
      <c r="M3857" s="5">
        <v>121294.76</v>
      </c>
      <c r="N3857" s="5">
        <v>0.19070000000000001</v>
      </c>
      <c r="O3857" s="5">
        <v>1</v>
      </c>
      <c r="P3857" s="5">
        <v>62602</v>
      </c>
    </row>
    <row r="3858" spans="1:16" x14ac:dyDescent="0.3">
      <c r="A3858" s="5">
        <v>48</v>
      </c>
      <c r="B3858" s="5" t="s">
        <v>154</v>
      </c>
      <c r="C3858" s="5">
        <v>3</v>
      </c>
      <c r="D3858" s="5" t="s">
        <v>85</v>
      </c>
      <c r="E3858" s="5">
        <v>2022</v>
      </c>
      <c r="F3858" s="5">
        <v>3</v>
      </c>
      <c r="G3858" s="5" t="s">
        <v>36</v>
      </c>
      <c r="H3858" s="5">
        <v>1422894</v>
      </c>
      <c r="I3858" s="5">
        <v>1204868.6499999999</v>
      </c>
      <c r="J3858" s="5">
        <v>13</v>
      </c>
      <c r="K3858" s="5">
        <v>91282</v>
      </c>
      <c r="L3858" s="5">
        <v>1510520</v>
      </c>
      <c r="M3858" s="5">
        <v>218025.35</v>
      </c>
      <c r="N3858" s="5">
        <v>0.1532</v>
      </c>
      <c r="O3858" s="5">
        <v>0</v>
      </c>
      <c r="P3858" s="5">
        <v>0</v>
      </c>
    </row>
    <row r="3859" spans="1:16" x14ac:dyDescent="0.3">
      <c r="A3859" s="5">
        <v>48</v>
      </c>
      <c r="B3859" s="5" t="s">
        <v>154</v>
      </c>
      <c r="C3859" s="5">
        <v>3</v>
      </c>
      <c r="D3859" s="5" t="s">
        <v>85</v>
      </c>
      <c r="E3859" s="5">
        <v>2022</v>
      </c>
      <c r="F3859" s="5">
        <v>4</v>
      </c>
      <c r="G3859" s="5" t="s">
        <v>37</v>
      </c>
      <c r="H3859" s="5">
        <v>1502417</v>
      </c>
      <c r="I3859" s="5">
        <v>1459779.75</v>
      </c>
      <c r="J3859" s="5">
        <v>19</v>
      </c>
      <c r="K3859" s="5">
        <v>337913</v>
      </c>
      <c r="L3859" s="5">
        <v>1839820</v>
      </c>
      <c r="M3859" s="5">
        <v>42637.25</v>
      </c>
      <c r="N3859" s="5">
        <v>2.8400000000000002E-2</v>
      </c>
      <c r="O3859" s="5">
        <v>0</v>
      </c>
      <c r="P3859" s="5">
        <v>0</v>
      </c>
    </row>
    <row r="3860" spans="1:16" x14ac:dyDescent="0.3">
      <c r="A3860" s="5">
        <v>48</v>
      </c>
      <c r="B3860" s="5" t="s">
        <v>154</v>
      </c>
      <c r="C3860" s="5">
        <v>3</v>
      </c>
      <c r="D3860" s="5" t="s">
        <v>85</v>
      </c>
      <c r="E3860" s="5">
        <v>2022</v>
      </c>
      <c r="F3860" s="5">
        <v>5</v>
      </c>
      <c r="G3860" s="5" t="s">
        <v>38</v>
      </c>
      <c r="H3860" s="5">
        <v>1231995</v>
      </c>
      <c r="I3860" s="5">
        <v>1074748.0900000001</v>
      </c>
      <c r="J3860" s="5">
        <v>14</v>
      </c>
      <c r="K3860" s="5">
        <v>144726</v>
      </c>
      <c r="L3860" s="5">
        <v>1372730</v>
      </c>
      <c r="M3860" s="5">
        <v>157246.91</v>
      </c>
      <c r="N3860" s="5">
        <v>0.12759999999999999</v>
      </c>
      <c r="O3860" s="5">
        <v>3</v>
      </c>
      <c r="P3860" s="5">
        <v>99117</v>
      </c>
    </row>
    <row r="3861" spans="1:16" x14ac:dyDescent="0.3">
      <c r="A3861" s="5">
        <v>48</v>
      </c>
      <c r="B3861" s="5" t="s">
        <v>154</v>
      </c>
      <c r="C3861" s="5">
        <v>3</v>
      </c>
      <c r="D3861" s="5" t="s">
        <v>85</v>
      </c>
      <c r="E3861" s="5">
        <v>2022</v>
      </c>
      <c r="F3861" s="5">
        <v>6</v>
      </c>
      <c r="G3861" s="5" t="s">
        <v>39</v>
      </c>
      <c r="H3861" s="5">
        <v>1487741</v>
      </c>
      <c r="I3861" s="5">
        <v>1322353.03</v>
      </c>
      <c r="J3861" s="5">
        <v>18</v>
      </c>
      <c r="K3861" s="5">
        <v>222428</v>
      </c>
      <c r="L3861" s="5">
        <v>1706170</v>
      </c>
      <c r="M3861" s="5">
        <v>165387.97</v>
      </c>
      <c r="N3861" s="5">
        <v>0.11119999999999999</v>
      </c>
      <c r="O3861" s="5">
        <v>2</v>
      </c>
      <c r="P3861" s="5">
        <v>44565</v>
      </c>
    </row>
    <row r="3862" spans="1:16" x14ac:dyDescent="0.3">
      <c r="A3862" s="5">
        <v>48</v>
      </c>
      <c r="B3862" s="5" t="s">
        <v>154</v>
      </c>
      <c r="C3862" s="5">
        <v>3</v>
      </c>
      <c r="D3862" s="5" t="s">
        <v>85</v>
      </c>
      <c r="E3862" s="5">
        <v>2022</v>
      </c>
      <c r="F3862" s="5">
        <v>7</v>
      </c>
      <c r="G3862" s="5" t="s">
        <v>40</v>
      </c>
      <c r="H3862" s="5">
        <v>1381594</v>
      </c>
      <c r="I3862" s="5">
        <v>1164017.98</v>
      </c>
      <c r="J3862" s="5">
        <v>16</v>
      </c>
      <c r="K3862" s="5">
        <v>114767</v>
      </c>
      <c r="L3862" s="5">
        <v>1486400</v>
      </c>
      <c r="M3862" s="5">
        <v>217576.02</v>
      </c>
      <c r="N3862" s="5">
        <v>0.1575</v>
      </c>
      <c r="O3862" s="5">
        <v>2</v>
      </c>
      <c r="P3862" s="5">
        <v>31076</v>
      </c>
    </row>
    <row r="3863" spans="1:16" x14ac:dyDescent="0.3">
      <c r="A3863" s="5">
        <v>48</v>
      </c>
      <c r="B3863" s="5" t="s">
        <v>154</v>
      </c>
      <c r="C3863" s="5">
        <v>3</v>
      </c>
      <c r="D3863" s="5" t="s">
        <v>85</v>
      </c>
      <c r="E3863" s="5">
        <v>2022</v>
      </c>
      <c r="F3863" s="5">
        <v>8</v>
      </c>
      <c r="G3863" s="5" t="s">
        <v>41</v>
      </c>
      <c r="H3863" s="5">
        <v>1728009</v>
      </c>
      <c r="I3863" s="5">
        <v>1670044.79</v>
      </c>
      <c r="J3863" s="5">
        <v>20</v>
      </c>
      <c r="K3863" s="5">
        <v>399961</v>
      </c>
      <c r="L3863" s="5">
        <v>2125140</v>
      </c>
      <c r="M3863" s="5">
        <v>57964.21</v>
      </c>
      <c r="N3863" s="5">
        <v>3.3500000000000002E-2</v>
      </c>
      <c r="O3863" s="5">
        <v>1</v>
      </c>
      <c r="P3863" s="5">
        <v>15673</v>
      </c>
    </row>
    <row r="3864" spans="1:16" x14ac:dyDescent="0.3">
      <c r="A3864" s="5">
        <v>48</v>
      </c>
      <c r="B3864" s="5" t="s">
        <v>154</v>
      </c>
      <c r="C3864" s="5">
        <v>3</v>
      </c>
      <c r="D3864" s="5" t="s">
        <v>85</v>
      </c>
      <c r="E3864" s="5">
        <v>2022</v>
      </c>
      <c r="F3864" s="5">
        <v>9</v>
      </c>
      <c r="G3864" s="5" t="s">
        <v>42</v>
      </c>
      <c r="H3864" s="5">
        <v>1021012</v>
      </c>
      <c r="I3864" s="5">
        <v>962230.19</v>
      </c>
      <c r="J3864" s="5">
        <v>14</v>
      </c>
      <c r="K3864" s="5">
        <v>180594</v>
      </c>
      <c r="L3864" s="5">
        <v>1200510</v>
      </c>
      <c r="M3864" s="5">
        <v>58781.81</v>
      </c>
      <c r="N3864" s="5">
        <v>5.7599999999999998E-2</v>
      </c>
      <c r="O3864" s="5">
        <v>4</v>
      </c>
      <c r="P3864" s="5">
        <v>179819</v>
      </c>
    </row>
    <row r="3865" spans="1:16" x14ac:dyDescent="0.3">
      <c r="A3865" s="5">
        <v>48</v>
      </c>
      <c r="B3865" s="5" t="s">
        <v>154</v>
      </c>
      <c r="C3865" s="5">
        <v>3</v>
      </c>
      <c r="D3865" s="5" t="s">
        <v>85</v>
      </c>
      <c r="E3865" s="5">
        <v>2022</v>
      </c>
      <c r="F3865" s="5">
        <v>10</v>
      </c>
      <c r="G3865" s="5" t="s">
        <v>43</v>
      </c>
      <c r="H3865" s="5">
        <v>1012505</v>
      </c>
      <c r="I3865" s="5">
        <v>853601.07</v>
      </c>
      <c r="J3865" s="5">
        <v>19</v>
      </c>
      <c r="K3865" s="5">
        <v>108789</v>
      </c>
      <c r="L3865" s="5">
        <v>1114790</v>
      </c>
      <c r="M3865" s="5">
        <v>158903.93</v>
      </c>
      <c r="N3865" s="5">
        <v>0.15690000000000001</v>
      </c>
      <c r="O3865" s="5">
        <v>1</v>
      </c>
      <c r="P3865" s="5">
        <v>2459</v>
      </c>
    </row>
    <row r="3866" spans="1:16" x14ac:dyDescent="0.3">
      <c r="A3866" s="5">
        <v>48</v>
      </c>
      <c r="B3866" s="5" t="s">
        <v>154</v>
      </c>
      <c r="C3866" s="5">
        <v>3</v>
      </c>
      <c r="D3866" s="5" t="s">
        <v>85</v>
      </c>
      <c r="E3866" s="5">
        <v>2022</v>
      </c>
      <c r="F3866" s="5">
        <v>11</v>
      </c>
      <c r="G3866" s="5" t="s">
        <v>44</v>
      </c>
      <c r="H3866" s="5">
        <v>1834955</v>
      </c>
      <c r="I3866" s="5">
        <v>1627380.61</v>
      </c>
      <c r="J3866" s="5">
        <v>24</v>
      </c>
      <c r="K3866" s="5">
        <v>272500</v>
      </c>
      <c r="L3866" s="5">
        <v>2103360</v>
      </c>
      <c r="M3866" s="5">
        <v>207574.39</v>
      </c>
      <c r="N3866" s="5">
        <v>0.11310000000000001</v>
      </c>
      <c r="O3866" s="5">
        <v>2</v>
      </c>
      <c r="P3866" s="5">
        <v>29317</v>
      </c>
    </row>
    <row r="3867" spans="1:16" x14ac:dyDescent="0.3">
      <c r="A3867" s="5">
        <v>48</v>
      </c>
      <c r="B3867" s="5" t="s">
        <v>154</v>
      </c>
      <c r="C3867" s="5">
        <v>3</v>
      </c>
      <c r="D3867" s="5" t="s">
        <v>85</v>
      </c>
      <c r="E3867" s="5">
        <v>2022</v>
      </c>
      <c r="F3867" s="5">
        <v>12</v>
      </c>
      <c r="G3867" s="5" t="s">
        <v>45</v>
      </c>
      <c r="H3867" s="5">
        <v>1891356</v>
      </c>
      <c r="I3867" s="5">
        <v>1601778.95</v>
      </c>
      <c r="J3867" s="5">
        <v>21</v>
      </c>
      <c r="K3867" s="5">
        <v>134623</v>
      </c>
      <c r="L3867" s="5">
        <v>2020660</v>
      </c>
      <c r="M3867" s="5">
        <v>289577.05</v>
      </c>
      <c r="N3867" s="5">
        <v>0.15310000000000001</v>
      </c>
      <c r="O3867" s="5">
        <v>2</v>
      </c>
      <c r="P3867" s="5">
        <v>70764</v>
      </c>
    </row>
    <row r="3868" spans="1:16" x14ac:dyDescent="0.3">
      <c r="A3868" s="5">
        <v>48</v>
      </c>
      <c r="B3868" s="5" t="s">
        <v>154</v>
      </c>
      <c r="C3868" s="5">
        <v>3</v>
      </c>
      <c r="D3868" s="5" t="s">
        <v>85</v>
      </c>
      <c r="E3868" s="5">
        <v>2023</v>
      </c>
      <c r="F3868" s="5">
        <v>1</v>
      </c>
      <c r="G3868" s="5" t="s">
        <v>46</v>
      </c>
      <c r="H3868" s="5">
        <v>1315136</v>
      </c>
      <c r="I3868" s="5">
        <v>1101823.3</v>
      </c>
      <c r="J3868" s="5">
        <v>22</v>
      </c>
      <c r="K3868" s="5">
        <v>150599</v>
      </c>
      <c r="L3868" s="5">
        <v>1465100</v>
      </c>
      <c r="M3868" s="5">
        <v>213312.7</v>
      </c>
      <c r="N3868" s="5">
        <v>0.16220000000000001</v>
      </c>
      <c r="O3868" s="5">
        <v>3</v>
      </c>
      <c r="P3868" s="5">
        <v>113126</v>
      </c>
    </row>
    <row r="3869" spans="1:16" x14ac:dyDescent="0.3">
      <c r="A3869" s="5">
        <v>48</v>
      </c>
      <c r="B3869" s="5" t="s">
        <v>154</v>
      </c>
      <c r="C3869" s="5">
        <v>3</v>
      </c>
      <c r="D3869" s="5" t="s">
        <v>85</v>
      </c>
      <c r="E3869" s="5">
        <v>2023</v>
      </c>
      <c r="F3869" s="5">
        <v>2</v>
      </c>
      <c r="G3869" s="5" t="s">
        <v>47</v>
      </c>
      <c r="H3869" s="5">
        <v>1139198</v>
      </c>
      <c r="I3869" s="5">
        <v>941559.62</v>
      </c>
      <c r="J3869" s="5">
        <v>12</v>
      </c>
      <c r="K3869" s="5">
        <v>79687</v>
      </c>
      <c r="L3869" s="5">
        <v>1214880</v>
      </c>
      <c r="M3869" s="5">
        <v>197638.38</v>
      </c>
      <c r="N3869" s="5">
        <v>0.17349999999999999</v>
      </c>
      <c r="O3869" s="5">
        <v>1</v>
      </c>
      <c r="P3869" s="5">
        <v>5590</v>
      </c>
    </row>
    <row r="3870" spans="1:16" x14ac:dyDescent="0.3">
      <c r="A3870" s="5">
        <v>48</v>
      </c>
      <c r="B3870" s="5" t="s">
        <v>154</v>
      </c>
      <c r="C3870" s="5">
        <v>3</v>
      </c>
      <c r="D3870" s="5" t="s">
        <v>85</v>
      </c>
      <c r="E3870" s="5">
        <v>2023</v>
      </c>
      <c r="F3870" s="5">
        <v>3</v>
      </c>
      <c r="G3870" s="5" t="s">
        <v>48</v>
      </c>
      <c r="H3870" s="5">
        <v>665593</v>
      </c>
      <c r="I3870" s="5">
        <v>570276.5</v>
      </c>
      <c r="J3870" s="5">
        <v>11</v>
      </c>
      <c r="K3870" s="5">
        <v>66704</v>
      </c>
      <c r="L3870" s="5">
        <v>731960</v>
      </c>
      <c r="M3870" s="5">
        <v>95316.5</v>
      </c>
      <c r="N3870" s="5">
        <v>0.14319999999999999</v>
      </c>
      <c r="O3870" s="5">
        <v>1</v>
      </c>
      <c r="P3870" s="5">
        <v>5711</v>
      </c>
    </row>
    <row r="3871" spans="1:16" x14ac:dyDescent="0.3">
      <c r="A3871" s="5">
        <v>48</v>
      </c>
      <c r="B3871" s="5" t="s">
        <v>154</v>
      </c>
      <c r="C3871" s="5">
        <v>3</v>
      </c>
      <c r="D3871" s="5" t="s">
        <v>85</v>
      </c>
      <c r="E3871" s="5">
        <v>2023</v>
      </c>
      <c r="F3871" s="5">
        <v>4</v>
      </c>
      <c r="G3871" s="5" t="s">
        <v>49</v>
      </c>
      <c r="H3871" s="5">
        <v>1104882</v>
      </c>
      <c r="I3871" s="5">
        <v>981172.88</v>
      </c>
      <c r="J3871" s="5">
        <v>15</v>
      </c>
      <c r="K3871" s="5">
        <v>137981</v>
      </c>
      <c r="L3871" s="5">
        <v>1240640</v>
      </c>
      <c r="M3871" s="5">
        <v>123709.12</v>
      </c>
      <c r="N3871" s="5">
        <v>0.112</v>
      </c>
      <c r="O3871" s="5">
        <v>4</v>
      </c>
      <c r="P3871" s="5">
        <v>223256</v>
      </c>
    </row>
    <row r="3872" spans="1:16" x14ac:dyDescent="0.3">
      <c r="A3872" s="5">
        <v>48</v>
      </c>
      <c r="B3872" s="5" t="s">
        <v>154</v>
      </c>
      <c r="C3872" s="5">
        <v>3</v>
      </c>
      <c r="D3872" s="5" t="s">
        <v>85</v>
      </c>
      <c r="E3872" s="5">
        <v>2023</v>
      </c>
      <c r="F3872" s="5">
        <v>5</v>
      </c>
      <c r="G3872" s="5" t="s">
        <v>50</v>
      </c>
      <c r="H3872" s="5">
        <v>1236397</v>
      </c>
      <c r="I3872" s="5">
        <v>1054638.5900000001</v>
      </c>
      <c r="J3872" s="5">
        <v>16</v>
      </c>
      <c r="K3872" s="5">
        <v>123412</v>
      </c>
      <c r="L3872" s="5">
        <v>1356460</v>
      </c>
      <c r="M3872" s="5">
        <v>181758.41</v>
      </c>
      <c r="N3872" s="5">
        <v>0.14699999999999999</v>
      </c>
      <c r="O3872" s="5">
        <v>2</v>
      </c>
      <c r="P3872" s="5">
        <v>5799</v>
      </c>
    </row>
    <row r="3873" spans="1:16" x14ac:dyDescent="0.3">
      <c r="A3873" s="5">
        <v>48</v>
      </c>
      <c r="B3873" s="5" t="s">
        <v>154</v>
      </c>
      <c r="C3873" s="5">
        <v>3</v>
      </c>
      <c r="D3873" s="5" t="s">
        <v>85</v>
      </c>
      <c r="E3873" s="5">
        <v>2023</v>
      </c>
      <c r="F3873" s="5">
        <v>6</v>
      </c>
      <c r="G3873" s="5" t="s">
        <v>51</v>
      </c>
      <c r="H3873" s="5">
        <v>751916</v>
      </c>
      <c r="I3873" s="5">
        <v>552197.23</v>
      </c>
      <c r="J3873" s="5">
        <v>13</v>
      </c>
      <c r="K3873" s="5">
        <v>12610</v>
      </c>
      <c r="L3873" s="5">
        <v>758130</v>
      </c>
      <c r="M3873" s="5">
        <v>199718.77</v>
      </c>
      <c r="N3873" s="5">
        <v>0.2656</v>
      </c>
      <c r="O3873" s="5">
        <v>1</v>
      </c>
      <c r="P3873" s="5">
        <v>1375</v>
      </c>
    </row>
    <row r="3874" spans="1:16" x14ac:dyDescent="0.3">
      <c r="A3874" s="5">
        <v>48</v>
      </c>
      <c r="B3874" s="5" t="s">
        <v>154</v>
      </c>
      <c r="C3874" s="5">
        <v>3</v>
      </c>
      <c r="D3874" s="5" t="s">
        <v>85</v>
      </c>
      <c r="E3874" s="5">
        <v>2023</v>
      </c>
      <c r="F3874" s="5">
        <v>7</v>
      </c>
      <c r="G3874" s="5" t="s">
        <v>52</v>
      </c>
      <c r="H3874" s="5">
        <v>1058815</v>
      </c>
      <c r="I3874" s="5">
        <v>874335.48</v>
      </c>
      <c r="J3874" s="5">
        <v>18</v>
      </c>
      <c r="K3874" s="5">
        <v>60417</v>
      </c>
      <c r="L3874" s="5">
        <v>1112940</v>
      </c>
      <c r="M3874" s="5">
        <v>184479.52</v>
      </c>
      <c r="N3874" s="5">
        <v>0.17419999999999999</v>
      </c>
      <c r="O3874" s="5">
        <v>1</v>
      </c>
      <c r="P3874" s="5">
        <v>38541</v>
      </c>
    </row>
    <row r="3875" spans="1:16" x14ac:dyDescent="0.3">
      <c r="A3875" s="5">
        <v>48</v>
      </c>
      <c r="B3875" s="5" t="s">
        <v>154</v>
      </c>
      <c r="C3875" s="5">
        <v>3</v>
      </c>
      <c r="D3875" s="5" t="s">
        <v>85</v>
      </c>
      <c r="E3875" s="5">
        <v>2023</v>
      </c>
      <c r="F3875" s="5">
        <v>8</v>
      </c>
      <c r="G3875" s="5" t="s">
        <v>53</v>
      </c>
      <c r="H3875" s="5">
        <v>685339</v>
      </c>
      <c r="I3875" s="5">
        <v>603346.99</v>
      </c>
      <c r="J3875" s="5">
        <v>18</v>
      </c>
      <c r="K3875" s="5">
        <v>110350</v>
      </c>
      <c r="L3875" s="5">
        <v>794680</v>
      </c>
      <c r="M3875" s="5">
        <v>81992.009999999995</v>
      </c>
      <c r="N3875" s="5">
        <v>0.1196</v>
      </c>
      <c r="O3875" s="5">
        <v>3</v>
      </c>
      <c r="P3875" s="5">
        <v>29282</v>
      </c>
    </row>
    <row r="3876" spans="1:16" x14ac:dyDescent="0.3">
      <c r="A3876" s="5">
        <v>48</v>
      </c>
      <c r="B3876" s="5" t="s">
        <v>154</v>
      </c>
      <c r="C3876" s="5">
        <v>3</v>
      </c>
      <c r="D3876" s="5" t="s">
        <v>85</v>
      </c>
      <c r="E3876" s="5">
        <v>2023</v>
      </c>
      <c r="F3876" s="5">
        <v>9</v>
      </c>
      <c r="G3876" s="5" t="s">
        <v>54</v>
      </c>
      <c r="H3876" s="5">
        <v>1746737</v>
      </c>
      <c r="I3876" s="5">
        <v>1660684.1</v>
      </c>
      <c r="J3876" s="5">
        <v>27</v>
      </c>
      <c r="K3876" s="5">
        <v>348820</v>
      </c>
      <c r="L3876" s="5">
        <v>2094030</v>
      </c>
      <c r="M3876" s="5">
        <v>86052.9</v>
      </c>
      <c r="N3876" s="5">
        <v>4.9299999999999997E-2</v>
      </c>
      <c r="O3876" s="5">
        <v>2</v>
      </c>
      <c r="P3876" s="5">
        <v>9944</v>
      </c>
    </row>
    <row r="3877" spans="1:16" x14ac:dyDescent="0.3">
      <c r="A3877" s="5">
        <v>48</v>
      </c>
      <c r="B3877" s="5" t="s">
        <v>154</v>
      </c>
      <c r="C3877" s="5">
        <v>3</v>
      </c>
      <c r="D3877" s="5" t="s">
        <v>85</v>
      </c>
      <c r="E3877" s="5">
        <v>2023</v>
      </c>
      <c r="F3877" s="5">
        <v>10</v>
      </c>
      <c r="G3877" s="5" t="s">
        <v>55</v>
      </c>
      <c r="H3877" s="5">
        <v>3922332</v>
      </c>
      <c r="I3877" s="5">
        <v>3392209.66</v>
      </c>
      <c r="J3877" s="5">
        <v>39</v>
      </c>
      <c r="K3877" s="5">
        <v>418713</v>
      </c>
      <c r="L3877" s="5">
        <v>4333130</v>
      </c>
      <c r="M3877" s="5">
        <v>530122.34</v>
      </c>
      <c r="N3877" s="5">
        <v>0.13519999999999999</v>
      </c>
      <c r="O3877" s="5">
        <v>3</v>
      </c>
      <c r="P3877" s="5">
        <v>105704</v>
      </c>
    </row>
    <row r="3878" spans="1:16" x14ac:dyDescent="0.3">
      <c r="A3878" s="5">
        <v>48</v>
      </c>
      <c r="B3878" s="5" t="s">
        <v>154</v>
      </c>
      <c r="C3878" s="5">
        <v>3</v>
      </c>
      <c r="D3878" s="5" t="s">
        <v>85</v>
      </c>
      <c r="E3878" s="5">
        <v>2023</v>
      </c>
      <c r="F3878" s="5">
        <v>11</v>
      </c>
      <c r="G3878" s="5" t="s">
        <v>56</v>
      </c>
      <c r="H3878" s="5">
        <v>3109631</v>
      </c>
      <c r="I3878" s="5">
        <v>2767328.43</v>
      </c>
      <c r="J3878" s="5">
        <v>43</v>
      </c>
      <c r="K3878" s="5">
        <v>419973</v>
      </c>
      <c r="L3878" s="5">
        <v>3512910</v>
      </c>
      <c r="M3878" s="5">
        <v>342302.57</v>
      </c>
      <c r="N3878" s="5">
        <v>0.1101</v>
      </c>
      <c r="O3878" s="5">
        <v>3</v>
      </c>
      <c r="P3878" s="5">
        <v>20536</v>
      </c>
    </row>
    <row r="3879" spans="1:16" x14ac:dyDescent="0.3">
      <c r="A3879" s="5">
        <v>48</v>
      </c>
      <c r="B3879" s="5" t="s">
        <v>154</v>
      </c>
      <c r="C3879" s="5">
        <v>3</v>
      </c>
      <c r="D3879" s="5" t="s">
        <v>85</v>
      </c>
      <c r="E3879" s="5">
        <v>2023</v>
      </c>
      <c r="F3879" s="5">
        <v>12</v>
      </c>
      <c r="G3879" s="5" t="s">
        <v>57</v>
      </c>
      <c r="H3879" s="5">
        <v>1877573</v>
      </c>
      <c r="I3879" s="5">
        <v>1622604.46</v>
      </c>
      <c r="J3879" s="5">
        <v>33</v>
      </c>
      <c r="K3879" s="5">
        <v>187046</v>
      </c>
      <c r="L3879" s="5">
        <v>2054590</v>
      </c>
      <c r="M3879" s="5">
        <v>254968.54</v>
      </c>
      <c r="N3879" s="5">
        <v>0.1358</v>
      </c>
      <c r="O3879" s="5">
        <v>3</v>
      </c>
      <c r="P3879" s="5">
        <v>99280</v>
      </c>
    </row>
    <row r="3880" spans="1:16" x14ac:dyDescent="0.3">
      <c r="A3880" s="5">
        <v>48</v>
      </c>
      <c r="B3880" s="5" t="s">
        <v>154</v>
      </c>
      <c r="C3880" s="5">
        <v>3</v>
      </c>
      <c r="D3880" s="5" t="s">
        <v>85</v>
      </c>
      <c r="E3880" s="5">
        <v>2024</v>
      </c>
      <c r="F3880" s="5">
        <v>1</v>
      </c>
      <c r="G3880" s="5" t="s">
        <v>58</v>
      </c>
      <c r="H3880" s="5">
        <v>2185194</v>
      </c>
      <c r="I3880" s="5">
        <v>1882043.21</v>
      </c>
      <c r="J3880" s="5">
        <v>25</v>
      </c>
      <c r="K3880" s="5">
        <v>208441</v>
      </c>
      <c r="L3880" s="5">
        <v>2377100</v>
      </c>
      <c r="M3880" s="5">
        <v>303150.78999999998</v>
      </c>
      <c r="N3880" s="5">
        <v>0.13869999999999999</v>
      </c>
      <c r="O3880" s="5">
        <v>2</v>
      </c>
      <c r="P3880" s="5">
        <v>5939</v>
      </c>
    </row>
    <row r="3881" spans="1:16" x14ac:dyDescent="0.3">
      <c r="A3881" s="5">
        <v>48</v>
      </c>
      <c r="B3881" s="5" t="s">
        <v>154</v>
      </c>
      <c r="C3881" s="5">
        <v>3</v>
      </c>
      <c r="D3881" s="5" t="s">
        <v>85</v>
      </c>
      <c r="E3881" s="5">
        <v>2024</v>
      </c>
      <c r="F3881" s="5">
        <v>2</v>
      </c>
      <c r="G3881" s="5" t="s">
        <v>59</v>
      </c>
      <c r="H3881" s="5">
        <v>1445129</v>
      </c>
      <c r="I3881" s="5">
        <v>1346042.8</v>
      </c>
      <c r="J3881" s="5">
        <v>15</v>
      </c>
      <c r="K3881" s="5">
        <v>219864</v>
      </c>
      <c r="L3881" s="5">
        <v>1663280</v>
      </c>
      <c r="M3881" s="5">
        <v>99086.2</v>
      </c>
      <c r="N3881" s="5">
        <v>6.8599999999999994E-2</v>
      </c>
      <c r="O3881" s="5">
        <v>1</v>
      </c>
      <c r="P3881" s="5">
        <v>930</v>
      </c>
    </row>
    <row r="3882" spans="1:16" x14ac:dyDescent="0.3">
      <c r="A3882" s="5">
        <v>48</v>
      </c>
      <c r="B3882" s="5" t="s">
        <v>154</v>
      </c>
      <c r="C3882" s="5">
        <v>3</v>
      </c>
      <c r="D3882" s="5" t="s">
        <v>85</v>
      </c>
      <c r="E3882" s="5">
        <v>2024</v>
      </c>
      <c r="F3882" s="5">
        <v>3</v>
      </c>
      <c r="G3882" s="5" t="s">
        <v>60</v>
      </c>
      <c r="H3882" s="5">
        <v>1244814</v>
      </c>
      <c r="I3882" s="5">
        <v>1065819.82</v>
      </c>
      <c r="J3882" s="5">
        <v>23</v>
      </c>
      <c r="K3882" s="5">
        <v>117933</v>
      </c>
      <c r="L3882" s="5">
        <v>1362560</v>
      </c>
      <c r="M3882" s="5">
        <v>178994.18</v>
      </c>
      <c r="N3882" s="5">
        <v>0.14380000000000001</v>
      </c>
      <c r="O3882" s="5">
        <v>1</v>
      </c>
      <c r="P3882" s="5">
        <v>2141</v>
      </c>
    </row>
    <row r="3883" spans="1:16" x14ac:dyDescent="0.3">
      <c r="A3883" s="5">
        <v>48</v>
      </c>
      <c r="B3883" s="5" t="s">
        <v>154</v>
      </c>
      <c r="C3883" s="5">
        <v>3</v>
      </c>
      <c r="D3883" s="5" t="s">
        <v>85</v>
      </c>
      <c r="E3883" s="5">
        <v>2024</v>
      </c>
      <c r="F3883" s="5">
        <v>4</v>
      </c>
      <c r="G3883" s="5" t="s">
        <v>61</v>
      </c>
      <c r="H3883" s="5">
        <v>1061347</v>
      </c>
      <c r="I3883" s="5">
        <v>868769.11</v>
      </c>
      <c r="J3883" s="5">
        <v>19</v>
      </c>
      <c r="K3883" s="5">
        <v>69826</v>
      </c>
      <c r="L3883" s="5">
        <v>1123250</v>
      </c>
      <c r="M3883" s="5">
        <v>192577.89</v>
      </c>
      <c r="N3883" s="5">
        <v>0.18140000000000001</v>
      </c>
      <c r="O3883" s="5">
        <v>2</v>
      </c>
      <c r="P3883" s="5">
        <v>14014</v>
      </c>
    </row>
    <row r="3884" spans="1:16" x14ac:dyDescent="0.3">
      <c r="A3884" s="5">
        <v>48</v>
      </c>
      <c r="B3884" s="5" t="s">
        <v>154</v>
      </c>
      <c r="C3884" s="5">
        <v>3</v>
      </c>
      <c r="D3884" s="5" t="s">
        <v>85</v>
      </c>
      <c r="E3884" s="5">
        <v>2024</v>
      </c>
      <c r="F3884" s="5">
        <v>5</v>
      </c>
      <c r="G3884" s="5" t="s">
        <v>62</v>
      </c>
      <c r="H3884" s="5">
        <v>1046131</v>
      </c>
      <c r="I3884" s="5">
        <v>946477.74</v>
      </c>
      <c r="J3884" s="5">
        <v>23</v>
      </c>
      <c r="K3884" s="5">
        <v>210195</v>
      </c>
      <c r="L3884" s="5">
        <v>1253410</v>
      </c>
      <c r="M3884" s="5">
        <v>99653.26</v>
      </c>
      <c r="N3884" s="5">
        <v>9.5299999999999996E-2</v>
      </c>
      <c r="O3884" s="5">
        <v>5</v>
      </c>
      <c r="P3884" s="5">
        <v>135465</v>
      </c>
    </row>
    <row r="3885" spans="1:16" x14ac:dyDescent="0.3">
      <c r="A3885" s="5">
        <v>48</v>
      </c>
      <c r="B3885" s="5" t="s">
        <v>154</v>
      </c>
      <c r="C3885" s="5">
        <v>3</v>
      </c>
      <c r="D3885" s="5" t="s">
        <v>85</v>
      </c>
      <c r="E3885" s="5">
        <v>2024</v>
      </c>
      <c r="F3885" s="5">
        <v>6</v>
      </c>
      <c r="G3885" s="5" t="s">
        <v>63</v>
      </c>
      <c r="H3885" s="5">
        <v>1446493</v>
      </c>
      <c r="I3885" s="5">
        <v>1286241.45</v>
      </c>
      <c r="J3885" s="5">
        <v>21</v>
      </c>
      <c r="K3885" s="5">
        <v>219759</v>
      </c>
      <c r="L3885" s="5">
        <v>1661430</v>
      </c>
      <c r="M3885" s="5">
        <v>160251.54999999999</v>
      </c>
      <c r="N3885" s="5">
        <v>0.1108</v>
      </c>
      <c r="O3885" s="5">
        <v>2</v>
      </c>
      <c r="P3885" s="5">
        <v>25347</v>
      </c>
    </row>
    <row r="3886" spans="1:16" x14ac:dyDescent="0.3">
      <c r="A3886" s="5">
        <v>48</v>
      </c>
      <c r="B3886" s="5" t="s">
        <v>154</v>
      </c>
      <c r="C3886" s="5">
        <v>3</v>
      </c>
      <c r="D3886" s="5" t="s">
        <v>85</v>
      </c>
      <c r="E3886" s="5">
        <v>2024</v>
      </c>
      <c r="F3886" s="5">
        <v>7</v>
      </c>
      <c r="G3886" s="5" t="s">
        <v>64</v>
      </c>
      <c r="H3886" s="5">
        <v>1410288</v>
      </c>
      <c r="I3886" s="5">
        <v>1154524.42</v>
      </c>
      <c r="J3886" s="5">
        <v>22</v>
      </c>
      <c r="K3886" s="5">
        <v>78257</v>
      </c>
      <c r="L3886" s="5">
        <v>1481450</v>
      </c>
      <c r="M3886" s="5">
        <v>255763.58</v>
      </c>
      <c r="N3886" s="5">
        <v>0.18140000000000001</v>
      </c>
      <c r="O3886" s="5">
        <v>0</v>
      </c>
      <c r="P3886" s="5">
        <v>0</v>
      </c>
    </row>
    <row r="3887" spans="1:16" x14ac:dyDescent="0.3">
      <c r="A3887" s="5">
        <v>48</v>
      </c>
      <c r="B3887" s="5" t="s">
        <v>154</v>
      </c>
      <c r="C3887" s="5">
        <v>3</v>
      </c>
      <c r="D3887" s="5" t="s">
        <v>85</v>
      </c>
      <c r="E3887" s="5">
        <v>2024</v>
      </c>
      <c r="F3887" s="5">
        <v>8</v>
      </c>
      <c r="G3887" s="5" t="s">
        <v>65</v>
      </c>
      <c r="H3887" s="5">
        <v>745567</v>
      </c>
      <c r="I3887" s="5">
        <v>639389.09</v>
      </c>
      <c r="J3887" s="5">
        <v>19</v>
      </c>
      <c r="K3887" s="5">
        <v>98065</v>
      </c>
      <c r="L3887" s="5">
        <v>842250</v>
      </c>
      <c r="M3887" s="5">
        <v>106177.91</v>
      </c>
      <c r="N3887" s="5">
        <v>0.1424</v>
      </c>
      <c r="O3887" s="5">
        <v>2</v>
      </c>
      <c r="P3887" s="5">
        <v>4258</v>
      </c>
    </row>
    <row r="3888" spans="1:16" x14ac:dyDescent="0.3">
      <c r="A3888" s="5">
        <v>48</v>
      </c>
      <c r="B3888" s="5" t="s">
        <v>154</v>
      </c>
      <c r="C3888" s="5">
        <v>3</v>
      </c>
      <c r="D3888" s="5" t="s">
        <v>85</v>
      </c>
      <c r="E3888" s="5">
        <v>2024</v>
      </c>
      <c r="F3888" s="5">
        <v>9</v>
      </c>
      <c r="G3888" s="5" t="s">
        <v>66</v>
      </c>
      <c r="H3888" s="5">
        <v>2102866</v>
      </c>
      <c r="I3888" s="5">
        <v>1730819.78</v>
      </c>
      <c r="J3888" s="5">
        <v>32</v>
      </c>
      <c r="K3888" s="5">
        <v>98885</v>
      </c>
      <c r="L3888" s="5">
        <v>2190700</v>
      </c>
      <c r="M3888" s="5">
        <v>372046.22</v>
      </c>
      <c r="N3888" s="5">
        <v>0.1769</v>
      </c>
      <c r="O3888" s="5">
        <v>1</v>
      </c>
      <c r="P3888" s="5">
        <v>1683</v>
      </c>
    </row>
    <row r="3889" spans="1:16" x14ac:dyDescent="0.3">
      <c r="A3889" s="5">
        <v>48</v>
      </c>
      <c r="B3889" s="5" t="s">
        <v>154</v>
      </c>
      <c r="C3889" s="5">
        <v>3</v>
      </c>
      <c r="D3889" s="5" t="s">
        <v>85</v>
      </c>
      <c r="E3889" s="5">
        <v>2024</v>
      </c>
      <c r="F3889" s="5">
        <v>10</v>
      </c>
      <c r="G3889" s="5" t="s">
        <v>67</v>
      </c>
      <c r="H3889" s="5">
        <v>2932279</v>
      </c>
      <c r="I3889" s="5">
        <v>2383580.2400000002</v>
      </c>
      <c r="J3889" s="5">
        <v>27</v>
      </c>
      <c r="K3889" s="5">
        <v>121918</v>
      </c>
      <c r="L3889" s="5">
        <v>3052330</v>
      </c>
      <c r="M3889" s="5">
        <v>548698.76</v>
      </c>
      <c r="N3889" s="5">
        <v>0.18709999999999999</v>
      </c>
      <c r="O3889" s="5">
        <v>3</v>
      </c>
      <c r="P3889" s="5">
        <v>198872</v>
      </c>
    </row>
    <row r="3890" spans="1:16" x14ac:dyDescent="0.3">
      <c r="A3890" s="5">
        <v>48</v>
      </c>
      <c r="B3890" s="5" t="s">
        <v>154</v>
      </c>
      <c r="C3890" s="5">
        <v>3</v>
      </c>
      <c r="D3890" s="5" t="s">
        <v>85</v>
      </c>
      <c r="E3890" s="5">
        <v>2024</v>
      </c>
      <c r="F3890" s="5">
        <v>11</v>
      </c>
      <c r="G3890" s="5" t="s">
        <v>68</v>
      </c>
      <c r="H3890" s="5">
        <v>2492964</v>
      </c>
      <c r="I3890" s="5">
        <v>2081496.78</v>
      </c>
      <c r="J3890" s="5">
        <v>38</v>
      </c>
      <c r="K3890" s="5">
        <v>235350</v>
      </c>
      <c r="L3890" s="5">
        <v>2724500</v>
      </c>
      <c r="M3890" s="5">
        <v>411467.22</v>
      </c>
      <c r="N3890" s="5">
        <v>0.1651</v>
      </c>
      <c r="O3890" s="5">
        <v>0</v>
      </c>
      <c r="P3890" s="5">
        <v>0</v>
      </c>
    </row>
    <row r="3891" spans="1:16" x14ac:dyDescent="0.3">
      <c r="A3891" s="5">
        <v>48</v>
      </c>
      <c r="B3891" s="5" t="s">
        <v>154</v>
      </c>
      <c r="C3891" s="5">
        <v>3</v>
      </c>
      <c r="D3891" s="5" t="s">
        <v>85</v>
      </c>
      <c r="E3891" s="5">
        <v>2024</v>
      </c>
      <c r="F3891" s="5">
        <v>12</v>
      </c>
      <c r="G3891" s="5" t="s">
        <v>69</v>
      </c>
      <c r="H3891" s="5">
        <v>2333836</v>
      </c>
      <c r="I3891" s="5">
        <v>1841786.89</v>
      </c>
      <c r="J3891" s="5">
        <v>24</v>
      </c>
      <c r="K3891" s="5">
        <v>82712</v>
      </c>
      <c r="L3891" s="5">
        <v>2411500</v>
      </c>
      <c r="M3891" s="5">
        <v>492049.11</v>
      </c>
      <c r="N3891" s="5">
        <v>0.21079999999999999</v>
      </c>
      <c r="O3891" s="5">
        <v>0</v>
      </c>
      <c r="P3891" s="5">
        <v>0</v>
      </c>
    </row>
    <row r="3892" spans="1:16" x14ac:dyDescent="0.3">
      <c r="A3892" s="5">
        <v>86</v>
      </c>
      <c r="B3892" s="5" t="s">
        <v>155</v>
      </c>
      <c r="C3892" s="5">
        <v>3</v>
      </c>
      <c r="D3892" s="5" t="s">
        <v>85</v>
      </c>
      <c r="E3892" s="5">
        <v>2021</v>
      </c>
      <c r="F3892" s="5">
        <v>1</v>
      </c>
      <c r="G3892" s="5" t="s">
        <v>22</v>
      </c>
      <c r="H3892" s="5">
        <v>1858431</v>
      </c>
      <c r="I3892" s="5">
        <v>1770715.77</v>
      </c>
      <c r="J3892" s="5">
        <v>22</v>
      </c>
      <c r="K3892" s="5">
        <v>468846</v>
      </c>
      <c r="L3892" s="5">
        <v>2322490</v>
      </c>
      <c r="M3892" s="5">
        <v>87715.23</v>
      </c>
      <c r="N3892" s="5">
        <v>4.7199999999999999E-2</v>
      </c>
      <c r="O3892" s="5">
        <v>0</v>
      </c>
      <c r="P3892" s="5">
        <v>0</v>
      </c>
    </row>
    <row r="3893" spans="1:16" x14ac:dyDescent="0.3">
      <c r="A3893" s="5">
        <v>86</v>
      </c>
      <c r="B3893" s="5" t="s">
        <v>155</v>
      </c>
      <c r="C3893" s="5">
        <v>3</v>
      </c>
      <c r="D3893" s="5" t="s">
        <v>85</v>
      </c>
      <c r="E3893" s="5">
        <v>2021</v>
      </c>
      <c r="F3893" s="5">
        <v>2</v>
      </c>
      <c r="G3893" s="5" t="s">
        <v>23</v>
      </c>
      <c r="H3893" s="5">
        <v>1549552</v>
      </c>
      <c r="I3893" s="5">
        <v>1407427.7</v>
      </c>
      <c r="J3893" s="5">
        <v>21</v>
      </c>
      <c r="K3893" s="5">
        <v>192880</v>
      </c>
      <c r="L3893" s="5">
        <v>1736950</v>
      </c>
      <c r="M3893" s="5">
        <v>142124.29999999999</v>
      </c>
      <c r="N3893" s="5">
        <v>9.1700000000000004E-2</v>
      </c>
      <c r="O3893" s="5">
        <v>5</v>
      </c>
      <c r="P3893" s="5">
        <v>389371</v>
      </c>
    </row>
    <row r="3894" spans="1:16" x14ac:dyDescent="0.3">
      <c r="A3894" s="5">
        <v>86</v>
      </c>
      <c r="B3894" s="5" t="s">
        <v>155</v>
      </c>
      <c r="C3894" s="5">
        <v>3</v>
      </c>
      <c r="D3894" s="5" t="s">
        <v>85</v>
      </c>
      <c r="E3894" s="5">
        <v>2021</v>
      </c>
      <c r="F3894" s="5">
        <v>3</v>
      </c>
      <c r="G3894" s="5" t="s">
        <v>24</v>
      </c>
      <c r="H3894" s="5">
        <v>1943319</v>
      </c>
      <c r="I3894" s="5">
        <v>1699199.49</v>
      </c>
      <c r="J3894" s="5">
        <v>22</v>
      </c>
      <c r="K3894" s="5">
        <v>276917</v>
      </c>
      <c r="L3894" s="5">
        <v>2216110</v>
      </c>
      <c r="M3894" s="5">
        <v>244119.51</v>
      </c>
      <c r="N3894" s="5">
        <v>0.12559999999999999</v>
      </c>
      <c r="O3894" s="5">
        <v>2</v>
      </c>
      <c r="P3894" s="5">
        <v>273127</v>
      </c>
    </row>
    <row r="3895" spans="1:16" x14ac:dyDescent="0.3">
      <c r="A3895" s="5">
        <v>86</v>
      </c>
      <c r="B3895" s="5" t="s">
        <v>155</v>
      </c>
      <c r="C3895" s="5">
        <v>3</v>
      </c>
      <c r="D3895" s="5" t="s">
        <v>85</v>
      </c>
      <c r="E3895" s="5">
        <v>2021</v>
      </c>
      <c r="F3895" s="5">
        <v>4</v>
      </c>
      <c r="G3895" s="5" t="s">
        <v>25</v>
      </c>
      <c r="H3895" s="5">
        <v>1325453</v>
      </c>
      <c r="I3895" s="5">
        <v>1192080.03</v>
      </c>
      <c r="J3895" s="5">
        <v>22</v>
      </c>
      <c r="K3895" s="5">
        <v>208171</v>
      </c>
      <c r="L3895" s="5">
        <v>1529620</v>
      </c>
      <c r="M3895" s="5">
        <v>133372.97</v>
      </c>
      <c r="N3895" s="5">
        <v>0.10059999999999999</v>
      </c>
      <c r="O3895" s="5">
        <v>3</v>
      </c>
      <c r="P3895" s="5">
        <v>93254</v>
      </c>
    </row>
    <row r="3896" spans="1:16" x14ac:dyDescent="0.3">
      <c r="A3896" s="5">
        <v>86</v>
      </c>
      <c r="B3896" s="5" t="s">
        <v>155</v>
      </c>
      <c r="C3896" s="5">
        <v>3</v>
      </c>
      <c r="D3896" s="5" t="s">
        <v>85</v>
      </c>
      <c r="E3896" s="5">
        <v>2021</v>
      </c>
      <c r="F3896" s="5">
        <v>5</v>
      </c>
      <c r="G3896" s="5" t="s">
        <v>26</v>
      </c>
      <c r="H3896" s="5">
        <v>1949953</v>
      </c>
      <c r="I3896" s="5">
        <v>1730119.59</v>
      </c>
      <c r="J3896" s="5">
        <v>24</v>
      </c>
      <c r="K3896" s="5">
        <v>236230</v>
      </c>
      <c r="L3896" s="5">
        <v>2177770</v>
      </c>
      <c r="M3896" s="5">
        <v>219833.41</v>
      </c>
      <c r="N3896" s="5">
        <v>0.11269999999999999</v>
      </c>
      <c r="O3896" s="5">
        <v>1</v>
      </c>
      <c r="P3896" s="5">
        <v>11489</v>
      </c>
    </row>
    <row r="3897" spans="1:16" x14ac:dyDescent="0.3">
      <c r="A3897" s="5">
        <v>86</v>
      </c>
      <c r="B3897" s="5" t="s">
        <v>155</v>
      </c>
      <c r="C3897" s="5">
        <v>3</v>
      </c>
      <c r="D3897" s="5" t="s">
        <v>85</v>
      </c>
      <c r="E3897" s="5">
        <v>2021</v>
      </c>
      <c r="F3897" s="5">
        <v>6</v>
      </c>
      <c r="G3897" s="5" t="s">
        <v>27</v>
      </c>
      <c r="H3897" s="5">
        <v>1314536</v>
      </c>
      <c r="I3897" s="5">
        <v>1090617.1599999999</v>
      </c>
      <c r="J3897" s="5">
        <v>24</v>
      </c>
      <c r="K3897" s="5">
        <v>108420</v>
      </c>
      <c r="L3897" s="5">
        <v>1416640</v>
      </c>
      <c r="M3897" s="5">
        <v>223918.84</v>
      </c>
      <c r="N3897" s="5">
        <v>0.17030000000000001</v>
      </c>
      <c r="O3897" s="5">
        <v>1</v>
      </c>
      <c r="P3897" s="5">
        <v>14499</v>
      </c>
    </row>
    <row r="3898" spans="1:16" x14ac:dyDescent="0.3">
      <c r="A3898" s="5">
        <v>86</v>
      </c>
      <c r="B3898" s="5" t="s">
        <v>155</v>
      </c>
      <c r="C3898" s="5">
        <v>3</v>
      </c>
      <c r="D3898" s="5" t="s">
        <v>85</v>
      </c>
      <c r="E3898" s="5">
        <v>2021</v>
      </c>
      <c r="F3898" s="5">
        <v>7</v>
      </c>
      <c r="G3898" s="5" t="s">
        <v>28</v>
      </c>
      <c r="H3898" s="5">
        <v>762774</v>
      </c>
      <c r="I3898" s="5">
        <v>734799.67</v>
      </c>
      <c r="J3898" s="5">
        <v>12</v>
      </c>
      <c r="K3898" s="5">
        <v>170292</v>
      </c>
      <c r="L3898" s="5">
        <v>933060</v>
      </c>
      <c r="M3898" s="5">
        <v>27974.33</v>
      </c>
      <c r="N3898" s="5">
        <v>3.6700000000000003E-2</v>
      </c>
      <c r="O3898" s="5">
        <v>0</v>
      </c>
      <c r="P3898" s="5">
        <v>0</v>
      </c>
    </row>
    <row r="3899" spans="1:16" x14ac:dyDescent="0.3">
      <c r="A3899" s="5">
        <v>86</v>
      </c>
      <c r="B3899" s="5" t="s">
        <v>155</v>
      </c>
      <c r="C3899" s="5">
        <v>3</v>
      </c>
      <c r="D3899" s="5" t="s">
        <v>85</v>
      </c>
      <c r="E3899" s="5">
        <v>2021</v>
      </c>
      <c r="F3899" s="5">
        <v>8</v>
      </c>
      <c r="G3899" s="5" t="s">
        <v>29</v>
      </c>
      <c r="H3899" s="5">
        <v>1859443</v>
      </c>
      <c r="I3899" s="5">
        <v>1490725.75</v>
      </c>
      <c r="J3899" s="5">
        <v>23</v>
      </c>
      <c r="K3899" s="5">
        <v>121659</v>
      </c>
      <c r="L3899" s="5">
        <v>1968620</v>
      </c>
      <c r="M3899" s="5">
        <v>368717.25</v>
      </c>
      <c r="N3899" s="5">
        <v>0.1983</v>
      </c>
      <c r="O3899" s="5">
        <v>4</v>
      </c>
      <c r="P3899" s="5">
        <v>72858</v>
      </c>
    </row>
    <row r="3900" spans="1:16" x14ac:dyDescent="0.3">
      <c r="A3900" s="5">
        <v>86</v>
      </c>
      <c r="B3900" s="5" t="s">
        <v>155</v>
      </c>
      <c r="C3900" s="5">
        <v>3</v>
      </c>
      <c r="D3900" s="5" t="s">
        <v>85</v>
      </c>
      <c r="E3900" s="5">
        <v>2021</v>
      </c>
      <c r="F3900" s="5">
        <v>9</v>
      </c>
      <c r="G3900" s="5" t="s">
        <v>30</v>
      </c>
      <c r="H3900" s="5">
        <v>1894519</v>
      </c>
      <c r="I3900" s="5">
        <v>1597247.2</v>
      </c>
      <c r="J3900" s="5">
        <v>22</v>
      </c>
      <c r="K3900" s="5">
        <v>164980</v>
      </c>
      <c r="L3900" s="5">
        <v>2056340</v>
      </c>
      <c r="M3900" s="5">
        <v>297271.8</v>
      </c>
      <c r="N3900" s="5">
        <v>0.15690000000000001</v>
      </c>
      <c r="O3900" s="5">
        <v>2</v>
      </c>
      <c r="P3900" s="5">
        <v>136042</v>
      </c>
    </row>
    <row r="3901" spans="1:16" x14ac:dyDescent="0.3">
      <c r="A3901" s="5">
        <v>86</v>
      </c>
      <c r="B3901" s="5" t="s">
        <v>155</v>
      </c>
      <c r="C3901" s="5">
        <v>3</v>
      </c>
      <c r="D3901" s="5" t="s">
        <v>85</v>
      </c>
      <c r="E3901" s="5">
        <v>2021</v>
      </c>
      <c r="F3901" s="5">
        <v>10</v>
      </c>
      <c r="G3901" s="5" t="s">
        <v>31</v>
      </c>
      <c r="H3901" s="5">
        <v>2482310</v>
      </c>
      <c r="I3901" s="5">
        <v>1992204.18</v>
      </c>
      <c r="J3901" s="5">
        <v>31</v>
      </c>
      <c r="K3901" s="5">
        <v>54518</v>
      </c>
      <c r="L3901" s="5">
        <v>2522740</v>
      </c>
      <c r="M3901" s="5">
        <v>490105.82</v>
      </c>
      <c r="N3901" s="5">
        <v>0.19739999999999999</v>
      </c>
      <c r="O3901" s="5">
        <v>1</v>
      </c>
      <c r="P3901" s="5">
        <v>18051</v>
      </c>
    </row>
    <row r="3902" spans="1:16" x14ac:dyDescent="0.3">
      <c r="A3902" s="5">
        <v>86</v>
      </c>
      <c r="B3902" s="5" t="s">
        <v>155</v>
      </c>
      <c r="C3902" s="5">
        <v>3</v>
      </c>
      <c r="D3902" s="5" t="s">
        <v>85</v>
      </c>
      <c r="E3902" s="5">
        <v>2021</v>
      </c>
      <c r="F3902" s="5">
        <v>11</v>
      </c>
      <c r="G3902" s="5" t="s">
        <v>32</v>
      </c>
      <c r="H3902" s="5">
        <v>1764592</v>
      </c>
      <c r="I3902" s="5">
        <v>1396613.05</v>
      </c>
      <c r="J3902" s="5">
        <v>32</v>
      </c>
      <c r="K3902" s="5">
        <v>59224</v>
      </c>
      <c r="L3902" s="5">
        <v>1814010</v>
      </c>
      <c r="M3902" s="5">
        <v>367978.95</v>
      </c>
      <c r="N3902" s="5">
        <v>0.20849999999999999</v>
      </c>
      <c r="O3902" s="5">
        <v>1</v>
      </c>
      <c r="P3902" s="5">
        <v>14227</v>
      </c>
    </row>
    <row r="3903" spans="1:16" x14ac:dyDescent="0.3">
      <c r="A3903" s="5">
        <v>86</v>
      </c>
      <c r="B3903" s="5" t="s">
        <v>155</v>
      </c>
      <c r="C3903" s="5">
        <v>3</v>
      </c>
      <c r="D3903" s="5" t="s">
        <v>85</v>
      </c>
      <c r="E3903" s="5">
        <v>2021</v>
      </c>
      <c r="F3903" s="5">
        <v>12</v>
      </c>
      <c r="G3903" s="5" t="s">
        <v>33</v>
      </c>
      <c r="H3903" s="5">
        <v>3764798</v>
      </c>
      <c r="I3903" s="5">
        <v>3093667.98</v>
      </c>
      <c r="J3903" s="5">
        <v>36</v>
      </c>
      <c r="K3903" s="5">
        <v>151764</v>
      </c>
      <c r="L3903" s="5">
        <v>3905210</v>
      </c>
      <c r="M3903" s="5">
        <v>671130.02</v>
      </c>
      <c r="N3903" s="5">
        <v>0.17829999999999999</v>
      </c>
      <c r="O3903" s="5">
        <v>1</v>
      </c>
      <c r="P3903" s="5">
        <v>104723</v>
      </c>
    </row>
    <row r="3904" spans="1:16" x14ac:dyDescent="0.3">
      <c r="A3904" s="5">
        <v>86</v>
      </c>
      <c r="B3904" s="5" t="s">
        <v>155</v>
      </c>
      <c r="C3904" s="5">
        <v>3</v>
      </c>
      <c r="D3904" s="5" t="s">
        <v>85</v>
      </c>
      <c r="E3904" s="5">
        <v>2022</v>
      </c>
      <c r="F3904" s="5">
        <v>1</v>
      </c>
      <c r="G3904" s="5" t="s">
        <v>34</v>
      </c>
      <c r="H3904" s="5">
        <v>2447660</v>
      </c>
      <c r="I3904" s="5">
        <v>1957533.63</v>
      </c>
      <c r="J3904" s="5">
        <v>30</v>
      </c>
      <c r="K3904" s="5">
        <v>119222</v>
      </c>
      <c r="L3904" s="5">
        <v>2561230</v>
      </c>
      <c r="M3904" s="5">
        <v>490126.37</v>
      </c>
      <c r="N3904" s="5">
        <v>0.20019999999999999</v>
      </c>
      <c r="O3904" s="5">
        <v>6</v>
      </c>
      <c r="P3904" s="5">
        <v>552026</v>
      </c>
    </row>
    <row r="3905" spans="1:16" x14ac:dyDescent="0.3">
      <c r="A3905" s="5">
        <v>86</v>
      </c>
      <c r="B3905" s="5" t="s">
        <v>155</v>
      </c>
      <c r="C3905" s="5">
        <v>3</v>
      </c>
      <c r="D3905" s="5" t="s">
        <v>85</v>
      </c>
      <c r="E3905" s="5">
        <v>2022</v>
      </c>
      <c r="F3905" s="5">
        <v>2</v>
      </c>
      <c r="G3905" s="5" t="s">
        <v>35</v>
      </c>
      <c r="H3905" s="5">
        <v>2285981</v>
      </c>
      <c r="I3905" s="5">
        <v>1970910.49</v>
      </c>
      <c r="J3905" s="5">
        <v>27</v>
      </c>
      <c r="K3905" s="5">
        <v>200327</v>
      </c>
      <c r="L3905" s="5">
        <v>2482170</v>
      </c>
      <c r="M3905" s="5">
        <v>315070.51</v>
      </c>
      <c r="N3905" s="5">
        <v>0.13780000000000001</v>
      </c>
      <c r="O3905" s="5">
        <v>3</v>
      </c>
      <c r="P3905" s="5">
        <v>44120</v>
      </c>
    </row>
    <row r="3906" spans="1:16" x14ac:dyDescent="0.3">
      <c r="A3906" s="5">
        <v>86</v>
      </c>
      <c r="B3906" s="5" t="s">
        <v>155</v>
      </c>
      <c r="C3906" s="5">
        <v>3</v>
      </c>
      <c r="D3906" s="5" t="s">
        <v>85</v>
      </c>
      <c r="E3906" s="5">
        <v>2022</v>
      </c>
      <c r="F3906" s="5">
        <v>3</v>
      </c>
      <c r="G3906" s="5" t="s">
        <v>36</v>
      </c>
      <c r="H3906" s="5">
        <v>1782192</v>
      </c>
      <c r="I3906" s="5">
        <v>1442742.94</v>
      </c>
      <c r="J3906" s="5">
        <v>21</v>
      </c>
      <c r="K3906" s="5">
        <v>110274</v>
      </c>
      <c r="L3906" s="5">
        <v>1888250</v>
      </c>
      <c r="M3906" s="5">
        <v>339449.06</v>
      </c>
      <c r="N3906" s="5">
        <v>0.1905</v>
      </c>
      <c r="O3906" s="5">
        <v>2</v>
      </c>
      <c r="P3906" s="5">
        <v>100109</v>
      </c>
    </row>
    <row r="3907" spans="1:16" x14ac:dyDescent="0.3">
      <c r="A3907" s="5">
        <v>86</v>
      </c>
      <c r="B3907" s="5" t="s">
        <v>155</v>
      </c>
      <c r="C3907" s="5">
        <v>3</v>
      </c>
      <c r="D3907" s="5" t="s">
        <v>85</v>
      </c>
      <c r="E3907" s="5">
        <v>2022</v>
      </c>
      <c r="F3907" s="5">
        <v>4</v>
      </c>
      <c r="G3907" s="5" t="s">
        <v>37</v>
      </c>
      <c r="H3907" s="5">
        <v>1951834</v>
      </c>
      <c r="I3907" s="5">
        <v>1678215.03</v>
      </c>
      <c r="J3907" s="5">
        <v>24</v>
      </c>
      <c r="K3907" s="5">
        <v>256840</v>
      </c>
      <c r="L3907" s="5">
        <v>2203860</v>
      </c>
      <c r="M3907" s="5">
        <v>273618.96999999997</v>
      </c>
      <c r="N3907" s="5">
        <v>0.14019999999999999</v>
      </c>
      <c r="O3907" s="5">
        <v>6</v>
      </c>
      <c r="P3907" s="5">
        <v>376006</v>
      </c>
    </row>
    <row r="3908" spans="1:16" x14ac:dyDescent="0.3">
      <c r="A3908" s="5">
        <v>86</v>
      </c>
      <c r="B3908" s="5" t="s">
        <v>155</v>
      </c>
      <c r="C3908" s="5">
        <v>3</v>
      </c>
      <c r="D3908" s="5" t="s">
        <v>85</v>
      </c>
      <c r="E3908" s="5">
        <v>2022</v>
      </c>
      <c r="F3908" s="5">
        <v>5</v>
      </c>
      <c r="G3908" s="5" t="s">
        <v>38</v>
      </c>
      <c r="H3908" s="5">
        <v>1510749</v>
      </c>
      <c r="I3908" s="5">
        <v>1298699.17</v>
      </c>
      <c r="J3908" s="5">
        <v>29</v>
      </c>
      <c r="K3908" s="5">
        <v>174822</v>
      </c>
      <c r="L3908" s="5">
        <v>1680790</v>
      </c>
      <c r="M3908" s="5">
        <v>212049.83</v>
      </c>
      <c r="N3908" s="5">
        <v>0.1404</v>
      </c>
      <c r="O3908" s="5">
        <v>2</v>
      </c>
      <c r="P3908" s="5">
        <v>99263</v>
      </c>
    </row>
    <row r="3909" spans="1:16" x14ac:dyDescent="0.3">
      <c r="A3909" s="5">
        <v>86</v>
      </c>
      <c r="B3909" s="5" t="s">
        <v>155</v>
      </c>
      <c r="C3909" s="5">
        <v>3</v>
      </c>
      <c r="D3909" s="5" t="s">
        <v>85</v>
      </c>
      <c r="E3909" s="5">
        <v>2022</v>
      </c>
      <c r="F3909" s="5">
        <v>6</v>
      </c>
      <c r="G3909" s="5" t="s">
        <v>39</v>
      </c>
      <c r="H3909" s="5">
        <v>3041847</v>
      </c>
      <c r="I3909" s="5">
        <v>2783029.82</v>
      </c>
      <c r="J3909" s="5">
        <v>30</v>
      </c>
      <c r="K3909" s="5">
        <v>506494</v>
      </c>
      <c r="L3909" s="5">
        <v>3542540</v>
      </c>
      <c r="M3909" s="5">
        <v>258817.18</v>
      </c>
      <c r="N3909" s="5">
        <v>8.5099999999999995E-2</v>
      </c>
      <c r="O3909" s="5">
        <v>1</v>
      </c>
      <c r="P3909" s="5">
        <v>2114</v>
      </c>
    </row>
    <row r="3910" spans="1:16" x14ac:dyDescent="0.3">
      <c r="A3910" s="5">
        <v>86</v>
      </c>
      <c r="B3910" s="5" t="s">
        <v>155</v>
      </c>
      <c r="C3910" s="5">
        <v>3</v>
      </c>
      <c r="D3910" s="5" t="s">
        <v>85</v>
      </c>
      <c r="E3910" s="5">
        <v>2022</v>
      </c>
      <c r="F3910" s="5">
        <v>7</v>
      </c>
      <c r="G3910" s="5" t="s">
        <v>40</v>
      </c>
      <c r="H3910" s="5">
        <v>1850621</v>
      </c>
      <c r="I3910" s="5">
        <v>1610630.82</v>
      </c>
      <c r="J3910" s="5">
        <v>32</v>
      </c>
      <c r="K3910" s="5">
        <v>278154</v>
      </c>
      <c r="L3910" s="5">
        <v>2121130</v>
      </c>
      <c r="M3910" s="5">
        <v>239990.18</v>
      </c>
      <c r="N3910" s="5">
        <v>0.12970000000000001</v>
      </c>
      <c r="O3910" s="5">
        <v>1</v>
      </c>
      <c r="P3910" s="5">
        <v>1459</v>
      </c>
    </row>
    <row r="3911" spans="1:16" x14ac:dyDescent="0.3">
      <c r="A3911" s="5">
        <v>86</v>
      </c>
      <c r="B3911" s="5" t="s">
        <v>155</v>
      </c>
      <c r="C3911" s="5">
        <v>3</v>
      </c>
      <c r="D3911" s="5" t="s">
        <v>85</v>
      </c>
      <c r="E3911" s="5">
        <v>2022</v>
      </c>
      <c r="F3911" s="5">
        <v>8</v>
      </c>
      <c r="G3911" s="5" t="s">
        <v>41</v>
      </c>
      <c r="H3911" s="5">
        <v>1782782</v>
      </c>
      <c r="I3911" s="5">
        <v>1752305.48</v>
      </c>
      <c r="J3911" s="5">
        <v>28</v>
      </c>
      <c r="K3911" s="5">
        <v>464737</v>
      </c>
      <c r="L3911" s="5">
        <v>2239820</v>
      </c>
      <c r="M3911" s="5">
        <v>30476.52</v>
      </c>
      <c r="N3911" s="5">
        <v>1.7100000000000001E-2</v>
      </c>
      <c r="O3911" s="5">
        <v>3</v>
      </c>
      <c r="P3911" s="5">
        <v>31753</v>
      </c>
    </row>
    <row r="3912" spans="1:16" x14ac:dyDescent="0.3">
      <c r="A3912" s="5">
        <v>86</v>
      </c>
      <c r="B3912" s="5" t="s">
        <v>155</v>
      </c>
      <c r="C3912" s="5">
        <v>3</v>
      </c>
      <c r="D3912" s="5" t="s">
        <v>85</v>
      </c>
      <c r="E3912" s="5">
        <v>2022</v>
      </c>
      <c r="F3912" s="5">
        <v>9</v>
      </c>
      <c r="G3912" s="5" t="s">
        <v>42</v>
      </c>
      <c r="H3912" s="5">
        <v>3223555</v>
      </c>
      <c r="I3912" s="5">
        <v>2800888.86</v>
      </c>
      <c r="J3912" s="5">
        <v>38</v>
      </c>
      <c r="K3912" s="5">
        <v>304740</v>
      </c>
      <c r="L3912" s="5">
        <v>3511910</v>
      </c>
      <c r="M3912" s="5">
        <v>422666.14</v>
      </c>
      <c r="N3912" s="5">
        <v>0.13109999999999999</v>
      </c>
      <c r="O3912" s="5">
        <v>2</v>
      </c>
      <c r="P3912" s="5">
        <v>19458</v>
      </c>
    </row>
    <row r="3913" spans="1:16" x14ac:dyDescent="0.3">
      <c r="A3913" s="5">
        <v>86</v>
      </c>
      <c r="B3913" s="5" t="s">
        <v>155</v>
      </c>
      <c r="C3913" s="5">
        <v>3</v>
      </c>
      <c r="D3913" s="5" t="s">
        <v>85</v>
      </c>
      <c r="E3913" s="5">
        <v>2022</v>
      </c>
      <c r="F3913" s="5">
        <v>10</v>
      </c>
      <c r="G3913" s="5" t="s">
        <v>43</v>
      </c>
      <c r="H3913" s="5">
        <v>3308277</v>
      </c>
      <c r="I3913" s="5">
        <v>2881506.5</v>
      </c>
      <c r="J3913" s="5">
        <v>54</v>
      </c>
      <c r="K3913" s="5">
        <v>432649</v>
      </c>
      <c r="L3913" s="5">
        <v>3728970</v>
      </c>
      <c r="M3913" s="5">
        <v>426770.5</v>
      </c>
      <c r="N3913" s="5">
        <v>0.129</v>
      </c>
      <c r="O3913" s="5">
        <v>2</v>
      </c>
      <c r="P3913" s="5">
        <v>57381</v>
      </c>
    </row>
    <row r="3914" spans="1:16" x14ac:dyDescent="0.3">
      <c r="A3914" s="5">
        <v>86</v>
      </c>
      <c r="B3914" s="5" t="s">
        <v>155</v>
      </c>
      <c r="C3914" s="5">
        <v>3</v>
      </c>
      <c r="D3914" s="5" t="s">
        <v>85</v>
      </c>
      <c r="E3914" s="5">
        <v>2022</v>
      </c>
      <c r="F3914" s="5">
        <v>11</v>
      </c>
      <c r="G3914" s="5" t="s">
        <v>44</v>
      </c>
      <c r="H3914" s="5">
        <v>3690342</v>
      </c>
      <c r="I3914" s="5">
        <v>3241307.11</v>
      </c>
      <c r="J3914" s="5">
        <v>50</v>
      </c>
      <c r="K3914" s="5">
        <v>435555</v>
      </c>
      <c r="L3914" s="5">
        <v>4120450</v>
      </c>
      <c r="M3914" s="5">
        <v>449034.89</v>
      </c>
      <c r="N3914" s="5">
        <v>0.1217</v>
      </c>
      <c r="O3914" s="5">
        <v>3</v>
      </c>
      <c r="P3914" s="5">
        <v>33578</v>
      </c>
    </row>
    <row r="3915" spans="1:16" x14ac:dyDescent="0.3">
      <c r="A3915" s="5">
        <v>86</v>
      </c>
      <c r="B3915" s="5" t="s">
        <v>155</v>
      </c>
      <c r="C3915" s="5">
        <v>3</v>
      </c>
      <c r="D3915" s="5" t="s">
        <v>85</v>
      </c>
      <c r="E3915" s="5">
        <v>2022</v>
      </c>
      <c r="F3915" s="5">
        <v>12</v>
      </c>
      <c r="G3915" s="5" t="s">
        <v>45</v>
      </c>
      <c r="H3915" s="5">
        <v>4036090</v>
      </c>
      <c r="I3915" s="5">
        <v>3312228.89</v>
      </c>
      <c r="J3915" s="5">
        <v>59</v>
      </c>
      <c r="K3915" s="5">
        <v>166928</v>
      </c>
      <c r="L3915" s="5">
        <v>4183750</v>
      </c>
      <c r="M3915" s="5">
        <v>723861.11</v>
      </c>
      <c r="N3915" s="5">
        <v>0.17929999999999999</v>
      </c>
      <c r="O3915" s="5">
        <v>3</v>
      </c>
      <c r="P3915" s="5">
        <v>149721</v>
      </c>
    </row>
    <row r="3916" spans="1:16" x14ac:dyDescent="0.3">
      <c r="A3916" s="5">
        <v>86</v>
      </c>
      <c r="B3916" s="5" t="s">
        <v>155</v>
      </c>
      <c r="C3916" s="5">
        <v>3</v>
      </c>
      <c r="D3916" s="5" t="s">
        <v>85</v>
      </c>
      <c r="E3916" s="5">
        <v>2023</v>
      </c>
      <c r="F3916" s="5">
        <v>1</v>
      </c>
      <c r="G3916" s="5" t="s">
        <v>46</v>
      </c>
      <c r="H3916" s="5">
        <v>2988061</v>
      </c>
      <c r="I3916" s="5">
        <v>2765486.75</v>
      </c>
      <c r="J3916" s="5">
        <v>38</v>
      </c>
      <c r="K3916" s="5">
        <v>582451</v>
      </c>
      <c r="L3916" s="5">
        <v>3566700</v>
      </c>
      <c r="M3916" s="5">
        <v>222574.25</v>
      </c>
      <c r="N3916" s="5">
        <v>7.4499999999999997E-2</v>
      </c>
      <c r="O3916" s="5">
        <v>3</v>
      </c>
      <c r="P3916" s="5">
        <v>48855</v>
      </c>
    </row>
    <row r="3917" spans="1:16" x14ac:dyDescent="0.3">
      <c r="A3917" s="5">
        <v>86</v>
      </c>
      <c r="B3917" s="5" t="s">
        <v>155</v>
      </c>
      <c r="C3917" s="5">
        <v>3</v>
      </c>
      <c r="D3917" s="5" t="s">
        <v>85</v>
      </c>
      <c r="E3917" s="5">
        <v>2023</v>
      </c>
      <c r="F3917" s="5">
        <v>2</v>
      </c>
      <c r="G3917" s="5" t="s">
        <v>47</v>
      </c>
      <c r="H3917" s="5">
        <v>2759189</v>
      </c>
      <c r="I3917" s="5">
        <v>2408166.54</v>
      </c>
      <c r="J3917" s="5">
        <v>32</v>
      </c>
      <c r="K3917" s="5">
        <v>287886</v>
      </c>
      <c r="L3917" s="5">
        <v>3037250</v>
      </c>
      <c r="M3917" s="5">
        <v>351022.46</v>
      </c>
      <c r="N3917" s="5">
        <v>0.12720000000000001</v>
      </c>
      <c r="O3917" s="5">
        <v>1</v>
      </c>
      <c r="P3917" s="5">
        <v>661</v>
      </c>
    </row>
    <row r="3918" spans="1:16" x14ac:dyDescent="0.3">
      <c r="A3918" s="5">
        <v>86</v>
      </c>
      <c r="B3918" s="5" t="s">
        <v>155</v>
      </c>
      <c r="C3918" s="5">
        <v>3</v>
      </c>
      <c r="D3918" s="5" t="s">
        <v>85</v>
      </c>
      <c r="E3918" s="5">
        <v>2023</v>
      </c>
      <c r="F3918" s="5">
        <v>3</v>
      </c>
      <c r="G3918" s="5" t="s">
        <v>48</v>
      </c>
      <c r="H3918" s="5">
        <v>2013167</v>
      </c>
      <c r="I3918" s="5">
        <v>1709768.53</v>
      </c>
      <c r="J3918" s="5">
        <v>35</v>
      </c>
      <c r="K3918" s="5">
        <v>225470</v>
      </c>
      <c r="L3918" s="5">
        <v>2228120</v>
      </c>
      <c r="M3918" s="5">
        <v>303398.46999999997</v>
      </c>
      <c r="N3918" s="5">
        <v>0.1507</v>
      </c>
      <c r="O3918" s="5">
        <v>1</v>
      </c>
      <c r="P3918" s="5">
        <v>35856</v>
      </c>
    </row>
    <row r="3919" spans="1:16" x14ac:dyDescent="0.3">
      <c r="A3919" s="5">
        <v>86</v>
      </c>
      <c r="B3919" s="5" t="s">
        <v>155</v>
      </c>
      <c r="C3919" s="5">
        <v>3</v>
      </c>
      <c r="D3919" s="5" t="s">
        <v>85</v>
      </c>
      <c r="E3919" s="5">
        <v>2023</v>
      </c>
      <c r="F3919" s="5">
        <v>4</v>
      </c>
      <c r="G3919" s="5" t="s">
        <v>49</v>
      </c>
      <c r="H3919" s="5">
        <v>1842219</v>
      </c>
      <c r="I3919" s="5">
        <v>1596389.47</v>
      </c>
      <c r="J3919" s="5">
        <v>26</v>
      </c>
      <c r="K3919" s="5">
        <v>247921</v>
      </c>
      <c r="L3919" s="5">
        <v>2086230</v>
      </c>
      <c r="M3919" s="5">
        <v>245829.53</v>
      </c>
      <c r="N3919" s="5">
        <v>0.13339999999999999</v>
      </c>
      <c r="O3919" s="5">
        <v>1</v>
      </c>
      <c r="P3919" s="5">
        <v>3651</v>
      </c>
    </row>
    <row r="3920" spans="1:16" x14ac:dyDescent="0.3">
      <c r="A3920" s="5">
        <v>86</v>
      </c>
      <c r="B3920" s="5" t="s">
        <v>155</v>
      </c>
      <c r="C3920" s="5">
        <v>3</v>
      </c>
      <c r="D3920" s="5" t="s">
        <v>85</v>
      </c>
      <c r="E3920" s="5">
        <v>2023</v>
      </c>
      <c r="F3920" s="5">
        <v>5</v>
      </c>
      <c r="G3920" s="5" t="s">
        <v>50</v>
      </c>
      <c r="H3920" s="5">
        <v>4434045</v>
      </c>
      <c r="I3920" s="5">
        <v>3902287.99</v>
      </c>
      <c r="J3920" s="5">
        <v>52</v>
      </c>
      <c r="K3920" s="5">
        <v>522773</v>
      </c>
      <c r="L3920" s="5">
        <v>4942450</v>
      </c>
      <c r="M3920" s="5">
        <v>531757.01</v>
      </c>
      <c r="N3920" s="5">
        <v>0.11990000000000001</v>
      </c>
      <c r="O3920" s="5">
        <v>4</v>
      </c>
      <c r="P3920" s="5">
        <v>79109</v>
      </c>
    </row>
    <row r="3921" spans="1:16" x14ac:dyDescent="0.3">
      <c r="A3921" s="5">
        <v>86</v>
      </c>
      <c r="B3921" s="5" t="s">
        <v>155</v>
      </c>
      <c r="C3921" s="5">
        <v>3</v>
      </c>
      <c r="D3921" s="5" t="s">
        <v>85</v>
      </c>
      <c r="E3921" s="5">
        <v>2023</v>
      </c>
      <c r="F3921" s="5">
        <v>6</v>
      </c>
      <c r="G3921" s="5" t="s">
        <v>51</v>
      </c>
      <c r="H3921" s="5">
        <v>2652693</v>
      </c>
      <c r="I3921" s="5">
        <v>2188298.17</v>
      </c>
      <c r="J3921" s="5">
        <v>40</v>
      </c>
      <c r="K3921" s="5">
        <v>218510</v>
      </c>
      <c r="L3921" s="5">
        <v>2862710</v>
      </c>
      <c r="M3921" s="5">
        <v>464394.83</v>
      </c>
      <c r="N3921" s="5">
        <v>0.17510000000000001</v>
      </c>
      <c r="O3921" s="5">
        <v>2</v>
      </c>
      <c r="P3921" s="5">
        <v>4778</v>
      </c>
    </row>
    <row r="3922" spans="1:16" x14ac:dyDescent="0.3">
      <c r="A3922" s="5">
        <v>86</v>
      </c>
      <c r="B3922" s="5" t="s">
        <v>155</v>
      </c>
      <c r="C3922" s="5">
        <v>3</v>
      </c>
      <c r="D3922" s="5" t="s">
        <v>85</v>
      </c>
      <c r="E3922" s="5">
        <v>2023</v>
      </c>
      <c r="F3922" s="5">
        <v>7</v>
      </c>
      <c r="G3922" s="5" t="s">
        <v>52</v>
      </c>
      <c r="H3922" s="5">
        <v>4087468</v>
      </c>
      <c r="I3922" s="5">
        <v>3924133.17</v>
      </c>
      <c r="J3922" s="5">
        <v>45</v>
      </c>
      <c r="K3922" s="5">
        <v>940356</v>
      </c>
      <c r="L3922" s="5">
        <v>5012560</v>
      </c>
      <c r="M3922" s="5">
        <v>163334.82999999999</v>
      </c>
      <c r="N3922" s="5">
        <v>0.04</v>
      </c>
      <c r="O3922" s="5">
        <v>3</v>
      </c>
      <c r="P3922" s="5">
        <v>191351</v>
      </c>
    </row>
    <row r="3923" spans="1:16" x14ac:dyDescent="0.3">
      <c r="A3923" s="5">
        <v>86</v>
      </c>
      <c r="B3923" s="5" t="s">
        <v>155</v>
      </c>
      <c r="C3923" s="5">
        <v>3</v>
      </c>
      <c r="D3923" s="5" t="s">
        <v>85</v>
      </c>
      <c r="E3923" s="5">
        <v>2023</v>
      </c>
      <c r="F3923" s="5">
        <v>8</v>
      </c>
      <c r="G3923" s="5" t="s">
        <v>53</v>
      </c>
      <c r="H3923" s="5">
        <v>2797675</v>
      </c>
      <c r="I3923" s="5">
        <v>2449343.52</v>
      </c>
      <c r="J3923" s="5">
        <v>43</v>
      </c>
      <c r="K3923" s="5">
        <v>352049</v>
      </c>
      <c r="L3923" s="5">
        <v>3143680</v>
      </c>
      <c r="M3923" s="5">
        <v>348331.48</v>
      </c>
      <c r="N3923" s="5">
        <v>0.1245</v>
      </c>
      <c r="O3923" s="5">
        <v>0</v>
      </c>
      <c r="P3923" s="5">
        <v>0</v>
      </c>
    </row>
    <row r="3924" spans="1:16" x14ac:dyDescent="0.3">
      <c r="A3924" s="5">
        <v>86</v>
      </c>
      <c r="B3924" s="5" t="s">
        <v>155</v>
      </c>
      <c r="C3924" s="5">
        <v>3</v>
      </c>
      <c r="D3924" s="5" t="s">
        <v>85</v>
      </c>
      <c r="E3924" s="5">
        <v>2023</v>
      </c>
      <c r="F3924" s="5">
        <v>9</v>
      </c>
      <c r="G3924" s="5" t="s">
        <v>54</v>
      </c>
      <c r="H3924" s="5">
        <v>3740294</v>
      </c>
      <c r="I3924" s="5">
        <v>3304169.81</v>
      </c>
      <c r="J3924" s="5">
        <v>52</v>
      </c>
      <c r="K3924" s="5">
        <v>528588</v>
      </c>
      <c r="L3924" s="5">
        <v>4262420</v>
      </c>
      <c r="M3924" s="5">
        <v>436124.19</v>
      </c>
      <c r="N3924" s="5">
        <v>0.1166</v>
      </c>
      <c r="O3924" s="5">
        <v>7</v>
      </c>
      <c r="P3924" s="5">
        <v>167320</v>
      </c>
    </row>
    <row r="3925" spans="1:16" x14ac:dyDescent="0.3">
      <c r="A3925" s="5">
        <v>86</v>
      </c>
      <c r="B3925" s="5" t="s">
        <v>155</v>
      </c>
      <c r="C3925" s="5">
        <v>3</v>
      </c>
      <c r="D3925" s="5" t="s">
        <v>85</v>
      </c>
      <c r="E3925" s="5">
        <v>2023</v>
      </c>
      <c r="F3925" s="5">
        <v>10</v>
      </c>
      <c r="G3925" s="5" t="s">
        <v>55</v>
      </c>
      <c r="H3925" s="5">
        <v>4352663</v>
      </c>
      <c r="I3925" s="5">
        <v>3743210.95</v>
      </c>
      <c r="J3925" s="5">
        <v>60</v>
      </c>
      <c r="K3925" s="5">
        <v>413511</v>
      </c>
      <c r="L3925" s="5">
        <v>4746540</v>
      </c>
      <c r="M3925" s="5">
        <v>609452.05000000005</v>
      </c>
      <c r="N3925" s="5">
        <v>0.14000000000000001</v>
      </c>
      <c r="O3925" s="5">
        <v>4</v>
      </c>
      <c r="P3925" s="5">
        <v>157955</v>
      </c>
    </row>
    <row r="3926" spans="1:16" x14ac:dyDescent="0.3">
      <c r="A3926" s="5">
        <v>86</v>
      </c>
      <c r="B3926" s="5" t="s">
        <v>155</v>
      </c>
      <c r="C3926" s="5">
        <v>3</v>
      </c>
      <c r="D3926" s="5" t="s">
        <v>85</v>
      </c>
      <c r="E3926" s="5">
        <v>2023</v>
      </c>
      <c r="F3926" s="5">
        <v>11</v>
      </c>
      <c r="G3926" s="5" t="s">
        <v>56</v>
      </c>
      <c r="H3926" s="5">
        <v>3612997</v>
      </c>
      <c r="I3926" s="5">
        <v>3156387.11</v>
      </c>
      <c r="J3926" s="5">
        <v>49</v>
      </c>
      <c r="K3926" s="5">
        <v>417769</v>
      </c>
      <c r="L3926" s="5">
        <v>4015330</v>
      </c>
      <c r="M3926" s="5">
        <v>456609.89</v>
      </c>
      <c r="N3926" s="5">
        <v>0.12640000000000001</v>
      </c>
      <c r="O3926" s="5">
        <v>2</v>
      </c>
      <c r="P3926" s="5">
        <v>6164</v>
      </c>
    </row>
    <row r="3927" spans="1:16" x14ac:dyDescent="0.3">
      <c r="A3927" s="5">
        <v>86</v>
      </c>
      <c r="B3927" s="5" t="s">
        <v>155</v>
      </c>
      <c r="C3927" s="5">
        <v>3</v>
      </c>
      <c r="D3927" s="5" t="s">
        <v>85</v>
      </c>
      <c r="E3927" s="5">
        <v>2023</v>
      </c>
      <c r="F3927" s="5">
        <v>12</v>
      </c>
      <c r="G3927" s="5" t="s">
        <v>57</v>
      </c>
      <c r="H3927" s="5">
        <v>4860850</v>
      </c>
      <c r="I3927" s="5">
        <v>4521510.2699999996</v>
      </c>
      <c r="J3927" s="5">
        <v>67</v>
      </c>
      <c r="K3927" s="5">
        <v>950146</v>
      </c>
      <c r="L3927" s="5">
        <v>5795570</v>
      </c>
      <c r="M3927" s="5">
        <v>339339.73</v>
      </c>
      <c r="N3927" s="5">
        <v>6.9800000000000001E-2</v>
      </c>
      <c r="O3927" s="5">
        <v>8</v>
      </c>
      <c r="P3927" s="5">
        <v>599391</v>
      </c>
    </row>
    <row r="3928" spans="1:16" x14ac:dyDescent="0.3">
      <c r="A3928" s="5">
        <v>86</v>
      </c>
      <c r="B3928" s="5" t="s">
        <v>155</v>
      </c>
      <c r="C3928" s="5">
        <v>3</v>
      </c>
      <c r="D3928" s="5" t="s">
        <v>85</v>
      </c>
      <c r="E3928" s="5">
        <v>2024</v>
      </c>
      <c r="F3928" s="5">
        <v>1</v>
      </c>
      <c r="G3928" s="5" t="s">
        <v>58</v>
      </c>
      <c r="H3928" s="5">
        <v>3299345</v>
      </c>
      <c r="I3928" s="5">
        <v>2848225.83</v>
      </c>
      <c r="J3928" s="5">
        <v>42</v>
      </c>
      <c r="K3928" s="5">
        <v>417750</v>
      </c>
      <c r="L3928" s="5">
        <v>3703630</v>
      </c>
      <c r="M3928" s="5">
        <v>451119.17</v>
      </c>
      <c r="N3928" s="5">
        <v>0.13669999999999999</v>
      </c>
      <c r="O3928" s="5">
        <v>3</v>
      </c>
      <c r="P3928" s="5">
        <v>52516</v>
      </c>
    </row>
    <row r="3929" spans="1:16" x14ac:dyDescent="0.3">
      <c r="A3929" s="5">
        <v>86</v>
      </c>
      <c r="B3929" s="5" t="s">
        <v>155</v>
      </c>
      <c r="C3929" s="5">
        <v>3</v>
      </c>
      <c r="D3929" s="5" t="s">
        <v>85</v>
      </c>
      <c r="E3929" s="5">
        <v>2024</v>
      </c>
      <c r="F3929" s="5">
        <v>2</v>
      </c>
      <c r="G3929" s="5" t="s">
        <v>59</v>
      </c>
      <c r="H3929" s="5">
        <v>2593949</v>
      </c>
      <c r="I3929" s="5">
        <v>2238396.94</v>
      </c>
      <c r="J3929" s="5">
        <v>34</v>
      </c>
      <c r="K3929" s="5">
        <v>296810</v>
      </c>
      <c r="L3929" s="5">
        <v>2886100</v>
      </c>
      <c r="M3929" s="5">
        <v>355552.06</v>
      </c>
      <c r="N3929" s="5">
        <v>0.1371</v>
      </c>
      <c r="O3929" s="5">
        <v>2</v>
      </c>
      <c r="P3929" s="5">
        <v>113512</v>
      </c>
    </row>
    <row r="3930" spans="1:16" x14ac:dyDescent="0.3">
      <c r="A3930" s="5">
        <v>86</v>
      </c>
      <c r="B3930" s="5" t="s">
        <v>155</v>
      </c>
      <c r="C3930" s="5">
        <v>3</v>
      </c>
      <c r="D3930" s="5" t="s">
        <v>85</v>
      </c>
      <c r="E3930" s="5">
        <v>2024</v>
      </c>
      <c r="F3930" s="5">
        <v>3</v>
      </c>
      <c r="G3930" s="5" t="s">
        <v>60</v>
      </c>
      <c r="H3930" s="5">
        <v>4290877</v>
      </c>
      <c r="I3930" s="5">
        <v>3635518.63</v>
      </c>
      <c r="J3930" s="5">
        <v>53</v>
      </c>
      <c r="K3930" s="5">
        <v>341336</v>
      </c>
      <c r="L3930" s="5">
        <v>4615070</v>
      </c>
      <c r="M3930" s="5">
        <v>655358.37</v>
      </c>
      <c r="N3930" s="5">
        <v>0.1527</v>
      </c>
      <c r="O3930" s="5">
        <v>5</v>
      </c>
      <c r="P3930" s="5">
        <v>28595</v>
      </c>
    </row>
    <row r="3931" spans="1:16" x14ac:dyDescent="0.3">
      <c r="A3931" s="5">
        <v>86</v>
      </c>
      <c r="B3931" s="5" t="s">
        <v>155</v>
      </c>
      <c r="C3931" s="5">
        <v>3</v>
      </c>
      <c r="D3931" s="5" t="s">
        <v>85</v>
      </c>
      <c r="E3931" s="5">
        <v>2024</v>
      </c>
      <c r="F3931" s="5">
        <v>4</v>
      </c>
      <c r="G3931" s="5" t="s">
        <v>61</v>
      </c>
      <c r="H3931" s="5">
        <v>2445876</v>
      </c>
      <c r="I3931" s="5">
        <v>2179652.12</v>
      </c>
      <c r="J3931" s="5">
        <v>37</v>
      </c>
      <c r="K3931" s="5">
        <v>333118</v>
      </c>
      <c r="L3931" s="5">
        <v>2771400</v>
      </c>
      <c r="M3931" s="5">
        <v>266223.88</v>
      </c>
      <c r="N3931" s="5">
        <v>0.10879999999999999</v>
      </c>
      <c r="O3931" s="5">
        <v>5</v>
      </c>
      <c r="P3931" s="5">
        <v>223200</v>
      </c>
    </row>
    <row r="3932" spans="1:16" x14ac:dyDescent="0.3">
      <c r="A3932" s="5">
        <v>86</v>
      </c>
      <c r="B3932" s="5" t="s">
        <v>155</v>
      </c>
      <c r="C3932" s="5">
        <v>3</v>
      </c>
      <c r="D3932" s="5" t="s">
        <v>85</v>
      </c>
      <c r="E3932" s="5">
        <v>2024</v>
      </c>
      <c r="F3932" s="5">
        <v>5</v>
      </c>
      <c r="G3932" s="5" t="s">
        <v>62</v>
      </c>
      <c r="H3932" s="5">
        <v>3028912</v>
      </c>
      <c r="I3932" s="5">
        <v>2775789.36</v>
      </c>
      <c r="J3932" s="5">
        <v>45</v>
      </c>
      <c r="K3932" s="5">
        <v>560150</v>
      </c>
      <c r="L3932" s="5">
        <v>3584770</v>
      </c>
      <c r="M3932" s="5">
        <v>253122.64</v>
      </c>
      <c r="N3932" s="5">
        <v>8.3599999999999994E-2</v>
      </c>
      <c r="O3932" s="5">
        <v>4</v>
      </c>
      <c r="P3932" s="5">
        <v>67885</v>
      </c>
    </row>
    <row r="3933" spans="1:16" x14ac:dyDescent="0.3">
      <c r="A3933" s="5">
        <v>86</v>
      </c>
      <c r="B3933" s="5" t="s">
        <v>155</v>
      </c>
      <c r="C3933" s="5">
        <v>3</v>
      </c>
      <c r="D3933" s="5" t="s">
        <v>85</v>
      </c>
      <c r="E3933" s="5">
        <v>2024</v>
      </c>
      <c r="F3933" s="5">
        <v>6</v>
      </c>
      <c r="G3933" s="5" t="s">
        <v>63</v>
      </c>
      <c r="H3933" s="5">
        <v>3444193</v>
      </c>
      <c r="I3933" s="5">
        <v>2840402.38</v>
      </c>
      <c r="J3933" s="5">
        <v>48</v>
      </c>
      <c r="K3933" s="5">
        <v>149074</v>
      </c>
      <c r="L3933" s="5">
        <v>3569320</v>
      </c>
      <c r="M3933" s="5">
        <v>603790.62</v>
      </c>
      <c r="N3933" s="5">
        <v>0.17530000000000001</v>
      </c>
      <c r="O3933" s="5">
        <v>3</v>
      </c>
      <c r="P3933" s="5">
        <v>90251</v>
      </c>
    </row>
    <row r="3934" spans="1:16" x14ac:dyDescent="0.3">
      <c r="A3934" s="5">
        <v>86</v>
      </c>
      <c r="B3934" s="5" t="s">
        <v>155</v>
      </c>
      <c r="C3934" s="5">
        <v>3</v>
      </c>
      <c r="D3934" s="5" t="s">
        <v>85</v>
      </c>
      <c r="E3934" s="5">
        <v>2024</v>
      </c>
      <c r="F3934" s="5">
        <v>7</v>
      </c>
      <c r="G3934" s="5" t="s">
        <v>64</v>
      </c>
      <c r="H3934" s="5">
        <v>3259066</v>
      </c>
      <c r="I3934" s="5">
        <v>2653230.5699999998</v>
      </c>
      <c r="J3934" s="5">
        <v>40</v>
      </c>
      <c r="K3934" s="5">
        <v>188914</v>
      </c>
      <c r="L3934" s="5">
        <v>3436210</v>
      </c>
      <c r="M3934" s="5">
        <v>605835.43000000005</v>
      </c>
      <c r="N3934" s="5">
        <v>0.18590000000000001</v>
      </c>
      <c r="O3934" s="5">
        <v>3</v>
      </c>
      <c r="P3934" s="5">
        <v>34224</v>
      </c>
    </row>
    <row r="3935" spans="1:16" x14ac:dyDescent="0.3">
      <c r="A3935" s="5">
        <v>86</v>
      </c>
      <c r="B3935" s="5" t="s">
        <v>155</v>
      </c>
      <c r="C3935" s="5">
        <v>3</v>
      </c>
      <c r="D3935" s="5" t="s">
        <v>85</v>
      </c>
      <c r="E3935" s="5">
        <v>2024</v>
      </c>
      <c r="F3935" s="5">
        <v>8</v>
      </c>
      <c r="G3935" s="5" t="s">
        <v>65</v>
      </c>
      <c r="H3935" s="5">
        <v>3462699</v>
      </c>
      <c r="I3935" s="5">
        <v>3022231.88</v>
      </c>
      <c r="J3935" s="5">
        <v>53</v>
      </c>
      <c r="K3935" s="5">
        <v>483211</v>
      </c>
      <c r="L3935" s="5">
        <v>3942640</v>
      </c>
      <c r="M3935" s="5">
        <v>440467.12</v>
      </c>
      <c r="N3935" s="5">
        <v>0.12720000000000001</v>
      </c>
      <c r="O3935" s="5">
        <v>1</v>
      </c>
      <c r="P3935" s="5">
        <v>2643</v>
      </c>
    </row>
    <row r="3936" spans="1:16" x14ac:dyDescent="0.3">
      <c r="A3936" s="5">
        <v>86</v>
      </c>
      <c r="B3936" s="5" t="s">
        <v>155</v>
      </c>
      <c r="C3936" s="5">
        <v>3</v>
      </c>
      <c r="D3936" s="5" t="s">
        <v>85</v>
      </c>
      <c r="E3936" s="5">
        <v>2024</v>
      </c>
      <c r="F3936" s="5">
        <v>9</v>
      </c>
      <c r="G3936" s="5" t="s">
        <v>66</v>
      </c>
      <c r="H3936" s="5">
        <v>2883315</v>
      </c>
      <c r="I3936" s="5">
        <v>2366356.81</v>
      </c>
      <c r="J3936" s="5">
        <v>48</v>
      </c>
      <c r="K3936" s="5">
        <v>162028</v>
      </c>
      <c r="L3936" s="5">
        <v>3031410</v>
      </c>
      <c r="M3936" s="5">
        <v>516958.19</v>
      </c>
      <c r="N3936" s="5">
        <v>0.17929999999999999</v>
      </c>
      <c r="O3936" s="5">
        <v>4</v>
      </c>
      <c r="P3936" s="5">
        <v>29090</v>
      </c>
    </row>
    <row r="3937" spans="1:16" x14ac:dyDescent="0.3">
      <c r="A3937" s="5">
        <v>86</v>
      </c>
      <c r="B3937" s="5" t="s">
        <v>155</v>
      </c>
      <c r="C3937" s="5">
        <v>3</v>
      </c>
      <c r="D3937" s="5" t="s">
        <v>85</v>
      </c>
      <c r="E3937" s="5">
        <v>2024</v>
      </c>
      <c r="F3937" s="5">
        <v>10</v>
      </c>
      <c r="G3937" s="5" t="s">
        <v>67</v>
      </c>
      <c r="H3937" s="5">
        <v>5756818</v>
      </c>
      <c r="I3937" s="5">
        <v>4665884.26</v>
      </c>
      <c r="J3937" s="5">
        <v>64</v>
      </c>
      <c r="K3937" s="5">
        <v>199009</v>
      </c>
      <c r="L3937" s="5">
        <v>5942830</v>
      </c>
      <c r="M3937" s="5">
        <v>1090933.74</v>
      </c>
      <c r="N3937" s="5">
        <v>0.1895</v>
      </c>
      <c r="O3937" s="5">
        <v>3</v>
      </c>
      <c r="P3937" s="5">
        <v>48511</v>
      </c>
    </row>
    <row r="3938" spans="1:16" x14ac:dyDescent="0.3">
      <c r="A3938" s="5">
        <v>86</v>
      </c>
      <c r="B3938" s="5" t="s">
        <v>155</v>
      </c>
      <c r="C3938" s="5">
        <v>3</v>
      </c>
      <c r="D3938" s="5" t="s">
        <v>85</v>
      </c>
      <c r="E3938" s="5">
        <v>2024</v>
      </c>
      <c r="F3938" s="5">
        <v>11</v>
      </c>
      <c r="G3938" s="5" t="s">
        <v>68</v>
      </c>
      <c r="H3938" s="5">
        <v>4426478</v>
      </c>
      <c r="I3938" s="5">
        <v>3750077.77</v>
      </c>
      <c r="J3938" s="5">
        <v>67</v>
      </c>
      <c r="K3938" s="5">
        <v>407113</v>
      </c>
      <c r="L3938" s="5">
        <v>4821010</v>
      </c>
      <c r="M3938" s="5">
        <v>676400.23</v>
      </c>
      <c r="N3938" s="5">
        <v>0.15279999999999999</v>
      </c>
      <c r="O3938" s="5">
        <v>1</v>
      </c>
      <c r="P3938" s="5">
        <v>9346</v>
      </c>
    </row>
    <row r="3939" spans="1:16" x14ac:dyDescent="0.3">
      <c r="A3939" s="5">
        <v>86</v>
      </c>
      <c r="B3939" s="5" t="s">
        <v>155</v>
      </c>
      <c r="C3939" s="5">
        <v>3</v>
      </c>
      <c r="D3939" s="5" t="s">
        <v>85</v>
      </c>
      <c r="E3939" s="5">
        <v>2024</v>
      </c>
      <c r="F3939" s="5">
        <v>12</v>
      </c>
      <c r="G3939" s="5" t="s">
        <v>69</v>
      </c>
      <c r="H3939" s="5">
        <v>5117895</v>
      </c>
      <c r="I3939" s="5">
        <v>4233668.4800000004</v>
      </c>
      <c r="J3939" s="5">
        <v>79</v>
      </c>
      <c r="K3939" s="5">
        <v>199193</v>
      </c>
      <c r="L3939" s="5">
        <v>5307100</v>
      </c>
      <c r="M3939" s="5">
        <v>884226.52</v>
      </c>
      <c r="N3939" s="5">
        <v>0.17280000000000001</v>
      </c>
      <c r="O3939" s="5">
        <v>5</v>
      </c>
      <c r="P3939" s="5">
        <v>154343</v>
      </c>
    </row>
    <row r="3940" spans="1:16" x14ac:dyDescent="0.3">
      <c r="A3940" s="5">
        <v>110</v>
      </c>
      <c r="B3940" s="5" t="s">
        <v>156</v>
      </c>
      <c r="C3940" s="5">
        <v>1</v>
      </c>
      <c r="D3940" s="5" t="s">
        <v>76</v>
      </c>
      <c r="E3940" s="5">
        <v>2021</v>
      </c>
      <c r="F3940" s="5">
        <v>1</v>
      </c>
      <c r="G3940" s="5" t="s">
        <v>22</v>
      </c>
      <c r="H3940" s="5">
        <v>1304761</v>
      </c>
      <c r="I3940" s="5">
        <v>1144700.44</v>
      </c>
      <c r="J3940" s="5">
        <v>27</v>
      </c>
      <c r="K3940" s="5">
        <v>195552</v>
      </c>
      <c r="L3940" s="5">
        <v>1493930</v>
      </c>
      <c r="M3940" s="5">
        <v>160060.56</v>
      </c>
      <c r="N3940" s="5">
        <v>0.1227</v>
      </c>
      <c r="O3940" s="5">
        <v>5</v>
      </c>
      <c r="P3940" s="5">
        <v>167718</v>
      </c>
    </row>
    <row r="3941" spans="1:16" x14ac:dyDescent="0.3">
      <c r="A3941" s="5">
        <v>110</v>
      </c>
      <c r="B3941" s="5" t="s">
        <v>156</v>
      </c>
      <c r="C3941" s="5">
        <v>1</v>
      </c>
      <c r="D3941" s="5" t="s">
        <v>76</v>
      </c>
      <c r="E3941" s="5">
        <v>2021</v>
      </c>
      <c r="F3941" s="5">
        <v>2</v>
      </c>
      <c r="G3941" s="5" t="s">
        <v>23</v>
      </c>
      <c r="H3941" s="5">
        <v>2384694</v>
      </c>
      <c r="I3941" s="5">
        <v>2055519.73</v>
      </c>
      <c r="J3941" s="5">
        <v>36</v>
      </c>
      <c r="K3941" s="5">
        <v>313224</v>
      </c>
      <c r="L3941" s="5">
        <v>2688980</v>
      </c>
      <c r="M3941" s="5">
        <v>329174.27</v>
      </c>
      <c r="N3941" s="5">
        <v>0.13800000000000001</v>
      </c>
      <c r="O3941" s="5">
        <v>2</v>
      </c>
      <c r="P3941" s="5">
        <v>50734</v>
      </c>
    </row>
    <row r="3942" spans="1:16" x14ac:dyDescent="0.3">
      <c r="A3942" s="5">
        <v>110</v>
      </c>
      <c r="B3942" s="5" t="s">
        <v>156</v>
      </c>
      <c r="C3942" s="5">
        <v>1</v>
      </c>
      <c r="D3942" s="5" t="s">
        <v>76</v>
      </c>
      <c r="E3942" s="5">
        <v>2021</v>
      </c>
      <c r="F3942" s="5">
        <v>3</v>
      </c>
      <c r="G3942" s="5" t="s">
        <v>24</v>
      </c>
      <c r="H3942" s="5">
        <v>2419635</v>
      </c>
      <c r="I3942" s="5">
        <v>2043258.92</v>
      </c>
      <c r="J3942" s="5">
        <v>28</v>
      </c>
      <c r="K3942" s="5">
        <v>177257</v>
      </c>
      <c r="L3942" s="5">
        <v>2580280</v>
      </c>
      <c r="M3942" s="5">
        <v>376376.08</v>
      </c>
      <c r="N3942" s="5">
        <v>0.15559999999999999</v>
      </c>
      <c r="O3942" s="5">
        <v>2</v>
      </c>
      <c r="P3942" s="5">
        <v>4294</v>
      </c>
    </row>
    <row r="3943" spans="1:16" x14ac:dyDescent="0.3">
      <c r="A3943" s="5">
        <v>110</v>
      </c>
      <c r="B3943" s="5" t="s">
        <v>156</v>
      </c>
      <c r="C3943" s="5">
        <v>1</v>
      </c>
      <c r="D3943" s="5" t="s">
        <v>76</v>
      </c>
      <c r="E3943" s="5">
        <v>2021</v>
      </c>
      <c r="F3943" s="5">
        <v>4</v>
      </c>
      <c r="G3943" s="5" t="s">
        <v>25</v>
      </c>
      <c r="H3943" s="5">
        <v>2340449</v>
      </c>
      <c r="I3943" s="5">
        <v>2080763.07</v>
      </c>
      <c r="J3943" s="5">
        <v>32</v>
      </c>
      <c r="K3943" s="5">
        <v>292635</v>
      </c>
      <c r="L3943" s="5">
        <v>2629020</v>
      </c>
      <c r="M3943" s="5">
        <v>259685.93</v>
      </c>
      <c r="N3943" s="5">
        <v>0.111</v>
      </c>
      <c r="O3943" s="5">
        <v>7</v>
      </c>
      <c r="P3943" s="5">
        <v>193598</v>
      </c>
    </row>
    <row r="3944" spans="1:16" x14ac:dyDescent="0.3">
      <c r="A3944" s="5">
        <v>110</v>
      </c>
      <c r="B3944" s="5" t="s">
        <v>156</v>
      </c>
      <c r="C3944" s="5">
        <v>1</v>
      </c>
      <c r="D3944" s="5" t="s">
        <v>76</v>
      </c>
      <c r="E3944" s="5">
        <v>2021</v>
      </c>
      <c r="F3944" s="5">
        <v>5</v>
      </c>
      <c r="G3944" s="5" t="s">
        <v>26</v>
      </c>
      <c r="H3944" s="5">
        <v>2348661</v>
      </c>
      <c r="I3944" s="5">
        <v>2137276.35</v>
      </c>
      <c r="J3944" s="5">
        <v>39</v>
      </c>
      <c r="K3944" s="5">
        <v>444791</v>
      </c>
      <c r="L3944" s="5">
        <v>2785580</v>
      </c>
      <c r="M3944" s="5">
        <v>211384.65</v>
      </c>
      <c r="N3944" s="5">
        <v>0.09</v>
      </c>
      <c r="O3944" s="5">
        <v>0</v>
      </c>
      <c r="P3944" s="5">
        <v>0</v>
      </c>
    </row>
    <row r="3945" spans="1:16" x14ac:dyDescent="0.3">
      <c r="A3945" s="5">
        <v>110</v>
      </c>
      <c r="B3945" s="5" t="s">
        <v>156</v>
      </c>
      <c r="C3945" s="5">
        <v>1</v>
      </c>
      <c r="D3945" s="5" t="s">
        <v>76</v>
      </c>
      <c r="E3945" s="5">
        <v>2021</v>
      </c>
      <c r="F3945" s="5">
        <v>6</v>
      </c>
      <c r="G3945" s="5" t="s">
        <v>27</v>
      </c>
      <c r="H3945" s="5">
        <v>2127372</v>
      </c>
      <c r="I3945" s="5">
        <v>1925831.45</v>
      </c>
      <c r="J3945" s="5">
        <v>32</v>
      </c>
      <c r="K3945" s="5">
        <v>344828</v>
      </c>
      <c r="L3945" s="5">
        <v>2467000</v>
      </c>
      <c r="M3945" s="5">
        <v>201540.55</v>
      </c>
      <c r="N3945" s="5">
        <v>9.4700000000000006E-2</v>
      </c>
      <c r="O3945" s="5">
        <v>1</v>
      </c>
      <c r="P3945" s="5">
        <v>7148</v>
      </c>
    </row>
    <row r="3946" spans="1:16" x14ac:dyDescent="0.3">
      <c r="A3946" s="5">
        <v>110</v>
      </c>
      <c r="B3946" s="5" t="s">
        <v>156</v>
      </c>
      <c r="C3946" s="5">
        <v>1</v>
      </c>
      <c r="D3946" s="5" t="s">
        <v>76</v>
      </c>
      <c r="E3946" s="5">
        <v>2021</v>
      </c>
      <c r="F3946" s="5">
        <v>7</v>
      </c>
      <c r="G3946" s="5" t="s">
        <v>28</v>
      </c>
      <c r="H3946" s="5">
        <v>2892301</v>
      </c>
      <c r="I3946" s="5">
        <v>2727234.96</v>
      </c>
      <c r="J3946" s="5">
        <v>39</v>
      </c>
      <c r="K3946" s="5">
        <v>568145</v>
      </c>
      <c r="L3946" s="5">
        <v>3451990</v>
      </c>
      <c r="M3946" s="5">
        <v>165066.04</v>
      </c>
      <c r="N3946" s="5">
        <v>5.7099999999999998E-2</v>
      </c>
      <c r="O3946" s="5">
        <v>5</v>
      </c>
      <c r="P3946" s="5">
        <v>120613</v>
      </c>
    </row>
    <row r="3947" spans="1:16" x14ac:dyDescent="0.3">
      <c r="A3947" s="5">
        <v>110</v>
      </c>
      <c r="B3947" s="5" t="s">
        <v>156</v>
      </c>
      <c r="C3947" s="5">
        <v>1</v>
      </c>
      <c r="D3947" s="5" t="s">
        <v>76</v>
      </c>
      <c r="E3947" s="5">
        <v>2021</v>
      </c>
      <c r="F3947" s="5">
        <v>8</v>
      </c>
      <c r="G3947" s="5" t="s">
        <v>29</v>
      </c>
      <c r="H3947" s="5">
        <v>2443626</v>
      </c>
      <c r="I3947" s="5">
        <v>2076073.22</v>
      </c>
      <c r="J3947" s="5">
        <v>42</v>
      </c>
      <c r="K3947" s="5">
        <v>295405</v>
      </c>
      <c r="L3947" s="5">
        <v>2734800</v>
      </c>
      <c r="M3947" s="5">
        <v>367552.78</v>
      </c>
      <c r="N3947" s="5">
        <v>0.15040000000000001</v>
      </c>
      <c r="O3947" s="5">
        <v>2</v>
      </c>
      <c r="P3947" s="5">
        <v>29244</v>
      </c>
    </row>
    <row r="3948" spans="1:16" x14ac:dyDescent="0.3">
      <c r="A3948" s="5">
        <v>110</v>
      </c>
      <c r="B3948" s="5" t="s">
        <v>156</v>
      </c>
      <c r="C3948" s="5">
        <v>1</v>
      </c>
      <c r="D3948" s="5" t="s">
        <v>76</v>
      </c>
      <c r="E3948" s="5">
        <v>2021</v>
      </c>
      <c r="F3948" s="5">
        <v>9</v>
      </c>
      <c r="G3948" s="5" t="s">
        <v>30</v>
      </c>
      <c r="H3948" s="5">
        <v>2478833</v>
      </c>
      <c r="I3948" s="5">
        <v>2200759.06</v>
      </c>
      <c r="J3948" s="5">
        <v>39</v>
      </c>
      <c r="K3948" s="5">
        <v>347290</v>
      </c>
      <c r="L3948" s="5">
        <v>2816290</v>
      </c>
      <c r="M3948" s="5">
        <v>278073.94</v>
      </c>
      <c r="N3948" s="5">
        <v>0.11219999999999999</v>
      </c>
      <c r="O3948" s="5">
        <v>3</v>
      </c>
      <c r="P3948" s="5">
        <v>141096</v>
      </c>
    </row>
    <row r="3949" spans="1:16" x14ac:dyDescent="0.3">
      <c r="A3949" s="5">
        <v>110</v>
      </c>
      <c r="B3949" s="5" t="s">
        <v>156</v>
      </c>
      <c r="C3949" s="5">
        <v>1</v>
      </c>
      <c r="D3949" s="5" t="s">
        <v>76</v>
      </c>
      <c r="E3949" s="5">
        <v>2021</v>
      </c>
      <c r="F3949" s="5">
        <v>10</v>
      </c>
      <c r="G3949" s="5" t="s">
        <v>31</v>
      </c>
      <c r="H3949" s="5">
        <v>2987491</v>
      </c>
      <c r="I3949" s="5">
        <v>2556436.29</v>
      </c>
      <c r="J3949" s="5">
        <v>46</v>
      </c>
      <c r="K3949" s="5">
        <v>313582</v>
      </c>
      <c r="L3949" s="5">
        <v>3295840</v>
      </c>
      <c r="M3949" s="5">
        <v>431054.71</v>
      </c>
      <c r="N3949" s="5">
        <v>0.14430000000000001</v>
      </c>
      <c r="O3949" s="5">
        <v>2</v>
      </c>
      <c r="P3949" s="5">
        <v>167761</v>
      </c>
    </row>
    <row r="3950" spans="1:16" x14ac:dyDescent="0.3">
      <c r="A3950" s="5">
        <v>110</v>
      </c>
      <c r="B3950" s="5" t="s">
        <v>156</v>
      </c>
      <c r="C3950" s="5">
        <v>1</v>
      </c>
      <c r="D3950" s="5" t="s">
        <v>76</v>
      </c>
      <c r="E3950" s="5">
        <v>2021</v>
      </c>
      <c r="F3950" s="5">
        <v>11</v>
      </c>
      <c r="G3950" s="5" t="s">
        <v>32</v>
      </c>
      <c r="H3950" s="5">
        <v>2711894</v>
      </c>
      <c r="I3950" s="5">
        <v>2184289.5499999998</v>
      </c>
      <c r="J3950" s="5">
        <v>57</v>
      </c>
      <c r="K3950" s="5">
        <v>186102</v>
      </c>
      <c r="L3950" s="5">
        <v>2888480</v>
      </c>
      <c r="M3950" s="5">
        <v>527604.44999999995</v>
      </c>
      <c r="N3950" s="5">
        <v>0.1946</v>
      </c>
      <c r="O3950" s="5">
        <v>2</v>
      </c>
      <c r="P3950" s="5">
        <v>81341</v>
      </c>
    </row>
    <row r="3951" spans="1:16" x14ac:dyDescent="0.3">
      <c r="A3951" s="5">
        <v>110</v>
      </c>
      <c r="B3951" s="5" t="s">
        <v>156</v>
      </c>
      <c r="C3951" s="5">
        <v>1</v>
      </c>
      <c r="D3951" s="5" t="s">
        <v>76</v>
      </c>
      <c r="E3951" s="5">
        <v>2021</v>
      </c>
      <c r="F3951" s="5">
        <v>12</v>
      </c>
      <c r="G3951" s="5" t="s">
        <v>33</v>
      </c>
      <c r="H3951" s="5">
        <v>4608370</v>
      </c>
      <c r="I3951" s="5">
        <v>3725847.49</v>
      </c>
      <c r="J3951" s="5">
        <v>55</v>
      </c>
      <c r="K3951" s="5">
        <v>218758</v>
      </c>
      <c r="L3951" s="5">
        <v>4807890</v>
      </c>
      <c r="M3951" s="5">
        <v>882522.51</v>
      </c>
      <c r="N3951" s="5">
        <v>0.1915</v>
      </c>
      <c r="O3951" s="5">
        <v>4</v>
      </c>
      <c r="P3951" s="5">
        <v>40481</v>
      </c>
    </row>
    <row r="3952" spans="1:16" x14ac:dyDescent="0.3">
      <c r="A3952" s="5">
        <v>110</v>
      </c>
      <c r="B3952" s="5" t="s">
        <v>156</v>
      </c>
      <c r="C3952" s="5">
        <v>1</v>
      </c>
      <c r="D3952" s="5" t="s">
        <v>76</v>
      </c>
      <c r="E3952" s="5">
        <v>2022</v>
      </c>
      <c r="F3952" s="5">
        <v>1</v>
      </c>
      <c r="G3952" s="5" t="s">
        <v>34</v>
      </c>
      <c r="H3952" s="5">
        <v>2335489</v>
      </c>
      <c r="I3952" s="5">
        <v>2018618.99</v>
      </c>
      <c r="J3952" s="5">
        <v>27</v>
      </c>
      <c r="K3952" s="5">
        <v>281489</v>
      </c>
      <c r="L3952" s="5">
        <v>2612710</v>
      </c>
      <c r="M3952" s="5">
        <v>316870.01</v>
      </c>
      <c r="N3952" s="5">
        <v>0.13569999999999999</v>
      </c>
      <c r="O3952" s="5">
        <v>1</v>
      </c>
      <c r="P3952" s="5">
        <v>1992</v>
      </c>
    </row>
    <row r="3953" spans="1:16" x14ac:dyDescent="0.3">
      <c r="A3953" s="5">
        <v>110</v>
      </c>
      <c r="B3953" s="5" t="s">
        <v>156</v>
      </c>
      <c r="C3953" s="5">
        <v>1</v>
      </c>
      <c r="D3953" s="5" t="s">
        <v>76</v>
      </c>
      <c r="E3953" s="5">
        <v>2022</v>
      </c>
      <c r="F3953" s="5">
        <v>2</v>
      </c>
      <c r="G3953" s="5" t="s">
        <v>35</v>
      </c>
      <c r="H3953" s="5">
        <v>3101295</v>
      </c>
      <c r="I3953" s="5">
        <v>2515568.89</v>
      </c>
      <c r="J3953" s="5">
        <v>38</v>
      </c>
      <c r="K3953" s="5">
        <v>178978</v>
      </c>
      <c r="L3953" s="5">
        <v>3267880</v>
      </c>
      <c r="M3953" s="5">
        <v>585726.11</v>
      </c>
      <c r="N3953" s="5">
        <v>0.18890000000000001</v>
      </c>
      <c r="O3953" s="5">
        <v>5</v>
      </c>
      <c r="P3953" s="5">
        <v>363562</v>
      </c>
    </row>
    <row r="3954" spans="1:16" x14ac:dyDescent="0.3">
      <c r="A3954" s="5">
        <v>110</v>
      </c>
      <c r="B3954" s="5" t="s">
        <v>156</v>
      </c>
      <c r="C3954" s="5">
        <v>1</v>
      </c>
      <c r="D3954" s="5" t="s">
        <v>76</v>
      </c>
      <c r="E3954" s="5">
        <v>2022</v>
      </c>
      <c r="F3954" s="5">
        <v>3</v>
      </c>
      <c r="G3954" s="5" t="s">
        <v>36</v>
      </c>
      <c r="H3954" s="5">
        <v>2126347</v>
      </c>
      <c r="I3954" s="5">
        <v>1780867.38</v>
      </c>
      <c r="J3954" s="5">
        <v>42</v>
      </c>
      <c r="K3954" s="5">
        <v>213800</v>
      </c>
      <c r="L3954" s="5">
        <v>2336640</v>
      </c>
      <c r="M3954" s="5">
        <v>345479.62</v>
      </c>
      <c r="N3954" s="5">
        <v>0.16250000000000001</v>
      </c>
      <c r="O3954" s="5">
        <v>2</v>
      </c>
      <c r="P3954" s="5">
        <v>11128</v>
      </c>
    </row>
    <row r="3955" spans="1:16" x14ac:dyDescent="0.3">
      <c r="A3955" s="5">
        <v>110</v>
      </c>
      <c r="B3955" s="5" t="s">
        <v>156</v>
      </c>
      <c r="C3955" s="5">
        <v>1</v>
      </c>
      <c r="D3955" s="5" t="s">
        <v>76</v>
      </c>
      <c r="E3955" s="5">
        <v>2022</v>
      </c>
      <c r="F3955" s="5">
        <v>4</v>
      </c>
      <c r="G3955" s="5" t="s">
        <v>37</v>
      </c>
      <c r="H3955" s="5">
        <v>3430433</v>
      </c>
      <c r="I3955" s="5">
        <v>3151946.45</v>
      </c>
      <c r="J3955" s="5">
        <v>47</v>
      </c>
      <c r="K3955" s="5">
        <v>580433</v>
      </c>
      <c r="L3955" s="5">
        <v>4004430</v>
      </c>
      <c r="M3955" s="5">
        <v>278486.55</v>
      </c>
      <c r="N3955" s="5">
        <v>8.1199999999999994E-2</v>
      </c>
      <c r="O3955" s="5">
        <v>7</v>
      </c>
      <c r="P3955" s="5">
        <v>221897</v>
      </c>
    </row>
    <row r="3956" spans="1:16" x14ac:dyDescent="0.3">
      <c r="A3956" s="5">
        <v>110</v>
      </c>
      <c r="B3956" s="5" t="s">
        <v>156</v>
      </c>
      <c r="C3956" s="5">
        <v>1</v>
      </c>
      <c r="D3956" s="5" t="s">
        <v>76</v>
      </c>
      <c r="E3956" s="5">
        <v>2022</v>
      </c>
      <c r="F3956" s="5">
        <v>5</v>
      </c>
      <c r="G3956" s="5" t="s">
        <v>38</v>
      </c>
      <c r="H3956" s="5">
        <v>3336741</v>
      </c>
      <c r="I3956" s="5">
        <v>2960337.08</v>
      </c>
      <c r="J3956" s="5">
        <v>54</v>
      </c>
      <c r="K3956" s="5">
        <v>513848</v>
      </c>
      <c r="L3956" s="5">
        <v>3837380</v>
      </c>
      <c r="M3956" s="5">
        <v>376403.92</v>
      </c>
      <c r="N3956" s="5">
        <v>0.1128</v>
      </c>
      <c r="O3956" s="5">
        <v>4</v>
      </c>
      <c r="P3956" s="5">
        <v>34915</v>
      </c>
    </row>
    <row r="3957" spans="1:16" x14ac:dyDescent="0.3">
      <c r="A3957" s="5">
        <v>110</v>
      </c>
      <c r="B3957" s="5" t="s">
        <v>156</v>
      </c>
      <c r="C3957" s="5">
        <v>1</v>
      </c>
      <c r="D3957" s="5" t="s">
        <v>76</v>
      </c>
      <c r="E3957" s="5">
        <v>2022</v>
      </c>
      <c r="F3957" s="5">
        <v>6</v>
      </c>
      <c r="G3957" s="5" t="s">
        <v>39</v>
      </c>
      <c r="H3957" s="5">
        <v>2413064</v>
      </c>
      <c r="I3957" s="5">
        <v>2131165.87</v>
      </c>
      <c r="J3957" s="5">
        <v>44</v>
      </c>
      <c r="K3957" s="5">
        <v>315498</v>
      </c>
      <c r="L3957" s="5">
        <v>2722190</v>
      </c>
      <c r="M3957" s="5">
        <v>281898.13</v>
      </c>
      <c r="N3957" s="5">
        <v>0.1168</v>
      </c>
      <c r="O3957" s="5">
        <v>5</v>
      </c>
      <c r="P3957" s="5">
        <v>40352</v>
      </c>
    </row>
    <row r="3958" spans="1:16" x14ac:dyDescent="0.3">
      <c r="A3958" s="5">
        <v>110</v>
      </c>
      <c r="B3958" s="5" t="s">
        <v>156</v>
      </c>
      <c r="C3958" s="5">
        <v>1</v>
      </c>
      <c r="D3958" s="5" t="s">
        <v>76</v>
      </c>
      <c r="E3958" s="5">
        <v>2022</v>
      </c>
      <c r="F3958" s="5">
        <v>7</v>
      </c>
      <c r="G3958" s="5" t="s">
        <v>40</v>
      </c>
      <c r="H3958" s="5">
        <v>4399559</v>
      </c>
      <c r="I3958" s="5">
        <v>3859184.28</v>
      </c>
      <c r="J3958" s="5">
        <v>61</v>
      </c>
      <c r="K3958" s="5">
        <v>584048</v>
      </c>
      <c r="L3958" s="5">
        <v>4965060</v>
      </c>
      <c r="M3958" s="5">
        <v>540374.72</v>
      </c>
      <c r="N3958" s="5">
        <v>0.12280000000000001</v>
      </c>
      <c r="O3958" s="5">
        <v>9</v>
      </c>
      <c r="P3958" s="5">
        <v>129773</v>
      </c>
    </row>
    <row r="3959" spans="1:16" x14ac:dyDescent="0.3">
      <c r="A3959" s="5">
        <v>110</v>
      </c>
      <c r="B3959" s="5" t="s">
        <v>156</v>
      </c>
      <c r="C3959" s="5">
        <v>1</v>
      </c>
      <c r="D3959" s="5" t="s">
        <v>76</v>
      </c>
      <c r="E3959" s="5">
        <v>2022</v>
      </c>
      <c r="F3959" s="5">
        <v>8</v>
      </c>
      <c r="G3959" s="5" t="s">
        <v>41</v>
      </c>
      <c r="H3959" s="5">
        <v>2781913</v>
      </c>
      <c r="I3959" s="5">
        <v>2731963.56</v>
      </c>
      <c r="J3959" s="5">
        <v>50</v>
      </c>
      <c r="K3959" s="5">
        <v>691806</v>
      </c>
      <c r="L3959" s="5">
        <v>3464750</v>
      </c>
      <c r="M3959" s="5">
        <v>49949.440000000002</v>
      </c>
      <c r="N3959" s="5">
        <v>1.7999999999999999E-2</v>
      </c>
      <c r="O3959" s="5">
        <v>2</v>
      </c>
      <c r="P3959" s="5">
        <v>99371</v>
      </c>
    </row>
    <row r="3960" spans="1:16" x14ac:dyDescent="0.3">
      <c r="A3960" s="5">
        <v>110</v>
      </c>
      <c r="B3960" s="5" t="s">
        <v>156</v>
      </c>
      <c r="C3960" s="5">
        <v>1</v>
      </c>
      <c r="D3960" s="5" t="s">
        <v>76</v>
      </c>
      <c r="E3960" s="5">
        <v>2022</v>
      </c>
      <c r="F3960" s="5">
        <v>9</v>
      </c>
      <c r="G3960" s="5" t="s">
        <v>42</v>
      </c>
      <c r="H3960" s="5">
        <v>3515292</v>
      </c>
      <c r="I3960" s="5">
        <v>2917322.3</v>
      </c>
      <c r="J3960" s="5">
        <v>47</v>
      </c>
      <c r="K3960" s="5">
        <v>304385</v>
      </c>
      <c r="L3960" s="5">
        <v>3805730</v>
      </c>
      <c r="M3960" s="5">
        <v>597969.69999999995</v>
      </c>
      <c r="N3960" s="5">
        <v>0.1701</v>
      </c>
      <c r="O3960" s="5">
        <v>6</v>
      </c>
      <c r="P3960" s="5">
        <v>261273</v>
      </c>
    </row>
    <row r="3961" spans="1:16" x14ac:dyDescent="0.3">
      <c r="A3961" s="5">
        <v>110</v>
      </c>
      <c r="B3961" s="5" t="s">
        <v>156</v>
      </c>
      <c r="C3961" s="5">
        <v>1</v>
      </c>
      <c r="D3961" s="5" t="s">
        <v>76</v>
      </c>
      <c r="E3961" s="5">
        <v>2022</v>
      </c>
      <c r="F3961" s="5">
        <v>10</v>
      </c>
      <c r="G3961" s="5" t="s">
        <v>43</v>
      </c>
      <c r="H3961" s="5">
        <v>5055141</v>
      </c>
      <c r="I3961" s="5">
        <v>4608128.78</v>
      </c>
      <c r="J3961" s="5">
        <v>71</v>
      </c>
      <c r="K3961" s="5">
        <v>839364</v>
      </c>
      <c r="L3961" s="5">
        <v>5876500</v>
      </c>
      <c r="M3961" s="5">
        <v>447012.22</v>
      </c>
      <c r="N3961" s="5">
        <v>8.8400000000000006E-2</v>
      </c>
      <c r="O3961" s="5">
        <v>3</v>
      </c>
      <c r="P3961" s="5">
        <v>79624</v>
      </c>
    </row>
    <row r="3962" spans="1:16" x14ac:dyDescent="0.3">
      <c r="A3962" s="5">
        <v>110</v>
      </c>
      <c r="B3962" s="5" t="s">
        <v>156</v>
      </c>
      <c r="C3962" s="5">
        <v>1</v>
      </c>
      <c r="D3962" s="5" t="s">
        <v>76</v>
      </c>
      <c r="E3962" s="5">
        <v>2022</v>
      </c>
      <c r="F3962" s="5">
        <v>11</v>
      </c>
      <c r="G3962" s="5" t="s">
        <v>44</v>
      </c>
      <c r="H3962" s="5">
        <v>3737314</v>
      </c>
      <c r="I3962" s="5">
        <v>3106578.82</v>
      </c>
      <c r="J3962" s="5">
        <v>66</v>
      </c>
      <c r="K3962" s="5">
        <v>361938</v>
      </c>
      <c r="L3962" s="5">
        <v>4075590</v>
      </c>
      <c r="M3962" s="5">
        <v>630735.18000000005</v>
      </c>
      <c r="N3962" s="5">
        <v>0.16880000000000001</v>
      </c>
      <c r="O3962" s="5">
        <v>4</v>
      </c>
      <c r="P3962" s="5">
        <v>35232</v>
      </c>
    </row>
    <row r="3963" spans="1:16" x14ac:dyDescent="0.3">
      <c r="A3963" s="5">
        <v>110</v>
      </c>
      <c r="B3963" s="5" t="s">
        <v>156</v>
      </c>
      <c r="C3963" s="5">
        <v>1</v>
      </c>
      <c r="D3963" s="5" t="s">
        <v>76</v>
      </c>
      <c r="E3963" s="5">
        <v>2022</v>
      </c>
      <c r="F3963" s="5">
        <v>12</v>
      </c>
      <c r="G3963" s="5" t="s">
        <v>45</v>
      </c>
      <c r="H3963" s="5">
        <v>5972366</v>
      </c>
      <c r="I3963" s="5">
        <v>4941556.32</v>
      </c>
      <c r="J3963" s="5">
        <v>77</v>
      </c>
      <c r="K3963" s="5">
        <v>413066</v>
      </c>
      <c r="L3963" s="5">
        <v>6361470</v>
      </c>
      <c r="M3963" s="5">
        <v>1030809.68</v>
      </c>
      <c r="N3963" s="5">
        <v>0.1726</v>
      </c>
      <c r="O3963" s="5">
        <v>6</v>
      </c>
      <c r="P3963" s="5">
        <v>147212</v>
      </c>
    </row>
    <row r="3964" spans="1:16" x14ac:dyDescent="0.3">
      <c r="A3964" s="5">
        <v>110</v>
      </c>
      <c r="B3964" s="5" t="s">
        <v>156</v>
      </c>
      <c r="C3964" s="5">
        <v>1</v>
      </c>
      <c r="D3964" s="5" t="s">
        <v>76</v>
      </c>
      <c r="E3964" s="5">
        <v>2023</v>
      </c>
      <c r="F3964" s="5">
        <v>1</v>
      </c>
      <c r="G3964" s="5" t="s">
        <v>46</v>
      </c>
      <c r="H3964" s="5">
        <v>2277616</v>
      </c>
      <c r="I3964" s="5">
        <v>1957494.16</v>
      </c>
      <c r="J3964" s="5">
        <v>38</v>
      </c>
      <c r="K3964" s="5">
        <v>234795</v>
      </c>
      <c r="L3964" s="5">
        <v>2502420</v>
      </c>
      <c r="M3964" s="5">
        <v>320121.84000000003</v>
      </c>
      <c r="N3964" s="5">
        <v>0.1406</v>
      </c>
      <c r="O3964" s="5">
        <v>3</v>
      </c>
      <c r="P3964" s="5">
        <v>105546</v>
      </c>
    </row>
    <row r="3965" spans="1:16" x14ac:dyDescent="0.3">
      <c r="A3965" s="5">
        <v>110</v>
      </c>
      <c r="B3965" s="5" t="s">
        <v>156</v>
      </c>
      <c r="C3965" s="5">
        <v>1</v>
      </c>
      <c r="D3965" s="5" t="s">
        <v>76</v>
      </c>
      <c r="E3965" s="5">
        <v>2023</v>
      </c>
      <c r="F3965" s="5">
        <v>2</v>
      </c>
      <c r="G3965" s="5" t="s">
        <v>47</v>
      </c>
      <c r="H3965" s="5">
        <v>3010756</v>
      </c>
      <c r="I3965" s="5">
        <v>2660853.85</v>
      </c>
      <c r="J3965" s="5">
        <v>39</v>
      </c>
      <c r="K3965" s="5">
        <v>318932</v>
      </c>
      <c r="L3965" s="5">
        <v>3320190</v>
      </c>
      <c r="M3965" s="5">
        <v>349902.15</v>
      </c>
      <c r="N3965" s="5">
        <v>0.1162</v>
      </c>
      <c r="O3965" s="5">
        <v>1</v>
      </c>
      <c r="P3965" s="5">
        <v>32619</v>
      </c>
    </row>
    <row r="3966" spans="1:16" x14ac:dyDescent="0.3">
      <c r="A3966" s="5">
        <v>110</v>
      </c>
      <c r="B3966" s="5" t="s">
        <v>156</v>
      </c>
      <c r="C3966" s="5">
        <v>1</v>
      </c>
      <c r="D3966" s="5" t="s">
        <v>76</v>
      </c>
      <c r="E3966" s="5">
        <v>2023</v>
      </c>
      <c r="F3966" s="5">
        <v>3</v>
      </c>
      <c r="G3966" s="5" t="s">
        <v>48</v>
      </c>
      <c r="H3966" s="5">
        <v>4566683</v>
      </c>
      <c r="I3966" s="5">
        <v>4026635.75</v>
      </c>
      <c r="J3966" s="5">
        <v>63</v>
      </c>
      <c r="K3966" s="5">
        <v>502369</v>
      </c>
      <c r="L3966" s="5">
        <v>5053100</v>
      </c>
      <c r="M3966" s="5">
        <v>540047.25</v>
      </c>
      <c r="N3966" s="5">
        <v>0.1183</v>
      </c>
      <c r="O3966" s="5">
        <v>5</v>
      </c>
      <c r="P3966" s="5">
        <v>93136</v>
      </c>
    </row>
    <row r="3967" spans="1:16" x14ac:dyDescent="0.3">
      <c r="A3967" s="5">
        <v>110</v>
      </c>
      <c r="B3967" s="5" t="s">
        <v>156</v>
      </c>
      <c r="C3967" s="5">
        <v>1</v>
      </c>
      <c r="D3967" s="5" t="s">
        <v>76</v>
      </c>
      <c r="E3967" s="5">
        <v>2023</v>
      </c>
      <c r="F3967" s="5">
        <v>4</v>
      </c>
      <c r="G3967" s="5" t="s">
        <v>49</v>
      </c>
      <c r="H3967" s="5">
        <v>5090970</v>
      </c>
      <c r="I3967" s="5">
        <v>4478059.6399999997</v>
      </c>
      <c r="J3967" s="5">
        <v>71</v>
      </c>
      <c r="K3967" s="5">
        <v>628635</v>
      </c>
      <c r="L3967" s="5">
        <v>5704100</v>
      </c>
      <c r="M3967" s="5">
        <v>612910.36</v>
      </c>
      <c r="N3967" s="5">
        <v>0.12039999999999999</v>
      </c>
      <c r="O3967" s="5">
        <v>3</v>
      </c>
      <c r="P3967" s="5">
        <v>48854</v>
      </c>
    </row>
    <row r="3968" spans="1:16" x14ac:dyDescent="0.3">
      <c r="A3968" s="5">
        <v>110</v>
      </c>
      <c r="B3968" s="5" t="s">
        <v>156</v>
      </c>
      <c r="C3968" s="5">
        <v>1</v>
      </c>
      <c r="D3968" s="5" t="s">
        <v>76</v>
      </c>
      <c r="E3968" s="5">
        <v>2023</v>
      </c>
      <c r="F3968" s="5">
        <v>5</v>
      </c>
      <c r="G3968" s="5" t="s">
        <v>50</v>
      </c>
      <c r="H3968" s="5">
        <v>4114769</v>
      </c>
      <c r="I3968" s="5">
        <v>3473268.8</v>
      </c>
      <c r="J3968" s="5">
        <v>73</v>
      </c>
      <c r="K3968" s="5">
        <v>378877</v>
      </c>
      <c r="L3968" s="5">
        <v>4472730</v>
      </c>
      <c r="M3968" s="5">
        <v>641500.19999999995</v>
      </c>
      <c r="N3968" s="5">
        <v>0.15590000000000001</v>
      </c>
      <c r="O3968" s="5">
        <v>2</v>
      </c>
      <c r="P3968" s="5">
        <v>16695</v>
      </c>
    </row>
    <row r="3969" spans="1:16" x14ac:dyDescent="0.3">
      <c r="A3969" s="5">
        <v>110</v>
      </c>
      <c r="B3969" s="5" t="s">
        <v>156</v>
      </c>
      <c r="C3969" s="5">
        <v>1</v>
      </c>
      <c r="D3969" s="5" t="s">
        <v>76</v>
      </c>
      <c r="E3969" s="5">
        <v>2023</v>
      </c>
      <c r="F3969" s="5">
        <v>6</v>
      </c>
      <c r="G3969" s="5" t="s">
        <v>51</v>
      </c>
      <c r="H3969" s="5">
        <v>6112811</v>
      </c>
      <c r="I3969" s="5">
        <v>5224387.13</v>
      </c>
      <c r="J3969" s="5">
        <v>66</v>
      </c>
      <c r="K3969" s="5">
        <v>555930</v>
      </c>
      <c r="L3969" s="5">
        <v>6641540</v>
      </c>
      <c r="M3969" s="5">
        <v>888423.87</v>
      </c>
      <c r="N3969" s="5">
        <v>0.14530000000000001</v>
      </c>
      <c r="O3969" s="5">
        <v>6</v>
      </c>
      <c r="P3969" s="5">
        <v>414629</v>
      </c>
    </row>
    <row r="3970" spans="1:16" x14ac:dyDescent="0.3">
      <c r="A3970" s="5">
        <v>110</v>
      </c>
      <c r="B3970" s="5" t="s">
        <v>156</v>
      </c>
      <c r="C3970" s="5">
        <v>1</v>
      </c>
      <c r="D3970" s="5" t="s">
        <v>76</v>
      </c>
      <c r="E3970" s="5">
        <v>2023</v>
      </c>
      <c r="F3970" s="5">
        <v>7</v>
      </c>
      <c r="G3970" s="5" t="s">
        <v>52</v>
      </c>
      <c r="H3970" s="5">
        <v>3513624</v>
      </c>
      <c r="I3970" s="5">
        <v>3225591.95</v>
      </c>
      <c r="J3970" s="5">
        <v>60</v>
      </c>
      <c r="K3970" s="5">
        <v>649591</v>
      </c>
      <c r="L3970" s="5">
        <v>4153210</v>
      </c>
      <c r="M3970" s="5">
        <v>288032.05</v>
      </c>
      <c r="N3970" s="5">
        <v>8.2000000000000003E-2</v>
      </c>
      <c r="O3970" s="5">
        <v>5</v>
      </c>
      <c r="P3970" s="5">
        <v>278889</v>
      </c>
    </row>
    <row r="3971" spans="1:16" x14ac:dyDescent="0.3">
      <c r="A3971" s="5">
        <v>110</v>
      </c>
      <c r="B3971" s="5" t="s">
        <v>156</v>
      </c>
      <c r="C3971" s="5">
        <v>1</v>
      </c>
      <c r="D3971" s="5" t="s">
        <v>76</v>
      </c>
      <c r="E3971" s="5">
        <v>2023</v>
      </c>
      <c r="F3971" s="5">
        <v>8</v>
      </c>
      <c r="G3971" s="5" t="s">
        <v>53</v>
      </c>
      <c r="H3971" s="5">
        <v>3769286</v>
      </c>
      <c r="I3971" s="5">
        <v>3356210.87</v>
      </c>
      <c r="J3971" s="5">
        <v>48</v>
      </c>
      <c r="K3971" s="5">
        <v>471585</v>
      </c>
      <c r="L3971" s="5">
        <v>4226400</v>
      </c>
      <c r="M3971" s="5">
        <v>413075.13</v>
      </c>
      <c r="N3971" s="5">
        <v>0.1096</v>
      </c>
      <c r="O3971" s="5">
        <v>1</v>
      </c>
      <c r="P3971" s="5">
        <v>1910</v>
      </c>
    </row>
    <row r="3972" spans="1:16" x14ac:dyDescent="0.3">
      <c r="A3972" s="5">
        <v>110</v>
      </c>
      <c r="B3972" s="5" t="s">
        <v>156</v>
      </c>
      <c r="C3972" s="5">
        <v>1</v>
      </c>
      <c r="D3972" s="5" t="s">
        <v>76</v>
      </c>
      <c r="E3972" s="5">
        <v>2023</v>
      </c>
      <c r="F3972" s="5">
        <v>9</v>
      </c>
      <c r="G3972" s="5" t="s">
        <v>54</v>
      </c>
      <c r="H3972" s="5">
        <v>6128417</v>
      </c>
      <c r="I3972" s="5">
        <v>5582043.6900000004</v>
      </c>
      <c r="J3972" s="5">
        <v>72</v>
      </c>
      <c r="K3972" s="5">
        <v>1015717</v>
      </c>
      <c r="L3972" s="5">
        <v>7130830</v>
      </c>
      <c r="M3972" s="5">
        <v>546373.31000000006</v>
      </c>
      <c r="N3972" s="5">
        <v>8.9200000000000002E-2</v>
      </c>
      <c r="O3972" s="5">
        <v>3</v>
      </c>
      <c r="P3972" s="5">
        <v>56382</v>
      </c>
    </row>
    <row r="3973" spans="1:16" x14ac:dyDescent="0.3">
      <c r="A3973" s="5">
        <v>110</v>
      </c>
      <c r="B3973" s="5" t="s">
        <v>156</v>
      </c>
      <c r="C3973" s="5">
        <v>1</v>
      </c>
      <c r="D3973" s="5" t="s">
        <v>76</v>
      </c>
      <c r="E3973" s="5">
        <v>2023</v>
      </c>
      <c r="F3973" s="5">
        <v>10</v>
      </c>
      <c r="G3973" s="5" t="s">
        <v>55</v>
      </c>
      <c r="H3973" s="5">
        <v>5649704</v>
      </c>
      <c r="I3973" s="5">
        <v>4917125.43</v>
      </c>
      <c r="J3973" s="5">
        <v>86</v>
      </c>
      <c r="K3973" s="5">
        <v>812446</v>
      </c>
      <c r="L3973" s="5">
        <v>6446610</v>
      </c>
      <c r="M3973" s="5">
        <v>732578.57</v>
      </c>
      <c r="N3973" s="5">
        <v>0.12970000000000001</v>
      </c>
      <c r="O3973" s="5">
        <v>9</v>
      </c>
      <c r="P3973" s="5">
        <v>176241</v>
      </c>
    </row>
    <row r="3974" spans="1:16" x14ac:dyDescent="0.3">
      <c r="A3974" s="5">
        <v>110</v>
      </c>
      <c r="B3974" s="5" t="s">
        <v>156</v>
      </c>
      <c r="C3974" s="5">
        <v>1</v>
      </c>
      <c r="D3974" s="5" t="s">
        <v>76</v>
      </c>
      <c r="E3974" s="5">
        <v>2023</v>
      </c>
      <c r="F3974" s="5">
        <v>11</v>
      </c>
      <c r="G3974" s="5" t="s">
        <v>56</v>
      </c>
      <c r="H3974" s="5">
        <v>4128887</v>
      </c>
      <c r="I3974" s="5">
        <v>3581913.13</v>
      </c>
      <c r="J3974" s="5">
        <v>88</v>
      </c>
      <c r="K3974" s="5">
        <v>617112</v>
      </c>
      <c r="L3974" s="5">
        <v>4732670</v>
      </c>
      <c r="M3974" s="5">
        <v>546973.87</v>
      </c>
      <c r="N3974" s="5">
        <v>0.13250000000000001</v>
      </c>
      <c r="O3974" s="5">
        <v>7</v>
      </c>
      <c r="P3974" s="5">
        <v>115547</v>
      </c>
    </row>
    <row r="3975" spans="1:16" x14ac:dyDescent="0.3">
      <c r="A3975" s="5">
        <v>110</v>
      </c>
      <c r="B3975" s="5" t="s">
        <v>156</v>
      </c>
      <c r="C3975" s="5">
        <v>1</v>
      </c>
      <c r="D3975" s="5" t="s">
        <v>76</v>
      </c>
      <c r="E3975" s="5">
        <v>2023</v>
      </c>
      <c r="F3975" s="5">
        <v>12</v>
      </c>
      <c r="G3975" s="5" t="s">
        <v>57</v>
      </c>
      <c r="H3975" s="5">
        <v>6360979</v>
      </c>
      <c r="I3975" s="5">
        <v>5714994.4900000002</v>
      </c>
      <c r="J3975" s="5">
        <v>93</v>
      </c>
      <c r="K3975" s="5">
        <v>1030273</v>
      </c>
      <c r="L3975" s="5">
        <v>7366970</v>
      </c>
      <c r="M3975" s="5">
        <v>645984.51</v>
      </c>
      <c r="N3975" s="5">
        <v>0.1016</v>
      </c>
      <c r="O3975" s="5">
        <v>7</v>
      </c>
      <c r="P3975" s="5">
        <v>104493</v>
      </c>
    </row>
    <row r="3976" spans="1:16" x14ac:dyDescent="0.3">
      <c r="A3976" s="5">
        <v>110</v>
      </c>
      <c r="B3976" s="5" t="s">
        <v>156</v>
      </c>
      <c r="C3976" s="5">
        <v>1</v>
      </c>
      <c r="D3976" s="5" t="s">
        <v>76</v>
      </c>
      <c r="E3976" s="5">
        <v>2024</v>
      </c>
      <c r="F3976" s="5">
        <v>1</v>
      </c>
      <c r="G3976" s="5" t="s">
        <v>58</v>
      </c>
      <c r="H3976" s="5">
        <v>2909364</v>
      </c>
      <c r="I3976" s="5">
        <v>2563943.6</v>
      </c>
      <c r="J3976" s="5">
        <v>66</v>
      </c>
      <c r="K3976" s="5">
        <v>460751</v>
      </c>
      <c r="L3976" s="5">
        <v>3363300</v>
      </c>
      <c r="M3976" s="5">
        <v>345420.4</v>
      </c>
      <c r="N3976" s="5">
        <v>0.1187</v>
      </c>
      <c r="O3976" s="5">
        <v>4</v>
      </c>
      <c r="P3976" s="5">
        <v>57825</v>
      </c>
    </row>
    <row r="3977" spans="1:16" x14ac:dyDescent="0.3">
      <c r="A3977" s="5">
        <v>110</v>
      </c>
      <c r="B3977" s="5" t="s">
        <v>156</v>
      </c>
      <c r="C3977" s="5">
        <v>1</v>
      </c>
      <c r="D3977" s="5" t="s">
        <v>76</v>
      </c>
      <c r="E3977" s="5">
        <v>2024</v>
      </c>
      <c r="F3977" s="5">
        <v>2</v>
      </c>
      <c r="G3977" s="5" t="s">
        <v>59</v>
      </c>
      <c r="H3977" s="5">
        <v>3067870</v>
      </c>
      <c r="I3977" s="5">
        <v>2725882.85</v>
      </c>
      <c r="J3977" s="5">
        <v>41</v>
      </c>
      <c r="K3977" s="5">
        <v>329868</v>
      </c>
      <c r="L3977" s="5">
        <v>3381940</v>
      </c>
      <c r="M3977" s="5">
        <v>341987.15</v>
      </c>
      <c r="N3977" s="5">
        <v>0.1115</v>
      </c>
      <c r="O3977" s="5">
        <v>5</v>
      </c>
      <c r="P3977" s="5">
        <v>239379</v>
      </c>
    </row>
    <row r="3978" spans="1:16" x14ac:dyDescent="0.3">
      <c r="A3978" s="5">
        <v>110</v>
      </c>
      <c r="B3978" s="5" t="s">
        <v>156</v>
      </c>
      <c r="C3978" s="5">
        <v>1</v>
      </c>
      <c r="D3978" s="5" t="s">
        <v>76</v>
      </c>
      <c r="E3978" s="5">
        <v>2024</v>
      </c>
      <c r="F3978" s="5">
        <v>3</v>
      </c>
      <c r="G3978" s="5" t="s">
        <v>60</v>
      </c>
      <c r="H3978" s="5">
        <v>4116322</v>
      </c>
      <c r="I3978" s="5">
        <v>3679280.72</v>
      </c>
      <c r="J3978" s="5">
        <v>53</v>
      </c>
      <c r="K3978" s="5">
        <v>497379</v>
      </c>
      <c r="L3978" s="5">
        <v>4605910</v>
      </c>
      <c r="M3978" s="5">
        <v>437041.28</v>
      </c>
      <c r="N3978" s="5">
        <v>0.1062</v>
      </c>
      <c r="O3978" s="5">
        <v>4</v>
      </c>
      <c r="P3978" s="5">
        <v>235648</v>
      </c>
    </row>
    <row r="3979" spans="1:16" x14ac:dyDescent="0.3">
      <c r="A3979" s="5">
        <v>110</v>
      </c>
      <c r="B3979" s="5" t="s">
        <v>156</v>
      </c>
      <c r="C3979" s="5">
        <v>1</v>
      </c>
      <c r="D3979" s="5" t="s">
        <v>76</v>
      </c>
      <c r="E3979" s="5">
        <v>2024</v>
      </c>
      <c r="F3979" s="5">
        <v>4</v>
      </c>
      <c r="G3979" s="5" t="s">
        <v>61</v>
      </c>
      <c r="H3979" s="5">
        <v>3697824</v>
      </c>
      <c r="I3979" s="5">
        <v>3183791.52</v>
      </c>
      <c r="J3979" s="5">
        <v>53</v>
      </c>
      <c r="K3979" s="5">
        <v>409155</v>
      </c>
      <c r="L3979" s="5">
        <v>4097260</v>
      </c>
      <c r="M3979" s="5">
        <v>514032.48</v>
      </c>
      <c r="N3979" s="5">
        <v>0.13900000000000001</v>
      </c>
      <c r="O3979" s="5">
        <v>2</v>
      </c>
      <c r="P3979" s="5">
        <v>52221</v>
      </c>
    </row>
    <row r="3980" spans="1:16" x14ac:dyDescent="0.3">
      <c r="A3980" s="5">
        <v>110</v>
      </c>
      <c r="B3980" s="5" t="s">
        <v>156</v>
      </c>
      <c r="C3980" s="5">
        <v>1</v>
      </c>
      <c r="D3980" s="5" t="s">
        <v>76</v>
      </c>
      <c r="E3980" s="5">
        <v>2024</v>
      </c>
      <c r="F3980" s="5">
        <v>5</v>
      </c>
      <c r="G3980" s="5" t="s">
        <v>62</v>
      </c>
      <c r="H3980" s="5">
        <v>4153386</v>
      </c>
      <c r="I3980" s="5">
        <v>3999447.23</v>
      </c>
      <c r="J3980" s="5">
        <v>60</v>
      </c>
      <c r="K3980" s="5">
        <v>997328</v>
      </c>
      <c r="L3980" s="5">
        <v>5142390</v>
      </c>
      <c r="M3980" s="5">
        <v>153938.76999999999</v>
      </c>
      <c r="N3980" s="5">
        <v>3.7100000000000001E-2</v>
      </c>
      <c r="O3980" s="5">
        <v>2</v>
      </c>
      <c r="P3980" s="5">
        <v>49489</v>
      </c>
    </row>
    <row r="3981" spans="1:16" x14ac:dyDescent="0.3">
      <c r="A3981" s="5">
        <v>110</v>
      </c>
      <c r="B3981" s="5" t="s">
        <v>156</v>
      </c>
      <c r="C3981" s="5">
        <v>1</v>
      </c>
      <c r="D3981" s="5" t="s">
        <v>76</v>
      </c>
      <c r="E3981" s="5">
        <v>2024</v>
      </c>
      <c r="F3981" s="5">
        <v>6</v>
      </c>
      <c r="G3981" s="5" t="s">
        <v>63</v>
      </c>
      <c r="H3981" s="5">
        <v>3506280</v>
      </c>
      <c r="I3981" s="5">
        <v>3042472.18</v>
      </c>
      <c r="J3981" s="5">
        <v>64</v>
      </c>
      <c r="K3981" s="5">
        <v>455357</v>
      </c>
      <c r="L3981" s="5">
        <v>3947860</v>
      </c>
      <c r="M3981" s="5">
        <v>463807.82</v>
      </c>
      <c r="N3981" s="5">
        <v>0.1323</v>
      </c>
      <c r="O3981" s="5">
        <v>10</v>
      </c>
      <c r="P3981" s="5">
        <v>388995</v>
      </c>
    </row>
    <row r="3982" spans="1:16" x14ac:dyDescent="0.3">
      <c r="A3982" s="5">
        <v>110</v>
      </c>
      <c r="B3982" s="5" t="s">
        <v>156</v>
      </c>
      <c r="C3982" s="5">
        <v>1</v>
      </c>
      <c r="D3982" s="5" t="s">
        <v>76</v>
      </c>
      <c r="E3982" s="5">
        <v>2024</v>
      </c>
      <c r="F3982" s="5">
        <v>7</v>
      </c>
      <c r="G3982" s="5" t="s">
        <v>64</v>
      </c>
      <c r="H3982" s="5">
        <v>4339843</v>
      </c>
      <c r="I3982" s="5">
        <v>3668916.04</v>
      </c>
      <c r="J3982" s="5">
        <v>58</v>
      </c>
      <c r="K3982" s="5">
        <v>343251</v>
      </c>
      <c r="L3982" s="5">
        <v>4663560</v>
      </c>
      <c r="M3982" s="5">
        <v>670926.96</v>
      </c>
      <c r="N3982" s="5">
        <v>0.15459999999999999</v>
      </c>
      <c r="O3982" s="5">
        <v>9</v>
      </c>
      <c r="P3982" s="5">
        <v>239724</v>
      </c>
    </row>
    <row r="3983" spans="1:16" x14ac:dyDescent="0.3">
      <c r="A3983" s="5">
        <v>110</v>
      </c>
      <c r="B3983" s="5" t="s">
        <v>156</v>
      </c>
      <c r="C3983" s="5">
        <v>1</v>
      </c>
      <c r="D3983" s="5" t="s">
        <v>76</v>
      </c>
      <c r="E3983" s="5">
        <v>2024</v>
      </c>
      <c r="F3983" s="5">
        <v>8</v>
      </c>
      <c r="G3983" s="5" t="s">
        <v>65</v>
      </c>
      <c r="H3983" s="5">
        <v>5281573</v>
      </c>
      <c r="I3983" s="5">
        <v>4492143.9800000004</v>
      </c>
      <c r="J3983" s="5">
        <v>67</v>
      </c>
      <c r="K3983" s="5">
        <v>465837</v>
      </c>
      <c r="L3983" s="5">
        <v>5722030</v>
      </c>
      <c r="M3983" s="5">
        <v>789429.02</v>
      </c>
      <c r="N3983" s="5">
        <v>0.14949999999999999</v>
      </c>
      <c r="O3983" s="5">
        <v>6</v>
      </c>
      <c r="P3983" s="5">
        <v>33330</v>
      </c>
    </row>
    <row r="3984" spans="1:16" x14ac:dyDescent="0.3">
      <c r="A3984" s="5">
        <v>110</v>
      </c>
      <c r="B3984" s="5" t="s">
        <v>156</v>
      </c>
      <c r="C3984" s="5">
        <v>1</v>
      </c>
      <c r="D3984" s="5" t="s">
        <v>76</v>
      </c>
      <c r="E3984" s="5">
        <v>2024</v>
      </c>
      <c r="F3984" s="5">
        <v>9</v>
      </c>
      <c r="G3984" s="5" t="s">
        <v>66</v>
      </c>
      <c r="H3984" s="5">
        <v>5548740</v>
      </c>
      <c r="I3984" s="5">
        <v>4486816.26</v>
      </c>
      <c r="J3984" s="5">
        <v>93</v>
      </c>
      <c r="K3984" s="5">
        <v>287118</v>
      </c>
      <c r="L3984" s="5">
        <v>5816500</v>
      </c>
      <c r="M3984" s="5">
        <v>1061923.74</v>
      </c>
      <c r="N3984" s="5">
        <v>0.19139999999999999</v>
      </c>
      <c r="O3984" s="5">
        <v>6</v>
      </c>
      <c r="P3984" s="5">
        <v>66914</v>
      </c>
    </row>
    <row r="3985" spans="1:16" x14ac:dyDescent="0.3">
      <c r="A3985" s="5">
        <v>110</v>
      </c>
      <c r="B3985" s="5" t="s">
        <v>156</v>
      </c>
      <c r="C3985" s="5">
        <v>1</v>
      </c>
      <c r="D3985" s="5" t="s">
        <v>76</v>
      </c>
      <c r="E3985" s="5">
        <v>2024</v>
      </c>
      <c r="F3985" s="5">
        <v>10</v>
      </c>
      <c r="G3985" s="5" t="s">
        <v>67</v>
      </c>
      <c r="H3985" s="5">
        <v>7694922</v>
      </c>
      <c r="I3985" s="5">
        <v>6190489.3600000003</v>
      </c>
      <c r="J3985" s="5">
        <v>90</v>
      </c>
      <c r="K3985" s="5">
        <v>274293</v>
      </c>
      <c r="L3985" s="5">
        <v>7948770</v>
      </c>
      <c r="M3985" s="5">
        <v>1504432.64</v>
      </c>
      <c r="N3985" s="5">
        <v>0.19550000000000001</v>
      </c>
      <c r="O3985" s="5">
        <v>5</v>
      </c>
      <c r="P3985" s="5">
        <v>128444</v>
      </c>
    </row>
    <row r="3986" spans="1:16" x14ac:dyDescent="0.3">
      <c r="A3986" s="5">
        <v>110</v>
      </c>
      <c r="B3986" s="5" t="s">
        <v>156</v>
      </c>
      <c r="C3986" s="5">
        <v>1</v>
      </c>
      <c r="D3986" s="5" t="s">
        <v>76</v>
      </c>
      <c r="E3986" s="5">
        <v>2024</v>
      </c>
      <c r="F3986" s="5">
        <v>11</v>
      </c>
      <c r="G3986" s="5" t="s">
        <v>68</v>
      </c>
      <c r="H3986" s="5">
        <v>6740029</v>
      </c>
      <c r="I3986" s="5">
        <v>5550596</v>
      </c>
      <c r="J3986" s="5">
        <v>106</v>
      </c>
      <c r="K3986" s="5">
        <v>466788</v>
      </c>
      <c r="L3986" s="5">
        <v>7177020</v>
      </c>
      <c r="M3986" s="5">
        <v>1189433</v>
      </c>
      <c r="N3986" s="5">
        <v>0.17649999999999999</v>
      </c>
      <c r="O3986" s="5">
        <v>15</v>
      </c>
      <c r="P3986" s="5">
        <v>343588</v>
      </c>
    </row>
    <row r="3987" spans="1:16" x14ac:dyDescent="0.3">
      <c r="A3987" s="5">
        <v>110</v>
      </c>
      <c r="B3987" s="5" t="s">
        <v>156</v>
      </c>
      <c r="C3987" s="5">
        <v>1</v>
      </c>
      <c r="D3987" s="5" t="s">
        <v>76</v>
      </c>
      <c r="E3987" s="5">
        <v>2024</v>
      </c>
      <c r="F3987" s="5">
        <v>12</v>
      </c>
      <c r="G3987" s="5" t="s">
        <v>69</v>
      </c>
      <c r="H3987" s="5">
        <v>5412570</v>
      </c>
      <c r="I3987" s="5">
        <v>4262681.46</v>
      </c>
      <c r="J3987" s="5">
        <v>83</v>
      </c>
      <c r="K3987" s="5">
        <v>157928</v>
      </c>
      <c r="L3987" s="5">
        <v>5551950</v>
      </c>
      <c r="M3987" s="5">
        <v>1149888.54</v>
      </c>
      <c r="N3987" s="5">
        <v>0.21240000000000001</v>
      </c>
      <c r="O3987" s="5">
        <v>4</v>
      </c>
      <c r="P3987" s="5">
        <v>74256</v>
      </c>
    </row>
    <row r="3988" spans="1:16" x14ac:dyDescent="0.3">
      <c r="A3988" s="5">
        <v>2</v>
      </c>
      <c r="B3988" s="5" t="s">
        <v>157</v>
      </c>
      <c r="C3988" s="5">
        <v>1</v>
      </c>
      <c r="D3988" s="5" t="s">
        <v>76</v>
      </c>
      <c r="E3988" s="5">
        <v>2021</v>
      </c>
      <c r="F3988" s="5">
        <v>1</v>
      </c>
      <c r="G3988" s="5" t="s">
        <v>22</v>
      </c>
      <c r="H3988" s="5">
        <v>3216816</v>
      </c>
      <c r="I3988" s="5">
        <v>2975479.52</v>
      </c>
      <c r="J3988" s="5">
        <v>56</v>
      </c>
      <c r="K3988" s="5">
        <v>690301</v>
      </c>
      <c r="L3988" s="5">
        <v>3898870</v>
      </c>
      <c r="M3988" s="5">
        <v>241336.48</v>
      </c>
      <c r="N3988" s="5">
        <v>7.4999999999999997E-2</v>
      </c>
      <c r="O3988" s="5">
        <v>7</v>
      </c>
      <c r="P3988" s="5">
        <v>101516</v>
      </c>
    </row>
    <row r="3989" spans="1:16" x14ac:dyDescent="0.3">
      <c r="A3989" s="5">
        <v>2</v>
      </c>
      <c r="B3989" s="5" t="s">
        <v>157</v>
      </c>
      <c r="C3989" s="5">
        <v>1</v>
      </c>
      <c r="D3989" s="5" t="s">
        <v>76</v>
      </c>
      <c r="E3989" s="5">
        <v>2021</v>
      </c>
      <c r="F3989" s="5">
        <v>2</v>
      </c>
      <c r="G3989" s="5" t="s">
        <v>23</v>
      </c>
      <c r="H3989" s="5">
        <v>2958911</v>
      </c>
      <c r="I3989" s="5">
        <v>2640850.59</v>
      </c>
      <c r="J3989" s="5">
        <v>43</v>
      </c>
      <c r="K3989" s="5">
        <v>378318</v>
      </c>
      <c r="L3989" s="5">
        <v>3332770</v>
      </c>
      <c r="M3989" s="5">
        <v>318060.40999999997</v>
      </c>
      <c r="N3989" s="5">
        <v>0.1075</v>
      </c>
      <c r="O3989" s="5">
        <v>7</v>
      </c>
      <c r="P3989" s="5">
        <v>53042</v>
      </c>
    </row>
    <row r="3990" spans="1:16" x14ac:dyDescent="0.3">
      <c r="A3990" s="5">
        <v>2</v>
      </c>
      <c r="B3990" s="5" t="s">
        <v>157</v>
      </c>
      <c r="C3990" s="5">
        <v>1</v>
      </c>
      <c r="D3990" s="5" t="s">
        <v>76</v>
      </c>
      <c r="E3990" s="5">
        <v>2021</v>
      </c>
      <c r="F3990" s="5">
        <v>3</v>
      </c>
      <c r="G3990" s="5" t="s">
        <v>24</v>
      </c>
      <c r="H3990" s="5">
        <v>3068651</v>
      </c>
      <c r="I3990" s="5">
        <v>2641434.08</v>
      </c>
      <c r="J3990" s="5">
        <v>37</v>
      </c>
      <c r="K3990" s="5">
        <v>249939</v>
      </c>
      <c r="L3990" s="5">
        <v>3309040</v>
      </c>
      <c r="M3990" s="5">
        <v>427216.92</v>
      </c>
      <c r="N3990" s="5">
        <v>0.13919999999999999</v>
      </c>
      <c r="O3990" s="5">
        <v>2</v>
      </c>
      <c r="P3990" s="5">
        <v>113676</v>
      </c>
    </row>
    <row r="3991" spans="1:16" x14ac:dyDescent="0.3">
      <c r="A3991" s="5">
        <v>2</v>
      </c>
      <c r="B3991" s="5" t="s">
        <v>157</v>
      </c>
      <c r="C3991" s="5">
        <v>1</v>
      </c>
      <c r="D3991" s="5" t="s">
        <v>76</v>
      </c>
      <c r="E3991" s="5">
        <v>2021</v>
      </c>
      <c r="F3991" s="5">
        <v>4</v>
      </c>
      <c r="G3991" s="5" t="s">
        <v>25</v>
      </c>
      <c r="H3991" s="5">
        <v>3073659</v>
      </c>
      <c r="I3991" s="5">
        <v>2603740.44</v>
      </c>
      <c r="J3991" s="5">
        <v>50</v>
      </c>
      <c r="K3991" s="5">
        <v>412185</v>
      </c>
      <c r="L3991" s="5">
        <v>3476170</v>
      </c>
      <c r="M3991" s="5">
        <v>469918.56</v>
      </c>
      <c r="N3991" s="5">
        <v>0.15290000000000001</v>
      </c>
      <c r="O3991" s="5">
        <v>6</v>
      </c>
      <c r="P3991" s="5">
        <v>161788</v>
      </c>
    </row>
    <row r="3992" spans="1:16" x14ac:dyDescent="0.3">
      <c r="A3992" s="5">
        <v>2</v>
      </c>
      <c r="B3992" s="5" t="s">
        <v>157</v>
      </c>
      <c r="C3992" s="5">
        <v>1</v>
      </c>
      <c r="D3992" s="5" t="s">
        <v>76</v>
      </c>
      <c r="E3992" s="5">
        <v>2021</v>
      </c>
      <c r="F3992" s="5">
        <v>5</v>
      </c>
      <c r="G3992" s="5" t="s">
        <v>26</v>
      </c>
      <c r="H3992" s="5">
        <v>5359317</v>
      </c>
      <c r="I3992" s="5">
        <v>4670565.91</v>
      </c>
      <c r="J3992" s="5">
        <v>74</v>
      </c>
      <c r="K3992" s="5">
        <v>834775</v>
      </c>
      <c r="L3992" s="5">
        <v>6172410</v>
      </c>
      <c r="M3992" s="5">
        <v>688751.09</v>
      </c>
      <c r="N3992" s="5">
        <v>0.1285</v>
      </c>
      <c r="O3992" s="5">
        <v>3</v>
      </c>
      <c r="P3992" s="5">
        <v>63969</v>
      </c>
    </row>
    <row r="3993" spans="1:16" x14ac:dyDescent="0.3">
      <c r="A3993" s="5">
        <v>2</v>
      </c>
      <c r="B3993" s="5" t="s">
        <v>157</v>
      </c>
      <c r="C3993" s="5">
        <v>1</v>
      </c>
      <c r="D3993" s="5" t="s">
        <v>76</v>
      </c>
      <c r="E3993" s="5">
        <v>2021</v>
      </c>
      <c r="F3993" s="5">
        <v>6</v>
      </c>
      <c r="G3993" s="5" t="s">
        <v>27</v>
      </c>
      <c r="H3993" s="5">
        <v>2916745</v>
      </c>
      <c r="I3993" s="5">
        <v>2504512.36</v>
      </c>
      <c r="J3993" s="5">
        <v>56</v>
      </c>
      <c r="K3993" s="5">
        <v>333517</v>
      </c>
      <c r="L3993" s="5">
        <v>3240000</v>
      </c>
      <c r="M3993" s="5">
        <v>412232.64</v>
      </c>
      <c r="N3993" s="5">
        <v>0.14130000000000001</v>
      </c>
      <c r="O3993" s="5">
        <v>8</v>
      </c>
      <c r="P3993" s="5">
        <v>132190</v>
      </c>
    </row>
    <row r="3994" spans="1:16" x14ac:dyDescent="0.3">
      <c r="A3994" s="5">
        <v>2</v>
      </c>
      <c r="B3994" s="5" t="s">
        <v>157</v>
      </c>
      <c r="C3994" s="5">
        <v>1</v>
      </c>
      <c r="D3994" s="5" t="s">
        <v>76</v>
      </c>
      <c r="E3994" s="5">
        <v>2021</v>
      </c>
      <c r="F3994" s="5">
        <v>7</v>
      </c>
      <c r="G3994" s="5" t="s">
        <v>28</v>
      </c>
      <c r="H3994" s="5">
        <v>3260366</v>
      </c>
      <c r="I3994" s="5">
        <v>2920023.17</v>
      </c>
      <c r="J3994" s="5">
        <v>53</v>
      </c>
      <c r="K3994" s="5">
        <v>486697</v>
      </c>
      <c r="L3994" s="5">
        <v>3728870</v>
      </c>
      <c r="M3994" s="5">
        <v>340342.83</v>
      </c>
      <c r="N3994" s="5">
        <v>0.10440000000000001</v>
      </c>
      <c r="O3994" s="5">
        <v>5</v>
      </c>
      <c r="P3994" s="5">
        <v>119076</v>
      </c>
    </row>
    <row r="3995" spans="1:16" x14ac:dyDescent="0.3">
      <c r="A3995" s="5">
        <v>2</v>
      </c>
      <c r="B3995" s="5" t="s">
        <v>157</v>
      </c>
      <c r="C3995" s="5">
        <v>1</v>
      </c>
      <c r="D3995" s="5" t="s">
        <v>76</v>
      </c>
      <c r="E3995" s="5">
        <v>2021</v>
      </c>
      <c r="F3995" s="5">
        <v>8</v>
      </c>
      <c r="G3995" s="5" t="s">
        <v>29</v>
      </c>
      <c r="H3995" s="5">
        <v>4433484</v>
      </c>
      <c r="I3995" s="5">
        <v>3734003.91</v>
      </c>
      <c r="J3995" s="5">
        <v>53</v>
      </c>
      <c r="K3995" s="5">
        <v>352534</v>
      </c>
      <c r="L3995" s="5">
        <v>4765020</v>
      </c>
      <c r="M3995" s="5">
        <v>699480.09</v>
      </c>
      <c r="N3995" s="5">
        <v>0.1578</v>
      </c>
      <c r="O3995" s="5">
        <v>6</v>
      </c>
      <c r="P3995" s="5">
        <v>307420</v>
      </c>
    </row>
    <row r="3996" spans="1:16" x14ac:dyDescent="0.3">
      <c r="A3996" s="5">
        <v>2</v>
      </c>
      <c r="B3996" s="5" t="s">
        <v>157</v>
      </c>
      <c r="C3996" s="5">
        <v>1</v>
      </c>
      <c r="D3996" s="5" t="s">
        <v>76</v>
      </c>
      <c r="E3996" s="5">
        <v>2021</v>
      </c>
      <c r="F3996" s="5">
        <v>9</v>
      </c>
      <c r="G3996" s="5" t="s">
        <v>30</v>
      </c>
      <c r="H3996" s="5">
        <v>2693676</v>
      </c>
      <c r="I3996" s="5">
        <v>2310924.29</v>
      </c>
      <c r="J3996" s="5">
        <v>48</v>
      </c>
      <c r="K3996" s="5">
        <v>327100</v>
      </c>
      <c r="L3996" s="5">
        <v>3008590</v>
      </c>
      <c r="M3996" s="5">
        <v>382751.71</v>
      </c>
      <c r="N3996" s="5">
        <v>0.1421</v>
      </c>
      <c r="O3996" s="5">
        <v>6</v>
      </c>
      <c r="P3996" s="5">
        <v>89375</v>
      </c>
    </row>
    <row r="3997" spans="1:16" x14ac:dyDescent="0.3">
      <c r="A3997" s="5">
        <v>2</v>
      </c>
      <c r="B3997" s="5" t="s">
        <v>157</v>
      </c>
      <c r="C3997" s="5">
        <v>1</v>
      </c>
      <c r="D3997" s="5" t="s">
        <v>76</v>
      </c>
      <c r="E3997" s="5">
        <v>2021</v>
      </c>
      <c r="F3997" s="5">
        <v>10</v>
      </c>
      <c r="G3997" s="5" t="s">
        <v>31</v>
      </c>
      <c r="H3997" s="5">
        <v>4632608</v>
      </c>
      <c r="I3997" s="5">
        <v>3929792.57</v>
      </c>
      <c r="J3997" s="5">
        <v>71</v>
      </c>
      <c r="K3997" s="5">
        <v>462753</v>
      </c>
      <c r="L3997" s="5">
        <v>5075280</v>
      </c>
      <c r="M3997" s="5">
        <v>702815.43</v>
      </c>
      <c r="N3997" s="5">
        <v>0.1517</v>
      </c>
      <c r="O3997" s="5">
        <v>9</v>
      </c>
      <c r="P3997" s="5">
        <v>111121</v>
      </c>
    </row>
    <row r="3998" spans="1:16" x14ac:dyDescent="0.3">
      <c r="A3998" s="5">
        <v>2</v>
      </c>
      <c r="B3998" s="5" t="s">
        <v>157</v>
      </c>
      <c r="C3998" s="5">
        <v>1</v>
      </c>
      <c r="D3998" s="5" t="s">
        <v>76</v>
      </c>
      <c r="E3998" s="5">
        <v>2021</v>
      </c>
      <c r="F3998" s="5">
        <v>11</v>
      </c>
      <c r="G3998" s="5" t="s">
        <v>32</v>
      </c>
      <c r="H3998" s="5">
        <v>5604400</v>
      </c>
      <c r="I3998" s="5">
        <v>4655643.08</v>
      </c>
      <c r="J3998" s="5">
        <v>72</v>
      </c>
      <c r="K3998" s="5">
        <v>352847</v>
      </c>
      <c r="L3998" s="5">
        <v>5929690</v>
      </c>
      <c r="M3998" s="5">
        <v>948756.92</v>
      </c>
      <c r="N3998" s="5">
        <v>0.16930000000000001</v>
      </c>
      <c r="O3998" s="5">
        <v>6</v>
      </c>
      <c r="P3998" s="5">
        <v>360960</v>
      </c>
    </row>
    <row r="3999" spans="1:16" x14ac:dyDescent="0.3">
      <c r="A3999" s="5">
        <v>2</v>
      </c>
      <c r="B3999" s="5" t="s">
        <v>157</v>
      </c>
      <c r="C3999" s="5">
        <v>1</v>
      </c>
      <c r="D3999" s="5" t="s">
        <v>76</v>
      </c>
      <c r="E3999" s="5">
        <v>2021</v>
      </c>
      <c r="F3999" s="5">
        <v>12</v>
      </c>
      <c r="G3999" s="5" t="s">
        <v>33</v>
      </c>
      <c r="H3999" s="5">
        <v>5227811</v>
      </c>
      <c r="I3999" s="5">
        <v>4375522.09</v>
      </c>
      <c r="J3999" s="5">
        <v>72</v>
      </c>
      <c r="K3999" s="5">
        <v>361405</v>
      </c>
      <c r="L3999" s="5">
        <v>5572770</v>
      </c>
      <c r="M3999" s="5">
        <v>852288.91</v>
      </c>
      <c r="N3999" s="5">
        <v>0.16300000000000001</v>
      </c>
      <c r="O3999" s="5">
        <v>9</v>
      </c>
      <c r="P3999" s="5">
        <v>288113</v>
      </c>
    </row>
    <row r="4000" spans="1:16" x14ac:dyDescent="0.3">
      <c r="A4000" s="5">
        <v>2</v>
      </c>
      <c r="B4000" s="5" t="s">
        <v>157</v>
      </c>
      <c r="C4000" s="5">
        <v>1</v>
      </c>
      <c r="D4000" s="5" t="s">
        <v>76</v>
      </c>
      <c r="E4000" s="5">
        <v>2022</v>
      </c>
      <c r="F4000" s="5">
        <v>1</v>
      </c>
      <c r="G4000" s="5" t="s">
        <v>34</v>
      </c>
      <c r="H4000" s="5">
        <v>3852425</v>
      </c>
      <c r="I4000" s="5">
        <v>3261039.17</v>
      </c>
      <c r="J4000" s="5">
        <v>61</v>
      </c>
      <c r="K4000" s="5">
        <v>323795</v>
      </c>
      <c r="L4000" s="5">
        <v>4162940</v>
      </c>
      <c r="M4000" s="5">
        <v>591385.82999999996</v>
      </c>
      <c r="N4000" s="5">
        <v>0.1535</v>
      </c>
      <c r="O4000" s="5">
        <v>3</v>
      </c>
      <c r="P4000" s="5">
        <v>46372</v>
      </c>
    </row>
    <row r="4001" spans="1:16" x14ac:dyDescent="0.3">
      <c r="A4001" s="5">
        <v>2</v>
      </c>
      <c r="B4001" s="5" t="s">
        <v>157</v>
      </c>
      <c r="C4001" s="5">
        <v>1</v>
      </c>
      <c r="D4001" s="5" t="s">
        <v>76</v>
      </c>
      <c r="E4001" s="5">
        <v>2022</v>
      </c>
      <c r="F4001" s="5">
        <v>2</v>
      </c>
      <c r="G4001" s="5" t="s">
        <v>35</v>
      </c>
      <c r="H4001" s="5">
        <v>4045392</v>
      </c>
      <c r="I4001" s="5">
        <v>3274494.5</v>
      </c>
      <c r="J4001" s="5">
        <v>52</v>
      </c>
      <c r="K4001" s="5">
        <v>259507</v>
      </c>
      <c r="L4001" s="5">
        <v>4284070</v>
      </c>
      <c r="M4001" s="5">
        <v>770897.5</v>
      </c>
      <c r="N4001" s="5">
        <v>0.19059999999999999</v>
      </c>
      <c r="O4001" s="5">
        <v>6</v>
      </c>
      <c r="P4001" s="5">
        <v>70202</v>
      </c>
    </row>
    <row r="4002" spans="1:16" x14ac:dyDescent="0.3">
      <c r="A4002" s="5">
        <v>2</v>
      </c>
      <c r="B4002" s="5" t="s">
        <v>157</v>
      </c>
      <c r="C4002" s="5">
        <v>1</v>
      </c>
      <c r="D4002" s="5" t="s">
        <v>76</v>
      </c>
      <c r="E4002" s="5">
        <v>2022</v>
      </c>
      <c r="F4002" s="5">
        <v>3</v>
      </c>
      <c r="G4002" s="5" t="s">
        <v>36</v>
      </c>
      <c r="H4002" s="5">
        <v>4010422</v>
      </c>
      <c r="I4002" s="5">
        <v>3356828.37</v>
      </c>
      <c r="J4002" s="5">
        <v>62</v>
      </c>
      <c r="K4002" s="5">
        <v>311310</v>
      </c>
      <c r="L4002" s="5">
        <v>4309280</v>
      </c>
      <c r="M4002" s="5">
        <v>653593.63</v>
      </c>
      <c r="N4002" s="5">
        <v>0.16300000000000001</v>
      </c>
      <c r="O4002" s="5">
        <v>4</v>
      </c>
      <c r="P4002" s="5">
        <v>23943</v>
      </c>
    </row>
    <row r="4003" spans="1:16" x14ac:dyDescent="0.3">
      <c r="A4003" s="5">
        <v>2</v>
      </c>
      <c r="B4003" s="5" t="s">
        <v>157</v>
      </c>
      <c r="C4003" s="5">
        <v>1</v>
      </c>
      <c r="D4003" s="5" t="s">
        <v>76</v>
      </c>
      <c r="E4003" s="5">
        <v>2022</v>
      </c>
      <c r="F4003" s="5">
        <v>4</v>
      </c>
      <c r="G4003" s="5" t="s">
        <v>37</v>
      </c>
      <c r="H4003" s="5">
        <v>5058333</v>
      </c>
      <c r="I4003" s="5">
        <v>4418862.6900000004</v>
      </c>
      <c r="J4003" s="5">
        <v>74</v>
      </c>
      <c r="K4003" s="5">
        <v>669753</v>
      </c>
      <c r="L4003" s="5">
        <v>5714710</v>
      </c>
      <c r="M4003" s="5">
        <v>639470.31000000006</v>
      </c>
      <c r="N4003" s="5">
        <v>0.12640000000000001</v>
      </c>
      <c r="O4003" s="5">
        <v>5</v>
      </c>
      <c r="P4003" s="5">
        <v>167085</v>
      </c>
    </row>
    <row r="4004" spans="1:16" x14ac:dyDescent="0.3">
      <c r="A4004" s="5">
        <v>2</v>
      </c>
      <c r="B4004" s="5" t="s">
        <v>157</v>
      </c>
      <c r="C4004" s="5">
        <v>1</v>
      </c>
      <c r="D4004" s="5" t="s">
        <v>76</v>
      </c>
      <c r="E4004" s="5">
        <v>2022</v>
      </c>
      <c r="F4004" s="5">
        <v>5</v>
      </c>
      <c r="G4004" s="5" t="s">
        <v>38</v>
      </c>
      <c r="H4004" s="5">
        <v>3815976</v>
      </c>
      <c r="I4004" s="5">
        <v>3202391.23</v>
      </c>
      <c r="J4004" s="5">
        <v>64</v>
      </c>
      <c r="K4004" s="5">
        <v>325246</v>
      </c>
      <c r="L4004" s="5">
        <v>4125290</v>
      </c>
      <c r="M4004" s="5">
        <v>613584.77</v>
      </c>
      <c r="N4004" s="5">
        <v>0.1608</v>
      </c>
      <c r="O4004" s="5">
        <v>1</v>
      </c>
      <c r="P4004" s="5">
        <v>4644</v>
      </c>
    </row>
    <row r="4005" spans="1:16" x14ac:dyDescent="0.3">
      <c r="A4005" s="5">
        <v>2</v>
      </c>
      <c r="B4005" s="5" t="s">
        <v>157</v>
      </c>
      <c r="C4005" s="5">
        <v>1</v>
      </c>
      <c r="D4005" s="5" t="s">
        <v>76</v>
      </c>
      <c r="E4005" s="5">
        <v>2022</v>
      </c>
      <c r="F4005" s="5">
        <v>6</v>
      </c>
      <c r="G4005" s="5" t="s">
        <v>39</v>
      </c>
      <c r="H4005" s="5">
        <v>4751326</v>
      </c>
      <c r="I4005" s="5">
        <v>4161367.61</v>
      </c>
      <c r="J4005" s="5">
        <v>66</v>
      </c>
      <c r="K4005" s="5">
        <v>653720</v>
      </c>
      <c r="L4005" s="5">
        <v>5393610</v>
      </c>
      <c r="M4005" s="5">
        <v>589958.39</v>
      </c>
      <c r="N4005" s="5">
        <v>0.1242</v>
      </c>
      <c r="O4005" s="5">
        <v>7</v>
      </c>
      <c r="P4005" s="5">
        <v>70351</v>
      </c>
    </row>
    <row r="4006" spans="1:16" x14ac:dyDescent="0.3">
      <c r="A4006" s="5">
        <v>2</v>
      </c>
      <c r="B4006" s="5" t="s">
        <v>157</v>
      </c>
      <c r="C4006" s="5">
        <v>1</v>
      </c>
      <c r="D4006" s="5" t="s">
        <v>76</v>
      </c>
      <c r="E4006" s="5">
        <v>2022</v>
      </c>
      <c r="F4006" s="5">
        <v>7</v>
      </c>
      <c r="G4006" s="5" t="s">
        <v>40</v>
      </c>
      <c r="H4006" s="5">
        <v>5441092</v>
      </c>
      <c r="I4006" s="5">
        <v>4885603.21</v>
      </c>
      <c r="J4006" s="5">
        <v>78</v>
      </c>
      <c r="K4006" s="5">
        <v>870411</v>
      </c>
      <c r="L4006" s="5">
        <v>6293000</v>
      </c>
      <c r="M4006" s="5">
        <v>555488.79</v>
      </c>
      <c r="N4006" s="5">
        <v>0.1021</v>
      </c>
      <c r="O4006" s="5">
        <v>5</v>
      </c>
      <c r="P4006" s="5">
        <v>188485</v>
      </c>
    </row>
    <row r="4007" spans="1:16" x14ac:dyDescent="0.3">
      <c r="A4007" s="5">
        <v>2</v>
      </c>
      <c r="B4007" s="5" t="s">
        <v>157</v>
      </c>
      <c r="C4007" s="5">
        <v>1</v>
      </c>
      <c r="D4007" s="5" t="s">
        <v>76</v>
      </c>
      <c r="E4007" s="5">
        <v>2022</v>
      </c>
      <c r="F4007" s="5">
        <v>8</v>
      </c>
      <c r="G4007" s="5" t="s">
        <v>41</v>
      </c>
      <c r="H4007" s="5">
        <v>4222922</v>
      </c>
      <c r="I4007" s="5">
        <v>3997440.94</v>
      </c>
      <c r="J4007" s="5">
        <v>89</v>
      </c>
      <c r="K4007" s="5">
        <v>1000215</v>
      </c>
      <c r="L4007" s="5">
        <v>5209860</v>
      </c>
      <c r="M4007" s="5">
        <v>225481.06</v>
      </c>
      <c r="N4007" s="5">
        <v>5.3400000000000003E-2</v>
      </c>
      <c r="O4007" s="5">
        <v>10</v>
      </c>
      <c r="P4007" s="5">
        <v>284164</v>
      </c>
    </row>
    <row r="4008" spans="1:16" x14ac:dyDescent="0.3">
      <c r="A4008" s="5">
        <v>2</v>
      </c>
      <c r="B4008" s="5" t="s">
        <v>157</v>
      </c>
      <c r="C4008" s="5">
        <v>1</v>
      </c>
      <c r="D4008" s="5" t="s">
        <v>76</v>
      </c>
      <c r="E4008" s="5">
        <v>2022</v>
      </c>
      <c r="F4008" s="5">
        <v>9</v>
      </c>
      <c r="G4008" s="5" t="s">
        <v>42</v>
      </c>
      <c r="H4008" s="5">
        <v>5474791</v>
      </c>
      <c r="I4008" s="5">
        <v>4792243.53</v>
      </c>
      <c r="J4008" s="5">
        <v>79</v>
      </c>
      <c r="K4008" s="5">
        <v>641110</v>
      </c>
      <c r="L4008" s="5">
        <v>6090110</v>
      </c>
      <c r="M4008" s="5">
        <v>682547.47</v>
      </c>
      <c r="N4008" s="5">
        <v>0.12470000000000001</v>
      </c>
      <c r="O4008" s="5">
        <v>4</v>
      </c>
      <c r="P4008" s="5">
        <v>13533</v>
      </c>
    </row>
    <row r="4009" spans="1:16" x14ac:dyDescent="0.3">
      <c r="A4009" s="5">
        <v>2</v>
      </c>
      <c r="B4009" s="5" t="s">
        <v>157</v>
      </c>
      <c r="C4009" s="5">
        <v>1</v>
      </c>
      <c r="D4009" s="5" t="s">
        <v>76</v>
      </c>
      <c r="E4009" s="5">
        <v>2022</v>
      </c>
      <c r="F4009" s="5">
        <v>10</v>
      </c>
      <c r="G4009" s="5" t="s">
        <v>43</v>
      </c>
      <c r="H4009" s="5">
        <v>5903883</v>
      </c>
      <c r="I4009" s="5">
        <v>5038703.8099999996</v>
      </c>
      <c r="J4009" s="5">
        <v>86</v>
      </c>
      <c r="K4009" s="5">
        <v>660207</v>
      </c>
      <c r="L4009" s="5">
        <v>6540550</v>
      </c>
      <c r="M4009" s="5">
        <v>865179.19</v>
      </c>
      <c r="N4009" s="5">
        <v>0.14649999999999999</v>
      </c>
      <c r="O4009" s="5">
        <v>10</v>
      </c>
      <c r="P4009" s="5">
        <v>590767</v>
      </c>
    </row>
    <row r="4010" spans="1:16" x14ac:dyDescent="0.3">
      <c r="A4010" s="5">
        <v>2</v>
      </c>
      <c r="B4010" s="5" t="s">
        <v>157</v>
      </c>
      <c r="C4010" s="5">
        <v>1</v>
      </c>
      <c r="D4010" s="5" t="s">
        <v>76</v>
      </c>
      <c r="E4010" s="5">
        <v>2022</v>
      </c>
      <c r="F4010" s="5">
        <v>11</v>
      </c>
      <c r="G4010" s="5" t="s">
        <v>44</v>
      </c>
      <c r="H4010" s="5">
        <v>7345383</v>
      </c>
      <c r="I4010" s="5">
        <v>6442275.0599999996</v>
      </c>
      <c r="J4010" s="5">
        <v>107</v>
      </c>
      <c r="K4010" s="5">
        <v>1043936</v>
      </c>
      <c r="L4010" s="5">
        <v>8357450</v>
      </c>
      <c r="M4010" s="5">
        <v>903107.94</v>
      </c>
      <c r="N4010" s="5">
        <v>0.1229</v>
      </c>
      <c r="O4010" s="5">
        <v>7</v>
      </c>
      <c r="P4010" s="5">
        <v>170419</v>
      </c>
    </row>
    <row r="4011" spans="1:16" x14ac:dyDescent="0.3">
      <c r="A4011" s="5">
        <v>2</v>
      </c>
      <c r="B4011" s="5" t="s">
        <v>157</v>
      </c>
      <c r="C4011" s="5">
        <v>1</v>
      </c>
      <c r="D4011" s="5" t="s">
        <v>76</v>
      </c>
      <c r="E4011" s="5">
        <v>2022</v>
      </c>
      <c r="F4011" s="5">
        <v>12</v>
      </c>
      <c r="G4011" s="5" t="s">
        <v>45</v>
      </c>
      <c r="H4011" s="5">
        <v>8718761</v>
      </c>
      <c r="I4011" s="5">
        <v>7164803.1799999997</v>
      </c>
      <c r="J4011" s="5">
        <v>111</v>
      </c>
      <c r="K4011" s="5">
        <v>601398</v>
      </c>
      <c r="L4011" s="5">
        <v>9295620</v>
      </c>
      <c r="M4011" s="5">
        <v>1553957.82</v>
      </c>
      <c r="N4011" s="5">
        <v>0.1782</v>
      </c>
      <c r="O4011" s="5">
        <v>6</v>
      </c>
      <c r="P4011" s="5">
        <v>276680</v>
      </c>
    </row>
    <row r="4012" spans="1:16" x14ac:dyDescent="0.3">
      <c r="A4012" s="5">
        <v>2</v>
      </c>
      <c r="B4012" s="5" t="s">
        <v>157</v>
      </c>
      <c r="C4012" s="5">
        <v>1</v>
      </c>
      <c r="D4012" s="5" t="s">
        <v>76</v>
      </c>
      <c r="E4012" s="5">
        <v>2023</v>
      </c>
      <c r="F4012" s="5">
        <v>1</v>
      </c>
      <c r="G4012" s="5" t="s">
        <v>46</v>
      </c>
      <c r="H4012" s="5">
        <v>5661847</v>
      </c>
      <c r="I4012" s="5">
        <v>4766016.54</v>
      </c>
      <c r="J4012" s="5">
        <v>91</v>
      </c>
      <c r="K4012" s="5">
        <v>553315</v>
      </c>
      <c r="L4012" s="5">
        <v>6184880</v>
      </c>
      <c r="M4012" s="5">
        <v>895830.46</v>
      </c>
      <c r="N4012" s="5">
        <v>0.15820000000000001</v>
      </c>
      <c r="O4012" s="5">
        <v>2</v>
      </c>
      <c r="P4012" s="5">
        <v>10144</v>
      </c>
    </row>
    <row r="4013" spans="1:16" x14ac:dyDescent="0.3">
      <c r="A4013" s="5">
        <v>2</v>
      </c>
      <c r="B4013" s="5" t="s">
        <v>157</v>
      </c>
      <c r="C4013" s="5">
        <v>1</v>
      </c>
      <c r="D4013" s="5" t="s">
        <v>76</v>
      </c>
      <c r="E4013" s="5">
        <v>2023</v>
      </c>
      <c r="F4013" s="5">
        <v>2</v>
      </c>
      <c r="G4013" s="5" t="s">
        <v>47</v>
      </c>
      <c r="H4013" s="5">
        <v>5935517</v>
      </c>
      <c r="I4013" s="5">
        <v>5095606.51</v>
      </c>
      <c r="J4013" s="5">
        <v>78</v>
      </c>
      <c r="K4013" s="5">
        <v>651477</v>
      </c>
      <c r="L4013" s="5">
        <v>6574000</v>
      </c>
      <c r="M4013" s="5">
        <v>839910.49</v>
      </c>
      <c r="N4013" s="5">
        <v>0.14149999999999999</v>
      </c>
      <c r="O4013" s="5">
        <v>6</v>
      </c>
      <c r="P4013" s="5">
        <v>195015</v>
      </c>
    </row>
    <row r="4014" spans="1:16" x14ac:dyDescent="0.3">
      <c r="A4014" s="5">
        <v>2</v>
      </c>
      <c r="B4014" s="5" t="s">
        <v>157</v>
      </c>
      <c r="C4014" s="5">
        <v>1</v>
      </c>
      <c r="D4014" s="5" t="s">
        <v>76</v>
      </c>
      <c r="E4014" s="5">
        <v>2023</v>
      </c>
      <c r="F4014" s="5">
        <v>3</v>
      </c>
      <c r="G4014" s="5" t="s">
        <v>48</v>
      </c>
      <c r="H4014" s="5">
        <v>7582001</v>
      </c>
      <c r="I4014" s="5">
        <v>6484667.5499999998</v>
      </c>
      <c r="J4014" s="5">
        <v>86</v>
      </c>
      <c r="K4014" s="5">
        <v>719550</v>
      </c>
      <c r="L4014" s="5">
        <v>8264090</v>
      </c>
      <c r="M4014" s="5">
        <v>1097333.45</v>
      </c>
      <c r="N4014" s="5">
        <v>0.1447</v>
      </c>
      <c r="O4014" s="5">
        <v>6</v>
      </c>
      <c r="P4014" s="5">
        <v>340404</v>
      </c>
    </row>
    <row r="4015" spans="1:16" x14ac:dyDescent="0.3">
      <c r="A4015" s="5">
        <v>2</v>
      </c>
      <c r="B4015" s="5" t="s">
        <v>157</v>
      </c>
      <c r="C4015" s="5">
        <v>1</v>
      </c>
      <c r="D4015" s="5" t="s">
        <v>76</v>
      </c>
      <c r="E4015" s="5">
        <v>2023</v>
      </c>
      <c r="F4015" s="5">
        <v>4</v>
      </c>
      <c r="G4015" s="5" t="s">
        <v>49</v>
      </c>
      <c r="H4015" s="5">
        <v>6787350</v>
      </c>
      <c r="I4015" s="5">
        <v>5915988.9000000004</v>
      </c>
      <c r="J4015" s="5">
        <v>101</v>
      </c>
      <c r="K4015" s="5">
        <v>869434</v>
      </c>
      <c r="L4015" s="5">
        <v>7643630</v>
      </c>
      <c r="M4015" s="5">
        <v>871361.1</v>
      </c>
      <c r="N4015" s="5">
        <v>0.12839999999999999</v>
      </c>
      <c r="O4015" s="5">
        <v>7</v>
      </c>
      <c r="P4015" s="5">
        <v>200294</v>
      </c>
    </row>
    <row r="4016" spans="1:16" x14ac:dyDescent="0.3">
      <c r="A4016" s="5">
        <v>2</v>
      </c>
      <c r="B4016" s="5" t="s">
        <v>157</v>
      </c>
      <c r="C4016" s="5">
        <v>1</v>
      </c>
      <c r="D4016" s="5" t="s">
        <v>76</v>
      </c>
      <c r="E4016" s="5">
        <v>2023</v>
      </c>
      <c r="F4016" s="5">
        <v>5</v>
      </c>
      <c r="G4016" s="5" t="s">
        <v>50</v>
      </c>
      <c r="H4016" s="5">
        <v>5000740</v>
      </c>
      <c r="I4016" s="5">
        <v>4276784.6500000004</v>
      </c>
      <c r="J4016" s="5">
        <v>92</v>
      </c>
      <c r="K4016" s="5">
        <v>631190</v>
      </c>
      <c r="L4016" s="5">
        <v>5613680</v>
      </c>
      <c r="M4016" s="5">
        <v>723955.35</v>
      </c>
      <c r="N4016" s="5">
        <v>0.14480000000000001</v>
      </c>
      <c r="O4016" s="5">
        <v>11</v>
      </c>
      <c r="P4016" s="5">
        <v>531433</v>
      </c>
    </row>
    <row r="4017" spans="1:16" x14ac:dyDescent="0.3">
      <c r="A4017" s="5">
        <v>2</v>
      </c>
      <c r="B4017" s="5" t="s">
        <v>157</v>
      </c>
      <c r="C4017" s="5">
        <v>1</v>
      </c>
      <c r="D4017" s="5" t="s">
        <v>76</v>
      </c>
      <c r="E4017" s="5">
        <v>2023</v>
      </c>
      <c r="F4017" s="5">
        <v>6</v>
      </c>
      <c r="G4017" s="5" t="s">
        <v>51</v>
      </c>
      <c r="H4017" s="5">
        <v>6581083</v>
      </c>
      <c r="I4017" s="5">
        <v>5511902.25</v>
      </c>
      <c r="J4017" s="5">
        <v>97</v>
      </c>
      <c r="K4017" s="5">
        <v>437822</v>
      </c>
      <c r="L4017" s="5">
        <v>6993250</v>
      </c>
      <c r="M4017" s="5">
        <v>1069180.75</v>
      </c>
      <c r="N4017" s="5">
        <v>0.16250000000000001</v>
      </c>
      <c r="O4017" s="5">
        <v>4</v>
      </c>
      <c r="P4017" s="5">
        <v>40547</v>
      </c>
    </row>
    <row r="4018" spans="1:16" x14ac:dyDescent="0.3">
      <c r="A4018" s="5">
        <v>2</v>
      </c>
      <c r="B4018" s="5" t="s">
        <v>157</v>
      </c>
      <c r="C4018" s="5">
        <v>1</v>
      </c>
      <c r="D4018" s="5" t="s">
        <v>76</v>
      </c>
      <c r="E4018" s="5">
        <v>2023</v>
      </c>
      <c r="F4018" s="5">
        <v>7</v>
      </c>
      <c r="G4018" s="5" t="s">
        <v>52</v>
      </c>
      <c r="H4018" s="5">
        <v>5402033</v>
      </c>
      <c r="I4018" s="5">
        <v>4746462.13</v>
      </c>
      <c r="J4018" s="5">
        <v>88</v>
      </c>
      <c r="K4018" s="5">
        <v>801002</v>
      </c>
      <c r="L4018" s="5">
        <v>6195580</v>
      </c>
      <c r="M4018" s="5">
        <v>655570.87</v>
      </c>
      <c r="N4018" s="5">
        <v>0.12139999999999999</v>
      </c>
      <c r="O4018" s="5">
        <v>6</v>
      </c>
      <c r="P4018" s="5">
        <v>307777</v>
      </c>
    </row>
    <row r="4019" spans="1:16" x14ac:dyDescent="0.3">
      <c r="A4019" s="5">
        <v>2</v>
      </c>
      <c r="B4019" s="5" t="s">
        <v>157</v>
      </c>
      <c r="C4019" s="5">
        <v>1</v>
      </c>
      <c r="D4019" s="5" t="s">
        <v>76</v>
      </c>
      <c r="E4019" s="5">
        <v>2023</v>
      </c>
      <c r="F4019" s="5">
        <v>8</v>
      </c>
      <c r="G4019" s="5" t="s">
        <v>53</v>
      </c>
      <c r="H4019" s="5">
        <v>6398557</v>
      </c>
      <c r="I4019" s="5">
        <v>5380141.7000000002</v>
      </c>
      <c r="J4019" s="5">
        <v>100</v>
      </c>
      <c r="K4019" s="5">
        <v>548127</v>
      </c>
      <c r="L4019" s="5">
        <v>6905340</v>
      </c>
      <c r="M4019" s="5">
        <v>1018415.3</v>
      </c>
      <c r="N4019" s="5">
        <v>0.15920000000000001</v>
      </c>
      <c r="O4019" s="5">
        <v>7</v>
      </c>
      <c r="P4019" s="5">
        <v>143119</v>
      </c>
    </row>
    <row r="4020" spans="1:16" x14ac:dyDescent="0.3">
      <c r="A4020" s="5">
        <v>2</v>
      </c>
      <c r="B4020" s="5" t="s">
        <v>157</v>
      </c>
      <c r="C4020" s="5">
        <v>1</v>
      </c>
      <c r="D4020" s="5" t="s">
        <v>76</v>
      </c>
      <c r="E4020" s="5">
        <v>2023</v>
      </c>
      <c r="F4020" s="5">
        <v>9</v>
      </c>
      <c r="G4020" s="5" t="s">
        <v>54</v>
      </c>
      <c r="H4020" s="5">
        <v>6751041</v>
      </c>
      <c r="I4020" s="5">
        <v>5931839.96</v>
      </c>
      <c r="J4020" s="5">
        <v>109</v>
      </c>
      <c r="K4020" s="5">
        <v>973661</v>
      </c>
      <c r="L4020" s="5">
        <v>7698240</v>
      </c>
      <c r="M4020" s="5">
        <v>819201.04</v>
      </c>
      <c r="N4020" s="5">
        <v>0.12130000000000001</v>
      </c>
      <c r="O4020" s="5">
        <v>12</v>
      </c>
      <c r="P4020" s="5">
        <v>167492</v>
      </c>
    </row>
    <row r="4021" spans="1:16" x14ac:dyDescent="0.3">
      <c r="A4021" s="5">
        <v>2</v>
      </c>
      <c r="B4021" s="5" t="s">
        <v>157</v>
      </c>
      <c r="C4021" s="5">
        <v>1</v>
      </c>
      <c r="D4021" s="5" t="s">
        <v>76</v>
      </c>
      <c r="E4021" s="5">
        <v>2023</v>
      </c>
      <c r="F4021" s="5">
        <v>10</v>
      </c>
      <c r="G4021" s="5" t="s">
        <v>55</v>
      </c>
      <c r="H4021" s="5">
        <v>10793487</v>
      </c>
      <c r="I4021" s="5">
        <v>9350843.8300000001</v>
      </c>
      <c r="J4021" s="5">
        <v>152</v>
      </c>
      <c r="K4021" s="5">
        <v>1336832</v>
      </c>
      <c r="L4021" s="5">
        <v>12097520</v>
      </c>
      <c r="M4021" s="5">
        <v>1442643.17</v>
      </c>
      <c r="N4021" s="5">
        <v>0.13370000000000001</v>
      </c>
      <c r="O4021" s="5">
        <v>16</v>
      </c>
      <c r="P4021" s="5">
        <v>499330</v>
      </c>
    </row>
    <row r="4022" spans="1:16" x14ac:dyDescent="0.3">
      <c r="A4022" s="5">
        <v>2</v>
      </c>
      <c r="B4022" s="5" t="s">
        <v>157</v>
      </c>
      <c r="C4022" s="5">
        <v>1</v>
      </c>
      <c r="D4022" s="5" t="s">
        <v>76</v>
      </c>
      <c r="E4022" s="5">
        <v>2023</v>
      </c>
      <c r="F4022" s="5">
        <v>11</v>
      </c>
      <c r="G4022" s="5" t="s">
        <v>56</v>
      </c>
      <c r="H4022" s="5">
        <v>8888708</v>
      </c>
      <c r="I4022" s="5">
        <v>8045345.0499999998</v>
      </c>
      <c r="J4022" s="5">
        <v>131</v>
      </c>
      <c r="K4022" s="5">
        <v>1461428</v>
      </c>
      <c r="L4022" s="5">
        <v>10326360</v>
      </c>
      <c r="M4022" s="5">
        <v>843362.95</v>
      </c>
      <c r="N4022" s="5">
        <v>9.4899999999999998E-2</v>
      </c>
      <c r="O4022" s="5">
        <v>20</v>
      </c>
      <c r="P4022" s="5">
        <v>635217</v>
      </c>
    </row>
    <row r="4023" spans="1:16" x14ac:dyDescent="0.3">
      <c r="A4023" s="5">
        <v>2</v>
      </c>
      <c r="B4023" s="5" t="s">
        <v>157</v>
      </c>
      <c r="C4023" s="5">
        <v>1</v>
      </c>
      <c r="D4023" s="5" t="s">
        <v>76</v>
      </c>
      <c r="E4023" s="5">
        <v>2023</v>
      </c>
      <c r="F4023" s="5">
        <v>12</v>
      </c>
      <c r="G4023" s="5" t="s">
        <v>57</v>
      </c>
      <c r="H4023" s="5">
        <v>9615611</v>
      </c>
      <c r="I4023" s="5">
        <v>8953698.8499999996</v>
      </c>
      <c r="J4023" s="5">
        <v>158</v>
      </c>
      <c r="K4023" s="5">
        <v>1948948</v>
      </c>
      <c r="L4023" s="5">
        <v>11528510</v>
      </c>
      <c r="M4023" s="5">
        <v>661912.15</v>
      </c>
      <c r="N4023" s="5">
        <v>6.88E-2</v>
      </c>
      <c r="O4023" s="5">
        <v>11</v>
      </c>
      <c r="P4023" s="5">
        <v>361647</v>
      </c>
    </row>
    <row r="4024" spans="1:16" x14ac:dyDescent="0.3">
      <c r="A4024" s="5">
        <v>2</v>
      </c>
      <c r="B4024" s="5" t="s">
        <v>157</v>
      </c>
      <c r="C4024" s="5">
        <v>1</v>
      </c>
      <c r="D4024" s="5" t="s">
        <v>76</v>
      </c>
      <c r="E4024" s="5">
        <v>2024</v>
      </c>
      <c r="F4024" s="5">
        <v>1</v>
      </c>
      <c r="G4024" s="5" t="s">
        <v>58</v>
      </c>
      <c r="H4024" s="5">
        <v>7826109</v>
      </c>
      <c r="I4024" s="5">
        <v>6767344.4100000001</v>
      </c>
      <c r="J4024" s="5">
        <v>109</v>
      </c>
      <c r="K4024" s="5">
        <v>956474</v>
      </c>
      <c r="L4024" s="5">
        <v>8750980</v>
      </c>
      <c r="M4024" s="5">
        <v>1058764.5900000001</v>
      </c>
      <c r="N4024" s="5">
        <v>0.1353</v>
      </c>
      <c r="O4024" s="5">
        <v>19</v>
      </c>
      <c r="P4024" s="5">
        <v>377996</v>
      </c>
    </row>
    <row r="4025" spans="1:16" x14ac:dyDescent="0.3">
      <c r="A4025" s="5">
        <v>2</v>
      </c>
      <c r="B4025" s="5" t="s">
        <v>157</v>
      </c>
      <c r="C4025" s="5">
        <v>1</v>
      </c>
      <c r="D4025" s="5" t="s">
        <v>76</v>
      </c>
      <c r="E4025" s="5">
        <v>2024</v>
      </c>
      <c r="F4025" s="5">
        <v>2</v>
      </c>
      <c r="G4025" s="5" t="s">
        <v>59</v>
      </c>
      <c r="H4025" s="5">
        <v>4572580</v>
      </c>
      <c r="I4025" s="5">
        <v>3815923.48</v>
      </c>
      <c r="J4025" s="5">
        <v>73</v>
      </c>
      <c r="K4025" s="5">
        <v>544199</v>
      </c>
      <c r="L4025" s="5">
        <v>5101480</v>
      </c>
      <c r="M4025" s="5">
        <v>756656.52</v>
      </c>
      <c r="N4025" s="5">
        <v>0.16550000000000001</v>
      </c>
      <c r="O4025" s="5">
        <v>1</v>
      </c>
      <c r="P4025" s="5">
        <v>40109</v>
      </c>
    </row>
    <row r="4026" spans="1:16" x14ac:dyDescent="0.3">
      <c r="A4026" s="5">
        <v>2</v>
      </c>
      <c r="B4026" s="5" t="s">
        <v>157</v>
      </c>
      <c r="C4026" s="5">
        <v>1</v>
      </c>
      <c r="D4026" s="5" t="s">
        <v>76</v>
      </c>
      <c r="E4026" s="5">
        <v>2024</v>
      </c>
      <c r="F4026" s="5">
        <v>3</v>
      </c>
      <c r="G4026" s="5" t="s">
        <v>60</v>
      </c>
      <c r="H4026" s="5">
        <v>6780188</v>
      </c>
      <c r="I4026" s="5">
        <v>5986471.9699999997</v>
      </c>
      <c r="J4026" s="5">
        <v>97</v>
      </c>
      <c r="K4026" s="5">
        <v>947351</v>
      </c>
      <c r="L4026" s="5">
        <v>7702380</v>
      </c>
      <c r="M4026" s="5">
        <v>793716.03</v>
      </c>
      <c r="N4026" s="5">
        <v>0.1171</v>
      </c>
      <c r="O4026" s="5">
        <v>6</v>
      </c>
      <c r="P4026" s="5">
        <v>293466</v>
      </c>
    </row>
    <row r="4027" spans="1:16" x14ac:dyDescent="0.3">
      <c r="A4027" s="5">
        <v>2</v>
      </c>
      <c r="B4027" s="5" t="s">
        <v>157</v>
      </c>
      <c r="C4027" s="5">
        <v>1</v>
      </c>
      <c r="D4027" s="5" t="s">
        <v>76</v>
      </c>
      <c r="E4027" s="5">
        <v>2024</v>
      </c>
      <c r="F4027" s="5">
        <v>4</v>
      </c>
      <c r="G4027" s="5" t="s">
        <v>61</v>
      </c>
      <c r="H4027" s="5">
        <v>5661529</v>
      </c>
      <c r="I4027" s="5">
        <v>4891657.09</v>
      </c>
      <c r="J4027" s="5">
        <v>95</v>
      </c>
      <c r="K4027" s="5">
        <v>644779</v>
      </c>
      <c r="L4027" s="5">
        <v>6280330</v>
      </c>
      <c r="M4027" s="5">
        <v>769871.91</v>
      </c>
      <c r="N4027" s="5">
        <v>0.13600000000000001</v>
      </c>
      <c r="O4027" s="5">
        <v>8</v>
      </c>
      <c r="P4027" s="5">
        <v>161979</v>
      </c>
    </row>
    <row r="4028" spans="1:16" x14ac:dyDescent="0.3">
      <c r="A4028" s="5">
        <v>2</v>
      </c>
      <c r="B4028" s="5" t="s">
        <v>157</v>
      </c>
      <c r="C4028" s="5">
        <v>1</v>
      </c>
      <c r="D4028" s="5" t="s">
        <v>76</v>
      </c>
      <c r="E4028" s="5">
        <v>2024</v>
      </c>
      <c r="F4028" s="5">
        <v>5</v>
      </c>
      <c r="G4028" s="5" t="s">
        <v>62</v>
      </c>
      <c r="H4028" s="5">
        <v>7817689</v>
      </c>
      <c r="I4028" s="5">
        <v>6643045.8099999996</v>
      </c>
      <c r="J4028" s="5">
        <v>112</v>
      </c>
      <c r="K4028" s="5">
        <v>824853</v>
      </c>
      <c r="L4028" s="5">
        <v>8621250</v>
      </c>
      <c r="M4028" s="5">
        <v>1174643.19</v>
      </c>
      <c r="N4028" s="5">
        <v>0.15029999999999999</v>
      </c>
      <c r="O4028" s="5">
        <v>7</v>
      </c>
      <c r="P4028" s="5">
        <v>76328</v>
      </c>
    </row>
    <row r="4029" spans="1:16" x14ac:dyDescent="0.3">
      <c r="A4029" s="5">
        <v>2</v>
      </c>
      <c r="B4029" s="5" t="s">
        <v>157</v>
      </c>
      <c r="C4029" s="5">
        <v>1</v>
      </c>
      <c r="D4029" s="5" t="s">
        <v>76</v>
      </c>
      <c r="E4029" s="5">
        <v>2024</v>
      </c>
      <c r="F4029" s="5">
        <v>6</v>
      </c>
      <c r="G4029" s="5" t="s">
        <v>63</v>
      </c>
      <c r="H4029" s="5">
        <v>7196386</v>
      </c>
      <c r="I4029" s="5">
        <v>5870384.9299999997</v>
      </c>
      <c r="J4029" s="5">
        <v>110</v>
      </c>
      <c r="K4029" s="5">
        <v>452916</v>
      </c>
      <c r="L4029" s="5">
        <v>7624500</v>
      </c>
      <c r="M4029" s="5">
        <v>1326001.07</v>
      </c>
      <c r="N4029" s="5">
        <v>0.18429999999999999</v>
      </c>
      <c r="O4029" s="5">
        <v>10</v>
      </c>
      <c r="P4029" s="5">
        <v>339296</v>
      </c>
    </row>
    <row r="4030" spans="1:16" x14ac:dyDescent="0.3">
      <c r="A4030" s="5">
        <v>2</v>
      </c>
      <c r="B4030" s="5" t="s">
        <v>157</v>
      </c>
      <c r="C4030" s="5">
        <v>1</v>
      </c>
      <c r="D4030" s="5" t="s">
        <v>76</v>
      </c>
      <c r="E4030" s="5">
        <v>2024</v>
      </c>
      <c r="F4030" s="5">
        <v>7</v>
      </c>
      <c r="G4030" s="5" t="s">
        <v>64</v>
      </c>
      <c r="H4030" s="5">
        <v>8279516</v>
      </c>
      <c r="I4030" s="5">
        <v>7081686.0999999996</v>
      </c>
      <c r="J4030" s="5">
        <v>115</v>
      </c>
      <c r="K4030" s="5">
        <v>777573</v>
      </c>
      <c r="L4030" s="5">
        <v>9027370</v>
      </c>
      <c r="M4030" s="5">
        <v>1197829.8999999999</v>
      </c>
      <c r="N4030" s="5">
        <v>0.1447</v>
      </c>
      <c r="O4030" s="5">
        <v>11</v>
      </c>
      <c r="P4030" s="5">
        <v>560959</v>
      </c>
    </row>
    <row r="4031" spans="1:16" x14ac:dyDescent="0.3">
      <c r="A4031" s="5">
        <v>2</v>
      </c>
      <c r="B4031" s="5" t="s">
        <v>157</v>
      </c>
      <c r="C4031" s="5">
        <v>1</v>
      </c>
      <c r="D4031" s="5" t="s">
        <v>76</v>
      </c>
      <c r="E4031" s="5">
        <v>2024</v>
      </c>
      <c r="F4031" s="5">
        <v>8</v>
      </c>
      <c r="G4031" s="5" t="s">
        <v>65</v>
      </c>
      <c r="H4031" s="5">
        <v>6918208</v>
      </c>
      <c r="I4031" s="5">
        <v>5856490.3499999996</v>
      </c>
      <c r="J4031" s="5">
        <v>113</v>
      </c>
      <c r="K4031" s="5">
        <v>691659</v>
      </c>
      <c r="L4031" s="5">
        <v>7583790</v>
      </c>
      <c r="M4031" s="5">
        <v>1061717.6499999999</v>
      </c>
      <c r="N4031" s="5">
        <v>0.1535</v>
      </c>
      <c r="O4031" s="5">
        <v>9</v>
      </c>
      <c r="P4031" s="5">
        <v>103965</v>
      </c>
    </row>
    <row r="4032" spans="1:16" x14ac:dyDescent="0.3">
      <c r="A4032" s="5">
        <v>2</v>
      </c>
      <c r="B4032" s="5" t="s">
        <v>157</v>
      </c>
      <c r="C4032" s="5">
        <v>1</v>
      </c>
      <c r="D4032" s="5" t="s">
        <v>76</v>
      </c>
      <c r="E4032" s="5">
        <v>2024</v>
      </c>
      <c r="F4032" s="5">
        <v>9</v>
      </c>
      <c r="G4032" s="5" t="s">
        <v>66</v>
      </c>
      <c r="H4032" s="5">
        <v>8142828</v>
      </c>
      <c r="I4032" s="5">
        <v>6574943.4699999997</v>
      </c>
      <c r="J4032" s="5">
        <v>117</v>
      </c>
      <c r="K4032" s="5">
        <v>401969</v>
      </c>
      <c r="L4032" s="5">
        <v>8509420</v>
      </c>
      <c r="M4032" s="5">
        <v>1567884.53</v>
      </c>
      <c r="N4032" s="5">
        <v>0.1925</v>
      </c>
      <c r="O4032" s="5">
        <v>11</v>
      </c>
      <c r="P4032" s="5">
        <v>224932</v>
      </c>
    </row>
    <row r="4033" spans="1:16" x14ac:dyDescent="0.3">
      <c r="A4033" s="5">
        <v>2</v>
      </c>
      <c r="B4033" s="5" t="s">
        <v>157</v>
      </c>
      <c r="C4033" s="5">
        <v>1</v>
      </c>
      <c r="D4033" s="5" t="s">
        <v>76</v>
      </c>
      <c r="E4033" s="5">
        <v>2024</v>
      </c>
      <c r="F4033" s="5">
        <v>10</v>
      </c>
      <c r="G4033" s="5" t="s">
        <v>67</v>
      </c>
      <c r="H4033" s="5">
        <v>8500240</v>
      </c>
      <c r="I4033" s="5">
        <v>6734652.9699999997</v>
      </c>
      <c r="J4033" s="5">
        <v>114</v>
      </c>
      <c r="K4033" s="5">
        <v>278170</v>
      </c>
      <c r="L4033" s="5">
        <v>8756990</v>
      </c>
      <c r="M4033" s="5">
        <v>1765587.03</v>
      </c>
      <c r="N4033" s="5">
        <v>0.2077</v>
      </c>
      <c r="O4033" s="5">
        <v>9</v>
      </c>
      <c r="P4033" s="5">
        <v>163193</v>
      </c>
    </row>
    <row r="4034" spans="1:16" x14ac:dyDescent="0.3">
      <c r="A4034" s="5">
        <v>2</v>
      </c>
      <c r="B4034" s="5" t="s">
        <v>157</v>
      </c>
      <c r="C4034" s="5">
        <v>1</v>
      </c>
      <c r="D4034" s="5" t="s">
        <v>76</v>
      </c>
      <c r="E4034" s="5">
        <v>2024</v>
      </c>
      <c r="F4034" s="5">
        <v>11</v>
      </c>
      <c r="G4034" s="5" t="s">
        <v>68</v>
      </c>
      <c r="H4034" s="5">
        <v>9380429</v>
      </c>
      <c r="I4034" s="5">
        <v>7802305.0800000001</v>
      </c>
      <c r="J4034" s="5">
        <v>150</v>
      </c>
      <c r="K4034" s="5">
        <v>711042</v>
      </c>
      <c r="L4034" s="5">
        <v>10061740</v>
      </c>
      <c r="M4034" s="5">
        <v>1578123.92</v>
      </c>
      <c r="N4034" s="5">
        <v>0.16819999999999999</v>
      </c>
      <c r="O4034" s="5">
        <v>15</v>
      </c>
      <c r="P4034" s="5">
        <v>625633</v>
      </c>
    </row>
    <row r="4035" spans="1:16" x14ac:dyDescent="0.3">
      <c r="A4035" s="5">
        <v>2</v>
      </c>
      <c r="B4035" s="5" t="s">
        <v>157</v>
      </c>
      <c r="C4035" s="5">
        <v>1</v>
      </c>
      <c r="D4035" s="5" t="s">
        <v>76</v>
      </c>
      <c r="E4035" s="5">
        <v>2024</v>
      </c>
      <c r="F4035" s="5">
        <v>12</v>
      </c>
      <c r="G4035" s="5" t="s">
        <v>69</v>
      </c>
      <c r="H4035" s="5">
        <v>9838112</v>
      </c>
      <c r="I4035" s="5">
        <v>7914910.4699999997</v>
      </c>
      <c r="J4035" s="5">
        <v>142</v>
      </c>
      <c r="K4035" s="5">
        <v>344985</v>
      </c>
      <c r="L4035" s="5">
        <v>10163300</v>
      </c>
      <c r="M4035" s="5">
        <v>1923201.53</v>
      </c>
      <c r="N4035" s="5">
        <v>0.19550000000000001</v>
      </c>
      <c r="O4035" s="5">
        <v>12</v>
      </c>
      <c r="P4035" s="5">
        <v>731860</v>
      </c>
    </row>
    <row r="4036" spans="1:16" x14ac:dyDescent="0.3">
      <c r="A4036" s="5">
        <v>10</v>
      </c>
      <c r="B4036" s="5" t="s">
        <v>158</v>
      </c>
      <c r="C4036" s="5">
        <v>3</v>
      </c>
      <c r="D4036" s="5" t="s">
        <v>85</v>
      </c>
      <c r="E4036" s="5">
        <v>2021</v>
      </c>
      <c r="F4036" s="5">
        <v>1</v>
      </c>
      <c r="G4036" s="5" t="s">
        <v>22</v>
      </c>
      <c r="H4036" s="5">
        <v>1674395</v>
      </c>
      <c r="I4036" s="5">
        <v>1456138.15</v>
      </c>
      <c r="J4036" s="5">
        <v>31</v>
      </c>
      <c r="K4036" s="5">
        <v>185971</v>
      </c>
      <c r="L4036" s="5">
        <v>1851920</v>
      </c>
      <c r="M4036" s="5">
        <v>218256.85</v>
      </c>
      <c r="N4036" s="5">
        <v>0.1303</v>
      </c>
      <c r="O4036" s="5">
        <v>4</v>
      </c>
      <c r="P4036" s="5">
        <v>21759</v>
      </c>
    </row>
    <row r="4037" spans="1:16" x14ac:dyDescent="0.3">
      <c r="A4037" s="5">
        <v>10</v>
      </c>
      <c r="B4037" s="5" t="s">
        <v>158</v>
      </c>
      <c r="C4037" s="5">
        <v>3</v>
      </c>
      <c r="D4037" s="5" t="s">
        <v>85</v>
      </c>
      <c r="E4037" s="5">
        <v>2021</v>
      </c>
      <c r="F4037" s="5">
        <v>2</v>
      </c>
      <c r="G4037" s="5" t="s">
        <v>23</v>
      </c>
      <c r="H4037" s="5">
        <v>2330442</v>
      </c>
      <c r="I4037" s="5">
        <v>2020716.18</v>
      </c>
      <c r="J4037" s="5">
        <v>31</v>
      </c>
      <c r="K4037" s="5">
        <v>284789</v>
      </c>
      <c r="L4037" s="5">
        <v>2602530</v>
      </c>
      <c r="M4037" s="5">
        <v>309725.82</v>
      </c>
      <c r="N4037" s="5">
        <v>0.13289999999999999</v>
      </c>
      <c r="O4037" s="5">
        <v>7</v>
      </c>
      <c r="P4037" s="5">
        <v>259256</v>
      </c>
    </row>
    <row r="4038" spans="1:16" x14ac:dyDescent="0.3">
      <c r="A4038" s="5">
        <v>10</v>
      </c>
      <c r="B4038" s="5" t="s">
        <v>158</v>
      </c>
      <c r="C4038" s="5">
        <v>3</v>
      </c>
      <c r="D4038" s="5" t="s">
        <v>85</v>
      </c>
      <c r="E4038" s="5">
        <v>2021</v>
      </c>
      <c r="F4038" s="5">
        <v>3</v>
      </c>
      <c r="G4038" s="5" t="s">
        <v>24</v>
      </c>
      <c r="H4038" s="5">
        <v>2586289</v>
      </c>
      <c r="I4038" s="5">
        <v>2147156.2000000002</v>
      </c>
      <c r="J4038" s="5">
        <v>40</v>
      </c>
      <c r="K4038" s="5">
        <v>175454</v>
      </c>
      <c r="L4038" s="5">
        <v>2754170</v>
      </c>
      <c r="M4038" s="5">
        <v>439132.8</v>
      </c>
      <c r="N4038" s="5">
        <v>0.16980000000000001</v>
      </c>
      <c r="O4038" s="5">
        <v>7</v>
      </c>
      <c r="P4038" s="5">
        <v>201954</v>
      </c>
    </row>
    <row r="4039" spans="1:16" x14ac:dyDescent="0.3">
      <c r="A4039" s="5">
        <v>10</v>
      </c>
      <c r="B4039" s="5" t="s">
        <v>158</v>
      </c>
      <c r="C4039" s="5">
        <v>3</v>
      </c>
      <c r="D4039" s="5" t="s">
        <v>85</v>
      </c>
      <c r="E4039" s="5">
        <v>2021</v>
      </c>
      <c r="F4039" s="5">
        <v>4</v>
      </c>
      <c r="G4039" s="5" t="s">
        <v>25</v>
      </c>
      <c r="H4039" s="5">
        <v>2529116</v>
      </c>
      <c r="I4039" s="5">
        <v>2102248.66</v>
      </c>
      <c r="J4039" s="5">
        <v>40</v>
      </c>
      <c r="K4039" s="5">
        <v>220580</v>
      </c>
      <c r="L4039" s="5">
        <v>2740010</v>
      </c>
      <c r="M4039" s="5">
        <v>426867.34</v>
      </c>
      <c r="N4039" s="5">
        <v>0.16880000000000001</v>
      </c>
      <c r="O4039" s="5">
        <v>1</v>
      </c>
      <c r="P4039" s="5">
        <v>2277</v>
      </c>
    </row>
    <row r="4040" spans="1:16" x14ac:dyDescent="0.3">
      <c r="A4040" s="5">
        <v>10</v>
      </c>
      <c r="B4040" s="5" t="s">
        <v>158</v>
      </c>
      <c r="C4040" s="5">
        <v>3</v>
      </c>
      <c r="D4040" s="5" t="s">
        <v>85</v>
      </c>
      <c r="E4040" s="5">
        <v>2021</v>
      </c>
      <c r="F4040" s="5">
        <v>5</v>
      </c>
      <c r="G4040" s="5" t="s">
        <v>26</v>
      </c>
      <c r="H4040" s="5">
        <v>2583310</v>
      </c>
      <c r="I4040" s="5">
        <v>2472821.7400000002</v>
      </c>
      <c r="J4040" s="5">
        <v>44</v>
      </c>
      <c r="K4040" s="5">
        <v>564834</v>
      </c>
      <c r="L4040" s="5">
        <v>3145700</v>
      </c>
      <c r="M4040" s="5">
        <v>110488.26</v>
      </c>
      <c r="N4040" s="5">
        <v>4.2799999999999998E-2</v>
      </c>
      <c r="O4040" s="5">
        <v>3</v>
      </c>
      <c r="P4040" s="5">
        <v>90760</v>
      </c>
    </row>
    <row r="4041" spans="1:16" x14ac:dyDescent="0.3">
      <c r="A4041" s="5">
        <v>10</v>
      </c>
      <c r="B4041" s="5" t="s">
        <v>158</v>
      </c>
      <c r="C4041" s="5">
        <v>3</v>
      </c>
      <c r="D4041" s="5" t="s">
        <v>85</v>
      </c>
      <c r="E4041" s="5">
        <v>2021</v>
      </c>
      <c r="F4041" s="5">
        <v>6</v>
      </c>
      <c r="G4041" s="5" t="s">
        <v>27</v>
      </c>
      <c r="H4041" s="5">
        <v>3086782</v>
      </c>
      <c r="I4041" s="5">
        <v>2860846.83</v>
      </c>
      <c r="J4041" s="5">
        <v>53</v>
      </c>
      <c r="K4041" s="5">
        <v>511710</v>
      </c>
      <c r="L4041" s="5">
        <v>3593390</v>
      </c>
      <c r="M4041" s="5">
        <v>225935.17</v>
      </c>
      <c r="N4041" s="5">
        <v>7.3200000000000001E-2</v>
      </c>
      <c r="O4041" s="5">
        <v>6</v>
      </c>
      <c r="P4041" s="5">
        <v>104097</v>
      </c>
    </row>
    <row r="4042" spans="1:16" x14ac:dyDescent="0.3">
      <c r="A4042" s="5">
        <v>10</v>
      </c>
      <c r="B4042" s="5" t="s">
        <v>158</v>
      </c>
      <c r="C4042" s="5">
        <v>3</v>
      </c>
      <c r="D4042" s="5" t="s">
        <v>85</v>
      </c>
      <c r="E4042" s="5">
        <v>2021</v>
      </c>
      <c r="F4042" s="5">
        <v>7</v>
      </c>
      <c r="G4042" s="5" t="s">
        <v>28</v>
      </c>
      <c r="H4042" s="5">
        <v>2523392</v>
      </c>
      <c r="I4042" s="5">
        <v>2252490.31</v>
      </c>
      <c r="J4042" s="5">
        <v>43</v>
      </c>
      <c r="K4042" s="5">
        <v>362575</v>
      </c>
      <c r="L4042" s="5">
        <v>2875520</v>
      </c>
      <c r="M4042" s="5">
        <v>270901.69</v>
      </c>
      <c r="N4042" s="5">
        <v>0.1074</v>
      </c>
      <c r="O4042" s="5">
        <v>4</v>
      </c>
      <c r="P4042" s="5">
        <v>121341</v>
      </c>
    </row>
    <row r="4043" spans="1:16" x14ac:dyDescent="0.3">
      <c r="A4043" s="5">
        <v>10</v>
      </c>
      <c r="B4043" s="5" t="s">
        <v>158</v>
      </c>
      <c r="C4043" s="5">
        <v>3</v>
      </c>
      <c r="D4043" s="5" t="s">
        <v>85</v>
      </c>
      <c r="E4043" s="5">
        <v>2021</v>
      </c>
      <c r="F4043" s="5">
        <v>8</v>
      </c>
      <c r="G4043" s="5" t="s">
        <v>29</v>
      </c>
      <c r="H4043" s="5">
        <v>2760181</v>
      </c>
      <c r="I4043" s="5">
        <v>2343743.6</v>
      </c>
      <c r="J4043" s="5">
        <v>42</v>
      </c>
      <c r="K4043" s="5">
        <v>213118</v>
      </c>
      <c r="L4043" s="5">
        <v>2965260</v>
      </c>
      <c r="M4043" s="5">
        <v>416437.4</v>
      </c>
      <c r="N4043" s="5">
        <v>0.15090000000000001</v>
      </c>
      <c r="O4043" s="5">
        <v>7</v>
      </c>
      <c r="P4043" s="5">
        <v>67665</v>
      </c>
    </row>
    <row r="4044" spans="1:16" x14ac:dyDescent="0.3">
      <c r="A4044" s="5">
        <v>10</v>
      </c>
      <c r="B4044" s="5" t="s">
        <v>158</v>
      </c>
      <c r="C4044" s="5">
        <v>3</v>
      </c>
      <c r="D4044" s="5" t="s">
        <v>85</v>
      </c>
      <c r="E4044" s="5">
        <v>2021</v>
      </c>
      <c r="F4044" s="5">
        <v>9</v>
      </c>
      <c r="G4044" s="5" t="s">
        <v>30</v>
      </c>
      <c r="H4044" s="5">
        <v>1659311</v>
      </c>
      <c r="I4044" s="5">
        <v>1455163.86</v>
      </c>
      <c r="J4044" s="5">
        <v>38</v>
      </c>
      <c r="K4044" s="5">
        <v>242896</v>
      </c>
      <c r="L4044" s="5">
        <v>1895100</v>
      </c>
      <c r="M4044" s="5">
        <v>204147.14</v>
      </c>
      <c r="N4044" s="5">
        <v>0.123</v>
      </c>
      <c r="O4044" s="5">
        <v>2</v>
      </c>
      <c r="P4044" s="5">
        <v>2719</v>
      </c>
    </row>
    <row r="4045" spans="1:16" x14ac:dyDescent="0.3">
      <c r="A4045" s="5">
        <v>10</v>
      </c>
      <c r="B4045" s="5" t="s">
        <v>158</v>
      </c>
      <c r="C4045" s="5">
        <v>3</v>
      </c>
      <c r="D4045" s="5" t="s">
        <v>85</v>
      </c>
      <c r="E4045" s="5">
        <v>2021</v>
      </c>
      <c r="F4045" s="5">
        <v>10</v>
      </c>
      <c r="G4045" s="5" t="s">
        <v>31</v>
      </c>
      <c r="H4045" s="5">
        <v>3507447</v>
      </c>
      <c r="I4045" s="5">
        <v>2949274.12</v>
      </c>
      <c r="J4045" s="5">
        <v>48</v>
      </c>
      <c r="K4045" s="5">
        <v>293048</v>
      </c>
      <c r="L4045" s="5">
        <v>3790580</v>
      </c>
      <c r="M4045" s="5">
        <v>558172.88</v>
      </c>
      <c r="N4045" s="5">
        <v>0.15909999999999999</v>
      </c>
      <c r="O4045" s="5">
        <v>3</v>
      </c>
      <c r="P4045" s="5">
        <v>25459</v>
      </c>
    </row>
    <row r="4046" spans="1:16" x14ac:dyDescent="0.3">
      <c r="A4046" s="5">
        <v>10</v>
      </c>
      <c r="B4046" s="5" t="s">
        <v>158</v>
      </c>
      <c r="C4046" s="5">
        <v>3</v>
      </c>
      <c r="D4046" s="5" t="s">
        <v>85</v>
      </c>
      <c r="E4046" s="5">
        <v>2021</v>
      </c>
      <c r="F4046" s="5">
        <v>11</v>
      </c>
      <c r="G4046" s="5" t="s">
        <v>32</v>
      </c>
      <c r="H4046" s="5">
        <v>3447151</v>
      </c>
      <c r="I4046" s="5">
        <v>2889637.82</v>
      </c>
      <c r="J4046" s="5">
        <v>56</v>
      </c>
      <c r="K4046" s="5">
        <v>257938</v>
      </c>
      <c r="L4046" s="5">
        <v>3694820</v>
      </c>
      <c r="M4046" s="5">
        <v>557513.18000000005</v>
      </c>
      <c r="N4046" s="5">
        <v>0.16170000000000001</v>
      </c>
      <c r="O4046" s="5">
        <v>5</v>
      </c>
      <c r="P4046" s="5">
        <v>223937</v>
      </c>
    </row>
    <row r="4047" spans="1:16" x14ac:dyDescent="0.3">
      <c r="A4047" s="5">
        <v>10</v>
      </c>
      <c r="B4047" s="5" t="s">
        <v>158</v>
      </c>
      <c r="C4047" s="5">
        <v>3</v>
      </c>
      <c r="D4047" s="5" t="s">
        <v>85</v>
      </c>
      <c r="E4047" s="5">
        <v>2021</v>
      </c>
      <c r="F4047" s="5">
        <v>12</v>
      </c>
      <c r="G4047" s="5" t="s">
        <v>33</v>
      </c>
      <c r="H4047" s="5">
        <v>5322366</v>
      </c>
      <c r="I4047" s="5">
        <v>4505161.91</v>
      </c>
      <c r="J4047" s="5">
        <v>67</v>
      </c>
      <c r="K4047" s="5">
        <v>384509</v>
      </c>
      <c r="L4047" s="5">
        <v>5684130</v>
      </c>
      <c r="M4047" s="5">
        <v>817204.09</v>
      </c>
      <c r="N4047" s="5">
        <v>0.1535</v>
      </c>
      <c r="O4047" s="5">
        <v>5</v>
      </c>
      <c r="P4047" s="5">
        <v>148972</v>
      </c>
    </row>
    <row r="4048" spans="1:16" x14ac:dyDescent="0.3">
      <c r="A4048" s="5">
        <v>10</v>
      </c>
      <c r="B4048" s="5" t="s">
        <v>158</v>
      </c>
      <c r="C4048" s="5">
        <v>3</v>
      </c>
      <c r="D4048" s="5" t="s">
        <v>85</v>
      </c>
      <c r="E4048" s="5">
        <v>2022</v>
      </c>
      <c r="F4048" s="5">
        <v>1</v>
      </c>
      <c r="G4048" s="5" t="s">
        <v>34</v>
      </c>
      <c r="H4048" s="5">
        <v>3069270</v>
      </c>
      <c r="I4048" s="5">
        <v>2573194.67</v>
      </c>
      <c r="J4048" s="5">
        <v>50</v>
      </c>
      <c r="K4048" s="5">
        <v>203560</v>
      </c>
      <c r="L4048" s="5">
        <v>3266100</v>
      </c>
      <c r="M4048" s="5">
        <v>496075.33</v>
      </c>
      <c r="N4048" s="5">
        <v>0.16159999999999999</v>
      </c>
      <c r="O4048" s="5">
        <v>3</v>
      </c>
      <c r="P4048" s="5">
        <v>49233</v>
      </c>
    </row>
    <row r="4049" spans="1:16" x14ac:dyDescent="0.3">
      <c r="A4049" s="5">
        <v>10</v>
      </c>
      <c r="B4049" s="5" t="s">
        <v>158</v>
      </c>
      <c r="C4049" s="5">
        <v>3</v>
      </c>
      <c r="D4049" s="5" t="s">
        <v>85</v>
      </c>
      <c r="E4049" s="5">
        <v>2022</v>
      </c>
      <c r="F4049" s="5">
        <v>2</v>
      </c>
      <c r="G4049" s="5" t="s">
        <v>35</v>
      </c>
      <c r="H4049" s="5">
        <v>2888442</v>
      </c>
      <c r="I4049" s="5">
        <v>2485056.29</v>
      </c>
      <c r="J4049" s="5">
        <v>38</v>
      </c>
      <c r="K4049" s="5">
        <v>288904</v>
      </c>
      <c r="L4049" s="5">
        <v>3167670</v>
      </c>
      <c r="M4049" s="5">
        <v>403385.71</v>
      </c>
      <c r="N4049" s="5">
        <v>0.13969999999999999</v>
      </c>
      <c r="O4049" s="5">
        <v>4</v>
      </c>
      <c r="P4049" s="5">
        <v>44944</v>
      </c>
    </row>
    <row r="4050" spans="1:16" x14ac:dyDescent="0.3">
      <c r="A4050" s="5">
        <v>10</v>
      </c>
      <c r="B4050" s="5" t="s">
        <v>158</v>
      </c>
      <c r="C4050" s="5">
        <v>3</v>
      </c>
      <c r="D4050" s="5" t="s">
        <v>85</v>
      </c>
      <c r="E4050" s="5">
        <v>2022</v>
      </c>
      <c r="F4050" s="5">
        <v>3</v>
      </c>
      <c r="G4050" s="5" t="s">
        <v>36</v>
      </c>
      <c r="H4050" s="5">
        <v>2948003</v>
      </c>
      <c r="I4050" s="5">
        <v>2436560.34</v>
      </c>
      <c r="J4050" s="5">
        <v>54</v>
      </c>
      <c r="K4050" s="5">
        <v>271732</v>
      </c>
      <c r="L4050" s="5">
        <v>3207980</v>
      </c>
      <c r="M4050" s="5">
        <v>511442.66</v>
      </c>
      <c r="N4050" s="5">
        <v>0.17349999999999999</v>
      </c>
      <c r="O4050" s="5">
        <v>2</v>
      </c>
      <c r="P4050" s="5">
        <v>106760</v>
      </c>
    </row>
    <row r="4051" spans="1:16" x14ac:dyDescent="0.3">
      <c r="A4051" s="5">
        <v>10</v>
      </c>
      <c r="B4051" s="5" t="s">
        <v>158</v>
      </c>
      <c r="C4051" s="5">
        <v>3</v>
      </c>
      <c r="D4051" s="5" t="s">
        <v>85</v>
      </c>
      <c r="E4051" s="5">
        <v>2022</v>
      </c>
      <c r="F4051" s="5">
        <v>4</v>
      </c>
      <c r="G4051" s="5" t="s">
        <v>37</v>
      </c>
      <c r="H4051" s="5">
        <v>3990871</v>
      </c>
      <c r="I4051" s="5">
        <v>3308574.27</v>
      </c>
      <c r="J4051" s="5">
        <v>57</v>
      </c>
      <c r="K4051" s="5">
        <v>348084</v>
      </c>
      <c r="L4051" s="5">
        <v>4328120</v>
      </c>
      <c r="M4051" s="5">
        <v>682296.73</v>
      </c>
      <c r="N4051" s="5">
        <v>0.17100000000000001</v>
      </c>
      <c r="O4051" s="5">
        <v>4</v>
      </c>
      <c r="P4051" s="5">
        <v>129581</v>
      </c>
    </row>
    <row r="4052" spans="1:16" x14ac:dyDescent="0.3">
      <c r="A4052" s="5">
        <v>10</v>
      </c>
      <c r="B4052" s="5" t="s">
        <v>158</v>
      </c>
      <c r="C4052" s="5">
        <v>3</v>
      </c>
      <c r="D4052" s="5" t="s">
        <v>85</v>
      </c>
      <c r="E4052" s="5">
        <v>2022</v>
      </c>
      <c r="F4052" s="5">
        <v>5</v>
      </c>
      <c r="G4052" s="5" t="s">
        <v>38</v>
      </c>
      <c r="H4052" s="5">
        <v>3357496</v>
      </c>
      <c r="I4052" s="5">
        <v>2878710.81</v>
      </c>
      <c r="J4052" s="5">
        <v>62</v>
      </c>
      <c r="K4052" s="5">
        <v>448917</v>
      </c>
      <c r="L4052" s="5">
        <v>3793980</v>
      </c>
      <c r="M4052" s="5">
        <v>478785.19</v>
      </c>
      <c r="N4052" s="5">
        <v>0.1426</v>
      </c>
      <c r="O4052" s="5">
        <v>3</v>
      </c>
      <c r="P4052" s="5">
        <v>118761</v>
      </c>
    </row>
    <row r="4053" spans="1:16" x14ac:dyDescent="0.3">
      <c r="A4053" s="5">
        <v>10</v>
      </c>
      <c r="B4053" s="5" t="s">
        <v>158</v>
      </c>
      <c r="C4053" s="5">
        <v>3</v>
      </c>
      <c r="D4053" s="5" t="s">
        <v>85</v>
      </c>
      <c r="E4053" s="5">
        <v>2022</v>
      </c>
      <c r="F4053" s="5">
        <v>6</v>
      </c>
      <c r="G4053" s="5" t="s">
        <v>39</v>
      </c>
      <c r="H4053" s="5">
        <v>4795281</v>
      </c>
      <c r="I4053" s="5">
        <v>4408250.58</v>
      </c>
      <c r="J4053" s="5">
        <v>70</v>
      </c>
      <c r="K4053" s="5">
        <v>726496</v>
      </c>
      <c r="L4053" s="5">
        <v>5513400</v>
      </c>
      <c r="M4053" s="5">
        <v>387030.42</v>
      </c>
      <c r="N4053" s="5">
        <v>8.0699999999999994E-2</v>
      </c>
      <c r="O4053" s="5">
        <v>5</v>
      </c>
      <c r="P4053" s="5">
        <v>125597</v>
      </c>
    </row>
    <row r="4054" spans="1:16" x14ac:dyDescent="0.3">
      <c r="A4054" s="5">
        <v>10</v>
      </c>
      <c r="B4054" s="5" t="s">
        <v>158</v>
      </c>
      <c r="C4054" s="5">
        <v>3</v>
      </c>
      <c r="D4054" s="5" t="s">
        <v>85</v>
      </c>
      <c r="E4054" s="5">
        <v>2022</v>
      </c>
      <c r="F4054" s="5">
        <v>7</v>
      </c>
      <c r="G4054" s="5" t="s">
        <v>40</v>
      </c>
      <c r="H4054" s="5">
        <v>3689609</v>
      </c>
      <c r="I4054" s="5">
        <v>3110561.89</v>
      </c>
      <c r="J4054" s="5">
        <v>52</v>
      </c>
      <c r="K4054" s="5">
        <v>354295</v>
      </c>
      <c r="L4054" s="5">
        <v>4021790</v>
      </c>
      <c r="M4054" s="5">
        <v>579047.11</v>
      </c>
      <c r="N4054" s="5">
        <v>0.15690000000000001</v>
      </c>
      <c r="O4054" s="5">
        <v>6</v>
      </c>
      <c r="P4054" s="5">
        <v>98016</v>
      </c>
    </row>
    <row r="4055" spans="1:16" x14ac:dyDescent="0.3">
      <c r="A4055" s="5">
        <v>10</v>
      </c>
      <c r="B4055" s="5" t="s">
        <v>158</v>
      </c>
      <c r="C4055" s="5">
        <v>3</v>
      </c>
      <c r="D4055" s="5" t="s">
        <v>85</v>
      </c>
      <c r="E4055" s="5">
        <v>2022</v>
      </c>
      <c r="F4055" s="5">
        <v>8</v>
      </c>
      <c r="G4055" s="5" t="s">
        <v>41</v>
      </c>
      <c r="H4055" s="5">
        <v>3318122</v>
      </c>
      <c r="I4055" s="5">
        <v>3117483.54</v>
      </c>
      <c r="J4055" s="5">
        <v>63</v>
      </c>
      <c r="K4055" s="5">
        <v>658600</v>
      </c>
      <c r="L4055" s="5">
        <v>3962880</v>
      </c>
      <c r="M4055" s="5">
        <v>200638.46</v>
      </c>
      <c r="N4055" s="5">
        <v>6.0499999999999998E-2</v>
      </c>
      <c r="O4055" s="5">
        <v>4</v>
      </c>
      <c r="P4055" s="5">
        <v>203591</v>
      </c>
    </row>
    <row r="4056" spans="1:16" x14ac:dyDescent="0.3">
      <c r="A4056" s="5">
        <v>10</v>
      </c>
      <c r="B4056" s="5" t="s">
        <v>158</v>
      </c>
      <c r="C4056" s="5">
        <v>3</v>
      </c>
      <c r="D4056" s="5" t="s">
        <v>85</v>
      </c>
      <c r="E4056" s="5">
        <v>2022</v>
      </c>
      <c r="F4056" s="5">
        <v>9</v>
      </c>
      <c r="G4056" s="5" t="s">
        <v>42</v>
      </c>
      <c r="H4056" s="5">
        <v>3421704</v>
      </c>
      <c r="I4056" s="5">
        <v>3149833.77</v>
      </c>
      <c r="J4056" s="5">
        <v>53</v>
      </c>
      <c r="K4056" s="5">
        <v>550205</v>
      </c>
      <c r="L4056" s="5">
        <v>3965980</v>
      </c>
      <c r="M4056" s="5">
        <v>271870.23</v>
      </c>
      <c r="N4056" s="5">
        <v>7.9500000000000001E-2</v>
      </c>
      <c r="O4056" s="5">
        <v>4</v>
      </c>
      <c r="P4056" s="5">
        <v>27936</v>
      </c>
    </row>
    <row r="4057" spans="1:16" x14ac:dyDescent="0.3">
      <c r="A4057" s="5">
        <v>10</v>
      </c>
      <c r="B4057" s="5" t="s">
        <v>158</v>
      </c>
      <c r="C4057" s="5">
        <v>3</v>
      </c>
      <c r="D4057" s="5" t="s">
        <v>85</v>
      </c>
      <c r="E4057" s="5">
        <v>2022</v>
      </c>
      <c r="F4057" s="5">
        <v>10</v>
      </c>
      <c r="G4057" s="5" t="s">
        <v>43</v>
      </c>
      <c r="H4057" s="5">
        <v>5006681</v>
      </c>
      <c r="I4057" s="5">
        <v>4334584.57</v>
      </c>
      <c r="J4057" s="5">
        <v>85</v>
      </c>
      <c r="K4057" s="5">
        <v>614960</v>
      </c>
      <c r="L4057" s="5">
        <v>5595560</v>
      </c>
      <c r="M4057" s="5">
        <v>672096.43</v>
      </c>
      <c r="N4057" s="5">
        <v>0.13420000000000001</v>
      </c>
      <c r="O4057" s="5">
        <v>5</v>
      </c>
      <c r="P4057" s="5">
        <v>24678</v>
      </c>
    </row>
    <row r="4058" spans="1:16" x14ac:dyDescent="0.3">
      <c r="A4058" s="5">
        <v>10</v>
      </c>
      <c r="B4058" s="5" t="s">
        <v>158</v>
      </c>
      <c r="C4058" s="5">
        <v>3</v>
      </c>
      <c r="D4058" s="5" t="s">
        <v>85</v>
      </c>
      <c r="E4058" s="5">
        <v>2022</v>
      </c>
      <c r="F4058" s="5">
        <v>11</v>
      </c>
      <c r="G4058" s="5" t="s">
        <v>44</v>
      </c>
      <c r="H4058" s="5">
        <v>6130691</v>
      </c>
      <c r="I4058" s="5">
        <v>5328896.6500000004</v>
      </c>
      <c r="J4058" s="5">
        <v>83</v>
      </c>
      <c r="K4058" s="5">
        <v>731724</v>
      </c>
      <c r="L4058" s="5">
        <v>6846870</v>
      </c>
      <c r="M4058" s="5">
        <v>801794.35</v>
      </c>
      <c r="N4058" s="5">
        <v>0.1308</v>
      </c>
      <c r="O4058" s="5">
        <v>3</v>
      </c>
      <c r="P4058" s="5">
        <v>75026</v>
      </c>
    </row>
    <row r="4059" spans="1:16" x14ac:dyDescent="0.3">
      <c r="A4059" s="5">
        <v>10</v>
      </c>
      <c r="B4059" s="5" t="s">
        <v>158</v>
      </c>
      <c r="C4059" s="5">
        <v>3</v>
      </c>
      <c r="D4059" s="5" t="s">
        <v>85</v>
      </c>
      <c r="E4059" s="5">
        <v>2022</v>
      </c>
      <c r="F4059" s="5">
        <v>12</v>
      </c>
      <c r="G4059" s="5" t="s">
        <v>45</v>
      </c>
      <c r="H4059" s="5">
        <v>4093323</v>
      </c>
      <c r="I4059" s="5">
        <v>3298598.77</v>
      </c>
      <c r="J4059" s="5">
        <v>71</v>
      </c>
      <c r="K4059" s="5">
        <v>245284</v>
      </c>
      <c r="L4059" s="5">
        <v>4325510</v>
      </c>
      <c r="M4059" s="5">
        <v>794724.23</v>
      </c>
      <c r="N4059" s="5">
        <v>0.19420000000000001</v>
      </c>
      <c r="O4059" s="5">
        <v>6</v>
      </c>
      <c r="P4059" s="5">
        <v>64402</v>
      </c>
    </row>
    <row r="4060" spans="1:16" x14ac:dyDescent="0.3">
      <c r="A4060" s="5">
        <v>10</v>
      </c>
      <c r="B4060" s="5" t="s">
        <v>158</v>
      </c>
      <c r="C4060" s="5">
        <v>3</v>
      </c>
      <c r="D4060" s="5" t="s">
        <v>85</v>
      </c>
      <c r="E4060" s="5">
        <v>2023</v>
      </c>
      <c r="F4060" s="5">
        <v>1</v>
      </c>
      <c r="G4060" s="5" t="s">
        <v>46</v>
      </c>
      <c r="H4060" s="5">
        <v>4044139</v>
      </c>
      <c r="I4060" s="5">
        <v>3409740.96</v>
      </c>
      <c r="J4060" s="5">
        <v>70</v>
      </c>
      <c r="K4060" s="5">
        <v>423209</v>
      </c>
      <c r="L4060" s="5">
        <v>4449580</v>
      </c>
      <c r="M4060" s="5">
        <v>634398.04</v>
      </c>
      <c r="N4060" s="5">
        <v>0.15690000000000001</v>
      </c>
      <c r="O4060" s="5">
        <v>5</v>
      </c>
      <c r="P4060" s="5">
        <v>119472</v>
      </c>
    </row>
    <row r="4061" spans="1:16" x14ac:dyDescent="0.3">
      <c r="A4061" s="5">
        <v>10</v>
      </c>
      <c r="B4061" s="5" t="s">
        <v>158</v>
      </c>
      <c r="C4061" s="5">
        <v>3</v>
      </c>
      <c r="D4061" s="5" t="s">
        <v>85</v>
      </c>
      <c r="E4061" s="5">
        <v>2023</v>
      </c>
      <c r="F4061" s="5">
        <v>2</v>
      </c>
      <c r="G4061" s="5" t="s">
        <v>47</v>
      </c>
      <c r="H4061" s="5">
        <v>3929103</v>
      </c>
      <c r="I4061" s="5">
        <v>3413130.41</v>
      </c>
      <c r="J4061" s="5">
        <v>57</v>
      </c>
      <c r="K4061" s="5">
        <v>518687</v>
      </c>
      <c r="L4061" s="5">
        <v>4437520</v>
      </c>
      <c r="M4061" s="5">
        <v>515972.59</v>
      </c>
      <c r="N4061" s="5">
        <v>0.1313</v>
      </c>
      <c r="O4061" s="5">
        <v>5</v>
      </c>
      <c r="P4061" s="5">
        <v>80820</v>
      </c>
    </row>
    <row r="4062" spans="1:16" x14ac:dyDescent="0.3">
      <c r="A4062" s="5">
        <v>10</v>
      </c>
      <c r="B4062" s="5" t="s">
        <v>158</v>
      </c>
      <c r="C4062" s="5">
        <v>3</v>
      </c>
      <c r="D4062" s="5" t="s">
        <v>85</v>
      </c>
      <c r="E4062" s="5">
        <v>2023</v>
      </c>
      <c r="F4062" s="5">
        <v>3</v>
      </c>
      <c r="G4062" s="5" t="s">
        <v>48</v>
      </c>
      <c r="H4062" s="5">
        <v>4658501</v>
      </c>
      <c r="I4062" s="5">
        <v>3837565.92</v>
      </c>
      <c r="J4062" s="5">
        <v>72</v>
      </c>
      <c r="K4062" s="5">
        <v>350059</v>
      </c>
      <c r="L4062" s="5">
        <v>4987780</v>
      </c>
      <c r="M4062" s="5">
        <v>820935.08</v>
      </c>
      <c r="N4062" s="5">
        <v>0.1762</v>
      </c>
      <c r="O4062" s="5">
        <v>8</v>
      </c>
      <c r="P4062" s="5">
        <v>295291</v>
      </c>
    </row>
    <row r="4063" spans="1:16" x14ac:dyDescent="0.3">
      <c r="A4063" s="5">
        <v>10</v>
      </c>
      <c r="B4063" s="5" t="s">
        <v>158</v>
      </c>
      <c r="C4063" s="5">
        <v>3</v>
      </c>
      <c r="D4063" s="5" t="s">
        <v>85</v>
      </c>
      <c r="E4063" s="5">
        <v>2023</v>
      </c>
      <c r="F4063" s="5">
        <v>4</v>
      </c>
      <c r="G4063" s="5" t="s">
        <v>49</v>
      </c>
      <c r="H4063" s="5">
        <v>5385681</v>
      </c>
      <c r="I4063" s="5">
        <v>4779418.6500000004</v>
      </c>
      <c r="J4063" s="5">
        <v>70</v>
      </c>
      <c r="K4063" s="5">
        <v>757770</v>
      </c>
      <c r="L4063" s="5">
        <v>6133390</v>
      </c>
      <c r="M4063" s="5">
        <v>606262.35</v>
      </c>
      <c r="N4063" s="5">
        <v>0.11260000000000001</v>
      </c>
      <c r="O4063" s="5">
        <v>6</v>
      </c>
      <c r="P4063" s="5">
        <v>396822</v>
      </c>
    </row>
    <row r="4064" spans="1:16" x14ac:dyDescent="0.3">
      <c r="A4064" s="5">
        <v>10</v>
      </c>
      <c r="B4064" s="5" t="s">
        <v>158</v>
      </c>
      <c r="C4064" s="5">
        <v>3</v>
      </c>
      <c r="D4064" s="5" t="s">
        <v>85</v>
      </c>
      <c r="E4064" s="5">
        <v>2023</v>
      </c>
      <c r="F4064" s="5">
        <v>5</v>
      </c>
      <c r="G4064" s="5" t="s">
        <v>50</v>
      </c>
      <c r="H4064" s="5">
        <v>5660882</v>
      </c>
      <c r="I4064" s="5">
        <v>4805221.41</v>
      </c>
      <c r="J4064" s="5">
        <v>75</v>
      </c>
      <c r="K4064" s="5">
        <v>508009</v>
      </c>
      <c r="L4064" s="5">
        <v>6141900</v>
      </c>
      <c r="M4064" s="5">
        <v>855660.59</v>
      </c>
      <c r="N4064" s="5">
        <v>0.1512</v>
      </c>
      <c r="O4064" s="5">
        <v>7</v>
      </c>
      <c r="P4064" s="5">
        <v>313843</v>
      </c>
    </row>
    <row r="4065" spans="1:16" x14ac:dyDescent="0.3">
      <c r="A4065" s="5">
        <v>10</v>
      </c>
      <c r="B4065" s="5" t="s">
        <v>158</v>
      </c>
      <c r="C4065" s="5">
        <v>3</v>
      </c>
      <c r="D4065" s="5" t="s">
        <v>85</v>
      </c>
      <c r="E4065" s="5">
        <v>2023</v>
      </c>
      <c r="F4065" s="5">
        <v>6</v>
      </c>
      <c r="G4065" s="5" t="s">
        <v>51</v>
      </c>
      <c r="H4065" s="5">
        <v>4246391</v>
      </c>
      <c r="I4065" s="5">
        <v>3604523.51</v>
      </c>
      <c r="J4065" s="5">
        <v>53</v>
      </c>
      <c r="K4065" s="5">
        <v>442124</v>
      </c>
      <c r="L4065" s="5">
        <v>4674750</v>
      </c>
      <c r="M4065" s="5">
        <v>641867.49</v>
      </c>
      <c r="N4065" s="5">
        <v>0.1512</v>
      </c>
      <c r="O4065" s="5">
        <v>8</v>
      </c>
      <c r="P4065" s="5">
        <v>344396</v>
      </c>
    </row>
    <row r="4066" spans="1:16" x14ac:dyDescent="0.3">
      <c r="A4066" s="5">
        <v>10</v>
      </c>
      <c r="B4066" s="5" t="s">
        <v>158</v>
      </c>
      <c r="C4066" s="5">
        <v>3</v>
      </c>
      <c r="D4066" s="5" t="s">
        <v>85</v>
      </c>
      <c r="E4066" s="5">
        <v>2023</v>
      </c>
      <c r="F4066" s="5">
        <v>7</v>
      </c>
      <c r="G4066" s="5" t="s">
        <v>52</v>
      </c>
      <c r="H4066" s="5">
        <v>4160096</v>
      </c>
      <c r="I4066" s="5">
        <v>3588087.1</v>
      </c>
      <c r="J4066" s="5">
        <v>53</v>
      </c>
      <c r="K4066" s="5">
        <v>380673</v>
      </c>
      <c r="L4066" s="5">
        <v>4522790</v>
      </c>
      <c r="M4066" s="5">
        <v>572008.9</v>
      </c>
      <c r="N4066" s="5">
        <v>0.13750000000000001</v>
      </c>
      <c r="O4066" s="5">
        <v>7</v>
      </c>
      <c r="P4066" s="5">
        <v>327144</v>
      </c>
    </row>
    <row r="4067" spans="1:16" x14ac:dyDescent="0.3">
      <c r="A4067" s="5">
        <v>10</v>
      </c>
      <c r="B4067" s="5" t="s">
        <v>158</v>
      </c>
      <c r="C4067" s="5">
        <v>3</v>
      </c>
      <c r="D4067" s="5" t="s">
        <v>85</v>
      </c>
      <c r="E4067" s="5">
        <v>2023</v>
      </c>
      <c r="F4067" s="5">
        <v>8</v>
      </c>
      <c r="G4067" s="5" t="s">
        <v>53</v>
      </c>
      <c r="H4067" s="5">
        <v>4022309</v>
      </c>
      <c r="I4067" s="5">
        <v>3647149.74</v>
      </c>
      <c r="J4067" s="5">
        <v>70</v>
      </c>
      <c r="K4067" s="5">
        <v>604515</v>
      </c>
      <c r="L4067" s="5">
        <v>4619400</v>
      </c>
      <c r="M4067" s="5">
        <v>375159.26</v>
      </c>
      <c r="N4067" s="5">
        <v>9.3299999999999994E-2</v>
      </c>
      <c r="O4067" s="5">
        <v>8</v>
      </c>
      <c r="P4067" s="5">
        <v>278598</v>
      </c>
    </row>
    <row r="4068" spans="1:16" x14ac:dyDescent="0.3">
      <c r="A4068" s="5">
        <v>10</v>
      </c>
      <c r="B4068" s="5" t="s">
        <v>158</v>
      </c>
      <c r="C4068" s="5">
        <v>3</v>
      </c>
      <c r="D4068" s="5" t="s">
        <v>85</v>
      </c>
      <c r="E4068" s="5">
        <v>2023</v>
      </c>
      <c r="F4068" s="5">
        <v>9</v>
      </c>
      <c r="G4068" s="5" t="s">
        <v>54</v>
      </c>
      <c r="H4068" s="5">
        <v>4305049</v>
      </c>
      <c r="I4068" s="5">
        <v>3828659.28</v>
      </c>
      <c r="J4068" s="5">
        <v>74</v>
      </c>
      <c r="K4068" s="5">
        <v>651616</v>
      </c>
      <c r="L4068" s="5">
        <v>4940820</v>
      </c>
      <c r="M4068" s="5">
        <v>476389.72</v>
      </c>
      <c r="N4068" s="5">
        <v>0.11070000000000001</v>
      </c>
      <c r="O4068" s="5">
        <v>10</v>
      </c>
      <c r="P4068" s="5">
        <v>255353</v>
      </c>
    </row>
    <row r="4069" spans="1:16" x14ac:dyDescent="0.3">
      <c r="A4069" s="5">
        <v>10</v>
      </c>
      <c r="B4069" s="5" t="s">
        <v>158</v>
      </c>
      <c r="C4069" s="5">
        <v>3</v>
      </c>
      <c r="D4069" s="5" t="s">
        <v>85</v>
      </c>
      <c r="E4069" s="5">
        <v>2023</v>
      </c>
      <c r="F4069" s="5">
        <v>10</v>
      </c>
      <c r="G4069" s="5" t="s">
        <v>55</v>
      </c>
      <c r="H4069" s="5">
        <v>7411142</v>
      </c>
      <c r="I4069" s="5">
        <v>6432582.6699999999</v>
      </c>
      <c r="J4069" s="5">
        <v>106</v>
      </c>
      <c r="K4069" s="5">
        <v>794218</v>
      </c>
      <c r="L4069" s="5">
        <v>8182990</v>
      </c>
      <c r="M4069" s="5">
        <v>978559.33</v>
      </c>
      <c r="N4069" s="5">
        <v>0.13200000000000001</v>
      </c>
      <c r="O4069" s="5">
        <v>9</v>
      </c>
      <c r="P4069" s="5">
        <v>169253</v>
      </c>
    </row>
    <row r="4070" spans="1:16" x14ac:dyDescent="0.3">
      <c r="A4070" s="5">
        <v>10</v>
      </c>
      <c r="B4070" s="5" t="s">
        <v>158</v>
      </c>
      <c r="C4070" s="5">
        <v>3</v>
      </c>
      <c r="D4070" s="5" t="s">
        <v>85</v>
      </c>
      <c r="E4070" s="5">
        <v>2023</v>
      </c>
      <c r="F4070" s="5">
        <v>11</v>
      </c>
      <c r="G4070" s="5" t="s">
        <v>56</v>
      </c>
      <c r="H4070" s="5">
        <v>7335732</v>
      </c>
      <c r="I4070" s="5">
        <v>6448526.3799999999</v>
      </c>
      <c r="J4070" s="5">
        <v>97</v>
      </c>
      <c r="K4070" s="5">
        <v>1056445</v>
      </c>
      <c r="L4070" s="5">
        <v>8365420</v>
      </c>
      <c r="M4070" s="5">
        <v>887205.62</v>
      </c>
      <c r="N4070" s="5">
        <v>0.12089999999999999</v>
      </c>
      <c r="O4070" s="5">
        <v>8</v>
      </c>
      <c r="P4070" s="5">
        <v>147016</v>
      </c>
    </row>
    <row r="4071" spans="1:16" x14ac:dyDescent="0.3">
      <c r="A4071" s="5">
        <v>10</v>
      </c>
      <c r="B4071" s="5" t="s">
        <v>158</v>
      </c>
      <c r="C4071" s="5">
        <v>3</v>
      </c>
      <c r="D4071" s="5" t="s">
        <v>85</v>
      </c>
      <c r="E4071" s="5">
        <v>2023</v>
      </c>
      <c r="F4071" s="5">
        <v>12</v>
      </c>
      <c r="G4071" s="5" t="s">
        <v>57</v>
      </c>
      <c r="H4071" s="5">
        <v>4607948</v>
      </c>
      <c r="I4071" s="5">
        <v>4187468.94</v>
      </c>
      <c r="J4071" s="5">
        <v>94</v>
      </c>
      <c r="K4071" s="5">
        <v>892974</v>
      </c>
      <c r="L4071" s="5">
        <v>5491570</v>
      </c>
      <c r="M4071" s="5">
        <v>420479.06</v>
      </c>
      <c r="N4071" s="5">
        <v>9.1300000000000006E-2</v>
      </c>
      <c r="O4071" s="5">
        <v>17</v>
      </c>
      <c r="P4071" s="5">
        <v>194718</v>
      </c>
    </row>
    <row r="4072" spans="1:16" x14ac:dyDescent="0.3">
      <c r="A4072" s="5">
        <v>10</v>
      </c>
      <c r="B4072" s="5" t="s">
        <v>158</v>
      </c>
      <c r="C4072" s="5">
        <v>3</v>
      </c>
      <c r="D4072" s="5" t="s">
        <v>85</v>
      </c>
      <c r="E4072" s="5">
        <v>2024</v>
      </c>
      <c r="F4072" s="5">
        <v>1</v>
      </c>
      <c r="G4072" s="5" t="s">
        <v>58</v>
      </c>
      <c r="H4072" s="5">
        <v>4555345</v>
      </c>
      <c r="I4072" s="5">
        <v>3862074.04</v>
      </c>
      <c r="J4072" s="5">
        <v>64</v>
      </c>
      <c r="K4072" s="5">
        <v>360731</v>
      </c>
      <c r="L4072" s="5">
        <v>4890590</v>
      </c>
      <c r="M4072" s="5">
        <v>693270.96</v>
      </c>
      <c r="N4072" s="5">
        <v>0.1522</v>
      </c>
      <c r="O4072" s="5">
        <v>10</v>
      </c>
      <c r="P4072" s="5">
        <v>297072</v>
      </c>
    </row>
    <row r="4073" spans="1:16" x14ac:dyDescent="0.3">
      <c r="A4073" s="5">
        <v>10</v>
      </c>
      <c r="B4073" s="5" t="s">
        <v>158</v>
      </c>
      <c r="C4073" s="5">
        <v>3</v>
      </c>
      <c r="D4073" s="5" t="s">
        <v>85</v>
      </c>
      <c r="E4073" s="5">
        <v>2024</v>
      </c>
      <c r="F4073" s="5">
        <v>2</v>
      </c>
      <c r="G4073" s="5" t="s">
        <v>59</v>
      </c>
      <c r="H4073" s="5">
        <v>5374661</v>
      </c>
      <c r="I4073" s="5">
        <v>4626664.7</v>
      </c>
      <c r="J4073" s="5">
        <v>75</v>
      </c>
      <c r="K4073" s="5">
        <v>624778</v>
      </c>
      <c r="L4073" s="5">
        <v>5986950</v>
      </c>
      <c r="M4073" s="5">
        <v>747996.3</v>
      </c>
      <c r="N4073" s="5">
        <v>0.13919999999999999</v>
      </c>
      <c r="O4073" s="5">
        <v>3</v>
      </c>
      <c r="P4073" s="5">
        <v>166843</v>
      </c>
    </row>
    <row r="4074" spans="1:16" x14ac:dyDescent="0.3">
      <c r="A4074" s="5">
        <v>10</v>
      </c>
      <c r="B4074" s="5" t="s">
        <v>158</v>
      </c>
      <c r="C4074" s="5">
        <v>3</v>
      </c>
      <c r="D4074" s="5" t="s">
        <v>85</v>
      </c>
      <c r="E4074" s="5">
        <v>2024</v>
      </c>
      <c r="F4074" s="5">
        <v>3</v>
      </c>
      <c r="G4074" s="5" t="s">
        <v>60</v>
      </c>
      <c r="H4074" s="5">
        <v>4164121</v>
      </c>
      <c r="I4074" s="5">
        <v>3531053.35</v>
      </c>
      <c r="J4074" s="5">
        <v>63</v>
      </c>
      <c r="K4074" s="5">
        <v>403972</v>
      </c>
      <c r="L4074" s="5">
        <v>4554160</v>
      </c>
      <c r="M4074" s="5">
        <v>633067.65</v>
      </c>
      <c r="N4074" s="5">
        <v>0.152</v>
      </c>
      <c r="O4074" s="5">
        <v>2</v>
      </c>
      <c r="P4074" s="5">
        <v>391064</v>
      </c>
    </row>
    <row r="4075" spans="1:16" x14ac:dyDescent="0.3">
      <c r="A4075" s="5">
        <v>10</v>
      </c>
      <c r="B4075" s="5" t="s">
        <v>158</v>
      </c>
      <c r="C4075" s="5">
        <v>3</v>
      </c>
      <c r="D4075" s="5" t="s">
        <v>85</v>
      </c>
      <c r="E4075" s="5">
        <v>2024</v>
      </c>
      <c r="F4075" s="5">
        <v>4</v>
      </c>
      <c r="G4075" s="5" t="s">
        <v>61</v>
      </c>
      <c r="H4075" s="5">
        <v>4539717</v>
      </c>
      <c r="I4075" s="5">
        <v>3928330.69</v>
      </c>
      <c r="J4075" s="5">
        <v>83</v>
      </c>
      <c r="K4075" s="5">
        <v>484257</v>
      </c>
      <c r="L4075" s="5">
        <v>5010210</v>
      </c>
      <c r="M4075" s="5">
        <v>611386.31000000006</v>
      </c>
      <c r="N4075" s="5">
        <v>0.13469999999999999</v>
      </c>
      <c r="O4075" s="5">
        <v>5</v>
      </c>
      <c r="P4075" s="5">
        <v>84984</v>
      </c>
    </row>
    <row r="4076" spans="1:16" x14ac:dyDescent="0.3">
      <c r="A4076" s="5">
        <v>10</v>
      </c>
      <c r="B4076" s="5" t="s">
        <v>158</v>
      </c>
      <c r="C4076" s="5">
        <v>3</v>
      </c>
      <c r="D4076" s="5" t="s">
        <v>85</v>
      </c>
      <c r="E4076" s="5">
        <v>2024</v>
      </c>
      <c r="F4076" s="5">
        <v>5</v>
      </c>
      <c r="G4076" s="5" t="s">
        <v>62</v>
      </c>
      <c r="H4076" s="5">
        <v>6754840</v>
      </c>
      <c r="I4076" s="5">
        <v>6078492.04</v>
      </c>
      <c r="J4076" s="5">
        <v>92</v>
      </c>
      <c r="K4076" s="5">
        <v>961214</v>
      </c>
      <c r="L4076" s="5">
        <v>7707210</v>
      </c>
      <c r="M4076" s="5">
        <v>676347.96</v>
      </c>
      <c r="N4076" s="5">
        <v>0.10009999999999999</v>
      </c>
      <c r="O4076" s="5">
        <v>5</v>
      </c>
      <c r="P4076" s="5">
        <v>89505</v>
      </c>
    </row>
    <row r="4077" spans="1:16" x14ac:dyDescent="0.3">
      <c r="A4077" s="5">
        <v>10</v>
      </c>
      <c r="B4077" s="5" t="s">
        <v>158</v>
      </c>
      <c r="C4077" s="5">
        <v>3</v>
      </c>
      <c r="D4077" s="5" t="s">
        <v>85</v>
      </c>
      <c r="E4077" s="5">
        <v>2024</v>
      </c>
      <c r="F4077" s="5">
        <v>6</v>
      </c>
      <c r="G4077" s="5" t="s">
        <v>63</v>
      </c>
      <c r="H4077" s="5">
        <v>6679898</v>
      </c>
      <c r="I4077" s="5">
        <v>5568309.5</v>
      </c>
      <c r="J4077" s="5">
        <v>86</v>
      </c>
      <c r="K4077" s="5">
        <v>467622</v>
      </c>
      <c r="L4077" s="5">
        <v>7127630</v>
      </c>
      <c r="M4077" s="5">
        <v>1111588.5</v>
      </c>
      <c r="N4077" s="5">
        <v>0.16639999999999999</v>
      </c>
      <c r="O4077" s="5">
        <v>4</v>
      </c>
      <c r="P4077" s="5">
        <v>50380</v>
      </c>
    </row>
    <row r="4078" spans="1:16" x14ac:dyDescent="0.3">
      <c r="A4078" s="5">
        <v>10</v>
      </c>
      <c r="B4078" s="5" t="s">
        <v>158</v>
      </c>
      <c r="C4078" s="5">
        <v>3</v>
      </c>
      <c r="D4078" s="5" t="s">
        <v>85</v>
      </c>
      <c r="E4078" s="5">
        <v>2024</v>
      </c>
      <c r="F4078" s="5">
        <v>7</v>
      </c>
      <c r="G4078" s="5" t="s">
        <v>64</v>
      </c>
      <c r="H4078" s="5">
        <v>4299900</v>
      </c>
      <c r="I4078" s="5">
        <v>3519553.59</v>
      </c>
      <c r="J4078" s="5">
        <v>76</v>
      </c>
      <c r="K4078" s="5">
        <v>295677</v>
      </c>
      <c r="L4078" s="5">
        <v>4577360</v>
      </c>
      <c r="M4078" s="5">
        <v>780346.41</v>
      </c>
      <c r="N4078" s="5">
        <v>0.18149999999999999</v>
      </c>
      <c r="O4078" s="5">
        <v>3</v>
      </c>
      <c r="P4078" s="5">
        <v>67136</v>
      </c>
    </row>
    <row r="4079" spans="1:16" x14ac:dyDescent="0.3">
      <c r="A4079" s="5">
        <v>10</v>
      </c>
      <c r="B4079" s="5" t="s">
        <v>158</v>
      </c>
      <c r="C4079" s="5">
        <v>3</v>
      </c>
      <c r="D4079" s="5" t="s">
        <v>85</v>
      </c>
      <c r="E4079" s="5">
        <v>2024</v>
      </c>
      <c r="F4079" s="5">
        <v>8</v>
      </c>
      <c r="G4079" s="5" t="s">
        <v>65</v>
      </c>
      <c r="H4079" s="5">
        <v>5032002</v>
      </c>
      <c r="I4079" s="5">
        <v>4289371.34</v>
      </c>
      <c r="J4079" s="5">
        <v>81</v>
      </c>
      <c r="K4079" s="5">
        <v>494868</v>
      </c>
      <c r="L4079" s="5">
        <v>5508460</v>
      </c>
      <c r="M4079" s="5">
        <v>742630.66</v>
      </c>
      <c r="N4079" s="5">
        <v>0.14760000000000001</v>
      </c>
      <c r="O4079" s="5">
        <v>6</v>
      </c>
      <c r="P4079" s="5">
        <v>26940</v>
      </c>
    </row>
    <row r="4080" spans="1:16" x14ac:dyDescent="0.3">
      <c r="A4080" s="5">
        <v>10</v>
      </c>
      <c r="B4080" s="5" t="s">
        <v>158</v>
      </c>
      <c r="C4080" s="5">
        <v>3</v>
      </c>
      <c r="D4080" s="5" t="s">
        <v>85</v>
      </c>
      <c r="E4080" s="5">
        <v>2024</v>
      </c>
      <c r="F4080" s="5">
        <v>9</v>
      </c>
      <c r="G4080" s="5" t="s">
        <v>66</v>
      </c>
      <c r="H4080" s="5">
        <v>5930800</v>
      </c>
      <c r="I4080" s="5">
        <v>4913263.54</v>
      </c>
      <c r="J4080" s="5">
        <v>101</v>
      </c>
      <c r="K4080" s="5">
        <v>392338</v>
      </c>
      <c r="L4080" s="5">
        <v>6308640</v>
      </c>
      <c r="M4080" s="5">
        <v>1017536.46</v>
      </c>
      <c r="N4080" s="5">
        <v>0.1716</v>
      </c>
      <c r="O4080" s="5">
        <v>9</v>
      </c>
      <c r="P4080" s="5">
        <v>300648</v>
      </c>
    </row>
    <row r="4081" spans="1:16" x14ac:dyDescent="0.3">
      <c r="A4081" s="5">
        <v>10</v>
      </c>
      <c r="B4081" s="5" t="s">
        <v>158</v>
      </c>
      <c r="C4081" s="5">
        <v>3</v>
      </c>
      <c r="D4081" s="5" t="s">
        <v>85</v>
      </c>
      <c r="E4081" s="5">
        <v>2024</v>
      </c>
      <c r="F4081" s="5">
        <v>10</v>
      </c>
      <c r="G4081" s="5" t="s">
        <v>67</v>
      </c>
      <c r="H4081" s="5">
        <v>8058845</v>
      </c>
      <c r="I4081" s="5">
        <v>6344973.7300000004</v>
      </c>
      <c r="J4081" s="5">
        <v>109</v>
      </c>
      <c r="K4081" s="5">
        <v>178116</v>
      </c>
      <c r="L4081" s="5">
        <v>8180400</v>
      </c>
      <c r="M4081" s="5">
        <v>1713871.27</v>
      </c>
      <c r="N4081" s="5">
        <v>0.2127</v>
      </c>
      <c r="O4081" s="5">
        <v>8</v>
      </c>
      <c r="P4081" s="5">
        <v>66592</v>
      </c>
    </row>
    <row r="4082" spans="1:16" x14ac:dyDescent="0.3">
      <c r="A4082" s="5">
        <v>10</v>
      </c>
      <c r="B4082" s="5" t="s">
        <v>158</v>
      </c>
      <c r="C4082" s="5">
        <v>3</v>
      </c>
      <c r="D4082" s="5" t="s">
        <v>85</v>
      </c>
      <c r="E4082" s="5">
        <v>2024</v>
      </c>
      <c r="F4082" s="5">
        <v>11</v>
      </c>
      <c r="G4082" s="5" t="s">
        <v>68</v>
      </c>
      <c r="H4082" s="5">
        <v>8664085</v>
      </c>
      <c r="I4082" s="5">
        <v>7249855.8399999999</v>
      </c>
      <c r="J4082" s="5">
        <v>125</v>
      </c>
      <c r="K4082" s="5">
        <v>746663</v>
      </c>
      <c r="L4082" s="5">
        <v>9394350</v>
      </c>
      <c r="M4082" s="5">
        <v>1414229.16</v>
      </c>
      <c r="N4082" s="5">
        <v>0.16320000000000001</v>
      </c>
      <c r="O4082" s="5">
        <v>8</v>
      </c>
      <c r="P4082" s="5">
        <v>235321</v>
      </c>
    </row>
    <row r="4083" spans="1:16" x14ac:dyDescent="0.3">
      <c r="A4083" s="5">
        <v>10</v>
      </c>
      <c r="B4083" s="5" t="s">
        <v>158</v>
      </c>
      <c r="C4083" s="5">
        <v>3</v>
      </c>
      <c r="D4083" s="5" t="s">
        <v>85</v>
      </c>
      <c r="E4083" s="5">
        <v>2024</v>
      </c>
      <c r="F4083" s="5">
        <v>12</v>
      </c>
      <c r="G4083" s="5" t="s">
        <v>69</v>
      </c>
      <c r="H4083" s="5">
        <v>7173774</v>
      </c>
      <c r="I4083" s="5">
        <v>5737691.1200000001</v>
      </c>
      <c r="J4083" s="5">
        <v>101</v>
      </c>
      <c r="K4083" s="5">
        <v>250689</v>
      </c>
      <c r="L4083" s="5">
        <v>7410420</v>
      </c>
      <c r="M4083" s="5">
        <v>1436082.88</v>
      </c>
      <c r="N4083" s="5">
        <v>0.20019999999999999</v>
      </c>
      <c r="O4083" s="5">
        <v>6</v>
      </c>
      <c r="P4083" s="5">
        <v>46065</v>
      </c>
    </row>
    <row r="4084" spans="1:16" x14ac:dyDescent="0.3">
      <c r="A4084" s="5">
        <v>18</v>
      </c>
      <c r="B4084" s="5" t="s">
        <v>159</v>
      </c>
      <c r="C4084" s="5">
        <v>4</v>
      </c>
      <c r="D4084" s="5" t="s">
        <v>78</v>
      </c>
      <c r="E4084" s="5">
        <v>2021</v>
      </c>
      <c r="F4084" s="5">
        <v>1</v>
      </c>
      <c r="G4084" s="5" t="s">
        <v>22</v>
      </c>
      <c r="H4084" s="5">
        <v>66135</v>
      </c>
      <c r="I4084" s="5">
        <v>52107.839999999997</v>
      </c>
      <c r="J4084" s="5">
        <v>2</v>
      </c>
      <c r="K4084" s="5">
        <v>667</v>
      </c>
      <c r="L4084" s="5">
        <v>66520</v>
      </c>
      <c r="M4084" s="5">
        <v>14027.16</v>
      </c>
      <c r="N4084" s="5">
        <v>0.21210000000000001</v>
      </c>
      <c r="O4084" s="5">
        <v>0</v>
      </c>
      <c r="P4084" s="5">
        <v>0</v>
      </c>
    </row>
    <row r="4085" spans="1:16" x14ac:dyDescent="0.3">
      <c r="A4085" s="5">
        <v>120</v>
      </c>
      <c r="B4085" s="5" t="s">
        <v>159</v>
      </c>
      <c r="C4085" s="5">
        <v>4</v>
      </c>
      <c r="D4085" s="5" t="s">
        <v>78</v>
      </c>
      <c r="E4085" s="5">
        <v>2021</v>
      </c>
      <c r="F4085" s="5">
        <v>1</v>
      </c>
      <c r="G4085" s="5" t="s">
        <v>22</v>
      </c>
      <c r="H4085" s="5">
        <v>498876</v>
      </c>
      <c r="I4085" s="5">
        <v>452411.6</v>
      </c>
      <c r="J4085" s="5">
        <v>10</v>
      </c>
      <c r="K4085" s="5">
        <v>82994</v>
      </c>
      <c r="L4085" s="5">
        <v>576540</v>
      </c>
      <c r="M4085" s="5">
        <v>46464.4</v>
      </c>
      <c r="N4085" s="5">
        <v>9.3100000000000002E-2</v>
      </c>
      <c r="O4085" s="5">
        <v>0</v>
      </c>
      <c r="P4085" s="5">
        <v>0</v>
      </c>
    </row>
    <row r="4086" spans="1:16" x14ac:dyDescent="0.3">
      <c r="A4086" s="5">
        <v>18</v>
      </c>
      <c r="B4086" s="5" t="s">
        <v>159</v>
      </c>
      <c r="C4086" s="5">
        <v>4</v>
      </c>
      <c r="D4086" s="5" t="s">
        <v>78</v>
      </c>
      <c r="E4086" s="5">
        <v>2021</v>
      </c>
      <c r="F4086" s="5">
        <v>2</v>
      </c>
      <c r="G4086" s="5" t="s">
        <v>23</v>
      </c>
      <c r="H4086" s="5">
        <v>207328</v>
      </c>
      <c r="I4086" s="5">
        <v>212431.39</v>
      </c>
      <c r="J4086" s="5">
        <v>3</v>
      </c>
      <c r="K4086" s="5">
        <v>50632</v>
      </c>
      <c r="L4086" s="5">
        <v>257960</v>
      </c>
      <c r="M4086" s="5">
        <v>-5103.3900000000003</v>
      </c>
      <c r="N4086" s="5">
        <v>-2.46E-2</v>
      </c>
      <c r="O4086" s="5">
        <v>0</v>
      </c>
      <c r="P4086" s="5">
        <v>0</v>
      </c>
    </row>
    <row r="4087" spans="1:16" x14ac:dyDescent="0.3">
      <c r="A4087" s="5">
        <v>120</v>
      </c>
      <c r="B4087" s="5" t="s">
        <v>159</v>
      </c>
      <c r="C4087" s="5">
        <v>4</v>
      </c>
      <c r="D4087" s="5" t="s">
        <v>78</v>
      </c>
      <c r="E4087" s="5">
        <v>2021</v>
      </c>
      <c r="F4087" s="5">
        <v>2</v>
      </c>
      <c r="G4087" s="5" t="s">
        <v>23</v>
      </c>
      <c r="H4087" s="5">
        <v>224263</v>
      </c>
      <c r="I4087" s="5">
        <v>173211.48</v>
      </c>
      <c r="J4087" s="5">
        <v>8</v>
      </c>
      <c r="K4087" s="5">
        <v>19369</v>
      </c>
      <c r="L4087" s="5">
        <v>242550</v>
      </c>
      <c r="M4087" s="5">
        <v>51051.519999999997</v>
      </c>
      <c r="N4087" s="5">
        <v>0.2276</v>
      </c>
      <c r="O4087" s="5">
        <v>1</v>
      </c>
      <c r="P4087" s="5">
        <v>5004</v>
      </c>
    </row>
    <row r="4088" spans="1:16" x14ac:dyDescent="0.3">
      <c r="A4088" s="5">
        <v>18</v>
      </c>
      <c r="B4088" s="5" t="s">
        <v>159</v>
      </c>
      <c r="C4088" s="5">
        <v>4</v>
      </c>
      <c r="D4088" s="5" t="s">
        <v>78</v>
      </c>
      <c r="E4088" s="5">
        <v>2021</v>
      </c>
      <c r="F4088" s="5">
        <v>3</v>
      </c>
      <c r="G4088" s="5" t="s">
        <v>24</v>
      </c>
      <c r="H4088" s="5">
        <v>222933</v>
      </c>
      <c r="I4088" s="5">
        <v>190095.85</v>
      </c>
      <c r="J4088" s="5">
        <v>7</v>
      </c>
      <c r="K4088" s="5">
        <v>27996</v>
      </c>
      <c r="L4088" s="5">
        <v>250860</v>
      </c>
      <c r="M4088" s="5">
        <v>32837.15</v>
      </c>
      <c r="N4088" s="5">
        <v>0.14729999999999999</v>
      </c>
      <c r="O4088" s="5">
        <v>0</v>
      </c>
      <c r="P4088" s="5">
        <v>0</v>
      </c>
    </row>
    <row r="4089" spans="1:16" x14ac:dyDescent="0.3">
      <c r="A4089" s="5">
        <v>120</v>
      </c>
      <c r="B4089" s="5" t="s">
        <v>159</v>
      </c>
      <c r="C4089" s="5">
        <v>4</v>
      </c>
      <c r="D4089" s="5" t="s">
        <v>78</v>
      </c>
      <c r="E4089" s="5">
        <v>2021</v>
      </c>
      <c r="F4089" s="5">
        <v>3</v>
      </c>
      <c r="G4089" s="5" t="s">
        <v>24</v>
      </c>
      <c r="H4089" s="5">
        <v>521373</v>
      </c>
      <c r="I4089" s="5">
        <v>430765.55</v>
      </c>
      <c r="J4089" s="5">
        <v>5</v>
      </c>
      <c r="K4089" s="5">
        <v>24871</v>
      </c>
      <c r="L4089" s="5">
        <v>544580</v>
      </c>
      <c r="M4089" s="5">
        <v>90607.45</v>
      </c>
      <c r="N4089" s="5">
        <v>0.17380000000000001</v>
      </c>
      <c r="O4089" s="5">
        <v>0</v>
      </c>
      <c r="P4089" s="5">
        <v>0</v>
      </c>
    </row>
    <row r="4090" spans="1:16" x14ac:dyDescent="0.3">
      <c r="A4090" s="5">
        <v>18</v>
      </c>
      <c r="B4090" s="5" t="s">
        <v>159</v>
      </c>
      <c r="C4090" s="5">
        <v>4</v>
      </c>
      <c r="D4090" s="5" t="s">
        <v>78</v>
      </c>
      <c r="E4090" s="5">
        <v>2021</v>
      </c>
      <c r="F4090" s="5">
        <v>4</v>
      </c>
      <c r="G4090" s="5" t="s">
        <v>25</v>
      </c>
      <c r="H4090" s="5">
        <v>118224</v>
      </c>
      <c r="I4090" s="5">
        <v>132806.46</v>
      </c>
      <c r="J4090" s="5">
        <v>1</v>
      </c>
      <c r="K4090" s="5">
        <v>48476</v>
      </c>
      <c r="L4090" s="5">
        <v>166700</v>
      </c>
      <c r="M4090" s="5">
        <v>-14582.46</v>
      </c>
      <c r="N4090" s="5">
        <v>-0.12330000000000001</v>
      </c>
      <c r="O4090" s="5">
        <v>0</v>
      </c>
      <c r="P4090" s="5">
        <v>0</v>
      </c>
    </row>
    <row r="4091" spans="1:16" x14ac:dyDescent="0.3">
      <c r="A4091" s="5">
        <v>120</v>
      </c>
      <c r="B4091" s="5" t="s">
        <v>159</v>
      </c>
      <c r="C4091" s="5">
        <v>4</v>
      </c>
      <c r="D4091" s="5" t="s">
        <v>78</v>
      </c>
      <c r="E4091" s="5">
        <v>2021</v>
      </c>
      <c r="F4091" s="5">
        <v>4</v>
      </c>
      <c r="G4091" s="5" t="s">
        <v>25</v>
      </c>
      <c r="H4091" s="5">
        <v>1030150</v>
      </c>
      <c r="I4091" s="5">
        <v>949850.06</v>
      </c>
      <c r="J4091" s="5">
        <v>10</v>
      </c>
      <c r="K4091" s="5">
        <v>230879</v>
      </c>
      <c r="L4091" s="5">
        <v>1257750</v>
      </c>
      <c r="M4091" s="5">
        <v>80299.94</v>
      </c>
      <c r="N4091" s="5">
        <v>7.7899999999999997E-2</v>
      </c>
      <c r="O4091" s="5">
        <v>3</v>
      </c>
      <c r="P4091" s="5">
        <v>77673</v>
      </c>
    </row>
    <row r="4092" spans="1:16" x14ac:dyDescent="0.3">
      <c r="A4092" s="5">
        <v>18</v>
      </c>
      <c r="B4092" s="5" t="s">
        <v>159</v>
      </c>
      <c r="C4092" s="5">
        <v>4</v>
      </c>
      <c r="D4092" s="5" t="s">
        <v>78</v>
      </c>
      <c r="E4092" s="5">
        <v>2021</v>
      </c>
      <c r="F4092" s="5">
        <v>5</v>
      </c>
      <c r="G4092" s="5" t="s">
        <v>26</v>
      </c>
      <c r="H4092" s="5">
        <v>557541</v>
      </c>
      <c r="I4092" s="5">
        <v>527638.91</v>
      </c>
      <c r="J4092" s="5">
        <v>7</v>
      </c>
      <c r="K4092" s="5">
        <v>106006</v>
      </c>
      <c r="L4092" s="5">
        <v>662720</v>
      </c>
      <c r="M4092" s="5">
        <v>29902.09</v>
      </c>
      <c r="N4092" s="5">
        <v>5.3600000000000002E-2</v>
      </c>
      <c r="O4092" s="5">
        <v>0</v>
      </c>
      <c r="P4092" s="5">
        <v>0</v>
      </c>
    </row>
    <row r="4093" spans="1:16" x14ac:dyDescent="0.3">
      <c r="A4093" s="5">
        <v>120</v>
      </c>
      <c r="B4093" s="5" t="s">
        <v>159</v>
      </c>
      <c r="C4093" s="5">
        <v>4</v>
      </c>
      <c r="D4093" s="5" t="s">
        <v>78</v>
      </c>
      <c r="E4093" s="5">
        <v>2021</v>
      </c>
      <c r="F4093" s="5">
        <v>5</v>
      </c>
      <c r="G4093" s="5" t="s">
        <v>26</v>
      </c>
      <c r="H4093" s="5">
        <v>719315</v>
      </c>
      <c r="I4093" s="5">
        <v>635401.1</v>
      </c>
      <c r="J4093" s="5">
        <v>8</v>
      </c>
      <c r="K4093" s="5">
        <v>35415</v>
      </c>
      <c r="L4093" s="5">
        <v>751650</v>
      </c>
      <c r="M4093" s="5">
        <v>83913.9</v>
      </c>
      <c r="N4093" s="5">
        <v>0.1167</v>
      </c>
      <c r="O4093" s="5">
        <v>1</v>
      </c>
      <c r="P4093" s="5">
        <v>135396</v>
      </c>
    </row>
    <row r="4094" spans="1:16" x14ac:dyDescent="0.3">
      <c r="A4094" s="5">
        <v>18</v>
      </c>
      <c r="B4094" s="5" t="s">
        <v>159</v>
      </c>
      <c r="C4094" s="5">
        <v>4</v>
      </c>
      <c r="D4094" s="5" t="s">
        <v>78</v>
      </c>
      <c r="E4094" s="5">
        <v>2021</v>
      </c>
      <c r="F4094" s="5">
        <v>6</v>
      </c>
      <c r="G4094" s="5" t="s">
        <v>27</v>
      </c>
      <c r="H4094" s="5">
        <v>31786</v>
      </c>
      <c r="I4094" s="5">
        <v>33560.559999999998</v>
      </c>
      <c r="J4094" s="5">
        <v>2</v>
      </c>
      <c r="K4094" s="5">
        <v>12464</v>
      </c>
      <c r="L4094" s="5">
        <v>44250</v>
      </c>
      <c r="M4094" s="5">
        <v>-1774.56</v>
      </c>
      <c r="N4094" s="5">
        <v>-5.5800000000000002E-2</v>
      </c>
      <c r="O4094" s="5">
        <v>0</v>
      </c>
      <c r="P4094" s="5">
        <v>0</v>
      </c>
    </row>
    <row r="4095" spans="1:16" x14ac:dyDescent="0.3">
      <c r="A4095" s="5">
        <v>120</v>
      </c>
      <c r="B4095" s="5" t="s">
        <v>159</v>
      </c>
      <c r="C4095" s="5">
        <v>4</v>
      </c>
      <c r="D4095" s="5" t="s">
        <v>78</v>
      </c>
      <c r="E4095" s="5">
        <v>2021</v>
      </c>
      <c r="F4095" s="5">
        <v>6</v>
      </c>
      <c r="G4095" s="5" t="s">
        <v>27</v>
      </c>
      <c r="H4095" s="5">
        <v>520828</v>
      </c>
      <c r="I4095" s="5">
        <v>453244.84</v>
      </c>
      <c r="J4095" s="5">
        <v>12</v>
      </c>
      <c r="K4095" s="5">
        <v>92384</v>
      </c>
      <c r="L4095" s="5">
        <v>611830</v>
      </c>
      <c r="M4095" s="5">
        <v>67583.16</v>
      </c>
      <c r="N4095" s="5">
        <v>0.1298</v>
      </c>
      <c r="O4095" s="5">
        <v>2</v>
      </c>
      <c r="P4095" s="5">
        <v>2735</v>
      </c>
    </row>
    <row r="4096" spans="1:16" x14ac:dyDescent="0.3">
      <c r="A4096" s="5">
        <v>18</v>
      </c>
      <c r="B4096" s="5" t="s">
        <v>159</v>
      </c>
      <c r="C4096" s="5">
        <v>4</v>
      </c>
      <c r="D4096" s="5" t="s">
        <v>78</v>
      </c>
      <c r="E4096" s="5">
        <v>2021</v>
      </c>
      <c r="F4096" s="5">
        <v>7</v>
      </c>
      <c r="G4096" s="5" t="s">
        <v>28</v>
      </c>
      <c r="H4096" s="5">
        <v>396983</v>
      </c>
      <c r="I4096" s="5">
        <v>350437.06</v>
      </c>
      <c r="J4096" s="5">
        <v>4</v>
      </c>
      <c r="K4096" s="5">
        <v>59591</v>
      </c>
      <c r="L4096" s="5">
        <v>455710</v>
      </c>
      <c r="M4096" s="5">
        <v>46545.94</v>
      </c>
      <c r="N4096" s="5">
        <v>0.1172</v>
      </c>
      <c r="O4096" s="5">
        <v>0</v>
      </c>
      <c r="P4096" s="5">
        <v>0</v>
      </c>
    </row>
    <row r="4097" spans="1:16" x14ac:dyDescent="0.3">
      <c r="A4097" s="5">
        <v>120</v>
      </c>
      <c r="B4097" s="5" t="s">
        <v>159</v>
      </c>
      <c r="C4097" s="5">
        <v>4</v>
      </c>
      <c r="D4097" s="5" t="s">
        <v>78</v>
      </c>
      <c r="E4097" s="5">
        <v>2021</v>
      </c>
      <c r="F4097" s="5">
        <v>7</v>
      </c>
      <c r="G4097" s="5" t="s">
        <v>28</v>
      </c>
      <c r="H4097" s="5">
        <v>732537</v>
      </c>
      <c r="I4097" s="5">
        <v>665080.07999999996</v>
      </c>
      <c r="J4097" s="5">
        <v>20</v>
      </c>
      <c r="K4097" s="5">
        <v>151840</v>
      </c>
      <c r="L4097" s="5">
        <v>881340</v>
      </c>
      <c r="M4097" s="5">
        <v>67456.92</v>
      </c>
      <c r="N4097" s="5">
        <v>9.2100000000000001E-2</v>
      </c>
      <c r="O4097" s="5">
        <v>3</v>
      </c>
      <c r="P4097" s="5">
        <v>95633</v>
      </c>
    </row>
    <row r="4098" spans="1:16" x14ac:dyDescent="0.3">
      <c r="A4098" s="5">
        <v>18</v>
      </c>
      <c r="B4098" s="5" t="s">
        <v>159</v>
      </c>
      <c r="C4098" s="5">
        <v>4</v>
      </c>
      <c r="D4098" s="5" t="s">
        <v>78</v>
      </c>
      <c r="E4098" s="5">
        <v>2021</v>
      </c>
      <c r="F4098" s="5">
        <v>8</v>
      </c>
      <c r="G4098" s="5" t="s">
        <v>29</v>
      </c>
      <c r="H4098" s="5">
        <v>302802</v>
      </c>
      <c r="I4098" s="5">
        <v>243082.3</v>
      </c>
      <c r="J4098" s="5">
        <v>5</v>
      </c>
      <c r="K4098" s="5">
        <v>33228</v>
      </c>
      <c r="L4098" s="5">
        <v>336030</v>
      </c>
      <c r="M4098" s="5">
        <v>59719.7</v>
      </c>
      <c r="N4098" s="5">
        <v>0.19719999999999999</v>
      </c>
      <c r="O4098" s="5">
        <v>0</v>
      </c>
      <c r="P4098" s="5">
        <v>0</v>
      </c>
    </row>
    <row r="4099" spans="1:16" x14ac:dyDescent="0.3">
      <c r="A4099" s="5">
        <v>120</v>
      </c>
      <c r="B4099" s="5" t="s">
        <v>159</v>
      </c>
      <c r="C4099" s="5">
        <v>4</v>
      </c>
      <c r="D4099" s="5" t="s">
        <v>78</v>
      </c>
      <c r="E4099" s="5">
        <v>2021</v>
      </c>
      <c r="F4099" s="5">
        <v>8</v>
      </c>
      <c r="G4099" s="5" t="s">
        <v>29</v>
      </c>
      <c r="H4099" s="5">
        <v>812592</v>
      </c>
      <c r="I4099" s="5">
        <v>670101.39</v>
      </c>
      <c r="J4099" s="5">
        <v>8</v>
      </c>
      <c r="K4099" s="5">
        <v>61036</v>
      </c>
      <c r="L4099" s="5">
        <v>872160</v>
      </c>
      <c r="M4099" s="5">
        <v>142490.60999999999</v>
      </c>
      <c r="N4099" s="5">
        <v>0.1754</v>
      </c>
      <c r="O4099" s="5">
        <v>0</v>
      </c>
      <c r="P4099" s="5">
        <v>0</v>
      </c>
    </row>
    <row r="4100" spans="1:16" x14ac:dyDescent="0.3">
      <c r="A4100" s="5">
        <v>18</v>
      </c>
      <c r="B4100" s="5" t="s">
        <v>159</v>
      </c>
      <c r="C4100" s="5">
        <v>4</v>
      </c>
      <c r="D4100" s="5" t="s">
        <v>78</v>
      </c>
      <c r="E4100" s="5">
        <v>2021</v>
      </c>
      <c r="F4100" s="5">
        <v>9</v>
      </c>
      <c r="G4100" s="5" t="s">
        <v>30</v>
      </c>
      <c r="H4100" s="5">
        <v>132633</v>
      </c>
      <c r="I4100" s="5">
        <v>106976.37</v>
      </c>
      <c r="J4100" s="5">
        <v>3</v>
      </c>
      <c r="K4100" s="5">
        <v>6287</v>
      </c>
      <c r="L4100" s="5">
        <v>138510</v>
      </c>
      <c r="M4100" s="5">
        <v>25656.63</v>
      </c>
      <c r="N4100" s="5">
        <v>0.19339999999999999</v>
      </c>
      <c r="O4100" s="5">
        <v>0</v>
      </c>
      <c r="P4100" s="5">
        <v>0</v>
      </c>
    </row>
    <row r="4101" spans="1:16" x14ac:dyDescent="0.3">
      <c r="A4101" s="5">
        <v>120</v>
      </c>
      <c r="B4101" s="5" t="s">
        <v>159</v>
      </c>
      <c r="C4101" s="5">
        <v>4</v>
      </c>
      <c r="D4101" s="5" t="s">
        <v>78</v>
      </c>
      <c r="E4101" s="5">
        <v>2021</v>
      </c>
      <c r="F4101" s="5">
        <v>9</v>
      </c>
      <c r="G4101" s="5" t="s">
        <v>30</v>
      </c>
      <c r="H4101" s="5">
        <v>948418</v>
      </c>
      <c r="I4101" s="5">
        <v>797713.43</v>
      </c>
      <c r="J4101" s="5">
        <v>15</v>
      </c>
      <c r="K4101" s="5">
        <v>105403</v>
      </c>
      <c r="L4101" s="5">
        <v>1050590</v>
      </c>
      <c r="M4101" s="5">
        <v>150704.57</v>
      </c>
      <c r="N4101" s="5">
        <v>0.15890000000000001</v>
      </c>
      <c r="O4101" s="5">
        <v>2</v>
      </c>
      <c r="P4101" s="5">
        <v>11982</v>
      </c>
    </row>
    <row r="4102" spans="1:16" x14ac:dyDescent="0.3">
      <c r="A4102" s="5">
        <v>18</v>
      </c>
      <c r="B4102" s="5" t="s">
        <v>159</v>
      </c>
      <c r="C4102" s="5">
        <v>4</v>
      </c>
      <c r="D4102" s="5" t="s">
        <v>78</v>
      </c>
      <c r="E4102" s="5">
        <v>2021</v>
      </c>
      <c r="F4102" s="5">
        <v>10</v>
      </c>
      <c r="G4102" s="5" t="s">
        <v>31</v>
      </c>
      <c r="H4102" s="5">
        <v>341678</v>
      </c>
      <c r="I4102" s="5">
        <v>279859.73</v>
      </c>
      <c r="J4102" s="5">
        <v>9</v>
      </c>
      <c r="K4102" s="5">
        <v>13729</v>
      </c>
      <c r="L4102" s="5">
        <v>355240</v>
      </c>
      <c r="M4102" s="5">
        <v>61818.27</v>
      </c>
      <c r="N4102" s="5">
        <v>0.18090000000000001</v>
      </c>
      <c r="O4102" s="5">
        <v>1</v>
      </c>
      <c r="P4102" s="5">
        <v>168922</v>
      </c>
    </row>
    <row r="4103" spans="1:16" x14ac:dyDescent="0.3">
      <c r="A4103" s="5">
        <v>120</v>
      </c>
      <c r="B4103" s="5" t="s">
        <v>159</v>
      </c>
      <c r="C4103" s="5">
        <v>4</v>
      </c>
      <c r="D4103" s="5" t="s">
        <v>78</v>
      </c>
      <c r="E4103" s="5">
        <v>2021</v>
      </c>
      <c r="F4103" s="5">
        <v>10</v>
      </c>
      <c r="G4103" s="5" t="s">
        <v>31</v>
      </c>
      <c r="H4103" s="5">
        <v>1006110</v>
      </c>
      <c r="I4103" s="5">
        <v>816103.61</v>
      </c>
      <c r="J4103" s="5">
        <v>16</v>
      </c>
      <c r="K4103" s="5">
        <v>59169</v>
      </c>
      <c r="L4103" s="5">
        <v>1059680</v>
      </c>
      <c r="M4103" s="5">
        <v>190006.39</v>
      </c>
      <c r="N4103" s="5">
        <v>0.18890000000000001</v>
      </c>
      <c r="O4103" s="5">
        <v>2</v>
      </c>
      <c r="P4103" s="5">
        <v>45529</v>
      </c>
    </row>
    <row r="4104" spans="1:16" x14ac:dyDescent="0.3">
      <c r="A4104" s="5">
        <v>18</v>
      </c>
      <c r="B4104" s="5" t="s">
        <v>159</v>
      </c>
      <c r="C4104" s="5">
        <v>4</v>
      </c>
      <c r="D4104" s="5" t="s">
        <v>78</v>
      </c>
      <c r="E4104" s="5">
        <v>2021</v>
      </c>
      <c r="F4104" s="5">
        <v>11</v>
      </c>
      <c r="G4104" s="5" t="s">
        <v>32</v>
      </c>
      <c r="H4104" s="5">
        <v>605369</v>
      </c>
      <c r="I4104" s="5">
        <v>512464.21</v>
      </c>
      <c r="J4104" s="5">
        <v>8</v>
      </c>
      <c r="K4104" s="5">
        <v>47389</v>
      </c>
      <c r="L4104" s="5">
        <v>651030</v>
      </c>
      <c r="M4104" s="5">
        <v>92904.79</v>
      </c>
      <c r="N4104" s="5">
        <v>0.1535</v>
      </c>
      <c r="O4104" s="5">
        <v>1</v>
      </c>
      <c r="P4104" s="5">
        <v>142985</v>
      </c>
    </row>
    <row r="4105" spans="1:16" x14ac:dyDescent="0.3">
      <c r="A4105" s="5">
        <v>120</v>
      </c>
      <c r="B4105" s="5" t="s">
        <v>159</v>
      </c>
      <c r="C4105" s="5">
        <v>4</v>
      </c>
      <c r="D4105" s="5" t="s">
        <v>78</v>
      </c>
      <c r="E4105" s="5">
        <v>2021</v>
      </c>
      <c r="F4105" s="5">
        <v>11</v>
      </c>
      <c r="G4105" s="5" t="s">
        <v>32</v>
      </c>
      <c r="H4105" s="5">
        <v>758460</v>
      </c>
      <c r="I4105" s="5">
        <v>618582.76</v>
      </c>
      <c r="J4105" s="5">
        <v>9</v>
      </c>
      <c r="K4105" s="5">
        <v>19433</v>
      </c>
      <c r="L4105" s="5">
        <v>771420</v>
      </c>
      <c r="M4105" s="5">
        <v>139877.24</v>
      </c>
      <c r="N4105" s="5">
        <v>0.18440000000000001</v>
      </c>
      <c r="O4105" s="5">
        <v>0</v>
      </c>
      <c r="P4105" s="5">
        <v>0</v>
      </c>
    </row>
    <row r="4106" spans="1:16" x14ac:dyDescent="0.3">
      <c r="A4106" s="5">
        <v>18</v>
      </c>
      <c r="B4106" s="5" t="s">
        <v>159</v>
      </c>
      <c r="C4106" s="5">
        <v>4</v>
      </c>
      <c r="D4106" s="5" t="s">
        <v>78</v>
      </c>
      <c r="E4106" s="5">
        <v>2021</v>
      </c>
      <c r="F4106" s="5">
        <v>12</v>
      </c>
      <c r="G4106" s="5" t="s">
        <v>33</v>
      </c>
      <c r="H4106" s="5">
        <v>620182</v>
      </c>
      <c r="I4106" s="5">
        <v>572123.65</v>
      </c>
      <c r="J4106" s="5">
        <v>8</v>
      </c>
      <c r="K4106" s="5">
        <v>97400</v>
      </c>
      <c r="L4106" s="5">
        <v>717270</v>
      </c>
      <c r="M4106" s="5">
        <v>48058.35</v>
      </c>
      <c r="N4106" s="5">
        <v>7.7499999999999999E-2</v>
      </c>
      <c r="O4106" s="5">
        <v>0</v>
      </c>
      <c r="P4106" s="5">
        <v>0</v>
      </c>
    </row>
    <row r="4107" spans="1:16" x14ac:dyDescent="0.3">
      <c r="A4107" s="5">
        <v>120</v>
      </c>
      <c r="B4107" s="5" t="s">
        <v>159</v>
      </c>
      <c r="C4107" s="5">
        <v>4</v>
      </c>
      <c r="D4107" s="5" t="s">
        <v>78</v>
      </c>
      <c r="E4107" s="5">
        <v>2021</v>
      </c>
      <c r="F4107" s="5">
        <v>12</v>
      </c>
      <c r="G4107" s="5" t="s">
        <v>33</v>
      </c>
      <c r="H4107" s="5">
        <v>1452618</v>
      </c>
      <c r="I4107" s="5">
        <v>1179831.6000000001</v>
      </c>
      <c r="J4107" s="5">
        <v>17</v>
      </c>
      <c r="K4107" s="5">
        <v>50778</v>
      </c>
      <c r="L4107" s="5">
        <v>1498420</v>
      </c>
      <c r="M4107" s="5">
        <v>272786.40000000002</v>
      </c>
      <c r="N4107" s="5">
        <v>0.18779999999999999</v>
      </c>
      <c r="O4107" s="5">
        <v>4</v>
      </c>
      <c r="P4107" s="5">
        <v>289960</v>
      </c>
    </row>
    <row r="4108" spans="1:16" x14ac:dyDescent="0.3">
      <c r="A4108" s="5">
        <v>18</v>
      </c>
      <c r="B4108" s="5" t="s">
        <v>159</v>
      </c>
      <c r="C4108" s="5">
        <v>4</v>
      </c>
      <c r="D4108" s="5" t="s">
        <v>78</v>
      </c>
      <c r="E4108" s="5">
        <v>2022</v>
      </c>
      <c r="F4108" s="5">
        <v>1</v>
      </c>
      <c r="G4108" s="5" t="s">
        <v>34</v>
      </c>
      <c r="H4108" s="5">
        <v>452834</v>
      </c>
      <c r="I4108" s="5">
        <v>353596.85</v>
      </c>
      <c r="J4108" s="5">
        <v>5</v>
      </c>
      <c r="K4108" s="5">
        <v>7720</v>
      </c>
      <c r="L4108" s="5">
        <v>457380</v>
      </c>
      <c r="M4108" s="5">
        <v>99237.15</v>
      </c>
      <c r="N4108" s="5">
        <v>0.21909999999999999</v>
      </c>
      <c r="O4108" s="5">
        <v>0</v>
      </c>
      <c r="P4108" s="5">
        <v>0</v>
      </c>
    </row>
    <row r="4109" spans="1:16" x14ac:dyDescent="0.3">
      <c r="A4109" s="5">
        <v>120</v>
      </c>
      <c r="B4109" s="5" t="s">
        <v>159</v>
      </c>
      <c r="C4109" s="5">
        <v>4</v>
      </c>
      <c r="D4109" s="5" t="s">
        <v>78</v>
      </c>
      <c r="E4109" s="5">
        <v>2022</v>
      </c>
      <c r="F4109" s="5">
        <v>1</v>
      </c>
      <c r="G4109" s="5" t="s">
        <v>34</v>
      </c>
      <c r="H4109" s="5">
        <v>537646</v>
      </c>
      <c r="I4109" s="5">
        <v>500659.85</v>
      </c>
      <c r="J4109" s="5">
        <v>8</v>
      </c>
      <c r="K4109" s="5">
        <v>97466</v>
      </c>
      <c r="L4109" s="5">
        <v>634000</v>
      </c>
      <c r="M4109" s="5">
        <v>36986.15</v>
      </c>
      <c r="N4109" s="5">
        <v>6.88E-2</v>
      </c>
      <c r="O4109" s="5">
        <v>1</v>
      </c>
      <c r="P4109" s="5">
        <v>119800</v>
      </c>
    </row>
    <row r="4110" spans="1:16" x14ac:dyDescent="0.3">
      <c r="A4110" s="5">
        <v>18</v>
      </c>
      <c r="B4110" s="5" t="s">
        <v>159</v>
      </c>
      <c r="C4110" s="5">
        <v>4</v>
      </c>
      <c r="D4110" s="5" t="s">
        <v>78</v>
      </c>
      <c r="E4110" s="5">
        <v>2022</v>
      </c>
      <c r="F4110" s="5">
        <v>2</v>
      </c>
      <c r="G4110" s="5" t="s">
        <v>35</v>
      </c>
      <c r="H4110" s="5">
        <v>706544</v>
      </c>
      <c r="I4110" s="5">
        <v>564039.68999999994</v>
      </c>
      <c r="J4110" s="5">
        <v>5</v>
      </c>
      <c r="K4110" s="5">
        <v>24850</v>
      </c>
      <c r="L4110" s="5">
        <v>730240</v>
      </c>
      <c r="M4110" s="5">
        <v>142504.31</v>
      </c>
      <c r="N4110" s="5">
        <v>0.20169999999999999</v>
      </c>
      <c r="O4110" s="5">
        <v>0</v>
      </c>
      <c r="P4110" s="5">
        <v>0</v>
      </c>
    </row>
    <row r="4111" spans="1:16" x14ac:dyDescent="0.3">
      <c r="A4111" s="5">
        <v>120</v>
      </c>
      <c r="B4111" s="5" t="s">
        <v>159</v>
      </c>
      <c r="C4111" s="5">
        <v>4</v>
      </c>
      <c r="D4111" s="5" t="s">
        <v>78</v>
      </c>
      <c r="E4111" s="5">
        <v>2022</v>
      </c>
      <c r="F4111" s="5">
        <v>2</v>
      </c>
      <c r="G4111" s="5" t="s">
        <v>35</v>
      </c>
      <c r="H4111" s="5">
        <v>446099</v>
      </c>
      <c r="I4111" s="5">
        <v>387208.8</v>
      </c>
      <c r="J4111" s="5">
        <v>6</v>
      </c>
      <c r="K4111" s="5">
        <v>50788</v>
      </c>
      <c r="L4111" s="5">
        <v>496720</v>
      </c>
      <c r="M4111" s="5">
        <v>58890.2</v>
      </c>
      <c r="N4111" s="5">
        <v>0.13200000000000001</v>
      </c>
      <c r="O4111" s="5">
        <v>0</v>
      </c>
      <c r="P4111" s="5">
        <v>0</v>
      </c>
    </row>
    <row r="4112" spans="1:16" x14ac:dyDescent="0.3">
      <c r="A4112" s="5">
        <v>18</v>
      </c>
      <c r="B4112" s="5" t="s">
        <v>159</v>
      </c>
      <c r="C4112" s="5">
        <v>4</v>
      </c>
      <c r="D4112" s="5" t="s">
        <v>78</v>
      </c>
      <c r="E4112" s="5">
        <v>2022</v>
      </c>
      <c r="F4112" s="5">
        <v>3</v>
      </c>
      <c r="G4112" s="5" t="s">
        <v>36</v>
      </c>
      <c r="H4112" s="5">
        <v>340339</v>
      </c>
      <c r="I4112" s="5">
        <v>297957.39</v>
      </c>
      <c r="J4112" s="5">
        <v>4</v>
      </c>
      <c r="K4112" s="5">
        <v>27803</v>
      </c>
      <c r="L4112" s="5">
        <v>366210</v>
      </c>
      <c r="M4112" s="5">
        <v>42381.61</v>
      </c>
      <c r="N4112" s="5">
        <v>0.1245</v>
      </c>
      <c r="O4112" s="5">
        <v>0</v>
      </c>
      <c r="P4112" s="5">
        <v>0</v>
      </c>
    </row>
    <row r="4113" spans="1:16" x14ac:dyDescent="0.3">
      <c r="A4113" s="5">
        <v>120</v>
      </c>
      <c r="B4113" s="5" t="s">
        <v>159</v>
      </c>
      <c r="C4113" s="5">
        <v>4</v>
      </c>
      <c r="D4113" s="5" t="s">
        <v>78</v>
      </c>
      <c r="E4113" s="5">
        <v>2022</v>
      </c>
      <c r="F4113" s="5">
        <v>3</v>
      </c>
      <c r="G4113" s="5" t="s">
        <v>36</v>
      </c>
      <c r="H4113" s="5">
        <v>231247</v>
      </c>
      <c r="I4113" s="5">
        <v>200948.18</v>
      </c>
      <c r="J4113" s="5">
        <v>11</v>
      </c>
      <c r="K4113" s="5">
        <v>41753</v>
      </c>
      <c r="L4113" s="5">
        <v>272240</v>
      </c>
      <c r="M4113" s="5">
        <v>30298.82</v>
      </c>
      <c r="N4113" s="5">
        <v>0.13100000000000001</v>
      </c>
      <c r="O4113" s="5">
        <v>0</v>
      </c>
      <c r="P4113" s="5">
        <v>0</v>
      </c>
    </row>
    <row r="4114" spans="1:16" x14ac:dyDescent="0.3">
      <c r="A4114" s="5">
        <v>18</v>
      </c>
      <c r="B4114" s="5" t="s">
        <v>159</v>
      </c>
      <c r="C4114" s="5">
        <v>4</v>
      </c>
      <c r="D4114" s="5" t="s">
        <v>78</v>
      </c>
      <c r="E4114" s="5">
        <v>2022</v>
      </c>
      <c r="F4114" s="5">
        <v>4</v>
      </c>
      <c r="G4114" s="5" t="s">
        <v>37</v>
      </c>
      <c r="H4114" s="5">
        <v>156975</v>
      </c>
      <c r="I4114" s="5">
        <v>144841.16</v>
      </c>
      <c r="J4114" s="5">
        <v>4</v>
      </c>
      <c r="K4114" s="5">
        <v>50983</v>
      </c>
      <c r="L4114" s="5">
        <v>207950</v>
      </c>
      <c r="M4114" s="5">
        <v>12133.84</v>
      </c>
      <c r="N4114" s="5">
        <v>7.7299999999999994E-2</v>
      </c>
      <c r="O4114" s="5">
        <v>1</v>
      </c>
      <c r="P4114" s="5">
        <v>5971</v>
      </c>
    </row>
    <row r="4115" spans="1:16" x14ac:dyDescent="0.3">
      <c r="A4115" s="5">
        <v>120</v>
      </c>
      <c r="B4115" s="5" t="s">
        <v>159</v>
      </c>
      <c r="C4115" s="5">
        <v>4</v>
      </c>
      <c r="D4115" s="5" t="s">
        <v>78</v>
      </c>
      <c r="E4115" s="5">
        <v>2022</v>
      </c>
      <c r="F4115" s="5">
        <v>4</v>
      </c>
      <c r="G4115" s="5" t="s">
        <v>37</v>
      </c>
      <c r="H4115" s="5">
        <v>616831</v>
      </c>
      <c r="I4115" s="5">
        <v>513178.53</v>
      </c>
      <c r="J4115" s="5">
        <v>11</v>
      </c>
      <c r="K4115" s="5">
        <v>42162</v>
      </c>
      <c r="L4115" s="5">
        <v>656800</v>
      </c>
      <c r="M4115" s="5">
        <v>103652.47</v>
      </c>
      <c r="N4115" s="5">
        <v>0.16800000000000001</v>
      </c>
      <c r="O4115" s="5">
        <v>0</v>
      </c>
      <c r="P4115" s="5">
        <v>0</v>
      </c>
    </row>
    <row r="4116" spans="1:16" x14ac:dyDescent="0.3">
      <c r="A4116" s="5">
        <v>18</v>
      </c>
      <c r="B4116" s="5" t="s">
        <v>159</v>
      </c>
      <c r="C4116" s="5">
        <v>4</v>
      </c>
      <c r="D4116" s="5" t="s">
        <v>78</v>
      </c>
      <c r="E4116" s="5">
        <v>2022</v>
      </c>
      <c r="F4116" s="5">
        <v>5</v>
      </c>
      <c r="G4116" s="5" t="s">
        <v>38</v>
      </c>
      <c r="H4116" s="5">
        <v>210387</v>
      </c>
      <c r="I4116" s="5">
        <v>164821.32</v>
      </c>
      <c r="J4116" s="5">
        <v>8</v>
      </c>
      <c r="K4116" s="5">
        <v>25893</v>
      </c>
      <c r="L4116" s="5">
        <v>234960</v>
      </c>
      <c r="M4116" s="5">
        <v>45565.68</v>
      </c>
      <c r="N4116" s="5">
        <v>0.21659999999999999</v>
      </c>
      <c r="O4116" s="5">
        <v>0</v>
      </c>
      <c r="P4116" s="5">
        <v>0</v>
      </c>
    </row>
    <row r="4117" spans="1:16" x14ac:dyDescent="0.3">
      <c r="A4117" s="5">
        <v>120</v>
      </c>
      <c r="B4117" s="5" t="s">
        <v>159</v>
      </c>
      <c r="C4117" s="5">
        <v>4</v>
      </c>
      <c r="D4117" s="5" t="s">
        <v>78</v>
      </c>
      <c r="E4117" s="5">
        <v>2022</v>
      </c>
      <c r="F4117" s="5">
        <v>5</v>
      </c>
      <c r="G4117" s="5" t="s">
        <v>38</v>
      </c>
      <c r="H4117" s="5">
        <v>372164</v>
      </c>
      <c r="I4117" s="5">
        <v>306256.28000000003</v>
      </c>
      <c r="J4117" s="5">
        <v>12</v>
      </c>
      <c r="K4117" s="5">
        <v>60259</v>
      </c>
      <c r="L4117" s="5">
        <v>431300</v>
      </c>
      <c r="M4117" s="5">
        <v>65907.72</v>
      </c>
      <c r="N4117" s="5">
        <v>0.17710000000000001</v>
      </c>
      <c r="O4117" s="5">
        <v>3</v>
      </c>
      <c r="P4117" s="5">
        <v>23517</v>
      </c>
    </row>
    <row r="4118" spans="1:16" x14ac:dyDescent="0.3">
      <c r="A4118" s="5">
        <v>18</v>
      </c>
      <c r="B4118" s="5" t="s">
        <v>159</v>
      </c>
      <c r="C4118" s="5">
        <v>4</v>
      </c>
      <c r="D4118" s="5" t="s">
        <v>78</v>
      </c>
      <c r="E4118" s="5">
        <v>2022</v>
      </c>
      <c r="F4118" s="5">
        <v>6</v>
      </c>
      <c r="G4118" s="5" t="s">
        <v>39</v>
      </c>
      <c r="H4118" s="5">
        <v>565827</v>
      </c>
      <c r="I4118" s="5">
        <v>500370.83</v>
      </c>
      <c r="J4118" s="5">
        <v>5</v>
      </c>
      <c r="K4118" s="5">
        <v>47113</v>
      </c>
      <c r="L4118" s="5">
        <v>612940</v>
      </c>
      <c r="M4118" s="5">
        <v>65456.17</v>
      </c>
      <c r="N4118" s="5">
        <v>0.1157</v>
      </c>
      <c r="O4118" s="5">
        <v>0</v>
      </c>
      <c r="P4118" s="5">
        <v>0</v>
      </c>
    </row>
    <row r="4119" spans="1:16" x14ac:dyDescent="0.3">
      <c r="A4119" s="5">
        <v>120</v>
      </c>
      <c r="B4119" s="5" t="s">
        <v>159</v>
      </c>
      <c r="C4119" s="5">
        <v>4</v>
      </c>
      <c r="D4119" s="5" t="s">
        <v>78</v>
      </c>
      <c r="E4119" s="5">
        <v>2022</v>
      </c>
      <c r="F4119" s="5">
        <v>6</v>
      </c>
      <c r="G4119" s="5" t="s">
        <v>39</v>
      </c>
      <c r="H4119" s="5">
        <v>819955</v>
      </c>
      <c r="I4119" s="5">
        <v>683210.72</v>
      </c>
      <c r="J4119" s="5">
        <v>15</v>
      </c>
      <c r="K4119" s="5">
        <v>69510</v>
      </c>
      <c r="L4119" s="5">
        <v>887430</v>
      </c>
      <c r="M4119" s="5">
        <v>136744.28</v>
      </c>
      <c r="N4119" s="5">
        <v>0.1668</v>
      </c>
      <c r="O4119" s="5">
        <v>1</v>
      </c>
      <c r="P4119" s="5">
        <v>1847</v>
      </c>
    </row>
    <row r="4120" spans="1:16" x14ac:dyDescent="0.3">
      <c r="A4120" s="5">
        <v>18</v>
      </c>
      <c r="B4120" s="5" t="s">
        <v>159</v>
      </c>
      <c r="C4120" s="5">
        <v>4</v>
      </c>
      <c r="D4120" s="5" t="s">
        <v>78</v>
      </c>
      <c r="E4120" s="5">
        <v>2022</v>
      </c>
      <c r="F4120" s="5">
        <v>7</v>
      </c>
      <c r="G4120" s="5" t="s">
        <v>40</v>
      </c>
      <c r="H4120" s="5">
        <v>278219</v>
      </c>
      <c r="I4120" s="5">
        <v>270062.82</v>
      </c>
      <c r="J4120" s="5">
        <v>5</v>
      </c>
      <c r="K4120" s="5">
        <v>83168</v>
      </c>
      <c r="L4120" s="5">
        <v>361150</v>
      </c>
      <c r="M4120" s="5">
        <v>8156.18</v>
      </c>
      <c r="N4120" s="5">
        <v>2.93E-2</v>
      </c>
      <c r="O4120" s="5">
        <v>1</v>
      </c>
      <c r="P4120" s="5">
        <v>25831</v>
      </c>
    </row>
    <row r="4121" spans="1:16" x14ac:dyDescent="0.3">
      <c r="A4121" s="5">
        <v>120</v>
      </c>
      <c r="B4121" s="5" t="s">
        <v>159</v>
      </c>
      <c r="C4121" s="5">
        <v>4</v>
      </c>
      <c r="D4121" s="5" t="s">
        <v>78</v>
      </c>
      <c r="E4121" s="5">
        <v>2022</v>
      </c>
      <c r="F4121" s="5">
        <v>7</v>
      </c>
      <c r="G4121" s="5" t="s">
        <v>40</v>
      </c>
      <c r="H4121" s="5">
        <v>543156</v>
      </c>
      <c r="I4121" s="5">
        <v>415147.56</v>
      </c>
      <c r="J4121" s="5">
        <v>8</v>
      </c>
      <c r="K4121" s="5">
        <v>34408</v>
      </c>
      <c r="L4121" s="5">
        <v>572060</v>
      </c>
      <c r="M4121" s="5">
        <v>128008.44</v>
      </c>
      <c r="N4121" s="5">
        <v>0.23569999999999999</v>
      </c>
      <c r="O4121" s="5">
        <v>2</v>
      </c>
      <c r="P4121" s="5">
        <v>6525</v>
      </c>
    </row>
    <row r="4122" spans="1:16" x14ac:dyDescent="0.3">
      <c r="A4122" s="5">
        <v>18</v>
      </c>
      <c r="B4122" s="5" t="s">
        <v>159</v>
      </c>
      <c r="C4122" s="5">
        <v>4</v>
      </c>
      <c r="D4122" s="5" t="s">
        <v>78</v>
      </c>
      <c r="E4122" s="5">
        <v>2022</v>
      </c>
      <c r="F4122" s="5">
        <v>8</v>
      </c>
      <c r="G4122" s="5" t="s">
        <v>41</v>
      </c>
      <c r="H4122" s="5">
        <v>692430</v>
      </c>
      <c r="I4122" s="5">
        <v>619565.68999999994</v>
      </c>
      <c r="J4122" s="5">
        <v>8</v>
      </c>
      <c r="K4122" s="5">
        <v>64092</v>
      </c>
      <c r="L4122" s="5">
        <v>755170</v>
      </c>
      <c r="M4122" s="5">
        <v>72864.31</v>
      </c>
      <c r="N4122" s="5">
        <v>0.1052</v>
      </c>
      <c r="O4122" s="5">
        <v>3</v>
      </c>
      <c r="P4122" s="5">
        <v>180097</v>
      </c>
    </row>
    <row r="4123" spans="1:16" x14ac:dyDescent="0.3">
      <c r="A4123" s="5">
        <v>120</v>
      </c>
      <c r="B4123" s="5" t="s">
        <v>159</v>
      </c>
      <c r="C4123" s="5">
        <v>4</v>
      </c>
      <c r="D4123" s="5" t="s">
        <v>78</v>
      </c>
      <c r="E4123" s="5">
        <v>2022</v>
      </c>
      <c r="F4123" s="5">
        <v>8</v>
      </c>
      <c r="G4123" s="5" t="s">
        <v>41</v>
      </c>
      <c r="H4123" s="5">
        <v>647888</v>
      </c>
      <c r="I4123" s="5">
        <v>619594.31999999995</v>
      </c>
      <c r="J4123" s="5">
        <v>13</v>
      </c>
      <c r="K4123" s="5">
        <v>181223</v>
      </c>
      <c r="L4123" s="5">
        <v>827270</v>
      </c>
      <c r="M4123" s="5">
        <v>28293.68</v>
      </c>
      <c r="N4123" s="5">
        <v>4.3700000000000003E-2</v>
      </c>
      <c r="O4123" s="5">
        <v>1</v>
      </c>
      <c r="P4123" s="5">
        <v>1161</v>
      </c>
    </row>
    <row r="4124" spans="1:16" x14ac:dyDescent="0.3">
      <c r="A4124" s="5">
        <v>18</v>
      </c>
      <c r="B4124" s="5" t="s">
        <v>159</v>
      </c>
      <c r="C4124" s="5">
        <v>4</v>
      </c>
      <c r="D4124" s="5" t="s">
        <v>78</v>
      </c>
      <c r="E4124" s="5">
        <v>2022</v>
      </c>
      <c r="F4124" s="5">
        <v>9</v>
      </c>
      <c r="G4124" s="5" t="s">
        <v>42</v>
      </c>
      <c r="H4124" s="5">
        <v>366357</v>
      </c>
      <c r="I4124" s="5">
        <v>321739.2</v>
      </c>
      <c r="J4124" s="5">
        <v>8</v>
      </c>
      <c r="K4124" s="5">
        <v>80902</v>
      </c>
      <c r="L4124" s="5">
        <v>447100</v>
      </c>
      <c r="M4124" s="5">
        <v>44617.8</v>
      </c>
      <c r="N4124" s="5">
        <v>0.12180000000000001</v>
      </c>
      <c r="O4124" s="5">
        <v>2</v>
      </c>
      <c r="P4124" s="5">
        <v>49164</v>
      </c>
    </row>
    <row r="4125" spans="1:16" x14ac:dyDescent="0.3">
      <c r="A4125" s="5">
        <v>120</v>
      </c>
      <c r="B4125" s="5" t="s">
        <v>159</v>
      </c>
      <c r="C4125" s="5">
        <v>4</v>
      </c>
      <c r="D4125" s="5" t="s">
        <v>78</v>
      </c>
      <c r="E4125" s="5">
        <v>2022</v>
      </c>
      <c r="F4125" s="5">
        <v>9</v>
      </c>
      <c r="G4125" s="5" t="s">
        <v>42</v>
      </c>
      <c r="H4125" s="5">
        <v>923850</v>
      </c>
      <c r="I4125" s="5">
        <v>784507.18</v>
      </c>
      <c r="J4125" s="5">
        <v>15</v>
      </c>
      <c r="K4125" s="5">
        <v>118863</v>
      </c>
      <c r="L4125" s="5">
        <v>1041000</v>
      </c>
      <c r="M4125" s="5">
        <v>139342.82</v>
      </c>
      <c r="N4125" s="5">
        <v>0.15079999999999999</v>
      </c>
      <c r="O4125" s="5">
        <v>3</v>
      </c>
      <c r="P4125" s="5">
        <v>90034</v>
      </c>
    </row>
    <row r="4126" spans="1:16" x14ac:dyDescent="0.3">
      <c r="A4126" s="5">
        <v>18</v>
      </c>
      <c r="B4126" s="5" t="s">
        <v>159</v>
      </c>
      <c r="C4126" s="5">
        <v>4</v>
      </c>
      <c r="D4126" s="5" t="s">
        <v>78</v>
      </c>
      <c r="E4126" s="5">
        <v>2022</v>
      </c>
      <c r="F4126" s="5">
        <v>10</v>
      </c>
      <c r="G4126" s="5" t="s">
        <v>43</v>
      </c>
      <c r="H4126" s="5">
        <v>466883</v>
      </c>
      <c r="I4126" s="5">
        <v>474026.99</v>
      </c>
      <c r="J4126" s="5">
        <v>6</v>
      </c>
      <c r="K4126" s="5">
        <v>121001</v>
      </c>
      <c r="L4126" s="5">
        <v>587800</v>
      </c>
      <c r="M4126" s="5">
        <v>-7143.99</v>
      </c>
      <c r="N4126" s="5">
        <v>-1.5299999999999999E-2</v>
      </c>
      <c r="O4126" s="5">
        <v>0</v>
      </c>
      <c r="P4126" s="5">
        <v>0</v>
      </c>
    </row>
    <row r="4127" spans="1:16" x14ac:dyDescent="0.3">
      <c r="A4127" s="5">
        <v>120</v>
      </c>
      <c r="B4127" s="5" t="s">
        <v>159</v>
      </c>
      <c r="C4127" s="5">
        <v>4</v>
      </c>
      <c r="D4127" s="5" t="s">
        <v>78</v>
      </c>
      <c r="E4127" s="5">
        <v>2022</v>
      </c>
      <c r="F4127" s="5">
        <v>10</v>
      </c>
      <c r="G4127" s="5" t="s">
        <v>43</v>
      </c>
      <c r="H4127" s="5">
        <v>1209478</v>
      </c>
      <c r="I4127" s="5">
        <v>1034543.75</v>
      </c>
      <c r="J4127" s="5">
        <v>16</v>
      </c>
      <c r="K4127" s="5">
        <v>136895</v>
      </c>
      <c r="L4127" s="5">
        <v>1337860</v>
      </c>
      <c r="M4127" s="5">
        <v>174934.25</v>
      </c>
      <c r="N4127" s="5">
        <v>0.14460000000000001</v>
      </c>
      <c r="O4127" s="5">
        <v>1</v>
      </c>
      <c r="P4127" s="5">
        <v>20430</v>
      </c>
    </row>
    <row r="4128" spans="1:16" x14ac:dyDescent="0.3">
      <c r="A4128" s="5">
        <v>18</v>
      </c>
      <c r="B4128" s="5" t="s">
        <v>159</v>
      </c>
      <c r="C4128" s="5">
        <v>4</v>
      </c>
      <c r="D4128" s="5" t="s">
        <v>78</v>
      </c>
      <c r="E4128" s="5">
        <v>2022</v>
      </c>
      <c r="F4128" s="5">
        <v>11</v>
      </c>
      <c r="G4128" s="5" t="s">
        <v>44</v>
      </c>
      <c r="H4128" s="5">
        <v>517326</v>
      </c>
      <c r="I4128" s="5">
        <v>459479.16</v>
      </c>
      <c r="J4128" s="5">
        <v>9</v>
      </c>
      <c r="K4128" s="5">
        <v>53271</v>
      </c>
      <c r="L4128" s="5">
        <v>570250</v>
      </c>
      <c r="M4128" s="5">
        <v>57846.84</v>
      </c>
      <c r="N4128" s="5">
        <v>0.1118</v>
      </c>
      <c r="O4128" s="5">
        <v>0</v>
      </c>
      <c r="P4128" s="5">
        <v>0</v>
      </c>
    </row>
    <row r="4129" spans="1:16" x14ac:dyDescent="0.3">
      <c r="A4129" s="5">
        <v>120</v>
      </c>
      <c r="B4129" s="5" t="s">
        <v>159</v>
      </c>
      <c r="C4129" s="5">
        <v>4</v>
      </c>
      <c r="D4129" s="5" t="s">
        <v>78</v>
      </c>
      <c r="E4129" s="5">
        <v>2022</v>
      </c>
      <c r="F4129" s="5">
        <v>11</v>
      </c>
      <c r="G4129" s="5" t="s">
        <v>44</v>
      </c>
      <c r="H4129" s="5">
        <v>1426140</v>
      </c>
      <c r="I4129" s="5">
        <v>1120721.7</v>
      </c>
      <c r="J4129" s="5">
        <v>24</v>
      </c>
      <c r="K4129" s="5">
        <v>62698</v>
      </c>
      <c r="L4129" s="5">
        <v>1485890</v>
      </c>
      <c r="M4129" s="5">
        <v>305418.3</v>
      </c>
      <c r="N4129" s="5">
        <v>0.2142</v>
      </c>
      <c r="O4129" s="5">
        <v>1</v>
      </c>
      <c r="P4129" s="5">
        <v>7604</v>
      </c>
    </row>
    <row r="4130" spans="1:16" x14ac:dyDescent="0.3">
      <c r="A4130" s="5">
        <v>18</v>
      </c>
      <c r="B4130" s="5" t="s">
        <v>159</v>
      </c>
      <c r="C4130" s="5">
        <v>4</v>
      </c>
      <c r="D4130" s="5" t="s">
        <v>78</v>
      </c>
      <c r="E4130" s="5">
        <v>2022</v>
      </c>
      <c r="F4130" s="5">
        <v>12</v>
      </c>
      <c r="G4130" s="5" t="s">
        <v>45</v>
      </c>
      <c r="H4130" s="5">
        <v>398324</v>
      </c>
      <c r="I4130" s="5">
        <v>323926.76</v>
      </c>
      <c r="J4130" s="5">
        <v>9</v>
      </c>
      <c r="K4130" s="5">
        <v>23006</v>
      </c>
      <c r="L4130" s="5">
        <v>419900</v>
      </c>
      <c r="M4130" s="5">
        <v>74397.240000000005</v>
      </c>
      <c r="N4130" s="5">
        <v>0.18679999999999999</v>
      </c>
      <c r="O4130" s="5">
        <v>0</v>
      </c>
      <c r="P4130" s="5">
        <v>0</v>
      </c>
    </row>
    <row r="4131" spans="1:16" x14ac:dyDescent="0.3">
      <c r="A4131" s="5">
        <v>120</v>
      </c>
      <c r="B4131" s="5" t="s">
        <v>159</v>
      </c>
      <c r="C4131" s="5">
        <v>4</v>
      </c>
      <c r="D4131" s="5" t="s">
        <v>78</v>
      </c>
      <c r="E4131" s="5">
        <v>2022</v>
      </c>
      <c r="F4131" s="5">
        <v>12</v>
      </c>
      <c r="G4131" s="5" t="s">
        <v>45</v>
      </c>
      <c r="H4131" s="5">
        <v>1768372</v>
      </c>
      <c r="I4131" s="5">
        <v>1475327.35</v>
      </c>
      <c r="J4131" s="5">
        <v>22</v>
      </c>
      <c r="K4131" s="5">
        <v>99807</v>
      </c>
      <c r="L4131" s="5">
        <v>1864940</v>
      </c>
      <c r="M4131" s="5">
        <v>293044.65000000002</v>
      </c>
      <c r="N4131" s="5">
        <v>0.16569999999999999</v>
      </c>
      <c r="O4131" s="5">
        <v>1</v>
      </c>
      <c r="P4131" s="5">
        <v>102725</v>
      </c>
    </row>
    <row r="4132" spans="1:16" x14ac:dyDescent="0.3">
      <c r="A4132" s="5">
        <v>18</v>
      </c>
      <c r="B4132" s="5" t="s">
        <v>159</v>
      </c>
      <c r="C4132" s="5">
        <v>4</v>
      </c>
      <c r="D4132" s="5" t="s">
        <v>78</v>
      </c>
      <c r="E4132" s="5">
        <v>2023</v>
      </c>
      <c r="F4132" s="5">
        <v>1</v>
      </c>
      <c r="G4132" s="5" t="s">
        <v>46</v>
      </c>
      <c r="H4132" s="5">
        <v>229355</v>
      </c>
      <c r="I4132" s="5">
        <v>243778.52</v>
      </c>
      <c r="J4132" s="5">
        <v>5</v>
      </c>
      <c r="K4132" s="5">
        <v>88580</v>
      </c>
      <c r="L4132" s="5">
        <v>317510</v>
      </c>
      <c r="M4132" s="5">
        <v>-14423.52</v>
      </c>
      <c r="N4132" s="5">
        <v>-6.2899999999999998E-2</v>
      </c>
      <c r="O4132" s="5">
        <v>0</v>
      </c>
      <c r="P4132" s="5">
        <v>0</v>
      </c>
    </row>
    <row r="4133" spans="1:16" x14ac:dyDescent="0.3">
      <c r="A4133" s="5">
        <v>120</v>
      </c>
      <c r="B4133" s="5" t="s">
        <v>159</v>
      </c>
      <c r="C4133" s="5">
        <v>4</v>
      </c>
      <c r="D4133" s="5" t="s">
        <v>78</v>
      </c>
      <c r="E4133" s="5">
        <v>2023</v>
      </c>
      <c r="F4133" s="5">
        <v>1</v>
      </c>
      <c r="G4133" s="5" t="s">
        <v>46</v>
      </c>
      <c r="H4133" s="5">
        <v>1315287</v>
      </c>
      <c r="I4133" s="5">
        <v>1108737.1299999999</v>
      </c>
      <c r="J4133" s="5">
        <v>16</v>
      </c>
      <c r="K4133" s="5">
        <v>70826</v>
      </c>
      <c r="L4133" s="5">
        <v>1379350</v>
      </c>
      <c r="M4133" s="5">
        <v>206549.87</v>
      </c>
      <c r="N4133" s="5">
        <v>0.157</v>
      </c>
      <c r="O4133" s="5">
        <v>0</v>
      </c>
      <c r="P4133" s="5">
        <v>0</v>
      </c>
    </row>
    <row r="4134" spans="1:16" x14ac:dyDescent="0.3">
      <c r="A4134" s="5">
        <v>18</v>
      </c>
      <c r="B4134" s="5" t="s">
        <v>159</v>
      </c>
      <c r="C4134" s="5">
        <v>4</v>
      </c>
      <c r="D4134" s="5" t="s">
        <v>78</v>
      </c>
      <c r="E4134" s="5">
        <v>2023</v>
      </c>
      <c r="F4134" s="5">
        <v>2</v>
      </c>
      <c r="G4134" s="5" t="s">
        <v>47</v>
      </c>
      <c r="H4134" s="5">
        <v>320083</v>
      </c>
      <c r="I4134" s="5">
        <v>276757.14</v>
      </c>
      <c r="J4134" s="5">
        <v>5</v>
      </c>
      <c r="K4134" s="5">
        <v>25927</v>
      </c>
      <c r="L4134" s="5">
        <v>346010</v>
      </c>
      <c r="M4134" s="5">
        <v>43325.86</v>
      </c>
      <c r="N4134" s="5">
        <v>0.13539999999999999</v>
      </c>
      <c r="O4134" s="5">
        <v>0</v>
      </c>
      <c r="P4134" s="5">
        <v>0</v>
      </c>
    </row>
    <row r="4135" spans="1:16" x14ac:dyDescent="0.3">
      <c r="A4135" s="5">
        <v>120</v>
      </c>
      <c r="B4135" s="5" t="s">
        <v>159</v>
      </c>
      <c r="C4135" s="5">
        <v>4</v>
      </c>
      <c r="D4135" s="5" t="s">
        <v>78</v>
      </c>
      <c r="E4135" s="5">
        <v>2023</v>
      </c>
      <c r="F4135" s="5">
        <v>2</v>
      </c>
      <c r="G4135" s="5" t="s">
        <v>47</v>
      </c>
      <c r="H4135" s="5">
        <v>1335461</v>
      </c>
      <c r="I4135" s="5">
        <v>1133480.27</v>
      </c>
      <c r="J4135" s="5">
        <v>16</v>
      </c>
      <c r="K4135" s="5">
        <v>108297</v>
      </c>
      <c r="L4135" s="5">
        <v>1440460</v>
      </c>
      <c r="M4135" s="5">
        <v>201980.73</v>
      </c>
      <c r="N4135" s="5">
        <v>0.1512</v>
      </c>
      <c r="O4135" s="5">
        <v>3</v>
      </c>
      <c r="P4135" s="5">
        <v>19146</v>
      </c>
    </row>
    <row r="4136" spans="1:16" x14ac:dyDescent="0.3">
      <c r="A4136" s="5">
        <v>18</v>
      </c>
      <c r="B4136" s="5" t="s">
        <v>159</v>
      </c>
      <c r="C4136" s="5">
        <v>4</v>
      </c>
      <c r="D4136" s="5" t="s">
        <v>78</v>
      </c>
      <c r="E4136" s="5">
        <v>2023</v>
      </c>
      <c r="F4136" s="5">
        <v>3</v>
      </c>
      <c r="G4136" s="5" t="s">
        <v>48</v>
      </c>
      <c r="H4136" s="5">
        <v>507324</v>
      </c>
      <c r="I4136" s="5">
        <v>399301.67</v>
      </c>
      <c r="J4136" s="5">
        <v>6</v>
      </c>
      <c r="K4136" s="5">
        <v>27596</v>
      </c>
      <c r="L4136" s="5">
        <v>531560</v>
      </c>
      <c r="M4136" s="5">
        <v>108022.33</v>
      </c>
      <c r="N4136" s="5">
        <v>0.21290000000000001</v>
      </c>
      <c r="O4136" s="5">
        <v>0</v>
      </c>
      <c r="P4136" s="5">
        <v>0</v>
      </c>
    </row>
    <row r="4137" spans="1:16" x14ac:dyDescent="0.3">
      <c r="A4137" s="5">
        <v>120</v>
      </c>
      <c r="B4137" s="5" t="s">
        <v>159</v>
      </c>
      <c r="C4137" s="5">
        <v>4</v>
      </c>
      <c r="D4137" s="5" t="s">
        <v>78</v>
      </c>
      <c r="E4137" s="5">
        <v>2023</v>
      </c>
      <c r="F4137" s="5">
        <v>3</v>
      </c>
      <c r="G4137" s="5" t="s">
        <v>48</v>
      </c>
      <c r="H4137" s="5">
        <v>1064493</v>
      </c>
      <c r="I4137" s="5">
        <v>953899.43</v>
      </c>
      <c r="J4137" s="5">
        <v>20</v>
      </c>
      <c r="K4137" s="5">
        <v>178562</v>
      </c>
      <c r="L4137" s="5">
        <v>1241210</v>
      </c>
      <c r="M4137" s="5">
        <v>110593.57</v>
      </c>
      <c r="N4137" s="5">
        <v>0.10390000000000001</v>
      </c>
      <c r="O4137" s="5">
        <v>1</v>
      </c>
      <c r="P4137" s="5">
        <v>25110</v>
      </c>
    </row>
    <row r="4138" spans="1:16" x14ac:dyDescent="0.3">
      <c r="A4138" s="5">
        <v>18</v>
      </c>
      <c r="B4138" s="5" t="s">
        <v>159</v>
      </c>
      <c r="C4138" s="5">
        <v>4</v>
      </c>
      <c r="D4138" s="5" t="s">
        <v>78</v>
      </c>
      <c r="E4138" s="5">
        <v>2023</v>
      </c>
      <c r="F4138" s="5">
        <v>4</v>
      </c>
      <c r="G4138" s="5" t="s">
        <v>49</v>
      </c>
      <c r="H4138" s="5">
        <v>487709</v>
      </c>
      <c r="I4138" s="5">
        <v>415239.33</v>
      </c>
      <c r="J4138" s="5">
        <v>11</v>
      </c>
      <c r="K4138" s="5">
        <v>44937</v>
      </c>
      <c r="L4138" s="5">
        <v>530010</v>
      </c>
      <c r="M4138" s="5">
        <v>72469.67</v>
      </c>
      <c r="N4138" s="5">
        <v>0.14860000000000001</v>
      </c>
      <c r="O4138" s="5">
        <v>0</v>
      </c>
      <c r="P4138" s="5">
        <v>0</v>
      </c>
    </row>
    <row r="4139" spans="1:16" x14ac:dyDescent="0.3">
      <c r="A4139" s="5">
        <v>120</v>
      </c>
      <c r="B4139" s="5" t="s">
        <v>159</v>
      </c>
      <c r="C4139" s="5">
        <v>4</v>
      </c>
      <c r="D4139" s="5" t="s">
        <v>78</v>
      </c>
      <c r="E4139" s="5">
        <v>2023</v>
      </c>
      <c r="F4139" s="5">
        <v>4</v>
      </c>
      <c r="G4139" s="5" t="s">
        <v>49</v>
      </c>
      <c r="H4139" s="5">
        <v>1262983</v>
      </c>
      <c r="I4139" s="5">
        <v>1109124.07</v>
      </c>
      <c r="J4139" s="5">
        <v>15</v>
      </c>
      <c r="K4139" s="5">
        <v>153221</v>
      </c>
      <c r="L4139" s="5">
        <v>1406330</v>
      </c>
      <c r="M4139" s="5">
        <v>153858.93</v>
      </c>
      <c r="N4139" s="5">
        <v>0.12180000000000001</v>
      </c>
      <c r="O4139" s="5">
        <v>0</v>
      </c>
      <c r="P4139" s="5">
        <v>0</v>
      </c>
    </row>
    <row r="4140" spans="1:16" x14ac:dyDescent="0.3">
      <c r="A4140" s="5">
        <v>18</v>
      </c>
      <c r="B4140" s="5" t="s">
        <v>159</v>
      </c>
      <c r="C4140" s="5">
        <v>4</v>
      </c>
      <c r="D4140" s="5" t="s">
        <v>78</v>
      </c>
      <c r="E4140" s="5">
        <v>2023</v>
      </c>
      <c r="F4140" s="5">
        <v>5</v>
      </c>
      <c r="G4140" s="5" t="s">
        <v>50</v>
      </c>
      <c r="H4140" s="5">
        <v>690320</v>
      </c>
      <c r="I4140" s="5">
        <v>572782.68000000005</v>
      </c>
      <c r="J4140" s="5">
        <v>5</v>
      </c>
      <c r="K4140" s="5">
        <v>45694</v>
      </c>
      <c r="L4140" s="5">
        <v>731470</v>
      </c>
      <c r="M4140" s="5">
        <v>117537.32</v>
      </c>
      <c r="N4140" s="5">
        <v>0.17030000000000001</v>
      </c>
      <c r="O4140" s="5">
        <v>0</v>
      </c>
      <c r="P4140" s="5">
        <v>0</v>
      </c>
    </row>
    <row r="4141" spans="1:16" x14ac:dyDescent="0.3">
      <c r="A4141" s="5">
        <v>120</v>
      </c>
      <c r="B4141" s="5" t="s">
        <v>159</v>
      </c>
      <c r="C4141" s="5">
        <v>4</v>
      </c>
      <c r="D4141" s="5" t="s">
        <v>78</v>
      </c>
      <c r="E4141" s="5">
        <v>2023</v>
      </c>
      <c r="F4141" s="5">
        <v>5</v>
      </c>
      <c r="G4141" s="5" t="s">
        <v>50</v>
      </c>
      <c r="H4141" s="5">
        <v>922676</v>
      </c>
      <c r="I4141" s="5">
        <v>865028.48</v>
      </c>
      <c r="J4141" s="5">
        <v>15</v>
      </c>
      <c r="K4141" s="5">
        <v>171952</v>
      </c>
      <c r="L4141" s="5">
        <v>1092990</v>
      </c>
      <c r="M4141" s="5">
        <v>57647.519999999997</v>
      </c>
      <c r="N4141" s="5">
        <v>6.25E-2</v>
      </c>
      <c r="O4141" s="5">
        <v>2</v>
      </c>
      <c r="P4141" s="5">
        <v>115469</v>
      </c>
    </row>
    <row r="4142" spans="1:16" x14ac:dyDescent="0.3">
      <c r="A4142" s="5">
        <v>18</v>
      </c>
      <c r="B4142" s="5" t="s">
        <v>159</v>
      </c>
      <c r="C4142" s="5">
        <v>4</v>
      </c>
      <c r="D4142" s="5" t="s">
        <v>78</v>
      </c>
      <c r="E4142" s="5">
        <v>2023</v>
      </c>
      <c r="F4142" s="5">
        <v>6</v>
      </c>
      <c r="G4142" s="5" t="s">
        <v>51</v>
      </c>
      <c r="H4142" s="5">
        <v>624002</v>
      </c>
      <c r="I4142" s="5">
        <v>504258.71</v>
      </c>
      <c r="J4142" s="5">
        <v>12</v>
      </c>
      <c r="K4142" s="5">
        <v>53816</v>
      </c>
      <c r="L4142" s="5">
        <v>677210</v>
      </c>
      <c r="M4142" s="5">
        <v>119743.29</v>
      </c>
      <c r="N4142" s="5">
        <v>0.19189999999999999</v>
      </c>
      <c r="O4142" s="5">
        <v>2</v>
      </c>
      <c r="P4142" s="5">
        <v>41955</v>
      </c>
    </row>
    <row r="4143" spans="1:16" x14ac:dyDescent="0.3">
      <c r="A4143" s="5">
        <v>120</v>
      </c>
      <c r="B4143" s="5" t="s">
        <v>159</v>
      </c>
      <c r="C4143" s="5">
        <v>4</v>
      </c>
      <c r="D4143" s="5" t="s">
        <v>78</v>
      </c>
      <c r="E4143" s="5">
        <v>2023</v>
      </c>
      <c r="F4143" s="5">
        <v>6</v>
      </c>
      <c r="G4143" s="5" t="s">
        <v>51</v>
      </c>
      <c r="H4143" s="5">
        <v>957923</v>
      </c>
      <c r="I4143" s="5">
        <v>815578.49</v>
      </c>
      <c r="J4143" s="5">
        <v>16</v>
      </c>
      <c r="K4143" s="5">
        <v>102604</v>
      </c>
      <c r="L4143" s="5">
        <v>1059760</v>
      </c>
      <c r="M4143" s="5">
        <v>142344.51</v>
      </c>
      <c r="N4143" s="5">
        <v>0.14860000000000001</v>
      </c>
      <c r="O4143" s="5">
        <v>0</v>
      </c>
      <c r="P4143" s="5">
        <v>0</v>
      </c>
    </row>
    <row r="4144" spans="1:16" x14ac:dyDescent="0.3">
      <c r="A4144" s="5">
        <v>18</v>
      </c>
      <c r="B4144" s="5" t="s">
        <v>159</v>
      </c>
      <c r="C4144" s="5">
        <v>4</v>
      </c>
      <c r="D4144" s="5" t="s">
        <v>78</v>
      </c>
      <c r="E4144" s="5">
        <v>2023</v>
      </c>
      <c r="F4144" s="5">
        <v>7</v>
      </c>
      <c r="G4144" s="5" t="s">
        <v>52</v>
      </c>
      <c r="H4144" s="5">
        <v>980606</v>
      </c>
      <c r="I4144" s="5">
        <v>962324.09</v>
      </c>
      <c r="J4144" s="5">
        <v>12</v>
      </c>
      <c r="K4144" s="5">
        <v>247412</v>
      </c>
      <c r="L4144" s="5">
        <v>1226540</v>
      </c>
      <c r="M4144" s="5">
        <v>18281.91</v>
      </c>
      <c r="N4144" s="5">
        <v>1.8599999999999998E-2</v>
      </c>
      <c r="O4144" s="5">
        <v>0</v>
      </c>
      <c r="P4144" s="5">
        <v>0</v>
      </c>
    </row>
    <row r="4145" spans="1:16" x14ac:dyDescent="0.3">
      <c r="A4145" s="5">
        <v>120</v>
      </c>
      <c r="B4145" s="5" t="s">
        <v>159</v>
      </c>
      <c r="C4145" s="5">
        <v>4</v>
      </c>
      <c r="D4145" s="5" t="s">
        <v>78</v>
      </c>
      <c r="E4145" s="5">
        <v>2023</v>
      </c>
      <c r="F4145" s="5">
        <v>7</v>
      </c>
      <c r="G4145" s="5" t="s">
        <v>52</v>
      </c>
      <c r="H4145" s="5">
        <v>1534357</v>
      </c>
      <c r="I4145" s="5">
        <v>1449350.2</v>
      </c>
      <c r="J4145" s="5">
        <v>16</v>
      </c>
      <c r="K4145" s="5">
        <v>266847</v>
      </c>
      <c r="L4145" s="5">
        <v>1792730</v>
      </c>
      <c r="M4145" s="5">
        <v>85006.8</v>
      </c>
      <c r="N4145" s="5">
        <v>5.5399999999999998E-2</v>
      </c>
      <c r="O4145" s="5">
        <v>1</v>
      </c>
      <c r="P4145" s="5">
        <v>2711</v>
      </c>
    </row>
    <row r="4146" spans="1:16" x14ac:dyDescent="0.3">
      <c r="A4146" s="5">
        <v>18</v>
      </c>
      <c r="B4146" s="5" t="s">
        <v>159</v>
      </c>
      <c r="C4146" s="5">
        <v>4</v>
      </c>
      <c r="D4146" s="5" t="s">
        <v>78</v>
      </c>
      <c r="E4146" s="5">
        <v>2023</v>
      </c>
      <c r="F4146" s="5">
        <v>8</v>
      </c>
      <c r="G4146" s="5" t="s">
        <v>53</v>
      </c>
      <c r="H4146" s="5">
        <v>358206</v>
      </c>
      <c r="I4146" s="5">
        <v>256505.89</v>
      </c>
      <c r="J4146" s="5">
        <v>6</v>
      </c>
      <c r="K4146" s="5">
        <v>842</v>
      </c>
      <c r="L4146" s="5">
        <v>351110</v>
      </c>
      <c r="M4146" s="5">
        <v>101700.11</v>
      </c>
      <c r="N4146" s="5">
        <v>0.28389999999999999</v>
      </c>
      <c r="O4146" s="5">
        <v>0</v>
      </c>
      <c r="P4146" s="5">
        <v>0</v>
      </c>
    </row>
    <row r="4147" spans="1:16" x14ac:dyDescent="0.3">
      <c r="A4147" s="5">
        <v>120</v>
      </c>
      <c r="B4147" s="5" t="s">
        <v>159</v>
      </c>
      <c r="C4147" s="5">
        <v>4</v>
      </c>
      <c r="D4147" s="5" t="s">
        <v>78</v>
      </c>
      <c r="E4147" s="5">
        <v>2023</v>
      </c>
      <c r="F4147" s="5">
        <v>8</v>
      </c>
      <c r="G4147" s="5" t="s">
        <v>53</v>
      </c>
      <c r="H4147" s="5">
        <v>1714679</v>
      </c>
      <c r="I4147" s="5">
        <v>1665217.55</v>
      </c>
      <c r="J4147" s="5">
        <v>20</v>
      </c>
      <c r="K4147" s="5">
        <v>373372</v>
      </c>
      <c r="L4147" s="5">
        <v>2085360</v>
      </c>
      <c r="M4147" s="5">
        <v>49461.45</v>
      </c>
      <c r="N4147" s="5">
        <v>2.8799999999999999E-2</v>
      </c>
      <c r="O4147" s="5">
        <v>4</v>
      </c>
      <c r="P4147" s="5">
        <v>65386</v>
      </c>
    </row>
    <row r="4148" spans="1:16" x14ac:dyDescent="0.3">
      <c r="A4148" s="5">
        <v>18</v>
      </c>
      <c r="B4148" s="5" t="s">
        <v>159</v>
      </c>
      <c r="C4148" s="5">
        <v>4</v>
      </c>
      <c r="D4148" s="5" t="s">
        <v>78</v>
      </c>
      <c r="E4148" s="5">
        <v>2023</v>
      </c>
      <c r="F4148" s="5">
        <v>9</v>
      </c>
      <c r="G4148" s="5" t="s">
        <v>54</v>
      </c>
      <c r="H4148" s="5">
        <v>1235234</v>
      </c>
      <c r="I4148" s="5">
        <v>1117124.6299999999</v>
      </c>
      <c r="J4148" s="5">
        <v>12</v>
      </c>
      <c r="K4148" s="5">
        <v>150564</v>
      </c>
      <c r="L4148" s="5">
        <v>1384820</v>
      </c>
      <c r="M4148" s="5">
        <v>118109.37</v>
      </c>
      <c r="N4148" s="5">
        <v>9.5600000000000004E-2</v>
      </c>
      <c r="O4148" s="5">
        <v>1</v>
      </c>
      <c r="P4148" s="5">
        <v>881</v>
      </c>
    </row>
    <row r="4149" spans="1:16" x14ac:dyDescent="0.3">
      <c r="A4149" s="5">
        <v>120</v>
      </c>
      <c r="B4149" s="5" t="s">
        <v>159</v>
      </c>
      <c r="C4149" s="5">
        <v>4</v>
      </c>
      <c r="D4149" s="5" t="s">
        <v>78</v>
      </c>
      <c r="E4149" s="5">
        <v>2023</v>
      </c>
      <c r="F4149" s="5">
        <v>9</v>
      </c>
      <c r="G4149" s="5" t="s">
        <v>54</v>
      </c>
      <c r="H4149" s="5">
        <v>1550348</v>
      </c>
      <c r="I4149" s="5">
        <v>1405147.9</v>
      </c>
      <c r="J4149" s="5">
        <v>23</v>
      </c>
      <c r="K4149" s="5">
        <v>234542</v>
      </c>
      <c r="L4149" s="5">
        <v>1783960</v>
      </c>
      <c r="M4149" s="5">
        <v>145200.1</v>
      </c>
      <c r="N4149" s="5">
        <v>9.3700000000000006E-2</v>
      </c>
      <c r="O4149" s="5">
        <v>0</v>
      </c>
      <c r="P4149" s="5">
        <v>0</v>
      </c>
    </row>
    <row r="4150" spans="1:16" x14ac:dyDescent="0.3">
      <c r="A4150" s="5">
        <v>18</v>
      </c>
      <c r="B4150" s="5" t="s">
        <v>159</v>
      </c>
      <c r="C4150" s="5">
        <v>4</v>
      </c>
      <c r="D4150" s="5" t="s">
        <v>78</v>
      </c>
      <c r="E4150" s="5">
        <v>2023</v>
      </c>
      <c r="F4150" s="5">
        <v>10</v>
      </c>
      <c r="G4150" s="5" t="s">
        <v>55</v>
      </c>
      <c r="H4150" s="5">
        <v>344325</v>
      </c>
      <c r="I4150" s="5">
        <v>262508.5</v>
      </c>
      <c r="J4150" s="5">
        <v>7</v>
      </c>
      <c r="K4150" s="5">
        <v>19581</v>
      </c>
      <c r="L4150" s="5">
        <v>360910</v>
      </c>
      <c r="M4150" s="5">
        <v>81816.5</v>
      </c>
      <c r="N4150" s="5">
        <v>0.23760000000000001</v>
      </c>
      <c r="O4150" s="5">
        <v>0</v>
      </c>
      <c r="P4150" s="5">
        <v>0</v>
      </c>
    </row>
    <row r="4151" spans="1:16" x14ac:dyDescent="0.3">
      <c r="A4151" s="5">
        <v>120</v>
      </c>
      <c r="B4151" s="5" t="s">
        <v>159</v>
      </c>
      <c r="C4151" s="5">
        <v>4</v>
      </c>
      <c r="D4151" s="5" t="s">
        <v>78</v>
      </c>
      <c r="E4151" s="5">
        <v>2023</v>
      </c>
      <c r="F4151" s="5">
        <v>10</v>
      </c>
      <c r="G4151" s="5" t="s">
        <v>55</v>
      </c>
      <c r="H4151" s="5">
        <v>1328250</v>
      </c>
      <c r="I4151" s="5">
        <v>1148260.3999999999</v>
      </c>
      <c r="J4151" s="5">
        <v>22</v>
      </c>
      <c r="K4151" s="5">
        <v>179652</v>
      </c>
      <c r="L4151" s="5">
        <v>1506600</v>
      </c>
      <c r="M4151" s="5">
        <v>179989.6</v>
      </c>
      <c r="N4151" s="5">
        <v>0.13550000000000001</v>
      </c>
      <c r="O4151" s="5">
        <v>3</v>
      </c>
      <c r="P4151" s="5">
        <v>132071</v>
      </c>
    </row>
    <row r="4152" spans="1:16" x14ac:dyDescent="0.3">
      <c r="A4152" s="5">
        <v>18</v>
      </c>
      <c r="B4152" s="5" t="s">
        <v>159</v>
      </c>
      <c r="C4152" s="5">
        <v>4</v>
      </c>
      <c r="D4152" s="5" t="s">
        <v>78</v>
      </c>
      <c r="E4152" s="5">
        <v>2023</v>
      </c>
      <c r="F4152" s="5">
        <v>11</v>
      </c>
      <c r="G4152" s="5" t="s">
        <v>56</v>
      </c>
      <c r="H4152" s="5">
        <v>697291</v>
      </c>
      <c r="I4152" s="5">
        <v>628546.26</v>
      </c>
      <c r="J4152" s="5">
        <v>15</v>
      </c>
      <c r="K4152" s="5">
        <v>167961</v>
      </c>
      <c r="L4152" s="5">
        <v>862920</v>
      </c>
      <c r="M4152" s="5">
        <v>68744.740000000005</v>
      </c>
      <c r="N4152" s="5">
        <v>9.8599999999999993E-2</v>
      </c>
      <c r="O4152" s="5">
        <v>3</v>
      </c>
      <c r="P4152" s="5">
        <v>16325</v>
      </c>
    </row>
    <row r="4153" spans="1:16" x14ac:dyDescent="0.3">
      <c r="A4153" s="5">
        <v>120</v>
      </c>
      <c r="B4153" s="5" t="s">
        <v>159</v>
      </c>
      <c r="C4153" s="5">
        <v>4</v>
      </c>
      <c r="D4153" s="5" t="s">
        <v>78</v>
      </c>
      <c r="E4153" s="5">
        <v>2023</v>
      </c>
      <c r="F4153" s="5">
        <v>11</v>
      </c>
      <c r="G4153" s="5" t="s">
        <v>56</v>
      </c>
      <c r="H4153" s="5">
        <v>1858670</v>
      </c>
      <c r="I4153" s="5">
        <v>1640180.56</v>
      </c>
      <c r="J4153" s="5">
        <v>24</v>
      </c>
      <c r="K4153" s="5">
        <v>255309</v>
      </c>
      <c r="L4153" s="5">
        <v>2111700</v>
      </c>
      <c r="M4153" s="5">
        <v>218489.44</v>
      </c>
      <c r="N4153" s="5">
        <v>0.1176</v>
      </c>
      <c r="O4153" s="5">
        <v>1</v>
      </c>
      <c r="P4153" s="5">
        <v>3573</v>
      </c>
    </row>
    <row r="4154" spans="1:16" x14ac:dyDescent="0.3">
      <c r="A4154" s="5">
        <v>18</v>
      </c>
      <c r="B4154" s="5" t="s">
        <v>159</v>
      </c>
      <c r="C4154" s="5">
        <v>4</v>
      </c>
      <c r="D4154" s="5" t="s">
        <v>78</v>
      </c>
      <c r="E4154" s="5">
        <v>2023</v>
      </c>
      <c r="F4154" s="5">
        <v>12</v>
      </c>
      <c r="G4154" s="5" t="s">
        <v>57</v>
      </c>
      <c r="H4154" s="5">
        <v>168425</v>
      </c>
      <c r="I4154" s="5">
        <v>154177.97</v>
      </c>
      <c r="J4154" s="5">
        <v>10</v>
      </c>
      <c r="K4154" s="5">
        <v>37138</v>
      </c>
      <c r="L4154" s="5">
        <v>204800</v>
      </c>
      <c r="M4154" s="5">
        <v>14247.03</v>
      </c>
      <c r="N4154" s="5">
        <v>8.4599999999999995E-2</v>
      </c>
      <c r="O4154" s="5">
        <v>1</v>
      </c>
      <c r="P4154" s="5">
        <v>1199</v>
      </c>
    </row>
    <row r="4155" spans="1:16" x14ac:dyDescent="0.3">
      <c r="A4155" s="5">
        <v>120</v>
      </c>
      <c r="B4155" s="5" t="s">
        <v>159</v>
      </c>
      <c r="C4155" s="5">
        <v>4</v>
      </c>
      <c r="D4155" s="5" t="s">
        <v>78</v>
      </c>
      <c r="E4155" s="5">
        <v>2023</v>
      </c>
      <c r="F4155" s="5">
        <v>12</v>
      </c>
      <c r="G4155" s="5" t="s">
        <v>57</v>
      </c>
      <c r="H4155" s="5">
        <v>1279325</v>
      </c>
      <c r="I4155" s="5">
        <v>1234557.04</v>
      </c>
      <c r="J4155" s="5">
        <v>25</v>
      </c>
      <c r="K4155" s="5">
        <v>326840</v>
      </c>
      <c r="L4155" s="5">
        <v>1601350</v>
      </c>
      <c r="M4155" s="5">
        <v>44767.96</v>
      </c>
      <c r="N4155" s="5">
        <v>3.5000000000000003E-2</v>
      </c>
      <c r="O4155" s="5">
        <v>5</v>
      </c>
      <c r="P4155" s="5">
        <v>18041</v>
      </c>
    </row>
    <row r="4156" spans="1:16" x14ac:dyDescent="0.3">
      <c r="A4156" s="5">
        <v>18</v>
      </c>
      <c r="B4156" s="5" t="s">
        <v>159</v>
      </c>
      <c r="C4156" s="5">
        <v>4</v>
      </c>
      <c r="D4156" s="5" t="s">
        <v>78</v>
      </c>
      <c r="E4156" s="5">
        <v>2024</v>
      </c>
      <c r="F4156" s="5">
        <v>1</v>
      </c>
      <c r="G4156" s="5" t="s">
        <v>58</v>
      </c>
      <c r="H4156" s="5">
        <v>626237</v>
      </c>
      <c r="I4156" s="5">
        <v>627082.89</v>
      </c>
      <c r="J4156" s="5">
        <v>6</v>
      </c>
      <c r="K4156" s="5">
        <v>146903</v>
      </c>
      <c r="L4156" s="5">
        <v>773140</v>
      </c>
      <c r="M4156" s="5">
        <v>-845.89</v>
      </c>
      <c r="N4156" s="5">
        <v>-1.4E-3</v>
      </c>
      <c r="O4156" s="5">
        <v>1</v>
      </c>
      <c r="P4156" s="5">
        <v>25555</v>
      </c>
    </row>
    <row r="4157" spans="1:16" x14ac:dyDescent="0.3">
      <c r="A4157" s="5">
        <v>120</v>
      </c>
      <c r="B4157" s="5" t="s">
        <v>159</v>
      </c>
      <c r="C4157" s="5">
        <v>4</v>
      </c>
      <c r="D4157" s="5" t="s">
        <v>78</v>
      </c>
      <c r="E4157" s="5">
        <v>2024</v>
      </c>
      <c r="F4157" s="5">
        <v>1</v>
      </c>
      <c r="G4157" s="5" t="s">
        <v>58</v>
      </c>
      <c r="H4157" s="5">
        <v>630601</v>
      </c>
      <c r="I4157" s="5">
        <v>581888.97</v>
      </c>
      <c r="J4157" s="5">
        <v>16</v>
      </c>
      <c r="K4157" s="5">
        <v>127469</v>
      </c>
      <c r="L4157" s="5">
        <v>757340</v>
      </c>
      <c r="M4157" s="5">
        <v>48712.03</v>
      </c>
      <c r="N4157" s="5">
        <v>7.7200000000000005E-2</v>
      </c>
      <c r="O4157" s="5">
        <v>1</v>
      </c>
      <c r="P4157" s="5">
        <v>1782</v>
      </c>
    </row>
    <row r="4158" spans="1:16" x14ac:dyDescent="0.3">
      <c r="A4158" s="5">
        <v>18</v>
      </c>
      <c r="B4158" s="5" t="s">
        <v>159</v>
      </c>
      <c r="C4158" s="5">
        <v>4</v>
      </c>
      <c r="D4158" s="5" t="s">
        <v>78</v>
      </c>
      <c r="E4158" s="5">
        <v>2024</v>
      </c>
      <c r="F4158" s="5">
        <v>2</v>
      </c>
      <c r="G4158" s="5" t="s">
        <v>59</v>
      </c>
      <c r="H4158" s="5">
        <v>1274580</v>
      </c>
      <c r="I4158" s="5">
        <v>1117512.3899999999</v>
      </c>
      <c r="J4158" s="5">
        <v>10</v>
      </c>
      <c r="K4158" s="5">
        <v>121243</v>
      </c>
      <c r="L4158" s="5">
        <v>1386940</v>
      </c>
      <c r="M4158" s="5">
        <v>157067.60999999999</v>
      </c>
      <c r="N4158" s="5">
        <v>0.1232</v>
      </c>
      <c r="O4158" s="5">
        <v>2</v>
      </c>
      <c r="P4158" s="5">
        <v>1088</v>
      </c>
    </row>
    <row r="4159" spans="1:16" x14ac:dyDescent="0.3">
      <c r="A4159" s="5">
        <v>120</v>
      </c>
      <c r="B4159" s="5" t="s">
        <v>159</v>
      </c>
      <c r="C4159" s="5">
        <v>4</v>
      </c>
      <c r="D4159" s="5" t="s">
        <v>78</v>
      </c>
      <c r="E4159" s="5">
        <v>2024</v>
      </c>
      <c r="F4159" s="5">
        <v>2</v>
      </c>
      <c r="G4159" s="5" t="s">
        <v>59</v>
      </c>
      <c r="H4159" s="5">
        <v>597540</v>
      </c>
      <c r="I4159" s="5">
        <v>513129.49</v>
      </c>
      <c r="J4159" s="5">
        <v>12</v>
      </c>
      <c r="K4159" s="5">
        <v>68304</v>
      </c>
      <c r="L4159" s="5">
        <v>663580</v>
      </c>
      <c r="M4159" s="5">
        <v>84410.51</v>
      </c>
      <c r="N4159" s="5">
        <v>0.14130000000000001</v>
      </c>
      <c r="O4159" s="5">
        <v>1</v>
      </c>
      <c r="P4159" s="5">
        <v>674</v>
      </c>
    </row>
    <row r="4160" spans="1:16" x14ac:dyDescent="0.3">
      <c r="A4160" s="5">
        <v>18</v>
      </c>
      <c r="B4160" s="5" t="s">
        <v>159</v>
      </c>
      <c r="C4160" s="5">
        <v>4</v>
      </c>
      <c r="D4160" s="5" t="s">
        <v>78</v>
      </c>
      <c r="E4160" s="5">
        <v>2024</v>
      </c>
      <c r="F4160" s="5">
        <v>3</v>
      </c>
      <c r="G4160" s="5" t="s">
        <v>60</v>
      </c>
      <c r="H4160" s="5">
        <v>580217</v>
      </c>
      <c r="I4160" s="5">
        <v>494986.22</v>
      </c>
      <c r="J4160" s="5">
        <v>6</v>
      </c>
      <c r="K4160" s="5">
        <v>29224</v>
      </c>
      <c r="L4160" s="5">
        <v>609080</v>
      </c>
      <c r="M4160" s="5">
        <v>85230.78</v>
      </c>
      <c r="N4160" s="5">
        <v>0.1469</v>
      </c>
      <c r="O4160" s="5">
        <v>0</v>
      </c>
      <c r="P4160" s="5">
        <v>0</v>
      </c>
    </row>
    <row r="4161" spans="1:16" x14ac:dyDescent="0.3">
      <c r="A4161" s="5">
        <v>120</v>
      </c>
      <c r="B4161" s="5" t="s">
        <v>159</v>
      </c>
      <c r="C4161" s="5">
        <v>4</v>
      </c>
      <c r="D4161" s="5" t="s">
        <v>78</v>
      </c>
      <c r="E4161" s="5">
        <v>2024</v>
      </c>
      <c r="F4161" s="5">
        <v>3</v>
      </c>
      <c r="G4161" s="5" t="s">
        <v>60</v>
      </c>
      <c r="H4161" s="5">
        <v>715206</v>
      </c>
      <c r="I4161" s="5">
        <v>576767.31000000006</v>
      </c>
      <c r="J4161" s="5">
        <v>16</v>
      </c>
      <c r="K4161" s="5">
        <v>26859</v>
      </c>
      <c r="L4161" s="5">
        <v>736660</v>
      </c>
      <c r="M4161" s="5">
        <v>138438.69</v>
      </c>
      <c r="N4161" s="5">
        <v>0.19359999999999999</v>
      </c>
      <c r="O4161" s="5">
        <v>0</v>
      </c>
      <c r="P4161" s="5">
        <v>0</v>
      </c>
    </row>
    <row r="4162" spans="1:16" x14ac:dyDescent="0.3">
      <c r="A4162" s="5">
        <v>18</v>
      </c>
      <c r="B4162" s="5" t="s">
        <v>159</v>
      </c>
      <c r="C4162" s="5">
        <v>4</v>
      </c>
      <c r="D4162" s="5" t="s">
        <v>78</v>
      </c>
      <c r="E4162" s="5">
        <v>2024</v>
      </c>
      <c r="F4162" s="5">
        <v>4</v>
      </c>
      <c r="G4162" s="5" t="s">
        <v>61</v>
      </c>
      <c r="H4162" s="5">
        <v>150701</v>
      </c>
      <c r="I4162" s="5">
        <v>101469.86</v>
      </c>
      <c r="J4162" s="5">
        <v>6</v>
      </c>
      <c r="K4162" s="5">
        <v>1927</v>
      </c>
      <c r="L4162" s="5">
        <v>149640</v>
      </c>
      <c r="M4162" s="5">
        <v>49231.14</v>
      </c>
      <c r="N4162" s="5">
        <v>0.32669999999999999</v>
      </c>
      <c r="O4162" s="5">
        <v>1</v>
      </c>
      <c r="P4162" s="5">
        <v>10752</v>
      </c>
    </row>
    <row r="4163" spans="1:16" x14ac:dyDescent="0.3">
      <c r="A4163" s="5">
        <v>120</v>
      </c>
      <c r="B4163" s="5" t="s">
        <v>159</v>
      </c>
      <c r="C4163" s="5">
        <v>4</v>
      </c>
      <c r="D4163" s="5" t="s">
        <v>78</v>
      </c>
      <c r="E4163" s="5">
        <v>2024</v>
      </c>
      <c r="F4163" s="5">
        <v>4</v>
      </c>
      <c r="G4163" s="5" t="s">
        <v>61</v>
      </c>
      <c r="H4163" s="5">
        <v>1797955</v>
      </c>
      <c r="I4163" s="5">
        <v>1540687.17</v>
      </c>
      <c r="J4163" s="5">
        <v>26</v>
      </c>
      <c r="K4163" s="5">
        <v>199376</v>
      </c>
      <c r="L4163" s="5">
        <v>1995300</v>
      </c>
      <c r="M4163" s="5">
        <v>257267.83</v>
      </c>
      <c r="N4163" s="5">
        <v>0.1431</v>
      </c>
      <c r="O4163" s="5">
        <v>1</v>
      </c>
      <c r="P4163" s="5">
        <v>12783</v>
      </c>
    </row>
    <row r="4164" spans="1:16" x14ac:dyDescent="0.3">
      <c r="A4164" s="5">
        <v>18</v>
      </c>
      <c r="B4164" s="5" t="s">
        <v>159</v>
      </c>
      <c r="C4164" s="5">
        <v>4</v>
      </c>
      <c r="D4164" s="5" t="s">
        <v>78</v>
      </c>
      <c r="E4164" s="5">
        <v>2024</v>
      </c>
      <c r="F4164" s="5">
        <v>5</v>
      </c>
      <c r="G4164" s="5" t="s">
        <v>62</v>
      </c>
      <c r="H4164" s="5">
        <v>1116503</v>
      </c>
      <c r="I4164" s="5">
        <v>1045255.55</v>
      </c>
      <c r="J4164" s="5">
        <v>12</v>
      </c>
      <c r="K4164" s="5">
        <v>183460</v>
      </c>
      <c r="L4164" s="5">
        <v>1296470</v>
      </c>
      <c r="M4164" s="5">
        <v>71247.45</v>
      </c>
      <c r="N4164" s="5">
        <v>6.3799999999999996E-2</v>
      </c>
      <c r="O4164" s="5">
        <v>0</v>
      </c>
      <c r="P4164" s="5">
        <v>0</v>
      </c>
    </row>
    <row r="4165" spans="1:16" x14ac:dyDescent="0.3">
      <c r="A4165" s="5">
        <v>120</v>
      </c>
      <c r="B4165" s="5" t="s">
        <v>159</v>
      </c>
      <c r="C4165" s="5">
        <v>4</v>
      </c>
      <c r="D4165" s="5" t="s">
        <v>78</v>
      </c>
      <c r="E4165" s="5">
        <v>2024</v>
      </c>
      <c r="F4165" s="5">
        <v>5</v>
      </c>
      <c r="G4165" s="5" t="s">
        <v>62</v>
      </c>
      <c r="H4165" s="5">
        <v>1052868</v>
      </c>
      <c r="I4165" s="5">
        <v>912040.87</v>
      </c>
      <c r="J4165" s="5">
        <v>17</v>
      </c>
      <c r="K4165" s="5">
        <v>134703</v>
      </c>
      <c r="L4165" s="5">
        <v>1185630</v>
      </c>
      <c r="M4165" s="5">
        <v>140827.13</v>
      </c>
      <c r="N4165" s="5">
        <v>0.1338</v>
      </c>
      <c r="O4165" s="5">
        <v>2</v>
      </c>
      <c r="P4165" s="5">
        <v>51185</v>
      </c>
    </row>
    <row r="4166" spans="1:16" x14ac:dyDescent="0.3">
      <c r="A4166" s="5">
        <v>18</v>
      </c>
      <c r="B4166" s="5" t="s">
        <v>159</v>
      </c>
      <c r="C4166" s="5">
        <v>4</v>
      </c>
      <c r="D4166" s="5" t="s">
        <v>78</v>
      </c>
      <c r="E4166" s="5">
        <v>2024</v>
      </c>
      <c r="F4166" s="5">
        <v>6</v>
      </c>
      <c r="G4166" s="5" t="s">
        <v>63</v>
      </c>
      <c r="H4166" s="5">
        <v>37101</v>
      </c>
      <c r="I4166" s="5">
        <v>28296.880000000001</v>
      </c>
      <c r="J4166" s="5">
        <v>4</v>
      </c>
      <c r="K4166" s="5">
        <v>111</v>
      </c>
      <c r="L4166" s="5">
        <v>37000</v>
      </c>
      <c r="M4166" s="5">
        <v>8804.1200000000008</v>
      </c>
      <c r="N4166" s="5">
        <v>0.23730000000000001</v>
      </c>
      <c r="O4166" s="5">
        <v>0</v>
      </c>
      <c r="P4166" s="5">
        <v>0</v>
      </c>
    </row>
    <row r="4167" spans="1:16" x14ac:dyDescent="0.3">
      <c r="A4167" s="5">
        <v>120</v>
      </c>
      <c r="B4167" s="5" t="s">
        <v>159</v>
      </c>
      <c r="C4167" s="5">
        <v>4</v>
      </c>
      <c r="D4167" s="5" t="s">
        <v>78</v>
      </c>
      <c r="E4167" s="5">
        <v>2024</v>
      </c>
      <c r="F4167" s="5">
        <v>6</v>
      </c>
      <c r="G4167" s="5" t="s">
        <v>63</v>
      </c>
      <c r="H4167" s="5">
        <v>649763</v>
      </c>
      <c r="I4167" s="5">
        <v>544500.43999999994</v>
      </c>
      <c r="J4167" s="5">
        <v>13</v>
      </c>
      <c r="K4167" s="5">
        <v>74833</v>
      </c>
      <c r="L4167" s="5">
        <v>720340</v>
      </c>
      <c r="M4167" s="5">
        <v>105262.56</v>
      </c>
      <c r="N4167" s="5">
        <v>0.16200000000000001</v>
      </c>
      <c r="O4167" s="5">
        <v>1</v>
      </c>
      <c r="P4167" s="5">
        <v>3089</v>
      </c>
    </row>
    <row r="4168" spans="1:16" x14ac:dyDescent="0.3">
      <c r="A4168" s="5">
        <v>18</v>
      </c>
      <c r="B4168" s="5" t="s">
        <v>159</v>
      </c>
      <c r="C4168" s="5">
        <v>4</v>
      </c>
      <c r="D4168" s="5" t="s">
        <v>78</v>
      </c>
      <c r="E4168" s="5">
        <v>2024</v>
      </c>
      <c r="F4168" s="5">
        <v>7</v>
      </c>
      <c r="G4168" s="5" t="s">
        <v>64</v>
      </c>
      <c r="H4168" s="5">
        <v>451410</v>
      </c>
      <c r="I4168" s="5">
        <v>389502.94</v>
      </c>
      <c r="J4168" s="5">
        <v>8</v>
      </c>
      <c r="K4168" s="5">
        <v>55876</v>
      </c>
      <c r="L4168" s="5">
        <v>505890</v>
      </c>
      <c r="M4168" s="5">
        <v>61907.06</v>
      </c>
      <c r="N4168" s="5">
        <v>0.1371</v>
      </c>
      <c r="O4168" s="5">
        <v>3</v>
      </c>
      <c r="P4168" s="5">
        <v>207957</v>
      </c>
    </row>
    <row r="4169" spans="1:16" x14ac:dyDescent="0.3">
      <c r="A4169" s="5">
        <v>120</v>
      </c>
      <c r="B4169" s="5" t="s">
        <v>159</v>
      </c>
      <c r="C4169" s="5">
        <v>4</v>
      </c>
      <c r="D4169" s="5" t="s">
        <v>78</v>
      </c>
      <c r="E4169" s="5">
        <v>2024</v>
      </c>
      <c r="F4169" s="5">
        <v>7</v>
      </c>
      <c r="G4169" s="5" t="s">
        <v>64</v>
      </c>
      <c r="H4169" s="5">
        <v>576875</v>
      </c>
      <c r="I4169" s="5">
        <v>520509.45</v>
      </c>
      <c r="J4169" s="5">
        <v>11</v>
      </c>
      <c r="K4169" s="5">
        <v>100260</v>
      </c>
      <c r="L4169" s="5">
        <v>674960</v>
      </c>
      <c r="M4169" s="5">
        <v>56365.55</v>
      </c>
      <c r="N4169" s="5">
        <v>9.7699999999999995E-2</v>
      </c>
      <c r="O4169" s="5">
        <v>2</v>
      </c>
      <c r="P4169" s="5">
        <v>36151</v>
      </c>
    </row>
    <row r="4170" spans="1:16" x14ac:dyDescent="0.3">
      <c r="A4170" s="5">
        <v>18</v>
      </c>
      <c r="B4170" s="5" t="s">
        <v>159</v>
      </c>
      <c r="C4170" s="5">
        <v>4</v>
      </c>
      <c r="D4170" s="5" t="s">
        <v>78</v>
      </c>
      <c r="E4170" s="5">
        <v>2024</v>
      </c>
      <c r="F4170" s="5">
        <v>8</v>
      </c>
      <c r="G4170" s="5" t="s">
        <v>65</v>
      </c>
      <c r="H4170" s="5">
        <v>589306</v>
      </c>
      <c r="I4170" s="5">
        <v>481431.37</v>
      </c>
      <c r="J4170" s="5">
        <v>9</v>
      </c>
      <c r="K4170" s="5">
        <v>43493</v>
      </c>
      <c r="L4170" s="5">
        <v>632380</v>
      </c>
      <c r="M4170" s="5">
        <v>107874.63</v>
      </c>
      <c r="N4170" s="5">
        <v>0.18310000000000001</v>
      </c>
      <c r="O4170" s="5">
        <v>3</v>
      </c>
      <c r="P4170" s="5">
        <v>129237</v>
      </c>
    </row>
    <row r="4171" spans="1:16" x14ac:dyDescent="0.3">
      <c r="A4171" s="5">
        <v>120</v>
      </c>
      <c r="B4171" s="5" t="s">
        <v>159</v>
      </c>
      <c r="C4171" s="5">
        <v>4</v>
      </c>
      <c r="D4171" s="5" t="s">
        <v>78</v>
      </c>
      <c r="E4171" s="5">
        <v>2024</v>
      </c>
      <c r="F4171" s="5">
        <v>8</v>
      </c>
      <c r="G4171" s="5" t="s">
        <v>65</v>
      </c>
      <c r="H4171" s="5">
        <v>659100</v>
      </c>
      <c r="I4171" s="5">
        <v>568191.48</v>
      </c>
      <c r="J4171" s="5">
        <v>12</v>
      </c>
      <c r="K4171" s="5">
        <v>98590</v>
      </c>
      <c r="L4171" s="5">
        <v>755690</v>
      </c>
      <c r="M4171" s="5">
        <v>90908.52</v>
      </c>
      <c r="N4171" s="5">
        <v>0.13789999999999999</v>
      </c>
      <c r="O4171" s="5">
        <v>0</v>
      </c>
      <c r="P4171" s="5">
        <v>0</v>
      </c>
    </row>
    <row r="4172" spans="1:16" x14ac:dyDescent="0.3">
      <c r="A4172" s="5">
        <v>18</v>
      </c>
      <c r="B4172" s="5" t="s">
        <v>159</v>
      </c>
      <c r="C4172" s="5">
        <v>4</v>
      </c>
      <c r="D4172" s="5" t="s">
        <v>78</v>
      </c>
      <c r="E4172" s="5">
        <v>2024</v>
      </c>
      <c r="F4172" s="5">
        <v>9</v>
      </c>
      <c r="G4172" s="5" t="s">
        <v>66</v>
      </c>
      <c r="H4172" s="5">
        <v>1034231</v>
      </c>
      <c r="I4172" s="5">
        <v>809441.66</v>
      </c>
      <c r="J4172" s="5">
        <v>14</v>
      </c>
      <c r="K4172" s="5">
        <v>21121</v>
      </c>
      <c r="L4172" s="5">
        <v>1045570</v>
      </c>
      <c r="M4172" s="5">
        <v>224789.34</v>
      </c>
      <c r="N4172" s="5">
        <v>0.21729999999999999</v>
      </c>
      <c r="O4172" s="5">
        <v>2</v>
      </c>
      <c r="P4172" s="5">
        <v>15088</v>
      </c>
    </row>
    <row r="4173" spans="1:16" x14ac:dyDescent="0.3">
      <c r="A4173" s="5">
        <v>120</v>
      </c>
      <c r="B4173" s="5" t="s">
        <v>159</v>
      </c>
      <c r="C4173" s="5">
        <v>4</v>
      </c>
      <c r="D4173" s="5" t="s">
        <v>78</v>
      </c>
      <c r="E4173" s="5">
        <v>2024</v>
      </c>
      <c r="F4173" s="5">
        <v>9</v>
      </c>
      <c r="G4173" s="5" t="s">
        <v>66</v>
      </c>
      <c r="H4173" s="5">
        <v>1790147</v>
      </c>
      <c r="I4173" s="5">
        <v>1453375.39</v>
      </c>
      <c r="J4173" s="5">
        <v>24</v>
      </c>
      <c r="K4173" s="5">
        <v>74220</v>
      </c>
      <c r="L4173" s="5">
        <v>1860870</v>
      </c>
      <c r="M4173" s="5">
        <v>336771.61</v>
      </c>
      <c r="N4173" s="5">
        <v>0.18809999999999999</v>
      </c>
      <c r="O4173" s="5">
        <v>1</v>
      </c>
      <c r="P4173" s="5">
        <v>231765</v>
      </c>
    </row>
    <row r="4174" spans="1:16" x14ac:dyDescent="0.3">
      <c r="A4174" s="5">
        <v>18</v>
      </c>
      <c r="B4174" s="5" t="s">
        <v>159</v>
      </c>
      <c r="C4174" s="5">
        <v>4</v>
      </c>
      <c r="D4174" s="5" t="s">
        <v>78</v>
      </c>
      <c r="E4174" s="5">
        <v>2024</v>
      </c>
      <c r="F4174" s="5">
        <v>10</v>
      </c>
      <c r="G4174" s="5" t="s">
        <v>67</v>
      </c>
      <c r="H4174" s="5">
        <v>1041967</v>
      </c>
      <c r="I4174" s="5">
        <v>831181.07</v>
      </c>
      <c r="J4174" s="5">
        <v>17</v>
      </c>
      <c r="K4174" s="5">
        <v>44562</v>
      </c>
      <c r="L4174" s="5">
        <v>1085150</v>
      </c>
      <c r="M4174" s="5">
        <v>210785.93</v>
      </c>
      <c r="N4174" s="5">
        <v>0.20230000000000001</v>
      </c>
      <c r="O4174" s="5">
        <v>1</v>
      </c>
      <c r="P4174" s="5">
        <v>5920</v>
      </c>
    </row>
    <row r="4175" spans="1:16" x14ac:dyDescent="0.3">
      <c r="A4175" s="5">
        <v>120</v>
      </c>
      <c r="B4175" s="5" t="s">
        <v>159</v>
      </c>
      <c r="C4175" s="5">
        <v>4</v>
      </c>
      <c r="D4175" s="5" t="s">
        <v>78</v>
      </c>
      <c r="E4175" s="5">
        <v>2024</v>
      </c>
      <c r="F4175" s="5">
        <v>10</v>
      </c>
      <c r="G4175" s="5" t="s">
        <v>67</v>
      </c>
      <c r="H4175" s="5">
        <v>2007472</v>
      </c>
      <c r="I4175" s="5">
        <v>1589082.92</v>
      </c>
      <c r="J4175" s="5">
        <v>21</v>
      </c>
      <c r="K4175" s="5">
        <v>54108</v>
      </c>
      <c r="L4175" s="5">
        <v>2056360</v>
      </c>
      <c r="M4175" s="5">
        <v>418389.08</v>
      </c>
      <c r="N4175" s="5">
        <v>0.2084</v>
      </c>
      <c r="O4175" s="5">
        <v>1</v>
      </c>
      <c r="P4175" s="5">
        <v>47198</v>
      </c>
    </row>
    <row r="4176" spans="1:16" x14ac:dyDescent="0.3">
      <c r="A4176" s="5">
        <v>18</v>
      </c>
      <c r="B4176" s="5" t="s">
        <v>159</v>
      </c>
      <c r="C4176" s="5">
        <v>4</v>
      </c>
      <c r="D4176" s="5" t="s">
        <v>78</v>
      </c>
      <c r="E4176" s="5">
        <v>2024</v>
      </c>
      <c r="F4176" s="5">
        <v>11</v>
      </c>
      <c r="G4176" s="5" t="s">
        <v>68</v>
      </c>
      <c r="H4176" s="5">
        <v>398637</v>
      </c>
      <c r="I4176" s="5">
        <v>318557.89</v>
      </c>
      <c r="J4176" s="5">
        <v>8</v>
      </c>
      <c r="K4176" s="5">
        <v>15072</v>
      </c>
      <c r="L4176" s="5">
        <v>412440</v>
      </c>
      <c r="M4176" s="5">
        <v>80079.11</v>
      </c>
      <c r="N4176" s="5">
        <v>0.2009</v>
      </c>
      <c r="O4176" s="5">
        <v>0</v>
      </c>
      <c r="P4176" s="5">
        <v>0</v>
      </c>
    </row>
    <row r="4177" spans="1:16" x14ac:dyDescent="0.3">
      <c r="A4177" s="5">
        <v>120</v>
      </c>
      <c r="B4177" s="5" t="s">
        <v>159</v>
      </c>
      <c r="C4177" s="5">
        <v>4</v>
      </c>
      <c r="D4177" s="5" t="s">
        <v>78</v>
      </c>
      <c r="E4177" s="5">
        <v>2024</v>
      </c>
      <c r="F4177" s="5">
        <v>11</v>
      </c>
      <c r="G4177" s="5" t="s">
        <v>68</v>
      </c>
      <c r="H4177" s="5">
        <v>2342400</v>
      </c>
      <c r="I4177" s="5">
        <v>1866586.24</v>
      </c>
      <c r="J4177" s="5">
        <v>27</v>
      </c>
      <c r="K4177" s="5">
        <v>98799</v>
      </c>
      <c r="L4177" s="5">
        <v>2429270</v>
      </c>
      <c r="M4177" s="5">
        <v>475813.76</v>
      </c>
      <c r="N4177" s="5">
        <v>0.2031</v>
      </c>
      <c r="O4177" s="5">
        <v>4</v>
      </c>
      <c r="P4177" s="5">
        <v>137644</v>
      </c>
    </row>
    <row r="4178" spans="1:16" x14ac:dyDescent="0.3">
      <c r="A4178" s="5">
        <v>18</v>
      </c>
      <c r="B4178" s="5" t="s">
        <v>159</v>
      </c>
      <c r="C4178" s="5">
        <v>4</v>
      </c>
      <c r="D4178" s="5" t="s">
        <v>78</v>
      </c>
      <c r="E4178" s="5">
        <v>2024</v>
      </c>
      <c r="F4178" s="5">
        <v>12</v>
      </c>
      <c r="G4178" s="5" t="s">
        <v>69</v>
      </c>
      <c r="H4178" s="5">
        <v>1178993</v>
      </c>
      <c r="I4178" s="5">
        <v>961764.66</v>
      </c>
      <c r="J4178" s="5">
        <v>16</v>
      </c>
      <c r="K4178" s="5">
        <v>32687</v>
      </c>
      <c r="L4178" s="5">
        <v>1203480</v>
      </c>
      <c r="M4178" s="5">
        <v>217228.34</v>
      </c>
      <c r="N4178" s="5">
        <v>0.1842</v>
      </c>
      <c r="O4178" s="5">
        <v>1</v>
      </c>
      <c r="P4178" s="5">
        <v>6564</v>
      </c>
    </row>
    <row r="4179" spans="1:16" x14ac:dyDescent="0.3">
      <c r="A4179" s="5">
        <v>120</v>
      </c>
      <c r="B4179" s="5" t="s">
        <v>159</v>
      </c>
      <c r="C4179" s="5">
        <v>4</v>
      </c>
      <c r="D4179" s="5" t="s">
        <v>78</v>
      </c>
      <c r="E4179" s="5">
        <v>2024</v>
      </c>
      <c r="F4179" s="5">
        <v>12</v>
      </c>
      <c r="G4179" s="5" t="s">
        <v>69</v>
      </c>
      <c r="H4179" s="5">
        <v>1162374</v>
      </c>
      <c r="I4179" s="5">
        <v>888463.97</v>
      </c>
      <c r="J4179" s="5">
        <v>24</v>
      </c>
      <c r="K4179" s="5">
        <v>34404</v>
      </c>
      <c r="L4179" s="5">
        <v>1193460</v>
      </c>
      <c r="M4179" s="5">
        <v>273910.03000000003</v>
      </c>
      <c r="N4179" s="5">
        <v>0.2356</v>
      </c>
      <c r="O4179" s="5">
        <v>1</v>
      </c>
      <c r="P4179" s="5">
        <v>26501</v>
      </c>
    </row>
    <row r="4180" spans="1:16" x14ac:dyDescent="0.3">
      <c r="A4180" s="5">
        <v>27</v>
      </c>
      <c r="B4180" s="5" t="s">
        <v>160</v>
      </c>
      <c r="C4180" s="5">
        <v>10</v>
      </c>
      <c r="D4180" s="5" t="s">
        <v>86</v>
      </c>
      <c r="E4180" s="5">
        <v>2021</v>
      </c>
      <c r="F4180" s="5">
        <v>1</v>
      </c>
      <c r="G4180" s="5" t="s">
        <v>22</v>
      </c>
      <c r="H4180" s="5">
        <v>1356039</v>
      </c>
      <c r="I4180" s="5">
        <v>1162244.52</v>
      </c>
      <c r="J4180" s="5">
        <v>21</v>
      </c>
      <c r="K4180" s="5">
        <v>119132</v>
      </c>
      <c r="L4180" s="5">
        <v>1470120</v>
      </c>
      <c r="M4180" s="5">
        <v>193794.48</v>
      </c>
      <c r="N4180" s="5">
        <v>0.1429</v>
      </c>
      <c r="O4180" s="5">
        <v>0</v>
      </c>
      <c r="P4180" s="5">
        <v>0</v>
      </c>
    </row>
    <row r="4181" spans="1:16" x14ac:dyDescent="0.3">
      <c r="A4181" s="5">
        <v>113</v>
      </c>
      <c r="B4181" s="5" t="s">
        <v>160</v>
      </c>
      <c r="C4181" s="5">
        <v>10</v>
      </c>
      <c r="D4181" s="5" t="s">
        <v>86</v>
      </c>
      <c r="E4181" s="5">
        <v>2021</v>
      </c>
      <c r="F4181" s="5">
        <v>1</v>
      </c>
      <c r="G4181" s="5" t="s">
        <v>22</v>
      </c>
      <c r="H4181" s="5">
        <v>828933</v>
      </c>
      <c r="I4181" s="5">
        <v>780729.65</v>
      </c>
      <c r="J4181" s="5">
        <v>14</v>
      </c>
      <c r="K4181" s="5">
        <v>181274</v>
      </c>
      <c r="L4181" s="5">
        <v>1007600</v>
      </c>
      <c r="M4181" s="5">
        <v>48203.35</v>
      </c>
      <c r="N4181" s="5">
        <v>5.8200000000000002E-2</v>
      </c>
      <c r="O4181" s="5">
        <v>2</v>
      </c>
      <c r="P4181" s="5">
        <v>31217</v>
      </c>
    </row>
    <row r="4182" spans="1:16" x14ac:dyDescent="0.3">
      <c r="A4182" s="5">
        <v>27</v>
      </c>
      <c r="B4182" s="5" t="s">
        <v>160</v>
      </c>
      <c r="C4182" s="5">
        <v>10</v>
      </c>
      <c r="D4182" s="5" t="s">
        <v>86</v>
      </c>
      <c r="E4182" s="5">
        <v>2021</v>
      </c>
      <c r="F4182" s="5">
        <v>2</v>
      </c>
      <c r="G4182" s="5" t="s">
        <v>23</v>
      </c>
      <c r="H4182" s="5">
        <v>873150</v>
      </c>
      <c r="I4182" s="5">
        <v>739032.38</v>
      </c>
      <c r="J4182" s="5">
        <v>13</v>
      </c>
      <c r="K4182" s="5">
        <v>79518</v>
      </c>
      <c r="L4182" s="5">
        <v>951090</v>
      </c>
      <c r="M4182" s="5">
        <v>134117.62</v>
      </c>
      <c r="N4182" s="5">
        <v>0.15359999999999999</v>
      </c>
      <c r="O4182" s="5">
        <v>2</v>
      </c>
      <c r="P4182" s="5">
        <v>25122</v>
      </c>
    </row>
    <row r="4183" spans="1:16" x14ac:dyDescent="0.3">
      <c r="A4183" s="5">
        <v>113</v>
      </c>
      <c r="B4183" s="5" t="s">
        <v>160</v>
      </c>
      <c r="C4183" s="5">
        <v>10</v>
      </c>
      <c r="D4183" s="5" t="s">
        <v>86</v>
      </c>
      <c r="E4183" s="5">
        <v>2021</v>
      </c>
      <c r="F4183" s="5">
        <v>2</v>
      </c>
      <c r="G4183" s="5" t="s">
        <v>23</v>
      </c>
      <c r="H4183" s="5">
        <v>625919</v>
      </c>
      <c r="I4183" s="5">
        <v>521810.62</v>
      </c>
      <c r="J4183" s="5">
        <v>6</v>
      </c>
      <c r="K4183" s="5">
        <v>52581</v>
      </c>
      <c r="L4183" s="5">
        <v>678500</v>
      </c>
      <c r="M4183" s="5">
        <v>104108.38</v>
      </c>
      <c r="N4183" s="5">
        <v>0.1663</v>
      </c>
      <c r="O4183" s="5">
        <v>1</v>
      </c>
      <c r="P4183" s="5">
        <v>1053</v>
      </c>
    </row>
    <row r="4184" spans="1:16" x14ac:dyDescent="0.3">
      <c r="A4184" s="5">
        <v>27</v>
      </c>
      <c r="B4184" s="5" t="s">
        <v>160</v>
      </c>
      <c r="C4184" s="5">
        <v>10</v>
      </c>
      <c r="D4184" s="5" t="s">
        <v>86</v>
      </c>
      <c r="E4184" s="5">
        <v>2021</v>
      </c>
      <c r="F4184" s="5">
        <v>3</v>
      </c>
      <c r="G4184" s="5" t="s">
        <v>24</v>
      </c>
      <c r="H4184" s="5">
        <v>881143</v>
      </c>
      <c r="I4184" s="5">
        <v>722658.84</v>
      </c>
      <c r="J4184" s="5">
        <v>13</v>
      </c>
      <c r="K4184" s="5">
        <v>54797</v>
      </c>
      <c r="L4184" s="5">
        <v>933420</v>
      </c>
      <c r="M4184" s="5">
        <v>158484.16</v>
      </c>
      <c r="N4184" s="5">
        <v>0.1799</v>
      </c>
      <c r="O4184" s="5">
        <v>1</v>
      </c>
      <c r="P4184" s="5">
        <v>98389</v>
      </c>
    </row>
    <row r="4185" spans="1:16" x14ac:dyDescent="0.3">
      <c r="A4185" s="5">
        <v>113</v>
      </c>
      <c r="B4185" s="5" t="s">
        <v>160</v>
      </c>
      <c r="C4185" s="5">
        <v>10</v>
      </c>
      <c r="D4185" s="5" t="s">
        <v>86</v>
      </c>
      <c r="E4185" s="5">
        <v>2021</v>
      </c>
      <c r="F4185" s="5">
        <v>3</v>
      </c>
      <c r="G4185" s="5" t="s">
        <v>24</v>
      </c>
      <c r="H4185" s="5">
        <v>657122</v>
      </c>
      <c r="I4185" s="5">
        <v>553498.39</v>
      </c>
      <c r="J4185" s="5">
        <v>12</v>
      </c>
      <c r="K4185" s="5">
        <v>43992</v>
      </c>
      <c r="L4185" s="5">
        <v>698370</v>
      </c>
      <c r="M4185" s="5">
        <v>103623.61</v>
      </c>
      <c r="N4185" s="5">
        <v>0.15770000000000001</v>
      </c>
      <c r="O4185" s="5">
        <v>0</v>
      </c>
      <c r="P4185" s="5">
        <v>0</v>
      </c>
    </row>
    <row r="4186" spans="1:16" x14ac:dyDescent="0.3">
      <c r="A4186" s="5">
        <v>27</v>
      </c>
      <c r="B4186" s="5" t="s">
        <v>160</v>
      </c>
      <c r="C4186" s="5">
        <v>10</v>
      </c>
      <c r="D4186" s="5" t="s">
        <v>86</v>
      </c>
      <c r="E4186" s="5">
        <v>2021</v>
      </c>
      <c r="F4186" s="5">
        <v>4</v>
      </c>
      <c r="G4186" s="5" t="s">
        <v>25</v>
      </c>
      <c r="H4186" s="5">
        <v>860329</v>
      </c>
      <c r="I4186" s="5">
        <v>757728.5</v>
      </c>
      <c r="J4186" s="5">
        <v>18</v>
      </c>
      <c r="K4186" s="5">
        <v>132391</v>
      </c>
      <c r="L4186" s="5">
        <v>989780</v>
      </c>
      <c r="M4186" s="5">
        <v>102600.5</v>
      </c>
      <c r="N4186" s="5">
        <v>0.1193</v>
      </c>
      <c r="O4186" s="5">
        <v>1</v>
      </c>
      <c r="P4186" s="5">
        <v>11665</v>
      </c>
    </row>
    <row r="4187" spans="1:16" x14ac:dyDescent="0.3">
      <c r="A4187" s="5">
        <v>113</v>
      </c>
      <c r="B4187" s="5" t="s">
        <v>160</v>
      </c>
      <c r="C4187" s="5">
        <v>10</v>
      </c>
      <c r="D4187" s="5" t="s">
        <v>86</v>
      </c>
      <c r="E4187" s="5">
        <v>2021</v>
      </c>
      <c r="F4187" s="5">
        <v>4</v>
      </c>
      <c r="G4187" s="5" t="s">
        <v>25</v>
      </c>
      <c r="H4187" s="5">
        <v>1127843</v>
      </c>
      <c r="I4187" s="5">
        <v>999997.75</v>
      </c>
      <c r="J4187" s="5">
        <v>15</v>
      </c>
      <c r="K4187" s="5">
        <v>133594</v>
      </c>
      <c r="L4187" s="5">
        <v>1259430</v>
      </c>
      <c r="M4187" s="5">
        <v>127845.25</v>
      </c>
      <c r="N4187" s="5">
        <v>0.1134</v>
      </c>
      <c r="O4187" s="5">
        <v>0</v>
      </c>
      <c r="P4187" s="5">
        <v>0</v>
      </c>
    </row>
    <row r="4188" spans="1:16" x14ac:dyDescent="0.3">
      <c r="A4188" s="5">
        <v>27</v>
      </c>
      <c r="B4188" s="5" t="s">
        <v>160</v>
      </c>
      <c r="C4188" s="5">
        <v>10</v>
      </c>
      <c r="D4188" s="5" t="s">
        <v>86</v>
      </c>
      <c r="E4188" s="5">
        <v>2021</v>
      </c>
      <c r="F4188" s="5">
        <v>5</v>
      </c>
      <c r="G4188" s="5" t="s">
        <v>26</v>
      </c>
      <c r="H4188" s="5">
        <v>1266538</v>
      </c>
      <c r="I4188" s="5">
        <v>1185393.07</v>
      </c>
      <c r="J4188" s="5">
        <v>19</v>
      </c>
      <c r="K4188" s="5">
        <v>204848</v>
      </c>
      <c r="L4188" s="5">
        <v>1468450</v>
      </c>
      <c r="M4188" s="5">
        <v>81144.929999999993</v>
      </c>
      <c r="N4188" s="5">
        <v>6.4100000000000004E-2</v>
      </c>
      <c r="O4188" s="5">
        <v>2</v>
      </c>
      <c r="P4188" s="5">
        <v>27541</v>
      </c>
    </row>
    <row r="4189" spans="1:16" x14ac:dyDescent="0.3">
      <c r="A4189" s="5">
        <v>113</v>
      </c>
      <c r="B4189" s="5" t="s">
        <v>160</v>
      </c>
      <c r="C4189" s="5">
        <v>10</v>
      </c>
      <c r="D4189" s="5" t="s">
        <v>86</v>
      </c>
      <c r="E4189" s="5">
        <v>2021</v>
      </c>
      <c r="F4189" s="5">
        <v>5</v>
      </c>
      <c r="G4189" s="5" t="s">
        <v>26</v>
      </c>
      <c r="H4189" s="5">
        <v>969618</v>
      </c>
      <c r="I4189" s="5">
        <v>889246.96</v>
      </c>
      <c r="J4189" s="5">
        <v>11</v>
      </c>
      <c r="K4189" s="5">
        <v>139685</v>
      </c>
      <c r="L4189" s="5">
        <v>1109230</v>
      </c>
      <c r="M4189" s="5">
        <v>80371.039999999994</v>
      </c>
      <c r="N4189" s="5">
        <v>8.2900000000000001E-2</v>
      </c>
      <c r="O4189" s="5">
        <v>1</v>
      </c>
      <c r="P4189" s="5">
        <v>1602</v>
      </c>
    </row>
    <row r="4190" spans="1:16" x14ac:dyDescent="0.3">
      <c r="A4190" s="5">
        <v>27</v>
      </c>
      <c r="B4190" s="5" t="s">
        <v>160</v>
      </c>
      <c r="C4190" s="5">
        <v>10</v>
      </c>
      <c r="D4190" s="5" t="s">
        <v>86</v>
      </c>
      <c r="E4190" s="5">
        <v>2021</v>
      </c>
      <c r="F4190" s="5">
        <v>6</v>
      </c>
      <c r="G4190" s="5" t="s">
        <v>27</v>
      </c>
      <c r="H4190" s="5">
        <v>949484</v>
      </c>
      <c r="I4190" s="5">
        <v>807813.95</v>
      </c>
      <c r="J4190" s="5">
        <v>13</v>
      </c>
      <c r="K4190" s="5">
        <v>111890</v>
      </c>
      <c r="L4190" s="5">
        <v>1060700</v>
      </c>
      <c r="M4190" s="5">
        <v>141670.04999999999</v>
      </c>
      <c r="N4190" s="5">
        <v>0.1492</v>
      </c>
      <c r="O4190" s="5">
        <v>1</v>
      </c>
      <c r="P4190" s="5">
        <v>2242</v>
      </c>
    </row>
    <row r="4191" spans="1:16" x14ac:dyDescent="0.3">
      <c r="A4191" s="5">
        <v>113</v>
      </c>
      <c r="B4191" s="5" t="s">
        <v>160</v>
      </c>
      <c r="C4191" s="5">
        <v>10</v>
      </c>
      <c r="D4191" s="5" t="s">
        <v>86</v>
      </c>
      <c r="E4191" s="5">
        <v>2021</v>
      </c>
      <c r="F4191" s="5">
        <v>6</v>
      </c>
      <c r="G4191" s="5" t="s">
        <v>27</v>
      </c>
      <c r="H4191" s="5">
        <v>1298018</v>
      </c>
      <c r="I4191" s="5">
        <v>1092395.07</v>
      </c>
      <c r="J4191" s="5">
        <v>14</v>
      </c>
      <c r="K4191" s="5">
        <v>98502</v>
      </c>
      <c r="L4191" s="5">
        <v>1391170</v>
      </c>
      <c r="M4191" s="5">
        <v>205622.93</v>
      </c>
      <c r="N4191" s="5">
        <v>0.15840000000000001</v>
      </c>
      <c r="O4191" s="5">
        <v>2</v>
      </c>
      <c r="P4191" s="5">
        <v>19073</v>
      </c>
    </row>
    <row r="4192" spans="1:16" x14ac:dyDescent="0.3">
      <c r="A4192" s="5">
        <v>27</v>
      </c>
      <c r="B4192" s="5" t="s">
        <v>160</v>
      </c>
      <c r="C4192" s="5">
        <v>10</v>
      </c>
      <c r="D4192" s="5" t="s">
        <v>86</v>
      </c>
      <c r="E4192" s="5">
        <v>2021</v>
      </c>
      <c r="F4192" s="5">
        <v>7</v>
      </c>
      <c r="G4192" s="5" t="s">
        <v>28</v>
      </c>
      <c r="H4192" s="5">
        <v>496987</v>
      </c>
      <c r="I4192" s="5">
        <v>421122.77</v>
      </c>
      <c r="J4192" s="5">
        <v>13</v>
      </c>
      <c r="K4192" s="5">
        <v>75433</v>
      </c>
      <c r="L4192" s="5">
        <v>572000</v>
      </c>
      <c r="M4192" s="5">
        <v>75864.23</v>
      </c>
      <c r="N4192" s="5">
        <v>0.15260000000000001</v>
      </c>
      <c r="O4192" s="5">
        <v>2</v>
      </c>
      <c r="P4192" s="5">
        <v>16754</v>
      </c>
    </row>
    <row r="4193" spans="1:16" x14ac:dyDescent="0.3">
      <c r="A4193" s="5">
        <v>113</v>
      </c>
      <c r="B4193" s="5" t="s">
        <v>160</v>
      </c>
      <c r="C4193" s="5">
        <v>10</v>
      </c>
      <c r="D4193" s="5" t="s">
        <v>86</v>
      </c>
      <c r="E4193" s="5">
        <v>2021</v>
      </c>
      <c r="F4193" s="5">
        <v>7</v>
      </c>
      <c r="G4193" s="5" t="s">
        <v>28</v>
      </c>
      <c r="H4193" s="5">
        <v>474015</v>
      </c>
      <c r="I4193" s="5">
        <v>461314.16</v>
      </c>
      <c r="J4193" s="5">
        <v>14</v>
      </c>
      <c r="K4193" s="5">
        <v>119083</v>
      </c>
      <c r="L4193" s="5">
        <v>593020</v>
      </c>
      <c r="M4193" s="5">
        <v>12700.84</v>
      </c>
      <c r="N4193" s="5">
        <v>2.6800000000000001E-2</v>
      </c>
      <c r="O4193" s="5">
        <v>0</v>
      </c>
      <c r="P4193" s="5">
        <v>0</v>
      </c>
    </row>
    <row r="4194" spans="1:16" x14ac:dyDescent="0.3">
      <c r="A4194" s="5">
        <v>27</v>
      </c>
      <c r="B4194" s="5" t="s">
        <v>160</v>
      </c>
      <c r="C4194" s="5">
        <v>10</v>
      </c>
      <c r="D4194" s="5" t="s">
        <v>86</v>
      </c>
      <c r="E4194" s="5">
        <v>2021</v>
      </c>
      <c r="F4194" s="5">
        <v>8</v>
      </c>
      <c r="G4194" s="5" t="s">
        <v>29</v>
      </c>
      <c r="H4194" s="5">
        <v>1021004</v>
      </c>
      <c r="I4194" s="5">
        <v>861157.62</v>
      </c>
      <c r="J4194" s="5">
        <v>20</v>
      </c>
      <c r="K4194" s="5">
        <v>94997</v>
      </c>
      <c r="L4194" s="5">
        <v>1112040</v>
      </c>
      <c r="M4194" s="5">
        <v>159846.38</v>
      </c>
      <c r="N4194" s="5">
        <v>0.15659999999999999</v>
      </c>
      <c r="O4194" s="5">
        <v>4</v>
      </c>
      <c r="P4194" s="5">
        <v>7120</v>
      </c>
    </row>
    <row r="4195" spans="1:16" x14ac:dyDescent="0.3">
      <c r="A4195" s="5">
        <v>113</v>
      </c>
      <c r="B4195" s="5" t="s">
        <v>160</v>
      </c>
      <c r="C4195" s="5">
        <v>10</v>
      </c>
      <c r="D4195" s="5" t="s">
        <v>86</v>
      </c>
      <c r="E4195" s="5">
        <v>2021</v>
      </c>
      <c r="F4195" s="5">
        <v>8</v>
      </c>
      <c r="G4195" s="5" t="s">
        <v>29</v>
      </c>
      <c r="H4195" s="5">
        <v>1091939</v>
      </c>
      <c r="I4195" s="5">
        <v>874423.34</v>
      </c>
      <c r="J4195" s="5">
        <v>17</v>
      </c>
      <c r="K4195" s="5">
        <v>68650</v>
      </c>
      <c r="L4195" s="5">
        <v>1155450</v>
      </c>
      <c r="M4195" s="5">
        <v>217515.66</v>
      </c>
      <c r="N4195" s="5">
        <v>0.19919999999999999</v>
      </c>
      <c r="O4195" s="5">
        <v>1</v>
      </c>
      <c r="P4195" s="5">
        <v>1061</v>
      </c>
    </row>
    <row r="4196" spans="1:16" x14ac:dyDescent="0.3">
      <c r="A4196" s="5">
        <v>27</v>
      </c>
      <c r="B4196" s="5" t="s">
        <v>160</v>
      </c>
      <c r="C4196" s="5">
        <v>10</v>
      </c>
      <c r="D4196" s="5" t="s">
        <v>86</v>
      </c>
      <c r="E4196" s="5">
        <v>2021</v>
      </c>
      <c r="F4196" s="5">
        <v>9</v>
      </c>
      <c r="G4196" s="5" t="s">
        <v>30</v>
      </c>
      <c r="H4196" s="5">
        <v>1085648</v>
      </c>
      <c r="I4196" s="5">
        <v>944221.74</v>
      </c>
      <c r="J4196" s="5">
        <v>20</v>
      </c>
      <c r="K4196" s="5">
        <v>185161</v>
      </c>
      <c r="L4196" s="5">
        <v>1266440</v>
      </c>
      <c r="M4196" s="5">
        <v>141426.26</v>
      </c>
      <c r="N4196" s="5">
        <v>0.1303</v>
      </c>
      <c r="O4196" s="5">
        <v>0</v>
      </c>
      <c r="P4196" s="5">
        <v>0</v>
      </c>
    </row>
    <row r="4197" spans="1:16" x14ac:dyDescent="0.3">
      <c r="A4197" s="5">
        <v>113</v>
      </c>
      <c r="B4197" s="5" t="s">
        <v>160</v>
      </c>
      <c r="C4197" s="5">
        <v>10</v>
      </c>
      <c r="D4197" s="5" t="s">
        <v>86</v>
      </c>
      <c r="E4197" s="5">
        <v>2021</v>
      </c>
      <c r="F4197" s="5">
        <v>9</v>
      </c>
      <c r="G4197" s="5" t="s">
        <v>30</v>
      </c>
      <c r="H4197" s="5">
        <v>872484</v>
      </c>
      <c r="I4197" s="5">
        <v>749869.83</v>
      </c>
      <c r="J4197" s="5">
        <v>12</v>
      </c>
      <c r="K4197" s="5">
        <v>72191</v>
      </c>
      <c r="L4197" s="5">
        <v>940580</v>
      </c>
      <c r="M4197" s="5">
        <v>122614.17</v>
      </c>
      <c r="N4197" s="5">
        <v>0.14050000000000001</v>
      </c>
      <c r="O4197" s="5">
        <v>0</v>
      </c>
      <c r="P4197" s="5">
        <v>0</v>
      </c>
    </row>
    <row r="4198" spans="1:16" x14ac:dyDescent="0.3">
      <c r="A4198" s="5">
        <v>27</v>
      </c>
      <c r="B4198" s="5" t="s">
        <v>160</v>
      </c>
      <c r="C4198" s="5">
        <v>10</v>
      </c>
      <c r="D4198" s="5" t="s">
        <v>86</v>
      </c>
      <c r="E4198" s="5">
        <v>2021</v>
      </c>
      <c r="F4198" s="5">
        <v>10</v>
      </c>
      <c r="G4198" s="5" t="s">
        <v>31</v>
      </c>
      <c r="H4198" s="5">
        <v>2422609</v>
      </c>
      <c r="I4198" s="5">
        <v>2038976.69</v>
      </c>
      <c r="J4198" s="5">
        <v>31</v>
      </c>
      <c r="K4198" s="5">
        <v>219474</v>
      </c>
      <c r="L4198" s="5">
        <v>2631960</v>
      </c>
      <c r="M4198" s="5">
        <v>383632.31</v>
      </c>
      <c r="N4198" s="5">
        <v>0.15840000000000001</v>
      </c>
      <c r="O4198" s="5">
        <v>3</v>
      </c>
      <c r="P4198" s="5">
        <v>68032</v>
      </c>
    </row>
    <row r="4199" spans="1:16" x14ac:dyDescent="0.3">
      <c r="A4199" s="5">
        <v>113</v>
      </c>
      <c r="B4199" s="5" t="s">
        <v>160</v>
      </c>
      <c r="C4199" s="5">
        <v>10</v>
      </c>
      <c r="D4199" s="5" t="s">
        <v>86</v>
      </c>
      <c r="E4199" s="5">
        <v>2021</v>
      </c>
      <c r="F4199" s="5">
        <v>10</v>
      </c>
      <c r="G4199" s="5" t="s">
        <v>31</v>
      </c>
      <c r="H4199" s="5">
        <v>852146</v>
      </c>
      <c r="I4199" s="5">
        <v>715546.53</v>
      </c>
      <c r="J4199" s="5">
        <v>12</v>
      </c>
      <c r="K4199" s="5">
        <v>71825</v>
      </c>
      <c r="L4199" s="5">
        <v>923430</v>
      </c>
      <c r="M4199" s="5">
        <v>136599.47</v>
      </c>
      <c r="N4199" s="5">
        <v>0.1603</v>
      </c>
      <c r="O4199" s="5">
        <v>0</v>
      </c>
      <c r="P4199" s="5">
        <v>0</v>
      </c>
    </row>
    <row r="4200" spans="1:16" x14ac:dyDescent="0.3">
      <c r="A4200" s="5">
        <v>27</v>
      </c>
      <c r="B4200" s="5" t="s">
        <v>160</v>
      </c>
      <c r="C4200" s="5">
        <v>10</v>
      </c>
      <c r="D4200" s="5" t="s">
        <v>86</v>
      </c>
      <c r="E4200" s="5">
        <v>2021</v>
      </c>
      <c r="F4200" s="5">
        <v>11</v>
      </c>
      <c r="G4200" s="5" t="s">
        <v>32</v>
      </c>
      <c r="H4200" s="5">
        <v>1390904</v>
      </c>
      <c r="I4200" s="5">
        <v>1173642.79</v>
      </c>
      <c r="J4200" s="5">
        <v>15</v>
      </c>
      <c r="K4200" s="5">
        <v>51629</v>
      </c>
      <c r="L4200" s="5">
        <v>1434910</v>
      </c>
      <c r="M4200" s="5">
        <v>217261.21</v>
      </c>
      <c r="N4200" s="5">
        <v>0.15620000000000001</v>
      </c>
      <c r="O4200" s="5">
        <v>0</v>
      </c>
      <c r="P4200" s="5">
        <v>0</v>
      </c>
    </row>
    <row r="4201" spans="1:16" x14ac:dyDescent="0.3">
      <c r="A4201" s="5">
        <v>113</v>
      </c>
      <c r="B4201" s="5" t="s">
        <v>160</v>
      </c>
      <c r="C4201" s="5">
        <v>10</v>
      </c>
      <c r="D4201" s="5" t="s">
        <v>86</v>
      </c>
      <c r="E4201" s="5">
        <v>2021</v>
      </c>
      <c r="F4201" s="5">
        <v>11</v>
      </c>
      <c r="G4201" s="5" t="s">
        <v>32</v>
      </c>
      <c r="H4201" s="5">
        <v>707028</v>
      </c>
      <c r="I4201" s="5">
        <v>542925.97</v>
      </c>
      <c r="J4201" s="5">
        <v>17</v>
      </c>
      <c r="K4201" s="5">
        <v>17444</v>
      </c>
      <c r="L4201" s="5">
        <v>719280</v>
      </c>
      <c r="M4201" s="5">
        <v>164102.03</v>
      </c>
      <c r="N4201" s="5">
        <v>0.2321</v>
      </c>
      <c r="O4201" s="5">
        <v>0</v>
      </c>
      <c r="P4201" s="5">
        <v>0</v>
      </c>
    </row>
    <row r="4202" spans="1:16" x14ac:dyDescent="0.3">
      <c r="A4202" s="5">
        <v>27</v>
      </c>
      <c r="B4202" s="5" t="s">
        <v>160</v>
      </c>
      <c r="C4202" s="5">
        <v>10</v>
      </c>
      <c r="D4202" s="5" t="s">
        <v>86</v>
      </c>
      <c r="E4202" s="5">
        <v>2021</v>
      </c>
      <c r="F4202" s="5">
        <v>12</v>
      </c>
      <c r="G4202" s="5" t="s">
        <v>33</v>
      </c>
      <c r="H4202" s="5">
        <v>820112</v>
      </c>
      <c r="I4202" s="5">
        <v>683186.33</v>
      </c>
      <c r="J4202" s="5">
        <v>18</v>
      </c>
      <c r="K4202" s="5">
        <v>98831</v>
      </c>
      <c r="L4202" s="5">
        <v>914020</v>
      </c>
      <c r="M4202" s="5">
        <v>136925.67000000001</v>
      </c>
      <c r="N4202" s="5">
        <v>0.16700000000000001</v>
      </c>
      <c r="O4202" s="5">
        <v>1</v>
      </c>
      <c r="P4202" s="5">
        <v>2412</v>
      </c>
    </row>
    <row r="4203" spans="1:16" x14ac:dyDescent="0.3">
      <c r="A4203" s="5">
        <v>113</v>
      </c>
      <c r="B4203" s="5" t="s">
        <v>160</v>
      </c>
      <c r="C4203" s="5">
        <v>10</v>
      </c>
      <c r="D4203" s="5" t="s">
        <v>86</v>
      </c>
      <c r="E4203" s="5">
        <v>2021</v>
      </c>
      <c r="F4203" s="5">
        <v>12</v>
      </c>
      <c r="G4203" s="5" t="s">
        <v>33</v>
      </c>
      <c r="H4203" s="5">
        <v>547421</v>
      </c>
      <c r="I4203" s="5">
        <v>472799.85</v>
      </c>
      <c r="J4203" s="5">
        <v>11</v>
      </c>
      <c r="K4203" s="5">
        <v>62664</v>
      </c>
      <c r="L4203" s="5">
        <v>609310</v>
      </c>
      <c r="M4203" s="5">
        <v>74621.149999999994</v>
      </c>
      <c r="N4203" s="5">
        <v>0.1363</v>
      </c>
      <c r="O4203" s="5">
        <v>0</v>
      </c>
      <c r="P4203" s="5">
        <v>0</v>
      </c>
    </row>
    <row r="4204" spans="1:16" x14ac:dyDescent="0.3">
      <c r="A4204" s="5">
        <v>27</v>
      </c>
      <c r="B4204" s="5" t="s">
        <v>160</v>
      </c>
      <c r="C4204" s="5">
        <v>10</v>
      </c>
      <c r="D4204" s="5" t="s">
        <v>86</v>
      </c>
      <c r="E4204" s="5">
        <v>2022</v>
      </c>
      <c r="F4204" s="5">
        <v>1</v>
      </c>
      <c r="G4204" s="5" t="s">
        <v>34</v>
      </c>
      <c r="H4204" s="5">
        <v>1010797</v>
      </c>
      <c r="I4204" s="5">
        <v>871260.94</v>
      </c>
      <c r="J4204" s="5">
        <v>18</v>
      </c>
      <c r="K4204" s="5">
        <v>145309</v>
      </c>
      <c r="L4204" s="5">
        <v>1155950</v>
      </c>
      <c r="M4204" s="5">
        <v>139536.06</v>
      </c>
      <c r="N4204" s="5">
        <v>0.13800000000000001</v>
      </c>
      <c r="O4204" s="5">
        <v>0</v>
      </c>
      <c r="P4204" s="5">
        <v>0</v>
      </c>
    </row>
    <row r="4205" spans="1:16" x14ac:dyDescent="0.3">
      <c r="A4205" s="5">
        <v>113</v>
      </c>
      <c r="B4205" s="5" t="s">
        <v>160</v>
      </c>
      <c r="C4205" s="5">
        <v>10</v>
      </c>
      <c r="D4205" s="5" t="s">
        <v>86</v>
      </c>
      <c r="E4205" s="5">
        <v>2022</v>
      </c>
      <c r="F4205" s="5">
        <v>1</v>
      </c>
      <c r="G4205" s="5" t="s">
        <v>34</v>
      </c>
      <c r="H4205" s="5">
        <v>1213713</v>
      </c>
      <c r="I4205" s="5">
        <v>1063230.92</v>
      </c>
      <c r="J4205" s="5">
        <v>21</v>
      </c>
      <c r="K4205" s="5">
        <v>109534</v>
      </c>
      <c r="L4205" s="5">
        <v>1319530</v>
      </c>
      <c r="M4205" s="5">
        <v>150482.07999999999</v>
      </c>
      <c r="N4205" s="5">
        <v>0.124</v>
      </c>
      <c r="O4205" s="5">
        <v>1</v>
      </c>
      <c r="P4205" s="5">
        <v>86422</v>
      </c>
    </row>
    <row r="4206" spans="1:16" x14ac:dyDescent="0.3">
      <c r="A4206" s="5">
        <v>27</v>
      </c>
      <c r="B4206" s="5" t="s">
        <v>160</v>
      </c>
      <c r="C4206" s="5">
        <v>10</v>
      </c>
      <c r="D4206" s="5" t="s">
        <v>86</v>
      </c>
      <c r="E4206" s="5">
        <v>2022</v>
      </c>
      <c r="F4206" s="5">
        <v>2</v>
      </c>
      <c r="G4206" s="5" t="s">
        <v>35</v>
      </c>
      <c r="H4206" s="5">
        <v>1449271</v>
      </c>
      <c r="I4206" s="5">
        <v>1145487.76</v>
      </c>
      <c r="J4206" s="5">
        <v>24</v>
      </c>
      <c r="K4206" s="5">
        <v>61238</v>
      </c>
      <c r="L4206" s="5">
        <v>1501380</v>
      </c>
      <c r="M4206" s="5">
        <v>303783.24</v>
      </c>
      <c r="N4206" s="5">
        <v>0.20960000000000001</v>
      </c>
      <c r="O4206" s="5">
        <v>1</v>
      </c>
      <c r="P4206" s="5">
        <v>90718</v>
      </c>
    </row>
    <row r="4207" spans="1:16" x14ac:dyDescent="0.3">
      <c r="A4207" s="5">
        <v>113</v>
      </c>
      <c r="B4207" s="5" t="s">
        <v>160</v>
      </c>
      <c r="C4207" s="5">
        <v>10</v>
      </c>
      <c r="D4207" s="5" t="s">
        <v>86</v>
      </c>
      <c r="E4207" s="5">
        <v>2022</v>
      </c>
      <c r="F4207" s="5">
        <v>2</v>
      </c>
      <c r="G4207" s="5" t="s">
        <v>35</v>
      </c>
      <c r="H4207" s="5">
        <v>2331325</v>
      </c>
      <c r="I4207" s="5">
        <v>1981104.01</v>
      </c>
      <c r="J4207" s="5">
        <v>20</v>
      </c>
      <c r="K4207" s="5">
        <v>199609</v>
      </c>
      <c r="L4207" s="5">
        <v>2524720</v>
      </c>
      <c r="M4207" s="5">
        <v>350220.99</v>
      </c>
      <c r="N4207" s="5">
        <v>0.1502</v>
      </c>
      <c r="O4207" s="5">
        <v>1</v>
      </c>
      <c r="P4207" s="5">
        <v>1744</v>
      </c>
    </row>
    <row r="4208" spans="1:16" x14ac:dyDescent="0.3">
      <c r="A4208" s="5">
        <v>27</v>
      </c>
      <c r="B4208" s="5" t="s">
        <v>160</v>
      </c>
      <c r="C4208" s="5">
        <v>10</v>
      </c>
      <c r="D4208" s="5" t="s">
        <v>86</v>
      </c>
      <c r="E4208" s="5">
        <v>2022</v>
      </c>
      <c r="F4208" s="5">
        <v>3</v>
      </c>
      <c r="G4208" s="5" t="s">
        <v>36</v>
      </c>
      <c r="H4208" s="5">
        <v>1802523</v>
      </c>
      <c r="I4208" s="5">
        <v>1691077.41</v>
      </c>
      <c r="J4208" s="5">
        <v>23</v>
      </c>
      <c r="K4208" s="5">
        <v>398752</v>
      </c>
      <c r="L4208" s="5">
        <v>2194740</v>
      </c>
      <c r="M4208" s="5">
        <v>111445.59</v>
      </c>
      <c r="N4208" s="5">
        <v>6.1800000000000001E-2</v>
      </c>
      <c r="O4208" s="5">
        <v>1</v>
      </c>
      <c r="P4208" s="5">
        <v>21763</v>
      </c>
    </row>
    <row r="4209" spans="1:16" x14ac:dyDescent="0.3">
      <c r="A4209" s="5">
        <v>113</v>
      </c>
      <c r="B4209" s="5" t="s">
        <v>160</v>
      </c>
      <c r="C4209" s="5">
        <v>10</v>
      </c>
      <c r="D4209" s="5" t="s">
        <v>86</v>
      </c>
      <c r="E4209" s="5">
        <v>2022</v>
      </c>
      <c r="F4209" s="5">
        <v>3</v>
      </c>
      <c r="G4209" s="5" t="s">
        <v>36</v>
      </c>
      <c r="H4209" s="5">
        <v>1053610</v>
      </c>
      <c r="I4209" s="5">
        <v>977504.39</v>
      </c>
      <c r="J4209" s="5">
        <v>16</v>
      </c>
      <c r="K4209" s="5">
        <v>174447</v>
      </c>
      <c r="L4209" s="5">
        <v>1225580</v>
      </c>
      <c r="M4209" s="5">
        <v>76105.61</v>
      </c>
      <c r="N4209" s="5">
        <v>7.22E-2</v>
      </c>
      <c r="O4209" s="5">
        <v>0</v>
      </c>
      <c r="P4209" s="5">
        <v>0</v>
      </c>
    </row>
    <row r="4210" spans="1:16" x14ac:dyDescent="0.3">
      <c r="A4210" s="5">
        <v>27</v>
      </c>
      <c r="B4210" s="5" t="s">
        <v>160</v>
      </c>
      <c r="C4210" s="5">
        <v>10</v>
      </c>
      <c r="D4210" s="5" t="s">
        <v>86</v>
      </c>
      <c r="E4210" s="5">
        <v>2022</v>
      </c>
      <c r="F4210" s="5">
        <v>4</v>
      </c>
      <c r="G4210" s="5" t="s">
        <v>37</v>
      </c>
      <c r="H4210" s="5">
        <v>2080007</v>
      </c>
      <c r="I4210" s="5">
        <v>1793197.44</v>
      </c>
      <c r="J4210" s="5">
        <v>23</v>
      </c>
      <c r="K4210" s="5">
        <v>220098</v>
      </c>
      <c r="L4210" s="5">
        <v>2291970</v>
      </c>
      <c r="M4210" s="5">
        <v>286809.56</v>
      </c>
      <c r="N4210" s="5">
        <v>0.13789999999999999</v>
      </c>
      <c r="O4210" s="5">
        <v>3</v>
      </c>
      <c r="P4210" s="5">
        <v>149273</v>
      </c>
    </row>
    <row r="4211" spans="1:16" x14ac:dyDescent="0.3">
      <c r="A4211" s="5">
        <v>113</v>
      </c>
      <c r="B4211" s="5" t="s">
        <v>160</v>
      </c>
      <c r="C4211" s="5">
        <v>10</v>
      </c>
      <c r="D4211" s="5" t="s">
        <v>86</v>
      </c>
      <c r="E4211" s="5">
        <v>2022</v>
      </c>
      <c r="F4211" s="5">
        <v>4</v>
      </c>
      <c r="G4211" s="5" t="s">
        <v>37</v>
      </c>
      <c r="H4211" s="5">
        <v>1988742</v>
      </c>
      <c r="I4211" s="5">
        <v>1742289.54</v>
      </c>
      <c r="J4211" s="5">
        <v>25</v>
      </c>
      <c r="K4211" s="5">
        <v>269405</v>
      </c>
      <c r="L4211" s="5">
        <v>2250280</v>
      </c>
      <c r="M4211" s="5">
        <v>246452.46</v>
      </c>
      <c r="N4211" s="5">
        <v>0.1239</v>
      </c>
      <c r="O4211" s="5">
        <v>1</v>
      </c>
      <c r="P4211" s="5">
        <v>39443</v>
      </c>
    </row>
    <row r="4212" spans="1:16" x14ac:dyDescent="0.3">
      <c r="A4212" s="5">
        <v>27</v>
      </c>
      <c r="B4212" s="5" t="s">
        <v>160</v>
      </c>
      <c r="C4212" s="5">
        <v>10</v>
      </c>
      <c r="D4212" s="5" t="s">
        <v>86</v>
      </c>
      <c r="E4212" s="5">
        <v>2022</v>
      </c>
      <c r="F4212" s="5">
        <v>5</v>
      </c>
      <c r="G4212" s="5" t="s">
        <v>38</v>
      </c>
      <c r="H4212" s="5">
        <v>1451167</v>
      </c>
      <c r="I4212" s="5">
        <v>1300161.51</v>
      </c>
      <c r="J4212" s="5">
        <v>23</v>
      </c>
      <c r="K4212" s="5">
        <v>218458</v>
      </c>
      <c r="L4212" s="5">
        <v>1667520</v>
      </c>
      <c r="M4212" s="5">
        <v>151005.49</v>
      </c>
      <c r="N4212" s="5">
        <v>0.1041</v>
      </c>
      <c r="O4212" s="5">
        <v>2</v>
      </c>
      <c r="P4212" s="5">
        <v>64111</v>
      </c>
    </row>
    <row r="4213" spans="1:16" x14ac:dyDescent="0.3">
      <c r="A4213" s="5">
        <v>113</v>
      </c>
      <c r="B4213" s="5" t="s">
        <v>160</v>
      </c>
      <c r="C4213" s="5">
        <v>10</v>
      </c>
      <c r="D4213" s="5" t="s">
        <v>86</v>
      </c>
      <c r="E4213" s="5">
        <v>2022</v>
      </c>
      <c r="F4213" s="5">
        <v>5</v>
      </c>
      <c r="G4213" s="5" t="s">
        <v>38</v>
      </c>
      <c r="H4213" s="5">
        <v>1854865</v>
      </c>
      <c r="I4213" s="5">
        <v>1564061.59</v>
      </c>
      <c r="J4213" s="5">
        <v>19</v>
      </c>
      <c r="K4213" s="5">
        <v>127857</v>
      </c>
      <c r="L4213" s="5">
        <v>1979380</v>
      </c>
      <c r="M4213" s="5">
        <v>290803.40999999997</v>
      </c>
      <c r="N4213" s="5">
        <v>0.15679999999999999</v>
      </c>
      <c r="O4213" s="5">
        <v>3</v>
      </c>
      <c r="P4213" s="5">
        <v>33054</v>
      </c>
    </row>
    <row r="4214" spans="1:16" x14ac:dyDescent="0.3">
      <c r="A4214" s="5">
        <v>27</v>
      </c>
      <c r="B4214" s="5" t="s">
        <v>160</v>
      </c>
      <c r="C4214" s="5">
        <v>10</v>
      </c>
      <c r="D4214" s="5" t="s">
        <v>86</v>
      </c>
      <c r="E4214" s="5">
        <v>2022</v>
      </c>
      <c r="F4214" s="5">
        <v>6</v>
      </c>
      <c r="G4214" s="5" t="s">
        <v>39</v>
      </c>
      <c r="H4214" s="5">
        <v>1045075</v>
      </c>
      <c r="I4214" s="5">
        <v>957187.73</v>
      </c>
      <c r="J4214" s="5">
        <v>18</v>
      </c>
      <c r="K4214" s="5">
        <v>173025</v>
      </c>
      <c r="L4214" s="5">
        <v>1216950</v>
      </c>
      <c r="M4214" s="5">
        <v>87887.27</v>
      </c>
      <c r="N4214" s="5">
        <v>8.4099999999999994E-2</v>
      </c>
      <c r="O4214" s="5">
        <v>4</v>
      </c>
      <c r="P4214" s="5">
        <v>151041</v>
      </c>
    </row>
    <row r="4215" spans="1:16" x14ac:dyDescent="0.3">
      <c r="A4215" s="5">
        <v>113</v>
      </c>
      <c r="B4215" s="5" t="s">
        <v>160</v>
      </c>
      <c r="C4215" s="5">
        <v>10</v>
      </c>
      <c r="D4215" s="5" t="s">
        <v>86</v>
      </c>
      <c r="E4215" s="5">
        <v>2022</v>
      </c>
      <c r="F4215" s="5">
        <v>6</v>
      </c>
      <c r="G4215" s="5" t="s">
        <v>39</v>
      </c>
      <c r="H4215" s="5">
        <v>1799737</v>
      </c>
      <c r="I4215" s="5">
        <v>1628440.48</v>
      </c>
      <c r="J4215" s="5">
        <v>16</v>
      </c>
      <c r="K4215" s="5">
        <v>260514</v>
      </c>
      <c r="L4215" s="5">
        <v>2057210</v>
      </c>
      <c r="M4215" s="5">
        <v>171296.52</v>
      </c>
      <c r="N4215" s="5">
        <v>9.5200000000000007E-2</v>
      </c>
      <c r="O4215" s="5">
        <v>0</v>
      </c>
      <c r="P4215" s="5">
        <v>0</v>
      </c>
    </row>
    <row r="4216" spans="1:16" x14ac:dyDescent="0.3">
      <c r="A4216" s="5">
        <v>27</v>
      </c>
      <c r="B4216" s="5" t="s">
        <v>160</v>
      </c>
      <c r="C4216" s="5">
        <v>10</v>
      </c>
      <c r="D4216" s="5" t="s">
        <v>86</v>
      </c>
      <c r="E4216" s="5">
        <v>2022</v>
      </c>
      <c r="F4216" s="5">
        <v>7</v>
      </c>
      <c r="G4216" s="5" t="s">
        <v>40</v>
      </c>
      <c r="H4216" s="5">
        <v>1257633</v>
      </c>
      <c r="I4216" s="5">
        <v>1073741.48</v>
      </c>
      <c r="J4216" s="5">
        <v>16</v>
      </c>
      <c r="K4216" s="5">
        <v>141172</v>
      </c>
      <c r="L4216" s="5">
        <v>1395640</v>
      </c>
      <c r="M4216" s="5">
        <v>183891.52</v>
      </c>
      <c r="N4216" s="5">
        <v>0.1462</v>
      </c>
      <c r="O4216" s="5">
        <v>2</v>
      </c>
      <c r="P4216" s="5">
        <v>2980</v>
      </c>
    </row>
    <row r="4217" spans="1:16" x14ac:dyDescent="0.3">
      <c r="A4217" s="5">
        <v>113</v>
      </c>
      <c r="B4217" s="5" t="s">
        <v>160</v>
      </c>
      <c r="C4217" s="5">
        <v>10</v>
      </c>
      <c r="D4217" s="5" t="s">
        <v>86</v>
      </c>
      <c r="E4217" s="5">
        <v>2022</v>
      </c>
      <c r="F4217" s="5">
        <v>7</v>
      </c>
      <c r="G4217" s="5" t="s">
        <v>40</v>
      </c>
      <c r="H4217" s="5">
        <v>1266116</v>
      </c>
      <c r="I4217" s="5">
        <v>1091171.6399999999</v>
      </c>
      <c r="J4217" s="5">
        <v>16</v>
      </c>
      <c r="K4217" s="5">
        <v>156304</v>
      </c>
      <c r="L4217" s="5">
        <v>1415490</v>
      </c>
      <c r="M4217" s="5">
        <v>174944.36</v>
      </c>
      <c r="N4217" s="5">
        <v>0.13819999999999999</v>
      </c>
      <c r="O4217" s="5">
        <v>1</v>
      </c>
      <c r="P4217" s="5">
        <v>4503</v>
      </c>
    </row>
    <row r="4218" spans="1:16" x14ac:dyDescent="0.3">
      <c r="A4218" s="5">
        <v>27</v>
      </c>
      <c r="B4218" s="5" t="s">
        <v>160</v>
      </c>
      <c r="C4218" s="5">
        <v>10</v>
      </c>
      <c r="D4218" s="5" t="s">
        <v>86</v>
      </c>
      <c r="E4218" s="5">
        <v>2022</v>
      </c>
      <c r="F4218" s="5">
        <v>8</v>
      </c>
      <c r="G4218" s="5" t="s">
        <v>41</v>
      </c>
      <c r="H4218" s="5">
        <v>1202159</v>
      </c>
      <c r="I4218" s="5">
        <v>1050648.5</v>
      </c>
      <c r="J4218" s="5">
        <v>18</v>
      </c>
      <c r="K4218" s="5">
        <v>174540</v>
      </c>
      <c r="L4218" s="5">
        <v>1375340</v>
      </c>
      <c r="M4218" s="5">
        <v>151510.5</v>
      </c>
      <c r="N4218" s="5">
        <v>0.126</v>
      </c>
      <c r="O4218" s="5">
        <v>1</v>
      </c>
      <c r="P4218" s="5">
        <v>1689</v>
      </c>
    </row>
    <row r="4219" spans="1:16" x14ac:dyDescent="0.3">
      <c r="A4219" s="5">
        <v>113</v>
      </c>
      <c r="B4219" s="5" t="s">
        <v>160</v>
      </c>
      <c r="C4219" s="5">
        <v>10</v>
      </c>
      <c r="D4219" s="5" t="s">
        <v>86</v>
      </c>
      <c r="E4219" s="5">
        <v>2022</v>
      </c>
      <c r="F4219" s="5">
        <v>8</v>
      </c>
      <c r="G4219" s="5" t="s">
        <v>41</v>
      </c>
      <c r="H4219" s="5">
        <v>1704273</v>
      </c>
      <c r="I4219" s="5">
        <v>1635649.54</v>
      </c>
      <c r="J4219" s="5">
        <v>22</v>
      </c>
      <c r="K4219" s="5">
        <v>369114</v>
      </c>
      <c r="L4219" s="5">
        <v>2064760</v>
      </c>
      <c r="M4219" s="5">
        <v>68623.460000000006</v>
      </c>
      <c r="N4219" s="5">
        <v>4.0300000000000002E-2</v>
      </c>
      <c r="O4219" s="5">
        <v>1</v>
      </c>
      <c r="P4219" s="5">
        <v>11257</v>
      </c>
    </row>
    <row r="4220" spans="1:16" x14ac:dyDescent="0.3">
      <c r="A4220" s="5">
        <v>27</v>
      </c>
      <c r="B4220" s="5" t="s">
        <v>160</v>
      </c>
      <c r="C4220" s="5">
        <v>10</v>
      </c>
      <c r="D4220" s="5" t="s">
        <v>86</v>
      </c>
      <c r="E4220" s="5">
        <v>2022</v>
      </c>
      <c r="F4220" s="5">
        <v>9</v>
      </c>
      <c r="G4220" s="5" t="s">
        <v>42</v>
      </c>
      <c r="H4220" s="5">
        <v>836885</v>
      </c>
      <c r="I4220" s="5">
        <v>691266.35</v>
      </c>
      <c r="J4220" s="5">
        <v>17</v>
      </c>
      <c r="K4220" s="5">
        <v>68867</v>
      </c>
      <c r="L4220" s="5">
        <v>901220</v>
      </c>
      <c r="M4220" s="5">
        <v>145618.65</v>
      </c>
      <c r="N4220" s="5">
        <v>0.17399999999999999</v>
      </c>
      <c r="O4220" s="5">
        <v>1</v>
      </c>
      <c r="P4220" s="5">
        <v>3313</v>
      </c>
    </row>
    <row r="4221" spans="1:16" x14ac:dyDescent="0.3">
      <c r="A4221" s="5">
        <v>113</v>
      </c>
      <c r="B4221" s="5" t="s">
        <v>160</v>
      </c>
      <c r="C4221" s="5">
        <v>10</v>
      </c>
      <c r="D4221" s="5" t="s">
        <v>86</v>
      </c>
      <c r="E4221" s="5">
        <v>2022</v>
      </c>
      <c r="F4221" s="5">
        <v>9</v>
      </c>
      <c r="G4221" s="5" t="s">
        <v>42</v>
      </c>
      <c r="H4221" s="5">
        <v>1643479</v>
      </c>
      <c r="I4221" s="5">
        <v>1488902.99</v>
      </c>
      <c r="J4221" s="5">
        <v>21</v>
      </c>
      <c r="K4221" s="5">
        <v>263451</v>
      </c>
      <c r="L4221" s="5">
        <v>1905070</v>
      </c>
      <c r="M4221" s="5">
        <v>154576.01</v>
      </c>
      <c r="N4221" s="5">
        <v>9.4100000000000003E-2</v>
      </c>
      <c r="O4221" s="5">
        <v>1</v>
      </c>
      <c r="P4221" s="5">
        <v>1370</v>
      </c>
    </row>
    <row r="4222" spans="1:16" x14ac:dyDescent="0.3">
      <c r="A4222" s="5">
        <v>27</v>
      </c>
      <c r="B4222" s="5" t="s">
        <v>160</v>
      </c>
      <c r="C4222" s="5">
        <v>10</v>
      </c>
      <c r="D4222" s="5" t="s">
        <v>86</v>
      </c>
      <c r="E4222" s="5">
        <v>2022</v>
      </c>
      <c r="F4222" s="5">
        <v>10</v>
      </c>
      <c r="G4222" s="5" t="s">
        <v>43</v>
      </c>
      <c r="H4222" s="5">
        <v>1896661</v>
      </c>
      <c r="I4222" s="5">
        <v>1625770.58</v>
      </c>
      <c r="J4222" s="5">
        <v>36</v>
      </c>
      <c r="K4222" s="5">
        <v>267013</v>
      </c>
      <c r="L4222" s="5">
        <v>2156220</v>
      </c>
      <c r="M4222" s="5">
        <v>270890.42</v>
      </c>
      <c r="N4222" s="5">
        <v>0.14280000000000001</v>
      </c>
      <c r="O4222" s="5">
        <v>2</v>
      </c>
      <c r="P4222" s="5">
        <v>18974</v>
      </c>
    </row>
    <row r="4223" spans="1:16" x14ac:dyDescent="0.3">
      <c r="A4223" s="5">
        <v>113</v>
      </c>
      <c r="B4223" s="5" t="s">
        <v>160</v>
      </c>
      <c r="C4223" s="5">
        <v>10</v>
      </c>
      <c r="D4223" s="5" t="s">
        <v>86</v>
      </c>
      <c r="E4223" s="5">
        <v>2022</v>
      </c>
      <c r="F4223" s="5">
        <v>10</v>
      </c>
      <c r="G4223" s="5" t="s">
        <v>43</v>
      </c>
      <c r="H4223" s="5">
        <v>1603907</v>
      </c>
      <c r="I4223" s="5">
        <v>1333437.3</v>
      </c>
      <c r="J4223" s="5">
        <v>27</v>
      </c>
      <c r="K4223" s="5">
        <v>173430</v>
      </c>
      <c r="L4223" s="5">
        <v>1770630</v>
      </c>
      <c r="M4223" s="5">
        <v>270469.7</v>
      </c>
      <c r="N4223" s="5">
        <v>0.1686</v>
      </c>
      <c r="O4223" s="5">
        <v>9</v>
      </c>
      <c r="P4223" s="5">
        <v>231280</v>
      </c>
    </row>
    <row r="4224" spans="1:16" x14ac:dyDescent="0.3">
      <c r="A4224" s="5">
        <v>27</v>
      </c>
      <c r="B4224" s="5" t="s">
        <v>160</v>
      </c>
      <c r="C4224" s="5">
        <v>10</v>
      </c>
      <c r="D4224" s="5" t="s">
        <v>86</v>
      </c>
      <c r="E4224" s="5">
        <v>2022</v>
      </c>
      <c r="F4224" s="5">
        <v>11</v>
      </c>
      <c r="G4224" s="5" t="s">
        <v>44</v>
      </c>
      <c r="H4224" s="5">
        <v>1396589</v>
      </c>
      <c r="I4224" s="5">
        <v>1271353.69</v>
      </c>
      <c r="J4224" s="5">
        <v>29</v>
      </c>
      <c r="K4224" s="5">
        <v>226283</v>
      </c>
      <c r="L4224" s="5">
        <v>1620900</v>
      </c>
      <c r="M4224" s="5">
        <v>125235.31</v>
      </c>
      <c r="N4224" s="5">
        <v>8.9700000000000002E-2</v>
      </c>
      <c r="O4224" s="5">
        <v>0</v>
      </c>
      <c r="P4224" s="5">
        <v>0</v>
      </c>
    </row>
    <row r="4225" spans="1:16" x14ac:dyDescent="0.3">
      <c r="A4225" s="5">
        <v>113</v>
      </c>
      <c r="B4225" s="5" t="s">
        <v>160</v>
      </c>
      <c r="C4225" s="5">
        <v>10</v>
      </c>
      <c r="D4225" s="5" t="s">
        <v>86</v>
      </c>
      <c r="E4225" s="5">
        <v>2022</v>
      </c>
      <c r="F4225" s="5">
        <v>11</v>
      </c>
      <c r="G4225" s="5" t="s">
        <v>44</v>
      </c>
      <c r="H4225" s="5">
        <v>1851881</v>
      </c>
      <c r="I4225" s="5">
        <v>1435228.9</v>
      </c>
      <c r="J4225" s="5">
        <v>26</v>
      </c>
      <c r="K4225" s="5">
        <v>63358</v>
      </c>
      <c r="L4225" s="5">
        <v>1900330</v>
      </c>
      <c r="M4225" s="5">
        <v>416652.1</v>
      </c>
      <c r="N4225" s="5">
        <v>0.22500000000000001</v>
      </c>
      <c r="O4225" s="5">
        <v>2</v>
      </c>
      <c r="P4225" s="5">
        <v>92844</v>
      </c>
    </row>
    <row r="4226" spans="1:16" x14ac:dyDescent="0.3">
      <c r="A4226" s="5">
        <v>27</v>
      </c>
      <c r="B4226" s="5" t="s">
        <v>160</v>
      </c>
      <c r="C4226" s="5">
        <v>10</v>
      </c>
      <c r="D4226" s="5" t="s">
        <v>86</v>
      </c>
      <c r="E4226" s="5">
        <v>2022</v>
      </c>
      <c r="F4226" s="5">
        <v>12</v>
      </c>
      <c r="G4226" s="5" t="s">
        <v>45</v>
      </c>
      <c r="H4226" s="5">
        <v>2139109</v>
      </c>
      <c r="I4226" s="5">
        <v>1762645.33</v>
      </c>
      <c r="J4226" s="5">
        <v>34</v>
      </c>
      <c r="K4226" s="5">
        <v>149873</v>
      </c>
      <c r="L4226" s="5">
        <v>2279780</v>
      </c>
      <c r="M4226" s="5">
        <v>376463.67</v>
      </c>
      <c r="N4226" s="5">
        <v>0.17599999999999999</v>
      </c>
      <c r="O4226" s="5">
        <v>1</v>
      </c>
      <c r="P4226" s="5">
        <v>16510</v>
      </c>
    </row>
    <row r="4227" spans="1:16" x14ac:dyDescent="0.3">
      <c r="A4227" s="5">
        <v>113</v>
      </c>
      <c r="B4227" s="5" t="s">
        <v>160</v>
      </c>
      <c r="C4227" s="5">
        <v>10</v>
      </c>
      <c r="D4227" s="5" t="s">
        <v>86</v>
      </c>
      <c r="E4227" s="5">
        <v>2022</v>
      </c>
      <c r="F4227" s="5">
        <v>12</v>
      </c>
      <c r="G4227" s="5" t="s">
        <v>45</v>
      </c>
      <c r="H4227" s="5">
        <v>1846056</v>
      </c>
      <c r="I4227" s="5">
        <v>1557156.07</v>
      </c>
      <c r="J4227" s="5">
        <v>31</v>
      </c>
      <c r="K4227" s="5">
        <v>165132</v>
      </c>
      <c r="L4227" s="5">
        <v>2006510</v>
      </c>
      <c r="M4227" s="5">
        <v>288899.93</v>
      </c>
      <c r="N4227" s="5">
        <v>0.1565</v>
      </c>
      <c r="O4227" s="5">
        <v>2</v>
      </c>
      <c r="P4227" s="5">
        <v>17975</v>
      </c>
    </row>
    <row r="4228" spans="1:16" x14ac:dyDescent="0.3">
      <c r="A4228" s="5">
        <v>27</v>
      </c>
      <c r="B4228" s="5" t="s">
        <v>160</v>
      </c>
      <c r="C4228" s="5">
        <v>10</v>
      </c>
      <c r="D4228" s="5" t="s">
        <v>86</v>
      </c>
      <c r="E4228" s="5">
        <v>2023</v>
      </c>
      <c r="F4228" s="5">
        <v>1</v>
      </c>
      <c r="G4228" s="5" t="s">
        <v>46</v>
      </c>
      <c r="H4228" s="5">
        <v>1149665</v>
      </c>
      <c r="I4228" s="5">
        <v>1042267.34</v>
      </c>
      <c r="J4228" s="5">
        <v>25</v>
      </c>
      <c r="K4228" s="5">
        <v>213894</v>
      </c>
      <c r="L4228" s="5">
        <v>1362140</v>
      </c>
      <c r="M4228" s="5">
        <v>107397.66</v>
      </c>
      <c r="N4228" s="5">
        <v>9.3399999999999997E-2</v>
      </c>
      <c r="O4228" s="5">
        <v>2</v>
      </c>
      <c r="P4228" s="5">
        <v>17781</v>
      </c>
    </row>
    <row r="4229" spans="1:16" x14ac:dyDescent="0.3">
      <c r="A4229" s="5">
        <v>113</v>
      </c>
      <c r="B4229" s="5" t="s">
        <v>160</v>
      </c>
      <c r="C4229" s="5">
        <v>10</v>
      </c>
      <c r="D4229" s="5" t="s">
        <v>86</v>
      </c>
      <c r="E4229" s="5">
        <v>2023</v>
      </c>
      <c r="F4229" s="5">
        <v>1</v>
      </c>
      <c r="G4229" s="5" t="s">
        <v>46</v>
      </c>
      <c r="H4229" s="5">
        <v>1931315</v>
      </c>
      <c r="I4229" s="5">
        <v>1835520.68</v>
      </c>
      <c r="J4229" s="5">
        <v>17</v>
      </c>
      <c r="K4229" s="5">
        <v>370252</v>
      </c>
      <c r="L4229" s="5">
        <v>2298840</v>
      </c>
      <c r="M4229" s="5">
        <v>95794.32</v>
      </c>
      <c r="N4229" s="5">
        <v>4.9599999999999998E-2</v>
      </c>
      <c r="O4229" s="5">
        <v>2</v>
      </c>
      <c r="P4229" s="5">
        <v>28741</v>
      </c>
    </row>
    <row r="4230" spans="1:16" x14ac:dyDescent="0.3">
      <c r="A4230" s="5">
        <v>27</v>
      </c>
      <c r="B4230" s="5" t="s">
        <v>160</v>
      </c>
      <c r="C4230" s="5">
        <v>10</v>
      </c>
      <c r="D4230" s="5" t="s">
        <v>86</v>
      </c>
      <c r="E4230" s="5">
        <v>2023</v>
      </c>
      <c r="F4230" s="5">
        <v>2</v>
      </c>
      <c r="G4230" s="5" t="s">
        <v>47</v>
      </c>
      <c r="H4230" s="5">
        <v>837609</v>
      </c>
      <c r="I4230" s="5">
        <v>615881.42000000004</v>
      </c>
      <c r="J4230" s="5">
        <v>16</v>
      </c>
      <c r="K4230" s="5">
        <v>18580</v>
      </c>
      <c r="L4230" s="5">
        <v>853520</v>
      </c>
      <c r="M4230" s="5">
        <v>221727.58</v>
      </c>
      <c r="N4230" s="5">
        <v>0.26469999999999999</v>
      </c>
      <c r="O4230" s="5">
        <v>0</v>
      </c>
      <c r="P4230" s="5">
        <v>0</v>
      </c>
    </row>
    <row r="4231" spans="1:16" x14ac:dyDescent="0.3">
      <c r="A4231" s="5">
        <v>113</v>
      </c>
      <c r="B4231" s="5" t="s">
        <v>160</v>
      </c>
      <c r="C4231" s="5">
        <v>10</v>
      </c>
      <c r="D4231" s="5" t="s">
        <v>86</v>
      </c>
      <c r="E4231" s="5">
        <v>2023</v>
      </c>
      <c r="F4231" s="5">
        <v>2</v>
      </c>
      <c r="G4231" s="5" t="s">
        <v>47</v>
      </c>
      <c r="H4231" s="5">
        <v>1198660</v>
      </c>
      <c r="I4231" s="5">
        <v>1089367.69</v>
      </c>
      <c r="J4231" s="5">
        <v>20</v>
      </c>
      <c r="K4231" s="5">
        <v>214681</v>
      </c>
      <c r="L4231" s="5">
        <v>1411400</v>
      </c>
      <c r="M4231" s="5">
        <v>109292.31</v>
      </c>
      <c r="N4231" s="5">
        <v>9.1200000000000003E-2</v>
      </c>
      <c r="O4231" s="5">
        <v>0</v>
      </c>
      <c r="P4231" s="5">
        <v>0</v>
      </c>
    </row>
    <row r="4232" spans="1:16" x14ac:dyDescent="0.3">
      <c r="A4232" s="5">
        <v>27</v>
      </c>
      <c r="B4232" s="5" t="s">
        <v>160</v>
      </c>
      <c r="C4232" s="5">
        <v>10</v>
      </c>
      <c r="D4232" s="5" t="s">
        <v>86</v>
      </c>
      <c r="E4232" s="5">
        <v>2023</v>
      </c>
      <c r="F4232" s="5">
        <v>3</v>
      </c>
      <c r="G4232" s="5" t="s">
        <v>48</v>
      </c>
      <c r="H4232" s="5">
        <v>1441284</v>
      </c>
      <c r="I4232" s="5">
        <v>1189750.04</v>
      </c>
      <c r="J4232" s="5">
        <v>22</v>
      </c>
      <c r="K4232" s="5">
        <v>68919</v>
      </c>
      <c r="L4232" s="5">
        <v>1492210</v>
      </c>
      <c r="M4232" s="5">
        <v>251533.96</v>
      </c>
      <c r="N4232" s="5">
        <v>0.17449999999999999</v>
      </c>
      <c r="O4232" s="5">
        <v>2</v>
      </c>
      <c r="P4232" s="5">
        <v>2613</v>
      </c>
    </row>
    <row r="4233" spans="1:16" x14ac:dyDescent="0.3">
      <c r="A4233" s="5">
        <v>113</v>
      </c>
      <c r="B4233" s="5" t="s">
        <v>160</v>
      </c>
      <c r="C4233" s="5">
        <v>10</v>
      </c>
      <c r="D4233" s="5" t="s">
        <v>86</v>
      </c>
      <c r="E4233" s="5">
        <v>2023</v>
      </c>
      <c r="F4233" s="5">
        <v>3</v>
      </c>
      <c r="G4233" s="5" t="s">
        <v>48</v>
      </c>
      <c r="H4233" s="5">
        <v>1652164</v>
      </c>
      <c r="I4233" s="5">
        <v>1447918.3</v>
      </c>
      <c r="J4233" s="5">
        <v>31</v>
      </c>
      <c r="K4233" s="5">
        <v>225448</v>
      </c>
      <c r="L4233" s="5">
        <v>1874790</v>
      </c>
      <c r="M4233" s="5">
        <v>204245.7</v>
      </c>
      <c r="N4233" s="5">
        <v>0.1236</v>
      </c>
      <c r="O4233" s="5">
        <v>1</v>
      </c>
      <c r="P4233" s="5">
        <v>1907</v>
      </c>
    </row>
    <row r="4234" spans="1:16" x14ac:dyDescent="0.3">
      <c r="A4234" s="5">
        <v>27</v>
      </c>
      <c r="B4234" s="5" t="s">
        <v>160</v>
      </c>
      <c r="C4234" s="5">
        <v>10</v>
      </c>
      <c r="D4234" s="5" t="s">
        <v>86</v>
      </c>
      <c r="E4234" s="5">
        <v>2023</v>
      </c>
      <c r="F4234" s="5">
        <v>4</v>
      </c>
      <c r="G4234" s="5" t="s">
        <v>49</v>
      </c>
      <c r="H4234" s="5">
        <v>1408808</v>
      </c>
      <c r="I4234" s="5">
        <v>1226998.23</v>
      </c>
      <c r="J4234" s="5">
        <v>25</v>
      </c>
      <c r="K4234" s="5">
        <v>157645</v>
      </c>
      <c r="L4234" s="5">
        <v>1565540</v>
      </c>
      <c r="M4234" s="5">
        <v>181809.77</v>
      </c>
      <c r="N4234" s="5">
        <v>0.12909999999999999</v>
      </c>
      <c r="O4234" s="5">
        <v>1</v>
      </c>
      <c r="P4234" s="5">
        <v>3239</v>
      </c>
    </row>
    <row r="4235" spans="1:16" x14ac:dyDescent="0.3">
      <c r="A4235" s="5">
        <v>113</v>
      </c>
      <c r="B4235" s="5" t="s">
        <v>160</v>
      </c>
      <c r="C4235" s="5">
        <v>10</v>
      </c>
      <c r="D4235" s="5" t="s">
        <v>86</v>
      </c>
      <c r="E4235" s="5">
        <v>2023</v>
      </c>
      <c r="F4235" s="5">
        <v>4</v>
      </c>
      <c r="G4235" s="5" t="s">
        <v>49</v>
      </c>
      <c r="H4235" s="5">
        <v>1302838</v>
      </c>
      <c r="I4235" s="5">
        <v>1151931.8600000001</v>
      </c>
      <c r="J4235" s="5">
        <v>27</v>
      </c>
      <c r="K4235" s="5">
        <v>236430</v>
      </c>
      <c r="L4235" s="5">
        <v>1536230</v>
      </c>
      <c r="M4235" s="5">
        <v>150906.14000000001</v>
      </c>
      <c r="N4235" s="5">
        <v>0.1158</v>
      </c>
      <c r="O4235" s="5">
        <v>4</v>
      </c>
      <c r="P4235" s="5">
        <v>48190</v>
      </c>
    </row>
    <row r="4236" spans="1:16" x14ac:dyDescent="0.3">
      <c r="A4236" s="5">
        <v>27</v>
      </c>
      <c r="B4236" s="5" t="s">
        <v>160</v>
      </c>
      <c r="C4236" s="5">
        <v>10</v>
      </c>
      <c r="D4236" s="5" t="s">
        <v>86</v>
      </c>
      <c r="E4236" s="5">
        <v>2023</v>
      </c>
      <c r="F4236" s="5">
        <v>5</v>
      </c>
      <c r="G4236" s="5" t="s">
        <v>50</v>
      </c>
      <c r="H4236" s="5">
        <v>2647061</v>
      </c>
      <c r="I4236" s="5">
        <v>2398382.1</v>
      </c>
      <c r="J4236" s="5">
        <v>30</v>
      </c>
      <c r="K4236" s="5">
        <v>366809</v>
      </c>
      <c r="L4236" s="5">
        <v>3003330</v>
      </c>
      <c r="M4236" s="5">
        <v>248678.9</v>
      </c>
      <c r="N4236" s="5">
        <v>9.3899999999999997E-2</v>
      </c>
      <c r="O4236" s="5">
        <v>6</v>
      </c>
      <c r="P4236" s="5">
        <v>265103</v>
      </c>
    </row>
    <row r="4237" spans="1:16" x14ac:dyDescent="0.3">
      <c r="A4237" s="5">
        <v>113</v>
      </c>
      <c r="B4237" s="5" t="s">
        <v>160</v>
      </c>
      <c r="C4237" s="5">
        <v>10</v>
      </c>
      <c r="D4237" s="5" t="s">
        <v>86</v>
      </c>
      <c r="E4237" s="5">
        <v>2023</v>
      </c>
      <c r="F4237" s="5">
        <v>5</v>
      </c>
      <c r="G4237" s="5" t="s">
        <v>50</v>
      </c>
      <c r="H4237" s="5">
        <v>2043537</v>
      </c>
      <c r="I4237" s="5">
        <v>1914133.43</v>
      </c>
      <c r="J4237" s="5">
        <v>25</v>
      </c>
      <c r="K4237" s="5">
        <v>371716</v>
      </c>
      <c r="L4237" s="5">
        <v>2413410</v>
      </c>
      <c r="M4237" s="5">
        <v>129403.57</v>
      </c>
      <c r="N4237" s="5">
        <v>6.3299999999999995E-2</v>
      </c>
      <c r="O4237" s="5">
        <v>1</v>
      </c>
      <c r="P4237" s="5">
        <v>6961</v>
      </c>
    </row>
    <row r="4238" spans="1:16" x14ac:dyDescent="0.3">
      <c r="A4238" s="5">
        <v>27</v>
      </c>
      <c r="B4238" s="5" t="s">
        <v>160</v>
      </c>
      <c r="C4238" s="5">
        <v>10</v>
      </c>
      <c r="D4238" s="5" t="s">
        <v>86</v>
      </c>
      <c r="E4238" s="5">
        <v>2023</v>
      </c>
      <c r="F4238" s="5">
        <v>6</v>
      </c>
      <c r="G4238" s="5" t="s">
        <v>51</v>
      </c>
      <c r="H4238" s="5">
        <v>1451782</v>
      </c>
      <c r="I4238" s="5">
        <v>1268826.03</v>
      </c>
      <c r="J4238" s="5">
        <v>19</v>
      </c>
      <c r="K4238" s="5">
        <v>196319</v>
      </c>
      <c r="L4238" s="5">
        <v>1647380</v>
      </c>
      <c r="M4238" s="5">
        <v>182955.97</v>
      </c>
      <c r="N4238" s="5">
        <v>0.126</v>
      </c>
      <c r="O4238" s="5">
        <v>1</v>
      </c>
      <c r="P4238" s="5">
        <v>46780</v>
      </c>
    </row>
    <row r="4239" spans="1:16" x14ac:dyDescent="0.3">
      <c r="A4239" s="5">
        <v>113</v>
      </c>
      <c r="B4239" s="5" t="s">
        <v>160</v>
      </c>
      <c r="C4239" s="5">
        <v>10</v>
      </c>
      <c r="D4239" s="5" t="s">
        <v>86</v>
      </c>
      <c r="E4239" s="5">
        <v>2023</v>
      </c>
      <c r="F4239" s="5">
        <v>6</v>
      </c>
      <c r="G4239" s="5" t="s">
        <v>51</v>
      </c>
      <c r="H4239" s="5">
        <v>2807988</v>
      </c>
      <c r="I4239" s="5">
        <v>2484128.2400000002</v>
      </c>
      <c r="J4239" s="5">
        <v>32</v>
      </c>
      <c r="K4239" s="5">
        <v>358750</v>
      </c>
      <c r="L4239" s="5">
        <v>3152310</v>
      </c>
      <c r="M4239" s="5">
        <v>323859.76</v>
      </c>
      <c r="N4239" s="5">
        <v>0.1153</v>
      </c>
      <c r="O4239" s="5">
        <v>3</v>
      </c>
      <c r="P4239" s="5">
        <v>15433</v>
      </c>
    </row>
    <row r="4240" spans="1:16" x14ac:dyDescent="0.3">
      <c r="A4240" s="5">
        <v>27</v>
      </c>
      <c r="B4240" s="5" t="s">
        <v>160</v>
      </c>
      <c r="C4240" s="5">
        <v>10</v>
      </c>
      <c r="D4240" s="5" t="s">
        <v>86</v>
      </c>
      <c r="E4240" s="5">
        <v>2023</v>
      </c>
      <c r="F4240" s="5">
        <v>7</v>
      </c>
      <c r="G4240" s="5" t="s">
        <v>52</v>
      </c>
      <c r="H4240" s="5">
        <v>1691417</v>
      </c>
      <c r="I4240" s="5">
        <v>1468829.42</v>
      </c>
      <c r="J4240" s="5">
        <v>33</v>
      </c>
      <c r="K4240" s="5">
        <v>261237</v>
      </c>
      <c r="L4240" s="5">
        <v>1946630</v>
      </c>
      <c r="M4240" s="5">
        <v>222587.58</v>
      </c>
      <c r="N4240" s="5">
        <v>0.13159999999999999</v>
      </c>
      <c r="O4240" s="5">
        <v>0</v>
      </c>
      <c r="P4240" s="5">
        <v>0</v>
      </c>
    </row>
    <row r="4241" spans="1:16" x14ac:dyDescent="0.3">
      <c r="A4241" s="5">
        <v>113</v>
      </c>
      <c r="B4241" s="5" t="s">
        <v>160</v>
      </c>
      <c r="C4241" s="5">
        <v>10</v>
      </c>
      <c r="D4241" s="5" t="s">
        <v>86</v>
      </c>
      <c r="E4241" s="5">
        <v>2023</v>
      </c>
      <c r="F4241" s="5">
        <v>7</v>
      </c>
      <c r="G4241" s="5" t="s">
        <v>52</v>
      </c>
      <c r="H4241" s="5">
        <v>1135202</v>
      </c>
      <c r="I4241" s="5">
        <v>1056635.93</v>
      </c>
      <c r="J4241" s="5">
        <v>25</v>
      </c>
      <c r="K4241" s="5">
        <v>220022</v>
      </c>
      <c r="L4241" s="5">
        <v>1352770</v>
      </c>
      <c r="M4241" s="5">
        <v>78566.070000000007</v>
      </c>
      <c r="N4241" s="5">
        <v>6.9199999999999998E-2</v>
      </c>
      <c r="O4241" s="5">
        <v>1</v>
      </c>
      <c r="P4241" s="5">
        <v>4622</v>
      </c>
    </row>
    <row r="4242" spans="1:16" x14ac:dyDescent="0.3">
      <c r="A4242" s="5">
        <v>27</v>
      </c>
      <c r="B4242" s="5" t="s">
        <v>160</v>
      </c>
      <c r="C4242" s="5">
        <v>10</v>
      </c>
      <c r="D4242" s="5" t="s">
        <v>86</v>
      </c>
      <c r="E4242" s="5">
        <v>2023</v>
      </c>
      <c r="F4242" s="5">
        <v>8</v>
      </c>
      <c r="G4242" s="5" t="s">
        <v>53</v>
      </c>
      <c r="H4242" s="5">
        <v>1181724</v>
      </c>
      <c r="I4242" s="5">
        <v>1102425.8600000001</v>
      </c>
      <c r="J4242" s="5">
        <v>20</v>
      </c>
      <c r="K4242" s="5">
        <v>253156</v>
      </c>
      <c r="L4242" s="5">
        <v>1433960</v>
      </c>
      <c r="M4242" s="5">
        <v>79298.14</v>
      </c>
      <c r="N4242" s="5">
        <v>6.7100000000000007E-2</v>
      </c>
      <c r="O4242" s="5">
        <v>3</v>
      </c>
      <c r="P4242" s="5">
        <v>73452</v>
      </c>
    </row>
    <row r="4243" spans="1:16" x14ac:dyDescent="0.3">
      <c r="A4243" s="5">
        <v>113</v>
      </c>
      <c r="B4243" s="5" t="s">
        <v>160</v>
      </c>
      <c r="C4243" s="5">
        <v>10</v>
      </c>
      <c r="D4243" s="5" t="s">
        <v>86</v>
      </c>
      <c r="E4243" s="5">
        <v>2023</v>
      </c>
      <c r="F4243" s="5">
        <v>8</v>
      </c>
      <c r="G4243" s="5" t="s">
        <v>53</v>
      </c>
      <c r="H4243" s="5">
        <v>1789532</v>
      </c>
      <c r="I4243" s="5">
        <v>1756518.69</v>
      </c>
      <c r="J4243" s="5">
        <v>24</v>
      </c>
      <c r="K4243" s="5">
        <v>411329</v>
      </c>
      <c r="L4243" s="5">
        <v>2199370</v>
      </c>
      <c r="M4243" s="5">
        <v>33013.31</v>
      </c>
      <c r="N4243" s="5">
        <v>1.84E-2</v>
      </c>
      <c r="O4243" s="5">
        <v>2</v>
      </c>
      <c r="P4243" s="5">
        <v>24966</v>
      </c>
    </row>
    <row r="4244" spans="1:16" x14ac:dyDescent="0.3">
      <c r="A4244" s="5">
        <v>27</v>
      </c>
      <c r="B4244" s="5" t="s">
        <v>160</v>
      </c>
      <c r="C4244" s="5">
        <v>10</v>
      </c>
      <c r="D4244" s="5" t="s">
        <v>86</v>
      </c>
      <c r="E4244" s="5">
        <v>2023</v>
      </c>
      <c r="F4244" s="5">
        <v>9</v>
      </c>
      <c r="G4244" s="5" t="s">
        <v>54</v>
      </c>
      <c r="H4244" s="5">
        <v>1897737</v>
      </c>
      <c r="I4244" s="5">
        <v>1642097.61</v>
      </c>
      <c r="J4244" s="5">
        <v>34</v>
      </c>
      <c r="K4244" s="5">
        <v>214706</v>
      </c>
      <c r="L4244" s="5">
        <v>2102120</v>
      </c>
      <c r="M4244" s="5">
        <v>255639.39</v>
      </c>
      <c r="N4244" s="5">
        <v>0.13469999999999999</v>
      </c>
      <c r="O4244" s="5">
        <v>1</v>
      </c>
      <c r="P4244" s="5">
        <v>2778</v>
      </c>
    </row>
    <row r="4245" spans="1:16" x14ac:dyDescent="0.3">
      <c r="A4245" s="5">
        <v>113</v>
      </c>
      <c r="B4245" s="5" t="s">
        <v>160</v>
      </c>
      <c r="C4245" s="5">
        <v>10</v>
      </c>
      <c r="D4245" s="5" t="s">
        <v>86</v>
      </c>
      <c r="E4245" s="5">
        <v>2023</v>
      </c>
      <c r="F4245" s="5">
        <v>9</v>
      </c>
      <c r="G4245" s="5" t="s">
        <v>54</v>
      </c>
      <c r="H4245" s="5">
        <v>1393194</v>
      </c>
      <c r="I4245" s="5">
        <v>1176124.6499999999</v>
      </c>
      <c r="J4245" s="5">
        <v>29</v>
      </c>
      <c r="K4245" s="5">
        <v>168667</v>
      </c>
      <c r="L4245" s="5">
        <v>1557790</v>
      </c>
      <c r="M4245" s="5">
        <v>217069.35</v>
      </c>
      <c r="N4245" s="5">
        <v>0.15579999999999999</v>
      </c>
      <c r="O4245" s="5">
        <v>2</v>
      </c>
      <c r="P4245" s="5">
        <v>124343</v>
      </c>
    </row>
    <row r="4246" spans="1:16" x14ac:dyDescent="0.3">
      <c r="A4246" s="5">
        <v>27</v>
      </c>
      <c r="B4246" s="5" t="s">
        <v>160</v>
      </c>
      <c r="C4246" s="5">
        <v>10</v>
      </c>
      <c r="D4246" s="5" t="s">
        <v>86</v>
      </c>
      <c r="E4246" s="5">
        <v>2023</v>
      </c>
      <c r="F4246" s="5">
        <v>10</v>
      </c>
      <c r="G4246" s="5" t="s">
        <v>55</v>
      </c>
      <c r="H4246" s="5">
        <v>2719334</v>
      </c>
      <c r="I4246" s="5">
        <v>2389996.9900000002</v>
      </c>
      <c r="J4246" s="5">
        <v>41</v>
      </c>
      <c r="K4246" s="5">
        <v>350715</v>
      </c>
      <c r="L4246" s="5">
        <v>3065530</v>
      </c>
      <c r="M4246" s="5">
        <v>329337.01</v>
      </c>
      <c r="N4246" s="5">
        <v>0.1211</v>
      </c>
      <c r="O4246" s="5">
        <v>3</v>
      </c>
      <c r="P4246" s="5">
        <v>254824</v>
      </c>
    </row>
    <row r="4247" spans="1:16" x14ac:dyDescent="0.3">
      <c r="A4247" s="5">
        <v>113</v>
      </c>
      <c r="B4247" s="5" t="s">
        <v>160</v>
      </c>
      <c r="C4247" s="5">
        <v>10</v>
      </c>
      <c r="D4247" s="5" t="s">
        <v>86</v>
      </c>
      <c r="E4247" s="5">
        <v>2023</v>
      </c>
      <c r="F4247" s="5">
        <v>10</v>
      </c>
      <c r="G4247" s="5" t="s">
        <v>55</v>
      </c>
      <c r="H4247" s="5">
        <v>2116282</v>
      </c>
      <c r="I4247" s="5">
        <v>1858435.77</v>
      </c>
      <c r="J4247" s="5">
        <v>31</v>
      </c>
      <c r="K4247" s="5">
        <v>235354</v>
      </c>
      <c r="L4247" s="5">
        <v>2345850</v>
      </c>
      <c r="M4247" s="5">
        <v>257846.23</v>
      </c>
      <c r="N4247" s="5">
        <v>0.12180000000000001</v>
      </c>
      <c r="O4247" s="5">
        <v>2</v>
      </c>
      <c r="P4247" s="5">
        <v>7062</v>
      </c>
    </row>
    <row r="4248" spans="1:16" x14ac:dyDescent="0.3">
      <c r="A4248" s="5">
        <v>27</v>
      </c>
      <c r="B4248" s="5" t="s">
        <v>160</v>
      </c>
      <c r="C4248" s="5">
        <v>10</v>
      </c>
      <c r="D4248" s="5" t="s">
        <v>86</v>
      </c>
      <c r="E4248" s="5">
        <v>2023</v>
      </c>
      <c r="F4248" s="5">
        <v>11</v>
      </c>
      <c r="G4248" s="5" t="s">
        <v>56</v>
      </c>
      <c r="H4248" s="5">
        <v>2622158</v>
      </c>
      <c r="I4248" s="5">
        <v>2370890.35</v>
      </c>
      <c r="J4248" s="5">
        <v>36</v>
      </c>
      <c r="K4248" s="5">
        <v>453532</v>
      </c>
      <c r="L4248" s="5">
        <v>3069690</v>
      </c>
      <c r="M4248" s="5">
        <v>251267.65</v>
      </c>
      <c r="N4248" s="5">
        <v>9.5799999999999996E-2</v>
      </c>
      <c r="O4248" s="5">
        <v>4</v>
      </c>
      <c r="P4248" s="5">
        <v>59536</v>
      </c>
    </row>
    <row r="4249" spans="1:16" x14ac:dyDescent="0.3">
      <c r="A4249" s="5">
        <v>113</v>
      </c>
      <c r="B4249" s="5" t="s">
        <v>160</v>
      </c>
      <c r="C4249" s="5">
        <v>10</v>
      </c>
      <c r="D4249" s="5" t="s">
        <v>86</v>
      </c>
      <c r="E4249" s="5">
        <v>2023</v>
      </c>
      <c r="F4249" s="5">
        <v>11</v>
      </c>
      <c r="G4249" s="5" t="s">
        <v>56</v>
      </c>
      <c r="H4249" s="5">
        <v>2364245</v>
      </c>
      <c r="I4249" s="5">
        <v>2210920.36</v>
      </c>
      <c r="J4249" s="5">
        <v>38</v>
      </c>
      <c r="K4249" s="5">
        <v>416587</v>
      </c>
      <c r="L4249" s="5">
        <v>2774590</v>
      </c>
      <c r="M4249" s="5">
        <v>153324.64000000001</v>
      </c>
      <c r="N4249" s="5">
        <v>6.4899999999999999E-2</v>
      </c>
      <c r="O4249" s="5">
        <v>1</v>
      </c>
      <c r="P4249" s="5">
        <v>20313</v>
      </c>
    </row>
    <row r="4250" spans="1:16" x14ac:dyDescent="0.3">
      <c r="A4250" s="5">
        <v>27</v>
      </c>
      <c r="B4250" s="5" t="s">
        <v>160</v>
      </c>
      <c r="C4250" s="5">
        <v>10</v>
      </c>
      <c r="D4250" s="5" t="s">
        <v>86</v>
      </c>
      <c r="E4250" s="5">
        <v>2023</v>
      </c>
      <c r="F4250" s="5">
        <v>12</v>
      </c>
      <c r="G4250" s="5" t="s">
        <v>57</v>
      </c>
      <c r="H4250" s="5">
        <v>2713454</v>
      </c>
      <c r="I4250" s="5">
        <v>2439261.52</v>
      </c>
      <c r="J4250" s="5">
        <v>42</v>
      </c>
      <c r="K4250" s="5">
        <v>452476</v>
      </c>
      <c r="L4250" s="5">
        <v>3163000</v>
      </c>
      <c r="M4250" s="5">
        <v>274192.48</v>
      </c>
      <c r="N4250" s="5">
        <v>0.10100000000000001</v>
      </c>
      <c r="O4250" s="5">
        <v>3</v>
      </c>
      <c r="P4250" s="5">
        <v>69017</v>
      </c>
    </row>
    <row r="4251" spans="1:16" x14ac:dyDescent="0.3">
      <c r="A4251" s="5">
        <v>113</v>
      </c>
      <c r="B4251" s="5" t="s">
        <v>160</v>
      </c>
      <c r="C4251" s="5">
        <v>10</v>
      </c>
      <c r="D4251" s="5" t="s">
        <v>86</v>
      </c>
      <c r="E4251" s="5">
        <v>2023</v>
      </c>
      <c r="F4251" s="5">
        <v>12</v>
      </c>
      <c r="G4251" s="5" t="s">
        <v>57</v>
      </c>
      <c r="H4251" s="5">
        <v>1763765</v>
      </c>
      <c r="I4251" s="5">
        <v>1532736.7</v>
      </c>
      <c r="J4251" s="5">
        <v>31</v>
      </c>
      <c r="K4251" s="5">
        <v>250015</v>
      </c>
      <c r="L4251" s="5">
        <v>2005070</v>
      </c>
      <c r="M4251" s="5">
        <v>231028.3</v>
      </c>
      <c r="N4251" s="5">
        <v>0.13100000000000001</v>
      </c>
      <c r="O4251" s="5">
        <v>1</v>
      </c>
      <c r="P4251" s="5">
        <v>64604</v>
      </c>
    </row>
    <row r="4252" spans="1:16" x14ac:dyDescent="0.3">
      <c r="A4252" s="5">
        <v>27</v>
      </c>
      <c r="B4252" s="5" t="s">
        <v>160</v>
      </c>
      <c r="C4252" s="5">
        <v>10</v>
      </c>
      <c r="D4252" s="5" t="s">
        <v>86</v>
      </c>
      <c r="E4252" s="5">
        <v>2024</v>
      </c>
      <c r="F4252" s="5">
        <v>1</v>
      </c>
      <c r="G4252" s="5" t="s">
        <v>58</v>
      </c>
      <c r="H4252" s="5">
        <v>2170212</v>
      </c>
      <c r="I4252" s="5">
        <v>1948257.63</v>
      </c>
      <c r="J4252" s="5">
        <v>32</v>
      </c>
      <c r="K4252" s="5">
        <v>323410</v>
      </c>
      <c r="L4252" s="5">
        <v>2491580</v>
      </c>
      <c r="M4252" s="5">
        <v>221954.37</v>
      </c>
      <c r="N4252" s="5">
        <v>0.1023</v>
      </c>
      <c r="O4252" s="5">
        <v>3</v>
      </c>
      <c r="P4252" s="5">
        <v>93522</v>
      </c>
    </row>
    <row r="4253" spans="1:16" x14ac:dyDescent="0.3">
      <c r="A4253" s="5">
        <v>113</v>
      </c>
      <c r="B4253" s="5" t="s">
        <v>160</v>
      </c>
      <c r="C4253" s="5">
        <v>10</v>
      </c>
      <c r="D4253" s="5" t="s">
        <v>86</v>
      </c>
      <c r="E4253" s="5">
        <v>2024</v>
      </c>
      <c r="F4253" s="5">
        <v>1</v>
      </c>
      <c r="G4253" s="5" t="s">
        <v>58</v>
      </c>
      <c r="H4253" s="5">
        <v>1691426</v>
      </c>
      <c r="I4253" s="5">
        <v>1457472.37</v>
      </c>
      <c r="J4253" s="5">
        <v>27</v>
      </c>
      <c r="K4253" s="5">
        <v>220365</v>
      </c>
      <c r="L4253" s="5">
        <v>1902450</v>
      </c>
      <c r="M4253" s="5">
        <v>233953.63</v>
      </c>
      <c r="N4253" s="5">
        <v>0.13830000000000001</v>
      </c>
      <c r="O4253" s="5">
        <v>3</v>
      </c>
      <c r="P4253" s="5">
        <v>193140</v>
      </c>
    </row>
    <row r="4254" spans="1:16" x14ac:dyDescent="0.3">
      <c r="A4254" s="5">
        <v>27</v>
      </c>
      <c r="B4254" s="5" t="s">
        <v>160</v>
      </c>
      <c r="C4254" s="5">
        <v>10</v>
      </c>
      <c r="D4254" s="5" t="s">
        <v>86</v>
      </c>
      <c r="E4254" s="5">
        <v>2024</v>
      </c>
      <c r="F4254" s="5">
        <v>2</v>
      </c>
      <c r="G4254" s="5" t="s">
        <v>59</v>
      </c>
      <c r="H4254" s="5">
        <v>1600907</v>
      </c>
      <c r="I4254" s="5">
        <v>1414701.66</v>
      </c>
      <c r="J4254" s="5">
        <v>20</v>
      </c>
      <c r="K4254" s="5">
        <v>237295</v>
      </c>
      <c r="L4254" s="5">
        <v>1831260</v>
      </c>
      <c r="M4254" s="5">
        <v>186205.34</v>
      </c>
      <c r="N4254" s="5">
        <v>0.1163</v>
      </c>
      <c r="O4254" s="5">
        <v>1</v>
      </c>
      <c r="P4254" s="5">
        <v>106196</v>
      </c>
    </row>
    <row r="4255" spans="1:16" x14ac:dyDescent="0.3">
      <c r="A4255" s="5">
        <v>113</v>
      </c>
      <c r="B4255" s="5" t="s">
        <v>160</v>
      </c>
      <c r="C4255" s="5">
        <v>10</v>
      </c>
      <c r="D4255" s="5" t="s">
        <v>86</v>
      </c>
      <c r="E4255" s="5">
        <v>2024</v>
      </c>
      <c r="F4255" s="5">
        <v>2</v>
      </c>
      <c r="G4255" s="5" t="s">
        <v>59</v>
      </c>
      <c r="H4255" s="5">
        <v>1553793</v>
      </c>
      <c r="I4255" s="5">
        <v>1300199.48</v>
      </c>
      <c r="J4255" s="5">
        <v>29</v>
      </c>
      <c r="K4255" s="5">
        <v>123199</v>
      </c>
      <c r="L4255" s="5">
        <v>1673110</v>
      </c>
      <c r="M4255" s="5">
        <v>253593.52</v>
      </c>
      <c r="N4255" s="5">
        <v>0.16320000000000001</v>
      </c>
      <c r="O4255" s="5">
        <v>0</v>
      </c>
      <c r="P4255" s="5">
        <v>0</v>
      </c>
    </row>
    <row r="4256" spans="1:16" x14ac:dyDescent="0.3">
      <c r="A4256" s="5">
        <v>27</v>
      </c>
      <c r="B4256" s="5" t="s">
        <v>160</v>
      </c>
      <c r="C4256" s="5">
        <v>10</v>
      </c>
      <c r="D4256" s="5" t="s">
        <v>86</v>
      </c>
      <c r="E4256" s="5">
        <v>2024</v>
      </c>
      <c r="F4256" s="5">
        <v>3</v>
      </c>
      <c r="G4256" s="5" t="s">
        <v>60</v>
      </c>
      <c r="H4256" s="5">
        <v>2268934</v>
      </c>
      <c r="I4256" s="5">
        <v>2060242.56</v>
      </c>
      <c r="J4256" s="5">
        <v>26</v>
      </c>
      <c r="K4256" s="5">
        <v>304218</v>
      </c>
      <c r="L4256" s="5">
        <v>2570070</v>
      </c>
      <c r="M4256" s="5">
        <v>208691.44</v>
      </c>
      <c r="N4256" s="5">
        <v>9.1999999999999998E-2</v>
      </c>
      <c r="O4256" s="5">
        <v>0</v>
      </c>
      <c r="P4256" s="5">
        <v>0</v>
      </c>
    </row>
    <row r="4257" spans="1:16" x14ac:dyDescent="0.3">
      <c r="A4257" s="5">
        <v>113</v>
      </c>
      <c r="B4257" s="5" t="s">
        <v>160</v>
      </c>
      <c r="C4257" s="5">
        <v>10</v>
      </c>
      <c r="D4257" s="5" t="s">
        <v>86</v>
      </c>
      <c r="E4257" s="5">
        <v>2024</v>
      </c>
      <c r="F4257" s="5">
        <v>3</v>
      </c>
      <c r="G4257" s="5" t="s">
        <v>60</v>
      </c>
      <c r="H4257" s="5">
        <v>1097454</v>
      </c>
      <c r="I4257" s="5">
        <v>1032302.92</v>
      </c>
      <c r="J4257" s="5">
        <v>26</v>
      </c>
      <c r="K4257" s="5">
        <v>253336</v>
      </c>
      <c r="L4257" s="5">
        <v>1350240</v>
      </c>
      <c r="M4257" s="5">
        <v>65151.08</v>
      </c>
      <c r="N4257" s="5">
        <v>5.9400000000000001E-2</v>
      </c>
      <c r="O4257" s="5">
        <v>2</v>
      </c>
      <c r="P4257" s="5">
        <v>809</v>
      </c>
    </row>
    <row r="4258" spans="1:16" x14ac:dyDescent="0.3">
      <c r="A4258" s="5">
        <v>27</v>
      </c>
      <c r="B4258" s="5" t="s">
        <v>160</v>
      </c>
      <c r="C4258" s="5">
        <v>10</v>
      </c>
      <c r="D4258" s="5" t="s">
        <v>86</v>
      </c>
      <c r="E4258" s="5">
        <v>2024</v>
      </c>
      <c r="F4258" s="5">
        <v>4</v>
      </c>
      <c r="G4258" s="5" t="s">
        <v>61</v>
      </c>
      <c r="H4258" s="5">
        <v>2586208</v>
      </c>
      <c r="I4258" s="5">
        <v>2150951.2799999998</v>
      </c>
      <c r="J4258" s="5">
        <v>30</v>
      </c>
      <c r="K4258" s="5">
        <v>164827</v>
      </c>
      <c r="L4258" s="5">
        <v>2738420</v>
      </c>
      <c r="M4258" s="5">
        <v>435256.72</v>
      </c>
      <c r="N4258" s="5">
        <v>0.16830000000000001</v>
      </c>
      <c r="O4258" s="5">
        <v>2</v>
      </c>
      <c r="P4258" s="5">
        <v>20222</v>
      </c>
    </row>
    <row r="4259" spans="1:16" x14ac:dyDescent="0.3">
      <c r="A4259" s="5">
        <v>113</v>
      </c>
      <c r="B4259" s="5" t="s">
        <v>160</v>
      </c>
      <c r="C4259" s="5">
        <v>10</v>
      </c>
      <c r="D4259" s="5" t="s">
        <v>86</v>
      </c>
      <c r="E4259" s="5">
        <v>2024</v>
      </c>
      <c r="F4259" s="5">
        <v>4</v>
      </c>
      <c r="G4259" s="5" t="s">
        <v>61</v>
      </c>
      <c r="H4259" s="5">
        <v>1184728</v>
      </c>
      <c r="I4259" s="5">
        <v>1015722.38</v>
      </c>
      <c r="J4259" s="5">
        <v>25</v>
      </c>
      <c r="K4259" s="5">
        <v>176994</v>
      </c>
      <c r="L4259" s="5">
        <v>1356070</v>
      </c>
      <c r="M4259" s="5">
        <v>169005.62</v>
      </c>
      <c r="N4259" s="5">
        <v>0.14269999999999999</v>
      </c>
      <c r="O4259" s="5">
        <v>3</v>
      </c>
      <c r="P4259" s="5">
        <v>95408</v>
      </c>
    </row>
    <row r="4260" spans="1:16" x14ac:dyDescent="0.3">
      <c r="A4260" s="5">
        <v>27</v>
      </c>
      <c r="B4260" s="5" t="s">
        <v>160</v>
      </c>
      <c r="C4260" s="5">
        <v>10</v>
      </c>
      <c r="D4260" s="5" t="s">
        <v>86</v>
      </c>
      <c r="E4260" s="5">
        <v>2024</v>
      </c>
      <c r="F4260" s="5">
        <v>5</v>
      </c>
      <c r="G4260" s="5" t="s">
        <v>62</v>
      </c>
      <c r="H4260" s="5">
        <v>1417259</v>
      </c>
      <c r="I4260" s="5">
        <v>1311670.71</v>
      </c>
      <c r="J4260" s="5">
        <v>23</v>
      </c>
      <c r="K4260" s="5">
        <v>204421</v>
      </c>
      <c r="L4260" s="5">
        <v>1619550</v>
      </c>
      <c r="M4260" s="5">
        <v>105588.29</v>
      </c>
      <c r="N4260" s="5">
        <v>7.4499999999999997E-2</v>
      </c>
      <c r="O4260" s="5">
        <v>2</v>
      </c>
      <c r="P4260" s="5">
        <v>90602</v>
      </c>
    </row>
    <row r="4261" spans="1:16" x14ac:dyDescent="0.3">
      <c r="A4261" s="5">
        <v>113</v>
      </c>
      <c r="B4261" s="5" t="s">
        <v>160</v>
      </c>
      <c r="C4261" s="5">
        <v>10</v>
      </c>
      <c r="D4261" s="5" t="s">
        <v>86</v>
      </c>
      <c r="E4261" s="5">
        <v>2024</v>
      </c>
      <c r="F4261" s="5">
        <v>5</v>
      </c>
      <c r="G4261" s="5" t="s">
        <v>62</v>
      </c>
      <c r="H4261" s="5">
        <v>3242293</v>
      </c>
      <c r="I4261" s="5">
        <v>3030287.34</v>
      </c>
      <c r="J4261" s="5">
        <v>27</v>
      </c>
      <c r="K4261" s="5">
        <v>602591</v>
      </c>
      <c r="L4261" s="5">
        <v>3840220</v>
      </c>
      <c r="M4261" s="5">
        <v>212005.66</v>
      </c>
      <c r="N4261" s="5">
        <v>6.54E-2</v>
      </c>
      <c r="O4261" s="5">
        <v>4</v>
      </c>
      <c r="P4261" s="5">
        <v>47636</v>
      </c>
    </row>
    <row r="4262" spans="1:16" x14ac:dyDescent="0.3">
      <c r="A4262" s="5">
        <v>27</v>
      </c>
      <c r="B4262" s="5" t="s">
        <v>160</v>
      </c>
      <c r="C4262" s="5">
        <v>10</v>
      </c>
      <c r="D4262" s="5" t="s">
        <v>86</v>
      </c>
      <c r="E4262" s="5">
        <v>2024</v>
      </c>
      <c r="F4262" s="5">
        <v>6</v>
      </c>
      <c r="G4262" s="5" t="s">
        <v>63</v>
      </c>
      <c r="H4262" s="5">
        <v>1385847</v>
      </c>
      <c r="I4262" s="5">
        <v>1211402.3600000001</v>
      </c>
      <c r="J4262" s="5">
        <v>19</v>
      </c>
      <c r="K4262" s="5">
        <v>159515</v>
      </c>
      <c r="L4262" s="5">
        <v>1540400</v>
      </c>
      <c r="M4262" s="5">
        <v>174444.64</v>
      </c>
      <c r="N4262" s="5">
        <v>0.12590000000000001</v>
      </c>
      <c r="O4262" s="5">
        <v>2</v>
      </c>
      <c r="P4262" s="5">
        <v>64799</v>
      </c>
    </row>
    <row r="4263" spans="1:16" x14ac:dyDescent="0.3">
      <c r="A4263" s="5">
        <v>113</v>
      </c>
      <c r="B4263" s="5" t="s">
        <v>160</v>
      </c>
      <c r="C4263" s="5">
        <v>10</v>
      </c>
      <c r="D4263" s="5" t="s">
        <v>86</v>
      </c>
      <c r="E4263" s="5">
        <v>2024</v>
      </c>
      <c r="F4263" s="5">
        <v>6</v>
      </c>
      <c r="G4263" s="5" t="s">
        <v>63</v>
      </c>
      <c r="H4263" s="5">
        <v>1710223</v>
      </c>
      <c r="I4263" s="5">
        <v>1426658.37</v>
      </c>
      <c r="J4263" s="5">
        <v>21</v>
      </c>
      <c r="K4263" s="5">
        <v>145456</v>
      </c>
      <c r="L4263" s="5">
        <v>1855350</v>
      </c>
      <c r="M4263" s="5">
        <v>283564.63</v>
      </c>
      <c r="N4263" s="5">
        <v>0.1658</v>
      </c>
      <c r="O4263" s="5">
        <v>2</v>
      </c>
      <c r="P4263" s="5">
        <v>77310</v>
      </c>
    </row>
    <row r="4264" spans="1:16" x14ac:dyDescent="0.3">
      <c r="A4264" s="5">
        <v>27</v>
      </c>
      <c r="B4264" s="5" t="s">
        <v>160</v>
      </c>
      <c r="C4264" s="5">
        <v>10</v>
      </c>
      <c r="D4264" s="5" t="s">
        <v>86</v>
      </c>
      <c r="E4264" s="5">
        <v>2024</v>
      </c>
      <c r="F4264" s="5">
        <v>7</v>
      </c>
      <c r="G4264" s="5" t="s">
        <v>64</v>
      </c>
      <c r="H4264" s="5">
        <v>2027265</v>
      </c>
      <c r="I4264" s="5">
        <v>1705538.77</v>
      </c>
      <c r="J4264" s="5">
        <v>31</v>
      </c>
      <c r="K4264" s="5">
        <v>163973</v>
      </c>
      <c r="L4264" s="5">
        <v>2182940</v>
      </c>
      <c r="M4264" s="5">
        <v>321726.23</v>
      </c>
      <c r="N4264" s="5">
        <v>0.15870000000000001</v>
      </c>
      <c r="O4264" s="5">
        <v>0</v>
      </c>
      <c r="P4264" s="5">
        <v>0</v>
      </c>
    </row>
    <row r="4265" spans="1:16" x14ac:dyDescent="0.3">
      <c r="A4265" s="5">
        <v>113</v>
      </c>
      <c r="B4265" s="5" t="s">
        <v>160</v>
      </c>
      <c r="C4265" s="5">
        <v>10</v>
      </c>
      <c r="D4265" s="5" t="s">
        <v>86</v>
      </c>
      <c r="E4265" s="5">
        <v>2024</v>
      </c>
      <c r="F4265" s="5">
        <v>7</v>
      </c>
      <c r="G4265" s="5" t="s">
        <v>64</v>
      </c>
      <c r="H4265" s="5">
        <v>1793471</v>
      </c>
      <c r="I4265" s="5">
        <v>1547903.31</v>
      </c>
      <c r="J4265" s="5">
        <v>26</v>
      </c>
      <c r="K4265" s="5">
        <v>157037</v>
      </c>
      <c r="L4265" s="5">
        <v>1944400</v>
      </c>
      <c r="M4265" s="5">
        <v>245567.69</v>
      </c>
      <c r="N4265" s="5">
        <v>0.13689999999999999</v>
      </c>
      <c r="O4265" s="5">
        <v>1</v>
      </c>
      <c r="P4265" s="5">
        <v>14582</v>
      </c>
    </row>
    <row r="4266" spans="1:16" x14ac:dyDescent="0.3">
      <c r="A4266" s="5">
        <v>27</v>
      </c>
      <c r="B4266" s="5" t="s">
        <v>160</v>
      </c>
      <c r="C4266" s="5">
        <v>10</v>
      </c>
      <c r="D4266" s="5" t="s">
        <v>86</v>
      </c>
      <c r="E4266" s="5">
        <v>2024</v>
      </c>
      <c r="F4266" s="5">
        <v>8</v>
      </c>
      <c r="G4266" s="5" t="s">
        <v>65</v>
      </c>
      <c r="H4266" s="5">
        <v>1965936</v>
      </c>
      <c r="I4266" s="5">
        <v>1612875.54</v>
      </c>
      <c r="J4266" s="5">
        <v>39</v>
      </c>
      <c r="K4266" s="5">
        <v>163574</v>
      </c>
      <c r="L4266" s="5">
        <v>2122870</v>
      </c>
      <c r="M4266" s="5">
        <v>353060.46</v>
      </c>
      <c r="N4266" s="5">
        <v>0.17960000000000001</v>
      </c>
      <c r="O4266" s="5">
        <v>2</v>
      </c>
      <c r="P4266" s="5">
        <v>10084</v>
      </c>
    </row>
    <row r="4267" spans="1:16" x14ac:dyDescent="0.3">
      <c r="A4267" s="5">
        <v>113</v>
      </c>
      <c r="B4267" s="5" t="s">
        <v>160</v>
      </c>
      <c r="C4267" s="5">
        <v>10</v>
      </c>
      <c r="D4267" s="5" t="s">
        <v>86</v>
      </c>
      <c r="E4267" s="5">
        <v>2024</v>
      </c>
      <c r="F4267" s="5">
        <v>8</v>
      </c>
      <c r="G4267" s="5" t="s">
        <v>65</v>
      </c>
      <c r="H4267" s="5">
        <v>2074042</v>
      </c>
      <c r="I4267" s="5">
        <v>1769672.95</v>
      </c>
      <c r="J4267" s="5">
        <v>35</v>
      </c>
      <c r="K4267" s="5">
        <v>245133</v>
      </c>
      <c r="L4267" s="5">
        <v>2316640</v>
      </c>
      <c r="M4267" s="5">
        <v>304369.05</v>
      </c>
      <c r="N4267" s="5">
        <v>0.14680000000000001</v>
      </c>
      <c r="O4267" s="5">
        <v>3</v>
      </c>
      <c r="P4267" s="5">
        <v>64692</v>
      </c>
    </row>
    <row r="4268" spans="1:16" x14ac:dyDescent="0.3">
      <c r="A4268" s="5">
        <v>27</v>
      </c>
      <c r="B4268" s="5" t="s">
        <v>160</v>
      </c>
      <c r="C4268" s="5">
        <v>10</v>
      </c>
      <c r="D4268" s="5" t="s">
        <v>86</v>
      </c>
      <c r="E4268" s="5">
        <v>2024</v>
      </c>
      <c r="F4268" s="5">
        <v>9</v>
      </c>
      <c r="G4268" s="5" t="s">
        <v>66</v>
      </c>
      <c r="H4268" s="5">
        <v>2282587</v>
      </c>
      <c r="I4268" s="5">
        <v>1886152.55</v>
      </c>
      <c r="J4268" s="5">
        <v>34</v>
      </c>
      <c r="K4268" s="5">
        <v>140708</v>
      </c>
      <c r="L4268" s="5">
        <v>2417250</v>
      </c>
      <c r="M4268" s="5">
        <v>396434.45</v>
      </c>
      <c r="N4268" s="5">
        <v>0.17369999999999999</v>
      </c>
      <c r="O4268" s="5">
        <v>3</v>
      </c>
      <c r="P4268" s="5">
        <v>166910</v>
      </c>
    </row>
    <row r="4269" spans="1:16" x14ac:dyDescent="0.3">
      <c r="A4269" s="5">
        <v>113</v>
      </c>
      <c r="B4269" s="5" t="s">
        <v>160</v>
      </c>
      <c r="C4269" s="5">
        <v>10</v>
      </c>
      <c r="D4269" s="5" t="s">
        <v>86</v>
      </c>
      <c r="E4269" s="5">
        <v>2024</v>
      </c>
      <c r="F4269" s="5">
        <v>9</v>
      </c>
      <c r="G4269" s="5" t="s">
        <v>66</v>
      </c>
      <c r="H4269" s="5">
        <v>1235743</v>
      </c>
      <c r="I4269" s="5">
        <v>1003564.68</v>
      </c>
      <c r="J4269" s="5">
        <v>27</v>
      </c>
      <c r="K4269" s="5">
        <v>91209</v>
      </c>
      <c r="L4269" s="5">
        <v>1325630</v>
      </c>
      <c r="M4269" s="5">
        <v>232178.32</v>
      </c>
      <c r="N4269" s="5">
        <v>0.18790000000000001</v>
      </c>
      <c r="O4269" s="5">
        <v>0</v>
      </c>
      <c r="P4269" s="5">
        <v>0</v>
      </c>
    </row>
    <row r="4270" spans="1:16" x14ac:dyDescent="0.3">
      <c r="A4270" s="5">
        <v>27</v>
      </c>
      <c r="B4270" s="5" t="s">
        <v>160</v>
      </c>
      <c r="C4270" s="5">
        <v>10</v>
      </c>
      <c r="D4270" s="5" t="s">
        <v>86</v>
      </c>
      <c r="E4270" s="5">
        <v>2024</v>
      </c>
      <c r="F4270" s="5">
        <v>10</v>
      </c>
      <c r="G4270" s="5" t="s">
        <v>67</v>
      </c>
      <c r="H4270" s="5">
        <v>2570575</v>
      </c>
      <c r="I4270" s="5">
        <v>2125611.29</v>
      </c>
      <c r="J4270" s="5">
        <v>34</v>
      </c>
      <c r="K4270" s="5">
        <v>107682</v>
      </c>
      <c r="L4270" s="5">
        <v>2669960</v>
      </c>
      <c r="M4270" s="5">
        <v>444963.71</v>
      </c>
      <c r="N4270" s="5">
        <v>0.1731</v>
      </c>
      <c r="O4270" s="5">
        <v>5</v>
      </c>
      <c r="P4270" s="5">
        <v>127391</v>
      </c>
    </row>
    <row r="4271" spans="1:16" x14ac:dyDescent="0.3">
      <c r="A4271" s="5">
        <v>113</v>
      </c>
      <c r="B4271" s="5" t="s">
        <v>160</v>
      </c>
      <c r="C4271" s="5">
        <v>10</v>
      </c>
      <c r="D4271" s="5" t="s">
        <v>86</v>
      </c>
      <c r="E4271" s="5">
        <v>2024</v>
      </c>
      <c r="F4271" s="5">
        <v>10</v>
      </c>
      <c r="G4271" s="5" t="s">
        <v>67</v>
      </c>
      <c r="H4271" s="5">
        <v>1892437</v>
      </c>
      <c r="I4271" s="5">
        <v>1530911.22</v>
      </c>
      <c r="J4271" s="5">
        <v>40</v>
      </c>
      <c r="K4271" s="5">
        <v>64688</v>
      </c>
      <c r="L4271" s="5">
        <v>1948330</v>
      </c>
      <c r="M4271" s="5">
        <v>361525.78</v>
      </c>
      <c r="N4271" s="5">
        <v>0.191</v>
      </c>
      <c r="O4271" s="5">
        <v>3</v>
      </c>
      <c r="P4271" s="5">
        <v>8211</v>
      </c>
    </row>
    <row r="4272" spans="1:16" x14ac:dyDescent="0.3">
      <c r="A4272" s="5">
        <v>27</v>
      </c>
      <c r="B4272" s="5" t="s">
        <v>160</v>
      </c>
      <c r="C4272" s="5">
        <v>10</v>
      </c>
      <c r="D4272" s="5" t="s">
        <v>86</v>
      </c>
      <c r="E4272" s="5">
        <v>2024</v>
      </c>
      <c r="F4272" s="5">
        <v>11</v>
      </c>
      <c r="G4272" s="5" t="s">
        <v>68</v>
      </c>
      <c r="H4272" s="5">
        <v>3003368</v>
      </c>
      <c r="I4272" s="5">
        <v>2417633.94</v>
      </c>
      <c r="J4272" s="5">
        <v>48</v>
      </c>
      <c r="K4272" s="5">
        <v>150084</v>
      </c>
      <c r="L4272" s="5">
        <v>3144740</v>
      </c>
      <c r="M4272" s="5">
        <v>585734.06000000006</v>
      </c>
      <c r="N4272" s="5">
        <v>0.19500000000000001</v>
      </c>
      <c r="O4272" s="5">
        <v>4</v>
      </c>
      <c r="P4272" s="5">
        <v>98590</v>
      </c>
    </row>
    <row r="4273" spans="1:16" x14ac:dyDescent="0.3">
      <c r="A4273" s="5">
        <v>113</v>
      </c>
      <c r="B4273" s="5" t="s">
        <v>160</v>
      </c>
      <c r="C4273" s="5">
        <v>10</v>
      </c>
      <c r="D4273" s="5" t="s">
        <v>86</v>
      </c>
      <c r="E4273" s="5">
        <v>2024</v>
      </c>
      <c r="F4273" s="5">
        <v>11</v>
      </c>
      <c r="G4273" s="5" t="s">
        <v>68</v>
      </c>
      <c r="H4273" s="5">
        <v>2653881</v>
      </c>
      <c r="I4273" s="5">
        <v>2229108.2599999998</v>
      </c>
      <c r="J4273" s="5">
        <v>37</v>
      </c>
      <c r="K4273" s="5">
        <v>150281</v>
      </c>
      <c r="L4273" s="5">
        <v>2796340</v>
      </c>
      <c r="M4273" s="5">
        <v>424772.74</v>
      </c>
      <c r="N4273" s="5">
        <v>0.16009999999999999</v>
      </c>
      <c r="O4273" s="5">
        <v>0</v>
      </c>
      <c r="P4273" s="5">
        <v>0</v>
      </c>
    </row>
    <row r="4274" spans="1:16" x14ac:dyDescent="0.3">
      <c r="A4274" s="5">
        <v>27</v>
      </c>
      <c r="B4274" s="5" t="s">
        <v>160</v>
      </c>
      <c r="C4274" s="5">
        <v>10</v>
      </c>
      <c r="D4274" s="5" t="s">
        <v>86</v>
      </c>
      <c r="E4274" s="5">
        <v>2024</v>
      </c>
      <c r="F4274" s="5">
        <v>12</v>
      </c>
      <c r="G4274" s="5" t="s">
        <v>69</v>
      </c>
      <c r="H4274" s="5">
        <v>2041257</v>
      </c>
      <c r="I4274" s="5">
        <v>1586719.24</v>
      </c>
      <c r="J4274" s="5">
        <v>36</v>
      </c>
      <c r="K4274" s="5">
        <v>59814</v>
      </c>
      <c r="L4274" s="5">
        <v>2093520</v>
      </c>
      <c r="M4274" s="5">
        <v>454537.76</v>
      </c>
      <c r="N4274" s="5">
        <v>0.22270000000000001</v>
      </c>
      <c r="O4274" s="5">
        <v>2</v>
      </c>
      <c r="P4274" s="5">
        <v>5599</v>
      </c>
    </row>
    <row r="4275" spans="1:16" x14ac:dyDescent="0.3">
      <c r="A4275" s="5">
        <v>113</v>
      </c>
      <c r="B4275" s="5" t="s">
        <v>160</v>
      </c>
      <c r="C4275" s="5">
        <v>10</v>
      </c>
      <c r="D4275" s="5" t="s">
        <v>86</v>
      </c>
      <c r="E4275" s="5">
        <v>2024</v>
      </c>
      <c r="F4275" s="5">
        <v>12</v>
      </c>
      <c r="G4275" s="5" t="s">
        <v>69</v>
      </c>
      <c r="H4275" s="5">
        <v>2702024</v>
      </c>
      <c r="I4275" s="5">
        <v>2165367.92</v>
      </c>
      <c r="J4275" s="5">
        <v>38</v>
      </c>
      <c r="K4275" s="5">
        <v>97526</v>
      </c>
      <c r="L4275" s="5">
        <v>2790840</v>
      </c>
      <c r="M4275" s="5">
        <v>536656.07999999996</v>
      </c>
      <c r="N4275" s="5">
        <v>0.1986</v>
      </c>
      <c r="O4275" s="5">
        <v>1</v>
      </c>
      <c r="P4275" s="5">
        <v>28559</v>
      </c>
    </row>
    <row r="4276" spans="1:16" x14ac:dyDescent="0.3">
      <c r="A4276" s="5">
        <v>12</v>
      </c>
      <c r="B4276" s="5" t="s">
        <v>161</v>
      </c>
      <c r="C4276" s="5">
        <v>6</v>
      </c>
      <c r="D4276" s="5" t="s">
        <v>90</v>
      </c>
      <c r="E4276" s="5">
        <v>2021</v>
      </c>
      <c r="F4276" s="5">
        <v>1</v>
      </c>
      <c r="G4276" s="5" t="s">
        <v>22</v>
      </c>
      <c r="H4276" s="5">
        <v>176379</v>
      </c>
      <c r="I4276" s="5">
        <v>159362.81</v>
      </c>
      <c r="J4276" s="5">
        <v>7</v>
      </c>
      <c r="K4276" s="5">
        <v>38111</v>
      </c>
      <c r="L4276" s="5">
        <v>214490</v>
      </c>
      <c r="M4276" s="5">
        <v>17016.189999999999</v>
      </c>
      <c r="N4276" s="5">
        <v>9.6500000000000002E-2</v>
      </c>
      <c r="O4276" s="5">
        <v>0</v>
      </c>
      <c r="P4276" s="5">
        <v>0</v>
      </c>
    </row>
    <row r="4277" spans="1:16" x14ac:dyDescent="0.3">
      <c r="A4277" s="5">
        <v>116</v>
      </c>
      <c r="B4277" s="5" t="s">
        <v>161</v>
      </c>
      <c r="C4277" s="5">
        <v>6</v>
      </c>
      <c r="D4277" s="5" t="s">
        <v>90</v>
      </c>
      <c r="E4277" s="5">
        <v>2021</v>
      </c>
      <c r="F4277" s="5">
        <v>1</v>
      </c>
      <c r="G4277" s="5" t="s">
        <v>22</v>
      </c>
      <c r="H4277" s="5">
        <v>635014</v>
      </c>
      <c r="I4277" s="5">
        <v>581098.77</v>
      </c>
      <c r="J4277" s="5">
        <v>11</v>
      </c>
      <c r="K4277" s="5">
        <v>157044</v>
      </c>
      <c r="L4277" s="5">
        <v>791320</v>
      </c>
      <c r="M4277" s="5">
        <v>53915.23</v>
      </c>
      <c r="N4277" s="5">
        <v>8.4900000000000003E-2</v>
      </c>
      <c r="O4277" s="5">
        <v>1</v>
      </c>
      <c r="P4277" s="5">
        <v>51964</v>
      </c>
    </row>
    <row r="4278" spans="1:16" x14ac:dyDescent="0.3">
      <c r="A4278" s="5">
        <v>12</v>
      </c>
      <c r="B4278" s="5" t="s">
        <v>161</v>
      </c>
      <c r="C4278" s="5">
        <v>6</v>
      </c>
      <c r="D4278" s="5" t="s">
        <v>90</v>
      </c>
      <c r="E4278" s="5">
        <v>2021</v>
      </c>
      <c r="F4278" s="5">
        <v>2</v>
      </c>
      <c r="G4278" s="5" t="s">
        <v>23</v>
      </c>
      <c r="H4278" s="5">
        <v>689689</v>
      </c>
      <c r="I4278" s="5">
        <v>636336.31999999995</v>
      </c>
      <c r="J4278" s="5">
        <v>9</v>
      </c>
      <c r="K4278" s="5">
        <v>142807</v>
      </c>
      <c r="L4278" s="5">
        <v>831870</v>
      </c>
      <c r="M4278" s="5">
        <v>53352.68</v>
      </c>
      <c r="N4278" s="5">
        <v>7.7399999999999997E-2</v>
      </c>
      <c r="O4278" s="5">
        <v>3</v>
      </c>
      <c r="P4278" s="5">
        <v>90234</v>
      </c>
    </row>
    <row r="4279" spans="1:16" x14ac:dyDescent="0.3">
      <c r="A4279" s="5">
        <v>116</v>
      </c>
      <c r="B4279" s="5" t="s">
        <v>161</v>
      </c>
      <c r="C4279" s="5">
        <v>6</v>
      </c>
      <c r="D4279" s="5" t="s">
        <v>90</v>
      </c>
      <c r="E4279" s="5">
        <v>2021</v>
      </c>
      <c r="F4279" s="5">
        <v>2</v>
      </c>
      <c r="G4279" s="5" t="s">
        <v>23</v>
      </c>
      <c r="H4279" s="5">
        <v>469264</v>
      </c>
      <c r="I4279" s="5">
        <v>401306.01</v>
      </c>
      <c r="J4279" s="5">
        <v>12</v>
      </c>
      <c r="K4279" s="5">
        <v>63719</v>
      </c>
      <c r="L4279" s="5">
        <v>531810</v>
      </c>
      <c r="M4279" s="5">
        <v>67957.990000000005</v>
      </c>
      <c r="N4279" s="5">
        <v>0.14480000000000001</v>
      </c>
      <c r="O4279" s="5">
        <v>0</v>
      </c>
      <c r="P4279" s="5">
        <v>0</v>
      </c>
    </row>
    <row r="4280" spans="1:16" x14ac:dyDescent="0.3">
      <c r="A4280" s="5">
        <v>12</v>
      </c>
      <c r="B4280" s="5" t="s">
        <v>161</v>
      </c>
      <c r="C4280" s="5">
        <v>6</v>
      </c>
      <c r="D4280" s="5" t="s">
        <v>90</v>
      </c>
      <c r="E4280" s="5">
        <v>2021</v>
      </c>
      <c r="F4280" s="5">
        <v>3</v>
      </c>
      <c r="G4280" s="5" t="s">
        <v>24</v>
      </c>
      <c r="H4280" s="5">
        <v>456832</v>
      </c>
      <c r="I4280" s="5">
        <v>353553.41</v>
      </c>
      <c r="J4280" s="5">
        <v>7</v>
      </c>
      <c r="K4280" s="5">
        <v>21663</v>
      </c>
      <c r="L4280" s="5">
        <v>475770</v>
      </c>
      <c r="M4280" s="5">
        <v>103278.59</v>
      </c>
      <c r="N4280" s="5">
        <v>0.2261</v>
      </c>
      <c r="O4280" s="5">
        <v>1</v>
      </c>
      <c r="P4280" s="5">
        <v>14100</v>
      </c>
    </row>
    <row r="4281" spans="1:16" x14ac:dyDescent="0.3">
      <c r="A4281" s="5">
        <v>116</v>
      </c>
      <c r="B4281" s="5" t="s">
        <v>161</v>
      </c>
      <c r="C4281" s="5">
        <v>6</v>
      </c>
      <c r="D4281" s="5" t="s">
        <v>90</v>
      </c>
      <c r="E4281" s="5">
        <v>2021</v>
      </c>
      <c r="F4281" s="5">
        <v>3</v>
      </c>
      <c r="G4281" s="5" t="s">
        <v>24</v>
      </c>
      <c r="H4281" s="5">
        <v>1269152</v>
      </c>
      <c r="I4281" s="5">
        <v>1000245.09</v>
      </c>
      <c r="J4281" s="5">
        <v>16</v>
      </c>
      <c r="K4281" s="5">
        <v>30980</v>
      </c>
      <c r="L4281" s="5">
        <v>1294220</v>
      </c>
      <c r="M4281" s="5">
        <v>268906.90999999997</v>
      </c>
      <c r="N4281" s="5">
        <v>0.21190000000000001</v>
      </c>
      <c r="O4281" s="5">
        <v>2</v>
      </c>
      <c r="P4281" s="5">
        <v>97036</v>
      </c>
    </row>
    <row r="4282" spans="1:16" x14ac:dyDescent="0.3">
      <c r="A4282" s="5">
        <v>12</v>
      </c>
      <c r="B4282" s="5" t="s">
        <v>161</v>
      </c>
      <c r="C4282" s="5">
        <v>6</v>
      </c>
      <c r="D4282" s="5" t="s">
        <v>90</v>
      </c>
      <c r="E4282" s="5">
        <v>2021</v>
      </c>
      <c r="F4282" s="5">
        <v>4</v>
      </c>
      <c r="G4282" s="5" t="s">
        <v>25</v>
      </c>
      <c r="H4282" s="5">
        <v>534929</v>
      </c>
      <c r="I4282" s="5">
        <v>440321.29</v>
      </c>
      <c r="J4282" s="5">
        <v>12</v>
      </c>
      <c r="K4282" s="5">
        <v>50726</v>
      </c>
      <c r="L4282" s="5">
        <v>583780</v>
      </c>
      <c r="M4282" s="5">
        <v>94607.71</v>
      </c>
      <c r="N4282" s="5">
        <v>0.1769</v>
      </c>
      <c r="O4282" s="5">
        <v>1</v>
      </c>
      <c r="P4282" s="5">
        <v>11048</v>
      </c>
    </row>
    <row r="4283" spans="1:16" x14ac:dyDescent="0.3">
      <c r="A4283" s="5">
        <v>116</v>
      </c>
      <c r="B4283" s="5" t="s">
        <v>161</v>
      </c>
      <c r="C4283" s="5">
        <v>6</v>
      </c>
      <c r="D4283" s="5" t="s">
        <v>90</v>
      </c>
      <c r="E4283" s="5">
        <v>2021</v>
      </c>
      <c r="F4283" s="5">
        <v>4</v>
      </c>
      <c r="G4283" s="5" t="s">
        <v>25</v>
      </c>
      <c r="H4283" s="5">
        <v>671920</v>
      </c>
      <c r="I4283" s="5">
        <v>664070.29</v>
      </c>
      <c r="J4283" s="5">
        <v>11</v>
      </c>
      <c r="K4283" s="5">
        <v>229364</v>
      </c>
      <c r="L4283" s="5">
        <v>901080</v>
      </c>
      <c r="M4283" s="5">
        <v>7849.71</v>
      </c>
      <c r="N4283" s="5">
        <v>1.17E-2</v>
      </c>
      <c r="O4283" s="5">
        <v>0</v>
      </c>
      <c r="P4283" s="5">
        <v>0</v>
      </c>
    </row>
    <row r="4284" spans="1:16" x14ac:dyDescent="0.3">
      <c r="A4284" s="5">
        <v>12</v>
      </c>
      <c r="B4284" s="5" t="s">
        <v>161</v>
      </c>
      <c r="C4284" s="5">
        <v>6</v>
      </c>
      <c r="D4284" s="5" t="s">
        <v>90</v>
      </c>
      <c r="E4284" s="5">
        <v>2021</v>
      </c>
      <c r="F4284" s="5">
        <v>5</v>
      </c>
      <c r="G4284" s="5" t="s">
        <v>26</v>
      </c>
      <c r="H4284" s="5">
        <v>350347</v>
      </c>
      <c r="I4284" s="5">
        <v>277416.58</v>
      </c>
      <c r="J4284" s="5">
        <v>6</v>
      </c>
      <c r="K4284" s="5">
        <v>16771</v>
      </c>
      <c r="L4284" s="5">
        <v>366040</v>
      </c>
      <c r="M4284" s="5">
        <v>72930.42</v>
      </c>
      <c r="N4284" s="5">
        <v>0.2082</v>
      </c>
      <c r="O4284" s="5">
        <v>0</v>
      </c>
      <c r="P4284" s="5">
        <v>0</v>
      </c>
    </row>
    <row r="4285" spans="1:16" x14ac:dyDescent="0.3">
      <c r="A4285" s="5">
        <v>116</v>
      </c>
      <c r="B4285" s="5" t="s">
        <v>161</v>
      </c>
      <c r="C4285" s="5">
        <v>6</v>
      </c>
      <c r="D4285" s="5" t="s">
        <v>90</v>
      </c>
      <c r="E4285" s="5">
        <v>2021</v>
      </c>
      <c r="F4285" s="5">
        <v>5</v>
      </c>
      <c r="G4285" s="5" t="s">
        <v>26</v>
      </c>
      <c r="H4285" s="5">
        <v>1838187</v>
      </c>
      <c r="I4285" s="5">
        <v>1581219.48</v>
      </c>
      <c r="J4285" s="5">
        <v>19</v>
      </c>
      <c r="K4285" s="5">
        <v>184846</v>
      </c>
      <c r="L4285" s="5">
        <v>2019380</v>
      </c>
      <c r="M4285" s="5">
        <v>256967.52</v>
      </c>
      <c r="N4285" s="5">
        <v>0.13980000000000001</v>
      </c>
      <c r="O4285" s="5">
        <v>4</v>
      </c>
      <c r="P4285" s="5">
        <v>98883</v>
      </c>
    </row>
    <row r="4286" spans="1:16" x14ac:dyDescent="0.3">
      <c r="A4286" s="5">
        <v>12</v>
      </c>
      <c r="B4286" s="5" t="s">
        <v>161</v>
      </c>
      <c r="C4286" s="5">
        <v>6</v>
      </c>
      <c r="D4286" s="5" t="s">
        <v>90</v>
      </c>
      <c r="E4286" s="5">
        <v>2021</v>
      </c>
      <c r="F4286" s="5">
        <v>6</v>
      </c>
      <c r="G4286" s="5" t="s">
        <v>27</v>
      </c>
      <c r="H4286" s="5">
        <v>824347</v>
      </c>
      <c r="I4286" s="5">
        <v>797353.9</v>
      </c>
      <c r="J4286" s="5">
        <v>8</v>
      </c>
      <c r="K4286" s="5">
        <v>200114</v>
      </c>
      <c r="L4286" s="5">
        <v>1022920</v>
      </c>
      <c r="M4286" s="5">
        <v>26993.1</v>
      </c>
      <c r="N4286" s="5">
        <v>3.27E-2</v>
      </c>
      <c r="O4286" s="5">
        <v>1</v>
      </c>
      <c r="P4286" s="5">
        <v>39974</v>
      </c>
    </row>
    <row r="4287" spans="1:16" x14ac:dyDescent="0.3">
      <c r="A4287" s="5">
        <v>116</v>
      </c>
      <c r="B4287" s="5" t="s">
        <v>161</v>
      </c>
      <c r="C4287" s="5">
        <v>6</v>
      </c>
      <c r="D4287" s="5" t="s">
        <v>90</v>
      </c>
      <c r="E4287" s="5">
        <v>2021</v>
      </c>
      <c r="F4287" s="5">
        <v>6</v>
      </c>
      <c r="G4287" s="5" t="s">
        <v>27</v>
      </c>
      <c r="H4287" s="5">
        <v>701136</v>
      </c>
      <c r="I4287" s="5">
        <v>617352.74</v>
      </c>
      <c r="J4287" s="5">
        <v>16</v>
      </c>
      <c r="K4287" s="5">
        <v>115094</v>
      </c>
      <c r="L4287" s="5">
        <v>812760</v>
      </c>
      <c r="M4287" s="5">
        <v>83783.259999999995</v>
      </c>
      <c r="N4287" s="5">
        <v>0.1195</v>
      </c>
      <c r="O4287" s="5">
        <v>1</v>
      </c>
      <c r="P4287" s="5">
        <v>30161</v>
      </c>
    </row>
    <row r="4288" spans="1:16" x14ac:dyDescent="0.3">
      <c r="A4288" s="5">
        <v>12</v>
      </c>
      <c r="B4288" s="5" t="s">
        <v>161</v>
      </c>
      <c r="C4288" s="5">
        <v>6</v>
      </c>
      <c r="D4288" s="5" t="s">
        <v>90</v>
      </c>
      <c r="E4288" s="5">
        <v>2021</v>
      </c>
      <c r="F4288" s="5">
        <v>7</v>
      </c>
      <c r="G4288" s="5" t="s">
        <v>28</v>
      </c>
      <c r="H4288" s="5">
        <v>574279</v>
      </c>
      <c r="I4288" s="5">
        <v>489359.06</v>
      </c>
      <c r="J4288" s="5">
        <v>7</v>
      </c>
      <c r="K4288" s="5">
        <v>26922</v>
      </c>
      <c r="L4288" s="5">
        <v>601010</v>
      </c>
      <c r="M4288" s="5">
        <v>84919.94</v>
      </c>
      <c r="N4288" s="5">
        <v>0.1479</v>
      </c>
      <c r="O4288" s="5">
        <v>0</v>
      </c>
      <c r="P4288" s="5">
        <v>0</v>
      </c>
    </row>
    <row r="4289" spans="1:16" x14ac:dyDescent="0.3">
      <c r="A4289" s="5">
        <v>116</v>
      </c>
      <c r="B4289" s="5" t="s">
        <v>161</v>
      </c>
      <c r="C4289" s="5">
        <v>6</v>
      </c>
      <c r="D4289" s="5" t="s">
        <v>90</v>
      </c>
      <c r="E4289" s="5">
        <v>2021</v>
      </c>
      <c r="F4289" s="5">
        <v>7</v>
      </c>
      <c r="G4289" s="5" t="s">
        <v>28</v>
      </c>
      <c r="H4289" s="5">
        <v>466632</v>
      </c>
      <c r="I4289" s="5">
        <v>388545.65</v>
      </c>
      <c r="J4289" s="5">
        <v>13</v>
      </c>
      <c r="K4289" s="5">
        <v>50835</v>
      </c>
      <c r="L4289" s="5">
        <v>517020</v>
      </c>
      <c r="M4289" s="5">
        <v>78086.350000000006</v>
      </c>
      <c r="N4289" s="5">
        <v>0.1673</v>
      </c>
      <c r="O4289" s="5">
        <v>0</v>
      </c>
      <c r="P4289" s="5">
        <v>0</v>
      </c>
    </row>
    <row r="4290" spans="1:16" x14ac:dyDescent="0.3">
      <c r="A4290" s="5">
        <v>12</v>
      </c>
      <c r="B4290" s="5" t="s">
        <v>161</v>
      </c>
      <c r="C4290" s="5">
        <v>6</v>
      </c>
      <c r="D4290" s="5" t="s">
        <v>90</v>
      </c>
      <c r="E4290" s="5">
        <v>2021</v>
      </c>
      <c r="F4290" s="5">
        <v>8</v>
      </c>
      <c r="G4290" s="5" t="s">
        <v>29</v>
      </c>
      <c r="H4290" s="5">
        <v>441320</v>
      </c>
      <c r="I4290" s="5">
        <v>371465.42</v>
      </c>
      <c r="J4290" s="5">
        <v>5</v>
      </c>
      <c r="K4290" s="5">
        <v>21431</v>
      </c>
      <c r="L4290" s="5">
        <v>462310</v>
      </c>
      <c r="M4290" s="5">
        <v>69854.58</v>
      </c>
      <c r="N4290" s="5">
        <v>0.1583</v>
      </c>
      <c r="O4290" s="5">
        <v>1</v>
      </c>
      <c r="P4290" s="5">
        <v>6451</v>
      </c>
    </row>
    <row r="4291" spans="1:16" x14ac:dyDescent="0.3">
      <c r="A4291" s="5">
        <v>116</v>
      </c>
      <c r="B4291" s="5" t="s">
        <v>161</v>
      </c>
      <c r="C4291" s="5">
        <v>6</v>
      </c>
      <c r="D4291" s="5" t="s">
        <v>90</v>
      </c>
      <c r="E4291" s="5">
        <v>2021</v>
      </c>
      <c r="F4291" s="5">
        <v>8</v>
      </c>
      <c r="G4291" s="5" t="s">
        <v>29</v>
      </c>
      <c r="H4291" s="5">
        <v>1465233</v>
      </c>
      <c r="I4291" s="5">
        <v>1277140.29</v>
      </c>
      <c r="J4291" s="5">
        <v>12</v>
      </c>
      <c r="K4291" s="5">
        <v>157441</v>
      </c>
      <c r="L4291" s="5">
        <v>1610840</v>
      </c>
      <c r="M4291" s="5">
        <v>188092.71</v>
      </c>
      <c r="N4291" s="5">
        <v>0.12839999999999999</v>
      </c>
      <c r="O4291" s="5">
        <v>0</v>
      </c>
      <c r="P4291" s="5">
        <v>0</v>
      </c>
    </row>
    <row r="4292" spans="1:16" x14ac:dyDescent="0.3">
      <c r="A4292" s="5">
        <v>12</v>
      </c>
      <c r="B4292" s="5" t="s">
        <v>161</v>
      </c>
      <c r="C4292" s="5">
        <v>6</v>
      </c>
      <c r="D4292" s="5" t="s">
        <v>90</v>
      </c>
      <c r="E4292" s="5">
        <v>2021</v>
      </c>
      <c r="F4292" s="5">
        <v>9</v>
      </c>
      <c r="G4292" s="5" t="s">
        <v>30</v>
      </c>
      <c r="H4292" s="5">
        <v>129350</v>
      </c>
      <c r="I4292" s="5">
        <v>105081.04</v>
      </c>
      <c r="J4292" s="5">
        <v>8</v>
      </c>
      <c r="K4292" s="5">
        <v>15036</v>
      </c>
      <c r="L4292" s="5">
        <v>143860</v>
      </c>
      <c r="M4292" s="5">
        <v>24268.959999999999</v>
      </c>
      <c r="N4292" s="5">
        <v>0.18759999999999999</v>
      </c>
      <c r="O4292" s="5">
        <v>1</v>
      </c>
      <c r="P4292" s="5">
        <v>6132</v>
      </c>
    </row>
    <row r="4293" spans="1:16" x14ac:dyDescent="0.3">
      <c r="A4293" s="5">
        <v>116</v>
      </c>
      <c r="B4293" s="5" t="s">
        <v>161</v>
      </c>
      <c r="C4293" s="5">
        <v>6</v>
      </c>
      <c r="D4293" s="5" t="s">
        <v>90</v>
      </c>
      <c r="E4293" s="5">
        <v>2021</v>
      </c>
      <c r="F4293" s="5">
        <v>9</v>
      </c>
      <c r="G4293" s="5" t="s">
        <v>30</v>
      </c>
      <c r="H4293" s="5">
        <v>849830</v>
      </c>
      <c r="I4293" s="5">
        <v>714036.12</v>
      </c>
      <c r="J4293" s="5">
        <v>14</v>
      </c>
      <c r="K4293" s="5">
        <v>107844</v>
      </c>
      <c r="L4293" s="5">
        <v>954330</v>
      </c>
      <c r="M4293" s="5">
        <v>135793.88</v>
      </c>
      <c r="N4293" s="5">
        <v>0.1598</v>
      </c>
      <c r="O4293" s="5">
        <v>1</v>
      </c>
      <c r="P4293" s="5">
        <v>18258</v>
      </c>
    </row>
    <row r="4294" spans="1:16" x14ac:dyDescent="0.3">
      <c r="A4294" s="5">
        <v>12</v>
      </c>
      <c r="B4294" s="5" t="s">
        <v>161</v>
      </c>
      <c r="C4294" s="5">
        <v>6</v>
      </c>
      <c r="D4294" s="5" t="s">
        <v>90</v>
      </c>
      <c r="E4294" s="5">
        <v>2021</v>
      </c>
      <c r="F4294" s="5">
        <v>10</v>
      </c>
      <c r="G4294" s="5" t="s">
        <v>31</v>
      </c>
      <c r="H4294" s="5">
        <v>450506</v>
      </c>
      <c r="I4294" s="5">
        <v>382529.06</v>
      </c>
      <c r="J4294" s="5">
        <v>6</v>
      </c>
      <c r="K4294" s="5">
        <v>57219</v>
      </c>
      <c r="L4294" s="5">
        <v>507390</v>
      </c>
      <c r="M4294" s="5">
        <v>67976.94</v>
      </c>
      <c r="N4294" s="5">
        <v>0.15090000000000001</v>
      </c>
      <c r="O4294" s="5">
        <v>1</v>
      </c>
      <c r="P4294" s="5">
        <v>438</v>
      </c>
    </row>
    <row r="4295" spans="1:16" x14ac:dyDescent="0.3">
      <c r="A4295" s="5">
        <v>116</v>
      </c>
      <c r="B4295" s="5" t="s">
        <v>161</v>
      </c>
      <c r="C4295" s="5">
        <v>6</v>
      </c>
      <c r="D4295" s="5" t="s">
        <v>90</v>
      </c>
      <c r="E4295" s="5">
        <v>2021</v>
      </c>
      <c r="F4295" s="5">
        <v>10</v>
      </c>
      <c r="G4295" s="5" t="s">
        <v>31</v>
      </c>
      <c r="H4295" s="5">
        <v>659812</v>
      </c>
      <c r="I4295" s="5">
        <v>557962.62</v>
      </c>
      <c r="J4295" s="5">
        <v>19</v>
      </c>
      <c r="K4295" s="5">
        <v>57730</v>
      </c>
      <c r="L4295" s="5">
        <v>717220</v>
      </c>
      <c r="M4295" s="5">
        <v>101849.38</v>
      </c>
      <c r="N4295" s="5">
        <v>0.15440000000000001</v>
      </c>
      <c r="O4295" s="5">
        <v>2</v>
      </c>
      <c r="P4295" s="5">
        <v>14709</v>
      </c>
    </row>
    <row r="4296" spans="1:16" x14ac:dyDescent="0.3">
      <c r="A4296" s="5">
        <v>12</v>
      </c>
      <c r="B4296" s="5" t="s">
        <v>161</v>
      </c>
      <c r="C4296" s="5">
        <v>6</v>
      </c>
      <c r="D4296" s="5" t="s">
        <v>90</v>
      </c>
      <c r="E4296" s="5">
        <v>2021</v>
      </c>
      <c r="F4296" s="5">
        <v>11</v>
      </c>
      <c r="G4296" s="5" t="s">
        <v>32</v>
      </c>
      <c r="H4296" s="5">
        <v>369052</v>
      </c>
      <c r="I4296" s="5">
        <v>287092.56</v>
      </c>
      <c r="J4296" s="5">
        <v>14</v>
      </c>
      <c r="K4296" s="5">
        <v>18438</v>
      </c>
      <c r="L4296" s="5">
        <v>386940</v>
      </c>
      <c r="M4296" s="5">
        <v>81959.44</v>
      </c>
      <c r="N4296" s="5">
        <v>0.22209999999999999</v>
      </c>
      <c r="O4296" s="5">
        <v>2</v>
      </c>
      <c r="P4296" s="5">
        <v>65685</v>
      </c>
    </row>
    <row r="4297" spans="1:16" x14ac:dyDescent="0.3">
      <c r="A4297" s="5">
        <v>116</v>
      </c>
      <c r="B4297" s="5" t="s">
        <v>161</v>
      </c>
      <c r="C4297" s="5">
        <v>6</v>
      </c>
      <c r="D4297" s="5" t="s">
        <v>90</v>
      </c>
      <c r="E4297" s="5">
        <v>2021</v>
      </c>
      <c r="F4297" s="5">
        <v>11</v>
      </c>
      <c r="G4297" s="5" t="s">
        <v>32</v>
      </c>
      <c r="H4297" s="5">
        <v>1303463</v>
      </c>
      <c r="I4297" s="5">
        <v>1072512.49</v>
      </c>
      <c r="J4297" s="5">
        <v>20</v>
      </c>
      <c r="K4297" s="5">
        <v>96650</v>
      </c>
      <c r="L4297" s="5">
        <v>1394630</v>
      </c>
      <c r="M4297" s="5">
        <v>230950.51</v>
      </c>
      <c r="N4297" s="5">
        <v>0.1772</v>
      </c>
      <c r="O4297" s="5">
        <v>1</v>
      </c>
      <c r="P4297" s="5">
        <v>23047</v>
      </c>
    </row>
    <row r="4298" spans="1:16" x14ac:dyDescent="0.3">
      <c r="A4298" s="5">
        <v>12</v>
      </c>
      <c r="B4298" s="5" t="s">
        <v>161</v>
      </c>
      <c r="C4298" s="5">
        <v>6</v>
      </c>
      <c r="D4298" s="5" t="s">
        <v>90</v>
      </c>
      <c r="E4298" s="5">
        <v>2021</v>
      </c>
      <c r="F4298" s="5">
        <v>12</v>
      </c>
      <c r="G4298" s="5" t="s">
        <v>33</v>
      </c>
      <c r="H4298" s="5">
        <v>647438</v>
      </c>
      <c r="I4298" s="5">
        <v>617340.9</v>
      </c>
      <c r="J4298" s="5">
        <v>9</v>
      </c>
      <c r="K4298" s="5">
        <v>137074</v>
      </c>
      <c r="L4298" s="5">
        <v>780430</v>
      </c>
      <c r="M4298" s="5">
        <v>30097.1</v>
      </c>
      <c r="N4298" s="5">
        <v>4.65E-2</v>
      </c>
      <c r="O4298" s="5">
        <v>1</v>
      </c>
      <c r="P4298" s="5">
        <v>13723</v>
      </c>
    </row>
    <row r="4299" spans="1:16" x14ac:dyDescent="0.3">
      <c r="A4299" s="5">
        <v>116</v>
      </c>
      <c r="B4299" s="5" t="s">
        <v>161</v>
      </c>
      <c r="C4299" s="5">
        <v>6</v>
      </c>
      <c r="D4299" s="5" t="s">
        <v>90</v>
      </c>
      <c r="E4299" s="5">
        <v>2021</v>
      </c>
      <c r="F4299" s="5">
        <v>12</v>
      </c>
      <c r="G4299" s="5" t="s">
        <v>33</v>
      </c>
      <c r="H4299" s="5">
        <v>1313559</v>
      </c>
      <c r="I4299" s="5">
        <v>1068097.71</v>
      </c>
      <c r="J4299" s="5">
        <v>18</v>
      </c>
      <c r="K4299" s="5">
        <v>44661</v>
      </c>
      <c r="L4299" s="5">
        <v>1357320</v>
      </c>
      <c r="M4299" s="5">
        <v>245461.29</v>
      </c>
      <c r="N4299" s="5">
        <v>0.18690000000000001</v>
      </c>
      <c r="O4299" s="5">
        <v>0</v>
      </c>
      <c r="P4299" s="5">
        <v>0</v>
      </c>
    </row>
    <row r="4300" spans="1:16" x14ac:dyDescent="0.3">
      <c r="A4300" s="5">
        <v>12</v>
      </c>
      <c r="B4300" s="5" t="s">
        <v>161</v>
      </c>
      <c r="C4300" s="5">
        <v>6</v>
      </c>
      <c r="D4300" s="5" t="s">
        <v>90</v>
      </c>
      <c r="E4300" s="5">
        <v>2022</v>
      </c>
      <c r="F4300" s="5">
        <v>1</v>
      </c>
      <c r="G4300" s="5" t="s">
        <v>34</v>
      </c>
      <c r="H4300" s="5">
        <v>1020150</v>
      </c>
      <c r="I4300" s="5">
        <v>856533.5</v>
      </c>
      <c r="J4300" s="5">
        <v>11</v>
      </c>
      <c r="K4300" s="5">
        <v>80307</v>
      </c>
      <c r="L4300" s="5">
        <v>1097560</v>
      </c>
      <c r="M4300" s="5">
        <v>163616.5</v>
      </c>
      <c r="N4300" s="5">
        <v>0.16039999999999999</v>
      </c>
      <c r="O4300" s="5">
        <v>1</v>
      </c>
      <c r="P4300" s="5">
        <v>34268</v>
      </c>
    </row>
    <row r="4301" spans="1:16" x14ac:dyDescent="0.3">
      <c r="A4301" s="5">
        <v>116</v>
      </c>
      <c r="B4301" s="5" t="s">
        <v>161</v>
      </c>
      <c r="C4301" s="5">
        <v>6</v>
      </c>
      <c r="D4301" s="5" t="s">
        <v>90</v>
      </c>
      <c r="E4301" s="5">
        <v>2022</v>
      </c>
      <c r="F4301" s="5">
        <v>1</v>
      </c>
      <c r="G4301" s="5" t="s">
        <v>34</v>
      </c>
      <c r="H4301" s="5">
        <v>566316</v>
      </c>
      <c r="I4301" s="5">
        <v>443094.9</v>
      </c>
      <c r="J4301" s="5">
        <v>17</v>
      </c>
      <c r="K4301" s="5">
        <v>14053</v>
      </c>
      <c r="L4301" s="5">
        <v>577240</v>
      </c>
      <c r="M4301" s="5">
        <v>123221.1</v>
      </c>
      <c r="N4301" s="5">
        <v>0.21759999999999999</v>
      </c>
      <c r="O4301" s="5">
        <v>2</v>
      </c>
      <c r="P4301" s="5">
        <v>8857</v>
      </c>
    </row>
    <row r="4302" spans="1:16" x14ac:dyDescent="0.3">
      <c r="A4302" s="5">
        <v>12</v>
      </c>
      <c r="B4302" s="5" t="s">
        <v>161</v>
      </c>
      <c r="C4302" s="5">
        <v>6</v>
      </c>
      <c r="D4302" s="5" t="s">
        <v>90</v>
      </c>
      <c r="E4302" s="5">
        <v>2022</v>
      </c>
      <c r="F4302" s="5">
        <v>2</v>
      </c>
      <c r="G4302" s="5" t="s">
        <v>35</v>
      </c>
      <c r="H4302" s="5">
        <v>1309341</v>
      </c>
      <c r="I4302" s="5">
        <v>1059779.75</v>
      </c>
      <c r="J4302" s="5">
        <v>13</v>
      </c>
      <c r="K4302" s="5">
        <v>39726</v>
      </c>
      <c r="L4302" s="5">
        <v>1342200</v>
      </c>
      <c r="M4302" s="5">
        <v>249561.25</v>
      </c>
      <c r="N4302" s="5">
        <v>0.19059999999999999</v>
      </c>
      <c r="O4302" s="5">
        <v>0</v>
      </c>
      <c r="P4302" s="5">
        <v>0</v>
      </c>
    </row>
    <row r="4303" spans="1:16" x14ac:dyDescent="0.3">
      <c r="A4303" s="5">
        <v>116</v>
      </c>
      <c r="B4303" s="5" t="s">
        <v>161</v>
      </c>
      <c r="C4303" s="5">
        <v>6</v>
      </c>
      <c r="D4303" s="5" t="s">
        <v>90</v>
      </c>
      <c r="E4303" s="5">
        <v>2022</v>
      </c>
      <c r="F4303" s="5">
        <v>2</v>
      </c>
      <c r="G4303" s="5" t="s">
        <v>35</v>
      </c>
      <c r="H4303" s="5">
        <v>390504</v>
      </c>
      <c r="I4303" s="5">
        <v>316139.28000000003</v>
      </c>
      <c r="J4303" s="5">
        <v>9</v>
      </c>
      <c r="K4303" s="5">
        <v>23901</v>
      </c>
      <c r="L4303" s="5">
        <v>413670</v>
      </c>
      <c r="M4303" s="5">
        <v>74364.72</v>
      </c>
      <c r="N4303" s="5">
        <v>0.19040000000000001</v>
      </c>
      <c r="O4303" s="5">
        <v>1</v>
      </c>
      <c r="P4303" s="5">
        <v>3241</v>
      </c>
    </row>
    <row r="4304" spans="1:16" x14ac:dyDescent="0.3">
      <c r="A4304" s="5">
        <v>12</v>
      </c>
      <c r="B4304" s="5" t="s">
        <v>161</v>
      </c>
      <c r="C4304" s="5">
        <v>6</v>
      </c>
      <c r="D4304" s="5" t="s">
        <v>90</v>
      </c>
      <c r="E4304" s="5">
        <v>2022</v>
      </c>
      <c r="F4304" s="5">
        <v>3</v>
      </c>
      <c r="G4304" s="5" t="s">
        <v>36</v>
      </c>
      <c r="H4304" s="5">
        <v>160190</v>
      </c>
      <c r="I4304" s="5">
        <v>160745.97</v>
      </c>
      <c r="J4304" s="5">
        <v>4</v>
      </c>
      <c r="K4304" s="5">
        <v>52168</v>
      </c>
      <c r="L4304" s="5">
        <v>212290</v>
      </c>
      <c r="M4304" s="5">
        <v>-555.97</v>
      </c>
      <c r="N4304" s="5">
        <v>-3.5000000000000001E-3</v>
      </c>
      <c r="O4304" s="5">
        <v>1</v>
      </c>
      <c r="P4304" s="5">
        <v>4700</v>
      </c>
    </row>
    <row r="4305" spans="1:16" x14ac:dyDescent="0.3">
      <c r="A4305" s="5">
        <v>116</v>
      </c>
      <c r="B4305" s="5" t="s">
        <v>161</v>
      </c>
      <c r="C4305" s="5">
        <v>6</v>
      </c>
      <c r="D4305" s="5" t="s">
        <v>90</v>
      </c>
      <c r="E4305" s="5">
        <v>2022</v>
      </c>
      <c r="F4305" s="5">
        <v>3</v>
      </c>
      <c r="G4305" s="5" t="s">
        <v>36</v>
      </c>
      <c r="H4305" s="5">
        <v>743706</v>
      </c>
      <c r="I4305" s="5">
        <v>635667.97</v>
      </c>
      <c r="J4305" s="5">
        <v>13</v>
      </c>
      <c r="K4305" s="5">
        <v>95042</v>
      </c>
      <c r="L4305" s="5">
        <v>838480</v>
      </c>
      <c r="M4305" s="5">
        <v>108038.03</v>
      </c>
      <c r="N4305" s="5">
        <v>0.14530000000000001</v>
      </c>
      <c r="O4305" s="5">
        <v>0</v>
      </c>
      <c r="P4305" s="5">
        <v>0</v>
      </c>
    </row>
    <row r="4306" spans="1:16" x14ac:dyDescent="0.3">
      <c r="A4306" s="5">
        <v>12</v>
      </c>
      <c r="B4306" s="5" t="s">
        <v>161</v>
      </c>
      <c r="C4306" s="5">
        <v>6</v>
      </c>
      <c r="D4306" s="5" t="s">
        <v>90</v>
      </c>
      <c r="E4306" s="5">
        <v>2022</v>
      </c>
      <c r="F4306" s="5">
        <v>4</v>
      </c>
      <c r="G4306" s="5" t="s">
        <v>37</v>
      </c>
      <c r="H4306" s="5">
        <v>653238</v>
      </c>
      <c r="I4306" s="5">
        <v>546918.73</v>
      </c>
      <c r="J4306" s="5">
        <v>14</v>
      </c>
      <c r="K4306" s="5">
        <v>75826</v>
      </c>
      <c r="L4306" s="5">
        <v>726120</v>
      </c>
      <c r="M4306" s="5">
        <v>106319.27</v>
      </c>
      <c r="N4306" s="5">
        <v>0.1628</v>
      </c>
      <c r="O4306" s="5">
        <v>0</v>
      </c>
      <c r="P4306" s="5">
        <v>0</v>
      </c>
    </row>
    <row r="4307" spans="1:16" x14ac:dyDescent="0.3">
      <c r="A4307" s="5">
        <v>116</v>
      </c>
      <c r="B4307" s="5" t="s">
        <v>161</v>
      </c>
      <c r="C4307" s="5">
        <v>6</v>
      </c>
      <c r="D4307" s="5" t="s">
        <v>90</v>
      </c>
      <c r="E4307" s="5">
        <v>2022</v>
      </c>
      <c r="F4307" s="5">
        <v>4</v>
      </c>
      <c r="G4307" s="5" t="s">
        <v>37</v>
      </c>
      <c r="H4307" s="5">
        <v>1361809</v>
      </c>
      <c r="I4307" s="5">
        <v>1253297.01</v>
      </c>
      <c r="J4307" s="5">
        <v>15</v>
      </c>
      <c r="K4307" s="5">
        <v>296144</v>
      </c>
      <c r="L4307" s="5">
        <v>1651740</v>
      </c>
      <c r="M4307" s="5">
        <v>108511.99</v>
      </c>
      <c r="N4307" s="5">
        <v>7.9699999999999993E-2</v>
      </c>
      <c r="O4307" s="5">
        <v>2</v>
      </c>
      <c r="P4307" s="5">
        <v>77800</v>
      </c>
    </row>
    <row r="4308" spans="1:16" x14ac:dyDescent="0.3">
      <c r="A4308" s="5">
        <v>12</v>
      </c>
      <c r="B4308" s="5" t="s">
        <v>161</v>
      </c>
      <c r="C4308" s="5">
        <v>6</v>
      </c>
      <c r="D4308" s="5" t="s">
        <v>90</v>
      </c>
      <c r="E4308" s="5">
        <v>2022</v>
      </c>
      <c r="F4308" s="5">
        <v>5</v>
      </c>
      <c r="G4308" s="5" t="s">
        <v>38</v>
      </c>
      <c r="H4308" s="5">
        <v>511358</v>
      </c>
      <c r="I4308" s="5">
        <v>405383.7</v>
      </c>
      <c r="J4308" s="5">
        <v>9</v>
      </c>
      <c r="K4308" s="5">
        <v>25698</v>
      </c>
      <c r="L4308" s="5">
        <v>536220</v>
      </c>
      <c r="M4308" s="5">
        <v>105974.3</v>
      </c>
      <c r="N4308" s="5">
        <v>0.2072</v>
      </c>
      <c r="O4308" s="5">
        <v>0</v>
      </c>
      <c r="P4308" s="5">
        <v>0</v>
      </c>
    </row>
    <row r="4309" spans="1:16" x14ac:dyDescent="0.3">
      <c r="A4309" s="5">
        <v>116</v>
      </c>
      <c r="B4309" s="5" t="s">
        <v>161</v>
      </c>
      <c r="C4309" s="5">
        <v>6</v>
      </c>
      <c r="D4309" s="5" t="s">
        <v>90</v>
      </c>
      <c r="E4309" s="5">
        <v>2022</v>
      </c>
      <c r="F4309" s="5">
        <v>5</v>
      </c>
      <c r="G4309" s="5" t="s">
        <v>38</v>
      </c>
      <c r="H4309" s="5">
        <v>1370808</v>
      </c>
      <c r="I4309" s="5">
        <v>1208736.43</v>
      </c>
      <c r="J4309" s="5">
        <v>21</v>
      </c>
      <c r="K4309" s="5">
        <v>186755</v>
      </c>
      <c r="L4309" s="5">
        <v>1556420</v>
      </c>
      <c r="M4309" s="5">
        <v>162071.57</v>
      </c>
      <c r="N4309" s="5">
        <v>0.1182</v>
      </c>
      <c r="O4309" s="5">
        <v>3</v>
      </c>
      <c r="P4309" s="5">
        <v>215040</v>
      </c>
    </row>
    <row r="4310" spans="1:16" x14ac:dyDescent="0.3">
      <c r="A4310" s="5">
        <v>12</v>
      </c>
      <c r="B4310" s="5" t="s">
        <v>161</v>
      </c>
      <c r="C4310" s="5">
        <v>6</v>
      </c>
      <c r="D4310" s="5" t="s">
        <v>90</v>
      </c>
      <c r="E4310" s="5">
        <v>2022</v>
      </c>
      <c r="F4310" s="5">
        <v>6</v>
      </c>
      <c r="G4310" s="5" t="s">
        <v>39</v>
      </c>
      <c r="H4310" s="5">
        <v>467783</v>
      </c>
      <c r="I4310" s="5">
        <v>372703.96</v>
      </c>
      <c r="J4310" s="5">
        <v>8</v>
      </c>
      <c r="K4310" s="5">
        <v>18486</v>
      </c>
      <c r="L4310" s="5">
        <v>485590</v>
      </c>
      <c r="M4310" s="5">
        <v>95079.039999999994</v>
      </c>
      <c r="N4310" s="5">
        <v>0.20330000000000001</v>
      </c>
      <c r="O4310" s="5">
        <v>2</v>
      </c>
      <c r="P4310" s="5">
        <v>100632</v>
      </c>
    </row>
    <row r="4311" spans="1:16" x14ac:dyDescent="0.3">
      <c r="A4311" s="5">
        <v>116</v>
      </c>
      <c r="B4311" s="5" t="s">
        <v>161</v>
      </c>
      <c r="C4311" s="5">
        <v>6</v>
      </c>
      <c r="D4311" s="5" t="s">
        <v>90</v>
      </c>
      <c r="E4311" s="5">
        <v>2022</v>
      </c>
      <c r="F4311" s="5">
        <v>6</v>
      </c>
      <c r="G4311" s="5" t="s">
        <v>39</v>
      </c>
      <c r="H4311" s="5">
        <v>923282</v>
      </c>
      <c r="I4311" s="5">
        <v>771461.1</v>
      </c>
      <c r="J4311" s="5">
        <v>17</v>
      </c>
      <c r="K4311" s="5">
        <v>111020</v>
      </c>
      <c r="L4311" s="5">
        <v>1033450</v>
      </c>
      <c r="M4311" s="5">
        <v>151820.9</v>
      </c>
      <c r="N4311" s="5">
        <v>0.16439999999999999</v>
      </c>
      <c r="O4311" s="5">
        <v>0</v>
      </c>
      <c r="P4311" s="5">
        <v>0</v>
      </c>
    </row>
    <row r="4312" spans="1:16" x14ac:dyDescent="0.3">
      <c r="A4312" s="5">
        <v>12</v>
      </c>
      <c r="B4312" s="5" t="s">
        <v>161</v>
      </c>
      <c r="C4312" s="5">
        <v>6</v>
      </c>
      <c r="D4312" s="5" t="s">
        <v>90</v>
      </c>
      <c r="E4312" s="5">
        <v>2022</v>
      </c>
      <c r="F4312" s="5">
        <v>7</v>
      </c>
      <c r="G4312" s="5" t="s">
        <v>40</v>
      </c>
      <c r="H4312" s="5">
        <v>588130</v>
      </c>
      <c r="I4312" s="5">
        <v>480986.68</v>
      </c>
      <c r="J4312" s="5">
        <v>6</v>
      </c>
      <c r="K4312" s="5">
        <v>9886</v>
      </c>
      <c r="L4312" s="5">
        <v>595920</v>
      </c>
      <c r="M4312" s="5">
        <v>107143.32</v>
      </c>
      <c r="N4312" s="5">
        <v>0.1822</v>
      </c>
      <c r="O4312" s="5">
        <v>0</v>
      </c>
      <c r="P4312" s="5">
        <v>0</v>
      </c>
    </row>
    <row r="4313" spans="1:16" x14ac:dyDescent="0.3">
      <c r="A4313" s="5">
        <v>116</v>
      </c>
      <c r="B4313" s="5" t="s">
        <v>161</v>
      </c>
      <c r="C4313" s="5">
        <v>6</v>
      </c>
      <c r="D4313" s="5" t="s">
        <v>90</v>
      </c>
      <c r="E4313" s="5">
        <v>2022</v>
      </c>
      <c r="F4313" s="5">
        <v>7</v>
      </c>
      <c r="G4313" s="5" t="s">
        <v>40</v>
      </c>
      <c r="H4313" s="5">
        <v>1501440</v>
      </c>
      <c r="I4313" s="5">
        <v>1467682.26</v>
      </c>
      <c r="J4313" s="5">
        <v>21</v>
      </c>
      <c r="K4313" s="5">
        <v>353001</v>
      </c>
      <c r="L4313" s="5">
        <v>1851530</v>
      </c>
      <c r="M4313" s="5">
        <v>33757.74</v>
      </c>
      <c r="N4313" s="5">
        <v>2.2499999999999999E-2</v>
      </c>
      <c r="O4313" s="5">
        <v>1</v>
      </c>
      <c r="P4313" s="5">
        <v>114242</v>
      </c>
    </row>
    <row r="4314" spans="1:16" x14ac:dyDescent="0.3">
      <c r="A4314" s="5">
        <v>12</v>
      </c>
      <c r="B4314" s="5" t="s">
        <v>161</v>
      </c>
      <c r="C4314" s="5">
        <v>6</v>
      </c>
      <c r="D4314" s="5" t="s">
        <v>90</v>
      </c>
      <c r="E4314" s="5">
        <v>2022</v>
      </c>
      <c r="F4314" s="5">
        <v>8</v>
      </c>
      <c r="G4314" s="5" t="s">
        <v>41</v>
      </c>
      <c r="H4314" s="5">
        <v>620613</v>
      </c>
      <c r="I4314" s="5">
        <v>635971.09</v>
      </c>
      <c r="J4314" s="5">
        <v>11</v>
      </c>
      <c r="K4314" s="5">
        <v>212708</v>
      </c>
      <c r="L4314" s="5">
        <v>831760</v>
      </c>
      <c r="M4314" s="5">
        <v>-15358.09</v>
      </c>
      <c r="N4314" s="5">
        <v>-2.47E-2</v>
      </c>
      <c r="O4314" s="5">
        <v>1</v>
      </c>
      <c r="P4314" s="5">
        <v>43611</v>
      </c>
    </row>
    <row r="4315" spans="1:16" x14ac:dyDescent="0.3">
      <c r="A4315" s="5">
        <v>116</v>
      </c>
      <c r="B4315" s="5" t="s">
        <v>161</v>
      </c>
      <c r="C4315" s="5">
        <v>6</v>
      </c>
      <c r="D4315" s="5" t="s">
        <v>90</v>
      </c>
      <c r="E4315" s="5">
        <v>2022</v>
      </c>
      <c r="F4315" s="5">
        <v>8</v>
      </c>
      <c r="G4315" s="5" t="s">
        <v>41</v>
      </c>
      <c r="H4315" s="5">
        <v>765694</v>
      </c>
      <c r="I4315" s="5">
        <v>690544.37</v>
      </c>
      <c r="J4315" s="5">
        <v>11</v>
      </c>
      <c r="K4315" s="5">
        <v>98088</v>
      </c>
      <c r="L4315" s="5">
        <v>860220</v>
      </c>
      <c r="M4315" s="5">
        <v>75149.63</v>
      </c>
      <c r="N4315" s="5">
        <v>9.8100000000000007E-2</v>
      </c>
      <c r="O4315" s="5">
        <v>1</v>
      </c>
      <c r="P4315" s="5">
        <v>4177</v>
      </c>
    </row>
    <row r="4316" spans="1:16" x14ac:dyDescent="0.3">
      <c r="A4316" s="5">
        <v>12</v>
      </c>
      <c r="B4316" s="5" t="s">
        <v>161</v>
      </c>
      <c r="C4316" s="5">
        <v>6</v>
      </c>
      <c r="D4316" s="5" t="s">
        <v>90</v>
      </c>
      <c r="E4316" s="5">
        <v>2022</v>
      </c>
      <c r="F4316" s="5">
        <v>9</v>
      </c>
      <c r="G4316" s="5" t="s">
        <v>42</v>
      </c>
      <c r="H4316" s="5">
        <v>954649</v>
      </c>
      <c r="I4316" s="5">
        <v>820450.66</v>
      </c>
      <c r="J4316" s="5">
        <v>12</v>
      </c>
      <c r="K4316" s="5">
        <v>98650</v>
      </c>
      <c r="L4316" s="5">
        <v>1050740</v>
      </c>
      <c r="M4316" s="5">
        <v>134198.34</v>
      </c>
      <c r="N4316" s="5">
        <v>0.1406</v>
      </c>
      <c r="O4316" s="5">
        <v>1</v>
      </c>
      <c r="P4316" s="5">
        <v>25930</v>
      </c>
    </row>
    <row r="4317" spans="1:16" x14ac:dyDescent="0.3">
      <c r="A4317" s="5">
        <v>116</v>
      </c>
      <c r="B4317" s="5" t="s">
        <v>161</v>
      </c>
      <c r="C4317" s="5">
        <v>6</v>
      </c>
      <c r="D4317" s="5" t="s">
        <v>90</v>
      </c>
      <c r="E4317" s="5">
        <v>2022</v>
      </c>
      <c r="F4317" s="5">
        <v>9</v>
      </c>
      <c r="G4317" s="5" t="s">
        <v>42</v>
      </c>
      <c r="H4317" s="5">
        <v>896514</v>
      </c>
      <c r="I4317" s="5">
        <v>816919.58</v>
      </c>
      <c r="J4317" s="5">
        <v>19</v>
      </c>
      <c r="K4317" s="5">
        <v>171939</v>
      </c>
      <c r="L4317" s="5">
        <v>1067390</v>
      </c>
      <c r="M4317" s="5">
        <v>79594.42</v>
      </c>
      <c r="N4317" s="5">
        <v>8.8800000000000004E-2</v>
      </c>
      <c r="O4317" s="5">
        <v>1</v>
      </c>
      <c r="P4317" s="5">
        <v>9631</v>
      </c>
    </row>
    <row r="4318" spans="1:16" x14ac:dyDescent="0.3">
      <c r="A4318" s="5">
        <v>12</v>
      </c>
      <c r="B4318" s="5" t="s">
        <v>161</v>
      </c>
      <c r="C4318" s="5">
        <v>6</v>
      </c>
      <c r="D4318" s="5" t="s">
        <v>90</v>
      </c>
      <c r="E4318" s="5">
        <v>2022</v>
      </c>
      <c r="F4318" s="5">
        <v>10</v>
      </c>
      <c r="G4318" s="5" t="s">
        <v>43</v>
      </c>
      <c r="H4318" s="5">
        <v>1091926</v>
      </c>
      <c r="I4318" s="5">
        <v>1091509.45</v>
      </c>
      <c r="J4318" s="5">
        <v>15</v>
      </c>
      <c r="K4318" s="5">
        <v>312780</v>
      </c>
      <c r="L4318" s="5">
        <v>1402430</v>
      </c>
      <c r="M4318" s="5">
        <v>416.55</v>
      </c>
      <c r="N4318" s="5">
        <v>4.0000000000000002E-4</v>
      </c>
      <c r="O4318" s="5">
        <v>2</v>
      </c>
      <c r="P4318" s="5">
        <v>46914</v>
      </c>
    </row>
    <row r="4319" spans="1:16" x14ac:dyDescent="0.3">
      <c r="A4319" s="5">
        <v>116</v>
      </c>
      <c r="B4319" s="5" t="s">
        <v>161</v>
      </c>
      <c r="C4319" s="5">
        <v>6</v>
      </c>
      <c r="D4319" s="5" t="s">
        <v>90</v>
      </c>
      <c r="E4319" s="5">
        <v>2022</v>
      </c>
      <c r="F4319" s="5">
        <v>10</v>
      </c>
      <c r="G4319" s="5" t="s">
        <v>43</v>
      </c>
      <c r="H4319" s="5">
        <v>1419804</v>
      </c>
      <c r="I4319" s="5">
        <v>1375059.35</v>
      </c>
      <c r="J4319" s="5">
        <v>31</v>
      </c>
      <c r="K4319" s="5">
        <v>354407</v>
      </c>
      <c r="L4319" s="5">
        <v>1771330</v>
      </c>
      <c r="M4319" s="5">
        <v>44744.65</v>
      </c>
      <c r="N4319" s="5">
        <v>3.15E-2</v>
      </c>
      <c r="O4319" s="5">
        <v>6</v>
      </c>
      <c r="P4319" s="5">
        <v>24769</v>
      </c>
    </row>
    <row r="4320" spans="1:16" x14ac:dyDescent="0.3">
      <c r="A4320" s="5">
        <v>12</v>
      </c>
      <c r="B4320" s="5" t="s">
        <v>161</v>
      </c>
      <c r="C4320" s="5">
        <v>6</v>
      </c>
      <c r="D4320" s="5" t="s">
        <v>90</v>
      </c>
      <c r="E4320" s="5">
        <v>2022</v>
      </c>
      <c r="F4320" s="5">
        <v>11</v>
      </c>
      <c r="G4320" s="5" t="s">
        <v>44</v>
      </c>
      <c r="H4320" s="5">
        <v>1324829</v>
      </c>
      <c r="I4320" s="5">
        <v>1068474.6100000001</v>
      </c>
      <c r="J4320" s="5">
        <v>23</v>
      </c>
      <c r="K4320" s="5">
        <v>94136</v>
      </c>
      <c r="L4320" s="5">
        <v>1417270</v>
      </c>
      <c r="M4320" s="5">
        <v>256354.39</v>
      </c>
      <c r="N4320" s="5">
        <v>0.19350000000000001</v>
      </c>
      <c r="O4320" s="5">
        <v>2</v>
      </c>
      <c r="P4320" s="5">
        <v>68245</v>
      </c>
    </row>
    <row r="4321" spans="1:16" x14ac:dyDescent="0.3">
      <c r="A4321" s="5">
        <v>116</v>
      </c>
      <c r="B4321" s="5" t="s">
        <v>161</v>
      </c>
      <c r="C4321" s="5">
        <v>6</v>
      </c>
      <c r="D4321" s="5" t="s">
        <v>90</v>
      </c>
      <c r="E4321" s="5">
        <v>2022</v>
      </c>
      <c r="F4321" s="5">
        <v>11</v>
      </c>
      <c r="G4321" s="5" t="s">
        <v>44</v>
      </c>
      <c r="H4321" s="5">
        <v>2132708</v>
      </c>
      <c r="I4321" s="5">
        <v>1688284.32</v>
      </c>
      <c r="J4321" s="5">
        <v>36</v>
      </c>
      <c r="K4321" s="5">
        <v>104422</v>
      </c>
      <c r="L4321" s="5">
        <v>2220920</v>
      </c>
      <c r="M4321" s="5">
        <v>444423.67999999999</v>
      </c>
      <c r="N4321" s="5">
        <v>0.2084</v>
      </c>
      <c r="O4321" s="5">
        <v>5</v>
      </c>
      <c r="P4321" s="5">
        <v>38011</v>
      </c>
    </row>
    <row r="4322" spans="1:16" x14ac:dyDescent="0.3">
      <c r="A4322" s="5">
        <v>12</v>
      </c>
      <c r="B4322" s="5" t="s">
        <v>161</v>
      </c>
      <c r="C4322" s="5">
        <v>6</v>
      </c>
      <c r="D4322" s="5" t="s">
        <v>90</v>
      </c>
      <c r="E4322" s="5">
        <v>2022</v>
      </c>
      <c r="F4322" s="5">
        <v>12</v>
      </c>
      <c r="G4322" s="5" t="s">
        <v>45</v>
      </c>
      <c r="H4322" s="5">
        <v>1016759</v>
      </c>
      <c r="I4322" s="5">
        <v>878651.51</v>
      </c>
      <c r="J4322" s="5">
        <v>13</v>
      </c>
      <c r="K4322" s="5">
        <v>100864</v>
      </c>
      <c r="L4322" s="5">
        <v>1116580</v>
      </c>
      <c r="M4322" s="5">
        <v>138107.49</v>
      </c>
      <c r="N4322" s="5">
        <v>0.1358</v>
      </c>
      <c r="O4322" s="5">
        <v>1</v>
      </c>
      <c r="P4322" s="5">
        <v>110952</v>
      </c>
    </row>
    <row r="4323" spans="1:16" x14ac:dyDescent="0.3">
      <c r="A4323" s="5">
        <v>116</v>
      </c>
      <c r="B4323" s="5" t="s">
        <v>161</v>
      </c>
      <c r="C4323" s="5">
        <v>6</v>
      </c>
      <c r="D4323" s="5" t="s">
        <v>90</v>
      </c>
      <c r="E4323" s="5">
        <v>2022</v>
      </c>
      <c r="F4323" s="5">
        <v>12</v>
      </c>
      <c r="G4323" s="5" t="s">
        <v>45</v>
      </c>
      <c r="H4323" s="5">
        <v>2056114</v>
      </c>
      <c r="I4323" s="5">
        <v>1686676.3</v>
      </c>
      <c r="J4323" s="5">
        <v>23</v>
      </c>
      <c r="K4323" s="5">
        <v>75171</v>
      </c>
      <c r="L4323" s="5">
        <v>2112340</v>
      </c>
      <c r="M4323" s="5">
        <v>369437.7</v>
      </c>
      <c r="N4323" s="5">
        <v>0.1797</v>
      </c>
      <c r="O4323" s="5">
        <v>1</v>
      </c>
      <c r="P4323" s="5">
        <v>31129</v>
      </c>
    </row>
    <row r="4324" spans="1:16" x14ac:dyDescent="0.3">
      <c r="A4324" s="5">
        <v>12</v>
      </c>
      <c r="B4324" s="5" t="s">
        <v>161</v>
      </c>
      <c r="C4324" s="5">
        <v>6</v>
      </c>
      <c r="D4324" s="5" t="s">
        <v>90</v>
      </c>
      <c r="E4324" s="5">
        <v>2023</v>
      </c>
      <c r="F4324" s="5">
        <v>1</v>
      </c>
      <c r="G4324" s="5" t="s">
        <v>46</v>
      </c>
      <c r="H4324" s="5">
        <v>929423</v>
      </c>
      <c r="I4324" s="5">
        <v>802126.34</v>
      </c>
      <c r="J4324" s="5">
        <v>16</v>
      </c>
      <c r="K4324" s="5">
        <v>104234</v>
      </c>
      <c r="L4324" s="5">
        <v>1028990</v>
      </c>
      <c r="M4324" s="5">
        <v>127296.66</v>
      </c>
      <c r="N4324" s="5">
        <v>0.13700000000000001</v>
      </c>
      <c r="O4324" s="5">
        <v>1</v>
      </c>
      <c r="P4324" s="5">
        <v>92790</v>
      </c>
    </row>
    <row r="4325" spans="1:16" x14ac:dyDescent="0.3">
      <c r="A4325" s="5">
        <v>116</v>
      </c>
      <c r="B4325" s="5" t="s">
        <v>161</v>
      </c>
      <c r="C4325" s="5">
        <v>6</v>
      </c>
      <c r="D4325" s="5" t="s">
        <v>90</v>
      </c>
      <c r="E4325" s="5">
        <v>2023</v>
      </c>
      <c r="F4325" s="5">
        <v>1</v>
      </c>
      <c r="G4325" s="5" t="s">
        <v>46</v>
      </c>
      <c r="H4325" s="5">
        <v>2557710</v>
      </c>
      <c r="I4325" s="5">
        <v>2299573.88</v>
      </c>
      <c r="J4325" s="5">
        <v>28</v>
      </c>
      <c r="K4325" s="5">
        <v>395270</v>
      </c>
      <c r="L4325" s="5">
        <v>2949010</v>
      </c>
      <c r="M4325" s="5">
        <v>258136.12</v>
      </c>
      <c r="N4325" s="5">
        <v>0.1009</v>
      </c>
      <c r="O4325" s="5">
        <v>1</v>
      </c>
      <c r="P4325" s="5">
        <v>137718</v>
      </c>
    </row>
    <row r="4326" spans="1:16" x14ac:dyDescent="0.3">
      <c r="A4326" s="5">
        <v>12</v>
      </c>
      <c r="B4326" s="5" t="s">
        <v>161</v>
      </c>
      <c r="C4326" s="5">
        <v>6</v>
      </c>
      <c r="D4326" s="5" t="s">
        <v>90</v>
      </c>
      <c r="E4326" s="5">
        <v>2023</v>
      </c>
      <c r="F4326" s="5">
        <v>2</v>
      </c>
      <c r="G4326" s="5" t="s">
        <v>47</v>
      </c>
      <c r="H4326" s="5">
        <v>1348695</v>
      </c>
      <c r="I4326" s="5">
        <v>1111922.7</v>
      </c>
      <c r="J4326" s="5">
        <v>18</v>
      </c>
      <c r="K4326" s="5">
        <v>84487</v>
      </c>
      <c r="L4326" s="5">
        <v>1426770</v>
      </c>
      <c r="M4326" s="5">
        <v>236772.3</v>
      </c>
      <c r="N4326" s="5">
        <v>0.17560000000000001</v>
      </c>
      <c r="O4326" s="5">
        <v>1</v>
      </c>
      <c r="P4326" s="5">
        <v>309</v>
      </c>
    </row>
    <row r="4327" spans="1:16" x14ac:dyDescent="0.3">
      <c r="A4327" s="5">
        <v>116</v>
      </c>
      <c r="B4327" s="5" t="s">
        <v>161</v>
      </c>
      <c r="C4327" s="5">
        <v>6</v>
      </c>
      <c r="D4327" s="5" t="s">
        <v>90</v>
      </c>
      <c r="E4327" s="5">
        <v>2023</v>
      </c>
      <c r="F4327" s="5">
        <v>2</v>
      </c>
      <c r="G4327" s="5" t="s">
        <v>47</v>
      </c>
      <c r="H4327" s="5">
        <v>1447105</v>
      </c>
      <c r="I4327" s="5">
        <v>1267148</v>
      </c>
      <c r="J4327" s="5">
        <v>21</v>
      </c>
      <c r="K4327" s="5">
        <v>130486</v>
      </c>
      <c r="L4327" s="5">
        <v>1573600</v>
      </c>
      <c r="M4327" s="5">
        <v>179957</v>
      </c>
      <c r="N4327" s="5">
        <v>0.1244</v>
      </c>
      <c r="O4327" s="5">
        <v>0</v>
      </c>
      <c r="P4327" s="5">
        <v>0</v>
      </c>
    </row>
    <row r="4328" spans="1:16" x14ac:dyDescent="0.3">
      <c r="A4328" s="5">
        <v>12</v>
      </c>
      <c r="B4328" s="5" t="s">
        <v>161</v>
      </c>
      <c r="C4328" s="5">
        <v>6</v>
      </c>
      <c r="D4328" s="5" t="s">
        <v>90</v>
      </c>
      <c r="E4328" s="5">
        <v>2023</v>
      </c>
      <c r="F4328" s="5">
        <v>3</v>
      </c>
      <c r="G4328" s="5" t="s">
        <v>48</v>
      </c>
      <c r="H4328" s="5">
        <v>862960</v>
      </c>
      <c r="I4328" s="5">
        <v>741877.1</v>
      </c>
      <c r="J4328" s="5">
        <v>15</v>
      </c>
      <c r="K4328" s="5">
        <v>96028</v>
      </c>
      <c r="L4328" s="5">
        <v>956230</v>
      </c>
      <c r="M4328" s="5">
        <v>121082.9</v>
      </c>
      <c r="N4328" s="5">
        <v>0.14030000000000001</v>
      </c>
      <c r="O4328" s="5">
        <v>1</v>
      </c>
      <c r="P4328" s="5">
        <v>21679</v>
      </c>
    </row>
    <row r="4329" spans="1:16" x14ac:dyDescent="0.3">
      <c r="A4329" s="5">
        <v>116</v>
      </c>
      <c r="B4329" s="5" t="s">
        <v>161</v>
      </c>
      <c r="C4329" s="5">
        <v>6</v>
      </c>
      <c r="D4329" s="5" t="s">
        <v>90</v>
      </c>
      <c r="E4329" s="5">
        <v>2023</v>
      </c>
      <c r="F4329" s="5">
        <v>3</v>
      </c>
      <c r="G4329" s="5" t="s">
        <v>48</v>
      </c>
      <c r="H4329" s="5">
        <v>1820244</v>
      </c>
      <c r="I4329" s="5">
        <v>1631706.82</v>
      </c>
      <c r="J4329" s="5">
        <v>25</v>
      </c>
      <c r="K4329" s="5">
        <v>271558</v>
      </c>
      <c r="L4329" s="5">
        <v>2089300</v>
      </c>
      <c r="M4329" s="5">
        <v>188537.18</v>
      </c>
      <c r="N4329" s="5">
        <v>0.1036</v>
      </c>
      <c r="O4329" s="5">
        <v>2</v>
      </c>
      <c r="P4329" s="5">
        <v>48662</v>
      </c>
    </row>
    <row r="4330" spans="1:16" x14ac:dyDescent="0.3">
      <c r="A4330" s="5">
        <v>12</v>
      </c>
      <c r="B4330" s="5" t="s">
        <v>161</v>
      </c>
      <c r="C4330" s="5">
        <v>6</v>
      </c>
      <c r="D4330" s="5" t="s">
        <v>90</v>
      </c>
      <c r="E4330" s="5">
        <v>2023</v>
      </c>
      <c r="F4330" s="5">
        <v>4</v>
      </c>
      <c r="G4330" s="5" t="s">
        <v>49</v>
      </c>
      <c r="H4330" s="5">
        <v>1473926</v>
      </c>
      <c r="I4330" s="5">
        <v>1274584.94</v>
      </c>
      <c r="J4330" s="5">
        <v>17</v>
      </c>
      <c r="K4330" s="5">
        <v>188077</v>
      </c>
      <c r="L4330" s="5">
        <v>1656920</v>
      </c>
      <c r="M4330" s="5">
        <v>199341.06</v>
      </c>
      <c r="N4330" s="5">
        <v>0.13519999999999999</v>
      </c>
      <c r="O4330" s="5">
        <v>0</v>
      </c>
      <c r="P4330" s="5">
        <v>0</v>
      </c>
    </row>
    <row r="4331" spans="1:16" x14ac:dyDescent="0.3">
      <c r="A4331" s="5">
        <v>116</v>
      </c>
      <c r="B4331" s="5" t="s">
        <v>161</v>
      </c>
      <c r="C4331" s="5">
        <v>6</v>
      </c>
      <c r="D4331" s="5" t="s">
        <v>90</v>
      </c>
      <c r="E4331" s="5">
        <v>2023</v>
      </c>
      <c r="F4331" s="5">
        <v>4</v>
      </c>
      <c r="G4331" s="5" t="s">
        <v>49</v>
      </c>
      <c r="H4331" s="5">
        <v>2256579</v>
      </c>
      <c r="I4331" s="5">
        <v>1969566.93</v>
      </c>
      <c r="J4331" s="5">
        <v>27</v>
      </c>
      <c r="K4331" s="5">
        <v>255230</v>
      </c>
      <c r="L4331" s="5">
        <v>2506810</v>
      </c>
      <c r="M4331" s="5">
        <v>287012.07</v>
      </c>
      <c r="N4331" s="5">
        <v>0.12720000000000001</v>
      </c>
      <c r="O4331" s="5">
        <v>3</v>
      </c>
      <c r="P4331" s="5">
        <v>52780</v>
      </c>
    </row>
    <row r="4332" spans="1:16" x14ac:dyDescent="0.3">
      <c r="A4332" s="5">
        <v>12</v>
      </c>
      <c r="B4332" s="5" t="s">
        <v>161</v>
      </c>
      <c r="C4332" s="5">
        <v>6</v>
      </c>
      <c r="D4332" s="5" t="s">
        <v>90</v>
      </c>
      <c r="E4332" s="5">
        <v>2023</v>
      </c>
      <c r="F4332" s="5">
        <v>5</v>
      </c>
      <c r="G4332" s="5" t="s">
        <v>50</v>
      </c>
      <c r="H4332" s="5">
        <v>1060990</v>
      </c>
      <c r="I4332" s="5">
        <v>978791.35</v>
      </c>
      <c r="J4332" s="5">
        <v>11</v>
      </c>
      <c r="K4332" s="5">
        <v>146996</v>
      </c>
      <c r="L4332" s="5">
        <v>1207920</v>
      </c>
      <c r="M4332" s="5">
        <v>82198.649999999994</v>
      </c>
      <c r="N4332" s="5">
        <v>7.7499999999999999E-2</v>
      </c>
      <c r="O4332" s="5">
        <v>1</v>
      </c>
      <c r="P4332" s="5">
        <v>97765</v>
      </c>
    </row>
    <row r="4333" spans="1:16" x14ac:dyDescent="0.3">
      <c r="A4333" s="5">
        <v>116</v>
      </c>
      <c r="B4333" s="5" t="s">
        <v>161</v>
      </c>
      <c r="C4333" s="5">
        <v>6</v>
      </c>
      <c r="D4333" s="5" t="s">
        <v>90</v>
      </c>
      <c r="E4333" s="5">
        <v>2023</v>
      </c>
      <c r="F4333" s="5">
        <v>5</v>
      </c>
      <c r="G4333" s="5" t="s">
        <v>50</v>
      </c>
      <c r="H4333" s="5">
        <v>1786545</v>
      </c>
      <c r="I4333" s="5">
        <v>1535881.97</v>
      </c>
      <c r="J4333" s="5">
        <v>30</v>
      </c>
      <c r="K4333" s="5">
        <v>190242</v>
      </c>
      <c r="L4333" s="5">
        <v>1970950</v>
      </c>
      <c r="M4333" s="5">
        <v>250663.03</v>
      </c>
      <c r="N4333" s="5">
        <v>0.14030000000000001</v>
      </c>
      <c r="O4333" s="5">
        <v>2</v>
      </c>
      <c r="P4333" s="5">
        <v>4334</v>
      </c>
    </row>
    <row r="4334" spans="1:16" x14ac:dyDescent="0.3">
      <c r="A4334" s="5">
        <v>12</v>
      </c>
      <c r="B4334" s="5" t="s">
        <v>161</v>
      </c>
      <c r="C4334" s="5">
        <v>6</v>
      </c>
      <c r="D4334" s="5" t="s">
        <v>90</v>
      </c>
      <c r="E4334" s="5">
        <v>2023</v>
      </c>
      <c r="F4334" s="5">
        <v>6</v>
      </c>
      <c r="G4334" s="5" t="s">
        <v>51</v>
      </c>
      <c r="H4334" s="5">
        <v>1032901</v>
      </c>
      <c r="I4334" s="5">
        <v>921609.08</v>
      </c>
      <c r="J4334" s="5">
        <v>16</v>
      </c>
      <c r="K4334" s="5">
        <v>152356</v>
      </c>
      <c r="L4334" s="5">
        <v>1184400</v>
      </c>
      <c r="M4334" s="5">
        <v>111291.92</v>
      </c>
      <c r="N4334" s="5">
        <v>0.1077</v>
      </c>
      <c r="O4334" s="5">
        <v>0</v>
      </c>
      <c r="P4334" s="5">
        <v>0</v>
      </c>
    </row>
    <row r="4335" spans="1:16" x14ac:dyDescent="0.3">
      <c r="A4335" s="5">
        <v>116</v>
      </c>
      <c r="B4335" s="5" t="s">
        <v>161</v>
      </c>
      <c r="C4335" s="5">
        <v>6</v>
      </c>
      <c r="D4335" s="5" t="s">
        <v>90</v>
      </c>
      <c r="E4335" s="5">
        <v>2023</v>
      </c>
      <c r="F4335" s="5">
        <v>6</v>
      </c>
      <c r="G4335" s="5" t="s">
        <v>51</v>
      </c>
      <c r="H4335" s="5">
        <v>1708209</v>
      </c>
      <c r="I4335" s="5">
        <v>1496534.94</v>
      </c>
      <c r="J4335" s="5">
        <v>24</v>
      </c>
      <c r="K4335" s="5">
        <v>178478</v>
      </c>
      <c r="L4335" s="5">
        <v>1878080</v>
      </c>
      <c r="M4335" s="5">
        <v>211674.06</v>
      </c>
      <c r="N4335" s="5">
        <v>0.1239</v>
      </c>
      <c r="O4335" s="5">
        <v>3</v>
      </c>
      <c r="P4335" s="5">
        <v>11983</v>
      </c>
    </row>
    <row r="4336" spans="1:16" x14ac:dyDescent="0.3">
      <c r="A4336" s="5">
        <v>12</v>
      </c>
      <c r="B4336" s="5" t="s">
        <v>161</v>
      </c>
      <c r="C4336" s="5">
        <v>6</v>
      </c>
      <c r="D4336" s="5" t="s">
        <v>90</v>
      </c>
      <c r="E4336" s="5">
        <v>2023</v>
      </c>
      <c r="F4336" s="5">
        <v>7</v>
      </c>
      <c r="G4336" s="5" t="s">
        <v>52</v>
      </c>
      <c r="H4336" s="5">
        <v>1107158</v>
      </c>
      <c r="I4336" s="5">
        <v>949890.01</v>
      </c>
      <c r="J4336" s="5">
        <v>13</v>
      </c>
      <c r="K4336" s="5">
        <v>72317</v>
      </c>
      <c r="L4336" s="5">
        <v>1175170</v>
      </c>
      <c r="M4336" s="5">
        <v>157267.99</v>
      </c>
      <c r="N4336" s="5">
        <v>0.14199999999999999</v>
      </c>
      <c r="O4336" s="5">
        <v>3</v>
      </c>
      <c r="P4336" s="5">
        <v>74448</v>
      </c>
    </row>
    <row r="4337" spans="1:16" x14ac:dyDescent="0.3">
      <c r="A4337" s="5">
        <v>116</v>
      </c>
      <c r="B4337" s="5" t="s">
        <v>161</v>
      </c>
      <c r="C4337" s="5">
        <v>6</v>
      </c>
      <c r="D4337" s="5" t="s">
        <v>90</v>
      </c>
      <c r="E4337" s="5">
        <v>2023</v>
      </c>
      <c r="F4337" s="5">
        <v>7</v>
      </c>
      <c r="G4337" s="5" t="s">
        <v>52</v>
      </c>
      <c r="H4337" s="5">
        <v>805823</v>
      </c>
      <c r="I4337" s="5">
        <v>685260.19</v>
      </c>
      <c r="J4337" s="5">
        <v>13</v>
      </c>
      <c r="K4337" s="5">
        <v>103894</v>
      </c>
      <c r="L4337" s="5">
        <v>908410</v>
      </c>
      <c r="M4337" s="5">
        <v>120562.81</v>
      </c>
      <c r="N4337" s="5">
        <v>0.14960000000000001</v>
      </c>
      <c r="O4337" s="5">
        <v>2</v>
      </c>
      <c r="P4337" s="5">
        <v>37479</v>
      </c>
    </row>
    <row r="4338" spans="1:16" x14ac:dyDescent="0.3">
      <c r="A4338" s="5">
        <v>12</v>
      </c>
      <c r="B4338" s="5" t="s">
        <v>161</v>
      </c>
      <c r="C4338" s="5">
        <v>6</v>
      </c>
      <c r="D4338" s="5" t="s">
        <v>90</v>
      </c>
      <c r="E4338" s="5">
        <v>2023</v>
      </c>
      <c r="F4338" s="5">
        <v>8</v>
      </c>
      <c r="G4338" s="5" t="s">
        <v>53</v>
      </c>
      <c r="H4338" s="5">
        <v>1172761</v>
      </c>
      <c r="I4338" s="5">
        <v>1009207.97</v>
      </c>
      <c r="J4338" s="5">
        <v>14</v>
      </c>
      <c r="K4338" s="5">
        <v>177531</v>
      </c>
      <c r="L4338" s="5">
        <v>1345100</v>
      </c>
      <c r="M4338" s="5">
        <v>163553.03</v>
      </c>
      <c r="N4338" s="5">
        <v>0.13950000000000001</v>
      </c>
      <c r="O4338" s="5">
        <v>3</v>
      </c>
      <c r="P4338" s="5">
        <v>104097</v>
      </c>
    </row>
    <row r="4339" spans="1:16" x14ac:dyDescent="0.3">
      <c r="A4339" s="5">
        <v>116</v>
      </c>
      <c r="B4339" s="5" t="s">
        <v>161</v>
      </c>
      <c r="C4339" s="5">
        <v>6</v>
      </c>
      <c r="D4339" s="5" t="s">
        <v>90</v>
      </c>
      <c r="E4339" s="5">
        <v>2023</v>
      </c>
      <c r="F4339" s="5">
        <v>8</v>
      </c>
      <c r="G4339" s="5" t="s">
        <v>53</v>
      </c>
      <c r="H4339" s="5">
        <v>2576148</v>
      </c>
      <c r="I4339" s="5">
        <v>2220047.56</v>
      </c>
      <c r="J4339" s="5">
        <v>33</v>
      </c>
      <c r="K4339" s="5">
        <v>337069</v>
      </c>
      <c r="L4339" s="5">
        <v>2898550</v>
      </c>
      <c r="M4339" s="5">
        <v>356100.44</v>
      </c>
      <c r="N4339" s="5">
        <v>0.13819999999999999</v>
      </c>
      <c r="O4339" s="5">
        <v>0</v>
      </c>
      <c r="P4339" s="5">
        <v>0</v>
      </c>
    </row>
    <row r="4340" spans="1:16" x14ac:dyDescent="0.3">
      <c r="A4340" s="5">
        <v>12</v>
      </c>
      <c r="B4340" s="5" t="s">
        <v>161</v>
      </c>
      <c r="C4340" s="5">
        <v>6</v>
      </c>
      <c r="D4340" s="5" t="s">
        <v>90</v>
      </c>
      <c r="E4340" s="5">
        <v>2023</v>
      </c>
      <c r="F4340" s="5">
        <v>9</v>
      </c>
      <c r="G4340" s="5" t="s">
        <v>54</v>
      </c>
      <c r="H4340" s="5">
        <v>880002</v>
      </c>
      <c r="I4340" s="5">
        <v>755003.99</v>
      </c>
      <c r="J4340" s="5">
        <v>14</v>
      </c>
      <c r="K4340" s="5">
        <v>96886</v>
      </c>
      <c r="L4340" s="5">
        <v>975590</v>
      </c>
      <c r="M4340" s="5">
        <v>124998.01</v>
      </c>
      <c r="N4340" s="5">
        <v>0.14199999999999999</v>
      </c>
      <c r="O4340" s="5">
        <v>0</v>
      </c>
      <c r="P4340" s="5">
        <v>0</v>
      </c>
    </row>
    <row r="4341" spans="1:16" x14ac:dyDescent="0.3">
      <c r="A4341" s="5">
        <v>116</v>
      </c>
      <c r="B4341" s="5" t="s">
        <v>161</v>
      </c>
      <c r="C4341" s="5">
        <v>6</v>
      </c>
      <c r="D4341" s="5" t="s">
        <v>90</v>
      </c>
      <c r="E4341" s="5">
        <v>2023</v>
      </c>
      <c r="F4341" s="5">
        <v>9</v>
      </c>
      <c r="G4341" s="5" t="s">
        <v>54</v>
      </c>
      <c r="H4341" s="5">
        <v>1854071</v>
      </c>
      <c r="I4341" s="5">
        <v>1765183.25</v>
      </c>
      <c r="J4341" s="5">
        <v>29</v>
      </c>
      <c r="K4341" s="5">
        <v>392496</v>
      </c>
      <c r="L4341" s="5">
        <v>2243730</v>
      </c>
      <c r="M4341" s="5">
        <v>88887.75</v>
      </c>
      <c r="N4341" s="5">
        <v>4.7899999999999998E-2</v>
      </c>
      <c r="O4341" s="5">
        <v>1</v>
      </c>
      <c r="P4341" s="5">
        <v>68932</v>
      </c>
    </row>
    <row r="4342" spans="1:16" x14ac:dyDescent="0.3">
      <c r="A4342" s="5">
        <v>12</v>
      </c>
      <c r="B4342" s="5" t="s">
        <v>161</v>
      </c>
      <c r="C4342" s="5">
        <v>6</v>
      </c>
      <c r="D4342" s="5" t="s">
        <v>90</v>
      </c>
      <c r="E4342" s="5">
        <v>2023</v>
      </c>
      <c r="F4342" s="5">
        <v>10</v>
      </c>
      <c r="G4342" s="5" t="s">
        <v>55</v>
      </c>
      <c r="H4342" s="5">
        <v>1535680</v>
      </c>
      <c r="I4342" s="5">
        <v>1363364.46</v>
      </c>
      <c r="J4342" s="5">
        <v>21</v>
      </c>
      <c r="K4342" s="5">
        <v>204411</v>
      </c>
      <c r="L4342" s="5">
        <v>1737370</v>
      </c>
      <c r="M4342" s="5">
        <v>172315.54</v>
      </c>
      <c r="N4342" s="5">
        <v>0.11219999999999999</v>
      </c>
      <c r="O4342" s="5">
        <v>2</v>
      </c>
      <c r="P4342" s="5">
        <v>28342</v>
      </c>
    </row>
    <row r="4343" spans="1:16" x14ac:dyDescent="0.3">
      <c r="A4343" s="5">
        <v>116</v>
      </c>
      <c r="B4343" s="5" t="s">
        <v>161</v>
      </c>
      <c r="C4343" s="5">
        <v>6</v>
      </c>
      <c r="D4343" s="5" t="s">
        <v>90</v>
      </c>
      <c r="E4343" s="5">
        <v>2023</v>
      </c>
      <c r="F4343" s="5">
        <v>10</v>
      </c>
      <c r="G4343" s="5" t="s">
        <v>55</v>
      </c>
      <c r="H4343" s="5">
        <v>1987809</v>
      </c>
      <c r="I4343" s="5">
        <v>1674972.84</v>
      </c>
      <c r="J4343" s="5">
        <v>34</v>
      </c>
      <c r="K4343" s="5">
        <v>184192</v>
      </c>
      <c r="L4343" s="5">
        <v>2159370</v>
      </c>
      <c r="M4343" s="5">
        <v>312836.15999999997</v>
      </c>
      <c r="N4343" s="5">
        <v>0.15740000000000001</v>
      </c>
      <c r="O4343" s="5">
        <v>5</v>
      </c>
      <c r="P4343" s="5">
        <v>90060</v>
      </c>
    </row>
    <row r="4344" spans="1:16" x14ac:dyDescent="0.3">
      <c r="A4344" s="5">
        <v>12</v>
      </c>
      <c r="B4344" s="5" t="s">
        <v>161</v>
      </c>
      <c r="C4344" s="5">
        <v>6</v>
      </c>
      <c r="D4344" s="5" t="s">
        <v>90</v>
      </c>
      <c r="E4344" s="5">
        <v>2023</v>
      </c>
      <c r="F4344" s="5">
        <v>11</v>
      </c>
      <c r="G4344" s="5" t="s">
        <v>56</v>
      </c>
      <c r="H4344" s="5">
        <v>1156285</v>
      </c>
      <c r="I4344" s="5">
        <v>903655.11</v>
      </c>
      <c r="J4344" s="5">
        <v>20</v>
      </c>
      <c r="K4344" s="5">
        <v>40146</v>
      </c>
      <c r="L4344" s="5">
        <v>1187990</v>
      </c>
      <c r="M4344" s="5">
        <v>252629.89</v>
      </c>
      <c r="N4344" s="5">
        <v>0.2185</v>
      </c>
      <c r="O4344" s="5">
        <v>3</v>
      </c>
      <c r="P4344" s="5">
        <v>101086</v>
      </c>
    </row>
    <row r="4345" spans="1:16" x14ac:dyDescent="0.3">
      <c r="A4345" s="5">
        <v>116</v>
      </c>
      <c r="B4345" s="5" t="s">
        <v>161</v>
      </c>
      <c r="C4345" s="5">
        <v>6</v>
      </c>
      <c r="D4345" s="5" t="s">
        <v>90</v>
      </c>
      <c r="E4345" s="5">
        <v>2023</v>
      </c>
      <c r="F4345" s="5">
        <v>11</v>
      </c>
      <c r="G4345" s="5" t="s">
        <v>56</v>
      </c>
      <c r="H4345" s="5">
        <v>1910453</v>
      </c>
      <c r="I4345" s="5">
        <v>1804201.3</v>
      </c>
      <c r="J4345" s="5">
        <v>30</v>
      </c>
      <c r="K4345" s="5">
        <v>455992</v>
      </c>
      <c r="L4345" s="5">
        <v>2360820</v>
      </c>
      <c r="M4345" s="5">
        <v>106251.7</v>
      </c>
      <c r="N4345" s="5">
        <v>5.5599999999999997E-2</v>
      </c>
      <c r="O4345" s="5">
        <v>4</v>
      </c>
      <c r="P4345" s="5">
        <v>73553</v>
      </c>
    </row>
    <row r="4346" spans="1:16" x14ac:dyDescent="0.3">
      <c r="A4346" s="5">
        <v>12</v>
      </c>
      <c r="B4346" s="5" t="s">
        <v>161</v>
      </c>
      <c r="C4346" s="5">
        <v>6</v>
      </c>
      <c r="D4346" s="5" t="s">
        <v>90</v>
      </c>
      <c r="E4346" s="5">
        <v>2023</v>
      </c>
      <c r="F4346" s="5">
        <v>12</v>
      </c>
      <c r="G4346" s="5" t="s">
        <v>57</v>
      </c>
      <c r="H4346" s="5">
        <v>1753708</v>
      </c>
      <c r="I4346" s="5">
        <v>1585807.96</v>
      </c>
      <c r="J4346" s="5">
        <v>22</v>
      </c>
      <c r="K4346" s="5">
        <v>231701</v>
      </c>
      <c r="L4346" s="5">
        <v>1981490</v>
      </c>
      <c r="M4346" s="5">
        <v>167900.04</v>
      </c>
      <c r="N4346" s="5">
        <v>9.5699999999999993E-2</v>
      </c>
      <c r="O4346" s="5">
        <v>2</v>
      </c>
      <c r="P4346" s="5">
        <v>17799</v>
      </c>
    </row>
    <row r="4347" spans="1:16" x14ac:dyDescent="0.3">
      <c r="A4347" s="5">
        <v>116</v>
      </c>
      <c r="B4347" s="5" t="s">
        <v>161</v>
      </c>
      <c r="C4347" s="5">
        <v>6</v>
      </c>
      <c r="D4347" s="5" t="s">
        <v>90</v>
      </c>
      <c r="E4347" s="5">
        <v>2023</v>
      </c>
      <c r="F4347" s="5">
        <v>12</v>
      </c>
      <c r="G4347" s="5" t="s">
        <v>57</v>
      </c>
      <c r="H4347" s="5">
        <v>2094096</v>
      </c>
      <c r="I4347" s="5">
        <v>2010127.69</v>
      </c>
      <c r="J4347" s="5">
        <v>42</v>
      </c>
      <c r="K4347" s="5">
        <v>530583</v>
      </c>
      <c r="L4347" s="5">
        <v>2622540</v>
      </c>
      <c r="M4347" s="5">
        <v>83968.31</v>
      </c>
      <c r="N4347" s="5">
        <v>4.0099999999999997E-2</v>
      </c>
      <c r="O4347" s="5">
        <v>2</v>
      </c>
      <c r="P4347" s="5">
        <v>4551</v>
      </c>
    </row>
    <row r="4348" spans="1:16" x14ac:dyDescent="0.3">
      <c r="A4348" s="5">
        <v>12</v>
      </c>
      <c r="B4348" s="5" t="s">
        <v>161</v>
      </c>
      <c r="C4348" s="5">
        <v>6</v>
      </c>
      <c r="D4348" s="5" t="s">
        <v>90</v>
      </c>
      <c r="E4348" s="5">
        <v>2024</v>
      </c>
      <c r="F4348" s="5">
        <v>1</v>
      </c>
      <c r="G4348" s="5" t="s">
        <v>58</v>
      </c>
      <c r="H4348" s="5">
        <v>234124</v>
      </c>
      <c r="I4348" s="5">
        <v>205825.11</v>
      </c>
      <c r="J4348" s="5">
        <v>4</v>
      </c>
      <c r="K4348" s="5">
        <v>41986</v>
      </c>
      <c r="L4348" s="5">
        <v>276110</v>
      </c>
      <c r="M4348" s="5">
        <v>28298.89</v>
      </c>
      <c r="N4348" s="5">
        <v>0.12089999999999999</v>
      </c>
      <c r="O4348" s="5">
        <v>1</v>
      </c>
      <c r="P4348" s="5">
        <v>16051</v>
      </c>
    </row>
    <row r="4349" spans="1:16" x14ac:dyDescent="0.3">
      <c r="A4349" s="5">
        <v>116</v>
      </c>
      <c r="B4349" s="5" t="s">
        <v>161</v>
      </c>
      <c r="C4349" s="5">
        <v>6</v>
      </c>
      <c r="D4349" s="5" t="s">
        <v>90</v>
      </c>
      <c r="E4349" s="5">
        <v>2024</v>
      </c>
      <c r="F4349" s="5">
        <v>1</v>
      </c>
      <c r="G4349" s="5" t="s">
        <v>58</v>
      </c>
      <c r="H4349" s="5">
        <v>1445818</v>
      </c>
      <c r="I4349" s="5">
        <v>1382535.52</v>
      </c>
      <c r="J4349" s="5">
        <v>26</v>
      </c>
      <c r="K4349" s="5">
        <v>342121</v>
      </c>
      <c r="L4349" s="5">
        <v>1787700</v>
      </c>
      <c r="M4349" s="5">
        <v>63282.48</v>
      </c>
      <c r="N4349" s="5">
        <v>4.3799999999999999E-2</v>
      </c>
      <c r="O4349" s="5">
        <v>1</v>
      </c>
      <c r="P4349" s="5">
        <v>3071</v>
      </c>
    </row>
    <row r="4350" spans="1:16" x14ac:dyDescent="0.3">
      <c r="A4350" s="5">
        <v>12</v>
      </c>
      <c r="B4350" s="5" t="s">
        <v>161</v>
      </c>
      <c r="C4350" s="5">
        <v>6</v>
      </c>
      <c r="D4350" s="5" t="s">
        <v>90</v>
      </c>
      <c r="E4350" s="5">
        <v>2024</v>
      </c>
      <c r="F4350" s="5">
        <v>2</v>
      </c>
      <c r="G4350" s="5" t="s">
        <v>59</v>
      </c>
      <c r="H4350" s="5">
        <v>469882</v>
      </c>
      <c r="I4350" s="5">
        <v>437765.24</v>
      </c>
      <c r="J4350" s="5">
        <v>9</v>
      </c>
      <c r="K4350" s="5">
        <v>88257</v>
      </c>
      <c r="L4350" s="5">
        <v>556630</v>
      </c>
      <c r="M4350" s="5">
        <v>32116.76</v>
      </c>
      <c r="N4350" s="5">
        <v>6.8400000000000002E-2</v>
      </c>
      <c r="O4350" s="5">
        <v>1</v>
      </c>
      <c r="P4350" s="5">
        <v>1663</v>
      </c>
    </row>
    <row r="4351" spans="1:16" x14ac:dyDescent="0.3">
      <c r="A4351" s="5">
        <v>116</v>
      </c>
      <c r="B4351" s="5" t="s">
        <v>161</v>
      </c>
      <c r="C4351" s="5">
        <v>6</v>
      </c>
      <c r="D4351" s="5" t="s">
        <v>90</v>
      </c>
      <c r="E4351" s="5">
        <v>2024</v>
      </c>
      <c r="F4351" s="5">
        <v>2</v>
      </c>
      <c r="G4351" s="5" t="s">
        <v>59</v>
      </c>
      <c r="H4351" s="5">
        <v>2424578</v>
      </c>
      <c r="I4351" s="5">
        <v>2081889.88</v>
      </c>
      <c r="J4351" s="5">
        <v>26</v>
      </c>
      <c r="K4351" s="5">
        <v>246484</v>
      </c>
      <c r="L4351" s="5">
        <v>2658470</v>
      </c>
      <c r="M4351" s="5">
        <v>342688.12</v>
      </c>
      <c r="N4351" s="5">
        <v>0.14130000000000001</v>
      </c>
      <c r="O4351" s="5">
        <v>3</v>
      </c>
      <c r="P4351" s="5">
        <v>297999</v>
      </c>
    </row>
    <row r="4352" spans="1:16" x14ac:dyDescent="0.3">
      <c r="A4352" s="5">
        <v>12</v>
      </c>
      <c r="B4352" s="5" t="s">
        <v>161</v>
      </c>
      <c r="C4352" s="5">
        <v>6</v>
      </c>
      <c r="D4352" s="5" t="s">
        <v>90</v>
      </c>
      <c r="E4352" s="5">
        <v>2024</v>
      </c>
      <c r="F4352" s="5">
        <v>3</v>
      </c>
      <c r="G4352" s="5" t="s">
        <v>60</v>
      </c>
      <c r="H4352" s="5">
        <v>1733000</v>
      </c>
      <c r="I4352" s="5">
        <v>1453666.86</v>
      </c>
      <c r="J4352" s="5">
        <v>21</v>
      </c>
      <c r="K4352" s="5">
        <v>148743</v>
      </c>
      <c r="L4352" s="5">
        <v>1875060</v>
      </c>
      <c r="M4352" s="5">
        <v>279333.14</v>
      </c>
      <c r="N4352" s="5">
        <v>0.16120000000000001</v>
      </c>
      <c r="O4352" s="5">
        <v>1</v>
      </c>
      <c r="P4352" s="5">
        <v>25326</v>
      </c>
    </row>
    <row r="4353" spans="1:16" x14ac:dyDescent="0.3">
      <c r="A4353" s="5">
        <v>116</v>
      </c>
      <c r="B4353" s="5" t="s">
        <v>161</v>
      </c>
      <c r="C4353" s="5">
        <v>6</v>
      </c>
      <c r="D4353" s="5" t="s">
        <v>90</v>
      </c>
      <c r="E4353" s="5">
        <v>2024</v>
      </c>
      <c r="F4353" s="5">
        <v>3</v>
      </c>
      <c r="G4353" s="5" t="s">
        <v>60</v>
      </c>
      <c r="H4353" s="5">
        <v>2122485</v>
      </c>
      <c r="I4353" s="5">
        <v>1755607.12</v>
      </c>
      <c r="J4353" s="5">
        <v>17</v>
      </c>
      <c r="K4353" s="5">
        <v>118392</v>
      </c>
      <c r="L4353" s="5">
        <v>2228730</v>
      </c>
      <c r="M4353" s="5">
        <v>366877.88</v>
      </c>
      <c r="N4353" s="5">
        <v>0.1729</v>
      </c>
      <c r="O4353" s="5">
        <v>1</v>
      </c>
      <c r="P4353" s="5">
        <v>46094</v>
      </c>
    </row>
    <row r="4354" spans="1:16" x14ac:dyDescent="0.3">
      <c r="A4354" s="5">
        <v>12</v>
      </c>
      <c r="B4354" s="5" t="s">
        <v>161</v>
      </c>
      <c r="C4354" s="5">
        <v>6</v>
      </c>
      <c r="D4354" s="5" t="s">
        <v>90</v>
      </c>
      <c r="E4354" s="5">
        <v>2024</v>
      </c>
      <c r="F4354" s="5">
        <v>4</v>
      </c>
      <c r="G4354" s="5" t="s">
        <v>61</v>
      </c>
      <c r="H4354" s="5">
        <v>627375</v>
      </c>
      <c r="I4354" s="5">
        <v>503539.16</v>
      </c>
      <c r="J4354" s="5">
        <v>16</v>
      </c>
      <c r="K4354" s="5">
        <v>83002</v>
      </c>
      <c r="L4354" s="5">
        <v>709410</v>
      </c>
      <c r="M4354" s="5">
        <v>123835.84</v>
      </c>
      <c r="N4354" s="5">
        <v>0.19739999999999999</v>
      </c>
      <c r="O4354" s="5">
        <v>0</v>
      </c>
      <c r="P4354" s="5">
        <v>0</v>
      </c>
    </row>
    <row r="4355" spans="1:16" x14ac:dyDescent="0.3">
      <c r="A4355" s="5">
        <v>116</v>
      </c>
      <c r="B4355" s="5" t="s">
        <v>161</v>
      </c>
      <c r="C4355" s="5">
        <v>6</v>
      </c>
      <c r="D4355" s="5" t="s">
        <v>90</v>
      </c>
      <c r="E4355" s="5">
        <v>2024</v>
      </c>
      <c r="F4355" s="5">
        <v>4</v>
      </c>
      <c r="G4355" s="5" t="s">
        <v>61</v>
      </c>
      <c r="H4355" s="5">
        <v>1389032</v>
      </c>
      <c r="I4355" s="5">
        <v>1180922.67</v>
      </c>
      <c r="J4355" s="5">
        <v>27</v>
      </c>
      <c r="K4355" s="5">
        <v>143418</v>
      </c>
      <c r="L4355" s="5">
        <v>1526210</v>
      </c>
      <c r="M4355" s="5">
        <v>208109.33</v>
      </c>
      <c r="N4355" s="5">
        <v>0.14979999999999999</v>
      </c>
      <c r="O4355" s="5">
        <v>0</v>
      </c>
      <c r="P4355" s="5">
        <v>0</v>
      </c>
    </row>
    <row r="4356" spans="1:16" x14ac:dyDescent="0.3">
      <c r="A4356" s="5">
        <v>12</v>
      </c>
      <c r="B4356" s="5" t="s">
        <v>161</v>
      </c>
      <c r="C4356" s="5">
        <v>6</v>
      </c>
      <c r="D4356" s="5" t="s">
        <v>90</v>
      </c>
      <c r="E4356" s="5">
        <v>2024</v>
      </c>
      <c r="F4356" s="5">
        <v>5</v>
      </c>
      <c r="G4356" s="5" t="s">
        <v>62</v>
      </c>
      <c r="H4356" s="5">
        <v>991050</v>
      </c>
      <c r="I4356" s="5">
        <v>901598.81</v>
      </c>
      <c r="J4356" s="5">
        <v>17</v>
      </c>
      <c r="K4356" s="5">
        <v>139139</v>
      </c>
      <c r="L4356" s="5">
        <v>1124010</v>
      </c>
      <c r="M4356" s="5">
        <v>89451.19</v>
      </c>
      <c r="N4356" s="5">
        <v>9.0300000000000005E-2</v>
      </c>
      <c r="O4356" s="5">
        <v>4</v>
      </c>
      <c r="P4356" s="5">
        <v>52633</v>
      </c>
    </row>
    <row r="4357" spans="1:16" x14ac:dyDescent="0.3">
      <c r="A4357" s="5">
        <v>116</v>
      </c>
      <c r="B4357" s="5" t="s">
        <v>161</v>
      </c>
      <c r="C4357" s="5">
        <v>6</v>
      </c>
      <c r="D4357" s="5" t="s">
        <v>90</v>
      </c>
      <c r="E4357" s="5">
        <v>2024</v>
      </c>
      <c r="F4357" s="5">
        <v>5</v>
      </c>
      <c r="G4357" s="5" t="s">
        <v>62</v>
      </c>
      <c r="H4357" s="5">
        <v>1552353</v>
      </c>
      <c r="I4357" s="5">
        <v>1331256.6200000001</v>
      </c>
      <c r="J4357" s="5">
        <v>22</v>
      </c>
      <c r="K4357" s="5">
        <v>229753</v>
      </c>
      <c r="L4357" s="5">
        <v>1778960</v>
      </c>
      <c r="M4357" s="5">
        <v>221096.38</v>
      </c>
      <c r="N4357" s="5">
        <v>0.1424</v>
      </c>
      <c r="O4357" s="5">
        <v>1</v>
      </c>
      <c r="P4357" s="5">
        <v>30854</v>
      </c>
    </row>
    <row r="4358" spans="1:16" x14ac:dyDescent="0.3">
      <c r="A4358" s="5">
        <v>12</v>
      </c>
      <c r="B4358" s="5" t="s">
        <v>161</v>
      </c>
      <c r="C4358" s="5">
        <v>6</v>
      </c>
      <c r="D4358" s="5" t="s">
        <v>90</v>
      </c>
      <c r="E4358" s="5">
        <v>2024</v>
      </c>
      <c r="F4358" s="5">
        <v>6</v>
      </c>
      <c r="G4358" s="5" t="s">
        <v>63</v>
      </c>
      <c r="H4358" s="5">
        <v>784802</v>
      </c>
      <c r="I4358" s="5">
        <v>689376.26</v>
      </c>
      <c r="J4358" s="5">
        <v>11</v>
      </c>
      <c r="K4358" s="5">
        <v>112453</v>
      </c>
      <c r="L4358" s="5">
        <v>894780</v>
      </c>
      <c r="M4358" s="5">
        <v>95425.74</v>
      </c>
      <c r="N4358" s="5">
        <v>0.1216</v>
      </c>
      <c r="O4358" s="5">
        <v>0</v>
      </c>
      <c r="P4358" s="5">
        <v>0</v>
      </c>
    </row>
    <row r="4359" spans="1:16" x14ac:dyDescent="0.3">
      <c r="A4359" s="5">
        <v>116</v>
      </c>
      <c r="B4359" s="5" t="s">
        <v>161</v>
      </c>
      <c r="C4359" s="5">
        <v>6</v>
      </c>
      <c r="D4359" s="5" t="s">
        <v>90</v>
      </c>
      <c r="E4359" s="5">
        <v>2024</v>
      </c>
      <c r="F4359" s="5">
        <v>6</v>
      </c>
      <c r="G4359" s="5" t="s">
        <v>63</v>
      </c>
      <c r="H4359" s="5">
        <v>2800200</v>
      </c>
      <c r="I4359" s="5">
        <v>2525452.9300000002</v>
      </c>
      <c r="J4359" s="5">
        <v>27</v>
      </c>
      <c r="K4359" s="5">
        <v>460646</v>
      </c>
      <c r="L4359" s="5">
        <v>3259390</v>
      </c>
      <c r="M4359" s="5">
        <v>274747.07</v>
      </c>
      <c r="N4359" s="5">
        <v>9.8100000000000007E-2</v>
      </c>
      <c r="O4359" s="5">
        <v>3</v>
      </c>
      <c r="P4359" s="5">
        <v>272337</v>
      </c>
    </row>
    <row r="4360" spans="1:16" x14ac:dyDescent="0.3">
      <c r="A4360" s="5">
        <v>12</v>
      </c>
      <c r="B4360" s="5" t="s">
        <v>161</v>
      </c>
      <c r="C4360" s="5">
        <v>6</v>
      </c>
      <c r="D4360" s="5" t="s">
        <v>90</v>
      </c>
      <c r="E4360" s="5">
        <v>2024</v>
      </c>
      <c r="F4360" s="5">
        <v>7</v>
      </c>
      <c r="G4360" s="5" t="s">
        <v>64</v>
      </c>
      <c r="H4360" s="5">
        <v>907491</v>
      </c>
      <c r="I4360" s="5">
        <v>798355.66</v>
      </c>
      <c r="J4360" s="5">
        <v>16</v>
      </c>
      <c r="K4360" s="5">
        <v>111396</v>
      </c>
      <c r="L4360" s="5">
        <v>1014290</v>
      </c>
      <c r="M4360" s="5">
        <v>109135.34</v>
      </c>
      <c r="N4360" s="5">
        <v>0.1203</v>
      </c>
      <c r="O4360" s="5">
        <v>0</v>
      </c>
      <c r="P4360" s="5">
        <v>0</v>
      </c>
    </row>
    <row r="4361" spans="1:16" x14ac:dyDescent="0.3">
      <c r="A4361" s="5">
        <v>116</v>
      </c>
      <c r="B4361" s="5" t="s">
        <v>161</v>
      </c>
      <c r="C4361" s="5">
        <v>6</v>
      </c>
      <c r="D4361" s="5" t="s">
        <v>90</v>
      </c>
      <c r="E4361" s="5">
        <v>2024</v>
      </c>
      <c r="F4361" s="5">
        <v>7</v>
      </c>
      <c r="G4361" s="5" t="s">
        <v>64</v>
      </c>
      <c r="H4361" s="5">
        <v>1462868</v>
      </c>
      <c r="I4361" s="5">
        <v>1279482.52</v>
      </c>
      <c r="J4361" s="5">
        <v>22</v>
      </c>
      <c r="K4361" s="5">
        <v>147714</v>
      </c>
      <c r="L4361" s="5">
        <v>1608780</v>
      </c>
      <c r="M4361" s="5">
        <v>183385.48</v>
      </c>
      <c r="N4361" s="5">
        <v>0.12540000000000001</v>
      </c>
      <c r="O4361" s="5">
        <v>1</v>
      </c>
      <c r="P4361" s="5">
        <v>1472</v>
      </c>
    </row>
    <row r="4362" spans="1:16" x14ac:dyDescent="0.3">
      <c r="A4362" s="5">
        <v>12</v>
      </c>
      <c r="B4362" s="5" t="s">
        <v>161</v>
      </c>
      <c r="C4362" s="5">
        <v>6</v>
      </c>
      <c r="D4362" s="5" t="s">
        <v>90</v>
      </c>
      <c r="E4362" s="5">
        <v>2024</v>
      </c>
      <c r="F4362" s="5">
        <v>8</v>
      </c>
      <c r="G4362" s="5" t="s">
        <v>65</v>
      </c>
      <c r="H4362" s="5">
        <v>711439</v>
      </c>
      <c r="I4362" s="5">
        <v>650173.61</v>
      </c>
      <c r="J4362" s="5">
        <v>10</v>
      </c>
      <c r="K4362" s="5">
        <v>90225</v>
      </c>
      <c r="L4362" s="5">
        <v>800930</v>
      </c>
      <c r="M4362" s="5">
        <v>61265.39</v>
      </c>
      <c r="N4362" s="5">
        <v>8.6099999999999996E-2</v>
      </c>
      <c r="O4362" s="5">
        <v>0</v>
      </c>
      <c r="P4362" s="5">
        <v>0</v>
      </c>
    </row>
    <row r="4363" spans="1:16" x14ac:dyDescent="0.3">
      <c r="A4363" s="5">
        <v>116</v>
      </c>
      <c r="B4363" s="5" t="s">
        <v>161</v>
      </c>
      <c r="C4363" s="5">
        <v>6</v>
      </c>
      <c r="D4363" s="5" t="s">
        <v>90</v>
      </c>
      <c r="E4363" s="5">
        <v>2024</v>
      </c>
      <c r="F4363" s="5">
        <v>8</v>
      </c>
      <c r="G4363" s="5" t="s">
        <v>65</v>
      </c>
      <c r="H4363" s="5">
        <v>1598408</v>
      </c>
      <c r="I4363" s="5">
        <v>1317394.6499999999</v>
      </c>
      <c r="J4363" s="5">
        <v>19</v>
      </c>
      <c r="K4363" s="5">
        <v>93453</v>
      </c>
      <c r="L4363" s="5">
        <v>1688950</v>
      </c>
      <c r="M4363" s="5">
        <v>281013.34999999998</v>
      </c>
      <c r="N4363" s="5">
        <v>0.17580000000000001</v>
      </c>
      <c r="O4363" s="5">
        <v>0</v>
      </c>
      <c r="P4363" s="5">
        <v>0</v>
      </c>
    </row>
    <row r="4364" spans="1:16" x14ac:dyDescent="0.3">
      <c r="A4364" s="5">
        <v>12</v>
      </c>
      <c r="B4364" s="5" t="s">
        <v>161</v>
      </c>
      <c r="C4364" s="5">
        <v>6</v>
      </c>
      <c r="D4364" s="5" t="s">
        <v>90</v>
      </c>
      <c r="E4364" s="5">
        <v>2024</v>
      </c>
      <c r="F4364" s="5">
        <v>9</v>
      </c>
      <c r="G4364" s="5" t="s">
        <v>66</v>
      </c>
      <c r="H4364" s="5">
        <v>1461031</v>
      </c>
      <c r="I4364" s="5">
        <v>1180413.79</v>
      </c>
      <c r="J4364" s="5">
        <v>19</v>
      </c>
      <c r="K4364" s="5">
        <v>75415</v>
      </c>
      <c r="L4364" s="5">
        <v>1534460</v>
      </c>
      <c r="M4364" s="5">
        <v>280617.21000000002</v>
      </c>
      <c r="N4364" s="5">
        <v>0.19209999999999999</v>
      </c>
      <c r="O4364" s="5">
        <v>2</v>
      </c>
      <c r="P4364" s="5">
        <v>111272</v>
      </c>
    </row>
    <row r="4365" spans="1:16" x14ac:dyDescent="0.3">
      <c r="A4365" s="5">
        <v>116</v>
      </c>
      <c r="B4365" s="5" t="s">
        <v>161</v>
      </c>
      <c r="C4365" s="5">
        <v>6</v>
      </c>
      <c r="D4365" s="5" t="s">
        <v>90</v>
      </c>
      <c r="E4365" s="5">
        <v>2024</v>
      </c>
      <c r="F4365" s="5">
        <v>9</v>
      </c>
      <c r="G4365" s="5" t="s">
        <v>66</v>
      </c>
      <c r="H4365" s="5">
        <v>2044909</v>
      </c>
      <c r="I4365" s="5">
        <v>1744229.26</v>
      </c>
      <c r="J4365" s="5">
        <v>27</v>
      </c>
      <c r="K4365" s="5">
        <v>182317</v>
      </c>
      <c r="L4365" s="5">
        <v>2223370</v>
      </c>
      <c r="M4365" s="5">
        <v>300679.74</v>
      </c>
      <c r="N4365" s="5">
        <v>0.14699999999999999</v>
      </c>
      <c r="O4365" s="5">
        <v>4</v>
      </c>
      <c r="P4365" s="5">
        <v>60856</v>
      </c>
    </row>
    <row r="4366" spans="1:16" x14ac:dyDescent="0.3">
      <c r="A4366" s="5">
        <v>12</v>
      </c>
      <c r="B4366" s="5" t="s">
        <v>161</v>
      </c>
      <c r="C4366" s="5">
        <v>6</v>
      </c>
      <c r="D4366" s="5" t="s">
        <v>90</v>
      </c>
      <c r="E4366" s="5">
        <v>2024</v>
      </c>
      <c r="F4366" s="5">
        <v>10</v>
      </c>
      <c r="G4366" s="5" t="s">
        <v>67</v>
      </c>
      <c r="H4366" s="5">
        <v>945760</v>
      </c>
      <c r="I4366" s="5">
        <v>740242.55</v>
      </c>
      <c r="J4366" s="5">
        <v>13</v>
      </c>
      <c r="K4366" s="5">
        <v>29440</v>
      </c>
      <c r="L4366" s="5">
        <v>971790</v>
      </c>
      <c r="M4366" s="5">
        <v>205517.45</v>
      </c>
      <c r="N4366" s="5">
        <v>0.21729999999999999</v>
      </c>
      <c r="O4366" s="5">
        <v>1</v>
      </c>
      <c r="P4366" s="5">
        <v>103944</v>
      </c>
    </row>
    <row r="4367" spans="1:16" x14ac:dyDescent="0.3">
      <c r="A4367" s="5">
        <v>116</v>
      </c>
      <c r="B4367" s="5" t="s">
        <v>161</v>
      </c>
      <c r="C4367" s="5">
        <v>6</v>
      </c>
      <c r="D4367" s="5" t="s">
        <v>90</v>
      </c>
      <c r="E4367" s="5">
        <v>2024</v>
      </c>
      <c r="F4367" s="5">
        <v>10</v>
      </c>
      <c r="G4367" s="5" t="s">
        <v>67</v>
      </c>
      <c r="H4367" s="5">
        <v>1965460</v>
      </c>
      <c r="I4367" s="5">
        <v>1521682.51</v>
      </c>
      <c r="J4367" s="5">
        <v>29</v>
      </c>
      <c r="K4367" s="5">
        <v>70553</v>
      </c>
      <c r="L4367" s="5">
        <v>2030860</v>
      </c>
      <c r="M4367" s="5">
        <v>443777.49</v>
      </c>
      <c r="N4367" s="5">
        <v>0.2258</v>
      </c>
      <c r="O4367" s="5">
        <v>4</v>
      </c>
      <c r="P4367" s="5">
        <v>34275</v>
      </c>
    </row>
    <row r="4368" spans="1:16" x14ac:dyDescent="0.3">
      <c r="A4368" s="5">
        <v>12</v>
      </c>
      <c r="B4368" s="5" t="s">
        <v>161</v>
      </c>
      <c r="C4368" s="5">
        <v>6</v>
      </c>
      <c r="D4368" s="5" t="s">
        <v>90</v>
      </c>
      <c r="E4368" s="5">
        <v>2024</v>
      </c>
      <c r="F4368" s="5">
        <v>11</v>
      </c>
      <c r="G4368" s="5" t="s">
        <v>68</v>
      </c>
      <c r="H4368" s="5">
        <v>291774</v>
      </c>
      <c r="I4368" s="5">
        <v>234006.62</v>
      </c>
      <c r="J4368" s="5">
        <v>13</v>
      </c>
      <c r="K4368" s="5">
        <v>38123</v>
      </c>
      <c r="L4368" s="5">
        <v>329080</v>
      </c>
      <c r="M4368" s="5">
        <v>57767.38</v>
      </c>
      <c r="N4368" s="5">
        <v>0.19800000000000001</v>
      </c>
      <c r="O4368" s="5">
        <v>1</v>
      </c>
      <c r="P4368" s="5">
        <v>7028</v>
      </c>
    </row>
    <row r="4369" spans="1:16" x14ac:dyDescent="0.3">
      <c r="A4369" s="5">
        <v>116</v>
      </c>
      <c r="B4369" s="5" t="s">
        <v>161</v>
      </c>
      <c r="C4369" s="5">
        <v>6</v>
      </c>
      <c r="D4369" s="5" t="s">
        <v>90</v>
      </c>
      <c r="E4369" s="5">
        <v>2024</v>
      </c>
      <c r="F4369" s="5">
        <v>11</v>
      </c>
      <c r="G4369" s="5" t="s">
        <v>68</v>
      </c>
      <c r="H4369" s="5">
        <v>2939154</v>
      </c>
      <c r="I4369" s="5">
        <v>2497254.69</v>
      </c>
      <c r="J4369" s="5">
        <v>46</v>
      </c>
      <c r="K4369" s="5">
        <v>269339</v>
      </c>
      <c r="L4369" s="5">
        <v>3203950</v>
      </c>
      <c r="M4369" s="5">
        <v>441899.31</v>
      </c>
      <c r="N4369" s="5">
        <v>0.15029999999999999</v>
      </c>
      <c r="O4369" s="5">
        <v>3</v>
      </c>
      <c r="P4369" s="5">
        <v>95703</v>
      </c>
    </row>
    <row r="4370" spans="1:16" x14ac:dyDescent="0.3">
      <c r="A4370" s="5">
        <v>12</v>
      </c>
      <c r="B4370" s="5" t="s">
        <v>161</v>
      </c>
      <c r="C4370" s="5">
        <v>6</v>
      </c>
      <c r="D4370" s="5" t="s">
        <v>90</v>
      </c>
      <c r="E4370" s="5">
        <v>2024</v>
      </c>
      <c r="F4370" s="5">
        <v>12</v>
      </c>
      <c r="G4370" s="5" t="s">
        <v>69</v>
      </c>
      <c r="H4370" s="5">
        <v>1862197</v>
      </c>
      <c r="I4370" s="5">
        <v>1490846.06</v>
      </c>
      <c r="J4370" s="5">
        <v>21</v>
      </c>
      <c r="K4370" s="5">
        <v>62324</v>
      </c>
      <c r="L4370" s="5">
        <v>1921650</v>
      </c>
      <c r="M4370" s="5">
        <v>371350.94</v>
      </c>
      <c r="N4370" s="5">
        <v>0.19939999999999999</v>
      </c>
      <c r="O4370" s="5">
        <v>0</v>
      </c>
      <c r="P4370" s="5">
        <v>0</v>
      </c>
    </row>
    <row r="4371" spans="1:16" x14ac:dyDescent="0.3">
      <c r="A4371" s="5">
        <v>116</v>
      </c>
      <c r="B4371" s="5" t="s">
        <v>161</v>
      </c>
      <c r="C4371" s="5">
        <v>6</v>
      </c>
      <c r="D4371" s="5" t="s">
        <v>90</v>
      </c>
      <c r="E4371" s="5">
        <v>2024</v>
      </c>
      <c r="F4371" s="5">
        <v>12</v>
      </c>
      <c r="G4371" s="5" t="s">
        <v>69</v>
      </c>
      <c r="H4371" s="5">
        <v>1248656</v>
      </c>
      <c r="I4371" s="5">
        <v>966158.18</v>
      </c>
      <c r="J4371" s="5">
        <v>27</v>
      </c>
      <c r="K4371" s="5">
        <v>41380</v>
      </c>
      <c r="L4371" s="5">
        <v>1286820</v>
      </c>
      <c r="M4371" s="5">
        <v>282497.82</v>
      </c>
      <c r="N4371" s="5">
        <v>0.22620000000000001</v>
      </c>
      <c r="O4371" s="5">
        <v>2</v>
      </c>
      <c r="P4371" s="5">
        <v>18873</v>
      </c>
    </row>
    <row r="4372" spans="1:16" x14ac:dyDescent="0.3">
      <c r="A4372" s="5">
        <v>1</v>
      </c>
      <c r="B4372" s="5" t="s">
        <v>162</v>
      </c>
      <c r="C4372" s="5">
        <v>6</v>
      </c>
      <c r="D4372" s="5" t="s">
        <v>90</v>
      </c>
      <c r="E4372" s="5">
        <v>2021</v>
      </c>
      <c r="F4372" s="5">
        <v>1</v>
      </c>
      <c r="G4372" s="5" t="s">
        <v>22</v>
      </c>
      <c r="H4372" s="5">
        <v>1246862</v>
      </c>
      <c r="I4372" s="5">
        <v>1066597.82</v>
      </c>
      <c r="J4372" s="5">
        <v>21</v>
      </c>
      <c r="K4372" s="5">
        <v>80161</v>
      </c>
      <c r="L4372" s="5">
        <v>1320390</v>
      </c>
      <c r="M4372" s="5">
        <v>180264.18</v>
      </c>
      <c r="N4372" s="5">
        <v>0.14460000000000001</v>
      </c>
      <c r="O4372" s="5">
        <v>1</v>
      </c>
      <c r="P4372" s="5">
        <v>8054</v>
      </c>
    </row>
    <row r="4373" spans="1:16" x14ac:dyDescent="0.3">
      <c r="A4373" s="5">
        <v>9</v>
      </c>
      <c r="B4373" s="5" t="s">
        <v>162</v>
      </c>
      <c r="C4373" s="5">
        <v>6</v>
      </c>
      <c r="D4373" s="5" t="s">
        <v>90</v>
      </c>
      <c r="E4373" s="5">
        <v>2021</v>
      </c>
      <c r="F4373" s="5">
        <v>1</v>
      </c>
      <c r="G4373" s="5" t="s">
        <v>22</v>
      </c>
      <c r="H4373" s="5">
        <v>843603</v>
      </c>
      <c r="I4373" s="5">
        <v>761314.86</v>
      </c>
      <c r="J4373" s="5">
        <v>15</v>
      </c>
      <c r="K4373" s="5">
        <v>146915</v>
      </c>
      <c r="L4373" s="5">
        <v>987990</v>
      </c>
      <c r="M4373" s="5">
        <v>82288.14</v>
      </c>
      <c r="N4373" s="5">
        <v>9.7500000000000003E-2</v>
      </c>
      <c r="O4373" s="5">
        <v>2</v>
      </c>
      <c r="P4373" s="5">
        <v>5654</v>
      </c>
    </row>
    <row r="4374" spans="1:16" x14ac:dyDescent="0.3">
      <c r="A4374" s="5">
        <v>36</v>
      </c>
      <c r="B4374" s="5" t="s">
        <v>162</v>
      </c>
      <c r="C4374" s="5">
        <v>6</v>
      </c>
      <c r="D4374" s="5" t="s">
        <v>90</v>
      </c>
      <c r="E4374" s="5">
        <v>2021</v>
      </c>
      <c r="F4374" s="5">
        <v>1</v>
      </c>
      <c r="G4374" s="5" t="s">
        <v>22</v>
      </c>
      <c r="H4374" s="5">
        <v>2346298</v>
      </c>
      <c r="I4374" s="5">
        <v>2145748.09</v>
      </c>
      <c r="J4374" s="5">
        <v>26</v>
      </c>
      <c r="K4374" s="5">
        <v>481419</v>
      </c>
      <c r="L4374" s="5">
        <v>2818270</v>
      </c>
      <c r="M4374" s="5">
        <v>200549.91</v>
      </c>
      <c r="N4374" s="5">
        <v>8.5500000000000007E-2</v>
      </c>
      <c r="O4374" s="5">
        <v>2</v>
      </c>
      <c r="P4374" s="5">
        <v>65331</v>
      </c>
    </row>
    <row r="4375" spans="1:16" x14ac:dyDescent="0.3">
      <c r="A4375" s="5">
        <v>67</v>
      </c>
      <c r="B4375" s="5" t="s">
        <v>162</v>
      </c>
      <c r="C4375" s="5">
        <v>6</v>
      </c>
      <c r="D4375" s="5" t="s">
        <v>90</v>
      </c>
      <c r="E4375" s="5">
        <v>2021</v>
      </c>
      <c r="F4375" s="5">
        <v>1</v>
      </c>
      <c r="G4375" s="5" t="s">
        <v>22</v>
      </c>
      <c r="H4375" s="5">
        <v>1735239</v>
      </c>
      <c r="I4375" s="5">
        <v>1450266.94</v>
      </c>
      <c r="J4375" s="5">
        <v>24</v>
      </c>
      <c r="K4375" s="5">
        <v>118778</v>
      </c>
      <c r="L4375" s="5">
        <v>1842950</v>
      </c>
      <c r="M4375" s="5">
        <v>284972.06</v>
      </c>
      <c r="N4375" s="5">
        <v>0.16420000000000001</v>
      </c>
      <c r="O4375" s="5">
        <v>2</v>
      </c>
      <c r="P4375" s="5">
        <v>6664</v>
      </c>
    </row>
    <row r="4376" spans="1:16" x14ac:dyDescent="0.3">
      <c r="A4376" s="5">
        <v>115</v>
      </c>
      <c r="B4376" s="5" t="s">
        <v>162</v>
      </c>
      <c r="C4376" s="5">
        <v>6</v>
      </c>
      <c r="D4376" s="5" t="s">
        <v>90</v>
      </c>
      <c r="E4376" s="5">
        <v>2021</v>
      </c>
      <c r="F4376" s="5">
        <v>1</v>
      </c>
      <c r="G4376" s="5" t="s">
        <v>22</v>
      </c>
      <c r="H4376" s="5">
        <v>1086009</v>
      </c>
      <c r="I4376" s="5">
        <v>977124.53</v>
      </c>
      <c r="J4376" s="5">
        <v>18</v>
      </c>
      <c r="K4376" s="5">
        <v>167607</v>
      </c>
      <c r="L4376" s="5">
        <v>1247810</v>
      </c>
      <c r="M4376" s="5">
        <v>108884.47</v>
      </c>
      <c r="N4376" s="5">
        <v>0.1003</v>
      </c>
      <c r="O4376" s="5">
        <v>0</v>
      </c>
      <c r="P4376" s="5">
        <v>0</v>
      </c>
    </row>
    <row r="4377" spans="1:16" x14ac:dyDescent="0.3">
      <c r="A4377" s="5">
        <v>1</v>
      </c>
      <c r="B4377" s="5" t="s">
        <v>162</v>
      </c>
      <c r="C4377" s="5">
        <v>6</v>
      </c>
      <c r="D4377" s="5" t="s">
        <v>90</v>
      </c>
      <c r="E4377" s="5">
        <v>2021</v>
      </c>
      <c r="F4377" s="5">
        <v>2</v>
      </c>
      <c r="G4377" s="5" t="s">
        <v>23</v>
      </c>
      <c r="H4377" s="5">
        <v>1462581</v>
      </c>
      <c r="I4377" s="5">
        <v>1377983.53</v>
      </c>
      <c r="J4377" s="5">
        <v>24</v>
      </c>
      <c r="K4377" s="5">
        <v>271455</v>
      </c>
      <c r="L4377" s="5">
        <v>1733710</v>
      </c>
      <c r="M4377" s="5">
        <v>84597.47</v>
      </c>
      <c r="N4377" s="5">
        <v>5.7799999999999997E-2</v>
      </c>
      <c r="O4377" s="5">
        <v>0</v>
      </c>
      <c r="P4377" s="5">
        <v>0</v>
      </c>
    </row>
    <row r="4378" spans="1:16" x14ac:dyDescent="0.3">
      <c r="A4378" s="5">
        <v>9</v>
      </c>
      <c r="B4378" s="5" t="s">
        <v>162</v>
      </c>
      <c r="C4378" s="5">
        <v>6</v>
      </c>
      <c r="D4378" s="5" t="s">
        <v>90</v>
      </c>
      <c r="E4378" s="5">
        <v>2021</v>
      </c>
      <c r="F4378" s="5">
        <v>2</v>
      </c>
      <c r="G4378" s="5" t="s">
        <v>23</v>
      </c>
      <c r="H4378" s="5">
        <v>637299</v>
      </c>
      <c r="I4378" s="5">
        <v>530845.18999999994</v>
      </c>
      <c r="J4378" s="5">
        <v>14</v>
      </c>
      <c r="K4378" s="5">
        <v>72743</v>
      </c>
      <c r="L4378" s="5">
        <v>708550</v>
      </c>
      <c r="M4378" s="5">
        <v>106453.81</v>
      </c>
      <c r="N4378" s="5">
        <v>0.16700000000000001</v>
      </c>
      <c r="O4378" s="5">
        <v>2</v>
      </c>
      <c r="P4378" s="5">
        <v>91277</v>
      </c>
    </row>
    <row r="4379" spans="1:16" x14ac:dyDescent="0.3">
      <c r="A4379" s="5">
        <v>36</v>
      </c>
      <c r="B4379" s="5" t="s">
        <v>162</v>
      </c>
      <c r="C4379" s="5">
        <v>6</v>
      </c>
      <c r="D4379" s="5" t="s">
        <v>90</v>
      </c>
      <c r="E4379" s="5">
        <v>2021</v>
      </c>
      <c r="F4379" s="5">
        <v>2</v>
      </c>
      <c r="G4379" s="5" t="s">
        <v>23</v>
      </c>
      <c r="H4379" s="5">
        <v>1769146</v>
      </c>
      <c r="I4379" s="5">
        <v>1639073.41</v>
      </c>
      <c r="J4379" s="5">
        <v>25</v>
      </c>
      <c r="K4379" s="5">
        <v>374232</v>
      </c>
      <c r="L4379" s="5">
        <v>2141580</v>
      </c>
      <c r="M4379" s="5">
        <v>130072.59</v>
      </c>
      <c r="N4379" s="5">
        <v>7.3499999999999996E-2</v>
      </c>
      <c r="O4379" s="5">
        <v>1</v>
      </c>
      <c r="P4379" s="5">
        <v>66588</v>
      </c>
    </row>
    <row r="4380" spans="1:16" x14ac:dyDescent="0.3">
      <c r="A4380" s="5">
        <v>67</v>
      </c>
      <c r="B4380" s="5" t="s">
        <v>162</v>
      </c>
      <c r="C4380" s="5">
        <v>6</v>
      </c>
      <c r="D4380" s="5" t="s">
        <v>90</v>
      </c>
      <c r="E4380" s="5">
        <v>2021</v>
      </c>
      <c r="F4380" s="5">
        <v>2</v>
      </c>
      <c r="G4380" s="5" t="s">
        <v>23</v>
      </c>
      <c r="H4380" s="5">
        <v>1311438</v>
      </c>
      <c r="I4380" s="5">
        <v>1157449.1299999999</v>
      </c>
      <c r="J4380" s="5">
        <v>19</v>
      </c>
      <c r="K4380" s="5">
        <v>180333</v>
      </c>
      <c r="L4380" s="5">
        <v>1487630</v>
      </c>
      <c r="M4380" s="5">
        <v>153988.87</v>
      </c>
      <c r="N4380" s="5">
        <v>0.1174</v>
      </c>
      <c r="O4380" s="5">
        <v>4</v>
      </c>
      <c r="P4380" s="5">
        <v>43147</v>
      </c>
    </row>
    <row r="4381" spans="1:16" x14ac:dyDescent="0.3">
      <c r="A4381" s="5">
        <v>115</v>
      </c>
      <c r="B4381" s="5" t="s">
        <v>162</v>
      </c>
      <c r="C4381" s="5">
        <v>6</v>
      </c>
      <c r="D4381" s="5" t="s">
        <v>90</v>
      </c>
      <c r="E4381" s="5">
        <v>2021</v>
      </c>
      <c r="F4381" s="5">
        <v>2</v>
      </c>
      <c r="G4381" s="5" t="s">
        <v>23</v>
      </c>
      <c r="H4381" s="5">
        <v>1116994</v>
      </c>
      <c r="I4381" s="5">
        <v>1065830.3600000001</v>
      </c>
      <c r="J4381" s="5">
        <v>14</v>
      </c>
      <c r="K4381" s="5">
        <v>265340</v>
      </c>
      <c r="L4381" s="5">
        <v>1380290</v>
      </c>
      <c r="M4381" s="5">
        <v>51163.64</v>
      </c>
      <c r="N4381" s="5">
        <v>4.58E-2</v>
      </c>
      <c r="O4381" s="5">
        <v>1</v>
      </c>
      <c r="P4381" s="5">
        <v>119514</v>
      </c>
    </row>
    <row r="4382" spans="1:16" x14ac:dyDescent="0.3">
      <c r="A4382" s="5">
        <v>1</v>
      </c>
      <c r="B4382" s="5" t="s">
        <v>162</v>
      </c>
      <c r="C4382" s="5">
        <v>6</v>
      </c>
      <c r="D4382" s="5" t="s">
        <v>90</v>
      </c>
      <c r="E4382" s="5">
        <v>2021</v>
      </c>
      <c r="F4382" s="5">
        <v>3</v>
      </c>
      <c r="G4382" s="5" t="s">
        <v>24</v>
      </c>
      <c r="H4382" s="5">
        <v>732188</v>
      </c>
      <c r="I4382" s="5">
        <v>582554.4</v>
      </c>
      <c r="J4382" s="5">
        <v>17</v>
      </c>
      <c r="K4382" s="5">
        <v>58069</v>
      </c>
      <c r="L4382" s="5">
        <v>789110</v>
      </c>
      <c r="M4382" s="5">
        <v>149633.60000000001</v>
      </c>
      <c r="N4382" s="5">
        <v>0.2044</v>
      </c>
      <c r="O4382" s="5">
        <v>0</v>
      </c>
      <c r="P4382" s="5">
        <v>0</v>
      </c>
    </row>
    <row r="4383" spans="1:16" x14ac:dyDescent="0.3">
      <c r="A4383" s="5">
        <v>9</v>
      </c>
      <c r="B4383" s="5" t="s">
        <v>162</v>
      </c>
      <c r="C4383" s="5">
        <v>6</v>
      </c>
      <c r="D4383" s="5" t="s">
        <v>90</v>
      </c>
      <c r="E4383" s="5">
        <v>2021</v>
      </c>
      <c r="F4383" s="5">
        <v>3</v>
      </c>
      <c r="G4383" s="5" t="s">
        <v>24</v>
      </c>
      <c r="H4383" s="5">
        <v>1196741</v>
      </c>
      <c r="I4383" s="5">
        <v>1017432.11</v>
      </c>
      <c r="J4383" s="5">
        <v>18</v>
      </c>
      <c r="K4383" s="5">
        <v>99347</v>
      </c>
      <c r="L4383" s="5">
        <v>1291400</v>
      </c>
      <c r="M4383" s="5">
        <v>179308.89</v>
      </c>
      <c r="N4383" s="5">
        <v>0.14979999999999999</v>
      </c>
      <c r="O4383" s="5">
        <v>6</v>
      </c>
      <c r="P4383" s="5">
        <v>147648</v>
      </c>
    </row>
    <row r="4384" spans="1:16" x14ac:dyDescent="0.3">
      <c r="A4384" s="5">
        <v>36</v>
      </c>
      <c r="B4384" s="5" t="s">
        <v>162</v>
      </c>
      <c r="C4384" s="5">
        <v>6</v>
      </c>
      <c r="D4384" s="5" t="s">
        <v>90</v>
      </c>
      <c r="E4384" s="5">
        <v>2021</v>
      </c>
      <c r="F4384" s="5">
        <v>3</v>
      </c>
      <c r="G4384" s="5" t="s">
        <v>24</v>
      </c>
      <c r="H4384" s="5">
        <v>1152481</v>
      </c>
      <c r="I4384" s="5">
        <v>995356.53</v>
      </c>
      <c r="J4384" s="5">
        <v>22</v>
      </c>
      <c r="K4384" s="5">
        <v>143534</v>
      </c>
      <c r="L4384" s="5">
        <v>1293470</v>
      </c>
      <c r="M4384" s="5">
        <v>157124.47</v>
      </c>
      <c r="N4384" s="5">
        <v>0.1363</v>
      </c>
      <c r="O4384" s="5">
        <v>1</v>
      </c>
      <c r="P4384" s="5">
        <v>1518</v>
      </c>
    </row>
    <row r="4385" spans="1:16" x14ac:dyDescent="0.3">
      <c r="A4385" s="5">
        <v>67</v>
      </c>
      <c r="B4385" s="5" t="s">
        <v>162</v>
      </c>
      <c r="C4385" s="5">
        <v>6</v>
      </c>
      <c r="D4385" s="5" t="s">
        <v>90</v>
      </c>
      <c r="E4385" s="5">
        <v>2021</v>
      </c>
      <c r="F4385" s="5">
        <v>3</v>
      </c>
      <c r="G4385" s="5" t="s">
        <v>24</v>
      </c>
      <c r="H4385" s="5">
        <v>1361282</v>
      </c>
      <c r="I4385" s="5">
        <v>1103223.55</v>
      </c>
      <c r="J4385" s="5">
        <v>21</v>
      </c>
      <c r="K4385" s="5">
        <v>50475</v>
      </c>
      <c r="L4385" s="5">
        <v>1406020</v>
      </c>
      <c r="M4385" s="5">
        <v>258058.45</v>
      </c>
      <c r="N4385" s="5">
        <v>0.18959999999999999</v>
      </c>
      <c r="O4385" s="5">
        <v>1</v>
      </c>
      <c r="P4385" s="5">
        <v>5070</v>
      </c>
    </row>
    <row r="4386" spans="1:16" x14ac:dyDescent="0.3">
      <c r="A4386" s="5">
        <v>115</v>
      </c>
      <c r="B4386" s="5" t="s">
        <v>162</v>
      </c>
      <c r="C4386" s="5">
        <v>6</v>
      </c>
      <c r="D4386" s="5" t="s">
        <v>90</v>
      </c>
      <c r="E4386" s="5">
        <v>2021</v>
      </c>
      <c r="F4386" s="5">
        <v>3</v>
      </c>
      <c r="G4386" s="5" t="s">
        <v>24</v>
      </c>
      <c r="H4386" s="5">
        <v>1696727</v>
      </c>
      <c r="I4386" s="5">
        <v>1454555.33</v>
      </c>
      <c r="J4386" s="5">
        <v>17</v>
      </c>
      <c r="K4386" s="5">
        <v>109095</v>
      </c>
      <c r="L4386" s="5">
        <v>1805280</v>
      </c>
      <c r="M4386" s="5">
        <v>242171.67</v>
      </c>
      <c r="N4386" s="5">
        <v>0.14269999999999999</v>
      </c>
      <c r="O4386" s="5">
        <v>2</v>
      </c>
      <c r="P4386" s="5">
        <v>9077</v>
      </c>
    </row>
    <row r="4387" spans="1:16" x14ac:dyDescent="0.3">
      <c r="A4387" s="5">
        <v>1</v>
      </c>
      <c r="B4387" s="5" t="s">
        <v>162</v>
      </c>
      <c r="C4387" s="5">
        <v>6</v>
      </c>
      <c r="D4387" s="5" t="s">
        <v>90</v>
      </c>
      <c r="E4387" s="5">
        <v>2021</v>
      </c>
      <c r="F4387" s="5">
        <v>4</v>
      </c>
      <c r="G4387" s="5" t="s">
        <v>25</v>
      </c>
      <c r="H4387" s="5">
        <v>907795</v>
      </c>
      <c r="I4387" s="5">
        <v>743986.83</v>
      </c>
      <c r="J4387" s="5">
        <v>22</v>
      </c>
      <c r="K4387" s="5">
        <v>68360</v>
      </c>
      <c r="L4387" s="5">
        <v>971320</v>
      </c>
      <c r="M4387" s="5">
        <v>163808.17000000001</v>
      </c>
      <c r="N4387" s="5">
        <v>0.1804</v>
      </c>
      <c r="O4387" s="5">
        <v>1</v>
      </c>
      <c r="P4387" s="5">
        <v>5405</v>
      </c>
    </row>
    <row r="4388" spans="1:16" x14ac:dyDescent="0.3">
      <c r="A4388" s="5">
        <v>9</v>
      </c>
      <c r="B4388" s="5" t="s">
        <v>162</v>
      </c>
      <c r="C4388" s="5">
        <v>6</v>
      </c>
      <c r="D4388" s="5" t="s">
        <v>90</v>
      </c>
      <c r="E4388" s="5">
        <v>2021</v>
      </c>
      <c r="F4388" s="5">
        <v>4</v>
      </c>
      <c r="G4388" s="5" t="s">
        <v>25</v>
      </c>
      <c r="H4388" s="5">
        <v>1271013</v>
      </c>
      <c r="I4388" s="5">
        <v>982492.49</v>
      </c>
      <c r="J4388" s="5">
        <v>17</v>
      </c>
      <c r="K4388" s="5">
        <v>25612</v>
      </c>
      <c r="L4388" s="5">
        <v>1283110</v>
      </c>
      <c r="M4388" s="5">
        <v>288520.51</v>
      </c>
      <c r="N4388" s="5">
        <v>0.22700000000000001</v>
      </c>
      <c r="O4388" s="5">
        <v>2</v>
      </c>
      <c r="P4388" s="5">
        <v>17881</v>
      </c>
    </row>
    <row r="4389" spans="1:16" x14ac:dyDescent="0.3">
      <c r="A4389" s="5">
        <v>36</v>
      </c>
      <c r="B4389" s="5" t="s">
        <v>162</v>
      </c>
      <c r="C4389" s="5">
        <v>6</v>
      </c>
      <c r="D4389" s="5" t="s">
        <v>90</v>
      </c>
      <c r="E4389" s="5">
        <v>2021</v>
      </c>
      <c r="F4389" s="5">
        <v>4</v>
      </c>
      <c r="G4389" s="5" t="s">
        <v>25</v>
      </c>
      <c r="H4389" s="5">
        <v>970241</v>
      </c>
      <c r="I4389" s="5">
        <v>833244.29</v>
      </c>
      <c r="J4389" s="5">
        <v>13</v>
      </c>
      <c r="K4389" s="5">
        <v>102591</v>
      </c>
      <c r="L4389" s="5">
        <v>1067820</v>
      </c>
      <c r="M4389" s="5">
        <v>136996.71</v>
      </c>
      <c r="N4389" s="5">
        <v>0.14119999999999999</v>
      </c>
      <c r="O4389" s="5">
        <v>1</v>
      </c>
      <c r="P4389" s="5">
        <v>49685</v>
      </c>
    </row>
    <row r="4390" spans="1:16" x14ac:dyDescent="0.3">
      <c r="A4390" s="5">
        <v>67</v>
      </c>
      <c r="B4390" s="5" t="s">
        <v>162</v>
      </c>
      <c r="C4390" s="5">
        <v>6</v>
      </c>
      <c r="D4390" s="5" t="s">
        <v>90</v>
      </c>
      <c r="E4390" s="5">
        <v>2021</v>
      </c>
      <c r="F4390" s="5">
        <v>4</v>
      </c>
      <c r="G4390" s="5" t="s">
        <v>25</v>
      </c>
      <c r="H4390" s="5">
        <v>1435044</v>
      </c>
      <c r="I4390" s="5">
        <v>1296331.27</v>
      </c>
      <c r="J4390" s="5">
        <v>23</v>
      </c>
      <c r="K4390" s="5">
        <v>229948</v>
      </c>
      <c r="L4390" s="5">
        <v>1663550</v>
      </c>
      <c r="M4390" s="5">
        <v>138712.73000000001</v>
      </c>
      <c r="N4390" s="5">
        <v>9.6699999999999994E-2</v>
      </c>
      <c r="O4390" s="5">
        <v>2</v>
      </c>
      <c r="P4390" s="5">
        <v>15062</v>
      </c>
    </row>
    <row r="4391" spans="1:16" x14ac:dyDescent="0.3">
      <c r="A4391" s="5">
        <v>115</v>
      </c>
      <c r="B4391" s="5" t="s">
        <v>162</v>
      </c>
      <c r="C4391" s="5">
        <v>6</v>
      </c>
      <c r="D4391" s="5" t="s">
        <v>90</v>
      </c>
      <c r="E4391" s="5">
        <v>2021</v>
      </c>
      <c r="F4391" s="5">
        <v>4</v>
      </c>
      <c r="G4391" s="5" t="s">
        <v>25</v>
      </c>
      <c r="H4391" s="5">
        <v>1015229</v>
      </c>
      <c r="I4391" s="5">
        <v>891788.22</v>
      </c>
      <c r="J4391" s="5">
        <v>11</v>
      </c>
      <c r="K4391" s="5">
        <v>145734</v>
      </c>
      <c r="L4391" s="5">
        <v>1159080</v>
      </c>
      <c r="M4391" s="5">
        <v>123440.78</v>
      </c>
      <c r="N4391" s="5">
        <v>0.1216</v>
      </c>
      <c r="O4391" s="5">
        <v>1</v>
      </c>
      <c r="P4391" s="5">
        <v>528</v>
      </c>
    </row>
    <row r="4392" spans="1:16" x14ac:dyDescent="0.3">
      <c r="A4392" s="5">
        <v>1</v>
      </c>
      <c r="B4392" s="5" t="s">
        <v>162</v>
      </c>
      <c r="C4392" s="5">
        <v>6</v>
      </c>
      <c r="D4392" s="5" t="s">
        <v>90</v>
      </c>
      <c r="E4392" s="5">
        <v>2021</v>
      </c>
      <c r="F4392" s="5">
        <v>5</v>
      </c>
      <c r="G4392" s="5" t="s">
        <v>26</v>
      </c>
      <c r="H4392" s="5">
        <v>827377</v>
      </c>
      <c r="I4392" s="5">
        <v>758306.39</v>
      </c>
      <c r="J4392" s="5">
        <v>19</v>
      </c>
      <c r="K4392" s="5">
        <v>158954</v>
      </c>
      <c r="L4392" s="5">
        <v>983810</v>
      </c>
      <c r="M4392" s="5">
        <v>69070.61</v>
      </c>
      <c r="N4392" s="5">
        <v>8.3500000000000005E-2</v>
      </c>
      <c r="O4392" s="5">
        <v>2</v>
      </c>
      <c r="P4392" s="5">
        <v>34948</v>
      </c>
    </row>
    <row r="4393" spans="1:16" x14ac:dyDescent="0.3">
      <c r="A4393" s="5">
        <v>9</v>
      </c>
      <c r="B4393" s="5" t="s">
        <v>162</v>
      </c>
      <c r="C4393" s="5">
        <v>6</v>
      </c>
      <c r="D4393" s="5" t="s">
        <v>90</v>
      </c>
      <c r="E4393" s="5">
        <v>2021</v>
      </c>
      <c r="F4393" s="5">
        <v>5</v>
      </c>
      <c r="G4393" s="5" t="s">
        <v>26</v>
      </c>
      <c r="H4393" s="5">
        <v>1221451</v>
      </c>
      <c r="I4393" s="5">
        <v>1034979.99</v>
      </c>
      <c r="J4393" s="5">
        <v>20</v>
      </c>
      <c r="K4393" s="5">
        <v>122139</v>
      </c>
      <c r="L4393" s="5">
        <v>1339050</v>
      </c>
      <c r="M4393" s="5">
        <v>186471.01</v>
      </c>
      <c r="N4393" s="5">
        <v>0.1527</v>
      </c>
      <c r="O4393" s="5">
        <v>2</v>
      </c>
      <c r="P4393" s="5">
        <v>78693</v>
      </c>
    </row>
    <row r="4394" spans="1:16" x14ac:dyDescent="0.3">
      <c r="A4394" s="5">
        <v>36</v>
      </c>
      <c r="B4394" s="5" t="s">
        <v>162</v>
      </c>
      <c r="C4394" s="5">
        <v>6</v>
      </c>
      <c r="D4394" s="5" t="s">
        <v>90</v>
      </c>
      <c r="E4394" s="5">
        <v>2021</v>
      </c>
      <c r="F4394" s="5">
        <v>5</v>
      </c>
      <c r="G4394" s="5" t="s">
        <v>26</v>
      </c>
      <c r="H4394" s="5">
        <v>1239071</v>
      </c>
      <c r="I4394" s="5">
        <v>1039642.14</v>
      </c>
      <c r="J4394" s="5">
        <v>17</v>
      </c>
      <c r="K4394" s="5">
        <v>93492</v>
      </c>
      <c r="L4394" s="5">
        <v>1328990</v>
      </c>
      <c r="M4394" s="5">
        <v>199428.86</v>
      </c>
      <c r="N4394" s="5">
        <v>0.161</v>
      </c>
      <c r="O4394" s="5">
        <v>0</v>
      </c>
      <c r="P4394" s="5">
        <v>0</v>
      </c>
    </row>
    <row r="4395" spans="1:16" x14ac:dyDescent="0.3">
      <c r="A4395" s="5">
        <v>67</v>
      </c>
      <c r="B4395" s="5" t="s">
        <v>162</v>
      </c>
      <c r="C4395" s="5">
        <v>6</v>
      </c>
      <c r="D4395" s="5" t="s">
        <v>90</v>
      </c>
      <c r="E4395" s="5">
        <v>2021</v>
      </c>
      <c r="F4395" s="5">
        <v>5</v>
      </c>
      <c r="G4395" s="5" t="s">
        <v>26</v>
      </c>
      <c r="H4395" s="5">
        <v>2049267</v>
      </c>
      <c r="I4395" s="5">
        <v>1718541.02</v>
      </c>
      <c r="J4395" s="5">
        <v>23</v>
      </c>
      <c r="K4395" s="5">
        <v>207441</v>
      </c>
      <c r="L4395" s="5">
        <v>2251490</v>
      </c>
      <c r="M4395" s="5">
        <v>330725.98</v>
      </c>
      <c r="N4395" s="5">
        <v>0.16139999999999999</v>
      </c>
      <c r="O4395" s="5">
        <v>4</v>
      </c>
      <c r="P4395" s="5">
        <v>203721</v>
      </c>
    </row>
    <row r="4396" spans="1:16" x14ac:dyDescent="0.3">
      <c r="A4396" s="5">
        <v>115</v>
      </c>
      <c r="B4396" s="5" t="s">
        <v>162</v>
      </c>
      <c r="C4396" s="5">
        <v>6</v>
      </c>
      <c r="D4396" s="5" t="s">
        <v>90</v>
      </c>
      <c r="E4396" s="5">
        <v>2021</v>
      </c>
      <c r="F4396" s="5">
        <v>5</v>
      </c>
      <c r="G4396" s="5" t="s">
        <v>26</v>
      </c>
      <c r="H4396" s="5">
        <v>878599</v>
      </c>
      <c r="I4396" s="5">
        <v>751417.71</v>
      </c>
      <c r="J4396" s="5">
        <v>19</v>
      </c>
      <c r="K4396" s="5">
        <v>86048</v>
      </c>
      <c r="L4396" s="5">
        <v>961760</v>
      </c>
      <c r="M4396" s="5">
        <v>127181.29</v>
      </c>
      <c r="N4396" s="5">
        <v>0.14480000000000001</v>
      </c>
      <c r="O4396" s="5">
        <v>2</v>
      </c>
      <c r="P4396" s="5">
        <v>28494</v>
      </c>
    </row>
    <row r="4397" spans="1:16" x14ac:dyDescent="0.3">
      <c r="A4397" s="5">
        <v>1</v>
      </c>
      <c r="B4397" s="5" t="s">
        <v>162</v>
      </c>
      <c r="C4397" s="5">
        <v>6</v>
      </c>
      <c r="D4397" s="5" t="s">
        <v>90</v>
      </c>
      <c r="E4397" s="5">
        <v>2021</v>
      </c>
      <c r="F4397" s="5">
        <v>6</v>
      </c>
      <c r="G4397" s="5" t="s">
        <v>27</v>
      </c>
      <c r="H4397" s="5">
        <v>1322608</v>
      </c>
      <c r="I4397" s="5">
        <v>1160978.28</v>
      </c>
      <c r="J4397" s="5">
        <v>28</v>
      </c>
      <c r="K4397" s="5">
        <v>158834</v>
      </c>
      <c r="L4397" s="5">
        <v>1479190</v>
      </c>
      <c r="M4397" s="5">
        <v>161629.72</v>
      </c>
      <c r="N4397" s="5">
        <v>0.1222</v>
      </c>
      <c r="O4397" s="5">
        <v>1</v>
      </c>
      <c r="P4397" s="5">
        <v>68461</v>
      </c>
    </row>
    <row r="4398" spans="1:16" x14ac:dyDescent="0.3">
      <c r="A4398" s="5">
        <v>9</v>
      </c>
      <c r="B4398" s="5" t="s">
        <v>162</v>
      </c>
      <c r="C4398" s="5">
        <v>6</v>
      </c>
      <c r="D4398" s="5" t="s">
        <v>90</v>
      </c>
      <c r="E4398" s="5">
        <v>2021</v>
      </c>
      <c r="F4398" s="5">
        <v>6</v>
      </c>
      <c r="G4398" s="5" t="s">
        <v>27</v>
      </c>
      <c r="H4398" s="5">
        <v>1167272</v>
      </c>
      <c r="I4398" s="5">
        <v>1181928.7</v>
      </c>
      <c r="J4398" s="5">
        <v>15</v>
      </c>
      <c r="K4398" s="5">
        <v>340955</v>
      </c>
      <c r="L4398" s="5">
        <v>1507060</v>
      </c>
      <c r="M4398" s="5">
        <v>-14656.7</v>
      </c>
      <c r="N4398" s="5">
        <v>-1.26E-2</v>
      </c>
      <c r="O4398" s="5">
        <v>1</v>
      </c>
      <c r="P4398" s="5">
        <v>35635</v>
      </c>
    </row>
    <row r="4399" spans="1:16" x14ac:dyDescent="0.3">
      <c r="A4399" s="5">
        <v>36</v>
      </c>
      <c r="B4399" s="5" t="s">
        <v>162</v>
      </c>
      <c r="C4399" s="5">
        <v>6</v>
      </c>
      <c r="D4399" s="5" t="s">
        <v>90</v>
      </c>
      <c r="E4399" s="5">
        <v>2021</v>
      </c>
      <c r="F4399" s="5">
        <v>6</v>
      </c>
      <c r="G4399" s="5" t="s">
        <v>27</v>
      </c>
      <c r="H4399" s="5">
        <v>1876083</v>
      </c>
      <c r="I4399" s="5">
        <v>1653184.6</v>
      </c>
      <c r="J4399" s="5">
        <v>22</v>
      </c>
      <c r="K4399" s="5">
        <v>184282</v>
      </c>
      <c r="L4399" s="5">
        <v>2055320</v>
      </c>
      <c r="M4399" s="5">
        <v>222898.4</v>
      </c>
      <c r="N4399" s="5">
        <v>0.1188</v>
      </c>
      <c r="O4399" s="5">
        <v>2</v>
      </c>
      <c r="P4399" s="5">
        <v>23477</v>
      </c>
    </row>
    <row r="4400" spans="1:16" x14ac:dyDescent="0.3">
      <c r="A4400" s="5">
        <v>67</v>
      </c>
      <c r="B4400" s="5" t="s">
        <v>162</v>
      </c>
      <c r="C4400" s="5">
        <v>6</v>
      </c>
      <c r="D4400" s="5" t="s">
        <v>90</v>
      </c>
      <c r="E4400" s="5">
        <v>2021</v>
      </c>
      <c r="F4400" s="5">
        <v>6</v>
      </c>
      <c r="G4400" s="5" t="s">
        <v>27</v>
      </c>
      <c r="H4400" s="5">
        <v>1707104</v>
      </c>
      <c r="I4400" s="5">
        <v>1594144.06</v>
      </c>
      <c r="J4400" s="5">
        <v>26</v>
      </c>
      <c r="K4400" s="5">
        <v>327395</v>
      </c>
      <c r="L4400" s="5">
        <v>2030400</v>
      </c>
      <c r="M4400" s="5">
        <v>112959.94</v>
      </c>
      <c r="N4400" s="5">
        <v>6.6199999999999995E-2</v>
      </c>
      <c r="O4400" s="5">
        <v>2</v>
      </c>
      <c r="P4400" s="5">
        <v>22020</v>
      </c>
    </row>
    <row r="4401" spans="1:16" x14ac:dyDescent="0.3">
      <c r="A4401" s="5">
        <v>115</v>
      </c>
      <c r="B4401" s="5" t="s">
        <v>162</v>
      </c>
      <c r="C4401" s="5">
        <v>6</v>
      </c>
      <c r="D4401" s="5" t="s">
        <v>90</v>
      </c>
      <c r="E4401" s="5">
        <v>2021</v>
      </c>
      <c r="F4401" s="5">
        <v>6</v>
      </c>
      <c r="G4401" s="5" t="s">
        <v>27</v>
      </c>
      <c r="H4401" s="5">
        <v>1276057</v>
      </c>
      <c r="I4401" s="5">
        <v>1134563.25</v>
      </c>
      <c r="J4401" s="5">
        <v>18</v>
      </c>
      <c r="K4401" s="5">
        <v>208982</v>
      </c>
      <c r="L4401" s="5">
        <v>1479450</v>
      </c>
      <c r="M4401" s="5">
        <v>141493.75</v>
      </c>
      <c r="N4401" s="5">
        <v>0.1109</v>
      </c>
      <c r="O4401" s="5">
        <v>1</v>
      </c>
      <c r="P4401" s="5">
        <v>4283</v>
      </c>
    </row>
    <row r="4402" spans="1:16" x14ac:dyDescent="0.3">
      <c r="A4402" s="5">
        <v>1</v>
      </c>
      <c r="B4402" s="5" t="s">
        <v>162</v>
      </c>
      <c r="C4402" s="5">
        <v>6</v>
      </c>
      <c r="D4402" s="5" t="s">
        <v>90</v>
      </c>
      <c r="E4402" s="5">
        <v>2021</v>
      </c>
      <c r="F4402" s="5">
        <v>7</v>
      </c>
      <c r="G4402" s="5" t="s">
        <v>28</v>
      </c>
      <c r="H4402" s="5">
        <v>966737</v>
      </c>
      <c r="I4402" s="5">
        <v>879327.08</v>
      </c>
      <c r="J4402" s="5">
        <v>18</v>
      </c>
      <c r="K4402" s="5">
        <v>151922</v>
      </c>
      <c r="L4402" s="5">
        <v>1116050</v>
      </c>
      <c r="M4402" s="5">
        <v>87409.919999999998</v>
      </c>
      <c r="N4402" s="5">
        <v>9.0399999999999994E-2</v>
      </c>
      <c r="O4402" s="5">
        <v>0</v>
      </c>
      <c r="P4402" s="5">
        <v>0</v>
      </c>
    </row>
    <row r="4403" spans="1:16" x14ac:dyDescent="0.3">
      <c r="A4403" s="5">
        <v>9</v>
      </c>
      <c r="B4403" s="5" t="s">
        <v>162</v>
      </c>
      <c r="C4403" s="5">
        <v>6</v>
      </c>
      <c r="D4403" s="5" t="s">
        <v>90</v>
      </c>
      <c r="E4403" s="5">
        <v>2021</v>
      </c>
      <c r="F4403" s="5">
        <v>7</v>
      </c>
      <c r="G4403" s="5" t="s">
        <v>28</v>
      </c>
      <c r="H4403" s="5">
        <v>1194465</v>
      </c>
      <c r="I4403" s="5">
        <v>1074151.6100000001</v>
      </c>
      <c r="J4403" s="5">
        <v>13</v>
      </c>
      <c r="K4403" s="5">
        <v>138408</v>
      </c>
      <c r="L4403" s="5">
        <v>1324800</v>
      </c>
      <c r="M4403" s="5">
        <v>120313.39</v>
      </c>
      <c r="N4403" s="5">
        <v>0.1007</v>
      </c>
      <c r="O4403" s="5">
        <v>0</v>
      </c>
      <c r="P4403" s="5">
        <v>0</v>
      </c>
    </row>
    <row r="4404" spans="1:16" x14ac:dyDescent="0.3">
      <c r="A4404" s="5">
        <v>36</v>
      </c>
      <c r="B4404" s="5" t="s">
        <v>162</v>
      </c>
      <c r="C4404" s="5">
        <v>6</v>
      </c>
      <c r="D4404" s="5" t="s">
        <v>90</v>
      </c>
      <c r="E4404" s="5">
        <v>2021</v>
      </c>
      <c r="F4404" s="5">
        <v>7</v>
      </c>
      <c r="G4404" s="5" t="s">
        <v>28</v>
      </c>
      <c r="H4404" s="5">
        <v>1287226</v>
      </c>
      <c r="I4404" s="5">
        <v>1165333.57</v>
      </c>
      <c r="J4404" s="5">
        <v>15</v>
      </c>
      <c r="K4404" s="5">
        <v>185096</v>
      </c>
      <c r="L4404" s="5">
        <v>1468810</v>
      </c>
      <c r="M4404" s="5">
        <v>121892.43</v>
      </c>
      <c r="N4404" s="5">
        <v>9.4700000000000006E-2</v>
      </c>
      <c r="O4404" s="5">
        <v>2</v>
      </c>
      <c r="P4404" s="5">
        <v>52239</v>
      </c>
    </row>
    <row r="4405" spans="1:16" x14ac:dyDescent="0.3">
      <c r="A4405" s="5">
        <v>67</v>
      </c>
      <c r="B4405" s="5" t="s">
        <v>162</v>
      </c>
      <c r="C4405" s="5">
        <v>6</v>
      </c>
      <c r="D4405" s="5" t="s">
        <v>90</v>
      </c>
      <c r="E4405" s="5">
        <v>2021</v>
      </c>
      <c r="F4405" s="5">
        <v>7</v>
      </c>
      <c r="G4405" s="5" t="s">
        <v>28</v>
      </c>
      <c r="H4405" s="5">
        <v>1368951</v>
      </c>
      <c r="I4405" s="5">
        <v>1156244.8600000001</v>
      </c>
      <c r="J4405" s="5">
        <v>20</v>
      </c>
      <c r="K4405" s="5">
        <v>120370</v>
      </c>
      <c r="L4405" s="5">
        <v>1479640</v>
      </c>
      <c r="M4405" s="5">
        <v>212706.14</v>
      </c>
      <c r="N4405" s="5">
        <v>0.15540000000000001</v>
      </c>
      <c r="O4405" s="5">
        <v>1</v>
      </c>
      <c r="P4405" s="5">
        <v>2145</v>
      </c>
    </row>
    <row r="4406" spans="1:16" x14ac:dyDescent="0.3">
      <c r="A4406" s="5">
        <v>115</v>
      </c>
      <c r="B4406" s="5" t="s">
        <v>162</v>
      </c>
      <c r="C4406" s="5">
        <v>6</v>
      </c>
      <c r="D4406" s="5" t="s">
        <v>90</v>
      </c>
      <c r="E4406" s="5">
        <v>2021</v>
      </c>
      <c r="F4406" s="5">
        <v>7</v>
      </c>
      <c r="G4406" s="5" t="s">
        <v>28</v>
      </c>
      <c r="H4406" s="5">
        <v>1029640</v>
      </c>
      <c r="I4406" s="5">
        <v>815161.62</v>
      </c>
      <c r="J4406" s="5">
        <v>19</v>
      </c>
      <c r="K4406" s="5">
        <v>26425</v>
      </c>
      <c r="L4406" s="5">
        <v>1048590</v>
      </c>
      <c r="M4406" s="5">
        <v>214478.38</v>
      </c>
      <c r="N4406" s="5">
        <v>0.20830000000000001</v>
      </c>
      <c r="O4406" s="5">
        <v>3</v>
      </c>
      <c r="P4406" s="5">
        <v>103097</v>
      </c>
    </row>
    <row r="4407" spans="1:16" x14ac:dyDescent="0.3">
      <c r="A4407" s="5">
        <v>1</v>
      </c>
      <c r="B4407" s="5" t="s">
        <v>162</v>
      </c>
      <c r="C4407" s="5">
        <v>6</v>
      </c>
      <c r="D4407" s="5" t="s">
        <v>90</v>
      </c>
      <c r="E4407" s="5">
        <v>2021</v>
      </c>
      <c r="F4407" s="5">
        <v>8</v>
      </c>
      <c r="G4407" s="5" t="s">
        <v>29</v>
      </c>
      <c r="H4407" s="5">
        <v>857145</v>
      </c>
      <c r="I4407" s="5">
        <v>713834.5</v>
      </c>
      <c r="J4407" s="5">
        <v>13</v>
      </c>
      <c r="K4407" s="5">
        <v>73157</v>
      </c>
      <c r="L4407" s="5">
        <v>930200</v>
      </c>
      <c r="M4407" s="5">
        <v>143310.5</v>
      </c>
      <c r="N4407" s="5">
        <v>0.16719999999999999</v>
      </c>
      <c r="O4407" s="5">
        <v>1</v>
      </c>
      <c r="P4407" s="5">
        <v>91360</v>
      </c>
    </row>
    <row r="4408" spans="1:16" x14ac:dyDescent="0.3">
      <c r="A4408" s="5">
        <v>9</v>
      </c>
      <c r="B4408" s="5" t="s">
        <v>162</v>
      </c>
      <c r="C4408" s="5">
        <v>6</v>
      </c>
      <c r="D4408" s="5" t="s">
        <v>90</v>
      </c>
      <c r="E4408" s="5">
        <v>2021</v>
      </c>
      <c r="F4408" s="5">
        <v>8</v>
      </c>
      <c r="G4408" s="5" t="s">
        <v>29</v>
      </c>
      <c r="H4408" s="5">
        <v>898480</v>
      </c>
      <c r="I4408" s="5">
        <v>751342.54</v>
      </c>
      <c r="J4408" s="5">
        <v>20</v>
      </c>
      <c r="K4408" s="5">
        <v>83127</v>
      </c>
      <c r="L4408" s="5">
        <v>981120</v>
      </c>
      <c r="M4408" s="5">
        <v>147137.46</v>
      </c>
      <c r="N4408" s="5">
        <v>0.1638</v>
      </c>
      <c r="O4408" s="5">
        <v>2</v>
      </c>
      <c r="P4408" s="5">
        <v>173637</v>
      </c>
    </row>
    <row r="4409" spans="1:16" x14ac:dyDescent="0.3">
      <c r="A4409" s="5">
        <v>36</v>
      </c>
      <c r="B4409" s="5" t="s">
        <v>162</v>
      </c>
      <c r="C4409" s="5">
        <v>6</v>
      </c>
      <c r="D4409" s="5" t="s">
        <v>90</v>
      </c>
      <c r="E4409" s="5">
        <v>2021</v>
      </c>
      <c r="F4409" s="5">
        <v>8</v>
      </c>
      <c r="G4409" s="5" t="s">
        <v>29</v>
      </c>
      <c r="H4409" s="5">
        <v>1329245</v>
      </c>
      <c r="I4409" s="5">
        <v>1140431.78</v>
      </c>
      <c r="J4409" s="5">
        <v>24</v>
      </c>
      <c r="K4409" s="5">
        <v>150725</v>
      </c>
      <c r="L4409" s="5">
        <v>1475410</v>
      </c>
      <c r="M4409" s="5">
        <v>188813.22</v>
      </c>
      <c r="N4409" s="5">
        <v>0.14199999999999999</v>
      </c>
      <c r="O4409" s="5">
        <v>1</v>
      </c>
      <c r="P4409" s="5">
        <v>61195</v>
      </c>
    </row>
    <row r="4410" spans="1:16" x14ac:dyDescent="0.3">
      <c r="A4410" s="5">
        <v>67</v>
      </c>
      <c r="B4410" s="5" t="s">
        <v>162</v>
      </c>
      <c r="C4410" s="5">
        <v>6</v>
      </c>
      <c r="D4410" s="5" t="s">
        <v>90</v>
      </c>
      <c r="E4410" s="5">
        <v>2021</v>
      </c>
      <c r="F4410" s="5">
        <v>8</v>
      </c>
      <c r="G4410" s="5" t="s">
        <v>29</v>
      </c>
      <c r="H4410" s="5">
        <v>788224</v>
      </c>
      <c r="I4410" s="5">
        <v>643086.89</v>
      </c>
      <c r="J4410" s="5">
        <v>21</v>
      </c>
      <c r="K4410" s="5">
        <v>95077</v>
      </c>
      <c r="L4410" s="5">
        <v>882740</v>
      </c>
      <c r="M4410" s="5">
        <v>145137.10999999999</v>
      </c>
      <c r="N4410" s="5">
        <v>0.18410000000000001</v>
      </c>
      <c r="O4410" s="5">
        <v>0</v>
      </c>
      <c r="P4410" s="5">
        <v>0</v>
      </c>
    </row>
    <row r="4411" spans="1:16" x14ac:dyDescent="0.3">
      <c r="A4411" s="5">
        <v>115</v>
      </c>
      <c r="B4411" s="5" t="s">
        <v>162</v>
      </c>
      <c r="C4411" s="5">
        <v>6</v>
      </c>
      <c r="D4411" s="5" t="s">
        <v>90</v>
      </c>
      <c r="E4411" s="5">
        <v>2021</v>
      </c>
      <c r="F4411" s="5">
        <v>8</v>
      </c>
      <c r="G4411" s="5" t="s">
        <v>29</v>
      </c>
      <c r="H4411" s="5">
        <v>1945172</v>
      </c>
      <c r="I4411" s="5">
        <v>1569594.46</v>
      </c>
      <c r="J4411" s="5">
        <v>17</v>
      </c>
      <c r="K4411" s="5">
        <v>81226</v>
      </c>
      <c r="L4411" s="5">
        <v>2012590</v>
      </c>
      <c r="M4411" s="5">
        <v>375577.54</v>
      </c>
      <c r="N4411" s="5">
        <v>0.19309999999999999</v>
      </c>
      <c r="O4411" s="5">
        <v>0</v>
      </c>
      <c r="P4411" s="5">
        <v>0</v>
      </c>
    </row>
    <row r="4412" spans="1:16" x14ac:dyDescent="0.3">
      <c r="A4412" s="5">
        <v>1</v>
      </c>
      <c r="B4412" s="5" t="s">
        <v>162</v>
      </c>
      <c r="C4412" s="5">
        <v>6</v>
      </c>
      <c r="D4412" s="5" t="s">
        <v>90</v>
      </c>
      <c r="E4412" s="5">
        <v>2021</v>
      </c>
      <c r="F4412" s="5">
        <v>9</v>
      </c>
      <c r="G4412" s="5" t="s">
        <v>30</v>
      </c>
      <c r="H4412" s="5">
        <v>964251</v>
      </c>
      <c r="I4412" s="5">
        <v>847306.96</v>
      </c>
      <c r="J4412" s="5">
        <v>20</v>
      </c>
      <c r="K4412" s="5">
        <v>146282</v>
      </c>
      <c r="L4412" s="5">
        <v>1104780</v>
      </c>
      <c r="M4412" s="5">
        <v>116944.04</v>
      </c>
      <c r="N4412" s="5">
        <v>0.12130000000000001</v>
      </c>
      <c r="O4412" s="5">
        <v>2</v>
      </c>
      <c r="P4412" s="5">
        <v>52681</v>
      </c>
    </row>
    <row r="4413" spans="1:16" x14ac:dyDescent="0.3">
      <c r="A4413" s="5">
        <v>9</v>
      </c>
      <c r="B4413" s="5" t="s">
        <v>162</v>
      </c>
      <c r="C4413" s="5">
        <v>6</v>
      </c>
      <c r="D4413" s="5" t="s">
        <v>90</v>
      </c>
      <c r="E4413" s="5">
        <v>2021</v>
      </c>
      <c r="F4413" s="5">
        <v>9</v>
      </c>
      <c r="G4413" s="5" t="s">
        <v>30</v>
      </c>
      <c r="H4413" s="5">
        <v>1859831</v>
      </c>
      <c r="I4413" s="5">
        <v>1621897.73</v>
      </c>
      <c r="J4413" s="5">
        <v>18</v>
      </c>
      <c r="K4413" s="5">
        <v>153030</v>
      </c>
      <c r="L4413" s="5">
        <v>2008710</v>
      </c>
      <c r="M4413" s="5">
        <v>237933.27</v>
      </c>
      <c r="N4413" s="5">
        <v>0.12790000000000001</v>
      </c>
      <c r="O4413" s="5">
        <v>2</v>
      </c>
      <c r="P4413" s="5">
        <v>58825</v>
      </c>
    </row>
    <row r="4414" spans="1:16" x14ac:dyDescent="0.3">
      <c r="A4414" s="5">
        <v>36</v>
      </c>
      <c r="B4414" s="5" t="s">
        <v>162</v>
      </c>
      <c r="C4414" s="5">
        <v>6</v>
      </c>
      <c r="D4414" s="5" t="s">
        <v>90</v>
      </c>
      <c r="E4414" s="5">
        <v>2021</v>
      </c>
      <c r="F4414" s="5">
        <v>9</v>
      </c>
      <c r="G4414" s="5" t="s">
        <v>30</v>
      </c>
      <c r="H4414" s="5">
        <v>1414355</v>
      </c>
      <c r="I4414" s="5">
        <v>1263531.51</v>
      </c>
      <c r="J4414" s="5">
        <v>21</v>
      </c>
      <c r="K4414" s="5">
        <v>198259</v>
      </c>
      <c r="L4414" s="5">
        <v>1612080</v>
      </c>
      <c r="M4414" s="5">
        <v>150823.49</v>
      </c>
      <c r="N4414" s="5">
        <v>0.1066</v>
      </c>
      <c r="O4414" s="5">
        <v>3</v>
      </c>
      <c r="P4414" s="5">
        <v>323729</v>
      </c>
    </row>
    <row r="4415" spans="1:16" x14ac:dyDescent="0.3">
      <c r="A4415" s="5">
        <v>67</v>
      </c>
      <c r="B4415" s="5" t="s">
        <v>162</v>
      </c>
      <c r="C4415" s="5">
        <v>6</v>
      </c>
      <c r="D4415" s="5" t="s">
        <v>90</v>
      </c>
      <c r="E4415" s="5">
        <v>2021</v>
      </c>
      <c r="F4415" s="5">
        <v>9</v>
      </c>
      <c r="G4415" s="5" t="s">
        <v>30</v>
      </c>
      <c r="H4415" s="5">
        <v>1439095</v>
      </c>
      <c r="I4415" s="5">
        <v>1158410.53</v>
      </c>
      <c r="J4415" s="5">
        <v>28</v>
      </c>
      <c r="K4415" s="5">
        <v>134383</v>
      </c>
      <c r="L4415" s="5">
        <v>1568490</v>
      </c>
      <c r="M4415" s="5">
        <v>280684.46999999997</v>
      </c>
      <c r="N4415" s="5">
        <v>0.19500000000000001</v>
      </c>
      <c r="O4415" s="5">
        <v>3</v>
      </c>
      <c r="P4415" s="5">
        <v>116746</v>
      </c>
    </row>
    <row r="4416" spans="1:16" x14ac:dyDescent="0.3">
      <c r="A4416" s="5">
        <v>115</v>
      </c>
      <c r="B4416" s="5" t="s">
        <v>162</v>
      </c>
      <c r="C4416" s="5">
        <v>6</v>
      </c>
      <c r="D4416" s="5" t="s">
        <v>90</v>
      </c>
      <c r="E4416" s="5">
        <v>2021</v>
      </c>
      <c r="F4416" s="5">
        <v>9</v>
      </c>
      <c r="G4416" s="5" t="s">
        <v>30</v>
      </c>
      <c r="H4416" s="5">
        <v>770466</v>
      </c>
      <c r="I4416" s="5">
        <v>664386.9</v>
      </c>
      <c r="J4416" s="5">
        <v>17</v>
      </c>
      <c r="K4416" s="5">
        <v>85700</v>
      </c>
      <c r="L4416" s="5">
        <v>855050</v>
      </c>
      <c r="M4416" s="5">
        <v>106079.1</v>
      </c>
      <c r="N4416" s="5">
        <v>0.13769999999999999</v>
      </c>
      <c r="O4416" s="5">
        <v>1</v>
      </c>
      <c r="P4416" s="5">
        <v>1338</v>
      </c>
    </row>
    <row r="4417" spans="1:16" x14ac:dyDescent="0.3">
      <c r="A4417" s="5">
        <v>1</v>
      </c>
      <c r="B4417" s="5" t="s">
        <v>162</v>
      </c>
      <c r="C4417" s="5">
        <v>6</v>
      </c>
      <c r="D4417" s="5" t="s">
        <v>90</v>
      </c>
      <c r="E4417" s="5">
        <v>2021</v>
      </c>
      <c r="F4417" s="5">
        <v>10</v>
      </c>
      <c r="G4417" s="5" t="s">
        <v>31</v>
      </c>
      <c r="H4417" s="5">
        <v>1650597</v>
      </c>
      <c r="I4417" s="5">
        <v>1368688.96</v>
      </c>
      <c r="J4417" s="5">
        <v>34</v>
      </c>
      <c r="K4417" s="5">
        <v>111367</v>
      </c>
      <c r="L4417" s="5">
        <v>1753100</v>
      </c>
      <c r="M4417" s="5">
        <v>281908.03999999998</v>
      </c>
      <c r="N4417" s="5">
        <v>0.17080000000000001</v>
      </c>
      <c r="O4417" s="5">
        <v>3</v>
      </c>
      <c r="P4417" s="5">
        <v>160807</v>
      </c>
    </row>
    <row r="4418" spans="1:16" x14ac:dyDescent="0.3">
      <c r="A4418" s="5">
        <v>9</v>
      </c>
      <c r="B4418" s="5" t="s">
        <v>162</v>
      </c>
      <c r="C4418" s="5">
        <v>6</v>
      </c>
      <c r="D4418" s="5" t="s">
        <v>90</v>
      </c>
      <c r="E4418" s="5">
        <v>2021</v>
      </c>
      <c r="F4418" s="5">
        <v>10</v>
      </c>
      <c r="G4418" s="5" t="s">
        <v>31</v>
      </c>
      <c r="H4418" s="5">
        <v>1411216</v>
      </c>
      <c r="I4418" s="5">
        <v>1164817.7</v>
      </c>
      <c r="J4418" s="5">
        <v>21</v>
      </c>
      <c r="K4418" s="5">
        <v>82307</v>
      </c>
      <c r="L4418" s="5">
        <v>1492080</v>
      </c>
      <c r="M4418" s="5">
        <v>246398.3</v>
      </c>
      <c r="N4418" s="5">
        <v>0.17460000000000001</v>
      </c>
      <c r="O4418" s="5">
        <v>4</v>
      </c>
      <c r="P4418" s="5">
        <v>295453</v>
      </c>
    </row>
    <row r="4419" spans="1:16" x14ac:dyDescent="0.3">
      <c r="A4419" s="5">
        <v>36</v>
      </c>
      <c r="B4419" s="5" t="s">
        <v>162</v>
      </c>
      <c r="C4419" s="5">
        <v>6</v>
      </c>
      <c r="D4419" s="5" t="s">
        <v>90</v>
      </c>
      <c r="E4419" s="5">
        <v>2021</v>
      </c>
      <c r="F4419" s="5">
        <v>10</v>
      </c>
      <c r="G4419" s="5" t="s">
        <v>31</v>
      </c>
      <c r="H4419" s="5">
        <v>2010761</v>
      </c>
      <c r="I4419" s="5">
        <v>1671328.72</v>
      </c>
      <c r="J4419" s="5">
        <v>39</v>
      </c>
      <c r="K4419" s="5">
        <v>165091</v>
      </c>
      <c r="L4419" s="5">
        <v>2162910</v>
      </c>
      <c r="M4419" s="5">
        <v>339432.28</v>
      </c>
      <c r="N4419" s="5">
        <v>0.16880000000000001</v>
      </c>
      <c r="O4419" s="5">
        <v>3</v>
      </c>
      <c r="P4419" s="5">
        <v>67025</v>
      </c>
    </row>
    <row r="4420" spans="1:16" x14ac:dyDescent="0.3">
      <c r="A4420" s="5">
        <v>67</v>
      </c>
      <c r="B4420" s="5" t="s">
        <v>162</v>
      </c>
      <c r="C4420" s="5">
        <v>6</v>
      </c>
      <c r="D4420" s="5" t="s">
        <v>90</v>
      </c>
      <c r="E4420" s="5">
        <v>2021</v>
      </c>
      <c r="F4420" s="5">
        <v>10</v>
      </c>
      <c r="G4420" s="5" t="s">
        <v>31</v>
      </c>
      <c r="H4420" s="5">
        <v>1052638</v>
      </c>
      <c r="I4420" s="5">
        <v>865574.99</v>
      </c>
      <c r="J4420" s="5">
        <v>26</v>
      </c>
      <c r="K4420" s="5">
        <v>115624</v>
      </c>
      <c r="L4420" s="5">
        <v>1165990</v>
      </c>
      <c r="M4420" s="5">
        <v>187063.01</v>
      </c>
      <c r="N4420" s="5">
        <v>0.1777</v>
      </c>
      <c r="O4420" s="5">
        <v>4</v>
      </c>
      <c r="P4420" s="5">
        <v>84964</v>
      </c>
    </row>
    <row r="4421" spans="1:16" x14ac:dyDescent="0.3">
      <c r="A4421" s="5">
        <v>115</v>
      </c>
      <c r="B4421" s="5" t="s">
        <v>162</v>
      </c>
      <c r="C4421" s="5">
        <v>6</v>
      </c>
      <c r="D4421" s="5" t="s">
        <v>90</v>
      </c>
      <c r="E4421" s="5">
        <v>2021</v>
      </c>
      <c r="F4421" s="5">
        <v>10</v>
      </c>
      <c r="G4421" s="5" t="s">
        <v>31</v>
      </c>
      <c r="H4421" s="5">
        <v>1807674</v>
      </c>
      <c r="I4421" s="5">
        <v>1553470.75</v>
      </c>
      <c r="J4421" s="5">
        <v>23</v>
      </c>
      <c r="K4421" s="5">
        <v>151903</v>
      </c>
      <c r="L4421" s="5">
        <v>1954750</v>
      </c>
      <c r="M4421" s="5">
        <v>254203.25</v>
      </c>
      <c r="N4421" s="5">
        <v>0.1406</v>
      </c>
      <c r="O4421" s="5">
        <v>2</v>
      </c>
      <c r="P4421" s="5">
        <v>39565</v>
      </c>
    </row>
    <row r="4422" spans="1:16" x14ac:dyDescent="0.3">
      <c r="A4422" s="5">
        <v>1</v>
      </c>
      <c r="B4422" s="5" t="s">
        <v>162</v>
      </c>
      <c r="C4422" s="5">
        <v>6</v>
      </c>
      <c r="D4422" s="5" t="s">
        <v>90</v>
      </c>
      <c r="E4422" s="5">
        <v>2021</v>
      </c>
      <c r="F4422" s="5">
        <v>11</v>
      </c>
      <c r="G4422" s="5" t="s">
        <v>32</v>
      </c>
      <c r="H4422" s="5">
        <v>1648553</v>
      </c>
      <c r="I4422" s="5">
        <v>1331730.8</v>
      </c>
      <c r="J4422" s="5">
        <v>31</v>
      </c>
      <c r="K4422" s="5">
        <v>95941</v>
      </c>
      <c r="L4422" s="5">
        <v>1733540</v>
      </c>
      <c r="M4422" s="5">
        <v>316822.2</v>
      </c>
      <c r="N4422" s="5">
        <v>0.19220000000000001</v>
      </c>
      <c r="O4422" s="5">
        <v>2</v>
      </c>
      <c r="P4422" s="5">
        <v>27500</v>
      </c>
    </row>
    <row r="4423" spans="1:16" x14ac:dyDescent="0.3">
      <c r="A4423" s="5">
        <v>9</v>
      </c>
      <c r="B4423" s="5" t="s">
        <v>162</v>
      </c>
      <c r="C4423" s="5">
        <v>6</v>
      </c>
      <c r="D4423" s="5" t="s">
        <v>90</v>
      </c>
      <c r="E4423" s="5">
        <v>2021</v>
      </c>
      <c r="F4423" s="5">
        <v>11</v>
      </c>
      <c r="G4423" s="5" t="s">
        <v>32</v>
      </c>
      <c r="H4423" s="5">
        <v>1681100</v>
      </c>
      <c r="I4423" s="5">
        <v>1475730.92</v>
      </c>
      <c r="J4423" s="5">
        <v>25</v>
      </c>
      <c r="K4423" s="5">
        <v>208525</v>
      </c>
      <c r="L4423" s="5">
        <v>1889040</v>
      </c>
      <c r="M4423" s="5">
        <v>205369.08</v>
      </c>
      <c r="N4423" s="5">
        <v>0.1222</v>
      </c>
      <c r="O4423" s="5">
        <v>4</v>
      </c>
      <c r="P4423" s="5">
        <v>135541</v>
      </c>
    </row>
    <row r="4424" spans="1:16" x14ac:dyDescent="0.3">
      <c r="A4424" s="5">
        <v>36</v>
      </c>
      <c r="B4424" s="5" t="s">
        <v>162</v>
      </c>
      <c r="C4424" s="5">
        <v>6</v>
      </c>
      <c r="D4424" s="5" t="s">
        <v>90</v>
      </c>
      <c r="E4424" s="5">
        <v>2021</v>
      </c>
      <c r="F4424" s="5">
        <v>11</v>
      </c>
      <c r="G4424" s="5" t="s">
        <v>32</v>
      </c>
      <c r="H4424" s="5">
        <v>3098062</v>
      </c>
      <c r="I4424" s="5">
        <v>2617932.4700000002</v>
      </c>
      <c r="J4424" s="5">
        <v>32</v>
      </c>
      <c r="K4424" s="5">
        <v>264394</v>
      </c>
      <c r="L4424" s="5">
        <v>3358100</v>
      </c>
      <c r="M4424" s="5">
        <v>480129.53</v>
      </c>
      <c r="N4424" s="5">
        <v>0.155</v>
      </c>
      <c r="O4424" s="5">
        <v>3</v>
      </c>
      <c r="P4424" s="5">
        <v>56832</v>
      </c>
    </row>
    <row r="4425" spans="1:16" x14ac:dyDescent="0.3">
      <c r="A4425" s="5">
        <v>67</v>
      </c>
      <c r="B4425" s="5" t="s">
        <v>162</v>
      </c>
      <c r="C4425" s="5">
        <v>6</v>
      </c>
      <c r="D4425" s="5" t="s">
        <v>90</v>
      </c>
      <c r="E4425" s="5">
        <v>2021</v>
      </c>
      <c r="F4425" s="5">
        <v>11</v>
      </c>
      <c r="G4425" s="5" t="s">
        <v>32</v>
      </c>
      <c r="H4425" s="5">
        <v>2112080</v>
      </c>
      <c r="I4425" s="5">
        <v>1804739.75</v>
      </c>
      <c r="J4425" s="5">
        <v>31</v>
      </c>
      <c r="K4425" s="5">
        <v>158693</v>
      </c>
      <c r="L4425" s="5">
        <v>2268510</v>
      </c>
      <c r="M4425" s="5">
        <v>307340.25</v>
      </c>
      <c r="N4425" s="5">
        <v>0.14549999999999999</v>
      </c>
      <c r="O4425" s="5">
        <v>0</v>
      </c>
      <c r="P4425" s="5">
        <v>0</v>
      </c>
    </row>
    <row r="4426" spans="1:16" x14ac:dyDescent="0.3">
      <c r="A4426" s="5">
        <v>115</v>
      </c>
      <c r="B4426" s="5" t="s">
        <v>162</v>
      </c>
      <c r="C4426" s="5">
        <v>6</v>
      </c>
      <c r="D4426" s="5" t="s">
        <v>90</v>
      </c>
      <c r="E4426" s="5">
        <v>2021</v>
      </c>
      <c r="F4426" s="5">
        <v>11</v>
      </c>
      <c r="G4426" s="5" t="s">
        <v>32</v>
      </c>
      <c r="H4426" s="5">
        <v>1401571</v>
      </c>
      <c r="I4426" s="5">
        <v>1121440.42</v>
      </c>
      <c r="J4426" s="5">
        <v>22</v>
      </c>
      <c r="K4426" s="5">
        <v>42087</v>
      </c>
      <c r="L4426" s="5">
        <v>1436430</v>
      </c>
      <c r="M4426" s="5">
        <v>280130.58</v>
      </c>
      <c r="N4426" s="5">
        <v>0.19989999999999999</v>
      </c>
      <c r="O4426" s="5">
        <v>3</v>
      </c>
      <c r="P4426" s="5">
        <v>20432</v>
      </c>
    </row>
    <row r="4427" spans="1:16" x14ac:dyDescent="0.3">
      <c r="A4427" s="5">
        <v>1</v>
      </c>
      <c r="B4427" s="5" t="s">
        <v>162</v>
      </c>
      <c r="C4427" s="5">
        <v>6</v>
      </c>
      <c r="D4427" s="5" t="s">
        <v>90</v>
      </c>
      <c r="E4427" s="5">
        <v>2021</v>
      </c>
      <c r="F4427" s="5">
        <v>12</v>
      </c>
      <c r="G4427" s="5" t="s">
        <v>33</v>
      </c>
      <c r="H4427" s="5">
        <v>2681735</v>
      </c>
      <c r="I4427" s="5">
        <v>2177239.58</v>
      </c>
      <c r="J4427" s="5">
        <v>38</v>
      </c>
      <c r="K4427" s="5">
        <v>120759</v>
      </c>
      <c r="L4427" s="5">
        <v>2784250</v>
      </c>
      <c r="M4427" s="5">
        <v>504495.42</v>
      </c>
      <c r="N4427" s="5">
        <v>0.18809999999999999</v>
      </c>
      <c r="O4427" s="5">
        <v>5</v>
      </c>
      <c r="P4427" s="5">
        <v>134182</v>
      </c>
    </row>
    <row r="4428" spans="1:16" x14ac:dyDescent="0.3">
      <c r="A4428" s="5">
        <v>9</v>
      </c>
      <c r="B4428" s="5" t="s">
        <v>162</v>
      </c>
      <c r="C4428" s="5">
        <v>6</v>
      </c>
      <c r="D4428" s="5" t="s">
        <v>90</v>
      </c>
      <c r="E4428" s="5">
        <v>2021</v>
      </c>
      <c r="F4428" s="5">
        <v>12</v>
      </c>
      <c r="G4428" s="5" t="s">
        <v>33</v>
      </c>
      <c r="H4428" s="5">
        <v>1515882</v>
      </c>
      <c r="I4428" s="5">
        <v>1296369.8799999999</v>
      </c>
      <c r="J4428" s="5">
        <v>20</v>
      </c>
      <c r="K4428" s="5">
        <v>158371</v>
      </c>
      <c r="L4428" s="5">
        <v>1672900</v>
      </c>
      <c r="M4428" s="5">
        <v>219512.12</v>
      </c>
      <c r="N4428" s="5">
        <v>0.14480000000000001</v>
      </c>
      <c r="O4428" s="5">
        <v>2</v>
      </c>
      <c r="P4428" s="5">
        <v>15573</v>
      </c>
    </row>
    <row r="4429" spans="1:16" x14ac:dyDescent="0.3">
      <c r="A4429" s="5">
        <v>36</v>
      </c>
      <c r="B4429" s="5" t="s">
        <v>162</v>
      </c>
      <c r="C4429" s="5">
        <v>6</v>
      </c>
      <c r="D4429" s="5" t="s">
        <v>90</v>
      </c>
      <c r="E4429" s="5">
        <v>2021</v>
      </c>
      <c r="F4429" s="5">
        <v>12</v>
      </c>
      <c r="G4429" s="5" t="s">
        <v>33</v>
      </c>
      <c r="H4429" s="5">
        <v>1795941</v>
      </c>
      <c r="I4429" s="5">
        <v>1481121.07</v>
      </c>
      <c r="J4429" s="5">
        <v>26</v>
      </c>
      <c r="K4429" s="5">
        <v>160438</v>
      </c>
      <c r="L4429" s="5">
        <v>1952150</v>
      </c>
      <c r="M4429" s="5">
        <v>314819.93</v>
      </c>
      <c r="N4429" s="5">
        <v>0.17530000000000001</v>
      </c>
      <c r="O4429" s="5">
        <v>2</v>
      </c>
      <c r="P4429" s="5">
        <v>50214</v>
      </c>
    </row>
    <row r="4430" spans="1:16" x14ac:dyDescent="0.3">
      <c r="A4430" s="5">
        <v>67</v>
      </c>
      <c r="B4430" s="5" t="s">
        <v>162</v>
      </c>
      <c r="C4430" s="5">
        <v>6</v>
      </c>
      <c r="D4430" s="5" t="s">
        <v>90</v>
      </c>
      <c r="E4430" s="5">
        <v>2021</v>
      </c>
      <c r="F4430" s="5">
        <v>12</v>
      </c>
      <c r="G4430" s="5" t="s">
        <v>33</v>
      </c>
      <c r="H4430" s="5">
        <v>2988150</v>
      </c>
      <c r="I4430" s="5">
        <v>2482729.04</v>
      </c>
      <c r="J4430" s="5">
        <v>35</v>
      </c>
      <c r="K4430" s="5">
        <v>243707</v>
      </c>
      <c r="L4430" s="5">
        <v>3227430</v>
      </c>
      <c r="M4430" s="5">
        <v>505420.96</v>
      </c>
      <c r="N4430" s="5">
        <v>0.1691</v>
      </c>
      <c r="O4430" s="5">
        <v>6</v>
      </c>
      <c r="P4430" s="5">
        <v>25677</v>
      </c>
    </row>
    <row r="4431" spans="1:16" x14ac:dyDescent="0.3">
      <c r="A4431" s="5">
        <v>115</v>
      </c>
      <c r="B4431" s="5" t="s">
        <v>162</v>
      </c>
      <c r="C4431" s="5">
        <v>6</v>
      </c>
      <c r="D4431" s="5" t="s">
        <v>90</v>
      </c>
      <c r="E4431" s="5">
        <v>2021</v>
      </c>
      <c r="F4431" s="5">
        <v>12</v>
      </c>
      <c r="G4431" s="5" t="s">
        <v>33</v>
      </c>
      <c r="H4431" s="5">
        <v>1281651</v>
      </c>
      <c r="I4431" s="5">
        <v>1046615.66</v>
      </c>
      <c r="J4431" s="5">
        <v>19</v>
      </c>
      <c r="K4431" s="5">
        <v>56403</v>
      </c>
      <c r="L4431" s="5">
        <v>1336840</v>
      </c>
      <c r="M4431" s="5">
        <v>235035.34</v>
      </c>
      <c r="N4431" s="5">
        <v>0.18340000000000001</v>
      </c>
      <c r="O4431" s="5">
        <v>2</v>
      </c>
      <c r="P4431" s="5">
        <v>36732</v>
      </c>
    </row>
    <row r="4432" spans="1:16" x14ac:dyDescent="0.3">
      <c r="A4432" s="5">
        <v>1</v>
      </c>
      <c r="B4432" s="5" t="s">
        <v>162</v>
      </c>
      <c r="C4432" s="5">
        <v>6</v>
      </c>
      <c r="D4432" s="5" t="s">
        <v>90</v>
      </c>
      <c r="E4432" s="5">
        <v>2022</v>
      </c>
      <c r="F4432" s="5">
        <v>1</v>
      </c>
      <c r="G4432" s="5" t="s">
        <v>34</v>
      </c>
      <c r="H4432" s="5">
        <v>2120196</v>
      </c>
      <c r="I4432" s="5">
        <v>1796675.04</v>
      </c>
      <c r="J4432" s="5">
        <v>30</v>
      </c>
      <c r="K4432" s="5">
        <v>163099</v>
      </c>
      <c r="L4432" s="5">
        <v>2277400</v>
      </c>
      <c r="M4432" s="5">
        <v>323520.96000000002</v>
      </c>
      <c r="N4432" s="5">
        <v>0.15260000000000001</v>
      </c>
      <c r="O4432" s="5">
        <v>3</v>
      </c>
      <c r="P4432" s="5">
        <v>145961</v>
      </c>
    </row>
    <row r="4433" spans="1:16" x14ac:dyDescent="0.3">
      <c r="A4433" s="5">
        <v>9</v>
      </c>
      <c r="B4433" s="5" t="s">
        <v>162</v>
      </c>
      <c r="C4433" s="5">
        <v>6</v>
      </c>
      <c r="D4433" s="5" t="s">
        <v>90</v>
      </c>
      <c r="E4433" s="5">
        <v>2022</v>
      </c>
      <c r="F4433" s="5">
        <v>1</v>
      </c>
      <c r="G4433" s="5" t="s">
        <v>34</v>
      </c>
      <c r="H4433" s="5">
        <v>1429323</v>
      </c>
      <c r="I4433" s="5">
        <v>1207465.25</v>
      </c>
      <c r="J4433" s="5">
        <v>22</v>
      </c>
      <c r="K4433" s="5">
        <v>122980</v>
      </c>
      <c r="L4433" s="5">
        <v>1541630</v>
      </c>
      <c r="M4433" s="5">
        <v>221857.75</v>
      </c>
      <c r="N4433" s="5">
        <v>0.1552</v>
      </c>
      <c r="O4433" s="5">
        <v>3</v>
      </c>
      <c r="P4433" s="5">
        <v>264779</v>
      </c>
    </row>
    <row r="4434" spans="1:16" x14ac:dyDescent="0.3">
      <c r="A4434" s="5">
        <v>36</v>
      </c>
      <c r="B4434" s="5" t="s">
        <v>162</v>
      </c>
      <c r="C4434" s="5">
        <v>6</v>
      </c>
      <c r="D4434" s="5" t="s">
        <v>90</v>
      </c>
      <c r="E4434" s="5">
        <v>2022</v>
      </c>
      <c r="F4434" s="5">
        <v>1</v>
      </c>
      <c r="G4434" s="5" t="s">
        <v>34</v>
      </c>
      <c r="H4434" s="5">
        <v>2378597</v>
      </c>
      <c r="I4434" s="5">
        <v>1947665.62</v>
      </c>
      <c r="J4434" s="5">
        <v>27</v>
      </c>
      <c r="K4434" s="5">
        <v>114336</v>
      </c>
      <c r="L4434" s="5">
        <v>2482320</v>
      </c>
      <c r="M4434" s="5">
        <v>430931.38</v>
      </c>
      <c r="N4434" s="5">
        <v>0.1812</v>
      </c>
      <c r="O4434" s="5">
        <v>3</v>
      </c>
      <c r="P4434" s="5">
        <v>135812</v>
      </c>
    </row>
    <row r="4435" spans="1:16" x14ac:dyDescent="0.3">
      <c r="A4435" s="5">
        <v>67</v>
      </c>
      <c r="B4435" s="5" t="s">
        <v>162</v>
      </c>
      <c r="C4435" s="5">
        <v>6</v>
      </c>
      <c r="D4435" s="5" t="s">
        <v>90</v>
      </c>
      <c r="E4435" s="5">
        <v>2022</v>
      </c>
      <c r="F4435" s="5">
        <v>1</v>
      </c>
      <c r="G4435" s="5" t="s">
        <v>34</v>
      </c>
      <c r="H4435" s="5">
        <v>1947593</v>
      </c>
      <c r="I4435" s="5">
        <v>1650412.93</v>
      </c>
      <c r="J4435" s="5">
        <v>28</v>
      </c>
      <c r="K4435" s="5">
        <v>171381</v>
      </c>
      <c r="L4435" s="5">
        <v>2110150</v>
      </c>
      <c r="M4435" s="5">
        <v>297180.07</v>
      </c>
      <c r="N4435" s="5">
        <v>0.15260000000000001</v>
      </c>
      <c r="O4435" s="5">
        <v>2</v>
      </c>
      <c r="P4435" s="5">
        <v>76454</v>
      </c>
    </row>
    <row r="4436" spans="1:16" x14ac:dyDescent="0.3">
      <c r="A4436" s="5">
        <v>115</v>
      </c>
      <c r="B4436" s="5" t="s">
        <v>162</v>
      </c>
      <c r="C4436" s="5">
        <v>6</v>
      </c>
      <c r="D4436" s="5" t="s">
        <v>90</v>
      </c>
      <c r="E4436" s="5">
        <v>2022</v>
      </c>
      <c r="F4436" s="5">
        <v>1</v>
      </c>
      <c r="G4436" s="5" t="s">
        <v>34</v>
      </c>
      <c r="H4436" s="5">
        <v>768845</v>
      </c>
      <c r="I4436" s="5">
        <v>609570.4</v>
      </c>
      <c r="J4436" s="5">
        <v>21</v>
      </c>
      <c r="K4436" s="5">
        <v>44218</v>
      </c>
      <c r="L4436" s="5">
        <v>811770</v>
      </c>
      <c r="M4436" s="5">
        <v>159274.6</v>
      </c>
      <c r="N4436" s="5">
        <v>0.2072</v>
      </c>
      <c r="O4436" s="5">
        <v>0</v>
      </c>
      <c r="P4436" s="5">
        <v>0</v>
      </c>
    </row>
    <row r="4437" spans="1:16" x14ac:dyDescent="0.3">
      <c r="A4437" s="5">
        <v>1</v>
      </c>
      <c r="B4437" s="5" t="s">
        <v>162</v>
      </c>
      <c r="C4437" s="5">
        <v>6</v>
      </c>
      <c r="D4437" s="5" t="s">
        <v>90</v>
      </c>
      <c r="E4437" s="5">
        <v>2022</v>
      </c>
      <c r="F4437" s="5">
        <v>2</v>
      </c>
      <c r="G4437" s="5" t="s">
        <v>35</v>
      </c>
      <c r="H4437" s="5">
        <v>1385795</v>
      </c>
      <c r="I4437" s="5">
        <v>1196414.98</v>
      </c>
      <c r="J4437" s="5">
        <v>24</v>
      </c>
      <c r="K4437" s="5">
        <v>127793</v>
      </c>
      <c r="L4437" s="5">
        <v>1507640</v>
      </c>
      <c r="M4437" s="5">
        <v>189380.02</v>
      </c>
      <c r="N4437" s="5">
        <v>0.13669999999999999</v>
      </c>
      <c r="O4437" s="5">
        <v>0</v>
      </c>
      <c r="P4437" s="5">
        <v>0</v>
      </c>
    </row>
    <row r="4438" spans="1:16" x14ac:dyDescent="0.3">
      <c r="A4438" s="5">
        <v>9</v>
      </c>
      <c r="B4438" s="5" t="s">
        <v>162</v>
      </c>
      <c r="C4438" s="5">
        <v>6</v>
      </c>
      <c r="D4438" s="5" t="s">
        <v>90</v>
      </c>
      <c r="E4438" s="5">
        <v>2022</v>
      </c>
      <c r="F4438" s="5">
        <v>2</v>
      </c>
      <c r="G4438" s="5" t="s">
        <v>35</v>
      </c>
      <c r="H4438" s="5">
        <v>648250</v>
      </c>
      <c r="I4438" s="5">
        <v>521470.11</v>
      </c>
      <c r="J4438" s="5">
        <v>11</v>
      </c>
      <c r="K4438" s="5">
        <v>20432</v>
      </c>
      <c r="L4438" s="5">
        <v>666760</v>
      </c>
      <c r="M4438" s="5">
        <v>126779.89</v>
      </c>
      <c r="N4438" s="5">
        <v>0.1956</v>
      </c>
      <c r="O4438" s="5">
        <v>0</v>
      </c>
      <c r="P4438" s="5">
        <v>0</v>
      </c>
    </row>
    <row r="4439" spans="1:16" x14ac:dyDescent="0.3">
      <c r="A4439" s="5">
        <v>36</v>
      </c>
      <c r="B4439" s="5" t="s">
        <v>162</v>
      </c>
      <c r="C4439" s="5">
        <v>6</v>
      </c>
      <c r="D4439" s="5" t="s">
        <v>90</v>
      </c>
      <c r="E4439" s="5">
        <v>2022</v>
      </c>
      <c r="F4439" s="5">
        <v>2</v>
      </c>
      <c r="G4439" s="5" t="s">
        <v>35</v>
      </c>
      <c r="H4439" s="5">
        <v>1256108</v>
      </c>
      <c r="I4439" s="5">
        <v>1022071.43</v>
      </c>
      <c r="J4439" s="5">
        <v>29</v>
      </c>
      <c r="K4439" s="5">
        <v>84743</v>
      </c>
      <c r="L4439" s="5">
        <v>1338750</v>
      </c>
      <c r="M4439" s="5">
        <v>234036.57</v>
      </c>
      <c r="N4439" s="5">
        <v>0.18629999999999999</v>
      </c>
      <c r="O4439" s="5">
        <v>2</v>
      </c>
      <c r="P4439" s="5">
        <v>8862</v>
      </c>
    </row>
    <row r="4440" spans="1:16" x14ac:dyDescent="0.3">
      <c r="A4440" s="5">
        <v>67</v>
      </c>
      <c r="B4440" s="5" t="s">
        <v>162</v>
      </c>
      <c r="C4440" s="5">
        <v>6</v>
      </c>
      <c r="D4440" s="5" t="s">
        <v>90</v>
      </c>
      <c r="E4440" s="5">
        <v>2022</v>
      </c>
      <c r="F4440" s="5">
        <v>2</v>
      </c>
      <c r="G4440" s="5" t="s">
        <v>35</v>
      </c>
      <c r="H4440" s="5">
        <v>1682545</v>
      </c>
      <c r="I4440" s="5">
        <v>1408912.51</v>
      </c>
      <c r="J4440" s="5">
        <v>26</v>
      </c>
      <c r="K4440" s="5">
        <v>119744</v>
      </c>
      <c r="L4440" s="5">
        <v>1792730</v>
      </c>
      <c r="M4440" s="5">
        <v>273632.49</v>
      </c>
      <c r="N4440" s="5">
        <v>0.16259999999999999</v>
      </c>
      <c r="O4440" s="5">
        <v>4</v>
      </c>
      <c r="P4440" s="5">
        <v>146591</v>
      </c>
    </row>
    <row r="4441" spans="1:16" x14ac:dyDescent="0.3">
      <c r="A4441" s="5">
        <v>115</v>
      </c>
      <c r="B4441" s="5" t="s">
        <v>162</v>
      </c>
      <c r="C4441" s="5">
        <v>6</v>
      </c>
      <c r="D4441" s="5" t="s">
        <v>90</v>
      </c>
      <c r="E4441" s="5">
        <v>2022</v>
      </c>
      <c r="F4441" s="5">
        <v>2</v>
      </c>
      <c r="G4441" s="5" t="s">
        <v>35</v>
      </c>
      <c r="H4441" s="5">
        <v>2438934</v>
      </c>
      <c r="I4441" s="5">
        <v>1970746.13</v>
      </c>
      <c r="J4441" s="5">
        <v>18</v>
      </c>
      <c r="K4441" s="5">
        <v>31790</v>
      </c>
      <c r="L4441" s="5">
        <v>2440180</v>
      </c>
      <c r="M4441" s="5">
        <v>468187.87</v>
      </c>
      <c r="N4441" s="5">
        <v>0.192</v>
      </c>
      <c r="O4441" s="5">
        <v>0</v>
      </c>
      <c r="P4441" s="5">
        <v>0</v>
      </c>
    </row>
    <row r="4442" spans="1:16" x14ac:dyDescent="0.3">
      <c r="A4442" s="5">
        <v>1</v>
      </c>
      <c r="B4442" s="5" t="s">
        <v>162</v>
      </c>
      <c r="C4442" s="5">
        <v>6</v>
      </c>
      <c r="D4442" s="5" t="s">
        <v>90</v>
      </c>
      <c r="E4442" s="5">
        <v>2022</v>
      </c>
      <c r="F4442" s="5">
        <v>3</v>
      </c>
      <c r="G4442" s="5" t="s">
        <v>36</v>
      </c>
      <c r="H4442" s="5">
        <v>1258376</v>
      </c>
      <c r="I4442" s="5">
        <v>1058444.06</v>
      </c>
      <c r="J4442" s="5">
        <v>18</v>
      </c>
      <c r="K4442" s="5">
        <v>80817</v>
      </c>
      <c r="L4442" s="5">
        <v>1335370</v>
      </c>
      <c r="M4442" s="5">
        <v>199931.94</v>
      </c>
      <c r="N4442" s="5">
        <v>0.15890000000000001</v>
      </c>
      <c r="O4442" s="5">
        <v>1</v>
      </c>
      <c r="P4442" s="5">
        <v>17476</v>
      </c>
    </row>
    <row r="4443" spans="1:16" x14ac:dyDescent="0.3">
      <c r="A4443" s="5">
        <v>9</v>
      </c>
      <c r="B4443" s="5" t="s">
        <v>162</v>
      </c>
      <c r="C4443" s="5">
        <v>6</v>
      </c>
      <c r="D4443" s="5" t="s">
        <v>90</v>
      </c>
      <c r="E4443" s="5">
        <v>2022</v>
      </c>
      <c r="F4443" s="5">
        <v>3</v>
      </c>
      <c r="G4443" s="5" t="s">
        <v>36</v>
      </c>
      <c r="H4443" s="5">
        <v>2139139</v>
      </c>
      <c r="I4443" s="5">
        <v>1813079.83</v>
      </c>
      <c r="J4443" s="5">
        <v>36</v>
      </c>
      <c r="K4443" s="5">
        <v>259492</v>
      </c>
      <c r="L4443" s="5">
        <v>2396730</v>
      </c>
      <c r="M4443" s="5">
        <v>326059.17</v>
      </c>
      <c r="N4443" s="5">
        <v>0.15240000000000001</v>
      </c>
      <c r="O4443" s="5">
        <v>2</v>
      </c>
      <c r="P4443" s="5">
        <v>149048</v>
      </c>
    </row>
    <row r="4444" spans="1:16" x14ac:dyDescent="0.3">
      <c r="A4444" s="5">
        <v>36</v>
      </c>
      <c r="B4444" s="5" t="s">
        <v>162</v>
      </c>
      <c r="C4444" s="5">
        <v>6</v>
      </c>
      <c r="D4444" s="5" t="s">
        <v>90</v>
      </c>
      <c r="E4444" s="5">
        <v>2022</v>
      </c>
      <c r="F4444" s="5">
        <v>3</v>
      </c>
      <c r="G4444" s="5" t="s">
        <v>36</v>
      </c>
      <c r="H4444" s="5">
        <v>1185571</v>
      </c>
      <c r="I4444" s="5">
        <v>987097.01</v>
      </c>
      <c r="J4444" s="5">
        <v>18</v>
      </c>
      <c r="K4444" s="5">
        <v>79198</v>
      </c>
      <c r="L4444" s="5">
        <v>1264630</v>
      </c>
      <c r="M4444" s="5">
        <v>198473.99</v>
      </c>
      <c r="N4444" s="5">
        <v>0.16739999999999999</v>
      </c>
      <c r="O4444" s="5">
        <v>0</v>
      </c>
      <c r="P4444" s="5">
        <v>0</v>
      </c>
    </row>
    <row r="4445" spans="1:16" x14ac:dyDescent="0.3">
      <c r="A4445" s="5">
        <v>67</v>
      </c>
      <c r="B4445" s="5" t="s">
        <v>162</v>
      </c>
      <c r="C4445" s="5">
        <v>6</v>
      </c>
      <c r="D4445" s="5" t="s">
        <v>90</v>
      </c>
      <c r="E4445" s="5">
        <v>2022</v>
      </c>
      <c r="F4445" s="5">
        <v>3</v>
      </c>
      <c r="G4445" s="5" t="s">
        <v>36</v>
      </c>
      <c r="H4445" s="5">
        <v>2952357</v>
      </c>
      <c r="I4445" s="5">
        <v>2654686.62</v>
      </c>
      <c r="J4445" s="5">
        <v>39</v>
      </c>
      <c r="K4445" s="5">
        <v>444165</v>
      </c>
      <c r="L4445" s="5">
        <v>3383090</v>
      </c>
      <c r="M4445" s="5">
        <v>297670.38</v>
      </c>
      <c r="N4445" s="5">
        <v>0.1008</v>
      </c>
      <c r="O4445" s="5">
        <v>3</v>
      </c>
      <c r="P4445" s="5">
        <v>265949</v>
      </c>
    </row>
    <row r="4446" spans="1:16" x14ac:dyDescent="0.3">
      <c r="A4446" s="5">
        <v>115</v>
      </c>
      <c r="B4446" s="5" t="s">
        <v>162</v>
      </c>
      <c r="C4446" s="5">
        <v>6</v>
      </c>
      <c r="D4446" s="5" t="s">
        <v>90</v>
      </c>
      <c r="E4446" s="5">
        <v>2022</v>
      </c>
      <c r="F4446" s="5">
        <v>3</v>
      </c>
      <c r="G4446" s="5" t="s">
        <v>36</v>
      </c>
      <c r="H4446" s="5">
        <v>2895419</v>
      </c>
      <c r="I4446" s="5">
        <v>2698710.84</v>
      </c>
      <c r="J4446" s="5">
        <v>31</v>
      </c>
      <c r="K4446" s="5">
        <v>566353</v>
      </c>
      <c r="L4446" s="5">
        <v>3454570</v>
      </c>
      <c r="M4446" s="5">
        <v>196708.16</v>
      </c>
      <c r="N4446" s="5">
        <v>6.7900000000000002E-2</v>
      </c>
      <c r="O4446" s="5">
        <v>2</v>
      </c>
      <c r="P4446" s="5">
        <v>196116</v>
      </c>
    </row>
    <row r="4447" spans="1:16" x14ac:dyDescent="0.3">
      <c r="A4447" s="5">
        <v>1</v>
      </c>
      <c r="B4447" s="5" t="s">
        <v>162</v>
      </c>
      <c r="C4447" s="5">
        <v>6</v>
      </c>
      <c r="D4447" s="5" t="s">
        <v>90</v>
      </c>
      <c r="E4447" s="5">
        <v>2022</v>
      </c>
      <c r="F4447" s="5">
        <v>4</v>
      </c>
      <c r="G4447" s="5" t="s">
        <v>37</v>
      </c>
      <c r="H4447" s="5">
        <v>1659762</v>
      </c>
      <c r="I4447" s="5">
        <v>1486098.48</v>
      </c>
      <c r="J4447" s="5">
        <v>38</v>
      </c>
      <c r="K4447" s="5">
        <v>268047</v>
      </c>
      <c r="L4447" s="5">
        <v>1921030</v>
      </c>
      <c r="M4447" s="5">
        <v>173663.52</v>
      </c>
      <c r="N4447" s="5">
        <v>0.1046</v>
      </c>
      <c r="O4447" s="5">
        <v>2</v>
      </c>
      <c r="P4447" s="5">
        <v>61500</v>
      </c>
    </row>
    <row r="4448" spans="1:16" x14ac:dyDescent="0.3">
      <c r="A4448" s="5">
        <v>9</v>
      </c>
      <c r="B4448" s="5" t="s">
        <v>162</v>
      </c>
      <c r="C4448" s="5">
        <v>6</v>
      </c>
      <c r="D4448" s="5" t="s">
        <v>90</v>
      </c>
      <c r="E4448" s="5">
        <v>2022</v>
      </c>
      <c r="F4448" s="5">
        <v>4</v>
      </c>
      <c r="G4448" s="5" t="s">
        <v>37</v>
      </c>
      <c r="H4448" s="5">
        <v>1684543</v>
      </c>
      <c r="I4448" s="5">
        <v>1401759.43</v>
      </c>
      <c r="J4448" s="5">
        <v>23</v>
      </c>
      <c r="K4448" s="5">
        <v>148816</v>
      </c>
      <c r="L4448" s="5">
        <v>1826610</v>
      </c>
      <c r="M4448" s="5">
        <v>282783.57</v>
      </c>
      <c r="N4448" s="5">
        <v>0.16789999999999999</v>
      </c>
      <c r="O4448" s="5">
        <v>8</v>
      </c>
      <c r="P4448" s="5">
        <v>506204</v>
      </c>
    </row>
    <row r="4449" spans="1:16" x14ac:dyDescent="0.3">
      <c r="A4449" s="5">
        <v>36</v>
      </c>
      <c r="B4449" s="5" t="s">
        <v>162</v>
      </c>
      <c r="C4449" s="5">
        <v>6</v>
      </c>
      <c r="D4449" s="5" t="s">
        <v>90</v>
      </c>
      <c r="E4449" s="5">
        <v>2022</v>
      </c>
      <c r="F4449" s="5">
        <v>4</v>
      </c>
      <c r="G4449" s="5" t="s">
        <v>37</v>
      </c>
      <c r="H4449" s="5">
        <v>1482711</v>
      </c>
      <c r="I4449" s="5">
        <v>1319239.74</v>
      </c>
      <c r="J4449" s="5">
        <v>32</v>
      </c>
      <c r="K4449" s="5">
        <v>220252</v>
      </c>
      <c r="L4449" s="5">
        <v>1700380</v>
      </c>
      <c r="M4449" s="5">
        <v>163471.26</v>
      </c>
      <c r="N4449" s="5">
        <v>0.1103</v>
      </c>
      <c r="O4449" s="5">
        <v>0</v>
      </c>
      <c r="P4449" s="5">
        <v>0</v>
      </c>
    </row>
    <row r="4450" spans="1:16" x14ac:dyDescent="0.3">
      <c r="A4450" s="5">
        <v>67</v>
      </c>
      <c r="B4450" s="5" t="s">
        <v>162</v>
      </c>
      <c r="C4450" s="5">
        <v>6</v>
      </c>
      <c r="D4450" s="5" t="s">
        <v>90</v>
      </c>
      <c r="E4450" s="5">
        <v>2022</v>
      </c>
      <c r="F4450" s="5">
        <v>4</v>
      </c>
      <c r="G4450" s="5" t="s">
        <v>37</v>
      </c>
      <c r="H4450" s="5">
        <v>1232730</v>
      </c>
      <c r="I4450" s="5">
        <v>1040185.01</v>
      </c>
      <c r="J4450" s="5">
        <v>23</v>
      </c>
      <c r="K4450" s="5">
        <v>126355</v>
      </c>
      <c r="L4450" s="5">
        <v>1354890</v>
      </c>
      <c r="M4450" s="5">
        <v>192544.99</v>
      </c>
      <c r="N4450" s="5">
        <v>0.15620000000000001</v>
      </c>
      <c r="O4450" s="5">
        <v>2</v>
      </c>
      <c r="P4450" s="5">
        <v>32061</v>
      </c>
    </row>
    <row r="4451" spans="1:16" x14ac:dyDescent="0.3">
      <c r="A4451" s="5">
        <v>115</v>
      </c>
      <c r="B4451" s="5" t="s">
        <v>162</v>
      </c>
      <c r="C4451" s="5">
        <v>6</v>
      </c>
      <c r="D4451" s="5" t="s">
        <v>90</v>
      </c>
      <c r="E4451" s="5">
        <v>2022</v>
      </c>
      <c r="F4451" s="5">
        <v>4</v>
      </c>
      <c r="G4451" s="5" t="s">
        <v>37</v>
      </c>
      <c r="H4451" s="5">
        <v>1643317</v>
      </c>
      <c r="I4451" s="5">
        <v>1304742.56</v>
      </c>
      <c r="J4451" s="5">
        <v>23</v>
      </c>
      <c r="K4451" s="5">
        <v>141421</v>
      </c>
      <c r="L4451" s="5">
        <v>1777350</v>
      </c>
      <c r="M4451" s="5">
        <v>338574.44</v>
      </c>
      <c r="N4451" s="5">
        <v>0.20599999999999999</v>
      </c>
      <c r="O4451" s="5">
        <v>0</v>
      </c>
      <c r="P4451" s="5">
        <v>0</v>
      </c>
    </row>
    <row r="4452" spans="1:16" x14ac:dyDescent="0.3">
      <c r="A4452" s="5">
        <v>1</v>
      </c>
      <c r="B4452" s="5" t="s">
        <v>162</v>
      </c>
      <c r="C4452" s="5">
        <v>6</v>
      </c>
      <c r="D4452" s="5" t="s">
        <v>90</v>
      </c>
      <c r="E4452" s="5">
        <v>2022</v>
      </c>
      <c r="F4452" s="5">
        <v>5</v>
      </c>
      <c r="G4452" s="5" t="s">
        <v>38</v>
      </c>
      <c r="H4452" s="5">
        <v>2723059</v>
      </c>
      <c r="I4452" s="5">
        <v>2313682.7400000002</v>
      </c>
      <c r="J4452" s="5">
        <v>43</v>
      </c>
      <c r="K4452" s="5">
        <v>311544</v>
      </c>
      <c r="L4452" s="5">
        <v>3022340</v>
      </c>
      <c r="M4452" s="5">
        <v>409376.26</v>
      </c>
      <c r="N4452" s="5">
        <v>0.15029999999999999</v>
      </c>
      <c r="O4452" s="5">
        <v>2</v>
      </c>
      <c r="P4452" s="5">
        <v>5534</v>
      </c>
    </row>
    <row r="4453" spans="1:16" x14ac:dyDescent="0.3">
      <c r="A4453" s="5">
        <v>9</v>
      </c>
      <c r="B4453" s="5" t="s">
        <v>162</v>
      </c>
      <c r="C4453" s="5">
        <v>6</v>
      </c>
      <c r="D4453" s="5" t="s">
        <v>90</v>
      </c>
      <c r="E4453" s="5">
        <v>2022</v>
      </c>
      <c r="F4453" s="5">
        <v>5</v>
      </c>
      <c r="G4453" s="5" t="s">
        <v>38</v>
      </c>
      <c r="H4453" s="5">
        <v>2306382</v>
      </c>
      <c r="I4453" s="5">
        <v>1826446.51</v>
      </c>
      <c r="J4453" s="5">
        <v>32</v>
      </c>
      <c r="K4453" s="5">
        <v>145178</v>
      </c>
      <c r="L4453" s="5">
        <v>2438180</v>
      </c>
      <c r="M4453" s="5">
        <v>479935.49</v>
      </c>
      <c r="N4453" s="5">
        <v>0.20810000000000001</v>
      </c>
      <c r="O4453" s="5">
        <v>1</v>
      </c>
      <c r="P4453" s="5">
        <v>4307</v>
      </c>
    </row>
    <row r="4454" spans="1:16" x14ac:dyDescent="0.3">
      <c r="A4454" s="5">
        <v>36</v>
      </c>
      <c r="B4454" s="5" t="s">
        <v>162</v>
      </c>
      <c r="C4454" s="5">
        <v>6</v>
      </c>
      <c r="D4454" s="5" t="s">
        <v>90</v>
      </c>
      <c r="E4454" s="5">
        <v>2022</v>
      </c>
      <c r="F4454" s="5">
        <v>5</v>
      </c>
      <c r="G4454" s="5" t="s">
        <v>38</v>
      </c>
      <c r="H4454" s="5">
        <v>1941880</v>
      </c>
      <c r="I4454" s="5">
        <v>1657752.53</v>
      </c>
      <c r="J4454" s="5">
        <v>29</v>
      </c>
      <c r="K4454" s="5">
        <v>184545</v>
      </c>
      <c r="L4454" s="5">
        <v>2119210</v>
      </c>
      <c r="M4454" s="5">
        <v>284127.46999999997</v>
      </c>
      <c r="N4454" s="5">
        <v>0.14630000000000001</v>
      </c>
      <c r="O4454" s="5">
        <v>4</v>
      </c>
      <c r="P4454" s="5">
        <v>101353</v>
      </c>
    </row>
    <row r="4455" spans="1:16" x14ac:dyDescent="0.3">
      <c r="A4455" s="5">
        <v>67</v>
      </c>
      <c r="B4455" s="5" t="s">
        <v>162</v>
      </c>
      <c r="C4455" s="5">
        <v>6</v>
      </c>
      <c r="D4455" s="5" t="s">
        <v>90</v>
      </c>
      <c r="E4455" s="5">
        <v>2022</v>
      </c>
      <c r="F4455" s="5">
        <v>5</v>
      </c>
      <c r="G4455" s="5" t="s">
        <v>38</v>
      </c>
      <c r="H4455" s="5">
        <v>2327128</v>
      </c>
      <c r="I4455" s="5">
        <v>2044013.55</v>
      </c>
      <c r="J4455" s="5">
        <v>34</v>
      </c>
      <c r="K4455" s="5">
        <v>342547</v>
      </c>
      <c r="L4455" s="5">
        <v>2658280</v>
      </c>
      <c r="M4455" s="5">
        <v>283114.45</v>
      </c>
      <c r="N4455" s="5">
        <v>0.1217</v>
      </c>
      <c r="O4455" s="5">
        <v>2</v>
      </c>
      <c r="P4455" s="5">
        <v>6894</v>
      </c>
    </row>
    <row r="4456" spans="1:16" x14ac:dyDescent="0.3">
      <c r="A4456" s="5">
        <v>115</v>
      </c>
      <c r="B4456" s="5" t="s">
        <v>162</v>
      </c>
      <c r="C4456" s="5">
        <v>6</v>
      </c>
      <c r="D4456" s="5" t="s">
        <v>90</v>
      </c>
      <c r="E4456" s="5">
        <v>2022</v>
      </c>
      <c r="F4456" s="5">
        <v>5</v>
      </c>
      <c r="G4456" s="5" t="s">
        <v>38</v>
      </c>
      <c r="H4456" s="5">
        <v>957164</v>
      </c>
      <c r="I4456" s="5">
        <v>743813.1</v>
      </c>
      <c r="J4456" s="5">
        <v>24</v>
      </c>
      <c r="K4456" s="5">
        <v>44164</v>
      </c>
      <c r="L4456" s="5">
        <v>993220</v>
      </c>
      <c r="M4456" s="5">
        <v>213350.9</v>
      </c>
      <c r="N4456" s="5">
        <v>0.22289999999999999</v>
      </c>
      <c r="O4456" s="5">
        <v>1</v>
      </c>
      <c r="P4456" s="5">
        <v>2820</v>
      </c>
    </row>
    <row r="4457" spans="1:16" x14ac:dyDescent="0.3">
      <c r="A4457" s="5">
        <v>1</v>
      </c>
      <c r="B4457" s="5" t="s">
        <v>162</v>
      </c>
      <c r="C4457" s="5">
        <v>6</v>
      </c>
      <c r="D4457" s="5" t="s">
        <v>90</v>
      </c>
      <c r="E4457" s="5">
        <v>2022</v>
      </c>
      <c r="F4457" s="5">
        <v>6</v>
      </c>
      <c r="G4457" s="5" t="s">
        <v>39</v>
      </c>
      <c r="H4457" s="5">
        <v>1051491</v>
      </c>
      <c r="I4457" s="5">
        <v>908764.9</v>
      </c>
      <c r="J4457" s="5">
        <v>26</v>
      </c>
      <c r="K4457" s="5">
        <v>143489</v>
      </c>
      <c r="L4457" s="5">
        <v>1193670</v>
      </c>
      <c r="M4457" s="5">
        <v>142726.1</v>
      </c>
      <c r="N4457" s="5">
        <v>0.13569999999999999</v>
      </c>
      <c r="O4457" s="5">
        <v>5</v>
      </c>
      <c r="P4457" s="5">
        <v>133356</v>
      </c>
    </row>
    <row r="4458" spans="1:16" x14ac:dyDescent="0.3">
      <c r="A4458" s="5">
        <v>9</v>
      </c>
      <c r="B4458" s="5" t="s">
        <v>162</v>
      </c>
      <c r="C4458" s="5">
        <v>6</v>
      </c>
      <c r="D4458" s="5" t="s">
        <v>90</v>
      </c>
      <c r="E4458" s="5">
        <v>2022</v>
      </c>
      <c r="F4458" s="5">
        <v>6</v>
      </c>
      <c r="G4458" s="5" t="s">
        <v>39</v>
      </c>
      <c r="H4458" s="5">
        <v>2299789</v>
      </c>
      <c r="I4458" s="5">
        <v>1986930.85</v>
      </c>
      <c r="J4458" s="5">
        <v>35</v>
      </c>
      <c r="K4458" s="5">
        <v>270215</v>
      </c>
      <c r="L4458" s="5">
        <v>2563080</v>
      </c>
      <c r="M4458" s="5">
        <v>312858.15000000002</v>
      </c>
      <c r="N4458" s="5">
        <v>0.13600000000000001</v>
      </c>
      <c r="O4458" s="5">
        <v>2</v>
      </c>
      <c r="P4458" s="5">
        <v>99188</v>
      </c>
    </row>
    <row r="4459" spans="1:16" x14ac:dyDescent="0.3">
      <c r="A4459" s="5">
        <v>36</v>
      </c>
      <c r="B4459" s="5" t="s">
        <v>162</v>
      </c>
      <c r="C4459" s="5">
        <v>6</v>
      </c>
      <c r="D4459" s="5" t="s">
        <v>90</v>
      </c>
      <c r="E4459" s="5">
        <v>2022</v>
      </c>
      <c r="F4459" s="5">
        <v>6</v>
      </c>
      <c r="G4459" s="5" t="s">
        <v>39</v>
      </c>
      <c r="H4459" s="5">
        <v>2343641</v>
      </c>
      <c r="I4459" s="5">
        <v>1942572.6</v>
      </c>
      <c r="J4459" s="5">
        <v>30</v>
      </c>
      <c r="K4459" s="5">
        <v>157435</v>
      </c>
      <c r="L4459" s="5">
        <v>2481960</v>
      </c>
      <c r="M4459" s="5">
        <v>401068.4</v>
      </c>
      <c r="N4459" s="5">
        <v>0.1711</v>
      </c>
      <c r="O4459" s="5">
        <v>2</v>
      </c>
      <c r="P4459" s="5">
        <v>186119</v>
      </c>
    </row>
    <row r="4460" spans="1:16" x14ac:dyDescent="0.3">
      <c r="A4460" s="5">
        <v>67</v>
      </c>
      <c r="B4460" s="5" t="s">
        <v>162</v>
      </c>
      <c r="C4460" s="5">
        <v>6</v>
      </c>
      <c r="D4460" s="5" t="s">
        <v>90</v>
      </c>
      <c r="E4460" s="5">
        <v>2022</v>
      </c>
      <c r="F4460" s="5">
        <v>6</v>
      </c>
      <c r="G4460" s="5" t="s">
        <v>39</v>
      </c>
      <c r="H4460" s="5">
        <v>2847960</v>
      </c>
      <c r="I4460" s="5">
        <v>2307703.0099999998</v>
      </c>
      <c r="J4460" s="5">
        <v>40</v>
      </c>
      <c r="K4460" s="5">
        <v>216424</v>
      </c>
      <c r="L4460" s="5">
        <v>3049580</v>
      </c>
      <c r="M4460" s="5">
        <v>540256.99</v>
      </c>
      <c r="N4460" s="5">
        <v>0.18970000000000001</v>
      </c>
      <c r="O4460" s="5">
        <v>2</v>
      </c>
      <c r="P4460" s="5">
        <v>15714</v>
      </c>
    </row>
    <row r="4461" spans="1:16" x14ac:dyDescent="0.3">
      <c r="A4461" s="5">
        <v>115</v>
      </c>
      <c r="B4461" s="5" t="s">
        <v>162</v>
      </c>
      <c r="C4461" s="5">
        <v>6</v>
      </c>
      <c r="D4461" s="5" t="s">
        <v>90</v>
      </c>
      <c r="E4461" s="5">
        <v>2022</v>
      </c>
      <c r="F4461" s="5">
        <v>6</v>
      </c>
      <c r="G4461" s="5" t="s">
        <v>39</v>
      </c>
      <c r="H4461" s="5">
        <v>1459703</v>
      </c>
      <c r="I4461" s="5">
        <v>1290690.78</v>
      </c>
      <c r="J4461" s="5">
        <v>21</v>
      </c>
      <c r="K4461" s="5">
        <v>202427</v>
      </c>
      <c r="L4461" s="5">
        <v>1658920</v>
      </c>
      <c r="M4461" s="5">
        <v>169012.22</v>
      </c>
      <c r="N4461" s="5">
        <v>0.1158</v>
      </c>
      <c r="O4461" s="5">
        <v>1</v>
      </c>
      <c r="P4461" s="5">
        <v>79788</v>
      </c>
    </row>
    <row r="4462" spans="1:16" x14ac:dyDescent="0.3">
      <c r="A4462" s="5">
        <v>1</v>
      </c>
      <c r="B4462" s="5" t="s">
        <v>162</v>
      </c>
      <c r="C4462" s="5">
        <v>6</v>
      </c>
      <c r="D4462" s="5" t="s">
        <v>90</v>
      </c>
      <c r="E4462" s="5">
        <v>2022</v>
      </c>
      <c r="F4462" s="5">
        <v>7</v>
      </c>
      <c r="G4462" s="5" t="s">
        <v>40</v>
      </c>
      <c r="H4462" s="5">
        <v>2260695</v>
      </c>
      <c r="I4462" s="5">
        <v>2130617.36</v>
      </c>
      <c r="J4462" s="5">
        <v>27</v>
      </c>
      <c r="K4462" s="5">
        <v>418910</v>
      </c>
      <c r="L4462" s="5">
        <v>2677040</v>
      </c>
      <c r="M4462" s="5">
        <v>130077.64</v>
      </c>
      <c r="N4462" s="5">
        <v>5.7500000000000002E-2</v>
      </c>
      <c r="O4462" s="5">
        <v>3</v>
      </c>
      <c r="P4462" s="5">
        <v>17663</v>
      </c>
    </row>
    <row r="4463" spans="1:16" x14ac:dyDescent="0.3">
      <c r="A4463" s="5">
        <v>9</v>
      </c>
      <c r="B4463" s="5" t="s">
        <v>162</v>
      </c>
      <c r="C4463" s="5">
        <v>6</v>
      </c>
      <c r="D4463" s="5" t="s">
        <v>90</v>
      </c>
      <c r="E4463" s="5">
        <v>2022</v>
      </c>
      <c r="F4463" s="5">
        <v>7</v>
      </c>
      <c r="G4463" s="5" t="s">
        <v>40</v>
      </c>
      <c r="H4463" s="5">
        <v>1624361</v>
      </c>
      <c r="I4463" s="5">
        <v>1467095.85</v>
      </c>
      <c r="J4463" s="5">
        <v>26</v>
      </c>
      <c r="K4463" s="5">
        <v>297441</v>
      </c>
      <c r="L4463" s="5">
        <v>1912050</v>
      </c>
      <c r="M4463" s="5">
        <v>157265.15</v>
      </c>
      <c r="N4463" s="5">
        <v>9.6799999999999997E-2</v>
      </c>
      <c r="O4463" s="5">
        <v>1</v>
      </c>
      <c r="P4463" s="5">
        <v>15160</v>
      </c>
    </row>
    <row r="4464" spans="1:16" x14ac:dyDescent="0.3">
      <c r="A4464" s="5">
        <v>36</v>
      </c>
      <c r="B4464" s="5" t="s">
        <v>162</v>
      </c>
      <c r="C4464" s="5">
        <v>6</v>
      </c>
      <c r="D4464" s="5" t="s">
        <v>90</v>
      </c>
      <c r="E4464" s="5">
        <v>2022</v>
      </c>
      <c r="F4464" s="5">
        <v>7</v>
      </c>
      <c r="G4464" s="5" t="s">
        <v>40</v>
      </c>
      <c r="H4464" s="5">
        <v>2093784</v>
      </c>
      <c r="I4464" s="5">
        <v>1767462.51</v>
      </c>
      <c r="J4464" s="5">
        <v>40</v>
      </c>
      <c r="K4464" s="5">
        <v>230619</v>
      </c>
      <c r="L4464" s="5">
        <v>2316820</v>
      </c>
      <c r="M4464" s="5">
        <v>326321.49</v>
      </c>
      <c r="N4464" s="5">
        <v>0.15590000000000001</v>
      </c>
      <c r="O4464" s="5">
        <v>3</v>
      </c>
      <c r="P4464" s="5">
        <v>10141</v>
      </c>
    </row>
    <row r="4465" spans="1:16" x14ac:dyDescent="0.3">
      <c r="A4465" s="5">
        <v>67</v>
      </c>
      <c r="B4465" s="5" t="s">
        <v>162</v>
      </c>
      <c r="C4465" s="5">
        <v>6</v>
      </c>
      <c r="D4465" s="5" t="s">
        <v>90</v>
      </c>
      <c r="E4465" s="5">
        <v>2022</v>
      </c>
      <c r="F4465" s="5">
        <v>7</v>
      </c>
      <c r="G4465" s="5" t="s">
        <v>40</v>
      </c>
      <c r="H4465" s="5">
        <v>2451762</v>
      </c>
      <c r="I4465" s="5">
        <v>2310058.19</v>
      </c>
      <c r="J4465" s="5">
        <v>31</v>
      </c>
      <c r="K4465" s="5">
        <v>496780</v>
      </c>
      <c r="L4465" s="5">
        <v>2939100</v>
      </c>
      <c r="M4465" s="5">
        <v>141703.81</v>
      </c>
      <c r="N4465" s="5">
        <v>5.7799999999999997E-2</v>
      </c>
      <c r="O4465" s="5">
        <v>0</v>
      </c>
      <c r="P4465" s="5">
        <v>0</v>
      </c>
    </row>
    <row r="4466" spans="1:16" x14ac:dyDescent="0.3">
      <c r="A4466" s="5">
        <v>115</v>
      </c>
      <c r="B4466" s="5" t="s">
        <v>162</v>
      </c>
      <c r="C4466" s="5">
        <v>6</v>
      </c>
      <c r="D4466" s="5" t="s">
        <v>90</v>
      </c>
      <c r="E4466" s="5">
        <v>2022</v>
      </c>
      <c r="F4466" s="5">
        <v>7</v>
      </c>
      <c r="G4466" s="5" t="s">
        <v>40</v>
      </c>
      <c r="H4466" s="5">
        <v>950728</v>
      </c>
      <c r="I4466" s="5">
        <v>791433.72</v>
      </c>
      <c r="J4466" s="5">
        <v>17</v>
      </c>
      <c r="K4466" s="5">
        <v>79487</v>
      </c>
      <c r="L4466" s="5">
        <v>1027060</v>
      </c>
      <c r="M4466" s="5">
        <v>159294.28</v>
      </c>
      <c r="N4466" s="5">
        <v>0.16750000000000001</v>
      </c>
      <c r="O4466" s="5">
        <v>1</v>
      </c>
      <c r="P4466" s="5">
        <v>4098</v>
      </c>
    </row>
    <row r="4467" spans="1:16" x14ac:dyDescent="0.3">
      <c r="A4467" s="5">
        <v>1</v>
      </c>
      <c r="B4467" s="5" t="s">
        <v>162</v>
      </c>
      <c r="C4467" s="5">
        <v>6</v>
      </c>
      <c r="D4467" s="5" t="s">
        <v>90</v>
      </c>
      <c r="E4467" s="5">
        <v>2022</v>
      </c>
      <c r="F4467" s="5">
        <v>8</v>
      </c>
      <c r="G4467" s="5" t="s">
        <v>41</v>
      </c>
      <c r="H4467" s="5">
        <v>1142821</v>
      </c>
      <c r="I4467" s="5">
        <v>1029563.5</v>
      </c>
      <c r="J4467" s="5">
        <v>31</v>
      </c>
      <c r="K4467" s="5">
        <v>226012</v>
      </c>
      <c r="L4467" s="5">
        <v>1365640</v>
      </c>
      <c r="M4467" s="5">
        <v>113257.5</v>
      </c>
      <c r="N4467" s="5">
        <v>9.9099999999999994E-2</v>
      </c>
      <c r="O4467" s="5">
        <v>0</v>
      </c>
      <c r="P4467" s="5">
        <v>0</v>
      </c>
    </row>
    <row r="4468" spans="1:16" x14ac:dyDescent="0.3">
      <c r="A4468" s="5">
        <v>9</v>
      </c>
      <c r="B4468" s="5" t="s">
        <v>162</v>
      </c>
      <c r="C4468" s="5">
        <v>6</v>
      </c>
      <c r="D4468" s="5" t="s">
        <v>90</v>
      </c>
      <c r="E4468" s="5">
        <v>2022</v>
      </c>
      <c r="F4468" s="5">
        <v>8</v>
      </c>
      <c r="G4468" s="5" t="s">
        <v>41</v>
      </c>
      <c r="H4468" s="5">
        <v>1068140</v>
      </c>
      <c r="I4468" s="5">
        <v>925037.02</v>
      </c>
      <c r="J4468" s="5">
        <v>21</v>
      </c>
      <c r="K4468" s="5">
        <v>156807</v>
      </c>
      <c r="L4468" s="5">
        <v>1221890</v>
      </c>
      <c r="M4468" s="5">
        <v>143102.98000000001</v>
      </c>
      <c r="N4468" s="5">
        <v>0.13400000000000001</v>
      </c>
      <c r="O4468" s="5">
        <v>2</v>
      </c>
      <c r="P4468" s="5">
        <v>105014</v>
      </c>
    </row>
    <row r="4469" spans="1:16" x14ac:dyDescent="0.3">
      <c r="A4469" s="5">
        <v>36</v>
      </c>
      <c r="B4469" s="5" t="s">
        <v>162</v>
      </c>
      <c r="C4469" s="5">
        <v>6</v>
      </c>
      <c r="D4469" s="5" t="s">
        <v>90</v>
      </c>
      <c r="E4469" s="5">
        <v>2022</v>
      </c>
      <c r="F4469" s="5">
        <v>8</v>
      </c>
      <c r="G4469" s="5" t="s">
        <v>41</v>
      </c>
      <c r="H4469" s="5">
        <v>1727780</v>
      </c>
      <c r="I4469" s="5">
        <v>1568237.36</v>
      </c>
      <c r="J4469" s="5">
        <v>28</v>
      </c>
      <c r="K4469" s="5">
        <v>322937</v>
      </c>
      <c r="L4469" s="5">
        <v>2042730</v>
      </c>
      <c r="M4469" s="5">
        <v>159542.64000000001</v>
      </c>
      <c r="N4469" s="5">
        <v>9.2299999999999993E-2</v>
      </c>
      <c r="O4469" s="5">
        <v>3</v>
      </c>
      <c r="P4469" s="5">
        <v>182821</v>
      </c>
    </row>
    <row r="4470" spans="1:16" x14ac:dyDescent="0.3">
      <c r="A4470" s="5">
        <v>67</v>
      </c>
      <c r="B4470" s="5" t="s">
        <v>162</v>
      </c>
      <c r="C4470" s="5">
        <v>6</v>
      </c>
      <c r="D4470" s="5" t="s">
        <v>90</v>
      </c>
      <c r="E4470" s="5">
        <v>2022</v>
      </c>
      <c r="F4470" s="5">
        <v>8</v>
      </c>
      <c r="G4470" s="5" t="s">
        <v>41</v>
      </c>
      <c r="H4470" s="5">
        <v>2007473</v>
      </c>
      <c r="I4470" s="5">
        <v>1722071.58</v>
      </c>
      <c r="J4470" s="5">
        <v>30</v>
      </c>
      <c r="K4470" s="5">
        <v>265667</v>
      </c>
      <c r="L4470" s="5">
        <v>2260160</v>
      </c>
      <c r="M4470" s="5">
        <v>285401.42</v>
      </c>
      <c r="N4470" s="5">
        <v>0.14219999999999999</v>
      </c>
      <c r="O4470" s="5">
        <v>2</v>
      </c>
      <c r="P4470" s="5">
        <v>55585</v>
      </c>
    </row>
    <row r="4471" spans="1:16" x14ac:dyDescent="0.3">
      <c r="A4471" s="5">
        <v>115</v>
      </c>
      <c r="B4471" s="5" t="s">
        <v>162</v>
      </c>
      <c r="C4471" s="5">
        <v>6</v>
      </c>
      <c r="D4471" s="5" t="s">
        <v>90</v>
      </c>
      <c r="E4471" s="5">
        <v>2022</v>
      </c>
      <c r="F4471" s="5">
        <v>8</v>
      </c>
      <c r="G4471" s="5" t="s">
        <v>41</v>
      </c>
      <c r="H4471" s="5">
        <v>1750934</v>
      </c>
      <c r="I4471" s="5">
        <v>1861142.8</v>
      </c>
      <c r="J4471" s="5">
        <v>29</v>
      </c>
      <c r="K4471" s="5">
        <v>592947</v>
      </c>
      <c r="L4471" s="5">
        <v>2340060</v>
      </c>
      <c r="M4471" s="5">
        <v>-110208.8</v>
      </c>
      <c r="N4471" s="5">
        <v>-6.2899999999999998E-2</v>
      </c>
      <c r="O4471" s="5">
        <v>3</v>
      </c>
      <c r="P4471" s="5">
        <v>112273</v>
      </c>
    </row>
    <row r="4472" spans="1:16" x14ac:dyDescent="0.3">
      <c r="A4472" s="5">
        <v>1</v>
      </c>
      <c r="B4472" s="5" t="s">
        <v>162</v>
      </c>
      <c r="C4472" s="5">
        <v>6</v>
      </c>
      <c r="D4472" s="5" t="s">
        <v>90</v>
      </c>
      <c r="E4472" s="5">
        <v>2022</v>
      </c>
      <c r="F4472" s="5">
        <v>9</v>
      </c>
      <c r="G4472" s="5" t="s">
        <v>42</v>
      </c>
      <c r="H4472" s="5">
        <v>2928775</v>
      </c>
      <c r="I4472" s="5">
        <v>2497707.04</v>
      </c>
      <c r="J4472" s="5">
        <v>49</v>
      </c>
      <c r="K4472" s="5">
        <v>321720</v>
      </c>
      <c r="L4472" s="5">
        <v>3241390</v>
      </c>
      <c r="M4472" s="5">
        <v>431067.96</v>
      </c>
      <c r="N4472" s="5">
        <v>0.1472</v>
      </c>
      <c r="O4472" s="5">
        <v>3</v>
      </c>
      <c r="P4472" s="5">
        <v>396912</v>
      </c>
    </row>
    <row r="4473" spans="1:16" x14ac:dyDescent="0.3">
      <c r="A4473" s="5">
        <v>9</v>
      </c>
      <c r="B4473" s="5" t="s">
        <v>162</v>
      </c>
      <c r="C4473" s="5">
        <v>6</v>
      </c>
      <c r="D4473" s="5" t="s">
        <v>90</v>
      </c>
      <c r="E4473" s="5">
        <v>2022</v>
      </c>
      <c r="F4473" s="5">
        <v>9</v>
      </c>
      <c r="G4473" s="5" t="s">
        <v>42</v>
      </c>
      <c r="H4473" s="5">
        <v>1143349</v>
      </c>
      <c r="I4473" s="5">
        <v>948300.7</v>
      </c>
      <c r="J4473" s="5">
        <v>21</v>
      </c>
      <c r="K4473" s="5">
        <v>131281</v>
      </c>
      <c r="L4473" s="5">
        <v>1271030</v>
      </c>
      <c r="M4473" s="5">
        <v>195048.3</v>
      </c>
      <c r="N4473" s="5">
        <v>0.1706</v>
      </c>
      <c r="O4473" s="5">
        <v>3</v>
      </c>
      <c r="P4473" s="5">
        <v>24491</v>
      </c>
    </row>
    <row r="4474" spans="1:16" x14ac:dyDescent="0.3">
      <c r="A4474" s="5">
        <v>36</v>
      </c>
      <c r="B4474" s="5" t="s">
        <v>162</v>
      </c>
      <c r="C4474" s="5">
        <v>6</v>
      </c>
      <c r="D4474" s="5" t="s">
        <v>90</v>
      </c>
      <c r="E4474" s="5">
        <v>2022</v>
      </c>
      <c r="F4474" s="5">
        <v>9</v>
      </c>
      <c r="G4474" s="5" t="s">
        <v>42</v>
      </c>
      <c r="H4474" s="5">
        <v>2862947</v>
      </c>
      <c r="I4474" s="5">
        <v>2435190.19</v>
      </c>
      <c r="J4474" s="5">
        <v>36</v>
      </c>
      <c r="K4474" s="5">
        <v>284027</v>
      </c>
      <c r="L4474" s="5">
        <v>3135970</v>
      </c>
      <c r="M4474" s="5">
        <v>427756.81</v>
      </c>
      <c r="N4474" s="5">
        <v>0.14940000000000001</v>
      </c>
      <c r="O4474" s="5">
        <v>2</v>
      </c>
      <c r="P4474" s="5">
        <v>74412</v>
      </c>
    </row>
    <row r="4475" spans="1:16" x14ac:dyDescent="0.3">
      <c r="A4475" s="5">
        <v>67</v>
      </c>
      <c r="B4475" s="5" t="s">
        <v>162</v>
      </c>
      <c r="C4475" s="5">
        <v>6</v>
      </c>
      <c r="D4475" s="5" t="s">
        <v>90</v>
      </c>
      <c r="E4475" s="5">
        <v>2022</v>
      </c>
      <c r="F4475" s="5">
        <v>9</v>
      </c>
      <c r="G4475" s="5" t="s">
        <v>42</v>
      </c>
      <c r="H4475" s="5">
        <v>2481241</v>
      </c>
      <c r="I4475" s="5">
        <v>2138418.16</v>
      </c>
      <c r="J4475" s="5">
        <v>35</v>
      </c>
      <c r="K4475" s="5">
        <v>282101</v>
      </c>
      <c r="L4475" s="5">
        <v>2748560</v>
      </c>
      <c r="M4475" s="5">
        <v>342822.84</v>
      </c>
      <c r="N4475" s="5">
        <v>0.13819999999999999</v>
      </c>
      <c r="O4475" s="5">
        <v>6</v>
      </c>
      <c r="P4475" s="5">
        <v>193481</v>
      </c>
    </row>
    <row r="4476" spans="1:16" x14ac:dyDescent="0.3">
      <c r="A4476" s="5">
        <v>115</v>
      </c>
      <c r="B4476" s="5" t="s">
        <v>162</v>
      </c>
      <c r="C4476" s="5">
        <v>6</v>
      </c>
      <c r="D4476" s="5" t="s">
        <v>90</v>
      </c>
      <c r="E4476" s="5">
        <v>2022</v>
      </c>
      <c r="F4476" s="5">
        <v>9</v>
      </c>
      <c r="G4476" s="5" t="s">
        <v>42</v>
      </c>
      <c r="H4476" s="5">
        <v>1785418</v>
      </c>
      <c r="I4476" s="5">
        <v>1538046.74</v>
      </c>
      <c r="J4476" s="5">
        <v>32</v>
      </c>
      <c r="K4476" s="5">
        <v>242483</v>
      </c>
      <c r="L4476" s="5">
        <v>2023340</v>
      </c>
      <c r="M4476" s="5">
        <v>247371.26</v>
      </c>
      <c r="N4476" s="5">
        <v>0.1386</v>
      </c>
      <c r="O4476" s="5">
        <v>6</v>
      </c>
      <c r="P4476" s="5">
        <v>75166</v>
      </c>
    </row>
    <row r="4477" spans="1:16" x14ac:dyDescent="0.3">
      <c r="A4477" s="5">
        <v>1</v>
      </c>
      <c r="B4477" s="5" t="s">
        <v>162</v>
      </c>
      <c r="C4477" s="5">
        <v>6</v>
      </c>
      <c r="D4477" s="5" t="s">
        <v>90</v>
      </c>
      <c r="E4477" s="5">
        <v>2022</v>
      </c>
      <c r="F4477" s="5">
        <v>10</v>
      </c>
      <c r="G4477" s="5" t="s">
        <v>43</v>
      </c>
      <c r="H4477" s="5">
        <v>4393533</v>
      </c>
      <c r="I4477" s="5">
        <v>3964527.26</v>
      </c>
      <c r="J4477" s="5">
        <v>52</v>
      </c>
      <c r="K4477" s="5">
        <v>734719</v>
      </c>
      <c r="L4477" s="5">
        <v>5116930</v>
      </c>
      <c r="M4477" s="5">
        <v>429005.74</v>
      </c>
      <c r="N4477" s="5">
        <v>9.7600000000000006E-2</v>
      </c>
      <c r="O4477" s="5">
        <v>4</v>
      </c>
      <c r="P4477" s="5">
        <v>153813</v>
      </c>
    </row>
    <row r="4478" spans="1:16" x14ac:dyDescent="0.3">
      <c r="A4478" s="5">
        <v>9</v>
      </c>
      <c r="B4478" s="5" t="s">
        <v>162</v>
      </c>
      <c r="C4478" s="5">
        <v>6</v>
      </c>
      <c r="D4478" s="5" t="s">
        <v>90</v>
      </c>
      <c r="E4478" s="5">
        <v>2022</v>
      </c>
      <c r="F4478" s="5">
        <v>10</v>
      </c>
      <c r="G4478" s="5" t="s">
        <v>43</v>
      </c>
      <c r="H4478" s="5">
        <v>3022427</v>
      </c>
      <c r="I4478" s="5">
        <v>2721222.89</v>
      </c>
      <c r="J4478" s="5">
        <v>42</v>
      </c>
      <c r="K4478" s="5">
        <v>478230</v>
      </c>
      <c r="L4478" s="5">
        <v>3494010</v>
      </c>
      <c r="M4478" s="5">
        <v>301204.11</v>
      </c>
      <c r="N4478" s="5">
        <v>9.9699999999999997E-2</v>
      </c>
      <c r="O4478" s="5">
        <v>4</v>
      </c>
      <c r="P4478" s="5">
        <v>124494</v>
      </c>
    </row>
    <row r="4479" spans="1:16" x14ac:dyDescent="0.3">
      <c r="A4479" s="5">
        <v>36</v>
      </c>
      <c r="B4479" s="5" t="s">
        <v>162</v>
      </c>
      <c r="C4479" s="5">
        <v>6</v>
      </c>
      <c r="D4479" s="5" t="s">
        <v>90</v>
      </c>
      <c r="E4479" s="5">
        <v>2022</v>
      </c>
      <c r="F4479" s="5">
        <v>10</v>
      </c>
      <c r="G4479" s="5" t="s">
        <v>43</v>
      </c>
      <c r="H4479" s="5">
        <v>2620665</v>
      </c>
      <c r="I4479" s="5">
        <v>2525194.87</v>
      </c>
      <c r="J4479" s="5">
        <v>34</v>
      </c>
      <c r="K4479" s="5">
        <v>557165</v>
      </c>
      <c r="L4479" s="5">
        <v>3170450</v>
      </c>
      <c r="M4479" s="5">
        <v>95470.13</v>
      </c>
      <c r="N4479" s="5">
        <v>3.6400000000000002E-2</v>
      </c>
      <c r="O4479" s="5">
        <v>4</v>
      </c>
      <c r="P4479" s="5">
        <v>22847</v>
      </c>
    </row>
    <row r="4480" spans="1:16" x14ac:dyDescent="0.3">
      <c r="A4480" s="5">
        <v>67</v>
      </c>
      <c r="B4480" s="5" t="s">
        <v>162</v>
      </c>
      <c r="C4480" s="5">
        <v>6</v>
      </c>
      <c r="D4480" s="5" t="s">
        <v>90</v>
      </c>
      <c r="E4480" s="5">
        <v>2022</v>
      </c>
      <c r="F4480" s="5">
        <v>10</v>
      </c>
      <c r="G4480" s="5" t="s">
        <v>43</v>
      </c>
      <c r="H4480" s="5">
        <v>2960775</v>
      </c>
      <c r="I4480" s="5">
        <v>2539794.89</v>
      </c>
      <c r="J4480" s="5">
        <v>49</v>
      </c>
      <c r="K4480" s="5">
        <v>352681</v>
      </c>
      <c r="L4480" s="5">
        <v>3298930</v>
      </c>
      <c r="M4480" s="5">
        <v>420980.11</v>
      </c>
      <c r="N4480" s="5">
        <v>0.14219999999999999</v>
      </c>
      <c r="O4480" s="5">
        <v>5</v>
      </c>
      <c r="P4480" s="5">
        <v>32002</v>
      </c>
    </row>
    <row r="4481" spans="1:16" x14ac:dyDescent="0.3">
      <c r="A4481" s="5">
        <v>115</v>
      </c>
      <c r="B4481" s="5" t="s">
        <v>162</v>
      </c>
      <c r="C4481" s="5">
        <v>6</v>
      </c>
      <c r="D4481" s="5" t="s">
        <v>90</v>
      </c>
      <c r="E4481" s="5">
        <v>2022</v>
      </c>
      <c r="F4481" s="5">
        <v>10</v>
      </c>
      <c r="G4481" s="5" t="s">
        <v>43</v>
      </c>
      <c r="H4481" s="5">
        <v>1592752</v>
      </c>
      <c r="I4481" s="5">
        <v>1392686.55</v>
      </c>
      <c r="J4481" s="5">
        <v>25</v>
      </c>
      <c r="K4481" s="5">
        <v>244833</v>
      </c>
      <c r="L4481" s="5">
        <v>1832100</v>
      </c>
      <c r="M4481" s="5">
        <v>200065.45</v>
      </c>
      <c r="N4481" s="5">
        <v>0.12559999999999999</v>
      </c>
      <c r="O4481" s="5">
        <v>1</v>
      </c>
      <c r="P4481" s="5">
        <v>191619</v>
      </c>
    </row>
    <row r="4482" spans="1:16" x14ac:dyDescent="0.3">
      <c r="A4482" s="5">
        <v>1</v>
      </c>
      <c r="B4482" s="5" t="s">
        <v>162</v>
      </c>
      <c r="C4482" s="5">
        <v>6</v>
      </c>
      <c r="D4482" s="5" t="s">
        <v>90</v>
      </c>
      <c r="E4482" s="5">
        <v>2022</v>
      </c>
      <c r="F4482" s="5">
        <v>11</v>
      </c>
      <c r="G4482" s="5" t="s">
        <v>44</v>
      </c>
      <c r="H4482" s="5">
        <v>3694342</v>
      </c>
      <c r="I4482" s="5">
        <v>3016749.94</v>
      </c>
      <c r="J4482" s="5">
        <v>60</v>
      </c>
      <c r="K4482" s="5">
        <v>218045</v>
      </c>
      <c r="L4482" s="5">
        <v>3893730</v>
      </c>
      <c r="M4482" s="5">
        <v>677592.06</v>
      </c>
      <c r="N4482" s="5">
        <v>0.18340000000000001</v>
      </c>
      <c r="O4482" s="5">
        <v>6</v>
      </c>
      <c r="P4482" s="5">
        <v>32679</v>
      </c>
    </row>
    <row r="4483" spans="1:16" x14ac:dyDescent="0.3">
      <c r="A4483" s="5">
        <v>9</v>
      </c>
      <c r="B4483" s="5" t="s">
        <v>162</v>
      </c>
      <c r="C4483" s="5">
        <v>6</v>
      </c>
      <c r="D4483" s="5" t="s">
        <v>90</v>
      </c>
      <c r="E4483" s="5">
        <v>2022</v>
      </c>
      <c r="F4483" s="5">
        <v>11</v>
      </c>
      <c r="G4483" s="5" t="s">
        <v>44</v>
      </c>
      <c r="H4483" s="5">
        <v>2895503</v>
      </c>
      <c r="I4483" s="5">
        <v>2521726.88</v>
      </c>
      <c r="J4483" s="5">
        <v>43</v>
      </c>
      <c r="K4483" s="5">
        <v>301007</v>
      </c>
      <c r="L4483" s="5">
        <v>3186410</v>
      </c>
      <c r="M4483" s="5">
        <v>373776.12</v>
      </c>
      <c r="N4483" s="5">
        <v>0.12909999999999999</v>
      </c>
      <c r="O4483" s="5">
        <v>4</v>
      </c>
      <c r="P4483" s="5">
        <v>52630</v>
      </c>
    </row>
    <row r="4484" spans="1:16" x14ac:dyDescent="0.3">
      <c r="A4484" s="5">
        <v>36</v>
      </c>
      <c r="B4484" s="5" t="s">
        <v>162</v>
      </c>
      <c r="C4484" s="5">
        <v>6</v>
      </c>
      <c r="D4484" s="5" t="s">
        <v>90</v>
      </c>
      <c r="E4484" s="5">
        <v>2022</v>
      </c>
      <c r="F4484" s="5">
        <v>11</v>
      </c>
      <c r="G4484" s="5" t="s">
        <v>44</v>
      </c>
      <c r="H4484" s="5">
        <v>1894988</v>
      </c>
      <c r="I4484" s="5">
        <v>1615367.87</v>
      </c>
      <c r="J4484" s="5">
        <v>31</v>
      </c>
      <c r="K4484" s="5">
        <v>194762</v>
      </c>
      <c r="L4484" s="5">
        <v>2078210</v>
      </c>
      <c r="M4484" s="5">
        <v>279620.13</v>
      </c>
      <c r="N4484" s="5">
        <v>0.14760000000000001</v>
      </c>
      <c r="O4484" s="5">
        <v>3</v>
      </c>
      <c r="P4484" s="5">
        <v>65054</v>
      </c>
    </row>
    <row r="4485" spans="1:16" x14ac:dyDescent="0.3">
      <c r="A4485" s="5">
        <v>67</v>
      </c>
      <c r="B4485" s="5" t="s">
        <v>162</v>
      </c>
      <c r="C4485" s="5">
        <v>6</v>
      </c>
      <c r="D4485" s="5" t="s">
        <v>90</v>
      </c>
      <c r="E4485" s="5">
        <v>2022</v>
      </c>
      <c r="F4485" s="5">
        <v>11</v>
      </c>
      <c r="G4485" s="5" t="s">
        <v>44</v>
      </c>
      <c r="H4485" s="5">
        <v>2278917</v>
      </c>
      <c r="I4485" s="5">
        <v>1961496.75</v>
      </c>
      <c r="J4485" s="5">
        <v>42</v>
      </c>
      <c r="K4485" s="5">
        <v>282483</v>
      </c>
      <c r="L4485" s="5">
        <v>2547010</v>
      </c>
      <c r="M4485" s="5">
        <v>317420.25</v>
      </c>
      <c r="N4485" s="5">
        <v>0.13930000000000001</v>
      </c>
      <c r="O4485" s="5">
        <v>0</v>
      </c>
      <c r="P4485" s="5">
        <v>0</v>
      </c>
    </row>
    <row r="4486" spans="1:16" x14ac:dyDescent="0.3">
      <c r="A4486" s="5">
        <v>115</v>
      </c>
      <c r="B4486" s="5" t="s">
        <v>162</v>
      </c>
      <c r="C4486" s="5">
        <v>6</v>
      </c>
      <c r="D4486" s="5" t="s">
        <v>90</v>
      </c>
      <c r="E4486" s="5">
        <v>2022</v>
      </c>
      <c r="F4486" s="5">
        <v>11</v>
      </c>
      <c r="G4486" s="5" t="s">
        <v>44</v>
      </c>
      <c r="H4486" s="5">
        <v>2177499</v>
      </c>
      <c r="I4486" s="5">
        <v>1860706.23</v>
      </c>
      <c r="J4486" s="5">
        <v>28</v>
      </c>
      <c r="K4486" s="5">
        <v>238180</v>
      </c>
      <c r="L4486" s="5">
        <v>2410320</v>
      </c>
      <c r="M4486" s="5">
        <v>316792.77</v>
      </c>
      <c r="N4486" s="5">
        <v>0.14549999999999999</v>
      </c>
      <c r="O4486" s="5">
        <v>1</v>
      </c>
      <c r="P4486" s="5">
        <v>25661</v>
      </c>
    </row>
    <row r="4487" spans="1:16" x14ac:dyDescent="0.3">
      <c r="A4487" s="5">
        <v>1</v>
      </c>
      <c r="B4487" s="5" t="s">
        <v>162</v>
      </c>
      <c r="C4487" s="5">
        <v>6</v>
      </c>
      <c r="D4487" s="5" t="s">
        <v>90</v>
      </c>
      <c r="E4487" s="5">
        <v>2022</v>
      </c>
      <c r="F4487" s="5">
        <v>12</v>
      </c>
      <c r="G4487" s="5" t="s">
        <v>45</v>
      </c>
      <c r="H4487" s="5">
        <v>3152914</v>
      </c>
      <c r="I4487" s="5">
        <v>2551830.23</v>
      </c>
      <c r="J4487" s="5">
        <v>58</v>
      </c>
      <c r="K4487" s="5">
        <v>183742</v>
      </c>
      <c r="L4487" s="5">
        <v>3323680</v>
      </c>
      <c r="M4487" s="5">
        <v>601083.77</v>
      </c>
      <c r="N4487" s="5">
        <v>0.19059999999999999</v>
      </c>
      <c r="O4487" s="5">
        <v>7</v>
      </c>
      <c r="P4487" s="5">
        <v>164051</v>
      </c>
    </row>
    <row r="4488" spans="1:16" x14ac:dyDescent="0.3">
      <c r="A4488" s="5">
        <v>9</v>
      </c>
      <c r="B4488" s="5" t="s">
        <v>162</v>
      </c>
      <c r="C4488" s="5">
        <v>6</v>
      </c>
      <c r="D4488" s="5" t="s">
        <v>90</v>
      </c>
      <c r="E4488" s="5">
        <v>2022</v>
      </c>
      <c r="F4488" s="5">
        <v>12</v>
      </c>
      <c r="G4488" s="5" t="s">
        <v>45</v>
      </c>
      <c r="H4488" s="5">
        <v>2301667</v>
      </c>
      <c r="I4488" s="5">
        <v>1976404.77</v>
      </c>
      <c r="J4488" s="5">
        <v>33</v>
      </c>
      <c r="K4488" s="5">
        <v>225105</v>
      </c>
      <c r="L4488" s="5">
        <v>2522270</v>
      </c>
      <c r="M4488" s="5">
        <v>325262.23</v>
      </c>
      <c r="N4488" s="5">
        <v>0.14130000000000001</v>
      </c>
      <c r="O4488" s="5">
        <v>3</v>
      </c>
      <c r="P4488" s="5">
        <v>16670</v>
      </c>
    </row>
    <row r="4489" spans="1:16" x14ac:dyDescent="0.3">
      <c r="A4489" s="5">
        <v>36</v>
      </c>
      <c r="B4489" s="5" t="s">
        <v>162</v>
      </c>
      <c r="C4489" s="5">
        <v>6</v>
      </c>
      <c r="D4489" s="5" t="s">
        <v>90</v>
      </c>
      <c r="E4489" s="5">
        <v>2022</v>
      </c>
      <c r="F4489" s="5">
        <v>12</v>
      </c>
      <c r="G4489" s="5" t="s">
        <v>45</v>
      </c>
      <c r="H4489" s="5">
        <v>2791440</v>
      </c>
      <c r="I4489" s="5">
        <v>2288612.7400000002</v>
      </c>
      <c r="J4489" s="5">
        <v>44</v>
      </c>
      <c r="K4489" s="5">
        <v>175261</v>
      </c>
      <c r="L4489" s="5">
        <v>2958730</v>
      </c>
      <c r="M4489" s="5">
        <v>502827.26</v>
      </c>
      <c r="N4489" s="5">
        <v>0.18010000000000001</v>
      </c>
      <c r="O4489" s="5">
        <v>1</v>
      </c>
      <c r="P4489" s="5">
        <v>61987</v>
      </c>
    </row>
    <row r="4490" spans="1:16" x14ac:dyDescent="0.3">
      <c r="A4490" s="5">
        <v>67</v>
      </c>
      <c r="B4490" s="5" t="s">
        <v>162</v>
      </c>
      <c r="C4490" s="5">
        <v>6</v>
      </c>
      <c r="D4490" s="5" t="s">
        <v>90</v>
      </c>
      <c r="E4490" s="5">
        <v>2022</v>
      </c>
      <c r="F4490" s="5">
        <v>12</v>
      </c>
      <c r="G4490" s="5" t="s">
        <v>45</v>
      </c>
      <c r="H4490" s="5">
        <v>3028688</v>
      </c>
      <c r="I4490" s="5">
        <v>2488956.5099999998</v>
      </c>
      <c r="J4490" s="5">
        <v>48</v>
      </c>
      <c r="K4490" s="5">
        <v>179072</v>
      </c>
      <c r="L4490" s="5">
        <v>3194880</v>
      </c>
      <c r="M4490" s="5">
        <v>539731.49</v>
      </c>
      <c r="N4490" s="5">
        <v>0.1782</v>
      </c>
      <c r="O4490" s="5">
        <v>5</v>
      </c>
      <c r="P4490" s="5">
        <v>129008</v>
      </c>
    </row>
    <row r="4491" spans="1:16" x14ac:dyDescent="0.3">
      <c r="A4491" s="5">
        <v>115</v>
      </c>
      <c r="B4491" s="5" t="s">
        <v>162</v>
      </c>
      <c r="C4491" s="5">
        <v>6</v>
      </c>
      <c r="D4491" s="5" t="s">
        <v>90</v>
      </c>
      <c r="E4491" s="5">
        <v>2022</v>
      </c>
      <c r="F4491" s="5">
        <v>12</v>
      </c>
      <c r="G4491" s="5" t="s">
        <v>45</v>
      </c>
      <c r="H4491" s="5">
        <v>3119389</v>
      </c>
      <c r="I4491" s="5">
        <v>2603446.83</v>
      </c>
      <c r="J4491" s="5">
        <v>36</v>
      </c>
      <c r="K4491" s="5">
        <v>195450</v>
      </c>
      <c r="L4491" s="5">
        <v>3307810</v>
      </c>
      <c r="M4491" s="5">
        <v>515942.17</v>
      </c>
      <c r="N4491" s="5">
        <v>0.16539999999999999</v>
      </c>
      <c r="O4491" s="5">
        <v>3</v>
      </c>
      <c r="P4491" s="5">
        <v>59776</v>
      </c>
    </row>
    <row r="4492" spans="1:16" x14ac:dyDescent="0.3">
      <c r="A4492" s="5">
        <v>1</v>
      </c>
      <c r="B4492" s="5" t="s">
        <v>162</v>
      </c>
      <c r="C4492" s="5">
        <v>6</v>
      </c>
      <c r="D4492" s="5" t="s">
        <v>90</v>
      </c>
      <c r="E4492" s="5">
        <v>2023</v>
      </c>
      <c r="F4492" s="5">
        <v>1</v>
      </c>
      <c r="G4492" s="5" t="s">
        <v>46</v>
      </c>
      <c r="H4492" s="5">
        <v>2225089</v>
      </c>
      <c r="I4492" s="5">
        <v>1961224.61</v>
      </c>
      <c r="J4492" s="5">
        <v>37</v>
      </c>
      <c r="K4492" s="5">
        <v>319164</v>
      </c>
      <c r="L4492" s="5">
        <v>2540140</v>
      </c>
      <c r="M4492" s="5">
        <v>263864.39</v>
      </c>
      <c r="N4492" s="5">
        <v>0.1186</v>
      </c>
      <c r="O4492" s="5">
        <v>5</v>
      </c>
      <c r="P4492" s="5">
        <v>101189</v>
      </c>
    </row>
    <row r="4493" spans="1:16" x14ac:dyDescent="0.3">
      <c r="A4493" s="5">
        <v>9</v>
      </c>
      <c r="B4493" s="5" t="s">
        <v>162</v>
      </c>
      <c r="C4493" s="5">
        <v>6</v>
      </c>
      <c r="D4493" s="5" t="s">
        <v>90</v>
      </c>
      <c r="E4493" s="5">
        <v>2023</v>
      </c>
      <c r="F4493" s="5">
        <v>1</v>
      </c>
      <c r="G4493" s="5" t="s">
        <v>46</v>
      </c>
      <c r="H4493" s="5">
        <v>1660312</v>
      </c>
      <c r="I4493" s="5">
        <v>1415338.82</v>
      </c>
      <c r="J4493" s="5">
        <v>15</v>
      </c>
      <c r="K4493" s="5">
        <v>145079</v>
      </c>
      <c r="L4493" s="5">
        <v>1790400</v>
      </c>
      <c r="M4493" s="5">
        <v>244973.18</v>
      </c>
      <c r="N4493" s="5">
        <v>0.14749999999999999</v>
      </c>
      <c r="O4493" s="5">
        <v>0</v>
      </c>
      <c r="P4493" s="5">
        <v>0</v>
      </c>
    </row>
    <row r="4494" spans="1:16" x14ac:dyDescent="0.3">
      <c r="A4494" s="5">
        <v>36</v>
      </c>
      <c r="B4494" s="5" t="s">
        <v>162</v>
      </c>
      <c r="C4494" s="5">
        <v>6</v>
      </c>
      <c r="D4494" s="5" t="s">
        <v>90</v>
      </c>
      <c r="E4494" s="5">
        <v>2023</v>
      </c>
      <c r="F4494" s="5">
        <v>1</v>
      </c>
      <c r="G4494" s="5" t="s">
        <v>46</v>
      </c>
      <c r="H4494" s="5">
        <v>1860932</v>
      </c>
      <c r="I4494" s="5">
        <v>1612736.42</v>
      </c>
      <c r="J4494" s="5">
        <v>27</v>
      </c>
      <c r="K4494" s="5">
        <v>201470</v>
      </c>
      <c r="L4494" s="5">
        <v>2054240</v>
      </c>
      <c r="M4494" s="5">
        <v>248195.58</v>
      </c>
      <c r="N4494" s="5">
        <v>0.13339999999999999</v>
      </c>
      <c r="O4494" s="5">
        <v>2</v>
      </c>
      <c r="P4494" s="5">
        <v>13194</v>
      </c>
    </row>
    <row r="4495" spans="1:16" x14ac:dyDescent="0.3">
      <c r="A4495" s="5">
        <v>67</v>
      </c>
      <c r="B4495" s="5" t="s">
        <v>162</v>
      </c>
      <c r="C4495" s="5">
        <v>6</v>
      </c>
      <c r="D4495" s="5" t="s">
        <v>90</v>
      </c>
      <c r="E4495" s="5">
        <v>2023</v>
      </c>
      <c r="F4495" s="5">
        <v>1</v>
      </c>
      <c r="G4495" s="5" t="s">
        <v>46</v>
      </c>
      <c r="H4495" s="5">
        <v>3033526</v>
      </c>
      <c r="I4495" s="5">
        <v>2792919.28</v>
      </c>
      <c r="J4495" s="5">
        <v>41</v>
      </c>
      <c r="K4495" s="5">
        <v>490191</v>
      </c>
      <c r="L4495" s="5">
        <v>3514770</v>
      </c>
      <c r="M4495" s="5">
        <v>240606.72</v>
      </c>
      <c r="N4495" s="5">
        <v>7.9299999999999995E-2</v>
      </c>
      <c r="O4495" s="5">
        <v>3</v>
      </c>
      <c r="P4495" s="5">
        <v>219065</v>
      </c>
    </row>
    <row r="4496" spans="1:16" x14ac:dyDescent="0.3">
      <c r="A4496" s="5">
        <v>115</v>
      </c>
      <c r="B4496" s="5" t="s">
        <v>162</v>
      </c>
      <c r="C4496" s="5">
        <v>6</v>
      </c>
      <c r="D4496" s="5" t="s">
        <v>90</v>
      </c>
      <c r="E4496" s="5">
        <v>2023</v>
      </c>
      <c r="F4496" s="5">
        <v>1</v>
      </c>
      <c r="G4496" s="5" t="s">
        <v>46</v>
      </c>
      <c r="H4496" s="5">
        <v>1373863</v>
      </c>
      <c r="I4496" s="5">
        <v>1250749.24</v>
      </c>
      <c r="J4496" s="5">
        <v>23</v>
      </c>
      <c r="K4496" s="5">
        <v>244608</v>
      </c>
      <c r="L4496" s="5">
        <v>1617130</v>
      </c>
      <c r="M4496" s="5">
        <v>123113.76</v>
      </c>
      <c r="N4496" s="5">
        <v>8.9599999999999999E-2</v>
      </c>
      <c r="O4496" s="5">
        <v>1</v>
      </c>
      <c r="P4496" s="5">
        <v>121941</v>
      </c>
    </row>
    <row r="4497" spans="1:16" x14ac:dyDescent="0.3">
      <c r="A4497" s="5">
        <v>1</v>
      </c>
      <c r="B4497" s="5" t="s">
        <v>162</v>
      </c>
      <c r="C4497" s="5">
        <v>6</v>
      </c>
      <c r="D4497" s="5" t="s">
        <v>90</v>
      </c>
      <c r="E4497" s="5">
        <v>2023</v>
      </c>
      <c r="F4497" s="5">
        <v>2</v>
      </c>
      <c r="G4497" s="5" t="s">
        <v>47</v>
      </c>
      <c r="H4497" s="5">
        <v>1869454</v>
      </c>
      <c r="I4497" s="5">
        <v>1598365.35</v>
      </c>
      <c r="J4497" s="5">
        <v>33</v>
      </c>
      <c r="K4497" s="5">
        <v>231884</v>
      </c>
      <c r="L4497" s="5">
        <v>2097850</v>
      </c>
      <c r="M4497" s="5">
        <v>271088.65000000002</v>
      </c>
      <c r="N4497" s="5">
        <v>0.14499999999999999</v>
      </c>
      <c r="O4497" s="5">
        <v>1</v>
      </c>
      <c r="P4497" s="5">
        <v>1462</v>
      </c>
    </row>
    <row r="4498" spans="1:16" x14ac:dyDescent="0.3">
      <c r="A4498" s="5">
        <v>9</v>
      </c>
      <c r="B4498" s="5" t="s">
        <v>162</v>
      </c>
      <c r="C4498" s="5">
        <v>6</v>
      </c>
      <c r="D4498" s="5" t="s">
        <v>90</v>
      </c>
      <c r="E4498" s="5">
        <v>2023</v>
      </c>
      <c r="F4498" s="5">
        <v>2</v>
      </c>
      <c r="G4498" s="5" t="s">
        <v>47</v>
      </c>
      <c r="H4498" s="5">
        <v>1054601</v>
      </c>
      <c r="I4498" s="5">
        <v>886073.67</v>
      </c>
      <c r="J4498" s="5">
        <v>21</v>
      </c>
      <c r="K4498" s="5">
        <v>97437</v>
      </c>
      <c r="L4498" s="5">
        <v>1148270</v>
      </c>
      <c r="M4498" s="5">
        <v>168527.33</v>
      </c>
      <c r="N4498" s="5">
        <v>0.1598</v>
      </c>
      <c r="O4498" s="5">
        <v>1</v>
      </c>
      <c r="P4498" s="5">
        <v>3110</v>
      </c>
    </row>
    <row r="4499" spans="1:16" x14ac:dyDescent="0.3">
      <c r="A4499" s="5">
        <v>36</v>
      </c>
      <c r="B4499" s="5" t="s">
        <v>162</v>
      </c>
      <c r="C4499" s="5">
        <v>6</v>
      </c>
      <c r="D4499" s="5" t="s">
        <v>90</v>
      </c>
      <c r="E4499" s="5">
        <v>2023</v>
      </c>
      <c r="F4499" s="5">
        <v>2</v>
      </c>
      <c r="G4499" s="5" t="s">
        <v>47</v>
      </c>
      <c r="H4499" s="5">
        <v>1754282</v>
      </c>
      <c r="I4499" s="5">
        <v>1414571.76</v>
      </c>
      <c r="J4499" s="5">
        <v>24</v>
      </c>
      <c r="K4499" s="5">
        <v>124934</v>
      </c>
      <c r="L4499" s="5">
        <v>1870200</v>
      </c>
      <c r="M4499" s="5">
        <v>339710.24</v>
      </c>
      <c r="N4499" s="5">
        <v>0.19359999999999999</v>
      </c>
      <c r="O4499" s="5">
        <v>4</v>
      </c>
      <c r="P4499" s="5">
        <v>228332</v>
      </c>
    </row>
    <row r="4500" spans="1:16" x14ac:dyDescent="0.3">
      <c r="A4500" s="5">
        <v>67</v>
      </c>
      <c r="B4500" s="5" t="s">
        <v>162</v>
      </c>
      <c r="C4500" s="5">
        <v>6</v>
      </c>
      <c r="D4500" s="5" t="s">
        <v>90</v>
      </c>
      <c r="E4500" s="5">
        <v>2023</v>
      </c>
      <c r="F4500" s="5">
        <v>2</v>
      </c>
      <c r="G4500" s="5" t="s">
        <v>47</v>
      </c>
      <c r="H4500" s="5">
        <v>1736844</v>
      </c>
      <c r="I4500" s="5">
        <v>1443318.74</v>
      </c>
      <c r="J4500" s="5">
        <v>29</v>
      </c>
      <c r="K4500" s="5">
        <v>122272</v>
      </c>
      <c r="L4500" s="5">
        <v>1846450</v>
      </c>
      <c r="M4500" s="5">
        <v>293525.26</v>
      </c>
      <c r="N4500" s="5">
        <v>0.16900000000000001</v>
      </c>
      <c r="O4500" s="5">
        <v>2</v>
      </c>
      <c r="P4500" s="5">
        <v>4627</v>
      </c>
    </row>
    <row r="4501" spans="1:16" x14ac:dyDescent="0.3">
      <c r="A4501" s="5">
        <v>115</v>
      </c>
      <c r="B4501" s="5" t="s">
        <v>162</v>
      </c>
      <c r="C4501" s="5">
        <v>6</v>
      </c>
      <c r="D4501" s="5" t="s">
        <v>90</v>
      </c>
      <c r="E4501" s="5">
        <v>2023</v>
      </c>
      <c r="F4501" s="5">
        <v>2</v>
      </c>
      <c r="G4501" s="5" t="s">
        <v>47</v>
      </c>
      <c r="H4501" s="5">
        <v>2289430</v>
      </c>
      <c r="I4501" s="5">
        <v>1919775.74</v>
      </c>
      <c r="J4501" s="5">
        <v>32</v>
      </c>
      <c r="K4501" s="5">
        <v>187608</v>
      </c>
      <c r="L4501" s="5">
        <v>2472100</v>
      </c>
      <c r="M4501" s="5">
        <v>369654.26</v>
      </c>
      <c r="N4501" s="5">
        <v>0.1615</v>
      </c>
      <c r="O4501" s="5">
        <v>3</v>
      </c>
      <c r="P4501" s="5">
        <v>97561</v>
      </c>
    </row>
    <row r="4502" spans="1:16" x14ac:dyDescent="0.3">
      <c r="A4502" s="5">
        <v>1</v>
      </c>
      <c r="B4502" s="5" t="s">
        <v>162</v>
      </c>
      <c r="C4502" s="5">
        <v>6</v>
      </c>
      <c r="D4502" s="5" t="s">
        <v>90</v>
      </c>
      <c r="E4502" s="5">
        <v>2023</v>
      </c>
      <c r="F4502" s="5">
        <v>3</v>
      </c>
      <c r="G4502" s="5" t="s">
        <v>48</v>
      </c>
      <c r="H4502" s="5">
        <v>3157188</v>
      </c>
      <c r="I4502" s="5">
        <v>2771347.05</v>
      </c>
      <c r="J4502" s="5">
        <v>45</v>
      </c>
      <c r="K4502" s="5">
        <v>434510</v>
      </c>
      <c r="L4502" s="5">
        <v>3588850</v>
      </c>
      <c r="M4502" s="5">
        <v>385840.95</v>
      </c>
      <c r="N4502" s="5">
        <v>0.1222</v>
      </c>
      <c r="O4502" s="5">
        <v>2</v>
      </c>
      <c r="P4502" s="5">
        <v>51828</v>
      </c>
    </row>
    <row r="4503" spans="1:16" x14ac:dyDescent="0.3">
      <c r="A4503" s="5">
        <v>9</v>
      </c>
      <c r="B4503" s="5" t="s">
        <v>162</v>
      </c>
      <c r="C4503" s="5">
        <v>6</v>
      </c>
      <c r="D4503" s="5" t="s">
        <v>90</v>
      </c>
      <c r="E4503" s="5">
        <v>2023</v>
      </c>
      <c r="F4503" s="5">
        <v>3</v>
      </c>
      <c r="G4503" s="5" t="s">
        <v>48</v>
      </c>
      <c r="H4503" s="5">
        <v>2079953</v>
      </c>
      <c r="I4503" s="5">
        <v>1813879.21</v>
      </c>
      <c r="J4503" s="5">
        <v>29</v>
      </c>
      <c r="K4503" s="5">
        <v>237692</v>
      </c>
      <c r="L4503" s="5">
        <v>2309820</v>
      </c>
      <c r="M4503" s="5">
        <v>266073.78999999998</v>
      </c>
      <c r="N4503" s="5">
        <v>0.12790000000000001</v>
      </c>
      <c r="O4503" s="5">
        <v>2</v>
      </c>
      <c r="P4503" s="5">
        <v>65591</v>
      </c>
    </row>
    <row r="4504" spans="1:16" x14ac:dyDescent="0.3">
      <c r="A4504" s="5">
        <v>36</v>
      </c>
      <c r="B4504" s="5" t="s">
        <v>162</v>
      </c>
      <c r="C4504" s="5">
        <v>6</v>
      </c>
      <c r="D4504" s="5" t="s">
        <v>90</v>
      </c>
      <c r="E4504" s="5">
        <v>2023</v>
      </c>
      <c r="F4504" s="5">
        <v>3</v>
      </c>
      <c r="G4504" s="5" t="s">
        <v>48</v>
      </c>
      <c r="H4504" s="5">
        <v>2172711</v>
      </c>
      <c r="I4504" s="5">
        <v>1936298.83</v>
      </c>
      <c r="J4504" s="5">
        <v>40</v>
      </c>
      <c r="K4504" s="5">
        <v>313486</v>
      </c>
      <c r="L4504" s="5">
        <v>2477090</v>
      </c>
      <c r="M4504" s="5">
        <v>236412.17</v>
      </c>
      <c r="N4504" s="5">
        <v>0.10879999999999999</v>
      </c>
      <c r="O4504" s="5">
        <v>2</v>
      </c>
      <c r="P4504" s="5">
        <v>66798</v>
      </c>
    </row>
    <row r="4505" spans="1:16" x14ac:dyDescent="0.3">
      <c r="A4505" s="5">
        <v>67</v>
      </c>
      <c r="B4505" s="5" t="s">
        <v>162</v>
      </c>
      <c r="C4505" s="5">
        <v>6</v>
      </c>
      <c r="D4505" s="5" t="s">
        <v>90</v>
      </c>
      <c r="E4505" s="5">
        <v>2023</v>
      </c>
      <c r="F4505" s="5">
        <v>3</v>
      </c>
      <c r="G4505" s="5" t="s">
        <v>48</v>
      </c>
      <c r="H4505" s="5">
        <v>3063088</v>
      </c>
      <c r="I4505" s="5">
        <v>2615625.7999999998</v>
      </c>
      <c r="J4505" s="5">
        <v>34</v>
      </c>
      <c r="K4505" s="5">
        <v>365235</v>
      </c>
      <c r="L4505" s="5">
        <v>3418800</v>
      </c>
      <c r="M4505" s="5">
        <v>447462.2</v>
      </c>
      <c r="N4505" s="5">
        <v>0.14610000000000001</v>
      </c>
      <c r="O4505" s="5">
        <v>2</v>
      </c>
      <c r="P4505" s="5">
        <v>19445</v>
      </c>
    </row>
    <row r="4506" spans="1:16" x14ac:dyDescent="0.3">
      <c r="A4506" s="5">
        <v>115</v>
      </c>
      <c r="B4506" s="5" t="s">
        <v>162</v>
      </c>
      <c r="C4506" s="5">
        <v>6</v>
      </c>
      <c r="D4506" s="5" t="s">
        <v>90</v>
      </c>
      <c r="E4506" s="5">
        <v>2023</v>
      </c>
      <c r="F4506" s="5">
        <v>3</v>
      </c>
      <c r="G4506" s="5" t="s">
        <v>48</v>
      </c>
      <c r="H4506" s="5">
        <v>1217099</v>
      </c>
      <c r="I4506" s="5">
        <v>979225.04</v>
      </c>
      <c r="J4506" s="5">
        <v>26</v>
      </c>
      <c r="K4506" s="5">
        <v>89609</v>
      </c>
      <c r="L4506" s="5">
        <v>1300170</v>
      </c>
      <c r="M4506" s="5">
        <v>237873.96</v>
      </c>
      <c r="N4506" s="5">
        <v>0.19539999999999999</v>
      </c>
      <c r="O4506" s="5">
        <v>3</v>
      </c>
      <c r="P4506" s="5">
        <v>155785</v>
      </c>
    </row>
    <row r="4507" spans="1:16" x14ac:dyDescent="0.3">
      <c r="A4507" s="5">
        <v>1</v>
      </c>
      <c r="B4507" s="5" t="s">
        <v>162</v>
      </c>
      <c r="C4507" s="5">
        <v>6</v>
      </c>
      <c r="D4507" s="5" t="s">
        <v>90</v>
      </c>
      <c r="E4507" s="5">
        <v>2023</v>
      </c>
      <c r="F4507" s="5">
        <v>4</v>
      </c>
      <c r="G4507" s="5" t="s">
        <v>49</v>
      </c>
      <c r="H4507" s="5">
        <v>3023033</v>
      </c>
      <c r="I4507" s="5">
        <v>2651718.6</v>
      </c>
      <c r="J4507" s="5">
        <v>42</v>
      </c>
      <c r="K4507" s="5">
        <v>414721</v>
      </c>
      <c r="L4507" s="5">
        <v>3431990</v>
      </c>
      <c r="M4507" s="5">
        <v>371314.4</v>
      </c>
      <c r="N4507" s="5">
        <v>0.12280000000000001</v>
      </c>
      <c r="O4507" s="5">
        <v>2</v>
      </c>
      <c r="P4507" s="5">
        <v>16625</v>
      </c>
    </row>
    <row r="4508" spans="1:16" x14ac:dyDescent="0.3">
      <c r="A4508" s="5">
        <v>9</v>
      </c>
      <c r="B4508" s="5" t="s">
        <v>162</v>
      </c>
      <c r="C4508" s="5">
        <v>6</v>
      </c>
      <c r="D4508" s="5" t="s">
        <v>90</v>
      </c>
      <c r="E4508" s="5">
        <v>2023</v>
      </c>
      <c r="F4508" s="5">
        <v>4</v>
      </c>
      <c r="G4508" s="5" t="s">
        <v>49</v>
      </c>
      <c r="H4508" s="5">
        <v>1302629</v>
      </c>
      <c r="I4508" s="5">
        <v>1207230.43</v>
      </c>
      <c r="J4508" s="5">
        <v>25</v>
      </c>
      <c r="K4508" s="5">
        <v>262227</v>
      </c>
      <c r="L4508" s="5">
        <v>1564560</v>
      </c>
      <c r="M4508" s="5">
        <v>95398.57</v>
      </c>
      <c r="N4508" s="5">
        <v>7.3200000000000001E-2</v>
      </c>
      <c r="O4508" s="5">
        <v>2</v>
      </c>
      <c r="P4508" s="5">
        <v>54161</v>
      </c>
    </row>
    <row r="4509" spans="1:16" x14ac:dyDescent="0.3">
      <c r="A4509" s="5">
        <v>36</v>
      </c>
      <c r="B4509" s="5" t="s">
        <v>162</v>
      </c>
      <c r="C4509" s="5">
        <v>6</v>
      </c>
      <c r="D4509" s="5" t="s">
        <v>90</v>
      </c>
      <c r="E4509" s="5">
        <v>2023</v>
      </c>
      <c r="F4509" s="5">
        <v>4</v>
      </c>
      <c r="G4509" s="5" t="s">
        <v>49</v>
      </c>
      <c r="H4509" s="5">
        <v>3234352</v>
      </c>
      <c r="I4509" s="5">
        <v>2687122.63</v>
      </c>
      <c r="J4509" s="5">
        <v>40</v>
      </c>
      <c r="K4509" s="5">
        <v>265734</v>
      </c>
      <c r="L4509" s="5">
        <v>3482650</v>
      </c>
      <c r="M4509" s="5">
        <v>547229.37</v>
      </c>
      <c r="N4509" s="5">
        <v>0.16919999999999999</v>
      </c>
      <c r="O4509" s="5">
        <v>3</v>
      </c>
      <c r="P4509" s="5">
        <v>49201</v>
      </c>
    </row>
    <row r="4510" spans="1:16" x14ac:dyDescent="0.3">
      <c r="A4510" s="5">
        <v>67</v>
      </c>
      <c r="B4510" s="5" t="s">
        <v>162</v>
      </c>
      <c r="C4510" s="5">
        <v>6</v>
      </c>
      <c r="D4510" s="5" t="s">
        <v>90</v>
      </c>
      <c r="E4510" s="5">
        <v>2023</v>
      </c>
      <c r="F4510" s="5">
        <v>4</v>
      </c>
      <c r="G4510" s="5" t="s">
        <v>49</v>
      </c>
      <c r="H4510" s="5">
        <v>3218012</v>
      </c>
      <c r="I4510" s="5">
        <v>2877893.71</v>
      </c>
      <c r="J4510" s="5">
        <v>44</v>
      </c>
      <c r="K4510" s="5">
        <v>531866</v>
      </c>
      <c r="L4510" s="5">
        <v>3736460</v>
      </c>
      <c r="M4510" s="5">
        <v>340118.29</v>
      </c>
      <c r="N4510" s="5">
        <v>0.1057</v>
      </c>
      <c r="O4510" s="5">
        <v>5</v>
      </c>
      <c r="P4510" s="5">
        <v>32934</v>
      </c>
    </row>
    <row r="4511" spans="1:16" x14ac:dyDescent="0.3">
      <c r="A4511" s="5">
        <v>115</v>
      </c>
      <c r="B4511" s="5" t="s">
        <v>162</v>
      </c>
      <c r="C4511" s="5">
        <v>6</v>
      </c>
      <c r="D4511" s="5" t="s">
        <v>90</v>
      </c>
      <c r="E4511" s="5">
        <v>2023</v>
      </c>
      <c r="F4511" s="5">
        <v>4</v>
      </c>
      <c r="G4511" s="5" t="s">
        <v>49</v>
      </c>
      <c r="H4511" s="5">
        <v>1201276</v>
      </c>
      <c r="I4511" s="5">
        <v>1016505.34</v>
      </c>
      <c r="J4511" s="5">
        <v>19</v>
      </c>
      <c r="K4511" s="5">
        <v>117083</v>
      </c>
      <c r="L4511" s="5">
        <v>1314510</v>
      </c>
      <c r="M4511" s="5">
        <v>184770.66</v>
      </c>
      <c r="N4511" s="5">
        <v>0.15379999999999999</v>
      </c>
      <c r="O4511" s="5">
        <v>2</v>
      </c>
      <c r="P4511" s="5">
        <v>77574</v>
      </c>
    </row>
    <row r="4512" spans="1:16" x14ac:dyDescent="0.3">
      <c r="A4512" s="5">
        <v>1</v>
      </c>
      <c r="B4512" s="5" t="s">
        <v>162</v>
      </c>
      <c r="C4512" s="5">
        <v>6</v>
      </c>
      <c r="D4512" s="5" t="s">
        <v>90</v>
      </c>
      <c r="E4512" s="5">
        <v>2023</v>
      </c>
      <c r="F4512" s="5">
        <v>5</v>
      </c>
      <c r="G4512" s="5" t="s">
        <v>50</v>
      </c>
      <c r="H4512" s="5">
        <v>3695135</v>
      </c>
      <c r="I4512" s="5">
        <v>3187429.25</v>
      </c>
      <c r="J4512" s="5">
        <v>54</v>
      </c>
      <c r="K4512" s="5">
        <v>347366</v>
      </c>
      <c r="L4512" s="5">
        <v>4025580</v>
      </c>
      <c r="M4512" s="5">
        <v>507705.75</v>
      </c>
      <c r="N4512" s="5">
        <v>0.13739999999999999</v>
      </c>
      <c r="O4512" s="5">
        <v>3</v>
      </c>
      <c r="P4512" s="5">
        <v>51802</v>
      </c>
    </row>
    <row r="4513" spans="1:16" x14ac:dyDescent="0.3">
      <c r="A4513" s="5">
        <v>9</v>
      </c>
      <c r="B4513" s="5" t="s">
        <v>162</v>
      </c>
      <c r="C4513" s="5">
        <v>6</v>
      </c>
      <c r="D4513" s="5" t="s">
        <v>90</v>
      </c>
      <c r="E4513" s="5">
        <v>2023</v>
      </c>
      <c r="F4513" s="5">
        <v>5</v>
      </c>
      <c r="G4513" s="5" t="s">
        <v>50</v>
      </c>
      <c r="H4513" s="5">
        <v>2017818</v>
      </c>
      <c r="I4513" s="5">
        <v>1785192.13</v>
      </c>
      <c r="J4513" s="5">
        <v>31</v>
      </c>
      <c r="K4513" s="5">
        <v>272432</v>
      </c>
      <c r="L4513" s="5">
        <v>2279310</v>
      </c>
      <c r="M4513" s="5">
        <v>232625.87</v>
      </c>
      <c r="N4513" s="5">
        <v>0.1153</v>
      </c>
      <c r="O4513" s="5">
        <v>2</v>
      </c>
      <c r="P4513" s="5">
        <v>29237</v>
      </c>
    </row>
    <row r="4514" spans="1:16" x14ac:dyDescent="0.3">
      <c r="A4514" s="5">
        <v>36</v>
      </c>
      <c r="B4514" s="5" t="s">
        <v>162</v>
      </c>
      <c r="C4514" s="5">
        <v>6</v>
      </c>
      <c r="D4514" s="5" t="s">
        <v>90</v>
      </c>
      <c r="E4514" s="5">
        <v>2023</v>
      </c>
      <c r="F4514" s="5">
        <v>5</v>
      </c>
      <c r="G4514" s="5" t="s">
        <v>50</v>
      </c>
      <c r="H4514" s="5">
        <v>1996306</v>
      </c>
      <c r="I4514" s="5">
        <v>1653449.39</v>
      </c>
      <c r="J4514" s="5">
        <v>42</v>
      </c>
      <c r="K4514" s="5">
        <v>214033</v>
      </c>
      <c r="L4514" s="5">
        <v>2202270</v>
      </c>
      <c r="M4514" s="5">
        <v>342856.61</v>
      </c>
      <c r="N4514" s="5">
        <v>0.17169999999999999</v>
      </c>
      <c r="O4514" s="5">
        <v>1</v>
      </c>
      <c r="P4514" s="5">
        <v>20701</v>
      </c>
    </row>
    <row r="4515" spans="1:16" x14ac:dyDescent="0.3">
      <c r="A4515" s="5">
        <v>67</v>
      </c>
      <c r="B4515" s="5" t="s">
        <v>162</v>
      </c>
      <c r="C4515" s="5">
        <v>6</v>
      </c>
      <c r="D4515" s="5" t="s">
        <v>90</v>
      </c>
      <c r="E4515" s="5">
        <v>2023</v>
      </c>
      <c r="F4515" s="5">
        <v>5</v>
      </c>
      <c r="G4515" s="5" t="s">
        <v>50</v>
      </c>
      <c r="H4515" s="5">
        <v>2806986</v>
      </c>
      <c r="I4515" s="5">
        <v>2483553.4</v>
      </c>
      <c r="J4515" s="5">
        <v>44</v>
      </c>
      <c r="K4515" s="5">
        <v>432996</v>
      </c>
      <c r="L4515" s="5">
        <v>3234540</v>
      </c>
      <c r="M4515" s="5">
        <v>323432.59999999998</v>
      </c>
      <c r="N4515" s="5">
        <v>0.1152</v>
      </c>
      <c r="O4515" s="5">
        <v>6</v>
      </c>
      <c r="P4515" s="5">
        <v>248489</v>
      </c>
    </row>
    <row r="4516" spans="1:16" x14ac:dyDescent="0.3">
      <c r="A4516" s="5">
        <v>115</v>
      </c>
      <c r="B4516" s="5" t="s">
        <v>162</v>
      </c>
      <c r="C4516" s="5">
        <v>6</v>
      </c>
      <c r="D4516" s="5" t="s">
        <v>90</v>
      </c>
      <c r="E4516" s="5">
        <v>2023</v>
      </c>
      <c r="F4516" s="5">
        <v>5</v>
      </c>
      <c r="G4516" s="5" t="s">
        <v>50</v>
      </c>
      <c r="H4516" s="5">
        <v>1498046</v>
      </c>
      <c r="I4516" s="5">
        <v>1294888.45</v>
      </c>
      <c r="J4516" s="5">
        <v>29</v>
      </c>
      <c r="K4516" s="5">
        <v>154894</v>
      </c>
      <c r="L4516" s="5">
        <v>1648800</v>
      </c>
      <c r="M4516" s="5">
        <v>203157.55</v>
      </c>
      <c r="N4516" s="5">
        <v>0.1356</v>
      </c>
      <c r="O4516" s="5">
        <v>2</v>
      </c>
      <c r="P4516" s="5">
        <v>79992</v>
      </c>
    </row>
    <row r="4517" spans="1:16" x14ac:dyDescent="0.3">
      <c r="A4517" s="5">
        <v>1</v>
      </c>
      <c r="B4517" s="5" t="s">
        <v>162</v>
      </c>
      <c r="C4517" s="5">
        <v>6</v>
      </c>
      <c r="D4517" s="5" t="s">
        <v>90</v>
      </c>
      <c r="E4517" s="5">
        <v>2023</v>
      </c>
      <c r="F4517" s="5">
        <v>6</v>
      </c>
      <c r="G4517" s="5" t="s">
        <v>51</v>
      </c>
      <c r="H4517" s="5">
        <v>2918707</v>
      </c>
      <c r="I4517" s="5">
        <v>2448628.5499999998</v>
      </c>
      <c r="J4517" s="5">
        <v>34</v>
      </c>
      <c r="K4517" s="5">
        <v>223708</v>
      </c>
      <c r="L4517" s="5">
        <v>3135080</v>
      </c>
      <c r="M4517" s="5">
        <v>470078.45</v>
      </c>
      <c r="N4517" s="5">
        <v>0.16109999999999999</v>
      </c>
      <c r="O4517" s="5">
        <v>4</v>
      </c>
      <c r="P4517" s="5">
        <v>78644</v>
      </c>
    </row>
    <row r="4518" spans="1:16" x14ac:dyDescent="0.3">
      <c r="A4518" s="5">
        <v>9</v>
      </c>
      <c r="B4518" s="5" t="s">
        <v>162</v>
      </c>
      <c r="C4518" s="5">
        <v>6</v>
      </c>
      <c r="D4518" s="5" t="s">
        <v>90</v>
      </c>
      <c r="E4518" s="5">
        <v>2023</v>
      </c>
      <c r="F4518" s="5">
        <v>6</v>
      </c>
      <c r="G4518" s="5" t="s">
        <v>51</v>
      </c>
      <c r="H4518" s="5">
        <v>3634916</v>
      </c>
      <c r="I4518" s="5">
        <v>3210384.71</v>
      </c>
      <c r="J4518" s="5">
        <v>42</v>
      </c>
      <c r="K4518" s="5">
        <v>449959</v>
      </c>
      <c r="L4518" s="5">
        <v>4079860</v>
      </c>
      <c r="M4518" s="5">
        <v>424531.29</v>
      </c>
      <c r="N4518" s="5">
        <v>0.1168</v>
      </c>
      <c r="O4518" s="5">
        <v>4</v>
      </c>
      <c r="P4518" s="5">
        <v>173409</v>
      </c>
    </row>
    <row r="4519" spans="1:16" x14ac:dyDescent="0.3">
      <c r="A4519" s="5">
        <v>36</v>
      </c>
      <c r="B4519" s="5" t="s">
        <v>162</v>
      </c>
      <c r="C4519" s="5">
        <v>6</v>
      </c>
      <c r="D4519" s="5" t="s">
        <v>90</v>
      </c>
      <c r="E4519" s="5">
        <v>2023</v>
      </c>
      <c r="F4519" s="5">
        <v>6</v>
      </c>
      <c r="G4519" s="5" t="s">
        <v>51</v>
      </c>
      <c r="H4519" s="5">
        <v>3510552</v>
      </c>
      <c r="I4519" s="5">
        <v>2969824.57</v>
      </c>
      <c r="J4519" s="5">
        <v>44</v>
      </c>
      <c r="K4519" s="5">
        <v>314944</v>
      </c>
      <c r="L4519" s="5">
        <v>3802450</v>
      </c>
      <c r="M4519" s="5">
        <v>540727.43000000005</v>
      </c>
      <c r="N4519" s="5">
        <v>0.154</v>
      </c>
      <c r="O4519" s="5">
        <v>4</v>
      </c>
      <c r="P4519" s="5">
        <v>256076</v>
      </c>
    </row>
    <row r="4520" spans="1:16" x14ac:dyDescent="0.3">
      <c r="A4520" s="5">
        <v>67</v>
      </c>
      <c r="B4520" s="5" t="s">
        <v>162</v>
      </c>
      <c r="C4520" s="5">
        <v>6</v>
      </c>
      <c r="D4520" s="5" t="s">
        <v>90</v>
      </c>
      <c r="E4520" s="5">
        <v>2023</v>
      </c>
      <c r="F4520" s="5">
        <v>6</v>
      </c>
      <c r="G4520" s="5" t="s">
        <v>51</v>
      </c>
      <c r="H4520" s="5">
        <v>2106246</v>
      </c>
      <c r="I4520" s="5">
        <v>1726146.53</v>
      </c>
      <c r="J4520" s="5">
        <v>36</v>
      </c>
      <c r="K4520" s="5">
        <v>171298</v>
      </c>
      <c r="L4520" s="5">
        <v>2272520</v>
      </c>
      <c r="M4520" s="5">
        <v>380099.47</v>
      </c>
      <c r="N4520" s="5">
        <v>0.18049999999999999</v>
      </c>
      <c r="O4520" s="5">
        <v>2</v>
      </c>
      <c r="P4520" s="5">
        <v>79131</v>
      </c>
    </row>
    <row r="4521" spans="1:16" x14ac:dyDescent="0.3">
      <c r="A4521" s="5">
        <v>115</v>
      </c>
      <c r="B4521" s="5" t="s">
        <v>162</v>
      </c>
      <c r="C4521" s="5">
        <v>6</v>
      </c>
      <c r="D4521" s="5" t="s">
        <v>90</v>
      </c>
      <c r="E4521" s="5">
        <v>2023</v>
      </c>
      <c r="F4521" s="5">
        <v>6</v>
      </c>
      <c r="G4521" s="5" t="s">
        <v>51</v>
      </c>
      <c r="H4521" s="5">
        <v>1447473</v>
      </c>
      <c r="I4521" s="5">
        <v>1185223.1499999999</v>
      </c>
      <c r="J4521" s="5">
        <v>30</v>
      </c>
      <c r="K4521" s="5">
        <v>151989</v>
      </c>
      <c r="L4521" s="5">
        <v>1591520</v>
      </c>
      <c r="M4521" s="5">
        <v>262249.84999999998</v>
      </c>
      <c r="N4521" s="5">
        <v>0.1812</v>
      </c>
      <c r="O4521" s="5">
        <v>1</v>
      </c>
      <c r="P4521" s="5">
        <v>983</v>
      </c>
    </row>
    <row r="4522" spans="1:16" x14ac:dyDescent="0.3">
      <c r="A4522" s="5">
        <v>1</v>
      </c>
      <c r="B4522" s="5" t="s">
        <v>162</v>
      </c>
      <c r="C4522" s="5">
        <v>6</v>
      </c>
      <c r="D4522" s="5" t="s">
        <v>90</v>
      </c>
      <c r="E4522" s="5">
        <v>2023</v>
      </c>
      <c r="F4522" s="5">
        <v>7</v>
      </c>
      <c r="G4522" s="5" t="s">
        <v>52</v>
      </c>
      <c r="H4522" s="5">
        <v>2298838</v>
      </c>
      <c r="I4522" s="5">
        <v>2010308.45</v>
      </c>
      <c r="J4522" s="5">
        <v>32</v>
      </c>
      <c r="K4522" s="5">
        <v>271215</v>
      </c>
      <c r="L4522" s="5">
        <v>2558340</v>
      </c>
      <c r="M4522" s="5">
        <v>288529.55</v>
      </c>
      <c r="N4522" s="5">
        <v>0.1255</v>
      </c>
      <c r="O4522" s="5">
        <v>1</v>
      </c>
      <c r="P4522" s="5">
        <v>10939</v>
      </c>
    </row>
    <row r="4523" spans="1:16" x14ac:dyDescent="0.3">
      <c r="A4523" s="5">
        <v>9</v>
      </c>
      <c r="B4523" s="5" t="s">
        <v>162</v>
      </c>
      <c r="C4523" s="5">
        <v>6</v>
      </c>
      <c r="D4523" s="5" t="s">
        <v>90</v>
      </c>
      <c r="E4523" s="5">
        <v>2023</v>
      </c>
      <c r="F4523" s="5">
        <v>7</v>
      </c>
      <c r="G4523" s="5" t="s">
        <v>52</v>
      </c>
      <c r="H4523" s="5">
        <v>2153831</v>
      </c>
      <c r="I4523" s="5">
        <v>1926796.79</v>
      </c>
      <c r="J4523" s="5">
        <v>36</v>
      </c>
      <c r="K4523" s="5">
        <v>332121</v>
      </c>
      <c r="L4523" s="5">
        <v>2471740</v>
      </c>
      <c r="M4523" s="5">
        <v>227034.21</v>
      </c>
      <c r="N4523" s="5">
        <v>0.10539999999999999</v>
      </c>
      <c r="O4523" s="5">
        <v>5</v>
      </c>
      <c r="P4523" s="5">
        <v>163588</v>
      </c>
    </row>
    <row r="4524" spans="1:16" x14ac:dyDescent="0.3">
      <c r="A4524" s="5">
        <v>36</v>
      </c>
      <c r="B4524" s="5" t="s">
        <v>162</v>
      </c>
      <c r="C4524" s="5">
        <v>6</v>
      </c>
      <c r="D4524" s="5" t="s">
        <v>90</v>
      </c>
      <c r="E4524" s="5">
        <v>2023</v>
      </c>
      <c r="F4524" s="5">
        <v>7</v>
      </c>
      <c r="G4524" s="5" t="s">
        <v>52</v>
      </c>
      <c r="H4524" s="5">
        <v>3097705</v>
      </c>
      <c r="I4524" s="5">
        <v>2605433.2400000002</v>
      </c>
      <c r="J4524" s="5">
        <v>41</v>
      </c>
      <c r="K4524" s="5">
        <v>318277</v>
      </c>
      <c r="L4524" s="5">
        <v>3391790</v>
      </c>
      <c r="M4524" s="5">
        <v>492271.76</v>
      </c>
      <c r="N4524" s="5">
        <v>0.15890000000000001</v>
      </c>
      <c r="O4524" s="5">
        <v>3</v>
      </c>
      <c r="P4524" s="5">
        <v>14817</v>
      </c>
    </row>
    <row r="4525" spans="1:16" x14ac:dyDescent="0.3">
      <c r="A4525" s="5">
        <v>67</v>
      </c>
      <c r="B4525" s="5" t="s">
        <v>162</v>
      </c>
      <c r="C4525" s="5">
        <v>6</v>
      </c>
      <c r="D4525" s="5" t="s">
        <v>90</v>
      </c>
      <c r="E4525" s="5">
        <v>2023</v>
      </c>
      <c r="F4525" s="5">
        <v>7</v>
      </c>
      <c r="G4525" s="5" t="s">
        <v>52</v>
      </c>
      <c r="H4525" s="5">
        <v>2772170</v>
      </c>
      <c r="I4525" s="5">
        <v>2393180.4</v>
      </c>
      <c r="J4525" s="5">
        <v>37</v>
      </c>
      <c r="K4525" s="5">
        <v>324474</v>
      </c>
      <c r="L4525" s="5">
        <v>3091590</v>
      </c>
      <c r="M4525" s="5">
        <v>378989.6</v>
      </c>
      <c r="N4525" s="5">
        <v>0.13669999999999999</v>
      </c>
      <c r="O4525" s="5">
        <v>1</v>
      </c>
      <c r="P4525" s="5">
        <v>30870</v>
      </c>
    </row>
    <row r="4526" spans="1:16" x14ac:dyDescent="0.3">
      <c r="A4526" s="5">
        <v>115</v>
      </c>
      <c r="B4526" s="5" t="s">
        <v>162</v>
      </c>
      <c r="C4526" s="5">
        <v>6</v>
      </c>
      <c r="D4526" s="5" t="s">
        <v>90</v>
      </c>
      <c r="E4526" s="5">
        <v>2023</v>
      </c>
      <c r="F4526" s="5">
        <v>7</v>
      </c>
      <c r="G4526" s="5" t="s">
        <v>52</v>
      </c>
      <c r="H4526" s="5">
        <v>2036729</v>
      </c>
      <c r="I4526" s="5">
        <v>1863819.47</v>
      </c>
      <c r="J4526" s="5">
        <v>25</v>
      </c>
      <c r="K4526" s="5">
        <v>323706</v>
      </c>
      <c r="L4526" s="5">
        <v>2352060</v>
      </c>
      <c r="M4526" s="5">
        <v>172909.53</v>
      </c>
      <c r="N4526" s="5">
        <v>8.4900000000000003E-2</v>
      </c>
      <c r="O4526" s="5">
        <v>1</v>
      </c>
      <c r="P4526" s="5">
        <v>6806</v>
      </c>
    </row>
    <row r="4527" spans="1:16" x14ac:dyDescent="0.3">
      <c r="A4527" s="5">
        <v>1</v>
      </c>
      <c r="B4527" s="5" t="s">
        <v>162</v>
      </c>
      <c r="C4527" s="5">
        <v>6</v>
      </c>
      <c r="D4527" s="5" t="s">
        <v>90</v>
      </c>
      <c r="E4527" s="5">
        <v>2023</v>
      </c>
      <c r="F4527" s="5">
        <v>8</v>
      </c>
      <c r="G4527" s="5" t="s">
        <v>53</v>
      </c>
      <c r="H4527" s="5">
        <v>3264285</v>
      </c>
      <c r="I4527" s="5">
        <v>3002333.5</v>
      </c>
      <c r="J4527" s="5">
        <v>44</v>
      </c>
      <c r="K4527" s="5">
        <v>619295</v>
      </c>
      <c r="L4527" s="5">
        <v>3881870</v>
      </c>
      <c r="M4527" s="5">
        <v>261951.5</v>
      </c>
      <c r="N4527" s="5">
        <v>8.0199999999999994E-2</v>
      </c>
      <c r="O4527" s="5">
        <v>3</v>
      </c>
      <c r="P4527" s="5">
        <v>64083</v>
      </c>
    </row>
    <row r="4528" spans="1:16" x14ac:dyDescent="0.3">
      <c r="A4528" s="5">
        <v>9</v>
      </c>
      <c r="B4528" s="5" t="s">
        <v>162</v>
      </c>
      <c r="C4528" s="5">
        <v>6</v>
      </c>
      <c r="D4528" s="5" t="s">
        <v>90</v>
      </c>
      <c r="E4528" s="5">
        <v>2023</v>
      </c>
      <c r="F4528" s="5">
        <v>8</v>
      </c>
      <c r="G4528" s="5" t="s">
        <v>53</v>
      </c>
      <c r="H4528" s="5">
        <v>2123053</v>
      </c>
      <c r="I4528" s="5">
        <v>1943904.78</v>
      </c>
      <c r="J4528" s="5">
        <v>33</v>
      </c>
      <c r="K4528" s="5">
        <v>339895</v>
      </c>
      <c r="L4528" s="5">
        <v>2457230</v>
      </c>
      <c r="M4528" s="5">
        <v>179148.22</v>
      </c>
      <c r="N4528" s="5">
        <v>8.4400000000000003E-2</v>
      </c>
      <c r="O4528" s="5">
        <v>1</v>
      </c>
      <c r="P4528" s="5">
        <v>2611</v>
      </c>
    </row>
    <row r="4529" spans="1:16" x14ac:dyDescent="0.3">
      <c r="A4529" s="5">
        <v>36</v>
      </c>
      <c r="B4529" s="5" t="s">
        <v>162</v>
      </c>
      <c r="C4529" s="5">
        <v>6</v>
      </c>
      <c r="D4529" s="5" t="s">
        <v>90</v>
      </c>
      <c r="E4529" s="5">
        <v>2023</v>
      </c>
      <c r="F4529" s="5">
        <v>8</v>
      </c>
      <c r="G4529" s="5" t="s">
        <v>53</v>
      </c>
      <c r="H4529" s="5">
        <v>1712634</v>
      </c>
      <c r="I4529" s="5">
        <v>1622734.26</v>
      </c>
      <c r="J4529" s="5">
        <v>28</v>
      </c>
      <c r="K4529" s="5">
        <v>378423</v>
      </c>
      <c r="L4529" s="5">
        <v>2085410</v>
      </c>
      <c r="M4529" s="5">
        <v>89899.74</v>
      </c>
      <c r="N4529" s="5">
        <v>5.2499999999999998E-2</v>
      </c>
      <c r="O4529" s="5">
        <v>2</v>
      </c>
      <c r="P4529" s="5">
        <v>1438</v>
      </c>
    </row>
    <row r="4530" spans="1:16" x14ac:dyDescent="0.3">
      <c r="A4530" s="5">
        <v>67</v>
      </c>
      <c r="B4530" s="5" t="s">
        <v>162</v>
      </c>
      <c r="C4530" s="5">
        <v>6</v>
      </c>
      <c r="D4530" s="5" t="s">
        <v>90</v>
      </c>
      <c r="E4530" s="5">
        <v>2023</v>
      </c>
      <c r="F4530" s="5">
        <v>8</v>
      </c>
      <c r="G4530" s="5" t="s">
        <v>53</v>
      </c>
      <c r="H4530" s="5">
        <v>3410893</v>
      </c>
      <c r="I4530" s="5">
        <v>2856608.92</v>
      </c>
      <c r="J4530" s="5">
        <v>49</v>
      </c>
      <c r="K4530" s="5">
        <v>327067</v>
      </c>
      <c r="L4530" s="5">
        <v>3722730</v>
      </c>
      <c r="M4530" s="5">
        <v>554284.07999999996</v>
      </c>
      <c r="N4530" s="5">
        <v>0.16250000000000001</v>
      </c>
      <c r="O4530" s="5">
        <v>3</v>
      </c>
      <c r="P4530" s="5">
        <v>93116</v>
      </c>
    </row>
    <row r="4531" spans="1:16" x14ac:dyDescent="0.3">
      <c r="A4531" s="5">
        <v>115</v>
      </c>
      <c r="B4531" s="5" t="s">
        <v>162</v>
      </c>
      <c r="C4531" s="5">
        <v>6</v>
      </c>
      <c r="D4531" s="5" t="s">
        <v>90</v>
      </c>
      <c r="E4531" s="5">
        <v>2023</v>
      </c>
      <c r="F4531" s="5">
        <v>8</v>
      </c>
      <c r="G4531" s="5" t="s">
        <v>53</v>
      </c>
      <c r="H4531" s="5">
        <v>2028018</v>
      </c>
      <c r="I4531" s="5">
        <v>1900076.54</v>
      </c>
      <c r="J4531" s="5">
        <v>19</v>
      </c>
      <c r="K4531" s="5">
        <v>320241</v>
      </c>
      <c r="L4531" s="5">
        <v>2341890</v>
      </c>
      <c r="M4531" s="5">
        <v>127941.46</v>
      </c>
      <c r="N4531" s="5">
        <v>6.3100000000000003E-2</v>
      </c>
      <c r="O4531" s="5">
        <v>0</v>
      </c>
      <c r="P4531" s="5">
        <v>0</v>
      </c>
    </row>
    <row r="4532" spans="1:16" x14ac:dyDescent="0.3">
      <c r="A4532" s="5">
        <v>1</v>
      </c>
      <c r="B4532" s="5" t="s">
        <v>162</v>
      </c>
      <c r="C4532" s="5">
        <v>6</v>
      </c>
      <c r="D4532" s="5" t="s">
        <v>90</v>
      </c>
      <c r="E4532" s="5">
        <v>2023</v>
      </c>
      <c r="F4532" s="5">
        <v>9</v>
      </c>
      <c r="G4532" s="5" t="s">
        <v>54</v>
      </c>
      <c r="H4532" s="5">
        <v>2583290</v>
      </c>
      <c r="I4532" s="5">
        <v>2410040.84</v>
      </c>
      <c r="J4532" s="5">
        <v>40</v>
      </c>
      <c r="K4532" s="5">
        <v>518392</v>
      </c>
      <c r="L4532" s="5">
        <v>3096450</v>
      </c>
      <c r="M4532" s="5">
        <v>173249.16</v>
      </c>
      <c r="N4532" s="5">
        <v>6.7100000000000007E-2</v>
      </c>
      <c r="O4532" s="5">
        <v>1</v>
      </c>
      <c r="P4532" s="5">
        <v>5190</v>
      </c>
    </row>
    <row r="4533" spans="1:16" x14ac:dyDescent="0.3">
      <c r="A4533" s="5">
        <v>9</v>
      </c>
      <c r="B4533" s="5" t="s">
        <v>162</v>
      </c>
      <c r="C4533" s="5">
        <v>6</v>
      </c>
      <c r="D4533" s="5" t="s">
        <v>90</v>
      </c>
      <c r="E4533" s="5">
        <v>2023</v>
      </c>
      <c r="F4533" s="5">
        <v>9</v>
      </c>
      <c r="G4533" s="5" t="s">
        <v>54</v>
      </c>
      <c r="H4533" s="5">
        <v>1537889</v>
      </c>
      <c r="I4533" s="5">
        <v>1498412.52</v>
      </c>
      <c r="J4533" s="5">
        <v>31</v>
      </c>
      <c r="K4533" s="5">
        <v>372798</v>
      </c>
      <c r="L4533" s="5">
        <v>1906830</v>
      </c>
      <c r="M4533" s="5">
        <v>39476.480000000003</v>
      </c>
      <c r="N4533" s="5">
        <v>2.5700000000000001E-2</v>
      </c>
      <c r="O4533" s="5">
        <v>1</v>
      </c>
      <c r="P4533" s="5">
        <v>2323</v>
      </c>
    </row>
    <row r="4534" spans="1:16" x14ac:dyDescent="0.3">
      <c r="A4534" s="5">
        <v>36</v>
      </c>
      <c r="B4534" s="5" t="s">
        <v>162</v>
      </c>
      <c r="C4534" s="5">
        <v>6</v>
      </c>
      <c r="D4534" s="5" t="s">
        <v>90</v>
      </c>
      <c r="E4534" s="5">
        <v>2023</v>
      </c>
      <c r="F4534" s="5">
        <v>9</v>
      </c>
      <c r="G4534" s="5" t="s">
        <v>54</v>
      </c>
      <c r="H4534" s="5">
        <v>3730094</v>
      </c>
      <c r="I4534" s="5">
        <v>3322131.09</v>
      </c>
      <c r="J4534" s="5">
        <v>44</v>
      </c>
      <c r="K4534" s="5">
        <v>433364</v>
      </c>
      <c r="L4534" s="5">
        <v>4149800</v>
      </c>
      <c r="M4534" s="5">
        <v>407962.91</v>
      </c>
      <c r="N4534" s="5">
        <v>0.1094</v>
      </c>
      <c r="O4534" s="5">
        <v>7</v>
      </c>
      <c r="P4534" s="5">
        <v>292242</v>
      </c>
    </row>
    <row r="4535" spans="1:16" x14ac:dyDescent="0.3">
      <c r="A4535" s="5">
        <v>67</v>
      </c>
      <c r="B4535" s="5" t="s">
        <v>162</v>
      </c>
      <c r="C4535" s="5">
        <v>6</v>
      </c>
      <c r="D4535" s="5" t="s">
        <v>90</v>
      </c>
      <c r="E4535" s="5">
        <v>2023</v>
      </c>
      <c r="F4535" s="5">
        <v>9</v>
      </c>
      <c r="G4535" s="5" t="s">
        <v>54</v>
      </c>
      <c r="H4535" s="5">
        <v>2806721</v>
      </c>
      <c r="I4535" s="5">
        <v>2605182.61</v>
      </c>
      <c r="J4535" s="5">
        <v>39</v>
      </c>
      <c r="K4535" s="5">
        <v>526199</v>
      </c>
      <c r="L4535" s="5">
        <v>3323930</v>
      </c>
      <c r="M4535" s="5">
        <v>201538.39</v>
      </c>
      <c r="N4535" s="5">
        <v>7.1800000000000003E-2</v>
      </c>
      <c r="O4535" s="5">
        <v>5</v>
      </c>
      <c r="P4535" s="5">
        <v>78755</v>
      </c>
    </row>
    <row r="4536" spans="1:16" x14ac:dyDescent="0.3">
      <c r="A4536" s="5">
        <v>115</v>
      </c>
      <c r="B4536" s="5" t="s">
        <v>162</v>
      </c>
      <c r="C4536" s="5">
        <v>6</v>
      </c>
      <c r="D4536" s="5" t="s">
        <v>90</v>
      </c>
      <c r="E4536" s="5">
        <v>2023</v>
      </c>
      <c r="F4536" s="5">
        <v>9</v>
      </c>
      <c r="G4536" s="5" t="s">
        <v>54</v>
      </c>
      <c r="H4536" s="5">
        <v>1624497</v>
      </c>
      <c r="I4536" s="5">
        <v>1418464.17</v>
      </c>
      <c r="J4536" s="5">
        <v>31</v>
      </c>
      <c r="K4536" s="5">
        <v>220850</v>
      </c>
      <c r="L4536" s="5">
        <v>1839070</v>
      </c>
      <c r="M4536" s="5">
        <v>206032.83</v>
      </c>
      <c r="N4536" s="5">
        <v>0.1268</v>
      </c>
      <c r="O4536" s="5">
        <v>3</v>
      </c>
      <c r="P4536" s="5">
        <v>8061</v>
      </c>
    </row>
    <row r="4537" spans="1:16" x14ac:dyDescent="0.3">
      <c r="A4537" s="5">
        <v>1</v>
      </c>
      <c r="B4537" s="5" t="s">
        <v>162</v>
      </c>
      <c r="C4537" s="5">
        <v>6</v>
      </c>
      <c r="D4537" s="5" t="s">
        <v>90</v>
      </c>
      <c r="E4537" s="5">
        <v>2023</v>
      </c>
      <c r="F4537" s="5">
        <v>10</v>
      </c>
      <c r="G4537" s="5" t="s">
        <v>55</v>
      </c>
      <c r="H4537" s="5">
        <v>3154175</v>
      </c>
      <c r="I4537" s="5">
        <v>2681322.08</v>
      </c>
      <c r="J4537" s="5">
        <v>52</v>
      </c>
      <c r="K4537" s="5">
        <v>359343</v>
      </c>
      <c r="L4537" s="5">
        <v>3504180</v>
      </c>
      <c r="M4537" s="5">
        <v>472852.92</v>
      </c>
      <c r="N4537" s="5">
        <v>0.14990000000000001</v>
      </c>
      <c r="O4537" s="5">
        <v>6</v>
      </c>
      <c r="P4537" s="5">
        <v>181866</v>
      </c>
    </row>
    <row r="4538" spans="1:16" x14ac:dyDescent="0.3">
      <c r="A4538" s="5">
        <v>9</v>
      </c>
      <c r="B4538" s="5" t="s">
        <v>162</v>
      </c>
      <c r="C4538" s="5">
        <v>6</v>
      </c>
      <c r="D4538" s="5" t="s">
        <v>90</v>
      </c>
      <c r="E4538" s="5">
        <v>2023</v>
      </c>
      <c r="F4538" s="5">
        <v>10</v>
      </c>
      <c r="G4538" s="5" t="s">
        <v>55</v>
      </c>
      <c r="H4538" s="5">
        <v>3043302</v>
      </c>
      <c r="I4538" s="5">
        <v>2711640.47</v>
      </c>
      <c r="J4538" s="5">
        <v>50</v>
      </c>
      <c r="K4538" s="5">
        <v>438842</v>
      </c>
      <c r="L4538" s="5">
        <v>3476370</v>
      </c>
      <c r="M4538" s="5">
        <v>331661.53000000003</v>
      </c>
      <c r="N4538" s="5">
        <v>0.109</v>
      </c>
      <c r="O4538" s="5">
        <v>3</v>
      </c>
      <c r="P4538" s="5">
        <v>41179</v>
      </c>
    </row>
    <row r="4539" spans="1:16" x14ac:dyDescent="0.3">
      <c r="A4539" s="5">
        <v>36</v>
      </c>
      <c r="B4539" s="5" t="s">
        <v>162</v>
      </c>
      <c r="C4539" s="5">
        <v>6</v>
      </c>
      <c r="D4539" s="5" t="s">
        <v>90</v>
      </c>
      <c r="E4539" s="5">
        <v>2023</v>
      </c>
      <c r="F4539" s="5">
        <v>10</v>
      </c>
      <c r="G4539" s="5" t="s">
        <v>55</v>
      </c>
      <c r="H4539" s="5">
        <v>3099602</v>
      </c>
      <c r="I4539" s="5">
        <v>2659885.61</v>
      </c>
      <c r="J4539" s="5">
        <v>51</v>
      </c>
      <c r="K4539" s="5">
        <v>336404</v>
      </c>
      <c r="L4539" s="5">
        <v>3424910</v>
      </c>
      <c r="M4539" s="5">
        <v>439716.39</v>
      </c>
      <c r="N4539" s="5">
        <v>0.1419</v>
      </c>
      <c r="O4539" s="5">
        <v>0</v>
      </c>
      <c r="P4539" s="5">
        <v>0</v>
      </c>
    </row>
    <row r="4540" spans="1:16" x14ac:dyDescent="0.3">
      <c r="A4540" s="5">
        <v>67</v>
      </c>
      <c r="B4540" s="5" t="s">
        <v>162</v>
      </c>
      <c r="C4540" s="5">
        <v>6</v>
      </c>
      <c r="D4540" s="5" t="s">
        <v>90</v>
      </c>
      <c r="E4540" s="5">
        <v>2023</v>
      </c>
      <c r="F4540" s="5">
        <v>10</v>
      </c>
      <c r="G4540" s="5" t="s">
        <v>55</v>
      </c>
      <c r="H4540" s="5">
        <v>5255249</v>
      </c>
      <c r="I4540" s="5">
        <v>4639298.59</v>
      </c>
      <c r="J4540" s="5">
        <v>63</v>
      </c>
      <c r="K4540" s="5">
        <v>687767</v>
      </c>
      <c r="L4540" s="5">
        <v>5923250</v>
      </c>
      <c r="M4540" s="5">
        <v>615950.41</v>
      </c>
      <c r="N4540" s="5">
        <v>0.1172</v>
      </c>
      <c r="O4540" s="5">
        <v>5</v>
      </c>
      <c r="P4540" s="5">
        <v>339994</v>
      </c>
    </row>
    <row r="4541" spans="1:16" x14ac:dyDescent="0.3">
      <c r="A4541" s="5">
        <v>115</v>
      </c>
      <c r="B4541" s="5" t="s">
        <v>162</v>
      </c>
      <c r="C4541" s="5">
        <v>6</v>
      </c>
      <c r="D4541" s="5" t="s">
        <v>90</v>
      </c>
      <c r="E4541" s="5">
        <v>2023</v>
      </c>
      <c r="F4541" s="5">
        <v>10</v>
      </c>
      <c r="G4541" s="5" t="s">
        <v>55</v>
      </c>
      <c r="H4541" s="5">
        <v>3396654</v>
      </c>
      <c r="I4541" s="5">
        <v>2922252.21</v>
      </c>
      <c r="J4541" s="5">
        <v>41</v>
      </c>
      <c r="K4541" s="5">
        <v>390219</v>
      </c>
      <c r="L4541" s="5">
        <v>3770580</v>
      </c>
      <c r="M4541" s="5">
        <v>474401.79</v>
      </c>
      <c r="N4541" s="5">
        <v>0.13969999999999999</v>
      </c>
      <c r="O4541" s="5">
        <v>7</v>
      </c>
      <c r="P4541" s="5">
        <v>438626</v>
      </c>
    </row>
    <row r="4542" spans="1:16" x14ac:dyDescent="0.3">
      <c r="A4542" s="5">
        <v>1</v>
      </c>
      <c r="B4542" s="5" t="s">
        <v>162</v>
      </c>
      <c r="C4542" s="5">
        <v>6</v>
      </c>
      <c r="D4542" s="5" t="s">
        <v>90</v>
      </c>
      <c r="E4542" s="5">
        <v>2023</v>
      </c>
      <c r="F4542" s="5">
        <v>11</v>
      </c>
      <c r="G4542" s="5" t="s">
        <v>56</v>
      </c>
      <c r="H4542" s="5">
        <v>3764730</v>
      </c>
      <c r="I4542" s="5">
        <v>3338243.3</v>
      </c>
      <c r="J4542" s="5">
        <v>59</v>
      </c>
      <c r="K4542" s="5">
        <v>588828</v>
      </c>
      <c r="L4542" s="5">
        <v>4341560</v>
      </c>
      <c r="M4542" s="5">
        <v>426486.7</v>
      </c>
      <c r="N4542" s="5">
        <v>0.1133</v>
      </c>
      <c r="O4542" s="5">
        <v>4</v>
      </c>
      <c r="P4542" s="5">
        <v>135759</v>
      </c>
    </row>
    <row r="4543" spans="1:16" x14ac:dyDescent="0.3">
      <c r="A4543" s="5">
        <v>9</v>
      </c>
      <c r="B4543" s="5" t="s">
        <v>162</v>
      </c>
      <c r="C4543" s="5">
        <v>6</v>
      </c>
      <c r="D4543" s="5" t="s">
        <v>90</v>
      </c>
      <c r="E4543" s="5">
        <v>2023</v>
      </c>
      <c r="F4543" s="5">
        <v>11</v>
      </c>
      <c r="G4543" s="5" t="s">
        <v>56</v>
      </c>
      <c r="H4543" s="5">
        <v>3863199</v>
      </c>
      <c r="I4543" s="5">
        <v>3342563.29</v>
      </c>
      <c r="J4543" s="5">
        <v>50</v>
      </c>
      <c r="K4543" s="5">
        <v>409557</v>
      </c>
      <c r="L4543" s="5">
        <v>4259370</v>
      </c>
      <c r="M4543" s="5">
        <v>520635.71</v>
      </c>
      <c r="N4543" s="5">
        <v>0.1348</v>
      </c>
      <c r="O4543" s="5">
        <v>7</v>
      </c>
      <c r="P4543" s="5">
        <v>277941</v>
      </c>
    </row>
    <row r="4544" spans="1:16" x14ac:dyDescent="0.3">
      <c r="A4544" s="5">
        <v>36</v>
      </c>
      <c r="B4544" s="5" t="s">
        <v>162</v>
      </c>
      <c r="C4544" s="5">
        <v>6</v>
      </c>
      <c r="D4544" s="5" t="s">
        <v>90</v>
      </c>
      <c r="E4544" s="5">
        <v>2023</v>
      </c>
      <c r="F4544" s="5">
        <v>11</v>
      </c>
      <c r="G4544" s="5" t="s">
        <v>56</v>
      </c>
      <c r="H4544" s="5">
        <v>3374715</v>
      </c>
      <c r="I4544" s="5">
        <v>3284302.37</v>
      </c>
      <c r="J4544" s="5">
        <v>51</v>
      </c>
      <c r="K4544" s="5">
        <v>821088</v>
      </c>
      <c r="L4544" s="5">
        <v>4182380</v>
      </c>
      <c r="M4544" s="5">
        <v>90412.63</v>
      </c>
      <c r="N4544" s="5">
        <v>2.6800000000000001E-2</v>
      </c>
      <c r="O4544" s="5">
        <v>4</v>
      </c>
      <c r="P4544" s="5">
        <v>162067</v>
      </c>
    </row>
    <row r="4545" spans="1:16" x14ac:dyDescent="0.3">
      <c r="A4545" s="5">
        <v>67</v>
      </c>
      <c r="B4545" s="5" t="s">
        <v>162</v>
      </c>
      <c r="C4545" s="5">
        <v>6</v>
      </c>
      <c r="D4545" s="5" t="s">
        <v>90</v>
      </c>
      <c r="E4545" s="5">
        <v>2023</v>
      </c>
      <c r="F4545" s="5">
        <v>11</v>
      </c>
      <c r="G4545" s="5" t="s">
        <v>56</v>
      </c>
      <c r="H4545" s="5">
        <v>3031720</v>
      </c>
      <c r="I4545" s="5">
        <v>2921722.53</v>
      </c>
      <c r="J4545" s="5">
        <v>50</v>
      </c>
      <c r="K4545" s="5">
        <v>741349</v>
      </c>
      <c r="L4545" s="5">
        <v>3764600</v>
      </c>
      <c r="M4545" s="5">
        <v>109997.47</v>
      </c>
      <c r="N4545" s="5">
        <v>3.6299999999999999E-2</v>
      </c>
      <c r="O4545" s="5">
        <v>6</v>
      </c>
      <c r="P4545" s="5">
        <v>168840</v>
      </c>
    </row>
    <row r="4546" spans="1:16" x14ac:dyDescent="0.3">
      <c r="A4546" s="5">
        <v>115</v>
      </c>
      <c r="B4546" s="5" t="s">
        <v>162</v>
      </c>
      <c r="C4546" s="5">
        <v>6</v>
      </c>
      <c r="D4546" s="5" t="s">
        <v>90</v>
      </c>
      <c r="E4546" s="5">
        <v>2023</v>
      </c>
      <c r="F4546" s="5">
        <v>11</v>
      </c>
      <c r="G4546" s="5" t="s">
        <v>56</v>
      </c>
      <c r="H4546" s="5">
        <v>2631015</v>
      </c>
      <c r="I4546" s="5">
        <v>2273405.86</v>
      </c>
      <c r="J4546" s="5">
        <v>45</v>
      </c>
      <c r="K4546" s="5">
        <v>372776</v>
      </c>
      <c r="L4546" s="5">
        <v>2992200</v>
      </c>
      <c r="M4546" s="5">
        <v>357609.14</v>
      </c>
      <c r="N4546" s="5">
        <v>0.13589999999999999</v>
      </c>
      <c r="O4546" s="5">
        <v>1</v>
      </c>
      <c r="P4546" s="5">
        <v>14964</v>
      </c>
    </row>
    <row r="4547" spans="1:16" x14ac:dyDescent="0.3">
      <c r="A4547" s="5">
        <v>1</v>
      </c>
      <c r="B4547" s="5" t="s">
        <v>162</v>
      </c>
      <c r="C4547" s="5">
        <v>6</v>
      </c>
      <c r="D4547" s="5" t="s">
        <v>90</v>
      </c>
      <c r="E4547" s="5">
        <v>2023</v>
      </c>
      <c r="F4547" s="5">
        <v>12</v>
      </c>
      <c r="G4547" s="5" t="s">
        <v>57</v>
      </c>
      <c r="H4547" s="5">
        <v>3008210</v>
      </c>
      <c r="I4547" s="5">
        <v>2564476.7400000002</v>
      </c>
      <c r="J4547" s="5">
        <v>55</v>
      </c>
      <c r="K4547" s="5">
        <v>371428</v>
      </c>
      <c r="L4547" s="5">
        <v>3368210</v>
      </c>
      <c r="M4547" s="5">
        <v>443733.26</v>
      </c>
      <c r="N4547" s="5">
        <v>0.14749999999999999</v>
      </c>
      <c r="O4547" s="5">
        <v>4</v>
      </c>
      <c r="P4547" s="5">
        <v>65971</v>
      </c>
    </row>
    <row r="4548" spans="1:16" x14ac:dyDescent="0.3">
      <c r="A4548" s="5">
        <v>9</v>
      </c>
      <c r="B4548" s="5" t="s">
        <v>162</v>
      </c>
      <c r="C4548" s="5">
        <v>6</v>
      </c>
      <c r="D4548" s="5" t="s">
        <v>90</v>
      </c>
      <c r="E4548" s="5">
        <v>2023</v>
      </c>
      <c r="F4548" s="5">
        <v>12</v>
      </c>
      <c r="G4548" s="5" t="s">
        <v>57</v>
      </c>
      <c r="H4548" s="5">
        <v>2125786</v>
      </c>
      <c r="I4548" s="5">
        <v>1790655.19</v>
      </c>
      <c r="J4548" s="5">
        <v>43</v>
      </c>
      <c r="K4548" s="5">
        <v>214660</v>
      </c>
      <c r="L4548" s="5">
        <v>2328300</v>
      </c>
      <c r="M4548" s="5">
        <v>335130.81</v>
      </c>
      <c r="N4548" s="5">
        <v>0.15770000000000001</v>
      </c>
      <c r="O4548" s="5">
        <v>2</v>
      </c>
      <c r="P4548" s="5">
        <v>18022</v>
      </c>
    </row>
    <row r="4549" spans="1:16" x14ac:dyDescent="0.3">
      <c r="A4549" s="5">
        <v>36</v>
      </c>
      <c r="B4549" s="5" t="s">
        <v>162</v>
      </c>
      <c r="C4549" s="5">
        <v>6</v>
      </c>
      <c r="D4549" s="5" t="s">
        <v>90</v>
      </c>
      <c r="E4549" s="5">
        <v>2023</v>
      </c>
      <c r="F4549" s="5">
        <v>12</v>
      </c>
      <c r="G4549" s="5" t="s">
        <v>57</v>
      </c>
      <c r="H4549" s="5">
        <v>4571917</v>
      </c>
      <c r="I4549" s="5">
        <v>4318066.0599999996</v>
      </c>
      <c r="J4549" s="5">
        <v>56</v>
      </c>
      <c r="K4549" s="5">
        <v>968971</v>
      </c>
      <c r="L4549" s="5">
        <v>5528280</v>
      </c>
      <c r="M4549" s="5">
        <v>253850.94</v>
      </c>
      <c r="N4549" s="5">
        <v>5.5500000000000001E-2</v>
      </c>
      <c r="O4549" s="5">
        <v>7</v>
      </c>
      <c r="P4549" s="5">
        <v>214582</v>
      </c>
    </row>
    <row r="4550" spans="1:16" x14ac:dyDescent="0.3">
      <c r="A4550" s="5">
        <v>67</v>
      </c>
      <c r="B4550" s="5" t="s">
        <v>162</v>
      </c>
      <c r="C4550" s="5">
        <v>6</v>
      </c>
      <c r="D4550" s="5" t="s">
        <v>90</v>
      </c>
      <c r="E4550" s="5">
        <v>2023</v>
      </c>
      <c r="F4550" s="5">
        <v>12</v>
      </c>
      <c r="G4550" s="5" t="s">
        <v>57</v>
      </c>
      <c r="H4550" s="5">
        <v>3655362</v>
      </c>
      <c r="I4550" s="5">
        <v>3409651.92</v>
      </c>
      <c r="J4550" s="5">
        <v>62</v>
      </c>
      <c r="K4550" s="5">
        <v>683866</v>
      </c>
      <c r="L4550" s="5">
        <v>4318420</v>
      </c>
      <c r="M4550" s="5">
        <v>245710.07999999999</v>
      </c>
      <c r="N4550" s="5">
        <v>6.7199999999999996E-2</v>
      </c>
      <c r="O4550" s="5">
        <v>6</v>
      </c>
      <c r="P4550" s="5">
        <v>158362</v>
      </c>
    </row>
    <row r="4551" spans="1:16" x14ac:dyDescent="0.3">
      <c r="A4551" s="5">
        <v>115</v>
      </c>
      <c r="B4551" s="5" t="s">
        <v>162</v>
      </c>
      <c r="C4551" s="5">
        <v>6</v>
      </c>
      <c r="D4551" s="5" t="s">
        <v>90</v>
      </c>
      <c r="E4551" s="5">
        <v>2023</v>
      </c>
      <c r="F4551" s="5">
        <v>12</v>
      </c>
      <c r="G4551" s="5" t="s">
        <v>57</v>
      </c>
      <c r="H4551" s="5">
        <v>2728796</v>
      </c>
      <c r="I4551" s="5">
        <v>2465368.13</v>
      </c>
      <c r="J4551" s="5">
        <v>39</v>
      </c>
      <c r="K4551" s="5">
        <v>359640</v>
      </c>
      <c r="L4551" s="5">
        <v>3082550</v>
      </c>
      <c r="M4551" s="5">
        <v>263427.87</v>
      </c>
      <c r="N4551" s="5">
        <v>9.6500000000000002E-2</v>
      </c>
      <c r="O4551" s="5">
        <v>3</v>
      </c>
      <c r="P4551" s="5">
        <v>83030</v>
      </c>
    </row>
    <row r="4552" spans="1:16" x14ac:dyDescent="0.3">
      <c r="A4552" s="5">
        <v>1</v>
      </c>
      <c r="B4552" s="5" t="s">
        <v>162</v>
      </c>
      <c r="C4552" s="5">
        <v>6</v>
      </c>
      <c r="D4552" s="5" t="s">
        <v>90</v>
      </c>
      <c r="E4552" s="5">
        <v>2024</v>
      </c>
      <c r="F4552" s="5">
        <v>1</v>
      </c>
      <c r="G4552" s="5" t="s">
        <v>58</v>
      </c>
      <c r="H4552" s="5">
        <v>2635518</v>
      </c>
      <c r="I4552" s="5">
        <v>2213177.46</v>
      </c>
      <c r="J4552" s="5">
        <v>35</v>
      </c>
      <c r="K4552" s="5">
        <v>237699</v>
      </c>
      <c r="L4552" s="5">
        <v>2863200</v>
      </c>
      <c r="M4552" s="5">
        <v>422340.54</v>
      </c>
      <c r="N4552" s="5">
        <v>0.16020000000000001</v>
      </c>
      <c r="O4552" s="5">
        <v>3</v>
      </c>
      <c r="P4552" s="5">
        <v>31239</v>
      </c>
    </row>
    <row r="4553" spans="1:16" x14ac:dyDescent="0.3">
      <c r="A4553" s="5">
        <v>9</v>
      </c>
      <c r="B4553" s="5" t="s">
        <v>162</v>
      </c>
      <c r="C4553" s="5">
        <v>6</v>
      </c>
      <c r="D4553" s="5" t="s">
        <v>90</v>
      </c>
      <c r="E4553" s="5">
        <v>2024</v>
      </c>
      <c r="F4553" s="5">
        <v>1</v>
      </c>
      <c r="G4553" s="5" t="s">
        <v>58</v>
      </c>
      <c r="H4553" s="5">
        <v>3778100</v>
      </c>
      <c r="I4553" s="5">
        <v>3375061.57</v>
      </c>
      <c r="J4553" s="5">
        <v>43</v>
      </c>
      <c r="K4553" s="5">
        <v>527296</v>
      </c>
      <c r="L4553" s="5">
        <v>4288160</v>
      </c>
      <c r="M4553" s="5">
        <v>403038.43</v>
      </c>
      <c r="N4553" s="5">
        <v>0.1067</v>
      </c>
      <c r="O4553" s="5">
        <v>3</v>
      </c>
      <c r="P4553" s="5">
        <v>139321</v>
      </c>
    </row>
    <row r="4554" spans="1:16" x14ac:dyDescent="0.3">
      <c r="A4554" s="5">
        <v>36</v>
      </c>
      <c r="B4554" s="5" t="s">
        <v>162</v>
      </c>
      <c r="C4554" s="5">
        <v>6</v>
      </c>
      <c r="D4554" s="5" t="s">
        <v>90</v>
      </c>
      <c r="E4554" s="5">
        <v>2024</v>
      </c>
      <c r="F4554" s="5">
        <v>1</v>
      </c>
      <c r="G4554" s="5" t="s">
        <v>58</v>
      </c>
      <c r="H4554" s="5">
        <v>2374558</v>
      </c>
      <c r="I4554" s="5">
        <v>2072553.49</v>
      </c>
      <c r="J4554" s="5">
        <v>36</v>
      </c>
      <c r="K4554" s="5">
        <v>311635</v>
      </c>
      <c r="L4554" s="5">
        <v>2683210</v>
      </c>
      <c r="M4554" s="5">
        <v>302004.51</v>
      </c>
      <c r="N4554" s="5">
        <v>0.12720000000000001</v>
      </c>
      <c r="O4554" s="5">
        <v>5</v>
      </c>
      <c r="P4554" s="5">
        <v>85235</v>
      </c>
    </row>
    <row r="4555" spans="1:16" x14ac:dyDescent="0.3">
      <c r="A4555" s="5">
        <v>67</v>
      </c>
      <c r="B4555" s="5" t="s">
        <v>162</v>
      </c>
      <c r="C4555" s="5">
        <v>6</v>
      </c>
      <c r="D4555" s="5" t="s">
        <v>90</v>
      </c>
      <c r="E4555" s="5">
        <v>2024</v>
      </c>
      <c r="F4555" s="5">
        <v>1</v>
      </c>
      <c r="G4555" s="5" t="s">
        <v>58</v>
      </c>
      <c r="H4555" s="5">
        <v>3118527</v>
      </c>
      <c r="I4555" s="5">
        <v>2924774.02</v>
      </c>
      <c r="J4555" s="5">
        <v>39</v>
      </c>
      <c r="K4555" s="5">
        <v>519358</v>
      </c>
      <c r="L4555" s="5">
        <v>3634590</v>
      </c>
      <c r="M4555" s="5">
        <v>193752.98</v>
      </c>
      <c r="N4555" s="5">
        <v>6.2100000000000002E-2</v>
      </c>
      <c r="O4555" s="5">
        <v>4</v>
      </c>
      <c r="P4555" s="5">
        <v>290009</v>
      </c>
    </row>
    <row r="4556" spans="1:16" x14ac:dyDescent="0.3">
      <c r="A4556" s="5">
        <v>115</v>
      </c>
      <c r="B4556" s="5" t="s">
        <v>162</v>
      </c>
      <c r="C4556" s="5">
        <v>6</v>
      </c>
      <c r="D4556" s="5" t="s">
        <v>90</v>
      </c>
      <c r="E4556" s="5">
        <v>2024</v>
      </c>
      <c r="F4556" s="5">
        <v>1</v>
      </c>
      <c r="G4556" s="5" t="s">
        <v>58</v>
      </c>
      <c r="H4556" s="5">
        <v>2131287</v>
      </c>
      <c r="I4556" s="5">
        <v>1873155.51</v>
      </c>
      <c r="J4556" s="5">
        <v>35</v>
      </c>
      <c r="K4556" s="5">
        <v>330812</v>
      </c>
      <c r="L4556" s="5">
        <v>2460490</v>
      </c>
      <c r="M4556" s="5">
        <v>258131.49</v>
      </c>
      <c r="N4556" s="5">
        <v>0.1211</v>
      </c>
      <c r="O4556" s="5">
        <v>0</v>
      </c>
      <c r="P4556" s="5">
        <v>0</v>
      </c>
    </row>
    <row r="4557" spans="1:16" x14ac:dyDescent="0.3">
      <c r="A4557" s="5">
        <v>1</v>
      </c>
      <c r="B4557" s="5" t="s">
        <v>162</v>
      </c>
      <c r="C4557" s="5">
        <v>6</v>
      </c>
      <c r="D4557" s="5" t="s">
        <v>90</v>
      </c>
      <c r="E4557" s="5">
        <v>2024</v>
      </c>
      <c r="F4557" s="5">
        <v>2</v>
      </c>
      <c r="G4557" s="5" t="s">
        <v>59</v>
      </c>
      <c r="H4557" s="5">
        <v>2134159</v>
      </c>
      <c r="I4557" s="5">
        <v>1825379.03</v>
      </c>
      <c r="J4557" s="5">
        <v>42</v>
      </c>
      <c r="K4557" s="5">
        <v>237550</v>
      </c>
      <c r="L4557" s="5">
        <v>2368310</v>
      </c>
      <c r="M4557" s="5">
        <v>308779.96999999997</v>
      </c>
      <c r="N4557" s="5">
        <v>0.1447</v>
      </c>
      <c r="O4557" s="5">
        <v>5</v>
      </c>
      <c r="P4557" s="5">
        <v>14830</v>
      </c>
    </row>
    <row r="4558" spans="1:16" x14ac:dyDescent="0.3">
      <c r="A4558" s="5">
        <v>9</v>
      </c>
      <c r="B4558" s="5" t="s">
        <v>162</v>
      </c>
      <c r="C4558" s="5">
        <v>6</v>
      </c>
      <c r="D4558" s="5" t="s">
        <v>90</v>
      </c>
      <c r="E4558" s="5">
        <v>2024</v>
      </c>
      <c r="F4558" s="5">
        <v>2</v>
      </c>
      <c r="G4558" s="5" t="s">
        <v>59</v>
      </c>
      <c r="H4558" s="5">
        <v>1657413</v>
      </c>
      <c r="I4558" s="5">
        <v>1405080.41</v>
      </c>
      <c r="J4558" s="5">
        <v>22</v>
      </c>
      <c r="K4558" s="5">
        <v>213022</v>
      </c>
      <c r="L4558" s="5">
        <v>1869700</v>
      </c>
      <c r="M4558" s="5">
        <v>252332.59</v>
      </c>
      <c r="N4558" s="5">
        <v>0.1522</v>
      </c>
      <c r="O4558" s="5">
        <v>2</v>
      </c>
      <c r="P4558" s="5">
        <v>64308</v>
      </c>
    </row>
    <row r="4559" spans="1:16" x14ac:dyDescent="0.3">
      <c r="A4559" s="5">
        <v>36</v>
      </c>
      <c r="B4559" s="5" t="s">
        <v>162</v>
      </c>
      <c r="C4559" s="5">
        <v>6</v>
      </c>
      <c r="D4559" s="5" t="s">
        <v>90</v>
      </c>
      <c r="E4559" s="5">
        <v>2024</v>
      </c>
      <c r="F4559" s="5">
        <v>2</v>
      </c>
      <c r="G4559" s="5" t="s">
        <v>59</v>
      </c>
      <c r="H4559" s="5">
        <v>2862157</v>
      </c>
      <c r="I4559" s="5">
        <v>2409321.84</v>
      </c>
      <c r="J4559" s="5">
        <v>38</v>
      </c>
      <c r="K4559" s="5">
        <v>235330</v>
      </c>
      <c r="L4559" s="5">
        <v>3089350</v>
      </c>
      <c r="M4559" s="5">
        <v>452835.16</v>
      </c>
      <c r="N4559" s="5">
        <v>0.15820000000000001</v>
      </c>
      <c r="O4559" s="5">
        <v>3</v>
      </c>
      <c r="P4559" s="5">
        <v>69831</v>
      </c>
    </row>
    <row r="4560" spans="1:16" x14ac:dyDescent="0.3">
      <c r="A4560" s="5">
        <v>67</v>
      </c>
      <c r="B4560" s="5" t="s">
        <v>162</v>
      </c>
      <c r="C4560" s="5">
        <v>6</v>
      </c>
      <c r="D4560" s="5" t="s">
        <v>90</v>
      </c>
      <c r="E4560" s="5">
        <v>2024</v>
      </c>
      <c r="F4560" s="5">
        <v>2</v>
      </c>
      <c r="G4560" s="5" t="s">
        <v>59</v>
      </c>
      <c r="H4560" s="5">
        <v>2596116</v>
      </c>
      <c r="I4560" s="5">
        <v>2266829.39</v>
      </c>
      <c r="J4560" s="5">
        <v>33</v>
      </c>
      <c r="K4560" s="5">
        <v>253109</v>
      </c>
      <c r="L4560" s="5">
        <v>2840660</v>
      </c>
      <c r="M4560" s="5">
        <v>329286.61</v>
      </c>
      <c r="N4560" s="5">
        <v>0.1268</v>
      </c>
      <c r="O4560" s="5">
        <v>2</v>
      </c>
      <c r="P4560" s="5">
        <v>14004</v>
      </c>
    </row>
    <row r="4561" spans="1:16" x14ac:dyDescent="0.3">
      <c r="A4561" s="5">
        <v>115</v>
      </c>
      <c r="B4561" s="5" t="s">
        <v>162</v>
      </c>
      <c r="C4561" s="5">
        <v>6</v>
      </c>
      <c r="D4561" s="5" t="s">
        <v>90</v>
      </c>
      <c r="E4561" s="5">
        <v>2024</v>
      </c>
      <c r="F4561" s="5">
        <v>2</v>
      </c>
      <c r="G4561" s="5" t="s">
        <v>59</v>
      </c>
      <c r="H4561" s="5">
        <v>2268579</v>
      </c>
      <c r="I4561" s="5">
        <v>1902900.55</v>
      </c>
      <c r="J4561" s="5">
        <v>25</v>
      </c>
      <c r="K4561" s="5">
        <v>198273</v>
      </c>
      <c r="L4561" s="5">
        <v>2457890</v>
      </c>
      <c r="M4561" s="5">
        <v>365678.45</v>
      </c>
      <c r="N4561" s="5">
        <v>0.16120000000000001</v>
      </c>
      <c r="O4561" s="5">
        <v>2</v>
      </c>
      <c r="P4561" s="5">
        <v>55358</v>
      </c>
    </row>
    <row r="4562" spans="1:16" x14ac:dyDescent="0.3">
      <c r="A4562" s="5">
        <v>1</v>
      </c>
      <c r="B4562" s="5" t="s">
        <v>162</v>
      </c>
      <c r="C4562" s="5">
        <v>6</v>
      </c>
      <c r="D4562" s="5" t="s">
        <v>90</v>
      </c>
      <c r="E4562" s="5">
        <v>2024</v>
      </c>
      <c r="F4562" s="5">
        <v>3</v>
      </c>
      <c r="G4562" s="5" t="s">
        <v>60</v>
      </c>
      <c r="H4562" s="5">
        <v>2986124</v>
      </c>
      <c r="I4562" s="5">
        <v>2554606.41</v>
      </c>
      <c r="J4562" s="5">
        <v>40</v>
      </c>
      <c r="K4562" s="5">
        <v>347114</v>
      </c>
      <c r="L4562" s="5">
        <v>3325770</v>
      </c>
      <c r="M4562" s="5">
        <v>431517.59</v>
      </c>
      <c r="N4562" s="5">
        <v>0.14449999999999999</v>
      </c>
      <c r="O4562" s="5">
        <v>4</v>
      </c>
      <c r="P4562" s="5">
        <v>119026</v>
      </c>
    </row>
    <row r="4563" spans="1:16" x14ac:dyDescent="0.3">
      <c r="A4563" s="5">
        <v>9</v>
      </c>
      <c r="B4563" s="5" t="s">
        <v>162</v>
      </c>
      <c r="C4563" s="5">
        <v>6</v>
      </c>
      <c r="D4563" s="5" t="s">
        <v>90</v>
      </c>
      <c r="E4563" s="5">
        <v>2024</v>
      </c>
      <c r="F4563" s="5">
        <v>3</v>
      </c>
      <c r="G4563" s="5" t="s">
        <v>60</v>
      </c>
      <c r="H4563" s="5">
        <v>1981194</v>
      </c>
      <c r="I4563" s="5">
        <v>1711515.33</v>
      </c>
      <c r="J4563" s="5">
        <v>30</v>
      </c>
      <c r="K4563" s="5">
        <v>268681</v>
      </c>
      <c r="L4563" s="5">
        <v>2237730</v>
      </c>
      <c r="M4563" s="5">
        <v>269678.67</v>
      </c>
      <c r="N4563" s="5">
        <v>0.1361</v>
      </c>
      <c r="O4563" s="5">
        <v>7</v>
      </c>
      <c r="P4563" s="5">
        <v>77640</v>
      </c>
    </row>
    <row r="4564" spans="1:16" x14ac:dyDescent="0.3">
      <c r="A4564" s="5">
        <v>36</v>
      </c>
      <c r="B4564" s="5" t="s">
        <v>162</v>
      </c>
      <c r="C4564" s="5">
        <v>6</v>
      </c>
      <c r="D4564" s="5" t="s">
        <v>90</v>
      </c>
      <c r="E4564" s="5">
        <v>2024</v>
      </c>
      <c r="F4564" s="5">
        <v>3</v>
      </c>
      <c r="G4564" s="5" t="s">
        <v>60</v>
      </c>
      <c r="H4564" s="5">
        <v>2441700</v>
      </c>
      <c r="I4564" s="5">
        <v>2100835.92</v>
      </c>
      <c r="J4564" s="5">
        <v>30</v>
      </c>
      <c r="K4564" s="5">
        <v>298402</v>
      </c>
      <c r="L4564" s="5">
        <v>2727940</v>
      </c>
      <c r="M4564" s="5">
        <v>340864.08</v>
      </c>
      <c r="N4564" s="5">
        <v>0.1396</v>
      </c>
      <c r="O4564" s="5">
        <v>2</v>
      </c>
      <c r="P4564" s="5">
        <v>149760</v>
      </c>
    </row>
    <row r="4565" spans="1:16" x14ac:dyDescent="0.3">
      <c r="A4565" s="5">
        <v>67</v>
      </c>
      <c r="B4565" s="5" t="s">
        <v>162</v>
      </c>
      <c r="C4565" s="5">
        <v>6</v>
      </c>
      <c r="D4565" s="5" t="s">
        <v>90</v>
      </c>
      <c r="E4565" s="5">
        <v>2024</v>
      </c>
      <c r="F4565" s="5">
        <v>3</v>
      </c>
      <c r="G4565" s="5" t="s">
        <v>60</v>
      </c>
      <c r="H4565" s="5">
        <v>2663227</v>
      </c>
      <c r="I4565" s="5">
        <v>2529359.4</v>
      </c>
      <c r="J4565" s="5">
        <v>40</v>
      </c>
      <c r="K4565" s="5">
        <v>510122</v>
      </c>
      <c r="L4565" s="5">
        <v>3168640</v>
      </c>
      <c r="M4565" s="5">
        <v>133867.6</v>
      </c>
      <c r="N4565" s="5">
        <v>5.0299999999999997E-2</v>
      </c>
      <c r="O4565" s="5">
        <v>5</v>
      </c>
      <c r="P4565" s="5">
        <v>395838</v>
      </c>
    </row>
    <row r="4566" spans="1:16" x14ac:dyDescent="0.3">
      <c r="A4566" s="5">
        <v>115</v>
      </c>
      <c r="B4566" s="5" t="s">
        <v>162</v>
      </c>
      <c r="C4566" s="5">
        <v>6</v>
      </c>
      <c r="D4566" s="5" t="s">
        <v>90</v>
      </c>
      <c r="E4566" s="5">
        <v>2024</v>
      </c>
      <c r="F4566" s="5">
        <v>3</v>
      </c>
      <c r="G4566" s="5" t="s">
        <v>60</v>
      </c>
      <c r="H4566" s="5">
        <v>905800</v>
      </c>
      <c r="I4566" s="5">
        <v>714856.25</v>
      </c>
      <c r="J4566" s="5">
        <v>19</v>
      </c>
      <c r="K4566" s="5">
        <v>39496</v>
      </c>
      <c r="L4566" s="5">
        <v>942580</v>
      </c>
      <c r="M4566" s="5">
        <v>190943.75</v>
      </c>
      <c r="N4566" s="5">
        <v>0.21079999999999999</v>
      </c>
      <c r="O4566" s="5">
        <v>2</v>
      </c>
      <c r="P4566" s="5">
        <v>254104</v>
      </c>
    </row>
    <row r="4567" spans="1:16" x14ac:dyDescent="0.3">
      <c r="A4567" s="5">
        <v>1</v>
      </c>
      <c r="B4567" s="5" t="s">
        <v>162</v>
      </c>
      <c r="C4567" s="5">
        <v>6</v>
      </c>
      <c r="D4567" s="5" t="s">
        <v>90</v>
      </c>
      <c r="E4567" s="5">
        <v>2024</v>
      </c>
      <c r="F4567" s="5">
        <v>4</v>
      </c>
      <c r="G4567" s="5" t="s">
        <v>61</v>
      </c>
      <c r="H4567" s="5">
        <v>3775536</v>
      </c>
      <c r="I4567" s="5">
        <v>3286260.6</v>
      </c>
      <c r="J4567" s="5">
        <v>45</v>
      </c>
      <c r="K4567" s="5">
        <v>446702</v>
      </c>
      <c r="L4567" s="5">
        <v>4213160</v>
      </c>
      <c r="M4567" s="5">
        <v>489275.4</v>
      </c>
      <c r="N4567" s="5">
        <v>0.12959999999999999</v>
      </c>
      <c r="O4567" s="5">
        <v>4</v>
      </c>
      <c r="P4567" s="5">
        <v>53498</v>
      </c>
    </row>
    <row r="4568" spans="1:16" x14ac:dyDescent="0.3">
      <c r="A4568" s="5">
        <v>9</v>
      </c>
      <c r="B4568" s="5" t="s">
        <v>162</v>
      </c>
      <c r="C4568" s="5">
        <v>6</v>
      </c>
      <c r="D4568" s="5" t="s">
        <v>90</v>
      </c>
      <c r="E4568" s="5">
        <v>2024</v>
      </c>
      <c r="F4568" s="5">
        <v>4</v>
      </c>
      <c r="G4568" s="5" t="s">
        <v>61</v>
      </c>
      <c r="H4568" s="5">
        <v>2622970</v>
      </c>
      <c r="I4568" s="5">
        <v>2167128.96</v>
      </c>
      <c r="J4568" s="5">
        <v>37</v>
      </c>
      <c r="K4568" s="5">
        <v>254555</v>
      </c>
      <c r="L4568" s="5">
        <v>2853670</v>
      </c>
      <c r="M4568" s="5">
        <v>455841.04</v>
      </c>
      <c r="N4568" s="5">
        <v>0.17380000000000001</v>
      </c>
      <c r="O4568" s="5">
        <v>0</v>
      </c>
      <c r="P4568" s="5">
        <v>0</v>
      </c>
    </row>
    <row r="4569" spans="1:16" x14ac:dyDescent="0.3">
      <c r="A4569" s="5">
        <v>36</v>
      </c>
      <c r="B4569" s="5" t="s">
        <v>162</v>
      </c>
      <c r="C4569" s="5">
        <v>6</v>
      </c>
      <c r="D4569" s="5" t="s">
        <v>90</v>
      </c>
      <c r="E4569" s="5">
        <v>2024</v>
      </c>
      <c r="F4569" s="5">
        <v>4</v>
      </c>
      <c r="G4569" s="5" t="s">
        <v>61</v>
      </c>
      <c r="H4569" s="5">
        <v>2522289</v>
      </c>
      <c r="I4569" s="5">
        <v>2144950.16</v>
      </c>
      <c r="J4569" s="5">
        <v>34</v>
      </c>
      <c r="K4569" s="5">
        <v>211733</v>
      </c>
      <c r="L4569" s="5">
        <v>2722380</v>
      </c>
      <c r="M4569" s="5">
        <v>377338.84</v>
      </c>
      <c r="N4569" s="5">
        <v>0.14960000000000001</v>
      </c>
      <c r="O4569" s="5">
        <v>3</v>
      </c>
      <c r="P4569" s="5">
        <v>48952</v>
      </c>
    </row>
    <row r="4570" spans="1:16" x14ac:dyDescent="0.3">
      <c r="A4570" s="5">
        <v>67</v>
      </c>
      <c r="B4570" s="5" t="s">
        <v>162</v>
      </c>
      <c r="C4570" s="5">
        <v>6</v>
      </c>
      <c r="D4570" s="5" t="s">
        <v>90</v>
      </c>
      <c r="E4570" s="5">
        <v>2024</v>
      </c>
      <c r="F4570" s="5">
        <v>4</v>
      </c>
      <c r="G4570" s="5" t="s">
        <v>61</v>
      </c>
      <c r="H4570" s="5">
        <v>3224650</v>
      </c>
      <c r="I4570" s="5">
        <v>2637418.7999999998</v>
      </c>
      <c r="J4570" s="5">
        <v>42</v>
      </c>
      <c r="K4570" s="5">
        <v>194277</v>
      </c>
      <c r="L4570" s="5">
        <v>3400210</v>
      </c>
      <c r="M4570" s="5">
        <v>587231.19999999995</v>
      </c>
      <c r="N4570" s="5">
        <v>0.18210000000000001</v>
      </c>
      <c r="O4570" s="5">
        <v>3</v>
      </c>
      <c r="P4570" s="5">
        <v>102120</v>
      </c>
    </row>
    <row r="4571" spans="1:16" x14ac:dyDescent="0.3">
      <c r="A4571" s="5">
        <v>115</v>
      </c>
      <c r="B4571" s="5" t="s">
        <v>162</v>
      </c>
      <c r="C4571" s="5">
        <v>6</v>
      </c>
      <c r="D4571" s="5" t="s">
        <v>90</v>
      </c>
      <c r="E4571" s="5">
        <v>2024</v>
      </c>
      <c r="F4571" s="5">
        <v>4</v>
      </c>
      <c r="G4571" s="5" t="s">
        <v>61</v>
      </c>
      <c r="H4571" s="5">
        <v>2098198</v>
      </c>
      <c r="I4571" s="5">
        <v>1941092.69</v>
      </c>
      <c r="J4571" s="5">
        <v>22</v>
      </c>
      <c r="K4571" s="5">
        <v>335557</v>
      </c>
      <c r="L4571" s="5">
        <v>2430260</v>
      </c>
      <c r="M4571" s="5">
        <v>157105.31</v>
      </c>
      <c r="N4571" s="5">
        <v>7.4899999999999994E-2</v>
      </c>
      <c r="O4571" s="5">
        <v>2</v>
      </c>
      <c r="P4571" s="5">
        <v>6711</v>
      </c>
    </row>
    <row r="4572" spans="1:16" x14ac:dyDescent="0.3">
      <c r="A4572" s="5">
        <v>1</v>
      </c>
      <c r="B4572" s="5" t="s">
        <v>162</v>
      </c>
      <c r="C4572" s="5">
        <v>6</v>
      </c>
      <c r="D4572" s="5" t="s">
        <v>90</v>
      </c>
      <c r="E4572" s="5">
        <v>2024</v>
      </c>
      <c r="F4572" s="5">
        <v>5</v>
      </c>
      <c r="G4572" s="5" t="s">
        <v>62</v>
      </c>
      <c r="H4572" s="5">
        <v>4758581</v>
      </c>
      <c r="I4572" s="5">
        <v>4410071</v>
      </c>
      <c r="J4572" s="5">
        <v>53</v>
      </c>
      <c r="K4572" s="5">
        <v>769378</v>
      </c>
      <c r="L4572" s="5">
        <v>5524030</v>
      </c>
      <c r="M4572" s="5">
        <v>348510</v>
      </c>
      <c r="N4572" s="5">
        <v>7.3200000000000001E-2</v>
      </c>
      <c r="O4572" s="5">
        <v>1</v>
      </c>
      <c r="P4572" s="5">
        <v>3828</v>
      </c>
    </row>
    <row r="4573" spans="1:16" x14ac:dyDescent="0.3">
      <c r="A4573" s="5">
        <v>9</v>
      </c>
      <c r="B4573" s="5" t="s">
        <v>162</v>
      </c>
      <c r="C4573" s="5">
        <v>6</v>
      </c>
      <c r="D4573" s="5" t="s">
        <v>90</v>
      </c>
      <c r="E4573" s="5">
        <v>2024</v>
      </c>
      <c r="F4573" s="5">
        <v>5</v>
      </c>
      <c r="G4573" s="5" t="s">
        <v>62</v>
      </c>
      <c r="H4573" s="5">
        <v>3114953</v>
      </c>
      <c r="I4573" s="5">
        <v>2562696.4900000002</v>
      </c>
      <c r="J4573" s="5">
        <v>32</v>
      </c>
      <c r="K4573" s="5">
        <v>207376</v>
      </c>
      <c r="L4573" s="5">
        <v>3309420</v>
      </c>
      <c r="M4573" s="5">
        <v>552256.51</v>
      </c>
      <c r="N4573" s="5">
        <v>0.17730000000000001</v>
      </c>
      <c r="O4573" s="5">
        <v>1</v>
      </c>
      <c r="P4573" s="5">
        <v>27532</v>
      </c>
    </row>
    <row r="4574" spans="1:16" x14ac:dyDescent="0.3">
      <c r="A4574" s="5">
        <v>36</v>
      </c>
      <c r="B4574" s="5" t="s">
        <v>162</v>
      </c>
      <c r="C4574" s="5">
        <v>6</v>
      </c>
      <c r="D4574" s="5" t="s">
        <v>90</v>
      </c>
      <c r="E4574" s="5">
        <v>2024</v>
      </c>
      <c r="F4574" s="5">
        <v>5</v>
      </c>
      <c r="G4574" s="5" t="s">
        <v>62</v>
      </c>
      <c r="H4574" s="5">
        <v>1832593</v>
      </c>
      <c r="I4574" s="5">
        <v>1547514.17</v>
      </c>
      <c r="J4574" s="5">
        <v>31</v>
      </c>
      <c r="K4574" s="5">
        <v>156646</v>
      </c>
      <c r="L4574" s="5">
        <v>1979810</v>
      </c>
      <c r="M4574" s="5">
        <v>285078.83</v>
      </c>
      <c r="N4574" s="5">
        <v>0.15559999999999999</v>
      </c>
      <c r="O4574" s="5">
        <v>1</v>
      </c>
      <c r="P4574" s="5">
        <v>2916</v>
      </c>
    </row>
    <row r="4575" spans="1:16" x14ac:dyDescent="0.3">
      <c r="A4575" s="5">
        <v>67</v>
      </c>
      <c r="B4575" s="5" t="s">
        <v>162</v>
      </c>
      <c r="C4575" s="5">
        <v>6</v>
      </c>
      <c r="D4575" s="5" t="s">
        <v>90</v>
      </c>
      <c r="E4575" s="5">
        <v>2024</v>
      </c>
      <c r="F4575" s="5">
        <v>5</v>
      </c>
      <c r="G4575" s="5" t="s">
        <v>62</v>
      </c>
      <c r="H4575" s="5">
        <v>2576195</v>
      </c>
      <c r="I4575" s="5">
        <v>2300327.4300000002</v>
      </c>
      <c r="J4575" s="5">
        <v>47</v>
      </c>
      <c r="K4575" s="5">
        <v>417287</v>
      </c>
      <c r="L4575" s="5">
        <v>2987940</v>
      </c>
      <c r="M4575" s="5">
        <v>275867.57</v>
      </c>
      <c r="N4575" s="5">
        <v>0.1071</v>
      </c>
      <c r="O4575" s="5">
        <v>4</v>
      </c>
      <c r="P4575" s="5">
        <v>66040</v>
      </c>
    </row>
    <row r="4576" spans="1:16" x14ac:dyDescent="0.3">
      <c r="A4576" s="5">
        <v>115</v>
      </c>
      <c r="B4576" s="5" t="s">
        <v>162</v>
      </c>
      <c r="C4576" s="5">
        <v>6</v>
      </c>
      <c r="D4576" s="5" t="s">
        <v>90</v>
      </c>
      <c r="E4576" s="5">
        <v>2024</v>
      </c>
      <c r="F4576" s="5">
        <v>5</v>
      </c>
      <c r="G4576" s="5" t="s">
        <v>62</v>
      </c>
      <c r="H4576" s="5">
        <v>3442396</v>
      </c>
      <c r="I4576" s="5">
        <v>3191555.05</v>
      </c>
      <c r="J4576" s="5">
        <v>41</v>
      </c>
      <c r="K4576" s="5">
        <v>670312</v>
      </c>
      <c r="L4576" s="5">
        <v>4104020</v>
      </c>
      <c r="M4576" s="5">
        <v>250840.95</v>
      </c>
      <c r="N4576" s="5">
        <v>7.2900000000000006E-2</v>
      </c>
      <c r="O4576" s="5">
        <v>2</v>
      </c>
      <c r="P4576" s="5">
        <v>45529</v>
      </c>
    </row>
    <row r="4577" spans="1:16" x14ac:dyDescent="0.3">
      <c r="A4577" s="5">
        <v>1</v>
      </c>
      <c r="B4577" s="5" t="s">
        <v>162</v>
      </c>
      <c r="C4577" s="5">
        <v>6</v>
      </c>
      <c r="D4577" s="5" t="s">
        <v>90</v>
      </c>
      <c r="E4577" s="5">
        <v>2024</v>
      </c>
      <c r="F4577" s="5">
        <v>6</v>
      </c>
      <c r="G4577" s="5" t="s">
        <v>63</v>
      </c>
      <c r="H4577" s="5">
        <v>4217047</v>
      </c>
      <c r="I4577" s="5">
        <v>3481376.86</v>
      </c>
      <c r="J4577" s="5">
        <v>57</v>
      </c>
      <c r="K4577" s="5">
        <v>267401</v>
      </c>
      <c r="L4577" s="5">
        <v>4468360</v>
      </c>
      <c r="M4577" s="5">
        <v>735670.14</v>
      </c>
      <c r="N4577" s="5">
        <v>0.17449999999999999</v>
      </c>
      <c r="O4577" s="5">
        <v>8</v>
      </c>
      <c r="P4577" s="5">
        <v>414224</v>
      </c>
    </row>
    <row r="4578" spans="1:16" x14ac:dyDescent="0.3">
      <c r="A4578" s="5">
        <v>9</v>
      </c>
      <c r="B4578" s="5" t="s">
        <v>162</v>
      </c>
      <c r="C4578" s="5">
        <v>6</v>
      </c>
      <c r="D4578" s="5" t="s">
        <v>90</v>
      </c>
      <c r="E4578" s="5">
        <v>2024</v>
      </c>
      <c r="F4578" s="5">
        <v>6</v>
      </c>
      <c r="G4578" s="5" t="s">
        <v>63</v>
      </c>
      <c r="H4578" s="5">
        <v>2282838</v>
      </c>
      <c r="I4578" s="5">
        <v>1815642.07</v>
      </c>
      <c r="J4578" s="5">
        <v>24</v>
      </c>
      <c r="K4578" s="5">
        <v>88516</v>
      </c>
      <c r="L4578" s="5">
        <v>2365370</v>
      </c>
      <c r="M4578" s="5">
        <v>467195.93</v>
      </c>
      <c r="N4578" s="5">
        <v>0.20469999999999999</v>
      </c>
      <c r="O4578" s="5">
        <v>2</v>
      </c>
      <c r="P4578" s="5">
        <v>51382</v>
      </c>
    </row>
    <row r="4579" spans="1:16" x14ac:dyDescent="0.3">
      <c r="A4579" s="5">
        <v>36</v>
      </c>
      <c r="B4579" s="5" t="s">
        <v>162</v>
      </c>
      <c r="C4579" s="5">
        <v>6</v>
      </c>
      <c r="D4579" s="5" t="s">
        <v>90</v>
      </c>
      <c r="E4579" s="5">
        <v>2024</v>
      </c>
      <c r="F4579" s="5">
        <v>6</v>
      </c>
      <c r="G4579" s="5" t="s">
        <v>63</v>
      </c>
      <c r="H4579" s="5">
        <v>3461878</v>
      </c>
      <c r="I4579" s="5">
        <v>3029100.31</v>
      </c>
      <c r="J4579" s="5">
        <v>46</v>
      </c>
      <c r="K4579" s="5">
        <v>413758</v>
      </c>
      <c r="L4579" s="5">
        <v>3866970</v>
      </c>
      <c r="M4579" s="5">
        <v>432777.69</v>
      </c>
      <c r="N4579" s="5">
        <v>0.125</v>
      </c>
      <c r="O4579" s="5">
        <v>6</v>
      </c>
      <c r="P4579" s="5">
        <v>178257</v>
      </c>
    </row>
    <row r="4580" spans="1:16" x14ac:dyDescent="0.3">
      <c r="A4580" s="5">
        <v>67</v>
      </c>
      <c r="B4580" s="5" t="s">
        <v>162</v>
      </c>
      <c r="C4580" s="5">
        <v>6</v>
      </c>
      <c r="D4580" s="5" t="s">
        <v>90</v>
      </c>
      <c r="E4580" s="5">
        <v>2024</v>
      </c>
      <c r="F4580" s="5">
        <v>6</v>
      </c>
      <c r="G4580" s="5" t="s">
        <v>63</v>
      </c>
      <c r="H4580" s="5">
        <v>2544827</v>
      </c>
      <c r="I4580" s="5">
        <v>2114171.0299999998</v>
      </c>
      <c r="J4580" s="5">
        <v>36</v>
      </c>
      <c r="K4580" s="5">
        <v>238410</v>
      </c>
      <c r="L4580" s="5">
        <v>2772310</v>
      </c>
      <c r="M4580" s="5">
        <v>430655.97</v>
      </c>
      <c r="N4580" s="5">
        <v>0.16919999999999999</v>
      </c>
      <c r="O4580" s="5">
        <v>2</v>
      </c>
      <c r="P4580" s="5">
        <v>45407</v>
      </c>
    </row>
    <row r="4581" spans="1:16" x14ac:dyDescent="0.3">
      <c r="A4581" s="5">
        <v>115</v>
      </c>
      <c r="B4581" s="5" t="s">
        <v>162</v>
      </c>
      <c r="C4581" s="5">
        <v>6</v>
      </c>
      <c r="D4581" s="5" t="s">
        <v>90</v>
      </c>
      <c r="E4581" s="5">
        <v>2024</v>
      </c>
      <c r="F4581" s="5">
        <v>6</v>
      </c>
      <c r="G4581" s="5" t="s">
        <v>63</v>
      </c>
      <c r="H4581" s="5">
        <v>1549678</v>
      </c>
      <c r="I4581" s="5">
        <v>1214229.71</v>
      </c>
      <c r="J4581" s="5">
        <v>29</v>
      </c>
      <c r="K4581" s="5">
        <v>79733</v>
      </c>
      <c r="L4581" s="5">
        <v>1625690</v>
      </c>
      <c r="M4581" s="5">
        <v>335448.28999999998</v>
      </c>
      <c r="N4581" s="5">
        <v>0.2165</v>
      </c>
      <c r="O4581" s="5">
        <v>1</v>
      </c>
      <c r="P4581" s="5">
        <v>5230</v>
      </c>
    </row>
    <row r="4582" spans="1:16" x14ac:dyDescent="0.3">
      <c r="A4582" s="5">
        <v>1</v>
      </c>
      <c r="B4582" s="5" t="s">
        <v>162</v>
      </c>
      <c r="C4582" s="5">
        <v>6</v>
      </c>
      <c r="D4582" s="5" t="s">
        <v>90</v>
      </c>
      <c r="E4582" s="5">
        <v>2024</v>
      </c>
      <c r="F4582" s="5">
        <v>7</v>
      </c>
      <c r="G4582" s="5" t="s">
        <v>64</v>
      </c>
      <c r="H4582" s="5">
        <v>2635419</v>
      </c>
      <c r="I4582" s="5">
        <v>2223874.29</v>
      </c>
      <c r="J4582" s="5">
        <v>42</v>
      </c>
      <c r="K4582" s="5">
        <v>234665</v>
      </c>
      <c r="L4582" s="5">
        <v>2865640</v>
      </c>
      <c r="M4582" s="5">
        <v>411544.71</v>
      </c>
      <c r="N4582" s="5">
        <v>0.15620000000000001</v>
      </c>
      <c r="O4582" s="5">
        <v>0</v>
      </c>
      <c r="P4582" s="5">
        <v>0</v>
      </c>
    </row>
    <row r="4583" spans="1:16" x14ac:dyDescent="0.3">
      <c r="A4583" s="5">
        <v>9</v>
      </c>
      <c r="B4583" s="5" t="s">
        <v>162</v>
      </c>
      <c r="C4583" s="5">
        <v>6</v>
      </c>
      <c r="D4583" s="5" t="s">
        <v>90</v>
      </c>
      <c r="E4583" s="5">
        <v>2024</v>
      </c>
      <c r="F4583" s="5">
        <v>7</v>
      </c>
      <c r="G4583" s="5" t="s">
        <v>64</v>
      </c>
      <c r="H4583" s="5">
        <v>2278981</v>
      </c>
      <c r="I4583" s="5">
        <v>1848873.67</v>
      </c>
      <c r="J4583" s="5">
        <v>28</v>
      </c>
      <c r="K4583" s="5">
        <v>155854</v>
      </c>
      <c r="L4583" s="5">
        <v>2429000</v>
      </c>
      <c r="M4583" s="5">
        <v>430107.33</v>
      </c>
      <c r="N4583" s="5">
        <v>0.18870000000000001</v>
      </c>
      <c r="O4583" s="5">
        <v>1</v>
      </c>
      <c r="P4583" s="5">
        <v>3448</v>
      </c>
    </row>
    <row r="4584" spans="1:16" x14ac:dyDescent="0.3">
      <c r="A4584" s="5">
        <v>36</v>
      </c>
      <c r="B4584" s="5" t="s">
        <v>162</v>
      </c>
      <c r="C4584" s="5">
        <v>6</v>
      </c>
      <c r="D4584" s="5" t="s">
        <v>90</v>
      </c>
      <c r="E4584" s="5">
        <v>2024</v>
      </c>
      <c r="F4584" s="5">
        <v>7</v>
      </c>
      <c r="G4584" s="5" t="s">
        <v>64</v>
      </c>
      <c r="H4584" s="5">
        <v>2651261</v>
      </c>
      <c r="I4584" s="5">
        <v>2276230.67</v>
      </c>
      <c r="J4584" s="5">
        <v>35</v>
      </c>
      <c r="K4584" s="5">
        <v>245822</v>
      </c>
      <c r="L4584" s="5">
        <v>2885610</v>
      </c>
      <c r="M4584" s="5">
        <v>375030.33</v>
      </c>
      <c r="N4584" s="5">
        <v>0.14149999999999999</v>
      </c>
      <c r="O4584" s="5">
        <v>1</v>
      </c>
      <c r="P4584" s="5">
        <v>2361</v>
      </c>
    </row>
    <row r="4585" spans="1:16" x14ac:dyDescent="0.3">
      <c r="A4585" s="5">
        <v>67</v>
      </c>
      <c r="B4585" s="5" t="s">
        <v>162</v>
      </c>
      <c r="C4585" s="5">
        <v>6</v>
      </c>
      <c r="D4585" s="5" t="s">
        <v>90</v>
      </c>
      <c r="E4585" s="5">
        <v>2024</v>
      </c>
      <c r="F4585" s="5">
        <v>7</v>
      </c>
      <c r="G4585" s="5" t="s">
        <v>64</v>
      </c>
      <c r="H4585" s="5">
        <v>3026959</v>
      </c>
      <c r="I4585" s="5">
        <v>2466152.44</v>
      </c>
      <c r="J4585" s="5">
        <v>46</v>
      </c>
      <c r="K4585" s="5">
        <v>201609</v>
      </c>
      <c r="L4585" s="5">
        <v>3210070</v>
      </c>
      <c r="M4585" s="5">
        <v>560806.56000000006</v>
      </c>
      <c r="N4585" s="5">
        <v>0.18529999999999999</v>
      </c>
      <c r="O4585" s="5">
        <v>3</v>
      </c>
      <c r="P4585" s="5">
        <v>152651</v>
      </c>
    </row>
    <row r="4586" spans="1:16" x14ac:dyDescent="0.3">
      <c r="A4586" s="5">
        <v>115</v>
      </c>
      <c r="B4586" s="5" t="s">
        <v>162</v>
      </c>
      <c r="C4586" s="5">
        <v>6</v>
      </c>
      <c r="D4586" s="5" t="s">
        <v>90</v>
      </c>
      <c r="E4586" s="5">
        <v>2024</v>
      </c>
      <c r="F4586" s="5">
        <v>7</v>
      </c>
      <c r="G4586" s="5" t="s">
        <v>64</v>
      </c>
      <c r="H4586" s="5">
        <v>3195325</v>
      </c>
      <c r="I4586" s="5">
        <v>2853786.42</v>
      </c>
      <c r="J4586" s="5">
        <v>41</v>
      </c>
      <c r="K4586" s="5">
        <v>439148</v>
      </c>
      <c r="L4586" s="5">
        <v>3622530</v>
      </c>
      <c r="M4586" s="5">
        <v>341538.58</v>
      </c>
      <c r="N4586" s="5">
        <v>0.1069</v>
      </c>
      <c r="O4586" s="5">
        <v>2</v>
      </c>
      <c r="P4586" s="5">
        <v>77795</v>
      </c>
    </row>
    <row r="4587" spans="1:16" x14ac:dyDescent="0.3">
      <c r="A4587" s="5">
        <v>1</v>
      </c>
      <c r="B4587" s="5" t="s">
        <v>162</v>
      </c>
      <c r="C4587" s="5">
        <v>6</v>
      </c>
      <c r="D4587" s="5" t="s">
        <v>90</v>
      </c>
      <c r="E4587" s="5">
        <v>2024</v>
      </c>
      <c r="F4587" s="5">
        <v>8</v>
      </c>
      <c r="G4587" s="5" t="s">
        <v>65</v>
      </c>
      <c r="H4587" s="5">
        <v>2959558</v>
      </c>
      <c r="I4587" s="5">
        <v>2564192.6800000002</v>
      </c>
      <c r="J4587" s="5">
        <v>45</v>
      </c>
      <c r="K4587" s="5">
        <v>364001</v>
      </c>
      <c r="L4587" s="5">
        <v>3319590</v>
      </c>
      <c r="M4587" s="5">
        <v>395365.32</v>
      </c>
      <c r="N4587" s="5">
        <v>0.1336</v>
      </c>
      <c r="O4587" s="5">
        <v>8</v>
      </c>
      <c r="P4587" s="5">
        <v>75964</v>
      </c>
    </row>
    <row r="4588" spans="1:16" x14ac:dyDescent="0.3">
      <c r="A4588" s="5">
        <v>9</v>
      </c>
      <c r="B4588" s="5" t="s">
        <v>162</v>
      </c>
      <c r="C4588" s="5">
        <v>6</v>
      </c>
      <c r="D4588" s="5" t="s">
        <v>90</v>
      </c>
      <c r="E4588" s="5">
        <v>2024</v>
      </c>
      <c r="F4588" s="5">
        <v>8</v>
      </c>
      <c r="G4588" s="5" t="s">
        <v>65</v>
      </c>
      <c r="H4588" s="5">
        <v>2476311</v>
      </c>
      <c r="I4588" s="5">
        <v>2145343.6</v>
      </c>
      <c r="J4588" s="5">
        <v>46</v>
      </c>
      <c r="K4588" s="5">
        <v>247068</v>
      </c>
      <c r="L4588" s="5">
        <v>2717440</v>
      </c>
      <c r="M4588" s="5">
        <v>330967.40000000002</v>
      </c>
      <c r="N4588" s="5">
        <v>0.13370000000000001</v>
      </c>
      <c r="O4588" s="5">
        <v>4</v>
      </c>
      <c r="P4588" s="5">
        <v>100349</v>
      </c>
    </row>
    <row r="4589" spans="1:16" x14ac:dyDescent="0.3">
      <c r="A4589" s="5">
        <v>36</v>
      </c>
      <c r="B4589" s="5" t="s">
        <v>162</v>
      </c>
      <c r="C4589" s="5">
        <v>6</v>
      </c>
      <c r="D4589" s="5" t="s">
        <v>90</v>
      </c>
      <c r="E4589" s="5">
        <v>2024</v>
      </c>
      <c r="F4589" s="5">
        <v>8</v>
      </c>
      <c r="G4589" s="5" t="s">
        <v>65</v>
      </c>
      <c r="H4589" s="5">
        <v>2767426</v>
      </c>
      <c r="I4589" s="5">
        <v>2278226.9</v>
      </c>
      <c r="J4589" s="5">
        <v>45</v>
      </c>
      <c r="K4589" s="5">
        <v>178951</v>
      </c>
      <c r="L4589" s="5">
        <v>2929150</v>
      </c>
      <c r="M4589" s="5">
        <v>489199.1</v>
      </c>
      <c r="N4589" s="5">
        <v>0.17680000000000001</v>
      </c>
      <c r="O4589" s="5">
        <v>5</v>
      </c>
      <c r="P4589" s="5">
        <v>121628</v>
      </c>
    </row>
    <row r="4590" spans="1:16" x14ac:dyDescent="0.3">
      <c r="A4590" s="5">
        <v>67</v>
      </c>
      <c r="B4590" s="5" t="s">
        <v>162</v>
      </c>
      <c r="C4590" s="5">
        <v>6</v>
      </c>
      <c r="D4590" s="5" t="s">
        <v>90</v>
      </c>
      <c r="E4590" s="5">
        <v>2024</v>
      </c>
      <c r="F4590" s="5">
        <v>8</v>
      </c>
      <c r="G4590" s="5" t="s">
        <v>65</v>
      </c>
      <c r="H4590" s="5">
        <v>3021918</v>
      </c>
      <c r="I4590" s="5">
        <v>2586547.13</v>
      </c>
      <c r="J4590" s="5">
        <v>43</v>
      </c>
      <c r="K4590" s="5">
        <v>319932</v>
      </c>
      <c r="L4590" s="5">
        <v>3326770</v>
      </c>
      <c r="M4590" s="5">
        <v>435370.87</v>
      </c>
      <c r="N4590" s="5">
        <v>0.14410000000000001</v>
      </c>
      <c r="O4590" s="5">
        <v>2</v>
      </c>
      <c r="P4590" s="5">
        <v>31960</v>
      </c>
    </row>
    <row r="4591" spans="1:16" x14ac:dyDescent="0.3">
      <c r="A4591" s="5">
        <v>115</v>
      </c>
      <c r="B4591" s="5" t="s">
        <v>162</v>
      </c>
      <c r="C4591" s="5">
        <v>6</v>
      </c>
      <c r="D4591" s="5" t="s">
        <v>90</v>
      </c>
      <c r="E4591" s="5">
        <v>2024</v>
      </c>
      <c r="F4591" s="5">
        <v>8</v>
      </c>
      <c r="G4591" s="5" t="s">
        <v>65</v>
      </c>
      <c r="H4591" s="5">
        <v>1451208</v>
      </c>
      <c r="I4591" s="5">
        <v>1220939.3700000001</v>
      </c>
      <c r="J4591" s="5">
        <v>23</v>
      </c>
      <c r="K4591" s="5">
        <v>145001</v>
      </c>
      <c r="L4591" s="5">
        <v>1586600</v>
      </c>
      <c r="M4591" s="5">
        <v>230268.63</v>
      </c>
      <c r="N4591" s="5">
        <v>0.15870000000000001</v>
      </c>
      <c r="O4591" s="5">
        <v>2</v>
      </c>
      <c r="P4591" s="5">
        <v>15263</v>
      </c>
    </row>
    <row r="4592" spans="1:16" x14ac:dyDescent="0.3">
      <c r="A4592" s="5">
        <v>1</v>
      </c>
      <c r="B4592" s="5" t="s">
        <v>162</v>
      </c>
      <c r="C4592" s="5">
        <v>6</v>
      </c>
      <c r="D4592" s="5" t="s">
        <v>90</v>
      </c>
      <c r="E4592" s="5">
        <v>2024</v>
      </c>
      <c r="F4592" s="5">
        <v>9</v>
      </c>
      <c r="G4592" s="5" t="s">
        <v>66</v>
      </c>
      <c r="H4592" s="5">
        <v>4257426</v>
      </c>
      <c r="I4592" s="5">
        <v>3483343.42</v>
      </c>
      <c r="J4592" s="5">
        <v>53</v>
      </c>
      <c r="K4592" s="5">
        <v>182330</v>
      </c>
      <c r="L4592" s="5">
        <v>4428170</v>
      </c>
      <c r="M4592" s="5">
        <v>774082.58</v>
      </c>
      <c r="N4592" s="5">
        <v>0.18179999999999999</v>
      </c>
      <c r="O4592" s="5">
        <v>10</v>
      </c>
      <c r="P4592" s="5">
        <v>331961</v>
      </c>
    </row>
    <row r="4593" spans="1:16" x14ac:dyDescent="0.3">
      <c r="A4593" s="5">
        <v>9</v>
      </c>
      <c r="B4593" s="5" t="s">
        <v>162</v>
      </c>
      <c r="C4593" s="5">
        <v>6</v>
      </c>
      <c r="D4593" s="5" t="s">
        <v>90</v>
      </c>
      <c r="E4593" s="5">
        <v>2024</v>
      </c>
      <c r="F4593" s="5">
        <v>9</v>
      </c>
      <c r="G4593" s="5" t="s">
        <v>66</v>
      </c>
      <c r="H4593" s="5">
        <v>3633559</v>
      </c>
      <c r="I4593" s="5">
        <v>2951798.84</v>
      </c>
      <c r="J4593" s="5">
        <v>41</v>
      </c>
      <c r="K4593" s="5">
        <v>203012</v>
      </c>
      <c r="L4593" s="5">
        <v>3822040</v>
      </c>
      <c r="M4593" s="5">
        <v>681760.16</v>
      </c>
      <c r="N4593" s="5">
        <v>0.18759999999999999</v>
      </c>
      <c r="O4593" s="5">
        <v>5</v>
      </c>
      <c r="P4593" s="5">
        <v>152871</v>
      </c>
    </row>
    <row r="4594" spans="1:16" x14ac:dyDescent="0.3">
      <c r="A4594" s="5">
        <v>36</v>
      </c>
      <c r="B4594" s="5" t="s">
        <v>162</v>
      </c>
      <c r="C4594" s="5">
        <v>6</v>
      </c>
      <c r="D4594" s="5" t="s">
        <v>90</v>
      </c>
      <c r="E4594" s="5">
        <v>2024</v>
      </c>
      <c r="F4594" s="5">
        <v>9</v>
      </c>
      <c r="G4594" s="5" t="s">
        <v>66</v>
      </c>
      <c r="H4594" s="5">
        <v>2297597</v>
      </c>
      <c r="I4594" s="5">
        <v>1893143</v>
      </c>
      <c r="J4594" s="5">
        <v>41</v>
      </c>
      <c r="K4594" s="5">
        <v>128910</v>
      </c>
      <c r="L4594" s="5">
        <v>2419850</v>
      </c>
      <c r="M4594" s="5">
        <v>404454</v>
      </c>
      <c r="N4594" s="5">
        <v>0.17599999999999999</v>
      </c>
      <c r="O4594" s="5">
        <v>4</v>
      </c>
      <c r="P4594" s="5">
        <v>189359</v>
      </c>
    </row>
    <row r="4595" spans="1:16" x14ac:dyDescent="0.3">
      <c r="A4595" s="5">
        <v>67</v>
      </c>
      <c r="B4595" s="5" t="s">
        <v>162</v>
      </c>
      <c r="C4595" s="5">
        <v>6</v>
      </c>
      <c r="D4595" s="5" t="s">
        <v>90</v>
      </c>
      <c r="E4595" s="5">
        <v>2024</v>
      </c>
      <c r="F4595" s="5">
        <v>9</v>
      </c>
      <c r="G4595" s="5" t="s">
        <v>66</v>
      </c>
      <c r="H4595" s="5">
        <v>2818152</v>
      </c>
      <c r="I4595" s="5">
        <v>2272391.41</v>
      </c>
      <c r="J4595" s="5">
        <v>46</v>
      </c>
      <c r="K4595" s="5">
        <v>127995</v>
      </c>
      <c r="L4595" s="5">
        <v>2933610</v>
      </c>
      <c r="M4595" s="5">
        <v>545760.59</v>
      </c>
      <c r="N4595" s="5">
        <v>0.19370000000000001</v>
      </c>
      <c r="O4595" s="5">
        <v>7</v>
      </c>
      <c r="P4595" s="5">
        <v>475077</v>
      </c>
    </row>
    <row r="4596" spans="1:16" x14ac:dyDescent="0.3">
      <c r="A4596" s="5">
        <v>115</v>
      </c>
      <c r="B4596" s="5" t="s">
        <v>162</v>
      </c>
      <c r="C4596" s="5">
        <v>6</v>
      </c>
      <c r="D4596" s="5" t="s">
        <v>90</v>
      </c>
      <c r="E4596" s="5">
        <v>2024</v>
      </c>
      <c r="F4596" s="5">
        <v>9</v>
      </c>
      <c r="G4596" s="5" t="s">
        <v>66</v>
      </c>
      <c r="H4596" s="5">
        <v>2358120</v>
      </c>
      <c r="I4596" s="5">
        <v>1867178.39</v>
      </c>
      <c r="J4596" s="5">
        <v>34</v>
      </c>
      <c r="K4596" s="5">
        <v>115350</v>
      </c>
      <c r="L4596" s="5">
        <v>2461760</v>
      </c>
      <c r="M4596" s="5">
        <v>490941.61</v>
      </c>
      <c r="N4596" s="5">
        <v>0.2082</v>
      </c>
      <c r="O4596" s="5">
        <v>4</v>
      </c>
      <c r="P4596" s="5">
        <v>234716</v>
      </c>
    </row>
    <row r="4597" spans="1:16" x14ac:dyDescent="0.3">
      <c r="A4597" s="5">
        <v>1</v>
      </c>
      <c r="B4597" s="5" t="s">
        <v>162</v>
      </c>
      <c r="C4597" s="5">
        <v>6</v>
      </c>
      <c r="D4597" s="5" t="s">
        <v>90</v>
      </c>
      <c r="E4597" s="5">
        <v>2024</v>
      </c>
      <c r="F4597" s="5">
        <v>10</v>
      </c>
      <c r="G4597" s="5" t="s">
        <v>67</v>
      </c>
      <c r="H4597" s="5">
        <v>3359170</v>
      </c>
      <c r="I4597" s="5">
        <v>2628672.44</v>
      </c>
      <c r="J4597" s="5">
        <v>56</v>
      </c>
      <c r="K4597" s="5">
        <v>119175</v>
      </c>
      <c r="L4597" s="5">
        <v>3473590</v>
      </c>
      <c r="M4597" s="5">
        <v>730497.56</v>
      </c>
      <c r="N4597" s="5">
        <v>0.2175</v>
      </c>
      <c r="O4597" s="5">
        <v>7</v>
      </c>
      <c r="P4597" s="5">
        <v>243682</v>
      </c>
    </row>
    <row r="4598" spans="1:16" x14ac:dyDescent="0.3">
      <c r="A4598" s="5">
        <v>9</v>
      </c>
      <c r="B4598" s="5" t="s">
        <v>162</v>
      </c>
      <c r="C4598" s="5">
        <v>6</v>
      </c>
      <c r="D4598" s="5" t="s">
        <v>90</v>
      </c>
      <c r="E4598" s="5">
        <v>2024</v>
      </c>
      <c r="F4598" s="5">
        <v>10</v>
      </c>
      <c r="G4598" s="5" t="s">
        <v>67</v>
      </c>
      <c r="H4598" s="5">
        <v>3747179</v>
      </c>
      <c r="I4598" s="5">
        <v>3067984.14</v>
      </c>
      <c r="J4598" s="5">
        <v>51</v>
      </c>
      <c r="K4598" s="5">
        <v>160304</v>
      </c>
      <c r="L4598" s="5">
        <v>3902880</v>
      </c>
      <c r="M4598" s="5">
        <v>679194.86</v>
      </c>
      <c r="N4598" s="5">
        <v>0.18129999999999999</v>
      </c>
      <c r="O4598" s="5">
        <v>5</v>
      </c>
      <c r="P4598" s="5">
        <v>89581</v>
      </c>
    </row>
    <row r="4599" spans="1:16" x14ac:dyDescent="0.3">
      <c r="A4599" s="5">
        <v>36</v>
      </c>
      <c r="B4599" s="5" t="s">
        <v>162</v>
      </c>
      <c r="C4599" s="5">
        <v>6</v>
      </c>
      <c r="D4599" s="5" t="s">
        <v>90</v>
      </c>
      <c r="E4599" s="5">
        <v>2024</v>
      </c>
      <c r="F4599" s="5">
        <v>10</v>
      </c>
      <c r="G4599" s="5" t="s">
        <v>67</v>
      </c>
      <c r="H4599" s="5">
        <v>4059614</v>
      </c>
      <c r="I4599" s="5">
        <v>3233751.25</v>
      </c>
      <c r="J4599" s="5">
        <v>64</v>
      </c>
      <c r="K4599" s="5">
        <v>155595</v>
      </c>
      <c r="L4599" s="5">
        <v>4205070</v>
      </c>
      <c r="M4599" s="5">
        <v>825862.75</v>
      </c>
      <c r="N4599" s="5">
        <v>0.2034</v>
      </c>
      <c r="O4599" s="5">
        <v>5</v>
      </c>
      <c r="P4599" s="5">
        <v>78129</v>
      </c>
    </row>
    <row r="4600" spans="1:16" x14ac:dyDescent="0.3">
      <c r="A4600" s="5">
        <v>67</v>
      </c>
      <c r="B4600" s="5" t="s">
        <v>162</v>
      </c>
      <c r="C4600" s="5">
        <v>6</v>
      </c>
      <c r="D4600" s="5" t="s">
        <v>90</v>
      </c>
      <c r="E4600" s="5">
        <v>2024</v>
      </c>
      <c r="F4600" s="5">
        <v>10</v>
      </c>
      <c r="G4600" s="5" t="s">
        <v>67</v>
      </c>
      <c r="H4600" s="5">
        <v>6056490</v>
      </c>
      <c r="I4600" s="5">
        <v>4884925.1500000004</v>
      </c>
      <c r="J4600" s="5">
        <v>67</v>
      </c>
      <c r="K4600" s="5">
        <v>178781</v>
      </c>
      <c r="L4600" s="5">
        <v>6215340</v>
      </c>
      <c r="M4600" s="5">
        <v>1171564.8500000001</v>
      </c>
      <c r="N4600" s="5">
        <v>0.19339999999999999</v>
      </c>
      <c r="O4600" s="5">
        <v>6</v>
      </c>
      <c r="P4600" s="5">
        <v>194208</v>
      </c>
    </row>
    <row r="4601" spans="1:16" x14ac:dyDescent="0.3">
      <c r="A4601" s="5">
        <v>115</v>
      </c>
      <c r="B4601" s="5" t="s">
        <v>162</v>
      </c>
      <c r="C4601" s="5">
        <v>6</v>
      </c>
      <c r="D4601" s="5" t="s">
        <v>90</v>
      </c>
      <c r="E4601" s="5">
        <v>2024</v>
      </c>
      <c r="F4601" s="5">
        <v>10</v>
      </c>
      <c r="G4601" s="5" t="s">
        <v>67</v>
      </c>
      <c r="H4601" s="5">
        <v>2080866</v>
      </c>
      <c r="I4601" s="5">
        <v>1660515.26</v>
      </c>
      <c r="J4601" s="5">
        <v>27</v>
      </c>
      <c r="K4601" s="5">
        <v>71034</v>
      </c>
      <c r="L4601" s="5">
        <v>2147360</v>
      </c>
      <c r="M4601" s="5">
        <v>420350.74</v>
      </c>
      <c r="N4601" s="5">
        <v>0.20200000000000001</v>
      </c>
      <c r="O4601" s="5">
        <v>3</v>
      </c>
      <c r="P4601" s="5">
        <v>18843</v>
      </c>
    </row>
    <row r="4602" spans="1:16" x14ac:dyDescent="0.3">
      <c r="A4602" s="5">
        <v>1</v>
      </c>
      <c r="B4602" s="5" t="s">
        <v>162</v>
      </c>
      <c r="C4602" s="5">
        <v>6</v>
      </c>
      <c r="D4602" s="5" t="s">
        <v>90</v>
      </c>
      <c r="E4602" s="5">
        <v>2024</v>
      </c>
      <c r="F4602" s="5">
        <v>11</v>
      </c>
      <c r="G4602" s="5" t="s">
        <v>68</v>
      </c>
      <c r="H4602" s="5">
        <v>3842067</v>
      </c>
      <c r="I4602" s="5">
        <v>3122669.36</v>
      </c>
      <c r="J4602" s="5">
        <v>64</v>
      </c>
      <c r="K4602" s="5">
        <v>274003</v>
      </c>
      <c r="L4602" s="5">
        <v>4098610</v>
      </c>
      <c r="M4602" s="5">
        <v>719397.64</v>
      </c>
      <c r="N4602" s="5">
        <v>0.18720000000000001</v>
      </c>
      <c r="O4602" s="5">
        <v>7</v>
      </c>
      <c r="P4602" s="5">
        <v>239820</v>
      </c>
    </row>
    <row r="4603" spans="1:16" x14ac:dyDescent="0.3">
      <c r="A4603" s="5">
        <v>9</v>
      </c>
      <c r="B4603" s="5" t="s">
        <v>162</v>
      </c>
      <c r="C4603" s="5">
        <v>6</v>
      </c>
      <c r="D4603" s="5" t="s">
        <v>90</v>
      </c>
      <c r="E4603" s="5">
        <v>2024</v>
      </c>
      <c r="F4603" s="5">
        <v>11</v>
      </c>
      <c r="G4603" s="5" t="s">
        <v>68</v>
      </c>
      <c r="H4603" s="5">
        <v>4482273</v>
      </c>
      <c r="I4603" s="5">
        <v>3773859.3</v>
      </c>
      <c r="J4603" s="5">
        <v>52</v>
      </c>
      <c r="K4603" s="5">
        <v>321360</v>
      </c>
      <c r="L4603" s="5">
        <v>4786950</v>
      </c>
      <c r="M4603" s="5">
        <v>708413.7</v>
      </c>
      <c r="N4603" s="5">
        <v>0.158</v>
      </c>
      <c r="O4603" s="5">
        <v>6</v>
      </c>
      <c r="P4603" s="5">
        <v>339713</v>
      </c>
    </row>
    <row r="4604" spans="1:16" x14ac:dyDescent="0.3">
      <c r="A4604" s="5">
        <v>36</v>
      </c>
      <c r="B4604" s="5" t="s">
        <v>162</v>
      </c>
      <c r="C4604" s="5">
        <v>6</v>
      </c>
      <c r="D4604" s="5" t="s">
        <v>90</v>
      </c>
      <c r="E4604" s="5">
        <v>2024</v>
      </c>
      <c r="F4604" s="5">
        <v>11</v>
      </c>
      <c r="G4604" s="5" t="s">
        <v>68</v>
      </c>
      <c r="H4604" s="5">
        <v>3696931</v>
      </c>
      <c r="I4604" s="5">
        <v>3151552.43</v>
      </c>
      <c r="J4604" s="5">
        <v>56</v>
      </c>
      <c r="K4604" s="5">
        <v>296009</v>
      </c>
      <c r="L4604" s="5">
        <v>3985350</v>
      </c>
      <c r="M4604" s="5">
        <v>545378.56999999995</v>
      </c>
      <c r="N4604" s="5">
        <v>0.14749999999999999</v>
      </c>
      <c r="O4604" s="5">
        <v>4</v>
      </c>
      <c r="P4604" s="5">
        <v>45877</v>
      </c>
    </row>
    <row r="4605" spans="1:16" x14ac:dyDescent="0.3">
      <c r="A4605" s="5">
        <v>67</v>
      </c>
      <c r="B4605" s="5" t="s">
        <v>162</v>
      </c>
      <c r="C4605" s="5">
        <v>6</v>
      </c>
      <c r="D4605" s="5" t="s">
        <v>90</v>
      </c>
      <c r="E4605" s="5">
        <v>2024</v>
      </c>
      <c r="F4605" s="5">
        <v>11</v>
      </c>
      <c r="G4605" s="5" t="s">
        <v>68</v>
      </c>
      <c r="H4605" s="5">
        <v>3951859</v>
      </c>
      <c r="I4605" s="5">
        <v>3310649.53</v>
      </c>
      <c r="J4605" s="5">
        <v>64</v>
      </c>
      <c r="K4605" s="5">
        <v>348776</v>
      </c>
      <c r="L4605" s="5">
        <v>4285620</v>
      </c>
      <c r="M4605" s="5">
        <v>641209.47</v>
      </c>
      <c r="N4605" s="5">
        <v>0.1623</v>
      </c>
      <c r="O4605" s="5">
        <v>6</v>
      </c>
      <c r="P4605" s="5">
        <v>13647</v>
      </c>
    </row>
    <row r="4606" spans="1:16" x14ac:dyDescent="0.3">
      <c r="A4606" s="5">
        <v>115</v>
      </c>
      <c r="B4606" s="5" t="s">
        <v>162</v>
      </c>
      <c r="C4606" s="5">
        <v>6</v>
      </c>
      <c r="D4606" s="5" t="s">
        <v>90</v>
      </c>
      <c r="E4606" s="5">
        <v>2024</v>
      </c>
      <c r="F4606" s="5">
        <v>11</v>
      </c>
      <c r="G4606" s="5" t="s">
        <v>68</v>
      </c>
      <c r="H4606" s="5">
        <v>3203014</v>
      </c>
      <c r="I4606" s="5">
        <v>2697582.06</v>
      </c>
      <c r="J4606" s="5">
        <v>42</v>
      </c>
      <c r="K4606" s="5">
        <v>221190</v>
      </c>
      <c r="L4606" s="5">
        <v>3414200</v>
      </c>
      <c r="M4606" s="5">
        <v>505431.94</v>
      </c>
      <c r="N4606" s="5">
        <v>0.1578</v>
      </c>
      <c r="O4606" s="5">
        <v>1</v>
      </c>
      <c r="P4606" s="5">
        <v>1717</v>
      </c>
    </row>
    <row r="4607" spans="1:16" x14ac:dyDescent="0.3">
      <c r="A4607" s="5">
        <v>1</v>
      </c>
      <c r="B4607" s="5" t="s">
        <v>162</v>
      </c>
      <c r="C4607" s="5">
        <v>6</v>
      </c>
      <c r="D4607" s="5" t="s">
        <v>90</v>
      </c>
      <c r="E4607" s="5">
        <v>2024</v>
      </c>
      <c r="F4607" s="5">
        <v>12</v>
      </c>
      <c r="G4607" s="5" t="s">
        <v>69</v>
      </c>
      <c r="H4607" s="5">
        <v>4579004</v>
      </c>
      <c r="I4607" s="5">
        <v>3636681.97</v>
      </c>
      <c r="J4607" s="5">
        <v>69</v>
      </c>
      <c r="K4607" s="5">
        <v>151996</v>
      </c>
      <c r="L4607" s="5">
        <v>4711920</v>
      </c>
      <c r="M4607" s="5">
        <v>942322.03</v>
      </c>
      <c r="N4607" s="5">
        <v>0.20580000000000001</v>
      </c>
      <c r="O4607" s="5">
        <v>1</v>
      </c>
      <c r="P4607" s="5">
        <v>69243</v>
      </c>
    </row>
    <row r="4608" spans="1:16" x14ac:dyDescent="0.3">
      <c r="A4608" s="5">
        <v>9</v>
      </c>
      <c r="B4608" s="5" t="s">
        <v>162</v>
      </c>
      <c r="C4608" s="5">
        <v>6</v>
      </c>
      <c r="D4608" s="5" t="s">
        <v>90</v>
      </c>
      <c r="E4608" s="5">
        <v>2024</v>
      </c>
      <c r="F4608" s="5">
        <v>12</v>
      </c>
      <c r="G4608" s="5" t="s">
        <v>69</v>
      </c>
      <c r="H4608" s="5">
        <v>3206270</v>
      </c>
      <c r="I4608" s="5">
        <v>2530239.59</v>
      </c>
      <c r="J4608" s="5">
        <v>42</v>
      </c>
      <c r="K4608" s="5">
        <v>98612</v>
      </c>
      <c r="L4608" s="5">
        <v>3296080</v>
      </c>
      <c r="M4608" s="5">
        <v>676030.41</v>
      </c>
      <c r="N4608" s="5">
        <v>0.21079999999999999</v>
      </c>
      <c r="O4608" s="5">
        <v>3</v>
      </c>
      <c r="P4608" s="5">
        <v>274528</v>
      </c>
    </row>
    <row r="4609" spans="1:16" x14ac:dyDescent="0.3">
      <c r="A4609" s="5">
        <v>36</v>
      </c>
      <c r="B4609" s="5" t="s">
        <v>162</v>
      </c>
      <c r="C4609" s="5">
        <v>6</v>
      </c>
      <c r="D4609" s="5" t="s">
        <v>90</v>
      </c>
      <c r="E4609" s="5">
        <v>2024</v>
      </c>
      <c r="F4609" s="5">
        <v>12</v>
      </c>
      <c r="G4609" s="5" t="s">
        <v>69</v>
      </c>
      <c r="H4609" s="5">
        <v>3297106</v>
      </c>
      <c r="I4609" s="5">
        <v>2634846.35</v>
      </c>
      <c r="J4609" s="5">
        <v>49</v>
      </c>
      <c r="K4609" s="5">
        <v>86799</v>
      </c>
      <c r="L4609" s="5">
        <v>3371150</v>
      </c>
      <c r="M4609" s="5">
        <v>662259.65</v>
      </c>
      <c r="N4609" s="5">
        <v>0.2009</v>
      </c>
      <c r="O4609" s="5">
        <v>2</v>
      </c>
      <c r="P4609" s="5">
        <v>43043</v>
      </c>
    </row>
    <row r="4610" spans="1:16" x14ac:dyDescent="0.3">
      <c r="A4610" s="5">
        <v>67</v>
      </c>
      <c r="B4610" s="5" t="s">
        <v>162</v>
      </c>
      <c r="C4610" s="5">
        <v>6</v>
      </c>
      <c r="D4610" s="5" t="s">
        <v>90</v>
      </c>
      <c r="E4610" s="5">
        <v>2024</v>
      </c>
      <c r="F4610" s="5">
        <v>12</v>
      </c>
      <c r="G4610" s="5" t="s">
        <v>69</v>
      </c>
      <c r="H4610" s="5">
        <v>5198229</v>
      </c>
      <c r="I4610" s="5">
        <v>4202315.84</v>
      </c>
      <c r="J4610" s="5">
        <v>75</v>
      </c>
      <c r="K4610" s="5">
        <v>180827</v>
      </c>
      <c r="L4610" s="5">
        <v>5362480</v>
      </c>
      <c r="M4610" s="5">
        <v>995913.16</v>
      </c>
      <c r="N4610" s="5">
        <v>0.19159999999999999</v>
      </c>
      <c r="O4610" s="5">
        <v>2</v>
      </c>
      <c r="P4610" s="5">
        <v>97122</v>
      </c>
    </row>
    <row r="4611" spans="1:16" x14ac:dyDescent="0.3">
      <c r="A4611" s="5">
        <v>115</v>
      </c>
      <c r="B4611" s="5" t="s">
        <v>162</v>
      </c>
      <c r="C4611" s="5">
        <v>6</v>
      </c>
      <c r="D4611" s="5" t="s">
        <v>90</v>
      </c>
      <c r="E4611" s="5">
        <v>2024</v>
      </c>
      <c r="F4611" s="5">
        <v>12</v>
      </c>
      <c r="G4611" s="5" t="s">
        <v>69</v>
      </c>
      <c r="H4611" s="5">
        <v>3828512</v>
      </c>
      <c r="I4611" s="5">
        <v>3022360.7</v>
      </c>
      <c r="J4611" s="5">
        <v>46</v>
      </c>
      <c r="K4611" s="5">
        <v>103438</v>
      </c>
      <c r="L4611" s="5">
        <v>3915830</v>
      </c>
      <c r="M4611" s="5">
        <v>806151.3</v>
      </c>
      <c r="N4611" s="5">
        <v>0.21060000000000001</v>
      </c>
      <c r="O4611" s="5">
        <v>0</v>
      </c>
      <c r="P4611" s="5">
        <v>0</v>
      </c>
    </row>
    <row r="4612" spans="1:16" x14ac:dyDescent="0.3">
      <c r="A4612" s="5">
        <v>91</v>
      </c>
      <c r="B4612" s="5" t="s">
        <v>163</v>
      </c>
      <c r="C4612" s="5">
        <v>9</v>
      </c>
      <c r="D4612" s="5" t="s">
        <v>92</v>
      </c>
      <c r="E4612" s="5">
        <v>2021</v>
      </c>
      <c r="F4612" s="5">
        <v>1</v>
      </c>
      <c r="G4612" s="5" t="s">
        <v>22</v>
      </c>
      <c r="H4612" s="5">
        <v>291300</v>
      </c>
      <c r="I4612" s="5">
        <v>254315.37</v>
      </c>
      <c r="J4612" s="5">
        <v>5</v>
      </c>
      <c r="K4612" s="5">
        <v>24571</v>
      </c>
      <c r="L4612" s="5">
        <v>314700</v>
      </c>
      <c r="M4612" s="5">
        <v>36984.629999999997</v>
      </c>
      <c r="N4612" s="5">
        <v>0.127</v>
      </c>
      <c r="O4612" s="5">
        <v>0</v>
      </c>
      <c r="P4612" s="5">
        <v>0</v>
      </c>
    </row>
    <row r="4613" spans="1:16" x14ac:dyDescent="0.3">
      <c r="A4613" s="5">
        <v>91</v>
      </c>
      <c r="B4613" s="5" t="s">
        <v>163</v>
      </c>
      <c r="C4613" s="5">
        <v>9</v>
      </c>
      <c r="D4613" s="5" t="s">
        <v>92</v>
      </c>
      <c r="E4613" s="5">
        <v>2021</v>
      </c>
      <c r="F4613" s="5">
        <v>2</v>
      </c>
      <c r="G4613" s="5" t="s">
        <v>23</v>
      </c>
      <c r="H4613" s="5">
        <v>36594</v>
      </c>
      <c r="I4613" s="5">
        <v>28250.12</v>
      </c>
      <c r="J4613" s="5">
        <v>4</v>
      </c>
      <c r="K4613" s="5">
        <v>1626</v>
      </c>
      <c r="L4613" s="5">
        <v>38220</v>
      </c>
      <c r="M4613" s="5">
        <v>8343.8799999999992</v>
      </c>
      <c r="N4613" s="5">
        <v>0.22800000000000001</v>
      </c>
      <c r="O4613" s="5">
        <v>0</v>
      </c>
      <c r="P4613" s="5">
        <v>0</v>
      </c>
    </row>
    <row r="4614" spans="1:16" x14ac:dyDescent="0.3">
      <c r="A4614" s="5">
        <v>91</v>
      </c>
      <c r="B4614" s="5" t="s">
        <v>163</v>
      </c>
      <c r="C4614" s="5">
        <v>9</v>
      </c>
      <c r="D4614" s="5" t="s">
        <v>92</v>
      </c>
      <c r="E4614" s="5">
        <v>2021</v>
      </c>
      <c r="F4614" s="5">
        <v>3</v>
      </c>
      <c r="G4614" s="5" t="s">
        <v>24</v>
      </c>
      <c r="H4614" s="5">
        <v>9631</v>
      </c>
      <c r="I4614" s="5">
        <v>6243.49</v>
      </c>
      <c r="J4614" s="5">
        <v>2</v>
      </c>
      <c r="K4614" s="5">
        <v>439</v>
      </c>
      <c r="L4614" s="5">
        <v>10070</v>
      </c>
      <c r="M4614" s="5">
        <v>3387.51</v>
      </c>
      <c r="N4614" s="5">
        <v>0.35170000000000001</v>
      </c>
      <c r="O4614" s="5">
        <v>0</v>
      </c>
      <c r="P4614" s="5">
        <v>0</v>
      </c>
    </row>
    <row r="4615" spans="1:16" x14ac:dyDescent="0.3">
      <c r="A4615" s="5">
        <v>91</v>
      </c>
      <c r="B4615" s="5" t="s">
        <v>163</v>
      </c>
      <c r="C4615" s="5">
        <v>9</v>
      </c>
      <c r="D4615" s="5" t="s">
        <v>92</v>
      </c>
      <c r="E4615" s="5">
        <v>2021</v>
      </c>
      <c r="F4615" s="5">
        <v>4</v>
      </c>
      <c r="G4615" s="5" t="s">
        <v>25</v>
      </c>
      <c r="H4615" s="5">
        <v>11874</v>
      </c>
      <c r="I4615" s="5">
        <v>9607.98</v>
      </c>
      <c r="J4615" s="5">
        <v>1</v>
      </c>
      <c r="K4615" s="5">
        <v>2106</v>
      </c>
      <c r="L4615" s="5">
        <v>13980</v>
      </c>
      <c r="M4615" s="5">
        <v>2266.02</v>
      </c>
      <c r="N4615" s="5">
        <v>0.1908</v>
      </c>
      <c r="O4615" s="5">
        <v>1</v>
      </c>
      <c r="P4615" s="5">
        <v>3645</v>
      </c>
    </row>
    <row r="4616" spans="1:16" x14ac:dyDescent="0.3">
      <c r="A4616" s="5">
        <v>91</v>
      </c>
      <c r="B4616" s="5" t="s">
        <v>163</v>
      </c>
      <c r="C4616" s="5">
        <v>9</v>
      </c>
      <c r="D4616" s="5" t="s">
        <v>92</v>
      </c>
      <c r="E4616" s="5">
        <v>2021</v>
      </c>
      <c r="F4616" s="5">
        <v>5</v>
      </c>
      <c r="G4616" s="5" t="s">
        <v>26</v>
      </c>
      <c r="H4616" s="5">
        <v>530676</v>
      </c>
      <c r="I4616" s="5">
        <v>533273.35</v>
      </c>
      <c r="J4616" s="5">
        <v>7</v>
      </c>
      <c r="K4616" s="5">
        <v>124854</v>
      </c>
      <c r="L4616" s="5">
        <v>655360</v>
      </c>
      <c r="M4616" s="5">
        <v>-2597.35</v>
      </c>
      <c r="N4616" s="5">
        <v>-4.8999999999999998E-3</v>
      </c>
      <c r="O4616" s="5">
        <v>0</v>
      </c>
      <c r="P4616" s="5">
        <v>0</v>
      </c>
    </row>
    <row r="4617" spans="1:16" x14ac:dyDescent="0.3">
      <c r="A4617" s="5">
        <v>91</v>
      </c>
      <c r="B4617" s="5" t="s">
        <v>163</v>
      </c>
      <c r="C4617" s="5">
        <v>9</v>
      </c>
      <c r="D4617" s="5" t="s">
        <v>92</v>
      </c>
      <c r="E4617" s="5">
        <v>2021</v>
      </c>
      <c r="F4617" s="5">
        <v>6</v>
      </c>
      <c r="G4617" s="5" t="s">
        <v>27</v>
      </c>
      <c r="H4617" s="5">
        <v>237100</v>
      </c>
      <c r="I4617" s="5">
        <v>288507.15000000002</v>
      </c>
      <c r="J4617" s="5">
        <v>4</v>
      </c>
      <c r="K4617" s="5">
        <v>127270</v>
      </c>
      <c r="L4617" s="5">
        <v>364370</v>
      </c>
      <c r="M4617" s="5">
        <v>-51407.15</v>
      </c>
      <c r="N4617" s="5">
        <v>-0.21679999999999999</v>
      </c>
      <c r="O4617" s="5">
        <v>0</v>
      </c>
      <c r="P4617" s="5">
        <v>0</v>
      </c>
    </row>
    <row r="4618" spans="1:16" x14ac:dyDescent="0.3">
      <c r="A4618" s="5">
        <v>91</v>
      </c>
      <c r="B4618" s="5" t="s">
        <v>163</v>
      </c>
      <c r="C4618" s="5">
        <v>9</v>
      </c>
      <c r="D4618" s="5" t="s">
        <v>92</v>
      </c>
      <c r="E4618" s="5">
        <v>2021</v>
      </c>
      <c r="F4618" s="5">
        <v>7</v>
      </c>
      <c r="G4618" s="5" t="s">
        <v>28</v>
      </c>
      <c r="H4618" s="5">
        <v>171428</v>
      </c>
      <c r="I4618" s="5">
        <v>145013.47</v>
      </c>
      <c r="J4618" s="5">
        <v>5</v>
      </c>
      <c r="K4618" s="5">
        <v>19842</v>
      </c>
      <c r="L4618" s="5">
        <v>191270</v>
      </c>
      <c r="M4618" s="5">
        <v>26414.53</v>
      </c>
      <c r="N4618" s="5">
        <v>0.15409999999999999</v>
      </c>
      <c r="O4618" s="5">
        <v>0</v>
      </c>
      <c r="P4618" s="5">
        <v>0</v>
      </c>
    </row>
    <row r="4619" spans="1:16" x14ac:dyDescent="0.3">
      <c r="A4619" s="5">
        <v>91</v>
      </c>
      <c r="B4619" s="5" t="s">
        <v>163</v>
      </c>
      <c r="C4619" s="5">
        <v>9</v>
      </c>
      <c r="D4619" s="5" t="s">
        <v>92</v>
      </c>
      <c r="E4619" s="5">
        <v>2021</v>
      </c>
      <c r="F4619" s="5">
        <v>8</v>
      </c>
      <c r="G4619" s="5" t="s">
        <v>29</v>
      </c>
      <c r="H4619" s="5">
        <v>536521</v>
      </c>
      <c r="I4619" s="5">
        <v>482195.37</v>
      </c>
      <c r="J4619" s="5">
        <v>4</v>
      </c>
      <c r="K4619" s="5">
        <v>44948</v>
      </c>
      <c r="L4619" s="5">
        <v>576910</v>
      </c>
      <c r="M4619" s="5">
        <v>54325.63</v>
      </c>
      <c r="N4619" s="5">
        <v>0.1013</v>
      </c>
      <c r="O4619" s="5">
        <v>0</v>
      </c>
      <c r="P4619" s="5">
        <v>0</v>
      </c>
    </row>
    <row r="4620" spans="1:16" x14ac:dyDescent="0.3">
      <c r="A4620" s="5">
        <v>91</v>
      </c>
      <c r="B4620" s="5" t="s">
        <v>163</v>
      </c>
      <c r="C4620" s="5">
        <v>9</v>
      </c>
      <c r="D4620" s="5" t="s">
        <v>92</v>
      </c>
      <c r="E4620" s="5">
        <v>2021</v>
      </c>
      <c r="F4620" s="5">
        <v>9</v>
      </c>
      <c r="G4620" s="5" t="s">
        <v>30</v>
      </c>
      <c r="H4620" s="5">
        <v>554789</v>
      </c>
      <c r="I4620" s="5">
        <v>489720.55</v>
      </c>
      <c r="J4620" s="5">
        <v>6</v>
      </c>
      <c r="K4620" s="5">
        <v>43776</v>
      </c>
      <c r="L4620" s="5">
        <v>595380</v>
      </c>
      <c r="M4620" s="5">
        <v>65068.45</v>
      </c>
      <c r="N4620" s="5">
        <v>0.1173</v>
      </c>
      <c r="O4620" s="5">
        <v>1</v>
      </c>
      <c r="P4620" s="5">
        <v>43204</v>
      </c>
    </row>
    <row r="4621" spans="1:16" x14ac:dyDescent="0.3">
      <c r="A4621" s="5">
        <v>91</v>
      </c>
      <c r="B4621" s="5" t="s">
        <v>163</v>
      </c>
      <c r="C4621" s="5">
        <v>9</v>
      </c>
      <c r="D4621" s="5" t="s">
        <v>92</v>
      </c>
      <c r="E4621" s="5">
        <v>2021</v>
      </c>
      <c r="F4621" s="5">
        <v>10</v>
      </c>
      <c r="G4621" s="5" t="s">
        <v>31</v>
      </c>
      <c r="H4621" s="5">
        <v>499622</v>
      </c>
      <c r="I4621" s="5">
        <v>449821.95</v>
      </c>
      <c r="J4621" s="5">
        <v>7</v>
      </c>
      <c r="K4621" s="5">
        <v>69808</v>
      </c>
      <c r="L4621" s="5">
        <v>569430</v>
      </c>
      <c r="M4621" s="5">
        <v>49800.05</v>
      </c>
      <c r="N4621" s="5">
        <v>9.9699999999999997E-2</v>
      </c>
      <c r="O4621" s="5">
        <v>0</v>
      </c>
      <c r="P4621" s="5">
        <v>0</v>
      </c>
    </row>
    <row r="4622" spans="1:16" x14ac:dyDescent="0.3">
      <c r="A4622" s="5">
        <v>91</v>
      </c>
      <c r="B4622" s="5" t="s">
        <v>163</v>
      </c>
      <c r="C4622" s="5">
        <v>9</v>
      </c>
      <c r="D4622" s="5" t="s">
        <v>92</v>
      </c>
      <c r="E4622" s="5">
        <v>2021</v>
      </c>
      <c r="F4622" s="5">
        <v>11</v>
      </c>
      <c r="G4622" s="5" t="s">
        <v>32</v>
      </c>
      <c r="H4622" s="5">
        <v>677370</v>
      </c>
      <c r="I4622" s="5">
        <v>521857.53</v>
      </c>
      <c r="J4622" s="5">
        <v>13</v>
      </c>
      <c r="K4622" s="5">
        <v>39089</v>
      </c>
      <c r="L4622" s="5">
        <v>715650</v>
      </c>
      <c r="M4622" s="5">
        <v>155512.47</v>
      </c>
      <c r="N4622" s="5">
        <v>0.2296</v>
      </c>
      <c r="O4622" s="5">
        <v>1</v>
      </c>
      <c r="P4622" s="5">
        <v>1163</v>
      </c>
    </row>
    <row r="4623" spans="1:16" x14ac:dyDescent="0.3">
      <c r="A4623" s="5">
        <v>91</v>
      </c>
      <c r="B4623" s="5" t="s">
        <v>163</v>
      </c>
      <c r="C4623" s="5">
        <v>9</v>
      </c>
      <c r="D4623" s="5" t="s">
        <v>92</v>
      </c>
      <c r="E4623" s="5">
        <v>2021</v>
      </c>
      <c r="F4623" s="5">
        <v>12</v>
      </c>
      <c r="G4623" s="5" t="s">
        <v>33</v>
      </c>
      <c r="H4623" s="5">
        <v>764620</v>
      </c>
      <c r="I4623" s="5">
        <v>641009.39</v>
      </c>
      <c r="J4623" s="5">
        <v>10</v>
      </c>
      <c r="K4623" s="5">
        <v>28218</v>
      </c>
      <c r="L4623" s="5">
        <v>786520</v>
      </c>
      <c r="M4623" s="5">
        <v>123610.61</v>
      </c>
      <c r="N4623" s="5">
        <v>0.16170000000000001</v>
      </c>
      <c r="O4623" s="5">
        <v>2</v>
      </c>
      <c r="P4623" s="5">
        <v>33071</v>
      </c>
    </row>
    <row r="4624" spans="1:16" x14ac:dyDescent="0.3">
      <c r="A4624" s="5">
        <v>91</v>
      </c>
      <c r="B4624" s="5" t="s">
        <v>163</v>
      </c>
      <c r="C4624" s="5">
        <v>9</v>
      </c>
      <c r="D4624" s="5" t="s">
        <v>92</v>
      </c>
      <c r="E4624" s="5">
        <v>2022</v>
      </c>
      <c r="F4624" s="5">
        <v>1</v>
      </c>
      <c r="G4624" s="5" t="s">
        <v>34</v>
      </c>
      <c r="H4624" s="5">
        <v>743841</v>
      </c>
      <c r="I4624" s="5">
        <v>630772.30000000005</v>
      </c>
      <c r="J4624" s="5">
        <v>11</v>
      </c>
      <c r="K4624" s="5">
        <v>105863</v>
      </c>
      <c r="L4624" s="5">
        <v>848840</v>
      </c>
      <c r="M4624" s="5">
        <v>113068.7</v>
      </c>
      <c r="N4624" s="5">
        <v>0.152</v>
      </c>
      <c r="O4624" s="5">
        <v>1</v>
      </c>
      <c r="P4624" s="5">
        <v>322</v>
      </c>
    </row>
    <row r="4625" spans="1:16" x14ac:dyDescent="0.3">
      <c r="A4625" s="5">
        <v>91</v>
      </c>
      <c r="B4625" s="5" t="s">
        <v>163</v>
      </c>
      <c r="C4625" s="5">
        <v>9</v>
      </c>
      <c r="D4625" s="5" t="s">
        <v>92</v>
      </c>
      <c r="E4625" s="5">
        <v>2022</v>
      </c>
      <c r="F4625" s="5">
        <v>2</v>
      </c>
      <c r="G4625" s="5" t="s">
        <v>35</v>
      </c>
      <c r="H4625" s="5">
        <v>868369</v>
      </c>
      <c r="I4625" s="5">
        <v>686344.86</v>
      </c>
      <c r="J4625" s="5">
        <v>11</v>
      </c>
      <c r="K4625" s="5">
        <v>34257</v>
      </c>
      <c r="L4625" s="5">
        <v>898820</v>
      </c>
      <c r="M4625" s="5">
        <v>182024.14</v>
      </c>
      <c r="N4625" s="5">
        <v>0.20960000000000001</v>
      </c>
      <c r="O4625" s="5">
        <v>0</v>
      </c>
      <c r="P4625" s="5">
        <v>0</v>
      </c>
    </row>
    <row r="4626" spans="1:16" x14ac:dyDescent="0.3">
      <c r="A4626" s="5">
        <v>91</v>
      </c>
      <c r="B4626" s="5" t="s">
        <v>163</v>
      </c>
      <c r="C4626" s="5">
        <v>9</v>
      </c>
      <c r="D4626" s="5" t="s">
        <v>92</v>
      </c>
      <c r="E4626" s="5">
        <v>2022</v>
      </c>
      <c r="F4626" s="5">
        <v>3</v>
      </c>
      <c r="G4626" s="5" t="s">
        <v>36</v>
      </c>
      <c r="H4626" s="5">
        <v>172436</v>
      </c>
      <c r="I4626" s="5">
        <v>147154.34</v>
      </c>
      <c r="J4626" s="5">
        <v>8</v>
      </c>
      <c r="K4626" s="5">
        <v>21383</v>
      </c>
      <c r="L4626" s="5">
        <v>192380</v>
      </c>
      <c r="M4626" s="5">
        <v>25281.66</v>
      </c>
      <c r="N4626" s="5">
        <v>0.14660000000000001</v>
      </c>
      <c r="O4626" s="5">
        <v>0</v>
      </c>
      <c r="P4626" s="5">
        <v>0</v>
      </c>
    </row>
    <row r="4627" spans="1:16" x14ac:dyDescent="0.3">
      <c r="A4627" s="5">
        <v>91</v>
      </c>
      <c r="B4627" s="5" t="s">
        <v>163</v>
      </c>
      <c r="C4627" s="5">
        <v>9</v>
      </c>
      <c r="D4627" s="5" t="s">
        <v>92</v>
      </c>
      <c r="E4627" s="5">
        <v>2022</v>
      </c>
      <c r="F4627" s="5">
        <v>4</v>
      </c>
      <c r="G4627" s="5" t="s">
        <v>37</v>
      </c>
      <c r="H4627" s="5">
        <v>674851</v>
      </c>
      <c r="I4627" s="5">
        <v>660324.79</v>
      </c>
      <c r="J4627" s="5">
        <v>8</v>
      </c>
      <c r="K4627" s="5">
        <v>142292</v>
      </c>
      <c r="L4627" s="5">
        <v>816960</v>
      </c>
      <c r="M4627" s="5">
        <v>14526.21</v>
      </c>
      <c r="N4627" s="5">
        <v>2.1499999999999998E-2</v>
      </c>
      <c r="O4627" s="5">
        <v>0</v>
      </c>
      <c r="P4627" s="5">
        <v>0</v>
      </c>
    </row>
    <row r="4628" spans="1:16" x14ac:dyDescent="0.3">
      <c r="A4628" s="5">
        <v>91</v>
      </c>
      <c r="B4628" s="5" t="s">
        <v>163</v>
      </c>
      <c r="C4628" s="5">
        <v>9</v>
      </c>
      <c r="D4628" s="5" t="s">
        <v>92</v>
      </c>
      <c r="E4628" s="5">
        <v>2022</v>
      </c>
      <c r="F4628" s="5">
        <v>5</v>
      </c>
      <c r="G4628" s="5" t="s">
        <v>38</v>
      </c>
      <c r="H4628" s="5">
        <v>877058</v>
      </c>
      <c r="I4628" s="5">
        <v>715711.34</v>
      </c>
      <c r="J4628" s="5">
        <v>12</v>
      </c>
      <c r="K4628" s="5">
        <v>73074</v>
      </c>
      <c r="L4628" s="5">
        <v>947230</v>
      </c>
      <c r="M4628" s="5">
        <v>161346.66</v>
      </c>
      <c r="N4628" s="5">
        <v>0.184</v>
      </c>
      <c r="O4628" s="5">
        <v>1</v>
      </c>
      <c r="P4628" s="5">
        <v>35666</v>
      </c>
    </row>
    <row r="4629" spans="1:16" x14ac:dyDescent="0.3">
      <c r="A4629" s="5">
        <v>91</v>
      </c>
      <c r="B4629" s="5" t="s">
        <v>163</v>
      </c>
      <c r="C4629" s="5">
        <v>9</v>
      </c>
      <c r="D4629" s="5" t="s">
        <v>92</v>
      </c>
      <c r="E4629" s="5">
        <v>2022</v>
      </c>
      <c r="F4629" s="5">
        <v>6</v>
      </c>
      <c r="G4629" s="5" t="s">
        <v>39</v>
      </c>
      <c r="H4629" s="5">
        <v>273010</v>
      </c>
      <c r="I4629" s="5">
        <v>222143.89</v>
      </c>
      <c r="J4629" s="5">
        <v>6</v>
      </c>
      <c r="K4629" s="5">
        <v>14946</v>
      </c>
      <c r="L4629" s="5">
        <v>287280</v>
      </c>
      <c r="M4629" s="5">
        <v>50866.11</v>
      </c>
      <c r="N4629" s="5">
        <v>0.18629999999999999</v>
      </c>
      <c r="O4629" s="5">
        <v>0</v>
      </c>
      <c r="P4629" s="5">
        <v>0</v>
      </c>
    </row>
    <row r="4630" spans="1:16" x14ac:dyDescent="0.3">
      <c r="A4630" s="5">
        <v>91</v>
      </c>
      <c r="B4630" s="5" t="s">
        <v>163</v>
      </c>
      <c r="C4630" s="5">
        <v>9</v>
      </c>
      <c r="D4630" s="5" t="s">
        <v>92</v>
      </c>
      <c r="E4630" s="5">
        <v>2022</v>
      </c>
      <c r="F4630" s="5">
        <v>7</v>
      </c>
      <c r="G4630" s="5" t="s">
        <v>40</v>
      </c>
      <c r="H4630" s="5">
        <v>692701</v>
      </c>
      <c r="I4630" s="5">
        <v>659378.26</v>
      </c>
      <c r="J4630" s="5">
        <v>10</v>
      </c>
      <c r="K4630" s="5">
        <v>144014</v>
      </c>
      <c r="L4630" s="5">
        <v>835280</v>
      </c>
      <c r="M4630" s="5">
        <v>33322.74</v>
      </c>
      <c r="N4630" s="5">
        <v>4.8099999999999997E-2</v>
      </c>
      <c r="O4630" s="5">
        <v>2</v>
      </c>
      <c r="P4630" s="5">
        <v>25793</v>
      </c>
    </row>
    <row r="4631" spans="1:16" x14ac:dyDescent="0.3">
      <c r="A4631" s="5">
        <v>91</v>
      </c>
      <c r="B4631" s="5" t="s">
        <v>163</v>
      </c>
      <c r="C4631" s="5">
        <v>9</v>
      </c>
      <c r="D4631" s="5" t="s">
        <v>92</v>
      </c>
      <c r="E4631" s="5">
        <v>2022</v>
      </c>
      <c r="F4631" s="5">
        <v>8</v>
      </c>
      <c r="G4631" s="5" t="s">
        <v>41</v>
      </c>
      <c r="H4631" s="5">
        <v>1394601</v>
      </c>
      <c r="I4631" s="5">
        <v>1204386.68</v>
      </c>
      <c r="J4631" s="5">
        <v>13</v>
      </c>
      <c r="K4631" s="5">
        <v>154398</v>
      </c>
      <c r="L4631" s="5">
        <v>1533870</v>
      </c>
      <c r="M4631" s="5">
        <v>190214.32</v>
      </c>
      <c r="N4631" s="5">
        <v>0.13639999999999999</v>
      </c>
      <c r="O4631" s="5">
        <v>3</v>
      </c>
      <c r="P4631" s="5">
        <v>38575</v>
      </c>
    </row>
    <row r="4632" spans="1:16" x14ac:dyDescent="0.3">
      <c r="A4632" s="5">
        <v>91</v>
      </c>
      <c r="B4632" s="5" t="s">
        <v>163</v>
      </c>
      <c r="C4632" s="5">
        <v>9</v>
      </c>
      <c r="D4632" s="5" t="s">
        <v>92</v>
      </c>
      <c r="E4632" s="5">
        <v>2022</v>
      </c>
      <c r="F4632" s="5">
        <v>9</v>
      </c>
      <c r="G4632" s="5" t="s">
        <v>42</v>
      </c>
      <c r="H4632" s="5">
        <v>570634</v>
      </c>
      <c r="I4632" s="5">
        <v>535329.31000000006</v>
      </c>
      <c r="J4632" s="5">
        <v>10</v>
      </c>
      <c r="K4632" s="5">
        <v>122930</v>
      </c>
      <c r="L4632" s="5">
        <v>693390</v>
      </c>
      <c r="M4632" s="5">
        <v>35304.69</v>
      </c>
      <c r="N4632" s="5">
        <v>6.1899999999999997E-2</v>
      </c>
      <c r="O4632" s="5">
        <v>1</v>
      </c>
      <c r="P4632" s="5">
        <v>201842</v>
      </c>
    </row>
    <row r="4633" spans="1:16" x14ac:dyDescent="0.3">
      <c r="A4633" s="5">
        <v>91</v>
      </c>
      <c r="B4633" s="5" t="s">
        <v>163</v>
      </c>
      <c r="C4633" s="5">
        <v>9</v>
      </c>
      <c r="D4633" s="5" t="s">
        <v>92</v>
      </c>
      <c r="E4633" s="5">
        <v>2022</v>
      </c>
      <c r="F4633" s="5">
        <v>10</v>
      </c>
      <c r="G4633" s="5" t="s">
        <v>43</v>
      </c>
      <c r="H4633" s="5">
        <v>585146</v>
      </c>
      <c r="I4633" s="5">
        <v>536958.29</v>
      </c>
      <c r="J4633" s="5">
        <v>8</v>
      </c>
      <c r="K4633" s="5">
        <v>101838</v>
      </c>
      <c r="L4633" s="5">
        <v>684520</v>
      </c>
      <c r="M4633" s="5">
        <v>48187.71</v>
      </c>
      <c r="N4633" s="5">
        <v>8.2400000000000001E-2</v>
      </c>
      <c r="O4633" s="5">
        <v>0</v>
      </c>
      <c r="P4633" s="5">
        <v>0</v>
      </c>
    </row>
    <row r="4634" spans="1:16" x14ac:dyDescent="0.3">
      <c r="A4634" s="5">
        <v>91</v>
      </c>
      <c r="B4634" s="5" t="s">
        <v>163</v>
      </c>
      <c r="C4634" s="5">
        <v>9</v>
      </c>
      <c r="D4634" s="5" t="s">
        <v>92</v>
      </c>
      <c r="E4634" s="5">
        <v>2022</v>
      </c>
      <c r="F4634" s="5">
        <v>11</v>
      </c>
      <c r="G4634" s="5" t="s">
        <v>44</v>
      </c>
      <c r="H4634" s="5">
        <v>595256</v>
      </c>
      <c r="I4634" s="5">
        <v>520735.5</v>
      </c>
      <c r="J4634" s="5">
        <v>12</v>
      </c>
      <c r="K4634" s="5">
        <v>94584</v>
      </c>
      <c r="L4634" s="5">
        <v>689840</v>
      </c>
      <c r="M4634" s="5">
        <v>74520.5</v>
      </c>
      <c r="N4634" s="5">
        <v>0.12520000000000001</v>
      </c>
      <c r="O4634" s="5">
        <v>1</v>
      </c>
      <c r="P4634" s="5">
        <v>43921</v>
      </c>
    </row>
    <row r="4635" spans="1:16" x14ac:dyDescent="0.3">
      <c r="A4635" s="5">
        <v>91</v>
      </c>
      <c r="B4635" s="5" t="s">
        <v>163</v>
      </c>
      <c r="C4635" s="5">
        <v>9</v>
      </c>
      <c r="D4635" s="5" t="s">
        <v>92</v>
      </c>
      <c r="E4635" s="5">
        <v>2022</v>
      </c>
      <c r="F4635" s="5">
        <v>12</v>
      </c>
      <c r="G4635" s="5" t="s">
        <v>45</v>
      </c>
      <c r="H4635" s="5">
        <v>1233637</v>
      </c>
      <c r="I4635" s="5">
        <v>1060150.3700000001</v>
      </c>
      <c r="J4635" s="5">
        <v>16</v>
      </c>
      <c r="K4635" s="5">
        <v>158481</v>
      </c>
      <c r="L4635" s="5">
        <v>1388040</v>
      </c>
      <c r="M4635" s="5">
        <v>173486.63</v>
      </c>
      <c r="N4635" s="5">
        <v>0.1406</v>
      </c>
      <c r="O4635" s="5">
        <v>0</v>
      </c>
      <c r="P4635" s="5">
        <v>0</v>
      </c>
    </row>
    <row r="4636" spans="1:16" x14ac:dyDescent="0.3">
      <c r="A4636" s="5">
        <v>91</v>
      </c>
      <c r="B4636" s="5" t="s">
        <v>163</v>
      </c>
      <c r="C4636" s="5">
        <v>9</v>
      </c>
      <c r="D4636" s="5" t="s">
        <v>92</v>
      </c>
      <c r="E4636" s="5">
        <v>2023</v>
      </c>
      <c r="F4636" s="5">
        <v>1</v>
      </c>
      <c r="G4636" s="5" t="s">
        <v>46</v>
      </c>
      <c r="H4636" s="5">
        <v>293025</v>
      </c>
      <c r="I4636" s="5">
        <v>243216.17</v>
      </c>
      <c r="J4636" s="5">
        <v>5</v>
      </c>
      <c r="K4636" s="5">
        <v>9978</v>
      </c>
      <c r="L4636" s="5">
        <v>302570</v>
      </c>
      <c r="M4636" s="5">
        <v>49808.83</v>
      </c>
      <c r="N4636" s="5">
        <v>0.17</v>
      </c>
      <c r="O4636" s="5">
        <v>0</v>
      </c>
      <c r="P4636" s="5">
        <v>0</v>
      </c>
    </row>
    <row r="4637" spans="1:16" x14ac:dyDescent="0.3">
      <c r="A4637" s="5">
        <v>91</v>
      </c>
      <c r="B4637" s="5" t="s">
        <v>163</v>
      </c>
      <c r="C4637" s="5">
        <v>9</v>
      </c>
      <c r="D4637" s="5" t="s">
        <v>92</v>
      </c>
      <c r="E4637" s="5">
        <v>2023</v>
      </c>
      <c r="F4637" s="5">
        <v>2</v>
      </c>
      <c r="G4637" s="5" t="s">
        <v>47</v>
      </c>
      <c r="H4637" s="5">
        <v>430230</v>
      </c>
      <c r="I4637" s="5">
        <v>402260.08</v>
      </c>
      <c r="J4637" s="5">
        <v>8</v>
      </c>
      <c r="K4637" s="5">
        <v>92694</v>
      </c>
      <c r="L4637" s="5">
        <v>522460</v>
      </c>
      <c r="M4637" s="5">
        <v>27969.919999999998</v>
      </c>
      <c r="N4637" s="5">
        <v>6.5000000000000002E-2</v>
      </c>
      <c r="O4637" s="5">
        <v>1</v>
      </c>
      <c r="P4637" s="5">
        <v>5213</v>
      </c>
    </row>
    <row r="4638" spans="1:16" x14ac:dyDescent="0.3">
      <c r="A4638" s="5">
        <v>91</v>
      </c>
      <c r="B4638" s="5" t="s">
        <v>163</v>
      </c>
      <c r="C4638" s="5">
        <v>9</v>
      </c>
      <c r="D4638" s="5" t="s">
        <v>92</v>
      </c>
      <c r="E4638" s="5">
        <v>2023</v>
      </c>
      <c r="F4638" s="5">
        <v>3</v>
      </c>
      <c r="G4638" s="5" t="s">
        <v>48</v>
      </c>
      <c r="H4638" s="5">
        <v>365902</v>
      </c>
      <c r="I4638" s="5">
        <v>286206.44</v>
      </c>
      <c r="J4638" s="5">
        <v>10</v>
      </c>
      <c r="K4638" s="5">
        <v>24108</v>
      </c>
      <c r="L4638" s="5">
        <v>383240</v>
      </c>
      <c r="M4638" s="5">
        <v>79695.56</v>
      </c>
      <c r="N4638" s="5">
        <v>0.21779999999999999</v>
      </c>
      <c r="O4638" s="5">
        <v>0</v>
      </c>
      <c r="P4638" s="5">
        <v>0</v>
      </c>
    </row>
    <row r="4639" spans="1:16" x14ac:dyDescent="0.3">
      <c r="A4639" s="5">
        <v>91</v>
      </c>
      <c r="B4639" s="5" t="s">
        <v>163</v>
      </c>
      <c r="C4639" s="5">
        <v>9</v>
      </c>
      <c r="D4639" s="5" t="s">
        <v>92</v>
      </c>
      <c r="E4639" s="5">
        <v>2023</v>
      </c>
      <c r="F4639" s="5">
        <v>4</v>
      </c>
      <c r="G4639" s="5" t="s">
        <v>49</v>
      </c>
      <c r="H4639" s="5">
        <v>339806</v>
      </c>
      <c r="I4639" s="5">
        <v>270436</v>
      </c>
      <c r="J4639" s="5">
        <v>10</v>
      </c>
      <c r="K4639" s="5">
        <v>18990</v>
      </c>
      <c r="L4639" s="5">
        <v>356470</v>
      </c>
      <c r="M4639" s="5">
        <v>69370</v>
      </c>
      <c r="N4639" s="5">
        <v>0.2041</v>
      </c>
      <c r="O4639" s="5">
        <v>0</v>
      </c>
      <c r="P4639" s="5">
        <v>0</v>
      </c>
    </row>
    <row r="4640" spans="1:16" x14ac:dyDescent="0.3">
      <c r="A4640" s="5">
        <v>91</v>
      </c>
      <c r="B4640" s="5" t="s">
        <v>163</v>
      </c>
      <c r="C4640" s="5">
        <v>9</v>
      </c>
      <c r="D4640" s="5" t="s">
        <v>92</v>
      </c>
      <c r="E4640" s="5">
        <v>2023</v>
      </c>
      <c r="F4640" s="5">
        <v>5</v>
      </c>
      <c r="G4640" s="5" t="s">
        <v>50</v>
      </c>
      <c r="H4640" s="5">
        <v>952127</v>
      </c>
      <c r="I4640" s="5">
        <v>742820.4</v>
      </c>
      <c r="J4640" s="5">
        <v>14</v>
      </c>
      <c r="K4640" s="5">
        <v>11921</v>
      </c>
      <c r="L4640" s="5">
        <v>952900</v>
      </c>
      <c r="M4640" s="5">
        <v>209306.6</v>
      </c>
      <c r="N4640" s="5">
        <v>0.2198</v>
      </c>
      <c r="O4640" s="5">
        <v>1</v>
      </c>
      <c r="P4640" s="5">
        <v>156367</v>
      </c>
    </row>
    <row r="4641" spans="1:16" x14ac:dyDescent="0.3">
      <c r="A4641" s="5">
        <v>91</v>
      </c>
      <c r="B4641" s="5" t="s">
        <v>163</v>
      </c>
      <c r="C4641" s="5">
        <v>9</v>
      </c>
      <c r="D4641" s="5" t="s">
        <v>92</v>
      </c>
      <c r="E4641" s="5">
        <v>2023</v>
      </c>
      <c r="F4641" s="5">
        <v>6</v>
      </c>
      <c r="G4641" s="5" t="s">
        <v>51</v>
      </c>
      <c r="H4641" s="5">
        <v>715625</v>
      </c>
      <c r="I4641" s="5">
        <v>652557.94999999995</v>
      </c>
      <c r="J4641" s="5">
        <v>10</v>
      </c>
      <c r="K4641" s="5">
        <v>138662</v>
      </c>
      <c r="L4641" s="5">
        <v>854270</v>
      </c>
      <c r="M4641" s="5">
        <v>63067.05</v>
      </c>
      <c r="N4641" s="5">
        <v>8.8099999999999998E-2</v>
      </c>
      <c r="O4641" s="5">
        <v>1</v>
      </c>
      <c r="P4641" s="5">
        <v>1652</v>
      </c>
    </row>
    <row r="4642" spans="1:16" x14ac:dyDescent="0.3">
      <c r="A4642" s="5">
        <v>91</v>
      </c>
      <c r="B4642" s="5" t="s">
        <v>163</v>
      </c>
      <c r="C4642" s="5">
        <v>9</v>
      </c>
      <c r="D4642" s="5" t="s">
        <v>92</v>
      </c>
      <c r="E4642" s="5">
        <v>2023</v>
      </c>
      <c r="F4642" s="5">
        <v>7</v>
      </c>
      <c r="G4642" s="5" t="s">
        <v>52</v>
      </c>
      <c r="H4642" s="5">
        <v>312861</v>
      </c>
      <c r="I4642" s="5">
        <v>284144</v>
      </c>
      <c r="J4642" s="5">
        <v>8</v>
      </c>
      <c r="K4642" s="5">
        <v>74676</v>
      </c>
      <c r="L4642" s="5">
        <v>386800</v>
      </c>
      <c r="M4642" s="5">
        <v>28717</v>
      </c>
      <c r="N4642" s="5">
        <v>9.1800000000000007E-2</v>
      </c>
      <c r="O4642" s="5">
        <v>0</v>
      </c>
      <c r="P4642" s="5">
        <v>0</v>
      </c>
    </row>
    <row r="4643" spans="1:16" x14ac:dyDescent="0.3">
      <c r="A4643" s="5">
        <v>91</v>
      </c>
      <c r="B4643" s="5" t="s">
        <v>163</v>
      </c>
      <c r="C4643" s="5">
        <v>9</v>
      </c>
      <c r="D4643" s="5" t="s">
        <v>92</v>
      </c>
      <c r="E4643" s="5">
        <v>2023</v>
      </c>
      <c r="F4643" s="5">
        <v>8</v>
      </c>
      <c r="G4643" s="5" t="s">
        <v>53</v>
      </c>
      <c r="H4643" s="5">
        <v>735552</v>
      </c>
      <c r="I4643" s="5">
        <v>630263.92000000004</v>
      </c>
      <c r="J4643" s="5">
        <v>13</v>
      </c>
      <c r="K4643" s="5">
        <v>76979</v>
      </c>
      <c r="L4643" s="5">
        <v>811990</v>
      </c>
      <c r="M4643" s="5">
        <v>105288.08</v>
      </c>
      <c r="N4643" s="5">
        <v>0.1431</v>
      </c>
      <c r="O4643" s="5">
        <v>3</v>
      </c>
      <c r="P4643" s="5">
        <v>105262</v>
      </c>
    </row>
    <row r="4644" spans="1:16" x14ac:dyDescent="0.3">
      <c r="A4644" s="5">
        <v>91</v>
      </c>
      <c r="B4644" s="5" t="s">
        <v>163</v>
      </c>
      <c r="C4644" s="5">
        <v>9</v>
      </c>
      <c r="D4644" s="5" t="s">
        <v>92</v>
      </c>
      <c r="E4644" s="5">
        <v>2023</v>
      </c>
      <c r="F4644" s="5">
        <v>9</v>
      </c>
      <c r="G4644" s="5" t="s">
        <v>54</v>
      </c>
      <c r="H4644" s="5">
        <v>597459</v>
      </c>
      <c r="I4644" s="5">
        <v>454730.22</v>
      </c>
      <c r="J4644" s="5">
        <v>13</v>
      </c>
      <c r="K4644" s="5">
        <v>21526</v>
      </c>
      <c r="L4644" s="5">
        <v>617580</v>
      </c>
      <c r="M4644" s="5">
        <v>142728.78</v>
      </c>
      <c r="N4644" s="5">
        <v>0.2389</v>
      </c>
      <c r="O4644" s="5">
        <v>0</v>
      </c>
      <c r="P4644" s="5">
        <v>0</v>
      </c>
    </row>
    <row r="4645" spans="1:16" x14ac:dyDescent="0.3">
      <c r="A4645" s="5">
        <v>91</v>
      </c>
      <c r="B4645" s="5" t="s">
        <v>163</v>
      </c>
      <c r="C4645" s="5">
        <v>9</v>
      </c>
      <c r="D4645" s="5" t="s">
        <v>92</v>
      </c>
      <c r="E4645" s="5">
        <v>2023</v>
      </c>
      <c r="F4645" s="5">
        <v>10</v>
      </c>
      <c r="G4645" s="5" t="s">
        <v>55</v>
      </c>
      <c r="H4645" s="5">
        <v>1259937</v>
      </c>
      <c r="I4645" s="5">
        <v>1131304.74</v>
      </c>
      <c r="J4645" s="5">
        <v>11</v>
      </c>
      <c r="K4645" s="5">
        <v>152075</v>
      </c>
      <c r="L4645" s="5">
        <v>1411290</v>
      </c>
      <c r="M4645" s="5">
        <v>128632.26</v>
      </c>
      <c r="N4645" s="5">
        <v>0.1021</v>
      </c>
      <c r="O4645" s="5">
        <v>2</v>
      </c>
      <c r="P4645" s="5">
        <v>7653</v>
      </c>
    </row>
    <row r="4646" spans="1:16" x14ac:dyDescent="0.3">
      <c r="A4646" s="5">
        <v>91</v>
      </c>
      <c r="B4646" s="5" t="s">
        <v>163</v>
      </c>
      <c r="C4646" s="5">
        <v>9</v>
      </c>
      <c r="D4646" s="5" t="s">
        <v>92</v>
      </c>
      <c r="E4646" s="5">
        <v>2023</v>
      </c>
      <c r="F4646" s="5">
        <v>11</v>
      </c>
      <c r="G4646" s="5" t="s">
        <v>56</v>
      </c>
      <c r="H4646" s="5">
        <v>784025</v>
      </c>
      <c r="I4646" s="5">
        <v>768647.01</v>
      </c>
      <c r="J4646" s="5">
        <v>16</v>
      </c>
      <c r="K4646" s="5">
        <v>194155</v>
      </c>
      <c r="L4646" s="5">
        <v>977540</v>
      </c>
      <c r="M4646" s="5">
        <v>15377.99</v>
      </c>
      <c r="N4646" s="5">
        <v>1.9599999999999999E-2</v>
      </c>
      <c r="O4646" s="5">
        <v>1</v>
      </c>
      <c r="P4646" s="5">
        <v>13155</v>
      </c>
    </row>
    <row r="4647" spans="1:16" x14ac:dyDescent="0.3">
      <c r="A4647" s="5">
        <v>91</v>
      </c>
      <c r="B4647" s="5" t="s">
        <v>163</v>
      </c>
      <c r="C4647" s="5">
        <v>9</v>
      </c>
      <c r="D4647" s="5" t="s">
        <v>92</v>
      </c>
      <c r="E4647" s="5">
        <v>2023</v>
      </c>
      <c r="F4647" s="5">
        <v>12</v>
      </c>
      <c r="G4647" s="5" t="s">
        <v>57</v>
      </c>
      <c r="H4647" s="5">
        <v>1069397</v>
      </c>
      <c r="I4647" s="5">
        <v>882355.6</v>
      </c>
      <c r="J4647" s="5">
        <v>18</v>
      </c>
      <c r="K4647" s="5">
        <v>49300</v>
      </c>
      <c r="L4647" s="5">
        <v>1113260</v>
      </c>
      <c r="M4647" s="5">
        <v>187041.4</v>
      </c>
      <c r="N4647" s="5">
        <v>0.1749</v>
      </c>
      <c r="O4647" s="5">
        <v>2</v>
      </c>
      <c r="P4647" s="5">
        <v>204091</v>
      </c>
    </row>
    <row r="4648" spans="1:16" x14ac:dyDescent="0.3">
      <c r="A4648" s="5">
        <v>91</v>
      </c>
      <c r="B4648" s="5" t="s">
        <v>163</v>
      </c>
      <c r="C4648" s="5">
        <v>9</v>
      </c>
      <c r="D4648" s="5" t="s">
        <v>92</v>
      </c>
      <c r="E4648" s="5">
        <v>2024</v>
      </c>
      <c r="F4648" s="5">
        <v>1</v>
      </c>
      <c r="G4648" s="5" t="s">
        <v>58</v>
      </c>
      <c r="H4648" s="5">
        <v>697906</v>
      </c>
      <c r="I4648" s="5">
        <v>637217.41</v>
      </c>
      <c r="J4648" s="5">
        <v>11</v>
      </c>
      <c r="K4648" s="5">
        <v>119947</v>
      </c>
      <c r="L4648" s="5">
        <v>815140</v>
      </c>
      <c r="M4648" s="5">
        <v>60688.59</v>
      </c>
      <c r="N4648" s="5">
        <v>8.6999999999999994E-2</v>
      </c>
      <c r="O4648" s="5">
        <v>0</v>
      </c>
      <c r="P4648" s="5">
        <v>0</v>
      </c>
    </row>
    <row r="4649" spans="1:16" x14ac:dyDescent="0.3">
      <c r="A4649" s="5">
        <v>91</v>
      </c>
      <c r="B4649" s="5" t="s">
        <v>163</v>
      </c>
      <c r="C4649" s="5">
        <v>9</v>
      </c>
      <c r="D4649" s="5" t="s">
        <v>92</v>
      </c>
      <c r="E4649" s="5">
        <v>2024</v>
      </c>
      <c r="F4649" s="5">
        <v>2</v>
      </c>
      <c r="G4649" s="5" t="s">
        <v>59</v>
      </c>
      <c r="H4649" s="5">
        <v>742968</v>
      </c>
      <c r="I4649" s="5">
        <v>640057.03</v>
      </c>
      <c r="J4649" s="5">
        <v>9</v>
      </c>
      <c r="K4649" s="5">
        <v>74538</v>
      </c>
      <c r="L4649" s="5">
        <v>816060</v>
      </c>
      <c r="M4649" s="5">
        <v>102910.97</v>
      </c>
      <c r="N4649" s="5">
        <v>0.13850000000000001</v>
      </c>
      <c r="O4649" s="5">
        <v>1</v>
      </c>
      <c r="P4649" s="5">
        <v>10005</v>
      </c>
    </row>
    <row r="4650" spans="1:16" x14ac:dyDescent="0.3">
      <c r="A4650" s="5">
        <v>91</v>
      </c>
      <c r="B4650" s="5" t="s">
        <v>163</v>
      </c>
      <c r="C4650" s="5">
        <v>9</v>
      </c>
      <c r="D4650" s="5" t="s">
        <v>92</v>
      </c>
      <c r="E4650" s="5">
        <v>2024</v>
      </c>
      <c r="F4650" s="5">
        <v>3</v>
      </c>
      <c r="G4650" s="5" t="s">
        <v>60</v>
      </c>
      <c r="H4650" s="5">
        <v>1047880</v>
      </c>
      <c r="I4650" s="5">
        <v>918482.73</v>
      </c>
      <c r="J4650" s="5">
        <v>11</v>
      </c>
      <c r="K4650" s="5">
        <v>107542</v>
      </c>
      <c r="L4650" s="5">
        <v>1153500</v>
      </c>
      <c r="M4650" s="5">
        <v>129397.27</v>
      </c>
      <c r="N4650" s="5">
        <v>0.1235</v>
      </c>
      <c r="O4650" s="5">
        <v>2</v>
      </c>
      <c r="P4650" s="5">
        <v>104492</v>
      </c>
    </row>
    <row r="4651" spans="1:16" x14ac:dyDescent="0.3">
      <c r="A4651" s="5">
        <v>91</v>
      </c>
      <c r="B4651" s="5" t="s">
        <v>163</v>
      </c>
      <c r="C4651" s="5">
        <v>9</v>
      </c>
      <c r="D4651" s="5" t="s">
        <v>92</v>
      </c>
      <c r="E4651" s="5">
        <v>2024</v>
      </c>
      <c r="F4651" s="5">
        <v>4</v>
      </c>
      <c r="G4651" s="5" t="s">
        <v>61</v>
      </c>
      <c r="H4651" s="5">
        <v>855305</v>
      </c>
      <c r="I4651" s="5">
        <v>759081.99</v>
      </c>
      <c r="J4651" s="5">
        <v>15</v>
      </c>
      <c r="K4651" s="5">
        <v>88305</v>
      </c>
      <c r="L4651" s="5">
        <v>938680</v>
      </c>
      <c r="M4651" s="5">
        <v>96223.01</v>
      </c>
      <c r="N4651" s="5">
        <v>0.1125</v>
      </c>
      <c r="O4651" s="5">
        <v>1</v>
      </c>
      <c r="P4651" s="5">
        <v>31717</v>
      </c>
    </row>
    <row r="4652" spans="1:16" x14ac:dyDescent="0.3">
      <c r="A4652" s="5">
        <v>91</v>
      </c>
      <c r="B4652" s="5" t="s">
        <v>163</v>
      </c>
      <c r="C4652" s="5">
        <v>9</v>
      </c>
      <c r="D4652" s="5" t="s">
        <v>92</v>
      </c>
      <c r="E4652" s="5">
        <v>2024</v>
      </c>
      <c r="F4652" s="5">
        <v>5</v>
      </c>
      <c r="G4652" s="5" t="s">
        <v>62</v>
      </c>
      <c r="H4652" s="5">
        <v>1059976</v>
      </c>
      <c r="I4652" s="5">
        <v>856143.46</v>
      </c>
      <c r="J4652" s="5">
        <v>17</v>
      </c>
      <c r="K4652" s="5">
        <v>15217</v>
      </c>
      <c r="L4652" s="5">
        <v>1063830</v>
      </c>
      <c r="M4652" s="5">
        <v>203832.54</v>
      </c>
      <c r="N4652" s="5">
        <v>0.1923</v>
      </c>
      <c r="O4652" s="5">
        <v>3</v>
      </c>
      <c r="P4652" s="5">
        <v>45442</v>
      </c>
    </row>
    <row r="4653" spans="1:16" x14ac:dyDescent="0.3">
      <c r="A4653" s="5">
        <v>91</v>
      </c>
      <c r="B4653" s="5" t="s">
        <v>163</v>
      </c>
      <c r="C4653" s="5">
        <v>9</v>
      </c>
      <c r="D4653" s="5" t="s">
        <v>92</v>
      </c>
      <c r="E4653" s="5">
        <v>2024</v>
      </c>
      <c r="F4653" s="5">
        <v>6</v>
      </c>
      <c r="G4653" s="5" t="s">
        <v>63</v>
      </c>
      <c r="H4653" s="5">
        <v>1527734</v>
      </c>
      <c r="I4653" s="5">
        <v>1245124.01</v>
      </c>
      <c r="J4653" s="5">
        <v>14</v>
      </c>
      <c r="K4653" s="5">
        <v>92425</v>
      </c>
      <c r="L4653" s="5">
        <v>1609280</v>
      </c>
      <c r="M4653" s="5">
        <v>282609.99</v>
      </c>
      <c r="N4653" s="5">
        <v>0.185</v>
      </c>
      <c r="O4653" s="5">
        <v>1</v>
      </c>
      <c r="P4653" s="5">
        <v>3424</v>
      </c>
    </row>
    <row r="4654" spans="1:16" x14ac:dyDescent="0.3">
      <c r="A4654" s="5">
        <v>91</v>
      </c>
      <c r="B4654" s="5" t="s">
        <v>163</v>
      </c>
      <c r="C4654" s="5">
        <v>9</v>
      </c>
      <c r="D4654" s="5" t="s">
        <v>92</v>
      </c>
      <c r="E4654" s="5">
        <v>2024</v>
      </c>
      <c r="F4654" s="5">
        <v>7</v>
      </c>
      <c r="G4654" s="5" t="s">
        <v>64</v>
      </c>
      <c r="H4654" s="5">
        <v>1054113</v>
      </c>
      <c r="I4654" s="5">
        <v>920639.54</v>
      </c>
      <c r="J4654" s="5">
        <v>8</v>
      </c>
      <c r="K4654" s="5">
        <v>82692</v>
      </c>
      <c r="L4654" s="5">
        <v>1136710</v>
      </c>
      <c r="M4654" s="5">
        <v>133473.46</v>
      </c>
      <c r="N4654" s="5">
        <v>0.12659999999999999</v>
      </c>
      <c r="O4654" s="5">
        <v>1</v>
      </c>
      <c r="P4654" s="5">
        <v>606</v>
      </c>
    </row>
    <row r="4655" spans="1:16" x14ac:dyDescent="0.3">
      <c r="A4655" s="5">
        <v>91</v>
      </c>
      <c r="B4655" s="5" t="s">
        <v>163</v>
      </c>
      <c r="C4655" s="5">
        <v>9</v>
      </c>
      <c r="D4655" s="5" t="s">
        <v>92</v>
      </c>
      <c r="E4655" s="5">
        <v>2024</v>
      </c>
      <c r="F4655" s="5">
        <v>8</v>
      </c>
      <c r="G4655" s="5" t="s">
        <v>65</v>
      </c>
      <c r="H4655" s="5">
        <v>926570</v>
      </c>
      <c r="I4655" s="5">
        <v>786179.92</v>
      </c>
      <c r="J4655" s="5">
        <v>13</v>
      </c>
      <c r="K4655" s="5">
        <v>90798</v>
      </c>
      <c r="L4655" s="5">
        <v>1014010</v>
      </c>
      <c r="M4655" s="5">
        <v>140390.07999999999</v>
      </c>
      <c r="N4655" s="5">
        <v>0.1515</v>
      </c>
      <c r="O4655" s="5">
        <v>1</v>
      </c>
      <c r="P4655" s="5">
        <v>59905</v>
      </c>
    </row>
    <row r="4656" spans="1:16" x14ac:dyDescent="0.3">
      <c r="A4656" s="5">
        <v>91</v>
      </c>
      <c r="B4656" s="5" t="s">
        <v>163</v>
      </c>
      <c r="C4656" s="5">
        <v>9</v>
      </c>
      <c r="D4656" s="5" t="s">
        <v>92</v>
      </c>
      <c r="E4656" s="5">
        <v>2024</v>
      </c>
      <c r="F4656" s="5">
        <v>9</v>
      </c>
      <c r="G4656" s="5" t="s">
        <v>66</v>
      </c>
      <c r="H4656" s="5">
        <v>2797112</v>
      </c>
      <c r="I4656" s="5">
        <v>2365180.15</v>
      </c>
      <c r="J4656" s="5">
        <v>19</v>
      </c>
      <c r="K4656" s="5">
        <v>150044</v>
      </c>
      <c r="L4656" s="5">
        <v>2936350</v>
      </c>
      <c r="M4656" s="5">
        <v>431931.85</v>
      </c>
      <c r="N4656" s="5">
        <v>0.15440000000000001</v>
      </c>
      <c r="O4656" s="5">
        <v>4</v>
      </c>
      <c r="P4656" s="5">
        <v>92248</v>
      </c>
    </row>
    <row r="4657" spans="1:16" x14ac:dyDescent="0.3">
      <c r="A4657" s="5">
        <v>91</v>
      </c>
      <c r="B4657" s="5" t="s">
        <v>163</v>
      </c>
      <c r="C4657" s="5">
        <v>9</v>
      </c>
      <c r="D4657" s="5" t="s">
        <v>92</v>
      </c>
      <c r="E4657" s="5">
        <v>2024</v>
      </c>
      <c r="F4657" s="5">
        <v>10</v>
      </c>
      <c r="G4657" s="5" t="s">
        <v>67</v>
      </c>
      <c r="H4657" s="5">
        <v>1157799</v>
      </c>
      <c r="I4657" s="5">
        <v>974904.56</v>
      </c>
      <c r="J4657" s="5">
        <v>13</v>
      </c>
      <c r="K4657" s="5">
        <v>43103</v>
      </c>
      <c r="L4657" s="5">
        <v>1195930</v>
      </c>
      <c r="M4657" s="5">
        <v>182894.44</v>
      </c>
      <c r="N4657" s="5">
        <v>0.158</v>
      </c>
      <c r="O4657" s="5">
        <v>0</v>
      </c>
      <c r="P4657" s="5">
        <v>0</v>
      </c>
    </row>
    <row r="4658" spans="1:16" x14ac:dyDescent="0.3">
      <c r="A4658" s="5">
        <v>91</v>
      </c>
      <c r="B4658" s="5" t="s">
        <v>163</v>
      </c>
      <c r="C4658" s="5">
        <v>9</v>
      </c>
      <c r="D4658" s="5" t="s">
        <v>92</v>
      </c>
      <c r="E4658" s="5">
        <v>2024</v>
      </c>
      <c r="F4658" s="5">
        <v>11</v>
      </c>
      <c r="G4658" s="5" t="s">
        <v>68</v>
      </c>
      <c r="H4658" s="5">
        <v>774334</v>
      </c>
      <c r="I4658" s="5">
        <v>613975.91</v>
      </c>
      <c r="J4658" s="5">
        <v>18</v>
      </c>
      <c r="K4658" s="5">
        <v>39987</v>
      </c>
      <c r="L4658" s="5">
        <v>811400</v>
      </c>
      <c r="M4658" s="5">
        <v>160358.09</v>
      </c>
      <c r="N4658" s="5">
        <v>0.20710000000000001</v>
      </c>
      <c r="O4658" s="5">
        <v>2</v>
      </c>
      <c r="P4658" s="5">
        <v>36713</v>
      </c>
    </row>
    <row r="4659" spans="1:16" x14ac:dyDescent="0.3">
      <c r="A4659" s="5">
        <v>91</v>
      </c>
      <c r="B4659" s="5" t="s">
        <v>163</v>
      </c>
      <c r="C4659" s="5">
        <v>9</v>
      </c>
      <c r="D4659" s="5" t="s">
        <v>92</v>
      </c>
      <c r="E4659" s="5">
        <v>2024</v>
      </c>
      <c r="F4659" s="5">
        <v>12</v>
      </c>
      <c r="G4659" s="5" t="s">
        <v>69</v>
      </c>
      <c r="H4659" s="5">
        <v>1491678</v>
      </c>
      <c r="I4659" s="5">
        <v>1231708.8400000001</v>
      </c>
      <c r="J4659" s="5">
        <v>28</v>
      </c>
      <c r="K4659" s="5">
        <v>71489</v>
      </c>
      <c r="L4659" s="5">
        <v>1562480</v>
      </c>
      <c r="M4659" s="5">
        <v>259969.16</v>
      </c>
      <c r="N4659" s="5">
        <v>0.17430000000000001</v>
      </c>
      <c r="O4659" s="5">
        <v>3</v>
      </c>
      <c r="P4659" s="5">
        <v>37999</v>
      </c>
    </row>
    <row r="4660" spans="1:16" x14ac:dyDescent="0.3">
      <c r="A4660" s="5">
        <v>61</v>
      </c>
      <c r="B4660" s="5" t="s">
        <v>164</v>
      </c>
      <c r="C4660" s="5">
        <v>9</v>
      </c>
      <c r="D4660" s="5" t="s">
        <v>92</v>
      </c>
      <c r="E4660" s="5">
        <v>2021</v>
      </c>
      <c r="F4660" s="5">
        <v>1</v>
      </c>
      <c r="G4660" s="5" t="s">
        <v>22</v>
      </c>
      <c r="H4660" s="5">
        <v>4826924</v>
      </c>
      <c r="I4660" s="5">
        <v>4464568.01</v>
      </c>
      <c r="J4660" s="5">
        <v>76</v>
      </c>
      <c r="K4660" s="5">
        <v>939797</v>
      </c>
      <c r="L4660" s="5">
        <v>5753320</v>
      </c>
      <c r="M4660" s="5">
        <v>362355.99</v>
      </c>
      <c r="N4660" s="5">
        <v>7.51E-2</v>
      </c>
      <c r="O4660" s="5">
        <v>8</v>
      </c>
      <c r="P4660" s="5">
        <v>213013</v>
      </c>
    </row>
    <row r="4661" spans="1:16" x14ac:dyDescent="0.3">
      <c r="A4661" s="5">
        <v>61</v>
      </c>
      <c r="B4661" s="5" t="s">
        <v>164</v>
      </c>
      <c r="C4661" s="5">
        <v>9</v>
      </c>
      <c r="D4661" s="5" t="s">
        <v>92</v>
      </c>
      <c r="E4661" s="5">
        <v>2021</v>
      </c>
      <c r="F4661" s="5">
        <v>2</v>
      </c>
      <c r="G4661" s="5" t="s">
        <v>23</v>
      </c>
      <c r="H4661" s="5">
        <v>4368729</v>
      </c>
      <c r="I4661" s="5">
        <v>3742711.92</v>
      </c>
      <c r="J4661" s="5">
        <v>63</v>
      </c>
      <c r="K4661" s="5">
        <v>422435</v>
      </c>
      <c r="L4661" s="5">
        <v>4773470</v>
      </c>
      <c r="M4661" s="5">
        <v>626017.07999999996</v>
      </c>
      <c r="N4661" s="5">
        <v>0.14330000000000001</v>
      </c>
      <c r="O4661" s="5">
        <v>6</v>
      </c>
      <c r="P4661" s="5">
        <v>125792</v>
      </c>
    </row>
    <row r="4662" spans="1:16" x14ac:dyDescent="0.3">
      <c r="A4662" s="5">
        <v>61</v>
      </c>
      <c r="B4662" s="5" t="s">
        <v>164</v>
      </c>
      <c r="C4662" s="5">
        <v>9</v>
      </c>
      <c r="D4662" s="5" t="s">
        <v>92</v>
      </c>
      <c r="E4662" s="5">
        <v>2021</v>
      </c>
      <c r="F4662" s="5">
        <v>3</v>
      </c>
      <c r="G4662" s="5" t="s">
        <v>24</v>
      </c>
      <c r="H4662" s="5">
        <v>4923684</v>
      </c>
      <c r="I4662" s="5">
        <v>4181795.38</v>
      </c>
      <c r="J4662" s="5">
        <v>65</v>
      </c>
      <c r="K4662" s="5">
        <v>464585</v>
      </c>
      <c r="L4662" s="5">
        <v>5375170</v>
      </c>
      <c r="M4662" s="5">
        <v>741888.62</v>
      </c>
      <c r="N4662" s="5">
        <v>0.1507</v>
      </c>
      <c r="O4662" s="5">
        <v>4</v>
      </c>
      <c r="P4662" s="5">
        <v>332734</v>
      </c>
    </row>
    <row r="4663" spans="1:16" x14ac:dyDescent="0.3">
      <c r="A4663" s="5">
        <v>61</v>
      </c>
      <c r="B4663" s="5" t="s">
        <v>164</v>
      </c>
      <c r="C4663" s="5">
        <v>9</v>
      </c>
      <c r="D4663" s="5" t="s">
        <v>92</v>
      </c>
      <c r="E4663" s="5">
        <v>2021</v>
      </c>
      <c r="F4663" s="5">
        <v>4</v>
      </c>
      <c r="G4663" s="5" t="s">
        <v>25</v>
      </c>
      <c r="H4663" s="5">
        <v>5727220</v>
      </c>
      <c r="I4663" s="5">
        <v>5120521.1100000003</v>
      </c>
      <c r="J4663" s="5">
        <v>80</v>
      </c>
      <c r="K4663" s="5">
        <v>727588</v>
      </c>
      <c r="L4663" s="5">
        <v>6438780</v>
      </c>
      <c r="M4663" s="5">
        <v>606698.89</v>
      </c>
      <c r="N4663" s="5">
        <v>0.10589999999999999</v>
      </c>
      <c r="O4663" s="5">
        <v>6</v>
      </c>
      <c r="P4663" s="5">
        <v>200077</v>
      </c>
    </row>
    <row r="4664" spans="1:16" x14ac:dyDescent="0.3">
      <c r="A4664" s="5">
        <v>61</v>
      </c>
      <c r="B4664" s="5" t="s">
        <v>164</v>
      </c>
      <c r="C4664" s="5">
        <v>9</v>
      </c>
      <c r="D4664" s="5" t="s">
        <v>92</v>
      </c>
      <c r="E4664" s="5">
        <v>2021</v>
      </c>
      <c r="F4664" s="5">
        <v>5</v>
      </c>
      <c r="G4664" s="5" t="s">
        <v>26</v>
      </c>
      <c r="H4664" s="5">
        <v>4453099</v>
      </c>
      <c r="I4664" s="5">
        <v>3835579.5</v>
      </c>
      <c r="J4664" s="5">
        <v>75</v>
      </c>
      <c r="K4664" s="5">
        <v>602850</v>
      </c>
      <c r="L4664" s="5">
        <v>5049520</v>
      </c>
      <c r="M4664" s="5">
        <v>617519.5</v>
      </c>
      <c r="N4664" s="5">
        <v>0.13869999999999999</v>
      </c>
      <c r="O4664" s="5">
        <v>3</v>
      </c>
      <c r="P4664" s="5">
        <v>52053</v>
      </c>
    </row>
    <row r="4665" spans="1:16" x14ac:dyDescent="0.3">
      <c r="A4665" s="5">
        <v>61</v>
      </c>
      <c r="B4665" s="5" t="s">
        <v>164</v>
      </c>
      <c r="C4665" s="5">
        <v>9</v>
      </c>
      <c r="D4665" s="5" t="s">
        <v>92</v>
      </c>
      <c r="E4665" s="5">
        <v>2021</v>
      </c>
      <c r="F4665" s="5">
        <v>6</v>
      </c>
      <c r="G4665" s="5" t="s">
        <v>27</v>
      </c>
      <c r="H4665" s="5">
        <v>5002630</v>
      </c>
      <c r="I4665" s="5">
        <v>4318630.3099999996</v>
      </c>
      <c r="J4665" s="5">
        <v>78</v>
      </c>
      <c r="K4665" s="5">
        <v>499658</v>
      </c>
      <c r="L4665" s="5">
        <v>5489990</v>
      </c>
      <c r="M4665" s="5">
        <v>683999.69</v>
      </c>
      <c r="N4665" s="5">
        <v>0.13669999999999999</v>
      </c>
      <c r="O4665" s="5">
        <v>11</v>
      </c>
      <c r="P4665" s="5">
        <v>601759</v>
      </c>
    </row>
    <row r="4666" spans="1:16" x14ac:dyDescent="0.3">
      <c r="A4666" s="5">
        <v>61</v>
      </c>
      <c r="B4666" s="5" t="s">
        <v>164</v>
      </c>
      <c r="C4666" s="5">
        <v>9</v>
      </c>
      <c r="D4666" s="5" t="s">
        <v>92</v>
      </c>
      <c r="E4666" s="5">
        <v>2021</v>
      </c>
      <c r="F4666" s="5">
        <v>7</v>
      </c>
      <c r="G4666" s="5" t="s">
        <v>28</v>
      </c>
      <c r="H4666" s="5">
        <v>5653809</v>
      </c>
      <c r="I4666" s="5">
        <v>4922237.4000000004</v>
      </c>
      <c r="J4666" s="5">
        <v>72</v>
      </c>
      <c r="K4666" s="5">
        <v>709434</v>
      </c>
      <c r="L4666" s="5">
        <v>6344650</v>
      </c>
      <c r="M4666" s="5">
        <v>731571.6</v>
      </c>
      <c r="N4666" s="5">
        <v>0.12939999999999999</v>
      </c>
      <c r="O4666" s="5">
        <v>3</v>
      </c>
      <c r="P4666" s="5">
        <v>15424</v>
      </c>
    </row>
    <row r="4667" spans="1:16" x14ac:dyDescent="0.3">
      <c r="A4667" s="5">
        <v>61</v>
      </c>
      <c r="B4667" s="5" t="s">
        <v>164</v>
      </c>
      <c r="C4667" s="5">
        <v>9</v>
      </c>
      <c r="D4667" s="5" t="s">
        <v>92</v>
      </c>
      <c r="E4667" s="5">
        <v>2021</v>
      </c>
      <c r="F4667" s="5">
        <v>8</v>
      </c>
      <c r="G4667" s="5" t="s">
        <v>29</v>
      </c>
      <c r="H4667" s="5">
        <v>4295481</v>
      </c>
      <c r="I4667" s="5">
        <v>3681521.46</v>
      </c>
      <c r="J4667" s="5">
        <v>75</v>
      </c>
      <c r="K4667" s="5">
        <v>410427</v>
      </c>
      <c r="L4667" s="5">
        <v>4689850</v>
      </c>
      <c r="M4667" s="5">
        <v>613959.54</v>
      </c>
      <c r="N4667" s="5">
        <v>0.1429</v>
      </c>
      <c r="O4667" s="5">
        <v>3</v>
      </c>
      <c r="P4667" s="5">
        <v>11862</v>
      </c>
    </row>
    <row r="4668" spans="1:16" x14ac:dyDescent="0.3">
      <c r="A4668" s="5">
        <v>61</v>
      </c>
      <c r="B4668" s="5" t="s">
        <v>164</v>
      </c>
      <c r="C4668" s="5">
        <v>9</v>
      </c>
      <c r="D4668" s="5" t="s">
        <v>92</v>
      </c>
      <c r="E4668" s="5">
        <v>2021</v>
      </c>
      <c r="F4668" s="5">
        <v>9</v>
      </c>
      <c r="G4668" s="5" t="s">
        <v>30</v>
      </c>
      <c r="H4668" s="5">
        <v>4819411</v>
      </c>
      <c r="I4668" s="5">
        <v>4086583.32</v>
      </c>
      <c r="J4668" s="5">
        <v>67</v>
      </c>
      <c r="K4668" s="5">
        <v>446329</v>
      </c>
      <c r="L4668" s="5">
        <v>5249590</v>
      </c>
      <c r="M4668" s="5">
        <v>732827.68</v>
      </c>
      <c r="N4668" s="5">
        <v>0.15210000000000001</v>
      </c>
      <c r="O4668" s="5">
        <v>5</v>
      </c>
      <c r="P4668" s="5">
        <v>250534</v>
      </c>
    </row>
    <row r="4669" spans="1:16" x14ac:dyDescent="0.3">
      <c r="A4669" s="5">
        <v>61</v>
      </c>
      <c r="B4669" s="5" t="s">
        <v>164</v>
      </c>
      <c r="C4669" s="5">
        <v>9</v>
      </c>
      <c r="D4669" s="5" t="s">
        <v>92</v>
      </c>
      <c r="E4669" s="5">
        <v>2021</v>
      </c>
      <c r="F4669" s="5">
        <v>10</v>
      </c>
      <c r="G4669" s="5" t="s">
        <v>31</v>
      </c>
      <c r="H4669" s="5">
        <v>8392781</v>
      </c>
      <c r="I4669" s="5">
        <v>7099097.7400000002</v>
      </c>
      <c r="J4669" s="5">
        <v>115</v>
      </c>
      <c r="K4669" s="5">
        <v>664465</v>
      </c>
      <c r="L4669" s="5">
        <v>9036850</v>
      </c>
      <c r="M4669" s="5">
        <v>1293683.26</v>
      </c>
      <c r="N4669" s="5">
        <v>0.15409999999999999</v>
      </c>
      <c r="O4669" s="5">
        <v>12</v>
      </c>
      <c r="P4669" s="5">
        <v>214272</v>
      </c>
    </row>
    <row r="4670" spans="1:16" x14ac:dyDescent="0.3">
      <c r="A4670" s="5">
        <v>61</v>
      </c>
      <c r="B4670" s="5" t="s">
        <v>164</v>
      </c>
      <c r="C4670" s="5">
        <v>9</v>
      </c>
      <c r="D4670" s="5" t="s">
        <v>92</v>
      </c>
      <c r="E4670" s="5">
        <v>2021</v>
      </c>
      <c r="F4670" s="5">
        <v>11</v>
      </c>
      <c r="G4670" s="5" t="s">
        <v>32</v>
      </c>
      <c r="H4670" s="5">
        <v>8645935</v>
      </c>
      <c r="I4670" s="5">
        <v>7140956</v>
      </c>
      <c r="J4670" s="5">
        <v>122</v>
      </c>
      <c r="K4670" s="5">
        <v>583077</v>
      </c>
      <c r="L4670" s="5">
        <v>9192180</v>
      </c>
      <c r="M4670" s="5">
        <v>1504979</v>
      </c>
      <c r="N4670" s="5">
        <v>0.1741</v>
      </c>
      <c r="O4670" s="5">
        <v>11</v>
      </c>
      <c r="P4670" s="5">
        <v>348528</v>
      </c>
    </row>
    <row r="4671" spans="1:16" x14ac:dyDescent="0.3">
      <c r="A4671" s="5">
        <v>61</v>
      </c>
      <c r="B4671" s="5" t="s">
        <v>164</v>
      </c>
      <c r="C4671" s="5">
        <v>9</v>
      </c>
      <c r="D4671" s="5" t="s">
        <v>92</v>
      </c>
      <c r="E4671" s="5">
        <v>2021</v>
      </c>
      <c r="F4671" s="5">
        <v>12</v>
      </c>
      <c r="G4671" s="5" t="s">
        <v>33</v>
      </c>
      <c r="H4671" s="5">
        <v>6034512</v>
      </c>
      <c r="I4671" s="5">
        <v>4987883.7699999996</v>
      </c>
      <c r="J4671" s="5">
        <v>95</v>
      </c>
      <c r="K4671" s="5">
        <v>383075</v>
      </c>
      <c r="L4671" s="5">
        <v>6401340</v>
      </c>
      <c r="M4671" s="5">
        <v>1046628.23</v>
      </c>
      <c r="N4671" s="5">
        <v>0.1734</v>
      </c>
      <c r="O4671" s="5">
        <v>7</v>
      </c>
      <c r="P4671" s="5">
        <v>94953</v>
      </c>
    </row>
    <row r="4672" spans="1:16" x14ac:dyDescent="0.3">
      <c r="A4672" s="5">
        <v>61</v>
      </c>
      <c r="B4672" s="5" t="s">
        <v>164</v>
      </c>
      <c r="C4672" s="5">
        <v>9</v>
      </c>
      <c r="D4672" s="5" t="s">
        <v>92</v>
      </c>
      <c r="E4672" s="5">
        <v>2022</v>
      </c>
      <c r="F4672" s="5">
        <v>1</v>
      </c>
      <c r="G4672" s="5" t="s">
        <v>34</v>
      </c>
      <c r="H4672" s="5">
        <v>5969086</v>
      </c>
      <c r="I4672" s="5">
        <v>4914172.43</v>
      </c>
      <c r="J4672" s="5">
        <v>94</v>
      </c>
      <c r="K4672" s="5">
        <v>481351</v>
      </c>
      <c r="L4672" s="5">
        <v>6439300</v>
      </c>
      <c r="M4672" s="5">
        <v>1054913.57</v>
      </c>
      <c r="N4672" s="5">
        <v>0.1767</v>
      </c>
      <c r="O4672" s="5">
        <v>6</v>
      </c>
      <c r="P4672" s="5">
        <v>109275</v>
      </c>
    </row>
    <row r="4673" spans="1:16" x14ac:dyDescent="0.3">
      <c r="A4673" s="5">
        <v>61</v>
      </c>
      <c r="B4673" s="5" t="s">
        <v>164</v>
      </c>
      <c r="C4673" s="5">
        <v>9</v>
      </c>
      <c r="D4673" s="5" t="s">
        <v>92</v>
      </c>
      <c r="E4673" s="5">
        <v>2022</v>
      </c>
      <c r="F4673" s="5">
        <v>2</v>
      </c>
      <c r="G4673" s="5" t="s">
        <v>35</v>
      </c>
      <c r="H4673" s="5">
        <v>6441858</v>
      </c>
      <c r="I4673" s="5">
        <v>5618844.0999999996</v>
      </c>
      <c r="J4673" s="5">
        <v>75</v>
      </c>
      <c r="K4673" s="5">
        <v>726696</v>
      </c>
      <c r="L4673" s="5">
        <v>7142260</v>
      </c>
      <c r="M4673" s="5">
        <v>823013.9</v>
      </c>
      <c r="N4673" s="5">
        <v>0.1278</v>
      </c>
      <c r="O4673" s="5">
        <v>15</v>
      </c>
      <c r="P4673" s="5">
        <v>518770</v>
      </c>
    </row>
    <row r="4674" spans="1:16" x14ac:dyDescent="0.3">
      <c r="A4674" s="5">
        <v>61</v>
      </c>
      <c r="B4674" s="5" t="s">
        <v>164</v>
      </c>
      <c r="C4674" s="5">
        <v>9</v>
      </c>
      <c r="D4674" s="5" t="s">
        <v>92</v>
      </c>
      <c r="E4674" s="5">
        <v>2022</v>
      </c>
      <c r="F4674" s="5">
        <v>3</v>
      </c>
      <c r="G4674" s="5" t="s">
        <v>36</v>
      </c>
      <c r="H4674" s="5">
        <v>6573633</v>
      </c>
      <c r="I4674" s="5">
        <v>5539938.25</v>
      </c>
      <c r="J4674" s="5">
        <v>98</v>
      </c>
      <c r="K4674" s="5">
        <v>522954</v>
      </c>
      <c r="L4674" s="5">
        <v>7073920</v>
      </c>
      <c r="M4674" s="5">
        <v>1033694.75</v>
      </c>
      <c r="N4674" s="5">
        <v>0.15720000000000001</v>
      </c>
      <c r="O4674" s="5">
        <v>8</v>
      </c>
      <c r="P4674" s="5">
        <v>53217</v>
      </c>
    </row>
    <row r="4675" spans="1:16" x14ac:dyDescent="0.3">
      <c r="A4675" s="5">
        <v>61</v>
      </c>
      <c r="B4675" s="5" t="s">
        <v>164</v>
      </c>
      <c r="C4675" s="5">
        <v>9</v>
      </c>
      <c r="D4675" s="5" t="s">
        <v>92</v>
      </c>
      <c r="E4675" s="5">
        <v>2022</v>
      </c>
      <c r="F4675" s="5">
        <v>4</v>
      </c>
      <c r="G4675" s="5" t="s">
        <v>37</v>
      </c>
      <c r="H4675" s="5">
        <v>6837546</v>
      </c>
      <c r="I4675" s="5">
        <v>5820567.75</v>
      </c>
      <c r="J4675" s="5">
        <v>103</v>
      </c>
      <c r="K4675" s="5">
        <v>733881</v>
      </c>
      <c r="L4675" s="5">
        <v>7548380</v>
      </c>
      <c r="M4675" s="5">
        <v>1016978.25</v>
      </c>
      <c r="N4675" s="5">
        <v>0.1487</v>
      </c>
      <c r="O4675" s="5">
        <v>4</v>
      </c>
      <c r="P4675" s="5">
        <v>48249</v>
      </c>
    </row>
    <row r="4676" spans="1:16" x14ac:dyDescent="0.3">
      <c r="A4676" s="5">
        <v>61</v>
      </c>
      <c r="B4676" s="5" t="s">
        <v>164</v>
      </c>
      <c r="C4676" s="5">
        <v>9</v>
      </c>
      <c r="D4676" s="5" t="s">
        <v>92</v>
      </c>
      <c r="E4676" s="5">
        <v>2022</v>
      </c>
      <c r="F4676" s="5">
        <v>5</v>
      </c>
      <c r="G4676" s="5" t="s">
        <v>38</v>
      </c>
      <c r="H4676" s="5">
        <v>9140579</v>
      </c>
      <c r="I4676" s="5">
        <v>8077634.7300000004</v>
      </c>
      <c r="J4676" s="5">
        <v>125</v>
      </c>
      <c r="K4676" s="5">
        <v>1230392</v>
      </c>
      <c r="L4676" s="5">
        <v>10348110</v>
      </c>
      <c r="M4676" s="5">
        <v>1062944.27</v>
      </c>
      <c r="N4676" s="5">
        <v>0.1163</v>
      </c>
      <c r="O4676" s="5">
        <v>9</v>
      </c>
      <c r="P4676" s="5">
        <v>62712</v>
      </c>
    </row>
    <row r="4677" spans="1:16" x14ac:dyDescent="0.3">
      <c r="A4677" s="5">
        <v>61</v>
      </c>
      <c r="B4677" s="5" t="s">
        <v>164</v>
      </c>
      <c r="C4677" s="5">
        <v>9</v>
      </c>
      <c r="D4677" s="5" t="s">
        <v>92</v>
      </c>
      <c r="E4677" s="5">
        <v>2022</v>
      </c>
      <c r="F4677" s="5">
        <v>6</v>
      </c>
      <c r="G4677" s="5" t="s">
        <v>39</v>
      </c>
      <c r="H4677" s="5">
        <v>6999179</v>
      </c>
      <c r="I4677" s="5">
        <v>5919636.5199999996</v>
      </c>
      <c r="J4677" s="5">
        <v>111</v>
      </c>
      <c r="K4677" s="5">
        <v>725181</v>
      </c>
      <c r="L4677" s="5">
        <v>7706420</v>
      </c>
      <c r="M4677" s="5">
        <v>1079542.48</v>
      </c>
      <c r="N4677" s="5">
        <v>0.1542</v>
      </c>
      <c r="O4677" s="5">
        <v>8</v>
      </c>
      <c r="P4677" s="5">
        <v>229782</v>
      </c>
    </row>
    <row r="4678" spans="1:16" x14ac:dyDescent="0.3">
      <c r="A4678" s="5">
        <v>61</v>
      </c>
      <c r="B4678" s="5" t="s">
        <v>164</v>
      </c>
      <c r="C4678" s="5">
        <v>9</v>
      </c>
      <c r="D4678" s="5" t="s">
        <v>92</v>
      </c>
      <c r="E4678" s="5">
        <v>2022</v>
      </c>
      <c r="F4678" s="5">
        <v>7</v>
      </c>
      <c r="G4678" s="5" t="s">
        <v>40</v>
      </c>
      <c r="H4678" s="5">
        <v>6291744</v>
      </c>
      <c r="I4678" s="5">
        <v>5416822.5800000001</v>
      </c>
      <c r="J4678" s="5">
        <v>113</v>
      </c>
      <c r="K4678" s="5">
        <v>705612</v>
      </c>
      <c r="L4678" s="5">
        <v>6977670</v>
      </c>
      <c r="M4678" s="5">
        <v>874921.42</v>
      </c>
      <c r="N4678" s="5">
        <v>0.1391</v>
      </c>
      <c r="O4678" s="5">
        <v>11</v>
      </c>
      <c r="P4678" s="5">
        <v>136621</v>
      </c>
    </row>
    <row r="4679" spans="1:16" x14ac:dyDescent="0.3">
      <c r="A4679" s="5">
        <v>61</v>
      </c>
      <c r="B4679" s="5" t="s">
        <v>164</v>
      </c>
      <c r="C4679" s="5">
        <v>9</v>
      </c>
      <c r="D4679" s="5" t="s">
        <v>92</v>
      </c>
      <c r="E4679" s="5">
        <v>2022</v>
      </c>
      <c r="F4679" s="5">
        <v>8</v>
      </c>
      <c r="G4679" s="5" t="s">
        <v>41</v>
      </c>
      <c r="H4679" s="5">
        <v>5039885</v>
      </c>
      <c r="I4679" s="5">
        <v>4660133.58</v>
      </c>
      <c r="J4679" s="5">
        <v>94</v>
      </c>
      <c r="K4679" s="5">
        <v>1012410</v>
      </c>
      <c r="L4679" s="5">
        <v>6035070</v>
      </c>
      <c r="M4679" s="5">
        <v>379751.42</v>
      </c>
      <c r="N4679" s="5">
        <v>7.5300000000000006E-2</v>
      </c>
      <c r="O4679" s="5">
        <v>5</v>
      </c>
      <c r="P4679" s="5">
        <v>75957</v>
      </c>
    </row>
    <row r="4680" spans="1:16" x14ac:dyDescent="0.3">
      <c r="A4680" s="5">
        <v>61</v>
      </c>
      <c r="B4680" s="5" t="s">
        <v>164</v>
      </c>
      <c r="C4680" s="5">
        <v>9</v>
      </c>
      <c r="D4680" s="5" t="s">
        <v>92</v>
      </c>
      <c r="E4680" s="5">
        <v>2022</v>
      </c>
      <c r="F4680" s="5">
        <v>9</v>
      </c>
      <c r="G4680" s="5" t="s">
        <v>42</v>
      </c>
      <c r="H4680" s="5">
        <v>7535869</v>
      </c>
      <c r="I4680" s="5">
        <v>6497848.5800000001</v>
      </c>
      <c r="J4680" s="5">
        <v>116</v>
      </c>
      <c r="K4680" s="5">
        <v>885860</v>
      </c>
      <c r="L4680" s="5">
        <v>8402530</v>
      </c>
      <c r="M4680" s="5">
        <v>1038020.42</v>
      </c>
      <c r="N4680" s="5">
        <v>0.13769999999999999</v>
      </c>
      <c r="O4680" s="5">
        <v>11</v>
      </c>
      <c r="P4680" s="5">
        <v>161073</v>
      </c>
    </row>
    <row r="4681" spans="1:16" x14ac:dyDescent="0.3">
      <c r="A4681" s="5">
        <v>61</v>
      </c>
      <c r="B4681" s="5" t="s">
        <v>164</v>
      </c>
      <c r="C4681" s="5">
        <v>9</v>
      </c>
      <c r="D4681" s="5" t="s">
        <v>92</v>
      </c>
      <c r="E4681" s="5">
        <v>2022</v>
      </c>
      <c r="F4681" s="5">
        <v>10</v>
      </c>
      <c r="G4681" s="5" t="s">
        <v>43</v>
      </c>
      <c r="H4681" s="5">
        <v>11279706</v>
      </c>
      <c r="I4681" s="5">
        <v>10044256.42</v>
      </c>
      <c r="J4681" s="5">
        <v>151</v>
      </c>
      <c r="K4681" s="5">
        <v>1633162</v>
      </c>
      <c r="L4681" s="5">
        <v>12863210</v>
      </c>
      <c r="M4681" s="5">
        <v>1235449.58</v>
      </c>
      <c r="N4681" s="5">
        <v>0.1095</v>
      </c>
      <c r="O4681" s="5">
        <v>5</v>
      </c>
      <c r="P4681" s="5">
        <v>221492</v>
      </c>
    </row>
    <row r="4682" spans="1:16" x14ac:dyDescent="0.3">
      <c r="A4682" s="5">
        <v>61</v>
      </c>
      <c r="B4682" s="5" t="s">
        <v>164</v>
      </c>
      <c r="C4682" s="5">
        <v>9</v>
      </c>
      <c r="D4682" s="5" t="s">
        <v>92</v>
      </c>
      <c r="E4682" s="5">
        <v>2022</v>
      </c>
      <c r="F4682" s="5">
        <v>11</v>
      </c>
      <c r="G4682" s="5" t="s">
        <v>44</v>
      </c>
      <c r="H4682" s="5">
        <v>10446232</v>
      </c>
      <c r="I4682" s="5">
        <v>8704454.9800000004</v>
      </c>
      <c r="J4682" s="5">
        <v>159</v>
      </c>
      <c r="K4682" s="5">
        <v>834146</v>
      </c>
      <c r="L4682" s="5">
        <v>11229180</v>
      </c>
      <c r="M4682" s="5">
        <v>1741777.02</v>
      </c>
      <c r="N4682" s="5">
        <v>0.16669999999999999</v>
      </c>
      <c r="O4682" s="5">
        <v>6</v>
      </c>
      <c r="P4682" s="5">
        <v>226790</v>
      </c>
    </row>
    <row r="4683" spans="1:16" x14ac:dyDescent="0.3">
      <c r="A4683" s="5">
        <v>61</v>
      </c>
      <c r="B4683" s="5" t="s">
        <v>164</v>
      </c>
      <c r="C4683" s="5">
        <v>9</v>
      </c>
      <c r="D4683" s="5" t="s">
        <v>92</v>
      </c>
      <c r="E4683" s="5">
        <v>2022</v>
      </c>
      <c r="F4683" s="5">
        <v>12</v>
      </c>
      <c r="G4683" s="5" t="s">
        <v>45</v>
      </c>
      <c r="H4683" s="5">
        <v>11661233</v>
      </c>
      <c r="I4683" s="5">
        <v>9768259.5800000001</v>
      </c>
      <c r="J4683" s="5">
        <v>163</v>
      </c>
      <c r="K4683" s="5">
        <v>773261</v>
      </c>
      <c r="L4683" s="5">
        <v>12394450</v>
      </c>
      <c r="M4683" s="5">
        <v>1892973.42</v>
      </c>
      <c r="N4683" s="5">
        <v>0.1623</v>
      </c>
      <c r="O4683" s="5">
        <v>12</v>
      </c>
      <c r="P4683" s="5">
        <v>249581</v>
      </c>
    </row>
    <row r="4684" spans="1:16" x14ac:dyDescent="0.3">
      <c r="A4684" s="5">
        <v>61</v>
      </c>
      <c r="B4684" s="5" t="s">
        <v>164</v>
      </c>
      <c r="C4684" s="5">
        <v>9</v>
      </c>
      <c r="D4684" s="5" t="s">
        <v>92</v>
      </c>
      <c r="E4684" s="5">
        <v>2023</v>
      </c>
      <c r="F4684" s="5">
        <v>1</v>
      </c>
      <c r="G4684" s="5" t="s">
        <v>46</v>
      </c>
      <c r="H4684" s="5">
        <v>7841999</v>
      </c>
      <c r="I4684" s="5">
        <v>6988400.6399999997</v>
      </c>
      <c r="J4684" s="5">
        <v>122</v>
      </c>
      <c r="K4684" s="5">
        <v>1250185</v>
      </c>
      <c r="L4684" s="5">
        <v>9069320</v>
      </c>
      <c r="M4684" s="5">
        <v>853598.36</v>
      </c>
      <c r="N4684" s="5">
        <v>0.10879999999999999</v>
      </c>
      <c r="O4684" s="5">
        <v>8</v>
      </c>
      <c r="P4684" s="5">
        <v>290205</v>
      </c>
    </row>
    <row r="4685" spans="1:16" x14ac:dyDescent="0.3">
      <c r="A4685" s="5">
        <v>61</v>
      </c>
      <c r="B4685" s="5" t="s">
        <v>164</v>
      </c>
      <c r="C4685" s="5">
        <v>9</v>
      </c>
      <c r="D4685" s="5" t="s">
        <v>92</v>
      </c>
      <c r="E4685" s="5">
        <v>2023</v>
      </c>
      <c r="F4685" s="5">
        <v>2</v>
      </c>
      <c r="G4685" s="5" t="s">
        <v>47</v>
      </c>
      <c r="H4685" s="5">
        <v>6341660</v>
      </c>
      <c r="I4685" s="5">
        <v>5478713.9199999999</v>
      </c>
      <c r="J4685" s="5">
        <v>112</v>
      </c>
      <c r="K4685" s="5">
        <v>811163</v>
      </c>
      <c r="L4685" s="5">
        <v>7133670</v>
      </c>
      <c r="M4685" s="5">
        <v>862946.08</v>
      </c>
      <c r="N4685" s="5">
        <v>0.1361</v>
      </c>
      <c r="O4685" s="5">
        <v>8</v>
      </c>
      <c r="P4685" s="5">
        <v>178647</v>
      </c>
    </row>
    <row r="4686" spans="1:16" x14ac:dyDescent="0.3">
      <c r="A4686" s="5">
        <v>61</v>
      </c>
      <c r="B4686" s="5" t="s">
        <v>164</v>
      </c>
      <c r="C4686" s="5">
        <v>9</v>
      </c>
      <c r="D4686" s="5" t="s">
        <v>92</v>
      </c>
      <c r="E4686" s="5">
        <v>2023</v>
      </c>
      <c r="F4686" s="5">
        <v>3</v>
      </c>
      <c r="G4686" s="5" t="s">
        <v>48</v>
      </c>
      <c r="H4686" s="5">
        <v>10200232</v>
      </c>
      <c r="I4686" s="5">
        <v>8677231.9199999999</v>
      </c>
      <c r="J4686" s="5">
        <v>150</v>
      </c>
      <c r="K4686" s="5">
        <v>948383</v>
      </c>
      <c r="L4686" s="5">
        <v>11103050</v>
      </c>
      <c r="M4686" s="5">
        <v>1523000.08</v>
      </c>
      <c r="N4686" s="5">
        <v>0.14929999999999999</v>
      </c>
      <c r="O4686" s="5">
        <v>12</v>
      </c>
      <c r="P4686" s="5">
        <v>286315</v>
      </c>
    </row>
    <row r="4687" spans="1:16" x14ac:dyDescent="0.3">
      <c r="A4687" s="5">
        <v>61</v>
      </c>
      <c r="B4687" s="5" t="s">
        <v>164</v>
      </c>
      <c r="C4687" s="5">
        <v>9</v>
      </c>
      <c r="D4687" s="5" t="s">
        <v>92</v>
      </c>
      <c r="E4687" s="5">
        <v>2023</v>
      </c>
      <c r="F4687" s="5">
        <v>4</v>
      </c>
      <c r="G4687" s="5" t="s">
        <v>49</v>
      </c>
      <c r="H4687" s="5">
        <v>9632304</v>
      </c>
      <c r="I4687" s="5">
        <v>8622197.9199999999</v>
      </c>
      <c r="J4687" s="5">
        <v>135</v>
      </c>
      <c r="K4687" s="5">
        <v>1423156</v>
      </c>
      <c r="L4687" s="5">
        <v>11025390</v>
      </c>
      <c r="M4687" s="5">
        <v>1010106.08</v>
      </c>
      <c r="N4687" s="5">
        <v>0.10489999999999999</v>
      </c>
      <c r="O4687" s="5">
        <v>13</v>
      </c>
      <c r="P4687" s="5">
        <v>214437</v>
      </c>
    </row>
    <row r="4688" spans="1:16" x14ac:dyDescent="0.3">
      <c r="A4688" s="5">
        <v>61</v>
      </c>
      <c r="B4688" s="5" t="s">
        <v>164</v>
      </c>
      <c r="C4688" s="5">
        <v>9</v>
      </c>
      <c r="D4688" s="5" t="s">
        <v>92</v>
      </c>
      <c r="E4688" s="5">
        <v>2023</v>
      </c>
      <c r="F4688" s="5">
        <v>5</v>
      </c>
      <c r="G4688" s="5" t="s">
        <v>50</v>
      </c>
      <c r="H4688" s="5">
        <v>9442025</v>
      </c>
      <c r="I4688" s="5">
        <v>8020334.6399999997</v>
      </c>
      <c r="J4688" s="5">
        <v>151</v>
      </c>
      <c r="K4688" s="5">
        <v>1009538</v>
      </c>
      <c r="L4688" s="5">
        <v>10399880</v>
      </c>
      <c r="M4688" s="5">
        <v>1421690.36</v>
      </c>
      <c r="N4688" s="5">
        <v>0.15060000000000001</v>
      </c>
      <c r="O4688" s="5">
        <v>11</v>
      </c>
      <c r="P4688" s="5">
        <v>301287</v>
      </c>
    </row>
    <row r="4689" spans="1:16" x14ac:dyDescent="0.3">
      <c r="A4689" s="5">
        <v>61</v>
      </c>
      <c r="B4689" s="5" t="s">
        <v>164</v>
      </c>
      <c r="C4689" s="5">
        <v>9</v>
      </c>
      <c r="D4689" s="5" t="s">
        <v>92</v>
      </c>
      <c r="E4689" s="5">
        <v>2023</v>
      </c>
      <c r="F4689" s="5">
        <v>6</v>
      </c>
      <c r="G4689" s="5" t="s">
        <v>51</v>
      </c>
      <c r="H4689" s="5">
        <v>7586561</v>
      </c>
      <c r="I4689" s="5">
        <v>6269965.2400000002</v>
      </c>
      <c r="J4689" s="5">
        <v>124</v>
      </c>
      <c r="K4689" s="5">
        <v>637574</v>
      </c>
      <c r="L4689" s="5">
        <v>8187680</v>
      </c>
      <c r="M4689" s="5">
        <v>1316595.76</v>
      </c>
      <c r="N4689" s="5">
        <v>0.17349999999999999</v>
      </c>
      <c r="O4689" s="5">
        <v>11</v>
      </c>
      <c r="P4689" s="5">
        <v>370099</v>
      </c>
    </row>
    <row r="4690" spans="1:16" x14ac:dyDescent="0.3">
      <c r="A4690" s="5">
        <v>61</v>
      </c>
      <c r="B4690" s="5" t="s">
        <v>164</v>
      </c>
      <c r="C4690" s="5">
        <v>9</v>
      </c>
      <c r="D4690" s="5" t="s">
        <v>92</v>
      </c>
      <c r="E4690" s="5">
        <v>2023</v>
      </c>
      <c r="F4690" s="5">
        <v>7</v>
      </c>
      <c r="G4690" s="5" t="s">
        <v>52</v>
      </c>
      <c r="H4690" s="5">
        <v>9636403</v>
      </c>
      <c r="I4690" s="5">
        <v>8406678.4100000001</v>
      </c>
      <c r="J4690" s="5">
        <v>145</v>
      </c>
      <c r="K4690" s="5">
        <v>1319291</v>
      </c>
      <c r="L4690" s="5">
        <v>10912980</v>
      </c>
      <c r="M4690" s="5">
        <v>1229724.5900000001</v>
      </c>
      <c r="N4690" s="5">
        <v>0.12759999999999999</v>
      </c>
      <c r="O4690" s="5">
        <v>18</v>
      </c>
      <c r="P4690" s="5">
        <v>338474</v>
      </c>
    </row>
    <row r="4691" spans="1:16" x14ac:dyDescent="0.3">
      <c r="A4691" s="5">
        <v>61</v>
      </c>
      <c r="B4691" s="5" t="s">
        <v>164</v>
      </c>
      <c r="C4691" s="5">
        <v>9</v>
      </c>
      <c r="D4691" s="5" t="s">
        <v>92</v>
      </c>
      <c r="E4691" s="5">
        <v>2023</v>
      </c>
      <c r="F4691" s="5">
        <v>8</v>
      </c>
      <c r="G4691" s="5" t="s">
        <v>53</v>
      </c>
      <c r="H4691" s="5">
        <v>8400249</v>
      </c>
      <c r="I4691" s="5">
        <v>7513767.8799999999</v>
      </c>
      <c r="J4691" s="5">
        <v>141</v>
      </c>
      <c r="K4691" s="5">
        <v>1352429</v>
      </c>
      <c r="L4691" s="5">
        <v>9730410</v>
      </c>
      <c r="M4691" s="5">
        <v>886481.12</v>
      </c>
      <c r="N4691" s="5">
        <v>0.1055</v>
      </c>
      <c r="O4691" s="5">
        <v>11</v>
      </c>
      <c r="P4691" s="5">
        <v>342923</v>
      </c>
    </row>
    <row r="4692" spans="1:16" x14ac:dyDescent="0.3">
      <c r="A4692" s="5">
        <v>61</v>
      </c>
      <c r="B4692" s="5" t="s">
        <v>164</v>
      </c>
      <c r="C4692" s="5">
        <v>9</v>
      </c>
      <c r="D4692" s="5" t="s">
        <v>92</v>
      </c>
      <c r="E4692" s="5">
        <v>2023</v>
      </c>
      <c r="F4692" s="5">
        <v>9</v>
      </c>
      <c r="G4692" s="5" t="s">
        <v>54</v>
      </c>
      <c r="H4692" s="5">
        <v>9603925</v>
      </c>
      <c r="I4692" s="5">
        <v>8666634.8100000005</v>
      </c>
      <c r="J4692" s="5">
        <v>138</v>
      </c>
      <c r="K4692" s="5">
        <v>1505296</v>
      </c>
      <c r="L4692" s="5">
        <v>11080860</v>
      </c>
      <c r="M4692" s="5">
        <v>937290.19</v>
      </c>
      <c r="N4692" s="5">
        <v>9.7600000000000006E-2</v>
      </c>
      <c r="O4692" s="5">
        <v>13</v>
      </c>
      <c r="P4692" s="5">
        <v>344932</v>
      </c>
    </row>
    <row r="4693" spans="1:16" x14ac:dyDescent="0.3">
      <c r="A4693" s="5">
        <v>61</v>
      </c>
      <c r="B4693" s="5" t="s">
        <v>164</v>
      </c>
      <c r="C4693" s="5">
        <v>9</v>
      </c>
      <c r="D4693" s="5" t="s">
        <v>92</v>
      </c>
      <c r="E4693" s="5">
        <v>2023</v>
      </c>
      <c r="F4693" s="5">
        <v>10</v>
      </c>
      <c r="G4693" s="5" t="s">
        <v>55</v>
      </c>
      <c r="H4693" s="5">
        <v>14040090</v>
      </c>
      <c r="I4693" s="5">
        <v>12080635.359999999</v>
      </c>
      <c r="J4693" s="5">
        <v>209</v>
      </c>
      <c r="K4693" s="5">
        <v>1659094</v>
      </c>
      <c r="L4693" s="5">
        <v>15655690</v>
      </c>
      <c r="M4693" s="5">
        <v>1959454.64</v>
      </c>
      <c r="N4693" s="5">
        <v>0.1396</v>
      </c>
      <c r="O4693" s="5">
        <v>24</v>
      </c>
      <c r="P4693" s="5">
        <v>699624</v>
      </c>
    </row>
    <row r="4694" spans="1:16" x14ac:dyDescent="0.3">
      <c r="A4694" s="5">
        <v>61</v>
      </c>
      <c r="B4694" s="5" t="s">
        <v>164</v>
      </c>
      <c r="C4694" s="5">
        <v>9</v>
      </c>
      <c r="D4694" s="5" t="s">
        <v>92</v>
      </c>
      <c r="E4694" s="5">
        <v>2023</v>
      </c>
      <c r="F4694" s="5">
        <v>11</v>
      </c>
      <c r="G4694" s="5" t="s">
        <v>56</v>
      </c>
      <c r="H4694" s="5">
        <v>13446893</v>
      </c>
      <c r="I4694" s="5">
        <v>12103591.49</v>
      </c>
      <c r="J4694" s="5">
        <v>200</v>
      </c>
      <c r="K4694" s="5">
        <v>2088276</v>
      </c>
      <c r="L4694" s="5">
        <v>15500390</v>
      </c>
      <c r="M4694" s="5">
        <v>1343301.51</v>
      </c>
      <c r="N4694" s="5">
        <v>9.9900000000000003E-2</v>
      </c>
      <c r="O4694" s="5">
        <v>11</v>
      </c>
      <c r="P4694" s="5">
        <v>379235</v>
      </c>
    </row>
    <row r="4695" spans="1:16" x14ac:dyDescent="0.3">
      <c r="A4695" s="5">
        <v>61</v>
      </c>
      <c r="B4695" s="5" t="s">
        <v>164</v>
      </c>
      <c r="C4695" s="5">
        <v>9</v>
      </c>
      <c r="D4695" s="5" t="s">
        <v>92</v>
      </c>
      <c r="E4695" s="5">
        <v>2023</v>
      </c>
      <c r="F4695" s="5">
        <v>12</v>
      </c>
      <c r="G4695" s="5" t="s">
        <v>57</v>
      </c>
      <c r="H4695" s="5">
        <v>13106712</v>
      </c>
      <c r="I4695" s="5">
        <v>12021447.99</v>
      </c>
      <c r="J4695" s="5">
        <v>210</v>
      </c>
      <c r="K4695" s="5">
        <v>2345698</v>
      </c>
      <c r="L4695" s="5">
        <v>15398420</v>
      </c>
      <c r="M4695" s="5">
        <v>1085264.01</v>
      </c>
      <c r="N4695" s="5">
        <v>8.2799999999999999E-2</v>
      </c>
      <c r="O4695" s="5">
        <v>23</v>
      </c>
      <c r="P4695" s="5">
        <v>618204</v>
      </c>
    </row>
    <row r="4696" spans="1:16" x14ac:dyDescent="0.3">
      <c r="A4696" s="5">
        <v>61</v>
      </c>
      <c r="B4696" s="5" t="s">
        <v>164</v>
      </c>
      <c r="C4696" s="5">
        <v>9</v>
      </c>
      <c r="D4696" s="5" t="s">
        <v>92</v>
      </c>
      <c r="E4696" s="5">
        <v>2024</v>
      </c>
      <c r="F4696" s="5">
        <v>1</v>
      </c>
      <c r="G4696" s="5" t="s">
        <v>58</v>
      </c>
      <c r="H4696" s="5">
        <v>8225477</v>
      </c>
      <c r="I4696" s="5">
        <v>7258813.5</v>
      </c>
      <c r="J4696" s="5">
        <v>126</v>
      </c>
      <c r="K4696" s="5">
        <v>1074316</v>
      </c>
      <c r="L4696" s="5">
        <v>9272210</v>
      </c>
      <c r="M4696" s="5">
        <v>966663.5</v>
      </c>
      <c r="N4696" s="5">
        <v>0.11749999999999999</v>
      </c>
      <c r="O4696" s="5">
        <v>8</v>
      </c>
      <c r="P4696" s="5">
        <v>303340</v>
      </c>
    </row>
    <row r="4697" spans="1:16" x14ac:dyDescent="0.3">
      <c r="A4697" s="5">
        <v>61</v>
      </c>
      <c r="B4697" s="5" t="s">
        <v>164</v>
      </c>
      <c r="C4697" s="5">
        <v>9</v>
      </c>
      <c r="D4697" s="5" t="s">
        <v>92</v>
      </c>
      <c r="E4697" s="5">
        <v>2024</v>
      </c>
      <c r="F4697" s="5">
        <v>2</v>
      </c>
      <c r="G4697" s="5" t="s">
        <v>59</v>
      </c>
      <c r="H4697" s="5">
        <v>6782325</v>
      </c>
      <c r="I4697" s="5">
        <v>5818110.3499999996</v>
      </c>
      <c r="J4697" s="5">
        <v>115</v>
      </c>
      <c r="K4697" s="5">
        <v>694459</v>
      </c>
      <c r="L4697" s="5">
        <v>7454180</v>
      </c>
      <c r="M4697" s="5">
        <v>964214.65</v>
      </c>
      <c r="N4697" s="5">
        <v>0.14219999999999999</v>
      </c>
      <c r="O4697" s="5">
        <v>9</v>
      </c>
      <c r="P4697" s="5">
        <v>114807</v>
      </c>
    </row>
    <row r="4698" spans="1:16" x14ac:dyDescent="0.3">
      <c r="A4698" s="5">
        <v>61</v>
      </c>
      <c r="B4698" s="5" t="s">
        <v>164</v>
      </c>
      <c r="C4698" s="5">
        <v>9</v>
      </c>
      <c r="D4698" s="5" t="s">
        <v>92</v>
      </c>
      <c r="E4698" s="5">
        <v>2024</v>
      </c>
      <c r="F4698" s="5">
        <v>3</v>
      </c>
      <c r="G4698" s="5" t="s">
        <v>60</v>
      </c>
      <c r="H4698" s="5">
        <v>7743574</v>
      </c>
      <c r="I4698" s="5">
        <v>6348342.1200000001</v>
      </c>
      <c r="J4698" s="5">
        <v>131</v>
      </c>
      <c r="K4698" s="5">
        <v>564286</v>
      </c>
      <c r="L4698" s="5">
        <v>8281510</v>
      </c>
      <c r="M4698" s="5">
        <v>1395231.88</v>
      </c>
      <c r="N4698" s="5">
        <v>0.1802</v>
      </c>
      <c r="O4698" s="5">
        <v>11</v>
      </c>
      <c r="P4698" s="5">
        <v>417928</v>
      </c>
    </row>
    <row r="4699" spans="1:16" x14ac:dyDescent="0.3">
      <c r="A4699" s="5">
        <v>61</v>
      </c>
      <c r="B4699" s="5" t="s">
        <v>164</v>
      </c>
      <c r="C4699" s="5">
        <v>9</v>
      </c>
      <c r="D4699" s="5" t="s">
        <v>92</v>
      </c>
      <c r="E4699" s="5">
        <v>2024</v>
      </c>
      <c r="F4699" s="5">
        <v>4</v>
      </c>
      <c r="G4699" s="5" t="s">
        <v>61</v>
      </c>
      <c r="H4699" s="5">
        <v>10567021</v>
      </c>
      <c r="I4699" s="5">
        <v>9158701.7799999993</v>
      </c>
      <c r="J4699" s="5">
        <v>160</v>
      </c>
      <c r="K4699" s="5">
        <v>1252675</v>
      </c>
      <c r="L4699" s="5">
        <v>11785750</v>
      </c>
      <c r="M4699" s="5">
        <v>1408319.22</v>
      </c>
      <c r="N4699" s="5">
        <v>0.1333</v>
      </c>
      <c r="O4699" s="5">
        <v>18</v>
      </c>
      <c r="P4699" s="5">
        <v>625918</v>
      </c>
    </row>
    <row r="4700" spans="1:16" x14ac:dyDescent="0.3">
      <c r="A4700" s="5">
        <v>61</v>
      </c>
      <c r="B4700" s="5" t="s">
        <v>164</v>
      </c>
      <c r="C4700" s="5">
        <v>9</v>
      </c>
      <c r="D4700" s="5" t="s">
        <v>92</v>
      </c>
      <c r="E4700" s="5">
        <v>2024</v>
      </c>
      <c r="F4700" s="5">
        <v>5</v>
      </c>
      <c r="G4700" s="5" t="s">
        <v>62</v>
      </c>
      <c r="H4700" s="5">
        <v>12383763</v>
      </c>
      <c r="I4700" s="5">
        <v>10800606.710000001</v>
      </c>
      <c r="J4700" s="5">
        <v>157</v>
      </c>
      <c r="K4700" s="5">
        <v>1571419</v>
      </c>
      <c r="L4700" s="5">
        <v>13907980</v>
      </c>
      <c r="M4700" s="5">
        <v>1583156.29</v>
      </c>
      <c r="N4700" s="5">
        <v>0.1278</v>
      </c>
      <c r="O4700" s="5">
        <v>17</v>
      </c>
      <c r="P4700" s="5">
        <v>255820</v>
      </c>
    </row>
    <row r="4701" spans="1:16" x14ac:dyDescent="0.3">
      <c r="A4701" s="5">
        <v>61</v>
      </c>
      <c r="B4701" s="5" t="s">
        <v>164</v>
      </c>
      <c r="C4701" s="5">
        <v>9</v>
      </c>
      <c r="D4701" s="5" t="s">
        <v>92</v>
      </c>
      <c r="E4701" s="5">
        <v>2024</v>
      </c>
      <c r="F4701" s="5">
        <v>6</v>
      </c>
      <c r="G4701" s="5" t="s">
        <v>63</v>
      </c>
      <c r="H4701" s="5">
        <v>11911577</v>
      </c>
      <c r="I4701" s="5">
        <v>10094517.99</v>
      </c>
      <c r="J4701" s="5">
        <v>163</v>
      </c>
      <c r="K4701" s="5">
        <v>921972</v>
      </c>
      <c r="L4701" s="5">
        <v>12792080</v>
      </c>
      <c r="M4701" s="5">
        <v>1817059.01</v>
      </c>
      <c r="N4701" s="5">
        <v>0.1525</v>
      </c>
      <c r="O4701" s="5">
        <v>11</v>
      </c>
      <c r="P4701" s="5">
        <v>314081</v>
      </c>
    </row>
    <row r="4702" spans="1:16" x14ac:dyDescent="0.3">
      <c r="A4702" s="5">
        <v>61</v>
      </c>
      <c r="B4702" s="5" t="s">
        <v>164</v>
      </c>
      <c r="C4702" s="5">
        <v>9</v>
      </c>
      <c r="D4702" s="5" t="s">
        <v>92</v>
      </c>
      <c r="E4702" s="5">
        <v>2024</v>
      </c>
      <c r="F4702" s="5">
        <v>7</v>
      </c>
      <c r="G4702" s="5" t="s">
        <v>64</v>
      </c>
      <c r="H4702" s="5">
        <v>11897370</v>
      </c>
      <c r="I4702" s="5">
        <v>10634763.66</v>
      </c>
      <c r="J4702" s="5">
        <v>156</v>
      </c>
      <c r="K4702" s="5">
        <v>1580187</v>
      </c>
      <c r="L4702" s="5">
        <v>13439800</v>
      </c>
      <c r="M4702" s="5">
        <v>1262606.3400000001</v>
      </c>
      <c r="N4702" s="5">
        <v>0.1061</v>
      </c>
      <c r="O4702" s="5">
        <v>10</v>
      </c>
      <c r="P4702" s="5">
        <v>189800</v>
      </c>
    </row>
    <row r="4703" spans="1:16" x14ac:dyDescent="0.3">
      <c r="A4703" s="5">
        <v>61</v>
      </c>
      <c r="B4703" s="5" t="s">
        <v>164</v>
      </c>
      <c r="C4703" s="5">
        <v>9</v>
      </c>
      <c r="D4703" s="5" t="s">
        <v>92</v>
      </c>
      <c r="E4703" s="5">
        <v>2024</v>
      </c>
      <c r="F4703" s="5">
        <v>8</v>
      </c>
      <c r="G4703" s="5" t="s">
        <v>65</v>
      </c>
      <c r="H4703" s="5">
        <v>10593904</v>
      </c>
      <c r="I4703" s="5">
        <v>8971893.8499999996</v>
      </c>
      <c r="J4703" s="5">
        <v>164</v>
      </c>
      <c r="K4703" s="5">
        <v>1066289</v>
      </c>
      <c r="L4703" s="5">
        <v>11627390</v>
      </c>
      <c r="M4703" s="5">
        <v>1622010.15</v>
      </c>
      <c r="N4703" s="5">
        <v>0.15310000000000001</v>
      </c>
      <c r="O4703" s="5">
        <v>15</v>
      </c>
      <c r="P4703" s="5">
        <v>602916</v>
      </c>
    </row>
    <row r="4704" spans="1:16" x14ac:dyDescent="0.3">
      <c r="A4704" s="5">
        <v>61</v>
      </c>
      <c r="B4704" s="5" t="s">
        <v>164</v>
      </c>
      <c r="C4704" s="5">
        <v>9</v>
      </c>
      <c r="D4704" s="5" t="s">
        <v>92</v>
      </c>
      <c r="E4704" s="5">
        <v>2024</v>
      </c>
      <c r="F4704" s="5">
        <v>9</v>
      </c>
      <c r="G4704" s="5" t="s">
        <v>66</v>
      </c>
      <c r="H4704" s="5">
        <v>11014608</v>
      </c>
      <c r="I4704" s="5">
        <v>8963365.0500000007</v>
      </c>
      <c r="J4704" s="5">
        <v>170</v>
      </c>
      <c r="K4704" s="5">
        <v>544164</v>
      </c>
      <c r="L4704" s="5">
        <v>11527340</v>
      </c>
      <c r="M4704" s="5">
        <v>2051242.95</v>
      </c>
      <c r="N4704" s="5">
        <v>0.1862</v>
      </c>
      <c r="O4704" s="5">
        <v>18</v>
      </c>
      <c r="P4704" s="5">
        <v>509471</v>
      </c>
    </row>
    <row r="4705" spans="1:16" x14ac:dyDescent="0.3">
      <c r="A4705" s="5">
        <v>61</v>
      </c>
      <c r="B4705" s="5" t="s">
        <v>164</v>
      </c>
      <c r="C4705" s="5">
        <v>9</v>
      </c>
      <c r="D4705" s="5" t="s">
        <v>92</v>
      </c>
      <c r="E4705" s="5">
        <v>2024</v>
      </c>
      <c r="F4705" s="5">
        <v>10</v>
      </c>
      <c r="G4705" s="5" t="s">
        <v>67</v>
      </c>
      <c r="H4705" s="5">
        <v>15308833</v>
      </c>
      <c r="I4705" s="5">
        <v>12289536.15</v>
      </c>
      <c r="J4705" s="5">
        <v>200</v>
      </c>
      <c r="K4705" s="5">
        <v>593469</v>
      </c>
      <c r="L4705" s="5">
        <v>15879420</v>
      </c>
      <c r="M4705" s="5">
        <v>3019296.85</v>
      </c>
      <c r="N4705" s="5">
        <v>0.19719999999999999</v>
      </c>
      <c r="O4705" s="5">
        <v>14</v>
      </c>
      <c r="P4705" s="5">
        <v>271479</v>
      </c>
    </row>
    <row r="4706" spans="1:16" x14ac:dyDescent="0.3">
      <c r="A4706" s="5">
        <v>61</v>
      </c>
      <c r="B4706" s="5" t="s">
        <v>164</v>
      </c>
      <c r="C4706" s="5">
        <v>9</v>
      </c>
      <c r="D4706" s="5" t="s">
        <v>92</v>
      </c>
      <c r="E4706" s="5">
        <v>2024</v>
      </c>
      <c r="F4706" s="5">
        <v>11</v>
      </c>
      <c r="G4706" s="5" t="s">
        <v>68</v>
      </c>
      <c r="H4706" s="5">
        <v>17481808</v>
      </c>
      <c r="I4706" s="5">
        <v>14650045.51</v>
      </c>
      <c r="J4706" s="5">
        <v>240</v>
      </c>
      <c r="K4706" s="5">
        <v>1264181</v>
      </c>
      <c r="L4706" s="5">
        <v>18680560</v>
      </c>
      <c r="M4706" s="5">
        <v>2831762.49</v>
      </c>
      <c r="N4706" s="5">
        <v>0.16200000000000001</v>
      </c>
      <c r="O4706" s="5">
        <v>14</v>
      </c>
      <c r="P4706" s="5">
        <v>465692</v>
      </c>
    </row>
    <row r="4707" spans="1:16" x14ac:dyDescent="0.3">
      <c r="A4707" s="5">
        <v>61</v>
      </c>
      <c r="B4707" s="5" t="s">
        <v>164</v>
      </c>
      <c r="C4707" s="5">
        <v>9</v>
      </c>
      <c r="D4707" s="5" t="s">
        <v>92</v>
      </c>
      <c r="E4707" s="5">
        <v>2024</v>
      </c>
      <c r="F4707" s="5">
        <v>12</v>
      </c>
      <c r="G4707" s="5" t="s">
        <v>69</v>
      </c>
      <c r="H4707" s="5">
        <v>15288233</v>
      </c>
      <c r="I4707" s="5">
        <v>12375057.74</v>
      </c>
      <c r="J4707" s="5">
        <v>215</v>
      </c>
      <c r="K4707" s="5">
        <v>574871</v>
      </c>
      <c r="L4707" s="5">
        <v>15827670</v>
      </c>
      <c r="M4707" s="5">
        <v>2913175.26</v>
      </c>
      <c r="N4707" s="5">
        <v>0.19059999999999999</v>
      </c>
      <c r="O4707" s="5">
        <v>14</v>
      </c>
      <c r="P4707" s="5">
        <v>250966</v>
      </c>
    </row>
    <row r="4708" spans="1:16" x14ac:dyDescent="0.3">
      <c r="A4708" s="5">
        <v>5</v>
      </c>
      <c r="B4708" s="5" t="s">
        <v>165</v>
      </c>
      <c r="C4708" s="5">
        <v>9</v>
      </c>
      <c r="D4708" s="5" t="s">
        <v>92</v>
      </c>
      <c r="E4708" s="5">
        <v>2021</v>
      </c>
      <c r="F4708" s="5">
        <v>1</v>
      </c>
      <c r="G4708" s="5" t="s">
        <v>22</v>
      </c>
      <c r="H4708" s="5">
        <v>1124443</v>
      </c>
      <c r="I4708" s="5">
        <v>1016367.29</v>
      </c>
      <c r="J4708" s="5">
        <v>11</v>
      </c>
      <c r="K4708" s="5">
        <v>149646</v>
      </c>
      <c r="L4708" s="5">
        <v>1268970</v>
      </c>
      <c r="M4708" s="5">
        <v>108075.71</v>
      </c>
      <c r="N4708" s="5">
        <v>9.6100000000000005E-2</v>
      </c>
      <c r="O4708" s="5">
        <v>1</v>
      </c>
      <c r="P4708" s="5">
        <v>73973</v>
      </c>
    </row>
    <row r="4709" spans="1:16" x14ac:dyDescent="0.3">
      <c r="A4709" s="5">
        <v>29</v>
      </c>
      <c r="B4709" s="5" t="s">
        <v>165</v>
      </c>
      <c r="C4709" s="5">
        <v>9</v>
      </c>
      <c r="D4709" s="5" t="s">
        <v>92</v>
      </c>
      <c r="E4709" s="5">
        <v>2021</v>
      </c>
      <c r="F4709" s="5">
        <v>1</v>
      </c>
      <c r="G4709" s="5" t="s">
        <v>22</v>
      </c>
      <c r="H4709" s="5">
        <v>967593</v>
      </c>
      <c r="I4709" s="5">
        <v>891576.35</v>
      </c>
      <c r="J4709" s="5">
        <v>16</v>
      </c>
      <c r="K4709" s="5">
        <v>201375</v>
      </c>
      <c r="L4709" s="5">
        <v>1164200</v>
      </c>
      <c r="M4709" s="5">
        <v>76016.649999999994</v>
      </c>
      <c r="N4709" s="5">
        <v>7.8600000000000003E-2</v>
      </c>
      <c r="O4709" s="5">
        <v>0</v>
      </c>
      <c r="P4709" s="5">
        <v>0</v>
      </c>
    </row>
    <row r="4710" spans="1:16" x14ac:dyDescent="0.3">
      <c r="A4710" s="5">
        <v>76</v>
      </c>
      <c r="B4710" s="5" t="s">
        <v>165</v>
      </c>
      <c r="C4710" s="5">
        <v>9</v>
      </c>
      <c r="D4710" s="5" t="s">
        <v>92</v>
      </c>
      <c r="E4710" s="5">
        <v>2021</v>
      </c>
      <c r="F4710" s="5">
        <v>1</v>
      </c>
      <c r="G4710" s="5" t="s">
        <v>22</v>
      </c>
      <c r="H4710" s="5">
        <v>1318145</v>
      </c>
      <c r="I4710" s="5">
        <v>1195671.53</v>
      </c>
      <c r="J4710" s="5">
        <v>23</v>
      </c>
      <c r="K4710" s="5">
        <v>209669</v>
      </c>
      <c r="L4710" s="5">
        <v>1524470</v>
      </c>
      <c r="M4710" s="5">
        <v>122473.47</v>
      </c>
      <c r="N4710" s="5">
        <v>9.2899999999999996E-2</v>
      </c>
      <c r="O4710" s="5">
        <v>1</v>
      </c>
      <c r="P4710" s="5">
        <v>16092</v>
      </c>
    </row>
    <row r="4711" spans="1:16" x14ac:dyDescent="0.3">
      <c r="A4711" s="5">
        <v>5</v>
      </c>
      <c r="B4711" s="5" t="s">
        <v>165</v>
      </c>
      <c r="C4711" s="5">
        <v>9</v>
      </c>
      <c r="D4711" s="5" t="s">
        <v>92</v>
      </c>
      <c r="E4711" s="5">
        <v>2021</v>
      </c>
      <c r="F4711" s="5">
        <v>2</v>
      </c>
      <c r="G4711" s="5" t="s">
        <v>23</v>
      </c>
      <c r="H4711" s="5">
        <v>1080707</v>
      </c>
      <c r="I4711" s="5">
        <v>925282.13</v>
      </c>
      <c r="J4711" s="5">
        <v>19</v>
      </c>
      <c r="K4711" s="5">
        <v>82311</v>
      </c>
      <c r="L4711" s="5">
        <v>1158200</v>
      </c>
      <c r="M4711" s="5">
        <v>155424.87</v>
      </c>
      <c r="N4711" s="5">
        <v>0.14380000000000001</v>
      </c>
      <c r="O4711" s="5">
        <v>2</v>
      </c>
      <c r="P4711" s="5">
        <v>32833</v>
      </c>
    </row>
    <row r="4712" spans="1:16" x14ac:dyDescent="0.3">
      <c r="A4712" s="5">
        <v>29</v>
      </c>
      <c r="B4712" s="5" t="s">
        <v>165</v>
      </c>
      <c r="C4712" s="5">
        <v>9</v>
      </c>
      <c r="D4712" s="5" t="s">
        <v>92</v>
      </c>
      <c r="E4712" s="5">
        <v>2021</v>
      </c>
      <c r="F4712" s="5">
        <v>2</v>
      </c>
      <c r="G4712" s="5" t="s">
        <v>23</v>
      </c>
      <c r="H4712" s="5">
        <v>1730370</v>
      </c>
      <c r="I4712" s="5">
        <v>1624753.34</v>
      </c>
      <c r="J4712" s="5">
        <v>23</v>
      </c>
      <c r="K4712" s="5">
        <v>349996</v>
      </c>
      <c r="L4712" s="5">
        <v>2074590</v>
      </c>
      <c r="M4712" s="5">
        <v>105616.66</v>
      </c>
      <c r="N4712" s="5">
        <v>6.0999999999999999E-2</v>
      </c>
      <c r="O4712" s="5">
        <v>1</v>
      </c>
      <c r="P4712" s="5">
        <v>52691</v>
      </c>
    </row>
    <row r="4713" spans="1:16" x14ac:dyDescent="0.3">
      <c r="A4713" s="5">
        <v>76</v>
      </c>
      <c r="B4713" s="5" t="s">
        <v>165</v>
      </c>
      <c r="C4713" s="5">
        <v>9</v>
      </c>
      <c r="D4713" s="5" t="s">
        <v>92</v>
      </c>
      <c r="E4713" s="5">
        <v>2021</v>
      </c>
      <c r="F4713" s="5">
        <v>2</v>
      </c>
      <c r="G4713" s="5" t="s">
        <v>23</v>
      </c>
      <c r="H4713" s="5">
        <v>1424378</v>
      </c>
      <c r="I4713" s="5">
        <v>1294353.3400000001</v>
      </c>
      <c r="J4713" s="5">
        <v>21</v>
      </c>
      <c r="K4713" s="5">
        <v>194923</v>
      </c>
      <c r="L4713" s="5">
        <v>1613460</v>
      </c>
      <c r="M4713" s="5">
        <v>130024.66</v>
      </c>
      <c r="N4713" s="5">
        <v>9.1300000000000006E-2</v>
      </c>
      <c r="O4713" s="5">
        <v>2</v>
      </c>
      <c r="P4713" s="5">
        <v>12297</v>
      </c>
    </row>
    <row r="4714" spans="1:16" x14ac:dyDescent="0.3">
      <c r="A4714" s="5">
        <v>5</v>
      </c>
      <c r="B4714" s="5" t="s">
        <v>165</v>
      </c>
      <c r="C4714" s="5">
        <v>9</v>
      </c>
      <c r="D4714" s="5" t="s">
        <v>92</v>
      </c>
      <c r="E4714" s="5">
        <v>2021</v>
      </c>
      <c r="F4714" s="5">
        <v>3</v>
      </c>
      <c r="G4714" s="5" t="s">
        <v>24</v>
      </c>
      <c r="H4714" s="5">
        <v>1202810</v>
      </c>
      <c r="I4714" s="5">
        <v>942154.48</v>
      </c>
      <c r="J4714" s="5">
        <v>24</v>
      </c>
      <c r="K4714" s="5">
        <v>70569</v>
      </c>
      <c r="L4714" s="5">
        <v>1270600</v>
      </c>
      <c r="M4714" s="5">
        <v>260655.52</v>
      </c>
      <c r="N4714" s="5">
        <v>0.2167</v>
      </c>
      <c r="O4714" s="5">
        <v>0</v>
      </c>
      <c r="P4714" s="5">
        <v>0</v>
      </c>
    </row>
    <row r="4715" spans="1:16" x14ac:dyDescent="0.3">
      <c r="A4715" s="5">
        <v>29</v>
      </c>
      <c r="B4715" s="5" t="s">
        <v>165</v>
      </c>
      <c r="C4715" s="5">
        <v>9</v>
      </c>
      <c r="D4715" s="5" t="s">
        <v>92</v>
      </c>
      <c r="E4715" s="5">
        <v>2021</v>
      </c>
      <c r="F4715" s="5">
        <v>3</v>
      </c>
      <c r="G4715" s="5" t="s">
        <v>24</v>
      </c>
      <c r="H4715" s="5">
        <v>1645441</v>
      </c>
      <c r="I4715" s="5">
        <v>1339234.31</v>
      </c>
      <c r="J4715" s="5">
        <v>21</v>
      </c>
      <c r="K4715" s="5">
        <v>115787</v>
      </c>
      <c r="L4715" s="5">
        <v>1753300</v>
      </c>
      <c r="M4715" s="5">
        <v>306206.69</v>
      </c>
      <c r="N4715" s="5">
        <v>0.18609999999999999</v>
      </c>
      <c r="O4715" s="5">
        <v>3</v>
      </c>
      <c r="P4715" s="5">
        <v>72225</v>
      </c>
    </row>
    <row r="4716" spans="1:16" x14ac:dyDescent="0.3">
      <c r="A4716" s="5">
        <v>76</v>
      </c>
      <c r="B4716" s="5" t="s">
        <v>165</v>
      </c>
      <c r="C4716" s="5">
        <v>9</v>
      </c>
      <c r="D4716" s="5" t="s">
        <v>92</v>
      </c>
      <c r="E4716" s="5">
        <v>2021</v>
      </c>
      <c r="F4716" s="5">
        <v>3</v>
      </c>
      <c r="G4716" s="5" t="s">
        <v>24</v>
      </c>
      <c r="H4716" s="5">
        <v>1526382</v>
      </c>
      <c r="I4716" s="5">
        <v>1405769.42</v>
      </c>
      <c r="J4716" s="5">
        <v>20</v>
      </c>
      <c r="K4716" s="5">
        <v>215125</v>
      </c>
      <c r="L4716" s="5">
        <v>1734820</v>
      </c>
      <c r="M4716" s="5">
        <v>120612.58</v>
      </c>
      <c r="N4716" s="5">
        <v>7.9000000000000001E-2</v>
      </c>
      <c r="O4716" s="5">
        <v>0</v>
      </c>
      <c r="P4716" s="5">
        <v>0</v>
      </c>
    </row>
    <row r="4717" spans="1:16" x14ac:dyDescent="0.3">
      <c r="A4717" s="5">
        <v>5</v>
      </c>
      <c r="B4717" s="5" t="s">
        <v>165</v>
      </c>
      <c r="C4717" s="5">
        <v>9</v>
      </c>
      <c r="D4717" s="5" t="s">
        <v>92</v>
      </c>
      <c r="E4717" s="5">
        <v>2021</v>
      </c>
      <c r="F4717" s="5">
        <v>4</v>
      </c>
      <c r="G4717" s="5" t="s">
        <v>25</v>
      </c>
      <c r="H4717" s="5">
        <v>1237384</v>
      </c>
      <c r="I4717" s="5">
        <v>1132084.3999999999</v>
      </c>
      <c r="J4717" s="5">
        <v>22</v>
      </c>
      <c r="K4717" s="5">
        <v>217772</v>
      </c>
      <c r="L4717" s="5">
        <v>1447670</v>
      </c>
      <c r="M4717" s="5">
        <v>105299.6</v>
      </c>
      <c r="N4717" s="5">
        <v>8.5099999999999995E-2</v>
      </c>
      <c r="O4717" s="5">
        <v>1</v>
      </c>
      <c r="P4717" s="5">
        <v>823</v>
      </c>
    </row>
    <row r="4718" spans="1:16" x14ac:dyDescent="0.3">
      <c r="A4718" s="5">
        <v>29</v>
      </c>
      <c r="B4718" s="5" t="s">
        <v>165</v>
      </c>
      <c r="C4718" s="5">
        <v>9</v>
      </c>
      <c r="D4718" s="5" t="s">
        <v>92</v>
      </c>
      <c r="E4718" s="5">
        <v>2021</v>
      </c>
      <c r="F4718" s="5">
        <v>4</v>
      </c>
      <c r="G4718" s="5" t="s">
        <v>25</v>
      </c>
      <c r="H4718" s="5">
        <v>1973539</v>
      </c>
      <c r="I4718" s="5">
        <v>1757750.78</v>
      </c>
      <c r="J4718" s="5">
        <v>22</v>
      </c>
      <c r="K4718" s="5">
        <v>241170</v>
      </c>
      <c r="L4718" s="5">
        <v>2202500</v>
      </c>
      <c r="M4718" s="5">
        <v>215788.22</v>
      </c>
      <c r="N4718" s="5">
        <v>0.10929999999999999</v>
      </c>
      <c r="O4718" s="5">
        <v>4</v>
      </c>
      <c r="P4718" s="5">
        <v>40128</v>
      </c>
    </row>
    <row r="4719" spans="1:16" x14ac:dyDescent="0.3">
      <c r="A4719" s="5">
        <v>76</v>
      </c>
      <c r="B4719" s="5" t="s">
        <v>165</v>
      </c>
      <c r="C4719" s="5">
        <v>9</v>
      </c>
      <c r="D4719" s="5" t="s">
        <v>92</v>
      </c>
      <c r="E4719" s="5">
        <v>2021</v>
      </c>
      <c r="F4719" s="5">
        <v>4</v>
      </c>
      <c r="G4719" s="5" t="s">
        <v>25</v>
      </c>
      <c r="H4719" s="5">
        <v>1429082</v>
      </c>
      <c r="I4719" s="5">
        <v>1276015.04</v>
      </c>
      <c r="J4719" s="5">
        <v>26</v>
      </c>
      <c r="K4719" s="5">
        <v>230405</v>
      </c>
      <c r="L4719" s="5">
        <v>1650860</v>
      </c>
      <c r="M4719" s="5">
        <v>153066.96</v>
      </c>
      <c r="N4719" s="5">
        <v>0.1071</v>
      </c>
      <c r="O4719" s="5">
        <v>1</v>
      </c>
      <c r="P4719" s="5">
        <v>4672</v>
      </c>
    </row>
    <row r="4720" spans="1:16" x14ac:dyDescent="0.3">
      <c r="A4720" s="5">
        <v>5</v>
      </c>
      <c r="B4720" s="5" t="s">
        <v>165</v>
      </c>
      <c r="C4720" s="5">
        <v>9</v>
      </c>
      <c r="D4720" s="5" t="s">
        <v>92</v>
      </c>
      <c r="E4720" s="5">
        <v>2021</v>
      </c>
      <c r="F4720" s="5">
        <v>5</v>
      </c>
      <c r="G4720" s="5" t="s">
        <v>26</v>
      </c>
      <c r="H4720" s="5">
        <v>1183500</v>
      </c>
      <c r="I4720" s="5">
        <v>1066738.1599999999</v>
      </c>
      <c r="J4720" s="5">
        <v>21</v>
      </c>
      <c r="K4720" s="5">
        <v>159886</v>
      </c>
      <c r="L4720" s="5">
        <v>1340850</v>
      </c>
      <c r="M4720" s="5">
        <v>116761.84</v>
      </c>
      <c r="N4720" s="5">
        <v>9.8699999999999996E-2</v>
      </c>
      <c r="O4720" s="5">
        <v>0</v>
      </c>
      <c r="P4720" s="5">
        <v>0</v>
      </c>
    </row>
    <row r="4721" spans="1:16" x14ac:dyDescent="0.3">
      <c r="A4721" s="5">
        <v>29</v>
      </c>
      <c r="B4721" s="5" t="s">
        <v>165</v>
      </c>
      <c r="C4721" s="5">
        <v>9</v>
      </c>
      <c r="D4721" s="5" t="s">
        <v>92</v>
      </c>
      <c r="E4721" s="5">
        <v>2021</v>
      </c>
      <c r="F4721" s="5">
        <v>5</v>
      </c>
      <c r="G4721" s="5" t="s">
        <v>26</v>
      </c>
      <c r="H4721" s="5">
        <v>2213584</v>
      </c>
      <c r="I4721" s="5">
        <v>1902914.77</v>
      </c>
      <c r="J4721" s="5">
        <v>29</v>
      </c>
      <c r="K4721" s="5">
        <v>217574</v>
      </c>
      <c r="L4721" s="5">
        <v>2421190</v>
      </c>
      <c r="M4721" s="5">
        <v>310669.23</v>
      </c>
      <c r="N4721" s="5">
        <v>0.14030000000000001</v>
      </c>
      <c r="O4721" s="5">
        <v>0</v>
      </c>
      <c r="P4721" s="5">
        <v>0</v>
      </c>
    </row>
    <row r="4722" spans="1:16" x14ac:dyDescent="0.3">
      <c r="A4722" s="5">
        <v>76</v>
      </c>
      <c r="B4722" s="5" t="s">
        <v>165</v>
      </c>
      <c r="C4722" s="5">
        <v>9</v>
      </c>
      <c r="D4722" s="5" t="s">
        <v>92</v>
      </c>
      <c r="E4722" s="5">
        <v>2021</v>
      </c>
      <c r="F4722" s="5">
        <v>5</v>
      </c>
      <c r="G4722" s="5" t="s">
        <v>26</v>
      </c>
      <c r="H4722" s="5">
        <v>1344242</v>
      </c>
      <c r="I4722" s="5">
        <v>1090155</v>
      </c>
      <c r="J4722" s="5">
        <v>24</v>
      </c>
      <c r="K4722" s="5">
        <v>112055</v>
      </c>
      <c r="L4722" s="5">
        <v>1447700</v>
      </c>
      <c r="M4722" s="5">
        <v>254087</v>
      </c>
      <c r="N4722" s="5">
        <v>0.189</v>
      </c>
      <c r="O4722" s="5">
        <v>2</v>
      </c>
      <c r="P4722" s="5">
        <v>110566</v>
      </c>
    </row>
    <row r="4723" spans="1:16" x14ac:dyDescent="0.3">
      <c r="A4723" s="5">
        <v>5</v>
      </c>
      <c r="B4723" s="5" t="s">
        <v>165</v>
      </c>
      <c r="C4723" s="5">
        <v>9</v>
      </c>
      <c r="D4723" s="5" t="s">
        <v>92</v>
      </c>
      <c r="E4723" s="5">
        <v>2021</v>
      </c>
      <c r="F4723" s="5">
        <v>6</v>
      </c>
      <c r="G4723" s="5" t="s">
        <v>27</v>
      </c>
      <c r="H4723" s="5">
        <v>825134</v>
      </c>
      <c r="I4723" s="5">
        <v>680381.09</v>
      </c>
      <c r="J4723" s="5">
        <v>21</v>
      </c>
      <c r="K4723" s="5">
        <v>63320</v>
      </c>
      <c r="L4723" s="5">
        <v>887450</v>
      </c>
      <c r="M4723" s="5">
        <v>144752.91</v>
      </c>
      <c r="N4723" s="5">
        <v>0.1754</v>
      </c>
      <c r="O4723" s="5">
        <v>4</v>
      </c>
      <c r="P4723" s="5">
        <v>111888</v>
      </c>
    </row>
    <row r="4724" spans="1:16" x14ac:dyDescent="0.3">
      <c r="A4724" s="5">
        <v>29</v>
      </c>
      <c r="B4724" s="5" t="s">
        <v>165</v>
      </c>
      <c r="C4724" s="5">
        <v>9</v>
      </c>
      <c r="D4724" s="5" t="s">
        <v>92</v>
      </c>
      <c r="E4724" s="5">
        <v>2021</v>
      </c>
      <c r="F4724" s="5">
        <v>6</v>
      </c>
      <c r="G4724" s="5" t="s">
        <v>27</v>
      </c>
      <c r="H4724" s="5">
        <v>1339880</v>
      </c>
      <c r="I4724" s="5">
        <v>1130559.5</v>
      </c>
      <c r="J4724" s="5">
        <v>22</v>
      </c>
      <c r="K4724" s="5">
        <v>95215</v>
      </c>
      <c r="L4724" s="5">
        <v>1424720</v>
      </c>
      <c r="M4724" s="5">
        <v>209320.5</v>
      </c>
      <c r="N4724" s="5">
        <v>0.15620000000000001</v>
      </c>
      <c r="O4724" s="5">
        <v>1</v>
      </c>
      <c r="P4724" s="5">
        <v>15174</v>
      </c>
    </row>
    <row r="4725" spans="1:16" x14ac:dyDescent="0.3">
      <c r="A4725" s="5">
        <v>76</v>
      </c>
      <c r="B4725" s="5" t="s">
        <v>165</v>
      </c>
      <c r="C4725" s="5">
        <v>9</v>
      </c>
      <c r="D4725" s="5" t="s">
        <v>92</v>
      </c>
      <c r="E4725" s="5">
        <v>2021</v>
      </c>
      <c r="F4725" s="5">
        <v>6</v>
      </c>
      <c r="G4725" s="5" t="s">
        <v>27</v>
      </c>
      <c r="H4725" s="5">
        <v>1539322</v>
      </c>
      <c r="I4725" s="5">
        <v>1328868.98</v>
      </c>
      <c r="J4725" s="5">
        <v>23</v>
      </c>
      <c r="K4725" s="5">
        <v>178858</v>
      </c>
      <c r="L4725" s="5">
        <v>1711540</v>
      </c>
      <c r="M4725" s="5">
        <v>210453.02</v>
      </c>
      <c r="N4725" s="5">
        <v>0.13669999999999999</v>
      </c>
      <c r="O4725" s="5">
        <v>3</v>
      </c>
      <c r="P4725" s="5">
        <v>183087</v>
      </c>
    </row>
    <row r="4726" spans="1:16" x14ac:dyDescent="0.3">
      <c r="A4726" s="5">
        <v>5</v>
      </c>
      <c r="B4726" s="5" t="s">
        <v>165</v>
      </c>
      <c r="C4726" s="5">
        <v>9</v>
      </c>
      <c r="D4726" s="5" t="s">
        <v>92</v>
      </c>
      <c r="E4726" s="5">
        <v>2021</v>
      </c>
      <c r="F4726" s="5">
        <v>7</v>
      </c>
      <c r="G4726" s="5" t="s">
        <v>28</v>
      </c>
      <c r="H4726" s="5">
        <v>1025814</v>
      </c>
      <c r="I4726" s="5">
        <v>853276.66</v>
      </c>
      <c r="J4726" s="5">
        <v>15</v>
      </c>
      <c r="K4726" s="5">
        <v>90051</v>
      </c>
      <c r="L4726" s="5">
        <v>1113510</v>
      </c>
      <c r="M4726" s="5">
        <v>172537.34</v>
      </c>
      <c r="N4726" s="5">
        <v>0.16819999999999999</v>
      </c>
      <c r="O4726" s="5">
        <v>0</v>
      </c>
      <c r="P4726" s="5">
        <v>0</v>
      </c>
    </row>
    <row r="4727" spans="1:16" x14ac:dyDescent="0.3">
      <c r="A4727" s="5">
        <v>29</v>
      </c>
      <c r="B4727" s="5" t="s">
        <v>165</v>
      </c>
      <c r="C4727" s="5">
        <v>9</v>
      </c>
      <c r="D4727" s="5" t="s">
        <v>92</v>
      </c>
      <c r="E4727" s="5">
        <v>2021</v>
      </c>
      <c r="F4727" s="5">
        <v>7</v>
      </c>
      <c r="G4727" s="5" t="s">
        <v>28</v>
      </c>
      <c r="H4727" s="5">
        <v>1294536</v>
      </c>
      <c r="I4727" s="5">
        <v>1122855.3600000001</v>
      </c>
      <c r="J4727" s="5">
        <v>21</v>
      </c>
      <c r="K4727" s="5">
        <v>185451</v>
      </c>
      <c r="L4727" s="5">
        <v>1476080</v>
      </c>
      <c r="M4727" s="5">
        <v>171680.64000000001</v>
      </c>
      <c r="N4727" s="5">
        <v>0.1326</v>
      </c>
      <c r="O4727" s="5">
        <v>1</v>
      </c>
      <c r="P4727" s="5">
        <v>40125</v>
      </c>
    </row>
    <row r="4728" spans="1:16" x14ac:dyDescent="0.3">
      <c r="A4728" s="5">
        <v>76</v>
      </c>
      <c r="B4728" s="5" t="s">
        <v>165</v>
      </c>
      <c r="C4728" s="5">
        <v>9</v>
      </c>
      <c r="D4728" s="5" t="s">
        <v>92</v>
      </c>
      <c r="E4728" s="5">
        <v>2021</v>
      </c>
      <c r="F4728" s="5">
        <v>7</v>
      </c>
      <c r="G4728" s="5" t="s">
        <v>28</v>
      </c>
      <c r="H4728" s="5">
        <v>1866921</v>
      </c>
      <c r="I4728" s="5">
        <v>1557625.46</v>
      </c>
      <c r="J4728" s="5">
        <v>28</v>
      </c>
      <c r="K4728" s="5">
        <v>194632</v>
      </c>
      <c r="L4728" s="5">
        <v>2055500</v>
      </c>
      <c r="M4728" s="5">
        <v>309295.53999999998</v>
      </c>
      <c r="N4728" s="5">
        <v>0.16569999999999999</v>
      </c>
      <c r="O4728" s="5">
        <v>4</v>
      </c>
      <c r="P4728" s="5">
        <v>183789</v>
      </c>
    </row>
    <row r="4729" spans="1:16" x14ac:dyDescent="0.3">
      <c r="A4729" s="5">
        <v>5</v>
      </c>
      <c r="B4729" s="5" t="s">
        <v>165</v>
      </c>
      <c r="C4729" s="5">
        <v>9</v>
      </c>
      <c r="D4729" s="5" t="s">
        <v>92</v>
      </c>
      <c r="E4729" s="5">
        <v>2021</v>
      </c>
      <c r="F4729" s="5">
        <v>8</v>
      </c>
      <c r="G4729" s="5" t="s">
        <v>29</v>
      </c>
      <c r="H4729" s="5">
        <v>2451937</v>
      </c>
      <c r="I4729" s="5">
        <v>2032266.24</v>
      </c>
      <c r="J4729" s="5">
        <v>23</v>
      </c>
      <c r="K4729" s="5">
        <v>166620</v>
      </c>
      <c r="L4729" s="5">
        <v>2602500</v>
      </c>
      <c r="M4729" s="5">
        <v>419670.76</v>
      </c>
      <c r="N4729" s="5">
        <v>0.17119999999999999</v>
      </c>
      <c r="O4729" s="5">
        <v>3</v>
      </c>
      <c r="P4729" s="5">
        <v>39590</v>
      </c>
    </row>
    <row r="4730" spans="1:16" x14ac:dyDescent="0.3">
      <c r="A4730" s="5">
        <v>29</v>
      </c>
      <c r="B4730" s="5" t="s">
        <v>165</v>
      </c>
      <c r="C4730" s="5">
        <v>9</v>
      </c>
      <c r="D4730" s="5" t="s">
        <v>92</v>
      </c>
      <c r="E4730" s="5">
        <v>2021</v>
      </c>
      <c r="F4730" s="5">
        <v>8</v>
      </c>
      <c r="G4730" s="5" t="s">
        <v>29</v>
      </c>
      <c r="H4730" s="5">
        <v>1198652</v>
      </c>
      <c r="I4730" s="5">
        <v>993706.62</v>
      </c>
      <c r="J4730" s="5">
        <v>19</v>
      </c>
      <c r="K4730" s="5">
        <v>107513</v>
      </c>
      <c r="L4730" s="5">
        <v>1304820</v>
      </c>
      <c r="M4730" s="5">
        <v>204945.38</v>
      </c>
      <c r="N4730" s="5">
        <v>0.17100000000000001</v>
      </c>
      <c r="O4730" s="5">
        <v>0</v>
      </c>
      <c r="P4730" s="5">
        <v>0</v>
      </c>
    </row>
    <row r="4731" spans="1:16" x14ac:dyDescent="0.3">
      <c r="A4731" s="5">
        <v>76</v>
      </c>
      <c r="B4731" s="5" t="s">
        <v>165</v>
      </c>
      <c r="C4731" s="5">
        <v>9</v>
      </c>
      <c r="D4731" s="5" t="s">
        <v>92</v>
      </c>
      <c r="E4731" s="5">
        <v>2021</v>
      </c>
      <c r="F4731" s="5">
        <v>8</v>
      </c>
      <c r="G4731" s="5" t="s">
        <v>29</v>
      </c>
      <c r="H4731" s="5">
        <v>2481481</v>
      </c>
      <c r="I4731" s="5">
        <v>2090834.58</v>
      </c>
      <c r="J4731" s="5">
        <v>23</v>
      </c>
      <c r="K4731" s="5">
        <v>157796</v>
      </c>
      <c r="L4731" s="5">
        <v>2622600</v>
      </c>
      <c r="M4731" s="5">
        <v>390646.42</v>
      </c>
      <c r="N4731" s="5">
        <v>0.15740000000000001</v>
      </c>
      <c r="O4731" s="5">
        <v>5</v>
      </c>
      <c r="P4731" s="5">
        <v>110724</v>
      </c>
    </row>
    <row r="4732" spans="1:16" x14ac:dyDescent="0.3">
      <c r="A4732" s="5">
        <v>5</v>
      </c>
      <c r="B4732" s="5" t="s">
        <v>165</v>
      </c>
      <c r="C4732" s="5">
        <v>9</v>
      </c>
      <c r="D4732" s="5" t="s">
        <v>92</v>
      </c>
      <c r="E4732" s="5">
        <v>2021</v>
      </c>
      <c r="F4732" s="5">
        <v>9</v>
      </c>
      <c r="G4732" s="5" t="s">
        <v>30</v>
      </c>
      <c r="H4732" s="5">
        <v>1621326</v>
      </c>
      <c r="I4732" s="5">
        <v>1489067.45</v>
      </c>
      <c r="J4732" s="5">
        <v>22</v>
      </c>
      <c r="K4732" s="5">
        <v>307927</v>
      </c>
      <c r="L4732" s="5">
        <v>1927100</v>
      </c>
      <c r="M4732" s="5">
        <v>132258.54999999999</v>
      </c>
      <c r="N4732" s="5">
        <v>8.1600000000000006E-2</v>
      </c>
      <c r="O4732" s="5">
        <v>0</v>
      </c>
      <c r="P4732" s="5">
        <v>0</v>
      </c>
    </row>
    <row r="4733" spans="1:16" x14ac:dyDescent="0.3">
      <c r="A4733" s="5">
        <v>29</v>
      </c>
      <c r="B4733" s="5" t="s">
        <v>165</v>
      </c>
      <c r="C4733" s="5">
        <v>9</v>
      </c>
      <c r="D4733" s="5" t="s">
        <v>92</v>
      </c>
      <c r="E4733" s="5">
        <v>2021</v>
      </c>
      <c r="F4733" s="5">
        <v>9</v>
      </c>
      <c r="G4733" s="5" t="s">
        <v>30</v>
      </c>
      <c r="H4733" s="5">
        <v>1484385</v>
      </c>
      <c r="I4733" s="5">
        <v>1232087.1599999999</v>
      </c>
      <c r="J4733" s="5">
        <v>25</v>
      </c>
      <c r="K4733" s="5">
        <v>163594</v>
      </c>
      <c r="L4733" s="5">
        <v>1644040</v>
      </c>
      <c r="M4733" s="5">
        <v>252297.84</v>
      </c>
      <c r="N4733" s="5">
        <v>0.17</v>
      </c>
      <c r="O4733" s="5">
        <v>4</v>
      </c>
      <c r="P4733" s="5">
        <v>89773</v>
      </c>
    </row>
    <row r="4734" spans="1:16" x14ac:dyDescent="0.3">
      <c r="A4734" s="5">
        <v>76</v>
      </c>
      <c r="B4734" s="5" t="s">
        <v>165</v>
      </c>
      <c r="C4734" s="5">
        <v>9</v>
      </c>
      <c r="D4734" s="5" t="s">
        <v>92</v>
      </c>
      <c r="E4734" s="5">
        <v>2021</v>
      </c>
      <c r="F4734" s="5">
        <v>9</v>
      </c>
      <c r="G4734" s="5" t="s">
        <v>30</v>
      </c>
      <c r="H4734" s="5">
        <v>2181265</v>
      </c>
      <c r="I4734" s="5">
        <v>1967312.46</v>
      </c>
      <c r="J4734" s="5">
        <v>33</v>
      </c>
      <c r="K4734" s="5">
        <v>427970</v>
      </c>
      <c r="L4734" s="5">
        <v>2605710</v>
      </c>
      <c r="M4734" s="5">
        <v>213952.54</v>
      </c>
      <c r="N4734" s="5">
        <v>9.8100000000000007E-2</v>
      </c>
      <c r="O4734" s="5">
        <v>1</v>
      </c>
      <c r="P4734" s="5">
        <v>4141</v>
      </c>
    </row>
    <row r="4735" spans="1:16" x14ac:dyDescent="0.3">
      <c r="A4735" s="5">
        <v>5</v>
      </c>
      <c r="B4735" s="5" t="s">
        <v>165</v>
      </c>
      <c r="C4735" s="5">
        <v>9</v>
      </c>
      <c r="D4735" s="5" t="s">
        <v>92</v>
      </c>
      <c r="E4735" s="5">
        <v>2021</v>
      </c>
      <c r="F4735" s="5">
        <v>10</v>
      </c>
      <c r="G4735" s="5" t="s">
        <v>31</v>
      </c>
      <c r="H4735" s="5">
        <v>2499181</v>
      </c>
      <c r="I4735" s="5">
        <v>2162191.7599999998</v>
      </c>
      <c r="J4735" s="5">
        <v>25</v>
      </c>
      <c r="K4735" s="5">
        <v>273106</v>
      </c>
      <c r="L4735" s="5">
        <v>2768870</v>
      </c>
      <c r="M4735" s="5">
        <v>336989.24</v>
      </c>
      <c r="N4735" s="5">
        <v>0.1348</v>
      </c>
      <c r="O4735" s="5">
        <v>0</v>
      </c>
      <c r="P4735" s="5">
        <v>0</v>
      </c>
    </row>
    <row r="4736" spans="1:16" x14ac:dyDescent="0.3">
      <c r="A4736" s="5">
        <v>29</v>
      </c>
      <c r="B4736" s="5" t="s">
        <v>165</v>
      </c>
      <c r="C4736" s="5">
        <v>9</v>
      </c>
      <c r="D4736" s="5" t="s">
        <v>92</v>
      </c>
      <c r="E4736" s="5">
        <v>2021</v>
      </c>
      <c r="F4736" s="5">
        <v>10</v>
      </c>
      <c r="G4736" s="5" t="s">
        <v>31</v>
      </c>
      <c r="H4736" s="5">
        <v>3760946</v>
      </c>
      <c r="I4736" s="5">
        <v>3254287.49</v>
      </c>
      <c r="J4736" s="5">
        <v>43</v>
      </c>
      <c r="K4736" s="5">
        <v>422588</v>
      </c>
      <c r="L4736" s="5">
        <v>4172490</v>
      </c>
      <c r="M4736" s="5">
        <v>506658.51</v>
      </c>
      <c r="N4736" s="5">
        <v>0.13469999999999999</v>
      </c>
      <c r="O4736" s="5">
        <v>4</v>
      </c>
      <c r="P4736" s="5">
        <v>166530</v>
      </c>
    </row>
    <row r="4737" spans="1:16" x14ac:dyDescent="0.3">
      <c r="A4737" s="5">
        <v>76</v>
      </c>
      <c r="B4737" s="5" t="s">
        <v>165</v>
      </c>
      <c r="C4737" s="5">
        <v>9</v>
      </c>
      <c r="D4737" s="5" t="s">
        <v>92</v>
      </c>
      <c r="E4737" s="5">
        <v>2021</v>
      </c>
      <c r="F4737" s="5">
        <v>10</v>
      </c>
      <c r="G4737" s="5" t="s">
        <v>31</v>
      </c>
      <c r="H4737" s="5">
        <v>2619092</v>
      </c>
      <c r="I4737" s="5">
        <v>2189675.94</v>
      </c>
      <c r="J4737" s="5">
        <v>42</v>
      </c>
      <c r="K4737" s="5">
        <v>244105</v>
      </c>
      <c r="L4737" s="5">
        <v>2848700</v>
      </c>
      <c r="M4737" s="5">
        <v>429416.06</v>
      </c>
      <c r="N4737" s="5">
        <v>0.16400000000000001</v>
      </c>
      <c r="O4737" s="5">
        <v>1</v>
      </c>
      <c r="P4737" s="5">
        <v>6012</v>
      </c>
    </row>
    <row r="4738" spans="1:16" x14ac:dyDescent="0.3">
      <c r="A4738" s="5">
        <v>5</v>
      </c>
      <c r="B4738" s="5" t="s">
        <v>165</v>
      </c>
      <c r="C4738" s="5">
        <v>9</v>
      </c>
      <c r="D4738" s="5" t="s">
        <v>92</v>
      </c>
      <c r="E4738" s="5">
        <v>2021</v>
      </c>
      <c r="F4738" s="5">
        <v>11</v>
      </c>
      <c r="G4738" s="5" t="s">
        <v>32</v>
      </c>
      <c r="H4738" s="5">
        <v>1588256</v>
      </c>
      <c r="I4738" s="5">
        <v>1255053.3899999999</v>
      </c>
      <c r="J4738" s="5">
        <v>32</v>
      </c>
      <c r="K4738" s="5">
        <v>59052</v>
      </c>
      <c r="L4738" s="5">
        <v>1635490</v>
      </c>
      <c r="M4738" s="5">
        <v>333202.61</v>
      </c>
      <c r="N4738" s="5">
        <v>0.20979999999999999</v>
      </c>
      <c r="O4738" s="5">
        <v>4</v>
      </c>
      <c r="P4738" s="5">
        <v>110042</v>
      </c>
    </row>
    <row r="4739" spans="1:16" x14ac:dyDescent="0.3">
      <c r="A4739" s="5">
        <v>29</v>
      </c>
      <c r="B4739" s="5" t="s">
        <v>165</v>
      </c>
      <c r="C4739" s="5">
        <v>9</v>
      </c>
      <c r="D4739" s="5" t="s">
        <v>92</v>
      </c>
      <c r="E4739" s="5">
        <v>2021</v>
      </c>
      <c r="F4739" s="5">
        <v>11</v>
      </c>
      <c r="G4739" s="5" t="s">
        <v>32</v>
      </c>
      <c r="H4739" s="5">
        <v>1109785</v>
      </c>
      <c r="I4739" s="5">
        <v>904510.55</v>
      </c>
      <c r="J4739" s="5">
        <v>30</v>
      </c>
      <c r="K4739" s="5">
        <v>89780</v>
      </c>
      <c r="L4739" s="5">
        <v>1195040</v>
      </c>
      <c r="M4739" s="5">
        <v>205274.45</v>
      </c>
      <c r="N4739" s="5">
        <v>0.185</v>
      </c>
      <c r="O4739" s="5">
        <v>4</v>
      </c>
      <c r="P4739" s="5">
        <v>116382</v>
      </c>
    </row>
    <row r="4740" spans="1:16" x14ac:dyDescent="0.3">
      <c r="A4740" s="5">
        <v>76</v>
      </c>
      <c r="B4740" s="5" t="s">
        <v>165</v>
      </c>
      <c r="C4740" s="5">
        <v>9</v>
      </c>
      <c r="D4740" s="5" t="s">
        <v>92</v>
      </c>
      <c r="E4740" s="5">
        <v>2021</v>
      </c>
      <c r="F4740" s="5">
        <v>11</v>
      </c>
      <c r="G4740" s="5" t="s">
        <v>32</v>
      </c>
      <c r="H4740" s="5">
        <v>3446662</v>
      </c>
      <c r="I4740" s="5">
        <v>2782448.58</v>
      </c>
      <c r="J4740" s="5">
        <v>41</v>
      </c>
      <c r="K4740" s="5">
        <v>203965</v>
      </c>
      <c r="L4740" s="5">
        <v>3631120</v>
      </c>
      <c r="M4740" s="5">
        <v>664213.42000000004</v>
      </c>
      <c r="N4740" s="5">
        <v>0.19270000000000001</v>
      </c>
      <c r="O4740" s="5">
        <v>1</v>
      </c>
      <c r="P4740" s="5">
        <v>10117</v>
      </c>
    </row>
    <row r="4741" spans="1:16" x14ac:dyDescent="0.3">
      <c r="A4741" s="5">
        <v>5</v>
      </c>
      <c r="B4741" s="5" t="s">
        <v>165</v>
      </c>
      <c r="C4741" s="5">
        <v>9</v>
      </c>
      <c r="D4741" s="5" t="s">
        <v>92</v>
      </c>
      <c r="E4741" s="5">
        <v>2021</v>
      </c>
      <c r="F4741" s="5">
        <v>12</v>
      </c>
      <c r="G4741" s="5" t="s">
        <v>33</v>
      </c>
      <c r="H4741" s="5">
        <v>1371586</v>
      </c>
      <c r="I4741" s="5">
        <v>1173178.08</v>
      </c>
      <c r="J4741" s="5">
        <v>25</v>
      </c>
      <c r="K4741" s="5">
        <v>113109</v>
      </c>
      <c r="L4741" s="5">
        <v>1478300</v>
      </c>
      <c r="M4741" s="5">
        <v>198407.92</v>
      </c>
      <c r="N4741" s="5">
        <v>0.1447</v>
      </c>
      <c r="O4741" s="5">
        <v>0</v>
      </c>
      <c r="P4741" s="5">
        <v>0</v>
      </c>
    </row>
    <row r="4742" spans="1:16" x14ac:dyDescent="0.3">
      <c r="A4742" s="5">
        <v>29</v>
      </c>
      <c r="B4742" s="5" t="s">
        <v>165</v>
      </c>
      <c r="C4742" s="5">
        <v>9</v>
      </c>
      <c r="D4742" s="5" t="s">
        <v>92</v>
      </c>
      <c r="E4742" s="5">
        <v>2021</v>
      </c>
      <c r="F4742" s="5">
        <v>12</v>
      </c>
      <c r="G4742" s="5" t="s">
        <v>33</v>
      </c>
      <c r="H4742" s="5">
        <v>2174516</v>
      </c>
      <c r="I4742" s="5">
        <v>1828228.48</v>
      </c>
      <c r="J4742" s="5">
        <v>31</v>
      </c>
      <c r="K4742" s="5">
        <v>184388</v>
      </c>
      <c r="L4742" s="5">
        <v>2355830</v>
      </c>
      <c r="M4742" s="5">
        <v>346287.52</v>
      </c>
      <c r="N4742" s="5">
        <v>0.15920000000000001</v>
      </c>
      <c r="O4742" s="5">
        <v>3</v>
      </c>
      <c r="P4742" s="5">
        <v>109786</v>
      </c>
    </row>
    <row r="4743" spans="1:16" x14ac:dyDescent="0.3">
      <c r="A4743" s="5">
        <v>76</v>
      </c>
      <c r="B4743" s="5" t="s">
        <v>165</v>
      </c>
      <c r="C4743" s="5">
        <v>9</v>
      </c>
      <c r="D4743" s="5" t="s">
        <v>92</v>
      </c>
      <c r="E4743" s="5">
        <v>2021</v>
      </c>
      <c r="F4743" s="5">
        <v>12</v>
      </c>
      <c r="G4743" s="5" t="s">
        <v>33</v>
      </c>
      <c r="H4743" s="5">
        <v>2568206</v>
      </c>
      <c r="I4743" s="5">
        <v>2306894.09</v>
      </c>
      <c r="J4743" s="5">
        <v>33</v>
      </c>
      <c r="K4743" s="5">
        <v>326931</v>
      </c>
      <c r="L4743" s="5">
        <v>2890800</v>
      </c>
      <c r="M4743" s="5">
        <v>261311.91</v>
      </c>
      <c r="N4743" s="5">
        <v>0.1017</v>
      </c>
      <c r="O4743" s="5">
        <v>4</v>
      </c>
      <c r="P4743" s="5">
        <v>152493</v>
      </c>
    </row>
    <row r="4744" spans="1:16" x14ac:dyDescent="0.3">
      <c r="A4744" s="5">
        <v>5</v>
      </c>
      <c r="B4744" s="5" t="s">
        <v>165</v>
      </c>
      <c r="C4744" s="5">
        <v>9</v>
      </c>
      <c r="D4744" s="5" t="s">
        <v>92</v>
      </c>
      <c r="E4744" s="5">
        <v>2022</v>
      </c>
      <c r="F4744" s="5">
        <v>1</v>
      </c>
      <c r="G4744" s="5" t="s">
        <v>34</v>
      </c>
      <c r="H4744" s="5">
        <v>1833731</v>
      </c>
      <c r="I4744" s="5">
        <v>1614701.11</v>
      </c>
      <c r="J4744" s="5">
        <v>26</v>
      </c>
      <c r="K4744" s="5">
        <v>215871</v>
      </c>
      <c r="L4744" s="5">
        <v>2042020</v>
      </c>
      <c r="M4744" s="5">
        <v>219029.89</v>
      </c>
      <c r="N4744" s="5">
        <v>0.11940000000000001</v>
      </c>
      <c r="O4744" s="5">
        <v>0</v>
      </c>
      <c r="P4744" s="5">
        <v>0</v>
      </c>
    </row>
    <row r="4745" spans="1:16" x14ac:dyDescent="0.3">
      <c r="A4745" s="5">
        <v>29</v>
      </c>
      <c r="B4745" s="5" t="s">
        <v>165</v>
      </c>
      <c r="C4745" s="5">
        <v>9</v>
      </c>
      <c r="D4745" s="5" t="s">
        <v>92</v>
      </c>
      <c r="E4745" s="5">
        <v>2022</v>
      </c>
      <c r="F4745" s="5">
        <v>1</v>
      </c>
      <c r="G4745" s="5" t="s">
        <v>34</v>
      </c>
      <c r="H4745" s="5">
        <v>1573713</v>
      </c>
      <c r="I4745" s="5">
        <v>1275395.82</v>
      </c>
      <c r="J4745" s="5">
        <v>23</v>
      </c>
      <c r="K4745" s="5">
        <v>104963</v>
      </c>
      <c r="L4745" s="5">
        <v>1674910</v>
      </c>
      <c r="M4745" s="5">
        <v>298317.18</v>
      </c>
      <c r="N4745" s="5">
        <v>0.18959999999999999</v>
      </c>
      <c r="O4745" s="5">
        <v>1</v>
      </c>
      <c r="P4745" s="5">
        <v>42165</v>
      </c>
    </row>
    <row r="4746" spans="1:16" x14ac:dyDescent="0.3">
      <c r="A4746" s="5">
        <v>76</v>
      </c>
      <c r="B4746" s="5" t="s">
        <v>165</v>
      </c>
      <c r="C4746" s="5">
        <v>9</v>
      </c>
      <c r="D4746" s="5" t="s">
        <v>92</v>
      </c>
      <c r="E4746" s="5">
        <v>2022</v>
      </c>
      <c r="F4746" s="5">
        <v>1</v>
      </c>
      <c r="G4746" s="5" t="s">
        <v>34</v>
      </c>
      <c r="H4746" s="5">
        <v>2899409</v>
      </c>
      <c r="I4746" s="5">
        <v>2478139.79</v>
      </c>
      <c r="J4746" s="5">
        <v>34</v>
      </c>
      <c r="K4746" s="5">
        <v>270532</v>
      </c>
      <c r="L4746" s="5">
        <v>3159900</v>
      </c>
      <c r="M4746" s="5">
        <v>421269.21</v>
      </c>
      <c r="N4746" s="5">
        <v>0.14530000000000001</v>
      </c>
      <c r="O4746" s="5">
        <v>3</v>
      </c>
      <c r="P4746" s="5">
        <v>23742</v>
      </c>
    </row>
    <row r="4747" spans="1:16" x14ac:dyDescent="0.3">
      <c r="A4747" s="5">
        <v>5</v>
      </c>
      <c r="B4747" s="5" t="s">
        <v>165</v>
      </c>
      <c r="C4747" s="5">
        <v>9</v>
      </c>
      <c r="D4747" s="5" t="s">
        <v>92</v>
      </c>
      <c r="E4747" s="5">
        <v>2022</v>
      </c>
      <c r="F4747" s="5">
        <v>2</v>
      </c>
      <c r="G4747" s="5" t="s">
        <v>35</v>
      </c>
      <c r="H4747" s="5">
        <v>1520180</v>
      </c>
      <c r="I4747" s="5">
        <v>1243385.5</v>
      </c>
      <c r="J4747" s="5">
        <v>26</v>
      </c>
      <c r="K4747" s="5">
        <v>57429</v>
      </c>
      <c r="L4747" s="5">
        <v>1570020</v>
      </c>
      <c r="M4747" s="5">
        <v>276794.5</v>
      </c>
      <c r="N4747" s="5">
        <v>0.18210000000000001</v>
      </c>
      <c r="O4747" s="5">
        <v>2</v>
      </c>
      <c r="P4747" s="5">
        <v>14468</v>
      </c>
    </row>
    <row r="4748" spans="1:16" x14ac:dyDescent="0.3">
      <c r="A4748" s="5">
        <v>29</v>
      </c>
      <c r="B4748" s="5" t="s">
        <v>165</v>
      </c>
      <c r="C4748" s="5">
        <v>9</v>
      </c>
      <c r="D4748" s="5" t="s">
        <v>92</v>
      </c>
      <c r="E4748" s="5">
        <v>2022</v>
      </c>
      <c r="F4748" s="5">
        <v>2</v>
      </c>
      <c r="G4748" s="5" t="s">
        <v>35</v>
      </c>
      <c r="H4748" s="5">
        <v>1354493</v>
      </c>
      <c r="I4748" s="5">
        <v>1063440.6299999999</v>
      </c>
      <c r="J4748" s="5">
        <v>20</v>
      </c>
      <c r="K4748" s="5">
        <v>41888</v>
      </c>
      <c r="L4748" s="5">
        <v>1381000</v>
      </c>
      <c r="M4748" s="5">
        <v>291052.37</v>
      </c>
      <c r="N4748" s="5">
        <v>0.21490000000000001</v>
      </c>
      <c r="O4748" s="5">
        <v>1</v>
      </c>
      <c r="P4748" s="5">
        <v>48512</v>
      </c>
    </row>
    <row r="4749" spans="1:16" x14ac:dyDescent="0.3">
      <c r="A4749" s="5">
        <v>76</v>
      </c>
      <c r="B4749" s="5" t="s">
        <v>165</v>
      </c>
      <c r="C4749" s="5">
        <v>9</v>
      </c>
      <c r="D4749" s="5" t="s">
        <v>92</v>
      </c>
      <c r="E4749" s="5">
        <v>2022</v>
      </c>
      <c r="F4749" s="5">
        <v>2</v>
      </c>
      <c r="G4749" s="5" t="s">
        <v>35</v>
      </c>
      <c r="H4749" s="5">
        <v>1073667</v>
      </c>
      <c r="I4749" s="5">
        <v>860987.66</v>
      </c>
      <c r="J4749" s="5">
        <v>29</v>
      </c>
      <c r="K4749" s="5">
        <v>78834</v>
      </c>
      <c r="L4749" s="5">
        <v>1147280</v>
      </c>
      <c r="M4749" s="5">
        <v>212679.34</v>
      </c>
      <c r="N4749" s="5">
        <v>0.1981</v>
      </c>
      <c r="O4749" s="5">
        <v>2</v>
      </c>
      <c r="P4749" s="5">
        <v>14659</v>
      </c>
    </row>
    <row r="4750" spans="1:16" x14ac:dyDescent="0.3">
      <c r="A4750" s="5">
        <v>5</v>
      </c>
      <c r="B4750" s="5" t="s">
        <v>165</v>
      </c>
      <c r="C4750" s="5">
        <v>9</v>
      </c>
      <c r="D4750" s="5" t="s">
        <v>92</v>
      </c>
      <c r="E4750" s="5">
        <v>2022</v>
      </c>
      <c r="F4750" s="5">
        <v>3</v>
      </c>
      <c r="G4750" s="5" t="s">
        <v>36</v>
      </c>
      <c r="H4750" s="5">
        <v>1047789</v>
      </c>
      <c r="I4750" s="5">
        <v>826973.86</v>
      </c>
      <c r="J4750" s="5">
        <v>22</v>
      </c>
      <c r="K4750" s="5">
        <v>28669</v>
      </c>
      <c r="L4750" s="5">
        <v>1069620</v>
      </c>
      <c r="M4750" s="5">
        <v>220815.14</v>
      </c>
      <c r="N4750" s="5">
        <v>0.2107</v>
      </c>
      <c r="O4750" s="5">
        <v>4</v>
      </c>
      <c r="P4750" s="5">
        <v>206196</v>
      </c>
    </row>
    <row r="4751" spans="1:16" x14ac:dyDescent="0.3">
      <c r="A4751" s="5">
        <v>29</v>
      </c>
      <c r="B4751" s="5" t="s">
        <v>165</v>
      </c>
      <c r="C4751" s="5">
        <v>9</v>
      </c>
      <c r="D4751" s="5" t="s">
        <v>92</v>
      </c>
      <c r="E4751" s="5">
        <v>2022</v>
      </c>
      <c r="F4751" s="5">
        <v>3</v>
      </c>
      <c r="G4751" s="5" t="s">
        <v>36</v>
      </c>
      <c r="H4751" s="5">
        <v>2397467</v>
      </c>
      <c r="I4751" s="5">
        <v>1926709.36</v>
      </c>
      <c r="J4751" s="5">
        <v>35</v>
      </c>
      <c r="K4751" s="5">
        <v>123702</v>
      </c>
      <c r="L4751" s="5">
        <v>2514450</v>
      </c>
      <c r="M4751" s="5">
        <v>470757.64</v>
      </c>
      <c r="N4751" s="5">
        <v>0.19639999999999999</v>
      </c>
      <c r="O4751" s="5">
        <v>5</v>
      </c>
      <c r="P4751" s="5">
        <v>239927</v>
      </c>
    </row>
    <row r="4752" spans="1:16" x14ac:dyDescent="0.3">
      <c r="A4752" s="5">
        <v>76</v>
      </c>
      <c r="B4752" s="5" t="s">
        <v>165</v>
      </c>
      <c r="C4752" s="5">
        <v>9</v>
      </c>
      <c r="D4752" s="5" t="s">
        <v>92</v>
      </c>
      <c r="E4752" s="5">
        <v>2022</v>
      </c>
      <c r="F4752" s="5">
        <v>3</v>
      </c>
      <c r="G4752" s="5" t="s">
        <v>36</v>
      </c>
      <c r="H4752" s="5">
        <v>2421109</v>
      </c>
      <c r="I4752" s="5">
        <v>2006855.87</v>
      </c>
      <c r="J4752" s="5">
        <v>37</v>
      </c>
      <c r="K4752" s="5">
        <v>161285</v>
      </c>
      <c r="L4752" s="5">
        <v>2571640</v>
      </c>
      <c r="M4752" s="5">
        <v>414253.13</v>
      </c>
      <c r="N4752" s="5">
        <v>0.1711</v>
      </c>
      <c r="O4752" s="5">
        <v>2</v>
      </c>
      <c r="P4752" s="5">
        <v>80811</v>
      </c>
    </row>
    <row r="4753" spans="1:16" x14ac:dyDescent="0.3">
      <c r="A4753" s="5">
        <v>5</v>
      </c>
      <c r="B4753" s="5" t="s">
        <v>165</v>
      </c>
      <c r="C4753" s="5">
        <v>9</v>
      </c>
      <c r="D4753" s="5" t="s">
        <v>92</v>
      </c>
      <c r="E4753" s="5">
        <v>2022</v>
      </c>
      <c r="F4753" s="5">
        <v>4</v>
      </c>
      <c r="G4753" s="5" t="s">
        <v>37</v>
      </c>
      <c r="H4753" s="5">
        <v>2218283</v>
      </c>
      <c r="I4753" s="5">
        <v>1802405.43</v>
      </c>
      <c r="J4753" s="5">
        <v>26</v>
      </c>
      <c r="K4753" s="5">
        <v>107422</v>
      </c>
      <c r="L4753" s="5">
        <v>2308130</v>
      </c>
      <c r="M4753" s="5">
        <v>415877.57</v>
      </c>
      <c r="N4753" s="5">
        <v>0.1875</v>
      </c>
      <c r="O4753" s="5">
        <v>3</v>
      </c>
      <c r="P4753" s="5">
        <v>138500</v>
      </c>
    </row>
    <row r="4754" spans="1:16" x14ac:dyDescent="0.3">
      <c r="A4754" s="5">
        <v>29</v>
      </c>
      <c r="B4754" s="5" t="s">
        <v>165</v>
      </c>
      <c r="C4754" s="5">
        <v>9</v>
      </c>
      <c r="D4754" s="5" t="s">
        <v>92</v>
      </c>
      <c r="E4754" s="5">
        <v>2022</v>
      </c>
      <c r="F4754" s="5">
        <v>4</v>
      </c>
      <c r="G4754" s="5" t="s">
        <v>37</v>
      </c>
      <c r="H4754" s="5">
        <v>2224790</v>
      </c>
      <c r="I4754" s="5">
        <v>1996948.62</v>
      </c>
      <c r="J4754" s="5">
        <v>28</v>
      </c>
      <c r="K4754" s="5">
        <v>375270</v>
      </c>
      <c r="L4754" s="5">
        <v>2596010</v>
      </c>
      <c r="M4754" s="5">
        <v>227841.38</v>
      </c>
      <c r="N4754" s="5">
        <v>0.1024</v>
      </c>
      <c r="O4754" s="5">
        <v>2</v>
      </c>
      <c r="P4754" s="5">
        <v>113775</v>
      </c>
    </row>
    <row r="4755" spans="1:16" x14ac:dyDescent="0.3">
      <c r="A4755" s="5">
        <v>76</v>
      </c>
      <c r="B4755" s="5" t="s">
        <v>165</v>
      </c>
      <c r="C4755" s="5">
        <v>9</v>
      </c>
      <c r="D4755" s="5" t="s">
        <v>92</v>
      </c>
      <c r="E4755" s="5">
        <v>2022</v>
      </c>
      <c r="F4755" s="5">
        <v>4</v>
      </c>
      <c r="G4755" s="5" t="s">
        <v>37</v>
      </c>
      <c r="H4755" s="5">
        <v>1574798</v>
      </c>
      <c r="I4755" s="5">
        <v>1275599.92</v>
      </c>
      <c r="J4755" s="5">
        <v>26</v>
      </c>
      <c r="K4755" s="5">
        <v>66050</v>
      </c>
      <c r="L4755" s="5">
        <v>1629400</v>
      </c>
      <c r="M4755" s="5">
        <v>299198.08000000002</v>
      </c>
      <c r="N4755" s="5">
        <v>0.19</v>
      </c>
      <c r="O4755" s="5">
        <v>2</v>
      </c>
      <c r="P4755" s="5">
        <v>11863</v>
      </c>
    </row>
    <row r="4756" spans="1:16" x14ac:dyDescent="0.3">
      <c r="A4756" s="5">
        <v>5</v>
      </c>
      <c r="B4756" s="5" t="s">
        <v>165</v>
      </c>
      <c r="C4756" s="5">
        <v>9</v>
      </c>
      <c r="D4756" s="5" t="s">
        <v>92</v>
      </c>
      <c r="E4756" s="5">
        <v>2022</v>
      </c>
      <c r="F4756" s="5">
        <v>5</v>
      </c>
      <c r="G4756" s="5" t="s">
        <v>38</v>
      </c>
      <c r="H4756" s="5">
        <v>2254218</v>
      </c>
      <c r="I4756" s="5">
        <v>1933728.07</v>
      </c>
      <c r="J4756" s="5">
        <v>34</v>
      </c>
      <c r="K4756" s="5">
        <v>221334</v>
      </c>
      <c r="L4756" s="5">
        <v>2472040</v>
      </c>
      <c r="M4756" s="5">
        <v>320489.93</v>
      </c>
      <c r="N4756" s="5">
        <v>0.14219999999999999</v>
      </c>
      <c r="O4756" s="5">
        <v>2</v>
      </c>
      <c r="P4756" s="5">
        <v>53623</v>
      </c>
    </row>
    <row r="4757" spans="1:16" x14ac:dyDescent="0.3">
      <c r="A4757" s="5">
        <v>29</v>
      </c>
      <c r="B4757" s="5" t="s">
        <v>165</v>
      </c>
      <c r="C4757" s="5">
        <v>9</v>
      </c>
      <c r="D4757" s="5" t="s">
        <v>92</v>
      </c>
      <c r="E4757" s="5">
        <v>2022</v>
      </c>
      <c r="F4757" s="5">
        <v>5</v>
      </c>
      <c r="G4757" s="5" t="s">
        <v>38</v>
      </c>
      <c r="H4757" s="5">
        <v>2825516</v>
      </c>
      <c r="I4757" s="5">
        <v>2421394.92</v>
      </c>
      <c r="J4757" s="5">
        <v>27</v>
      </c>
      <c r="K4757" s="5">
        <v>297755</v>
      </c>
      <c r="L4757" s="5">
        <v>3117420</v>
      </c>
      <c r="M4757" s="5">
        <v>404121.08</v>
      </c>
      <c r="N4757" s="5">
        <v>0.14299999999999999</v>
      </c>
      <c r="O4757" s="5">
        <v>2</v>
      </c>
      <c r="P4757" s="5">
        <v>14311</v>
      </c>
    </row>
    <row r="4758" spans="1:16" x14ac:dyDescent="0.3">
      <c r="A4758" s="5">
        <v>76</v>
      </c>
      <c r="B4758" s="5" t="s">
        <v>165</v>
      </c>
      <c r="C4758" s="5">
        <v>9</v>
      </c>
      <c r="D4758" s="5" t="s">
        <v>92</v>
      </c>
      <c r="E4758" s="5">
        <v>2022</v>
      </c>
      <c r="F4758" s="5">
        <v>5</v>
      </c>
      <c r="G4758" s="5" t="s">
        <v>38</v>
      </c>
      <c r="H4758" s="5">
        <v>1576796</v>
      </c>
      <c r="I4758" s="5">
        <v>1348750.11</v>
      </c>
      <c r="J4758" s="5">
        <v>40</v>
      </c>
      <c r="K4758" s="5">
        <v>175356</v>
      </c>
      <c r="L4758" s="5">
        <v>1747830</v>
      </c>
      <c r="M4758" s="5">
        <v>228045.89</v>
      </c>
      <c r="N4758" s="5">
        <v>0.14460000000000001</v>
      </c>
      <c r="O4758" s="5">
        <v>3</v>
      </c>
      <c r="P4758" s="5">
        <v>241859</v>
      </c>
    </row>
    <row r="4759" spans="1:16" x14ac:dyDescent="0.3">
      <c r="A4759" s="5">
        <v>5</v>
      </c>
      <c r="B4759" s="5" t="s">
        <v>165</v>
      </c>
      <c r="C4759" s="5">
        <v>9</v>
      </c>
      <c r="D4759" s="5" t="s">
        <v>92</v>
      </c>
      <c r="E4759" s="5">
        <v>2022</v>
      </c>
      <c r="F4759" s="5">
        <v>6</v>
      </c>
      <c r="G4759" s="5" t="s">
        <v>39</v>
      </c>
      <c r="H4759" s="5">
        <v>2844930</v>
      </c>
      <c r="I4759" s="5">
        <v>2390472.61</v>
      </c>
      <c r="J4759" s="5">
        <v>29</v>
      </c>
      <c r="K4759" s="5">
        <v>224571</v>
      </c>
      <c r="L4759" s="5">
        <v>3060050</v>
      </c>
      <c r="M4759" s="5">
        <v>454457.39</v>
      </c>
      <c r="N4759" s="5">
        <v>0.15970000000000001</v>
      </c>
      <c r="O4759" s="5">
        <v>1</v>
      </c>
      <c r="P4759" s="5">
        <v>3452</v>
      </c>
    </row>
    <row r="4760" spans="1:16" x14ac:dyDescent="0.3">
      <c r="A4760" s="5">
        <v>29</v>
      </c>
      <c r="B4760" s="5" t="s">
        <v>165</v>
      </c>
      <c r="C4760" s="5">
        <v>9</v>
      </c>
      <c r="D4760" s="5" t="s">
        <v>92</v>
      </c>
      <c r="E4760" s="5">
        <v>2022</v>
      </c>
      <c r="F4760" s="5">
        <v>6</v>
      </c>
      <c r="G4760" s="5" t="s">
        <v>39</v>
      </c>
      <c r="H4760" s="5">
        <v>2637332</v>
      </c>
      <c r="I4760" s="5">
        <v>2267236.1</v>
      </c>
      <c r="J4760" s="5">
        <v>37</v>
      </c>
      <c r="K4760" s="5">
        <v>300488</v>
      </c>
      <c r="L4760" s="5">
        <v>2931580</v>
      </c>
      <c r="M4760" s="5">
        <v>370095.9</v>
      </c>
      <c r="N4760" s="5">
        <v>0.14030000000000001</v>
      </c>
      <c r="O4760" s="5">
        <v>4</v>
      </c>
      <c r="P4760" s="5">
        <v>312318</v>
      </c>
    </row>
    <row r="4761" spans="1:16" x14ac:dyDescent="0.3">
      <c r="A4761" s="5">
        <v>76</v>
      </c>
      <c r="B4761" s="5" t="s">
        <v>165</v>
      </c>
      <c r="C4761" s="5">
        <v>9</v>
      </c>
      <c r="D4761" s="5" t="s">
        <v>92</v>
      </c>
      <c r="E4761" s="5">
        <v>2022</v>
      </c>
      <c r="F4761" s="5">
        <v>6</v>
      </c>
      <c r="G4761" s="5" t="s">
        <v>39</v>
      </c>
      <c r="H4761" s="5">
        <v>2739165</v>
      </c>
      <c r="I4761" s="5">
        <v>2421294.7599999998</v>
      </c>
      <c r="J4761" s="5">
        <v>43</v>
      </c>
      <c r="K4761" s="5">
        <v>382997</v>
      </c>
      <c r="L4761" s="5">
        <v>3114530</v>
      </c>
      <c r="M4761" s="5">
        <v>317870.24</v>
      </c>
      <c r="N4761" s="5">
        <v>0.11600000000000001</v>
      </c>
      <c r="O4761" s="5">
        <v>4</v>
      </c>
      <c r="P4761" s="5">
        <v>221386</v>
      </c>
    </row>
    <row r="4762" spans="1:16" x14ac:dyDescent="0.3">
      <c r="A4762" s="5">
        <v>5</v>
      </c>
      <c r="B4762" s="5" t="s">
        <v>165</v>
      </c>
      <c r="C4762" s="5">
        <v>9</v>
      </c>
      <c r="D4762" s="5" t="s">
        <v>92</v>
      </c>
      <c r="E4762" s="5">
        <v>2022</v>
      </c>
      <c r="F4762" s="5">
        <v>7</v>
      </c>
      <c r="G4762" s="5" t="s">
        <v>40</v>
      </c>
      <c r="H4762" s="5">
        <v>2362339</v>
      </c>
      <c r="I4762" s="5">
        <v>2002661.34</v>
      </c>
      <c r="J4762" s="5">
        <v>32</v>
      </c>
      <c r="K4762" s="5">
        <v>256457</v>
      </c>
      <c r="L4762" s="5">
        <v>2606100</v>
      </c>
      <c r="M4762" s="5">
        <v>359677.66</v>
      </c>
      <c r="N4762" s="5">
        <v>0.15229999999999999</v>
      </c>
      <c r="O4762" s="5">
        <v>4</v>
      </c>
      <c r="P4762" s="5">
        <v>90892</v>
      </c>
    </row>
    <row r="4763" spans="1:16" x14ac:dyDescent="0.3">
      <c r="A4763" s="5">
        <v>29</v>
      </c>
      <c r="B4763" s="5" t="s">
        <v>165</v>
      </c>
      <c r="C4763" s="5">
        <v>9</v>
      </c>
      <c r="D4763" s="5" t="s">
        <v>92</v>
      </c>
      <c r="E4763" s="5">
        <v>2022</v>
      </c>
      <c r="F4763" s="5">
        <v>7</v>
      </c>
      <c r="G4763" s="5" t="s">
        <v>40</v>
      </c>
      <c r="H4763" s="5">
        <v>1589410</v>
      </c>
      <c r="I4763" s="5">
        <v>1452277.18</v>
      </c>
      <c r="J4763" s="5">
        <v>33</v>
      </c>
      <c r="K4763" s="5">
        <v>349252</v>
      </c>
      <c r="L4763" s="5">
        <v>1933870</v>
      </c>
      <c r="M4763" s="5">
        <v>137132.82</v>
      </c>
      <c r="N4763" s="5">
        <v>8.6300000000000002E-2</v>
      </c>
      <c r="O4763" s="5">
        <v>1</v>
      </c>
      <c r="P4763" s="5">
        <v>855</v>
      </c>
    </row>
    <row r="4764" spans="1:16" x14ac:dyDescent="0.3">
      <c r="A4764" s="5">
        <v>76</v>
      </c>
      <c r="B4764" s="5" t="s">
        <v>165</v>
      </c>
      <c r="C4764" s="5">
        <v>9</v>
      </c>
      <c r="D4764" s="5" t="s">
        <v>92</v>
      </c>
      <c r="E4764" s="5">
        <v>2022</v>
      </c>
      <c r="F4764" s="5">
        <v>7</v>
      </c>
      <c r="G4764" s="5" t="s">
        <v>40</v>
      </c>
      <c r="H4764" s="5">
        <v>2802287</v>
      </c>
      <c r="I4764" s="5">
        <v>2565743.14</v>
      </c>
      <c r="J4764" s="5">
        <v>30</v>
      </c>
      <c r="K4764" s="5">
        <v>345085</v>
      </c>
      <c r="L4764" s="5">
        <v>3142360</v>
      </c>
      <c r="M4764" s="5">
        <v>236543.86</v>
      </c>
      <c r="N4764" s="5">
        <v>8.4400000000000003E-2</v>
      </c>
      <c r="O4764" s="5">
        <v>4</v>
      </c>
      <c r="P4764" s="5">
        <v>76763</v>
      </c>
    </row>
    <row r="4765" spans="1:16" x14ac:dyDescent="0.3">
      <c r="A4765" s="5">
        <v>5</v>
      </c>
      <c r="B4765" s="5" t="s">
        <v>165</v>
      </c>
      <c r="C4765" s="5">
        <v>9</v>
      </c>
      <c r="D4765" s="5" t="s">
        <v>92</v>
      </c>
      <c r="E4765" s="5">
        <v>2022</v>
      </c>
      <c r="F4765" s="5">
        <v>8</v>
      </c>
      <c r="G4765" s="5" t="s">
        <v>41</v>
      </c>
      <c r="H4765" s="5">
        <v>1317034</v>
      </c>
      <c r="I4765" s="5">
        <v>1313168.73</v>
      </c>
      <c r="J4765" s="5">
        <v>30</v>
      </c>
      <c r="K4765" s="5">
        <v>392614</v>
      </c>
      <c r="L4765" s="5">
        <v>1707760</v>
      </c>
      <c r="M4765" s="5">
        <v>3865.27</v>
      </c>
      <c r="N4765" s="5">
        <v>2.8999999999999998E-3</v>
      </c>
      <c r="O4765" s="5">
        <v>1</v>
      </c>
      <c r="P4765" s="5">
        <v>2766</v>
      </c>
    </row>
    <row r="4766" spans="1:16" x14ac:dyDescent="0.3">
      <c r="A4766" s="5">
        <v>29</v>
      </c>
      <c r="B4766" s="5" t="s">
        <v>165</v>
      </c>
      <c r="C4766" s="5">
        <v>9</v>
      </c>
      <c r="D4766" s="5" t="s">
        <v>92</v>
      </c>
      <c r="E4766" s="5">
        <v>2022</v>
      </c>
      <c r="F4766" s="5">
        <v>8</v>
      </c>
      <c r="G4766" s="5" t="s">
        <v>41</v>
      </c>
      <c r="H4766" s="5">
        <v>1675842</v>
      </c>
      <c r="I4766" s="5">
        <v>1587587.61</v>
      </c>
      <c r="J4766" s="5">
        <v>32</v>
      </c>
      <c r="K4766" s="5">
        <v>332481</v>
      </c>
      <c r="L4766" s="5">
        <v>2001290</v>
      </c>
      <c r="M4766" s="5">
        <v>88254.39</v>
      </c>
      <c r="N4766" s="5">
        <v>5.2699999999999997E-2</v>
      </c>
      <c r="O4766" s="5">
        <v>2</v>
      </c>
      <c r="P4766" s="5">
        <v>9811</v>
      </c>
    </row>
    <row r="4767" spans="1:16" x14ac:dyDescent="0.3">
      <c r="A4767" s="5">
        <v>76</v>
      </c>
      <c r="B4767" s="5" t="s">
        <v>165</v>
      </c>
      <c r="C4767" s="5">
        <v>9</v>
      </c>
      <c r="D4767" s="5" t="s">
        <v>92</v>
      </c>
      <c r="E4767" s="5">
        <v>2022</v>
      </c>
      <c r="F4767" s="5">
        <v>8</v>
      </c>
      <c r="G4767" s="5" t="s">
        <v>41</v>
      </c>
      <c r="H4767" s="5">
        <v>2860820</v>
      </c>
      <c r="I4767" s="5">
        <v>2609829.09</v>
      </c>
      <c r="J4767" s="5">
        <v>37</v>
      </c>
      <c r="K4767" s="5">
        <v>448866</v>
      </c>
      <c r="L4767" s="5">
        <v>3303690</v>
      </c>
      <c r="M4767" s="5">
        <v>250990.91</v>
      </c>
      <c r="N4767" s="5">
        <v>8.77E-2</v>
      </c>
      <c r="O4767" s="5">
        <v>2</v>
      </c>
      <c r="P4767" s="5">
        <v>4415</v>
      </c>
    </row>
    <row r="4768" spans="1:16" x14ac:dyDescent="0.3">
      <c r="A4768" s="5">
        <v>5</v>
      </c>
      <c r="B4768" s="5" t="s">
        <v>165</v>
      </c>
      <c r="C4768" s="5">
        <v>9</v>
      </c>
      <c r="D4768" s="5" t="s">
        <v>92</v>
      </c>
      <c r="E4768" s="5">
        <v>2022</v>
      </c>
      <c r="F4768" s="5">
        <v>9</v>
      </c>
      <c r="G4768" s="5" t="s">
        <v>42</v>
      </c>
      <c r="H4768" s="5">
        <v>1526466</v>
      </c>
      <c r="I4768" s="5">
        <v>1250852.99</v>
      </c>
      <c r="J4768" s="5">
        <v>21</v>
      </c>
      <c r="K4768" s="5">
        <v>123969</v>
      </c>
      <c r="L4768" s="5">
        <v>1647780</v>
      </c>
      <c r="M4768" s="5">
        <v>275613.01</v>
      </c>
      <c r="N4768" s="5">
        <v>0.18060000000000001</v>
      </c>
      <c r="O4768" s="5">
        <v>1</v>
      </c>
      <c r="P4768" s="5">
        <v>25383</v>
      </c>
    </row>
    <row r="4769" spans="1:16" x14ac:dyDescent="0.3">
      <c r="A4769" s="5">
        <v>29</v>
      </c>
      <c r="B4769" s="5" t="s">
        <v>165</v>
      </c>
      <c r="C4769" s="5">
        <v>9</v>
      </c>
      <c r="D4769" s="5" t="s">
        <v>92</v>
      </c>
      <c r="E4769" s="5">
        <v>2022</v>
      </c>
      <c r="F4769" s="5">
        <v>9</v>
      </c>
      <c r="G4769" s="5" t="s">
        <v>42</v>
      </c>
      <c r="H4769" s="5">
        <v>3260203</v>
      </c>
      <c r="I4769" s="5">
        <v>3016067.57</v>
      </c>
      <c r="J4769" s="5">
        <v>41</v>
      </c>
      <c r="K4769" s="5">
        <v>553982</v>
      </c>
      <c r="L4769" s="5">
        <v>3809600</v>
      </c>
      <c r="M4769" s="5">
        <v>244135.43</v>
      </c>
      <c r="N4769" s="5">
        <v>7.4899999999999994E-2</v>
      </c>
      <c r="O4769" s="5">
        <v>5</v>
      </c>
      <c r="P4769" s="5">
        <v>62172</v>
      </c>
    </row>
    <row r="4770" spans="1:16" x14ac:dyDescent="0.3">
      <c r="A4770" s="5">
        <v>76</v>
      </c>
      <c r="B4770" s="5" t="s">
        <v>165</v>
      </c>
      <c r="C4770" s="5">
        <v>9</v>
      </c>
      <c r="D4770" s="5" t="s">
        <v>92</v>
      </c>
      <c r="E4770" s="5">
        <v>2022</v>
      </c>
      <c r="F4770" s="5">
        <v>9</v>
      </c>
      <c r="G4770" s="5" t="s">
        <v>42</v>
      </c>
      <c r="H4770" s="5">
        <v>2722541</v>
      </c>
      <c r="I4770" s="5">
        <v>2422163.4</v>
      </c>
      <c r="J4770" s="5">
        <v>38</v>
      </c>
      <c r="K4770" s="5">
        <v>367909</v>
      </c>
      <c r="L4770" s="5">
        <v>3081740</v>
      </c>
      <c r="M4770" s="5">
        <v>300377.59999999998</v>
      </c>
      <c r="N4770" s="5">
        <v>0.1103</v>
      </c>
      <c r="O4770" s="5">
        <v>2</v>
      </c>
      <c r="P4770" s="5">
        <v>2550</v>
      </c>
    </row>
    <row r="4771" spans="1:16" x14ac:dyDescent="0.3">
      <c r="A4771" s="5">
        <v>5</v>
      </c>
      <c r="B4771" s="5" t="s">
        <v>165</v>
      </c>
      <c r="C4771" s="5">
        <v>9</v>
      </c>
      <c r="D4771" s="5" t="s">
        <v>92</v>
      </c>
      <c r="E4771" s="5">
        <v>2022</v>
      </c>
      <c r="F4771" s="5">
        <v>10</v>
      </c>
      <c r="G4771" s="5" t="s">
        <v>43</v>
      </c>
      <c r="H4771" s="5">
        <v>2986791</v>
      </c>
      <c r="I4771" s="5">
        <v>2811194.16</v>
      </c>
      <c r="J4771" s="5">
        <v>42</v>
      </c>
      <c r="K4771" s="5">
        <v>589429</v>
      </c>
      <c r="L4771" s="5">
        <v>3572770</v>
      </c>
      <c r="M4771" s="5">
        <v>175596.84</v>
      </c>
      <c r="N4771" s="5">
        <v>5.8799999999999998E-2</v>
      </c>
      <c r="O4771" s="5">
        <v>3</v>
      </c>
      <c r="P4771" s="5">
        <v>59161</v>
      </c>
    </row>
    <row r="4772" spans="1:16" x14ac:dyDescent="0.3">
      <c r="A4772" s="5">
        <v>29</v>
      </c>
      <c r="B4772" s="5" t="s">
        <v>165</v>
      </c>
      <c r="C4772" s="5">
        <v>9</v>
      </c>
      <c r="D4772" s="5" t="s">
        <v>92</v>
      </c>
      <c r="E4772" s="5">
        <v>2022</v>
      </c>
      <c r="F4772" s="5">
        <v>10</v>
      </c>
      <c r="G4772" s="5" t="s">
        <v>43</v>
      </c>
      <c r="H4772" s="5">
        <v>3186664</v>
      </c>
      <c r="I4772" s="5">
        <v>2720979.83</v>
      </c>
      <c r="J4772" s="5">
        <v>36</v>
      </c>
      <c r="K4772" s="5">
        <v>360381</v>
      </c>
      <c r="L4772" s="5">
        <v>3535140</v>
      </c>
      <c r="M4772" s="5">
        <v>465684.17</v>
      </c>
      <c r="N4772" s="5">
        <v>0.14610000000000001</v>
      </c>
      <c r="O4772" s="5">
        <v>4</v>
      </c>
      <c r="P4772" s="5">
        <v>103222</v>
      </c>
    </row>
    <row r="4773" spans="1:16" x14ac:dyDescent="0.3">
      <c r="A4773" s="5">
        <v>76</v>
      </c>
      <c r="B4773" s="5" t="s">
        <v>165</v>
      </c>
      <c r="C4773" s="5">
        <v>9</v>
      </c>
      <c r="D4773" s="5" t="s">
        <v>92</v>
      </c>
      <c r="E4773" s="5">
        <v>2022</v>
      </c>
      <c r="F4773" s="5">
        <v>10</v>
      </c>
      <c r="G4773" s="5" t="s">
        <v>43</v>
      </c>
      <c r="H4773" s="5">
        <v>4202691</v>
      </c>
      <c r="I4773" s="5">
        <v>3541272.6</v>
      </c>
      <c r="J4773" s="5">
        <v>54</v>
      </c>
      <c r="K4773" s="5">
        <v>329575</v>
      </c>
      <c r="L4773" s="5">
        <v>4500260</v>
      </c>
      <c r="M4773" s="5">
        <v>661418.4</v>
      </c>
      <c r="N4773" s="5">
        <v>0.15740000000000001</v>
      </c>
      <c r="O4773" s="5">
        <v>4</v>
      </c>
      <c r="P4773" s="5">
        <v>65384</v>
      </c>
    </row>
    <row r="4774" spans="1:16" x14ac:dyDescent="0.3">
      <c r="A4774" s="5">
        <v>5</v>
      </c>
      <c r="B4774" s="5" t="s">
        <v>165</v>
      </c>
      <c r="C4774" s="5">
        <v>9</v>
      </c>
      <c r="D4774" s="5" t="s">
        <v>92</v>
      </c>
      <c r="E4774" s="5">
        <v>2022</v>
      </c>
      <c r="F4774" s="5">
        <v>11</v>
      </c>
      <c r="G4774" s="5" t="s">
        <v>44</v>
      </c>
      <c r="H4774" s="5">
        <v>3251590</v>
      </c>
      <c r="I4774" s="5">
        <v>2943874.78</v>
      </c>
      <c r="J4774" s="5">
        <v>42</v>
      </c>
      <c r="K4774" s="5">
        <v>426603</v>
      </c>
      <c r="L4774" s="5">
        <v>3657180</v>
      </c>
      <c r="M4774" s="5">
        <v>307715.21999999997</v>
      </c>
      <c r="N4774" s="5">
        <v>9.4600000000000004E-2</v>
      </c>
      <c r="O4774" s="5">
        <v>3</v>
      </c>
      <c r="P4774" s="5">
        <v>36248</v>
      </c>
    </row>
    <row r="4775" spans="1:16" x14ac:dyDescent="0.3">
      <c r="A4775" s="5">
        <v>29</v>
      </c>
      <c r="B4775" s="5" t="s">
        <v>165</v>
      </c>
      <c r="C4775" s="5">
        <v>9</v>
      </c>
      <c r="D4775" s="5" t="s">
        <v>92</v>
      </c>
      <c r="E4775" s="5">
        <v>2022</v>
      </c>
      <c r="F4775" s="5">
        <v>11</v>
      </c>
      <c r="G4775" s="5" t="s">
        <v>44</v>
      </c>
      <c r="H4775" s="5">
        <v>3439460</v>
      </c>
      <c r="I4775" s="5">
        <v>2852045.53</v>
      </c>
      <c r="J4775" s="5">
        <v>52</v>
      </c>
      <c r="K4775" s="5">
        <v>253666</v>
      </c>
      <c r="L4775" s="5">
        <v>3685250</v>
      </c>
      <c r="M4775" s="5">
        <v>587414.47</v>
      </c>
      <c r="N4775" s="5">
        <v>0.17080000000000001</v>
      </c>
      <c r="O4775" s="5">
        <v>5</v>
      </c>
      <c r="P4775" s="5">
        <v>71099</v>
      </c>
    </row>
    <row r="4776" spans="1:16" x14ac:dyDescent="0.3">
      <c r="A4776" s="5">
        <v>76</v>
      </c>
      <c r="B4776" s="5" t="s">
        <v>165</v>
      </c>
      <c r="C4776" s="5">
        <v>9</v>
      </c>
      <c r="D4776" s="5" t="s">
        <v>92</v>
      </c>
      <c r="E4776" s="5">
        <v>2022</v>
      </c>
      <c r="F4776" s="5">
        <v>11</v>
      </c>
      <c r="G4776" s="5" t="s">
        <v>44</v>
      </c>
      <c r="H4776" s="5">
        <v>3503216</v>
      </c>
      <c r="I4776" s="5">
        <v>2975897.9</v>
      </c>
      <c r="J4776" s="5">
        <v>49</v>
      </c>
      <c r="K4776" s="5">
        <v>356382</v>
      </c>
      <c r="L4776" s="5">
        <v>3844640</v>
      </c>
      <c r="M4776" s="5">
        <v>527318.1</v>
      </c>
      <c r="N4776" s="5">
        <v>0.15049999999999999</v>
      </c>
      <c r="O4776" s="5">
        <v>6</v>
      </c>
      <c r="P4776" s="5">
        <v>111500</v>
      </c>
    </row>
    <row r="4777" spans="1:16" x14ac:dyDescent="0.3">
      <c r="A4777" s="5">
        <v>5</v>
      </c>
      <c r="B4777" s="5" t="s">
        <v>165</v>
      </c>
      <c r="C4777" s="5">
        <v>9</v>
      </c>
      <c r="D4777" s="5" t="s">
        <v>92</v>
      </c>
      <c r="E4777" s="5">
        <v>2022</v>
      </c>
      <c r="F4777" s="5">
        <v>12</v>
      </c>
      <c r="G4777" s="5" t="s">
        <v>45</v>
      </c>
      <c r="H4777" s="5">
        <v>3388805</v>
      </c>
      <c r="I4777" s="5">
        <v>2789845.09</v>
      </c>
      <c r="J4777" s="5">
        <v>43</v>
      </c>
      <c r="K4777" s="5">
        <v>203294</v>
      </c>
      <c r="L4777" s="5">
        <v>3573700</v>
      </c>
      <c r="M4777" s="5">
        <v>598959.91</v>
      </c>
      <c r="N4777" s="5">
        <v>0.1767</v>
      </c>
      <c r="O4777" s="5">
        <v>4</v>
      </c>
      <c r="P4777" s="5">
        <v>281095</v>
      </c>
    </row>
    <row r="4778" spans="1:16" x14ac:dyDescent="0.3">
      <c r="A4778" s="5">
        <v>29</v>
      </c>
      <c r="B4778" s="5" t="s">
        <v>165</v>
      </c>
      <c r="C4778" s="5">
        <v>9</v>
      </c>
      <c r="D4778" s="5" t="s">
        <v>92</v>
      </c>
      <c r="E4778" s="5">
        <v>2022</v>
      </c>
      <c r="F4778" s="5">
        <v>12</v>
      </c>
      <c r="G4778" s="5" t="s">
        <v>45</v>
      </c>
      <c r="H4778" s="5">
        <v>2962229</v>
      </c>
      <c r="I4778" s="5">
        <v>2429247.5099999998</v>
      </c>
      <c r="J4778" s="5">
        <v>38</v>
      </c>
      <c r="K4778" s="5">
        <v>171311</v>
      </c>
      <c r="L4778" s="5">
        <v>3125680</v>
      </c>
      <c r="M4778" s="5">
        <v>532981.49</v>
      </c>
      <c r="N4778" s="5">
        <v>0.1799</v>
      </c>
      <c r="O4778" s="5">
        <v>2</v>
      </c>
      <c r="P4778" s="5">
        <v>56533</v>
      </c>
    </row>
    <row r="4779" spans="1:16" x14ac:dyDescent="0.3">
      <c r="A4779" s="5">
        <v>76</v>
      </c>
      <c r="B4779" s="5" t="s">
        <v>165</v>
      </c>
      <c r="C4779" s="5">
        <v>9</v>
      </c>
      <c r="D4779" s="5" t="s">
        <v>92</v>
      </c>
      <c r="E4779" s="5">
        <v>2022</v>
      </c>
      <c r="F4779" s="5">
        <v>12</v>
      </c>
      <c r="G4779" s="5" t="s">
        <v>45</v>
      </c>
      <c r="H4779" s="5">
        <v>4423539</v>
      </c>
      <c r="I4779" s="5">
        <v>3657119.33</v>
      </c>
      <c r="J4779" s="5">
        <v>64</v>
      </c>
      <c r="K4779" s="5">
        <v>263582</v>
      </c>
      <c r="L4779" s="5">
        <v>4674580</v>
      </c>
      <c r="M4779" s="5">
        <v>766419.67</v>
      </c>
      <c r="N4779" s="5">
        <v>0.17330000000000001</v>
      </c>
      <c r="O4779" s="5">
        <v>2</v>
      </c>
      <c r="P4779" s="5">
        <v>26840</v>
      </c>
    </row>
    <row r="4780" spans="1:16" x14ac:dyDescent="0.3">
      <c r="A4780" s="5">
        <v>5</v>
      </c>
      <c r="B4780" s="5" t="s">
        <v>165</v>
      </c>
      <c r="C4780" s="5">
        <v>9</v>
      </c>
      <c r="D4780" s="5" t="s">
        <v>92</v>
      </c>
      <c r="E4780" s="5">
        <v>2023</v>
      </c>
      <c r="F4780" s="5">
        <v>1</v>
      </c>
      <c r="G4780" s="5" t="s">
        <v>46</v>
      </c>
      <c r="H4780" s="5">
        <v>1366525</v>
      </c>
      <c r="I4780" s="5">
        <v>1151283.6100000001</v>
      </c>
      <c r="J4780" s="5">
        <v>29</v>
      </c>
      <c r="K4780" s="5">
        <v>161515</v>
      </c>
      <c r="L4780" s="5">
        <v>1520720</v>
      </c>
      <c r="M4780" s="5">
        <v>215241.39</v>
      </c>
      <c r="N4780" s="5">
        <v>0.1575</v>
      </c>
      <c r="O4780" s="5">
        <v>3</v>
      </c>
      <c r="P4780" s="5">
        <v>5335</v>
      </c>
    </row>
    <row r="4781" spans="1:16" x14ac:dyDescent="0.3">
      <c r="A4781" s="5">
        <v>29</v>
      </c>
      <c r="B4781" s="5" t="s">
        <v>165</v>
      </c>
      <c r="C4781" s="5">
        <v>9</v>
      </c>
      <c r="D4781" s="5" t="s">
        <v>92</v>
      </c>
      <c r="E4781" s="5">
        <v>2023</v>
      </c>
      <c r="F4781" s="5">
        <v>1</v>
      </c>
      <c r="G4781" s="5" t="s">
        <v>46</v>
      </c>
      <c r="H4781" s="5">
        <v>1797808</v>
      </c>
      <c r="I4781" s="5">
        <v>1532699.91</v>
      </c>
      <c r="J4781" s="5">
        <v>35</v>
      </c>
      <c r="K4781" s="5">
        <v>210788</v>
      </c>
      <c r="L4781" s="5">
        <v>1997070</v>
      </c>
      <c r="M4781" s="5">
        <v>265108.09000000003</v>
      </c>
      <c r="N4781" s="5">
        <v>0.14749999999999999</v>
      </c>
      <c r="O4781" s="5">
        <v>1</v>
      </c>
      <c r="P4781" s="5">
        <v>1349</v>
      </c>
    </row>
    <row r="4782" spans="1:16" x14ac:dyDescent="0.3">
      <c r="A4782" s="5">
        <v>76</v>
      </c>
      <c r="B4782" s="5" t="s">
        <v>165</v>
      </c>
      <c r="C4782" s="5">
        <v>9</v>
      </c>
      <c r="D4782" s="5" t="s">
        <v>92</v>
      </c>
      <c r="E4782" s="5">
        <v>2023</v>
      </c>
      <c r="F4782" s="5">
        <v>1</v>
      </c>
      <c r="G4782" s="5" t="s">
        <v>46</v>
      </c>
      <c r="H4782" s="5">
        <v>3220195</v>
      </c>
      <c r="I4782" s="5">
        <v>2788198.25</v>
      </c>
      <c r="J4782" s="5">
        <v>48</v>
      </c>
      <c r="K4782" s="5">
        <v>418639</v>
      </c>
      <c r="L4782" s="5">
        <v>3625920</v>
      </c>
      <c r="M4782" s="5">
        <v>431996.75</v>
      </c>
      <c r="N4782" s="5">
        <v>0.13420000000000001</v>
      </c>
      <c r="O4782" s="5">
        <v>7</v>
      </c>
      <c r="P4782" s="5">
        <v>135513</v>
      </c>
    </row>
    <row r="4783" spans="1:16" x14ac:dyDescent="0.3">
      <c r="A4783" s="5">
        <v>5</v>
      </c>
      <c r="B4783" s="5" t="s">
        <v>165</v>
      </c>
      <c r="C4783" s="5">
        <v>9</v>
      </c>
      <c r="D4783" s="5" t="s">
        <v>92</v>
      </c>
      <c r="E4783" s="5">
        <v>2023</v>
      </c>
      <c r="F4783" s="5">
        <v>2</v>
      </c>
      <c r="G4783" s="5" t="s">
        <v>47</v>
      </c>
      <c r="H4783" s="5">
        <v>2703398</v>
      </c>
      <c r="I4783" s="5">
        <v>2239906.0099999998</v>
      </c>
      <c r="J4783" s="5">
        <v>23</v>
      </c>
      <c r="K4783" s="5">
        <v>167987</v>
      </c>
      <c r="L4783" s="5">
        <v>2852540</v>
      </c>
      <c r="M4783" s="5">
        <v>463491.99</v>
      </c>
      <c r="N4783" s="5">
        <v>0.1714</v>
      </c>
      <c r="O4783" s="5">
        <v>4</v>
      </c>
      <c r="P4783" s="5">
        <v>211622</v>
      </c>
    </row>
    <row r="4784" spans="1:16" x14ac:dyDescent="0.3">
      <c r="A4784" s="5">
        <v>29</v>
      </c>
      <c r="B4784" s="5" t="s">
        <v>165</v>
      </c>
      <c r="C4784" s="5">
        <v>9</v>
      </c>
      <c r="D4784" s="5" t="s">
        <v>92</v>
      </c>
      <c r="E4784" s="5">
        <v>2023</v>
      </c>
      <c r="F4784" s="5">
        <v>2</v>
      </c>
      <c r="G4784" s="5" t="s">
        <v>47</v>
      </c>
      <c r="H4784" s="5">
        <v>2242179</v>
      </c>
      <c r="I4784" s="5">
        <v>1893644.75</v>
      </c>
      <c r="J4784" s="5">
        <v>37</v>
      </c>
      <c r="K4784" s="5">
        <v>228810</v>
      </c>
      <c r="L4784" s="5">
        <v>2467550</v>
      </c>
      <c r="M4784" s="5">
        <v>348534.25</v>
      </c>
      <c r="N4784" s="5">
        <v>0.15540000000000001</v>
      </c>
      <c r="O4784" s="5">
        <v>4</v>
      </c>
      <c r="P4784" s="5">
        <v>46618</v>
      </c>
    </row>
    <row r="4785" spans="1:16" x14ac:dyDescent="0.3">
      <c r="A4785" s="5">
        <v>76</v>
      </c>
      <c r="B4785" s="5" t="s">
        <v>165</v>
      </c>
      <c r="C4785" s="5">
        <v>9</v>
      </c>
      <c r="D4785" s="5" t="s">
        <v>92</v>
      </c>
      <c r="E4785" s="5">
        <v>2023</v>
      </c>
      <c r="F4785" s="5">
        <v>2</v>
      </c>
      <c r="G4785" s="5" t="s">
        <v>47</v>
      </c>
      <c r="H4785" s="5">
        <v>2779455</v>
      </c>
      <c r="I4785" s="5">
        <v>2389846.79</v>
      </c>
      <c r="J4785" s="5">
        <v>41</v>
      </c>
      <c r="K4785" s="5">
        <v>313932</v>
      </c>
      <c r="L4785" s="5">
        <v>3085030</v>
      </c>
      <c r="M4785" s="5">
        <v>389608.21</v>
      </c>
      <c r="N4785" s="5">
        <v>0.14019999999999999</v>
      </c>
      <c r="O4785" s="5">
        <v>4</v>
      </c>
      <c r="P4785" s="5">
        <v>18180</v>
      </c>
    </row>
    <row r="4786" spans="1:16" x14ac:dyDescent="0.3">
      <c r="A4786" s="5">
        <v>5</v>
      </c>
      <c r="B4786" s="5" t="s">
        <v>165</v>
      </c>
      <c r="C4786" s="5">
        <v>9</v>
      </c>
      <c r="D4786" s="5" t="s">
        <v>92</v>
      </c>
      <c r="E4786" s="5">
        <v>2023</v>
      </c>
      <c r="F4786" s="5">
        <v>3</v>
      </c>
      <c r="G4786" s="5" t="s">
        <v>48</v>
      </c>
      <c r="H4786" s="5">
        <v>2516935</v>
      </c>
      <c r="I4786" s="5">
        <v>2219716.02</v>
      </c>
      <c r="J4786" s="5">
        <v>33</v>
      </c>
      <c r="K4786" s="5">
        <v>400008</v>
      </c>
      <c r="L4786" s="5">
        <v>2911640</v>
      </c>
      <c r="M4786" s="5">
        <v>297218.98</v>
      </c>
      <c r="N4786" s="5">
        <v>0.1181</v>
      </c>
      <c r="O4786" s="5">
        <v>5</v>
      </c>
      <c r="P4786" s="5">
        <v>122298</v>
      </c>
    </row>
    <row r="4787" spans="1:16" x14ac:dyDescent="0.3">
      <c r="A4787" s="5">
        <v>29</v>
      </c>
      <c r="B4787" s="5" t="s">
        <v>165</v>
      </c>
      <c r="C4787" s="5">
        <v>9</v>
      </c>
      <c r="D4787" s="5" t="s">
        <v>92</v>
      </c>
      <c r="E4787" s="5">
        <v>2023</v>
      </c>
      <c r="F4787" s="5">
        <v>3</v>
      </c>
      <c r="G4787" s="5" t="s">
        <v>48</v>
      </c>
      <c r="H4787" s="5">
        <v>1591482</v>
      </c>
      <c r="I4787" s="5">
        <v>1276181.9099999999</v>
      </c>
      <c r="J4787" s="5">
        <v>32</v>
      </c>
      <c r="K4787" s="5">
        <v>105147</v>
      </c>
      <c r="L4787" s="5">
        <v>1685290</v>
      </c>
      <c r="M4787" s="5">
        <v>315300.09000000003</v>
      </c>
      <c r="N4787" s="5">
        <v>0.1981</v>
      </c>
      <c r="O4787" s="5">
        <v>3</v>
      </c>
      <c r="P4787" s="5">
        <v>50377</v>
      </c>
    </row>
    <row r="4788" spans="1:16" x14ac:dyDescent="0.3">
      <c r="A4788" s="5">
        <v>76</v>
      </c>
      <c r="B4788" s="5" t="s">
        <v>165</v>
      </c>
      <c r="C4788" s="5">
        <v>9</v>
      </c>
      <c r="D4788" s="5" t="s">
        <v>92</v>
      </c>
      <c r="E4788" s="5">
        <v>2023</v>
      </c>
      <c r="F4788" s="5">
        <v>3</v>
      </c>
      <c r="G4788" s="5" t="s">
        <v>48</v>
      </c>
      <c r="H4788" s="5">
        <v>3453702</v>
      </c>
      <c r="I4788" s="5">
        <v>3041320.06</v>
      </c>
      <c r="J4788" s="5">
        <v>37</v>
      </c>
      <c r="K4788" s="5">
        <v>404925</v>
      </c>
      <c r="L4788" s="5">
        <v>3848940</v>
      </c>
      <c r="M4788" s="5">
        <v>412381.94</v>
      </c>
      <c r="N4788" s="5">
        <v>0.11940000000000001</v>
      </c>
      <c r="O4788" s="5">
        <v>4</v>
      </c>
      <c r="P4788" s="5">
        <v>26382</v>
      </c>
    </row>
    <row r="4789" spans="1:16" x14ac:dyDescent="0.3">
      <c r="A4789" s="5">
        <v>5</v>
      </c>
      <c r="B4789" s="5" t="s">
        <v>165</v>
      </c>
      <c r="C4789" s="5">
        <v>9</v>
      </c>
      <c r="D4789" s="5" t="s">
        <v>92</v>
      </c>
      <c r="E4789" s="5">
        <v>2023</v>
      </c>
      <c r="F4789" s="5">
        <v>4</v>
      </c>
      <c r="G4789" s="5" t="s">
        <v>49</v>
      </c>
      <c r="H4789" s="5">
        <v>2323991</v>
      </c>
      <c r="I4789" s="5">
        <v>1922670.52</v>
      </c>
      <c r="J4789" s="5">
        <v>35</v>
      </c>
      <c r="K4789" s="5">
        <v>241243</v>
      </c>
      <c r="L4789" s="5">
        <v>2555650</v>
      </c>
      <c r="M4789" s="5">
        <v>401320.48</v>
      </c>
      <c r="N4789" s="5">
        <v>0.17269999999999999</v>
      </c>
      <c r="O4789" s="5">
        <v>2</v>
      </c>
      <c r="P4789" s="5">
        <v>4294</v>
      </c>
    </row>
    <row r="4790" spans="1:16" x14ac:dyDescent="0.3">
      <c r="A4790" s="5">
        <v>29</v>
      </c>
      <c r="B4790" s="5" t="s">
        <v>165</v>
      </c>
      <c r="C4790" s="5">
        <v>9</v>
      </c>
      <c r="D4790" s="5" t="s">
        <v>92</v>
      </c>
      <c r="E4790" s="5">
        <v>2023</v>
      </c>
      <c r="F4790" s="5">
        <v>4</v>
      </c>
      <c r="G4790" s="5" t="s">
        <v>49</v>
      </c>
      <c r="H4790" s="5">
        <v>1874054</v>
      </c>
      <c r="I4790" s="5">
        <v>1530152.79</v>
      </c>
      <c r="J4790" s="5">
        <v>47</v>
      </c>
      <c r="K4790" s="5">
        <v>157487</v>
      </c>
      <c r="L4790" s="5">
        <v>2024580</v>
      </c>
      <c r="M4790" s="5">
        <v>343901.21</v>
      </c>
      <c r="N4790" s="5">
        <v>0.1835</v>
      </c>
      <c r="O4790" s="5">
        <v>3</v>
      </c>
      <c r="P4790" s="5">
        <v>99298</v>
      </c>
    </row>
    <row r="4791" spans="1:16" x14ac:dyDescent="0.3">
      <c r="A4791" s="5">
        <v>76</v>
      </c>
      <c r="B4791" s="5" t="s">
        <v>165</v>
      </c>
      <c r="C4791" s="5">
        <v>9</v>
      </c>
      <c r="D4791" s="5" t="s">
        <v>92</v>
      </c>
      <c r="E4791" s="5">
        <v>2023</v>
      </c>
      <c r="F4791" s="5">
        <v>4</v>
      </c>
      <c r="G4791" s="5" t="s">
        <v>49</v>
      </c>
      <c r="H4791" s="5">
        <v>3012732</v>
      </c>
      <c r="I4791" s="5">
        <v>2620348.29</v>
      </c>
      <c r="J4791" s="5">
        <v>48</v>
      </c>
      <c r="K4791" s="5">
        <v>355264</v>
      </c>
      <c r="L4791" s="5">
        <v>3362650</v>
      </c>
      <c r="M4791" s="5">
        <v>392383.71</v>
      </c>
      <c r="N4791" s="5">
        <v>0.13020000000000001</v>
      </c>
      <c r="O4791" s="5">
        <v>5</v>
      </c>
      <c r="P4791" s="5">
        <v>157161</v>
      </c>
    </row>
    <row r="4792" spans="1:16" x14ac:dyDescent="0.3">
      <c r="A4792" s="5">
        <v>5</v>
      </c>
      <c r="B4792" s="5" t="s">
        <v>165</v>
      </c>
      <c r="C4792" s="5">
        <v>9</v>
      </c>
      <c r="D4792" s="5" t="s">
        <v>92</v>
      </c>
      <c r="E4792" s="5">
        <v>2023</v>
      </c>
      <c r="F4792" s="5">
        <v>5</v>
      </c>
      <c r="G4792" s="5" t="s">
        <v>50</v>
      </c>
      <c r="H4792" s="5">
        <v>2621719</v>
      </c>
      <c r="I4792" s="5">
        <v>2459294.2400000002</v>
      </c>
      <c r="J4792" s="5">
        <v>40</v>
      </c>
      <c r="K4792" s="5">
        <v>491813</v>
      </c>
      <c r="L4792" s="5">
        <v>3109930</v>
      </c>
      <c r="M4792" s="5">
        <v>162424.76</v>
      </c>
      <c r="N4792" s="5">
        <v>6.2E-2</v>
      </c>
      <c r="O4792" s="5">
        <v>6</v>
      </c>
      <c r="P4792" s="5">
        <v>56718</v>
      </c>
    </row>
    <row r="4793" spans="1:16" x14ac:dyDescent="0.3">
      <c r="A4793" s="5">
        <v>29</v>
      </c>
      <c r="B4793" s="5" t="s">
        <v>165</v>
      </c>
      <c r="C4793" s="5">
        <v>9</v>
      </c>
      <c r="D4793" s="5" t="s">
        <v>92</v>
      </c>
      <c r="E4793" s="5">
        <v>2023</v>
      </c>
      <c r="F4793" s="5">
        <v>5</v>
      </c>
      <c r="G4793" s="5" t="s">
        <v>50</v>
      </c>
      <c r="H4793" s="5">
        <v>2252368</v>
      </c>
      <c r="I4793" s="5">
        <v>1897097.17</v>
      </c>
      <c r="J4793" s="5">
        <v>42</v>
      </c>
      <c r="K4793" s="5">
        <v>196647</v>
      </c>
      <c r="L4793" s="5">
        <v>2437570</v>
      </c>
      <c r="M4793" s="5">
        <v>355270.83</v>
      </c>
      <c r="N4793" s="5">
        <v>0.15770000000000001</v>
      </c>
      <c r="O4793" s="5">
        <v>2</v>
      </c>
      <c r="P4793" s="5">
        <v>3100</v>
      </c>
    </row>
    <row r="4794" spans="1:16" x14ac:dyDescent="0.3">
      <c r="A4794" s="5">
        <v>76</v>
      </c>
      <c r="B4794" s="5" t="s">
        <v>165</v>
      </c>
      <c r="C4794" s="5">
        <v>9</v>
      </c>
      <c r="D4794" s="5" t="s">
        <v>92</v>
      </c>
      <c r="E4794" s="5">
        <v>2023</v>
      </c>
      <c r="F4794" s="5">
        <v>5</v>
      </c>
      <c r="G4794" s="5" t="s">
        <v>50</v>
      </c>
      <c r="H4794" s="5">
        <v>2657880</v>
      </c>
      <c r="I4794" s="5">
        <v>2278084.7799999998</v>
      </c>
      <c r="J4794" s="5">
        <v>43</v>
      </c>
      <c r="K4794" s="5">
        <v>269295</v>
      </c>
      <c r="L4794" s="5">
        <v>2918360</v>
      </c>
      <c r="M4794" s="5">
        <v>379795.22</v>
      </c>
      <c r="N4794" s="5">
        <v>0.1429</v>
      </c>
      <c r="O4794" s="5">
        <v>5</v>
      </c>
      <c r="P4794" s="5">
        <v>84008</v>
      </c>
    </row>
    <row r="4795" spans="1:16" x14ac:dyDescent="0.3">
      <c r="A4795" s="5">
        <v>5</v>
      </c>
      <c r="B4795" s="5" t="s">
        <v>165</v>
      </c>
      <c r="C4795" s="5">
        <v>9</v>
      </c>
      <c r="D4795" s="5" t="s">
        <v>92</v>
      </c>
      <c r="E4795" s="5">
        <v>2023</v>
      </c>
      <c r="F4795" s="5">
        <v>6</v>
      </c>
      <c r="G4795" s="5" t="s">
        <v>51</v>
      </c>
      <c r="H4795" s="5">
        <v>1849284</v>
      </c>
      <c r="I4795" s="5">
        <v>1497347.87</v>
      </c>
      <c r="J4795" s="5">
        <v>33</v>
      </c>
      <c r="K4795" s="5">
        <v>95210</v>
      </c>
      <c r="L4795" s="5">
        <v>1935400</v>
      </c>
      <c r="M4795" s="5">
        <v>351936.13</v>
      </c>
      <c r="N4795" s="5">
        <v>0.1903</v>
      </c>
      <c r="O4795" s="5">
        <v>4</v>
      </c>
      <c r="P4795" s="5">
        <v>279002</v>
      </c>
    </row>
    <row r="4796" spans="1:16" x14ac:dyDescent="0.3">
      <c r="A4796" s="5">
        <v>29</v>
      </c>
      <c r="B4796" s="5" t="s">
        <v>165</v>
      </c>
      <c r="C4796" s="5">
        <v>9</v>
      </c>
      <c r="D4796" s="5" t="s">
        <v>92</v>
      </c>
      <c r="E4796" s="5">
        <v>2023</v>
      </c>
      <c r="F4796" s="5">
        <v>6</v>
      </c>
      <c r="G4796" s="5" t="s">
        <v>51</v>
      </c>
      <c r="H4796" s="5">
        <v>1905185</v>
      </c>
      <c r="I4796" s="5">
        <v>1572316.94</v>
      </c>
      <c r="J4796" s="5">
        <v>44</v>
      </c>
      <c r="K4796" s="5">
        <v>145800</v>
      </c>
      <c r="L4796" s="5">
        <v>2046910</v>
      </c>
      <c r="M4796" s="5">
        <v>332868.06</v>
      </c>
      <c r="N4796" s="5">
        <v>0.17469999999999999</v>
      </c>
      <c r="O4796" s="5">
        <v>4</v>
      </c>
      <c r="P4796" s="5">
        <v>57634</v>
      </c>
    </row>
    <row r="4797" spans="1:16" x14ac:dyDescent="0.3">
      <c r="A4797" s="5">
        <v>76</v>
      </c>
      <c r="B4797" s="5" t="s">
        <v>165</v>
      </c>
      <c r="C4797" s="5">
        <v>9</v>
      </c>
      <c r="D4797" s="5" t="s">
        <v>92</v>
      </c>
      <c r="E4797" s="5">
        <v>2023</v>
      </c>
      <c r="F4797" s="5">
        <v>6</v>
      </c>
      <c r="G4797" s="5" t="s">
        <v>51</v>
      </c>
      <c r="H4797" s="5">
        <v>2067817</v>
      </c>
      <c r="I4797" s="5">
        <v>1932983.81</v>
      </c>
      <c r="J4797" s="5">
        <v>36</v>
      </c>
      <c r="K4797" s="5">
        <v>404226</v>
      </c>
      <c r="L4797" s="5">
        <v>2471450</v>
      </c>
      <c r="M4797" s="5">
        <v>134833.19</v>
      </c>
      <c r="N4797" s="5">
        <v>6.5199999999999994E-2</v>
      </c>
      <c r="O4797" s="5">
        <v>1</v>
      </c>
      <c r="P4797" s="5">
        <v>30686</v>
      </c>
    </row>
    <row r="4798" spans="1:16" x14ac:dyDescent="0.3">
      <c r="A4798" s="5">
        <v>5</v>
      </c>
      <c r="B4798" s="5" t="s">
        <v>165</v>
      </c>
      <c r="C4798" s="5">
        <v>9</v>
      </c>
      <c r="D4798" s="5" t="s">
        <v>92</v>
      </c>
      <c r="E4798" s="5">
        <v>2023</v>
      </c>
      <c r="F4798" s="5">
        <v>7</v>
      </c>
      <c r="G4798" s="5" t="s">
        <v>52</v>
      </c>
      <c r="H4798" s="5">
        <v>1246911</v>
      </c>
      <c r="I4798" s="5">
        <v>1068225.8600000001</v>
      </c>
      <c r="J4798" s="5">
        <v>25</v>
      </c>
      <c r="K4798" s="5">
        <v>158295</v>
      </c>
      <c r="L4798" s="5">
        <v>1402850</v>
      </c>
      <c r="M4798" s="5">
        <v>178685.14</v>
      </c>
      <c r="N4798" s="5">
        <v>0.14330000000000001</v>
      </c>
      <c r="O4798" s="5">
        <v>3</v>
      </c>
      <c r="P4798" s="5">
        <v>23363</v>
      </c>
    </row>
    <row r="4799" spans="1:16" x14ac:dyDescent="0.3">
      <c r="A4799" s="5">
        <v>29</v>
      </c>
      <c r="B4799" s="5" t="s">
        <v>165</v>
      </c>
      <c r="C4799" s="5">
        <v>9</v>
      </c>
      <c r="D4799" s="5" t="s">
        <v>92</v>
      </c>
      <c r="E4799" s="5">
        <v>2023</v>
      </c>
      <c r="F4799" s="5">
        <v>7</v>
      </c>
      <c r="G4799" s="5" t="s">
        <v>52</v>
      </c>
      <c r="H4799" s="5">
        <v>1295488</v>
      </c>
      <c r="I4799" s="5">
        <v>1137159.8700000001</v>
      </c>
      <c r="J4799" s="5">
        <v>33</v>
      </c>
      <c r="K4799" s="5">
        <v>222221</v>
      </c>
      <c r="L4799" s="5">
        <v>1510490</v>
      </c>
      <c r="M4799" s="5">
        <v>158328.13</v>
      </c>
      <c r="N4799" s="5">
        <v>0.1222</v>
      </c>
      <c r="O4799" s="5">
        <v>1</v>
      </c>
      <c r="P4799" s="5">
        <v>84560</v>
      </c>
    </row>
    <row r="4800" spans="1:16" x14ac:dyDescent="0.3">
      <c r="A4800" s="5">
        <v>76</v>
      </c>
      <c r="B4800" s="5" t="s">
        <v>165</v>
      </c>
      <c r="C4800" s="5">
        <v>9</v>
      </c>
      <c r="D4800" s="5" t="s">
        <v>92</v>
      </c>
      <c r="E4800" s="5">
        <v>2023</v>
      </c>
      <c r="F4800" s="5">
        <v>7</v>
      </c>
      <c r="G4800" s="5" t="s">
        <v>52</v>
      </c>
      <c r="H4800" s="5">
        <v>2439482</v>
      </c>
      <c r="I4800" s="5">
        <v>2104149.09</v>
      </c>
      <c r="J4800" s="5">
        <v>41</v>
      </c>
      <c r="K4800" s="5">
        <v>275361</v>
      </c>
      <c r="L4800" s="5">
        <v>2704750</v>
      </c>
      <c r="M4800" s="5">
        <v>335332.90999999997</v>
      </c>
      <c r="N4800" s="5">
        <v>0.13750000000000001</v>
      </c>
      <c r="O4800" s="5">
        <v>5</v>
      </c>
      <c r="P4800" s="5">
        <v>70179</v>
      </c>
    </row>
    <row r="4801" spans="1:16" x14ac:dyDescent="0.3">
      <c r="A4801" s="5">
        <v>5</v>
      </c>
      <c r="B4801" s="5" t="s">
        <v>165</v>
      </c>
      <c r="C4801" s="5">
        <v>9</v>
      </c>
      <c r="D4801" s="5" t="s">
        <v>92</v>
      </c>
      <c r="E4801" s="5">
        <v>2023</v>
      </c>
      <c r="F4801" s="5">
        <v>8</v>
      </c>
      <c r="G4801" s="5" t="s">
        <v>53</v>
      </c>
      <c r="H4801" s="5">
        <v>1559272</v>
      </c>
      <c r="I4801" s="5">
        <v>1388576.59</v>
      </c>
      <c r="J4801" s="5">
        <v>31</v>
      </c>
      <c r="K4801" s="5">
        <v>248318</v>
      </c>
      <c r="L4801" s="5">
        <v>1803630</v>
      </c>
      <c r="M4801" s="5">
        <v>170695.41</v>
      </c>
      <c r="N4801" s="5">
        <v>0.1095</v>
      </c>
      <c r="O4801" s="5">
        <v>0</v>
      </c>
      <c r="P4801" s="5">
        <v>0</v>
      </c>
    </row>
    <row r="4802" spans="1:16" x14ac:dyDescent="0.3">
      <c r="A4802" s="5">
        <v>29</v>
      </c>
      <c r="B4802" s="5" t="s">
        <v>165</v>
      </c>
      <c r="C4802" s="5">
        <v>9</v>
      </c>
      <c r="D4802" s="5" t="s">
        <v>92</v>
      </c>
      <c r="E4802" s="5">
        <v>2023</v>
      </c>
      <c r="F4802" s="5">
        <v>8</v>
      </c>
      <c r="G4802" s="5" t="s">
        <v>53</v>
      </c>
      <c r="H4802" s="5">
        <v>1759309</v>
      </c>
      <c r="I4802" s="5">
        <v>1481469.86</v>
      </c>
      <c r="J4802" s="5">
        <v>32</v>
      </c>
      <c r="K4802" s="5">
        <v>164192</v>
      </c>
      <c r="L4802" s="5">
        <v>1913060</v>
      </c>
      <c r="M4802" s="5">
        <v>277839.14</v>
      </c>
      <c r="N4802" s="5">
        <v>0.15790000000000001</v>
      </c>
      <c r="O4802" s="5">
        <v>4</v>
      </c>
      <c r="P4802" s="5">
        <v>56800</v>
      </c>
    </row>
    <row r="4803" spans="1:16" x14ac:dyDescent="0.3">
      <c r="A4803" s="5">
        <v>76</v>
      </c>
      <c r="B4803" s="5" t="s">
        <v>165</v>
      </c>
      <c r="C4803" s="5">
        <v>9</v>
      </c>
      <c r="D4803" s="5" t="s">
        <v>92</v>
      </c>
      <c r="E4803" s="5">
        <v>2023</v>
      </c>
      <c r="F4803" s="5">
        <v>8</v>
      </c>
      <c r="G4803" s="5" t="s">
        <v>53</v>
      </c>
      <c r="H4803" s="5">
        <v>2234937</v>
      </c>
      <c r="I4803" s="5">
        <v>1859846.66</v>
      </c>
      <c r="J4803" s="5">
        <v>34</v>
      </c>
      <c r="K4803" s="5">
        <v>209566</v>
      </c>
      <c r="L4803" s="5">
        <v>2432440</v>
      </c>
      <c r="M4803" s="5">
        <v>375090.34</v>
      </c>
      <c r="N4803" s="5">
        <v>0.1678</v>
      </c>
      <c r="O4803" s="5">
        <v>1</v>
      </c>
      <c r="P4803" s="5">
        <v>8598</v>
      </c>
    </row>
    <row r="4804" spans="1:16" x14ac:dyDescent="0.3">
      <c r="A4804" s="5">
        <v>5</v>
      </c>
      <c r="B4804" s="5" t="s">
        <v>165</v>
      </c>
      <c r="C4804" s="5">
        <v>9</v>
      </c>
      <c r="D4804" s="5" t="s">
        <v>92</v>
      </c>
      <c r="E4804" s="5">
        <v>2023</v>
      </c>
      <c r="F4804" s="5">
        <v>9</v>
      </c>
      <c r="G4804" s="5" t="s">
        <v>54</v>
      </c>
      <c r="H4804" s="5">
        <v>2314639</v>
      </c>
      <c r="I4804" s="5">
        <v>2201662.56</v>
      </c>
      <c r="J4804" s="5">
        <v>36</v>
      </c>
      <c r="K4804" s="5">
        <v>462121</v>
      </c>
      <c r="L4804" s="5">
        <v>2775140</v>
      </c>
      <c r="M4804" s="5">
        <v>112976.44</v>
      </c>
      <c r="N4804" s="5">
        <v>4.8800000000000003E-2</v>
      </c>
      <c r="O4804" s="5">
        <v>1</v>
      </c>
      <c r="P4804" s="5">
        <v>62911</v>
      </c>
    </row>
    <row r="4805" spans="1:16" x14ac:dyDescent="0.3">
      <c r="A4805" s="5">
        <v>29</v>
      </c>
      <c r="B4805" s="5" t="s">
        <v>165</v>
      </c>
      <c r="C4805" s="5">
        <v>9</v>
      </c>
      <c r="D4805" s="5" t="s">
        <v>92</v>
      </c>
      <c r="E4805" s="5">
        <v>2023</v>
      </c>
      <c r="F4805" s="5">
        <v>9</v>
      </c>
      <c r="G4805" s="5" t="s">
        <v>54</v>
      </c>
      <c r="H4805" s="5">
        <v>2567969</v>
      </c>
      <c r="I4805" s="5">
        <v>2289746.88</v>
      </c>
      <c r="J4805" s="5">
        <v>46</v>
      </c>
      <c r="K4805" s="5">
        <v>378031</v>
      </c>
      <c r="L4805" s="5">
        <v>2937200</v>
      </c>
      <c r="M4805" s="5">
        <v>278222.12</v>
      </c>
      <c r="N4805" s="5">
        <v>0.10829999999999999</v>
      </c>
      <c r="O4805" s="5">
        <v>5</v>
      </c>
      <c r="P4805" s="5">
        <v>81626</v>
      </c>
    </row>
    <row r="4806" spans="1:16" x14ac:dyDescent="0.3">
      <c r="A4806" s="5">
        <v>76</v>
      </c>
      <c r="B4806" s="5" t="s">
        <v>165</v>
      </c>
      <c r="C4806" s="5">
        <v>9</v>
      </c>
      <c r="D4806" s="5" t="s">
        <v>92</v>
      </c>
      <c r="E4806" s="5">
        <v>2023</v>
      </c>
      <c r="F4806" s="5">
        <v>9</v>
      </c>
      <c r="G4806" s="5" t="s">
        <v>54</v>
      </c>
      <c r="H4806" s="5">
        <v>2601048</v>
      </c>
      <c r="I4806" s="5">
        <v>2259662.29</v>
      </c>
      <c r="J4806" s="5">
        <v>44</v>
      </c>
      <c r="K4806" s="5">
        <v>257102</v>
      </c>
      <c r="L4806" s="5">
        <v>2843210</v>
      </c>
      <c r="M4806" s="5">
        <v>341385.71</v>
      </c>
      <c r="N4806" s="5">
        <v>0.13120000000000001</v>
      </c>
      <c r="O4806" s="5">
        <v>4</v>
      </c>
      <c r="P4806" s="5">
        <v>216531</v>
      </c>
    </row>
    <row r="4807" spans="1:16" x14ac:dyDescent="0.3">
      <c r="A4807" s="5">
        <v>5</v>
      </c>
      <c r="B4807" s="5" t="s">
        <v>165</v>
      </c>
      <c r="C4807" s="5">
        <v>9</v>
      </c>
      <c r="D4807" s="5" t="s">
        <v>92</v>
      </c>
      <c r="E4807" s="5">
        <v>2023</v>
      </c>
      <c r="F4807" s="5">
        <v>10</v>
      </c>
      <c r="G4807" s="5" t="s">
        <v>55</v>
      </c>
      <c r="H4807" s="5">
        <v>2155540</v>
      </c>
      <c r="I4807" s="5">
        <v>1910259.47</v>
      </c>
      <c r="J4807" s="5">
        <v>37</v>
      </c>
      <c r="K4807" s="5">
        <v>291196</v>
      </c>
      <c r="L4807" s="5">
        <v>2442120</v>
      </c>
      <c r="M4807" s="5">
        <v>245280.53</v>
      </c>
      <c r="N4807" s="5">
        <v>0.1138</v>
      </c>
      <c r="O4807" s="5">
        <v>3</v>
      </c>
      <c r="P4807" s="5">
        <v>223405</v>
      </c>
    </row>
    <row r="4808" spans="1:16" x14ac:dyDescent="0.3">
      <c r="A4808" s="5">
        <v>29</v>
      </c>
      <c r="B4808" s="5" t="s">
        <v>165</v>
      </c>
      <c r="C4808" s="5">
        <v>9</v>
      </c>
      <c r="D4808" s="5" t="s">
        <v>92</v>
      </c>
      <c r="E4808" s="5">
        <v>2023</v>
      </c>
      <c r="F4808" s="5">
        <v>10</v>
      </c>
      <c r="G4808" s="5" t="s">
        <v>55</v>
      </c>
      <c r="H4808" s="5">
        <v>4305722</v>
      </c>
      <c r="I4808" s="5">
        <v>3728195.52</v>
      </c>
      <c r="J4808" s="5">
        <v>60</v>
      </c>
      <c r="K4808" s="5">
        <v>454317</v>
      </c>
      <c r="L4808" s="5">
        <v>4732250</v>
      </c>
      <c r="M4808" s="5">
        <v>577526.48</v>
      </c>
      <c r="N4808" s="5">
        <v>0.1341</v>
      </c>
      <c r="O4808" s="5">
        <v>4</v>
      </c>
      <c r="P4808" s="5">
        <v>128855</v>
      </c>
    </row>
    <row r="4809" spans="1:16" x14ac:dyDescent="0.3">
      <c r="A4809" s="5">
        <v>76</v>
      </c>
      <c r="B4809" s="5" t="s">
        <v>165</v>
      </c>
      <c r="C4809" s="5">
        <v>9</v>
      </c>
      <c r="D4809" s="5" t="s">
        <v>92</v>
      </c>
      <c r="E4809" s="5">
        <v>2023</v>
      </c>
      <c r="F4809" s="5">
        <v>10</v>
      </c>
      <c r="G4809" s="5" t="s">
        <v>55</v>
      </c>
      <c r="H4809" s="5">
        <v>4732251</v>
      </c>
      <c r="I4809" s="5">
        <v>4151370.31</v>
      </c>
      <c r="J4809" s="5">
        <v>63</v>
      </c>
      <c r="K4809" s="5">
        <v>565972</v>
      </c>
      <c r="L4809" s="5">
        <v>5288820</v>
      </c>
      <c r="M4809" s="5">
        <v>580880.68999999994</v>
      </c>
      <c r="N4809" s="5">
        <v>0.1227</v>
      </c>
      <c r="O4809" s="5">
        <v>5</v>
      </c>
      <c r="P4809" s="5">
        <v>88440</v>
      </c>
    </row>
    <row r="4810" spans="1:16" x14ac:dyDescent="0.3">
      <c r="A4810" s="5">
        <v>5</v>
      </c>
      <c r="B4810" s="5" t="s">
        <v>165</v>
      </c>
      <c r="C4810" s="5">
        <v>9</v>
      </c>
      <c r="D4810" s="5" t="s">
        <v>92</v>
      </c>
      <c r="E4810" s="5">
        <v>2023</v>
      </c>
      <c r="F4810" s="5">
        <v>11</v>
      </c>
      <c r="G4810" s="5" t="s">
        <v>56</v>
      </c>
      <c r="H4810" s="5">
        <v>3779418</v>
      </c>
      <c r="I4810" s="5">
        <v>3319853.62</v>
      </c>
      <c r="J4810" s="5">
        <v>62</v>
      </c>
      <c r="K4810" s="5">
        <v>548943</v>
      </c>
      <c r="L4810" s="5">
        <v>4316010</v>
      </c>
      <c r="M4810" s="5">
        <v>459564.38</v>
      </c>
      <c r="N4810" s="5">
        <v>0.1216</v>
      </c>
      <c r="O4810" s="5">
        <v>3</v>
      </c>
      <c r="P4810" s="5">
        <v>158760</v>
      </c>
    </row>
    <row r="4811" spans="1:16" x14ac:dyDescent="0.3">
      <c r="A4811" s="5">
        <v>29</v>
      </c>
      <c r="B4811" s="5" t="s">
        <v>165</v>
      </c>
      <c r="C4811" s="5">
        <v>9</v>
      </c>
      <c r="D4811" s="5" t="s">
        <v>92</v>
      </c>
      <c r="E4811" s="5">
        <v>2023</v>
      </c>
      <c r="F4811" s="5">
        <v>11</v>
      </c>
      <c r="G4811" s="5" t="s">
        <v>56</v>
      </c>
      <c r="H4811" s="5">
        <v>2863070</v>
      </c>
      <c r="I4811" s="5">
        <v>2530753.29</v>
      </c>
      <c r="J4811" s="5">
        <v>56</v>
      </c>
      <c r="K4811" s="5">
        <v>434702</v>
      </c>
      <c r="L4811" s="5">
        <v>3287150</v>
      </c>
      <c r="M4811" s="5">
        <v>332316.71000000002</v>
      </c>
      <c r="N4811" s="5">
        <v>0.11609999999999999</v>
      </c>
      <c r="O4811" s="5">
        <v>5</v>
      </c>
      <c r="P4811" s="5">
        <v>202032</v>
      </c>
    </row>
    <row r="4812" spans="1:16" x14ac:dyDescent="0.3">
      <c r="A4812" s="5">
        <v>76</v>
      </c>
      <c r="B4812" s="5" t="s">
        <v>165</v>
      </c>
      <c r="C4812" s="5">
        <v>9</v>
      </c>
      <c r="D4812" s="5" t="s">
        <v>92</v>
      </c>
      <c r="E4812" s="5">
        <v>2023</v>
      </c>
      <c r="F4812" s="5">
        <v>11</v>
      </c>
      <c r="G4812" s="5" t="s">
        <v>56</v>
      </c>
      <c r="H4812" s="5">
        <v>3774809</v>
      </c>
      <c r="I4812" s="5">
        <v>3218544.26</v>
      </c>
      <c r="J4812" s="5">
        <v>59</v>
      </c>
      <c r="K4812" s="5">
        <v>443096</v>
      </c>
      <c r="L4812" s="5">
        <v>4207700</v>
      </c>
      <c r="M4812" s="5">
        <v>556264.74</v>
      </c>
      <c r="N4812" s="5">
        <v>0.1474</v>
      </c>
      <c r="O4812" s="5">
        <v>5</v>
      </c>
      <c r="P4812" s="5">
        <v>154701</v>
      </c>
    </row>
    <row r="4813" spans="1:16" x14ac:dyDescent="0.3">
      <c r="A4813" s="5">
        <v>5</v>
      </c>
      <c r="B4813" s="5" t="s">
        <v>165</v>
      </c>
      <c r="C4813" s="5">
        <v>9</v>
      </c>
      <c r="D4813" s="5" t="s">
        <v>92</v>
      </c>
      <c r="E4813" s="5">
        <v>2023</v>
      </c>
      <c r="F4813" s="5">
        <v>12</v>
      </c>
      <c r="G4813" s="5" t="s">
        <v>57</v>
      </c>
      <c r="H4813" s="5">
        <v>3417759</v>
      </c>
      <c r="I4813" s="5">
        <v>3004329.63</v>
      </c>
      <c r="J4813" s="5">
        <v>53</v>
      </c>
      <c r="K4813" s="5">
        <v>509965</v>
      </c>
      <c r="L4813" s="5">
        <v>3922450</v>
      </c>
      <c r="M4813" s="5">
        <v>413429.37</v>
      </c>
      <c r="N4813" s="5">
        <v>0.121</v>
      </c>
      <c r="O4813" s="5">
        <v>4</v>
      </c>
      <c r="P4813" s="5">
        <v>13943</v>
      </c>
    </row>
    <row r="4814" spans="1:16" x14ac:dyDescent="0.3">
      <c r="A4814" s="5">
        <v>29</v>
      </c>
      <c r="B4814" s="5" t="s">
        <v>165</v>
      </c>
      <c r="C4814" s="5">
        <v>9</v>
      </c>
      <c r="D4814" s="5" t="s">
        <v>92</v>
      </c>
      <c r="E4814" s="5">
        <v>2023</v>
      </c>
      <c r="F4814" s="5">
        <v>12</v>
      </c>
      <c r="G4814" s="5" t="s">
        <v>57</v>
      </c>
      <c r="H4814" s="5">
        <v>4135781</v>
      </c>
      <c r="I4814" s="5">
        <v>3991625.46</v>
      </c>
      <c r="J4814" s="5">
        <v>58</v>
      </c>
      <c r="K4814" s="5">
        <v>900451</v>
      </c>
      <c r="L4814" s="5">
        <v>5029250</v>
      </c>
      <c r="M4814" s="5">
        <v>144155.54</v>
      </c>
      <c r="N4814" s="5">
        <v>3.49E-2</v>
      </c>
      <c r="O4814" s="5">
        <v>7</v>
      </c>
      <c r="P4814" s="5">
        <v>196356</v>
      </c>
    </row>
    <row r="4815" spans="1:16" x14ac:dyDescent="0.3">
      <c r="A4815" s="5">
        <v>76</v>
      </c>
      <c r="B4815" s="5" t="s">
        <v>165</v>
      </c>
      <c r="C4815" s="5">
        <v>9</v>
      </c>
      <c r="D4815" s="5" t="s">
        <v>92</v>
      </c>
      <c r="E4815" s="5">
        <v>2023</v>
      </c>
      <c r="F4815" s="5">
        <v>12</v>
      </c>
      <c r="G4815" s="5" t="s">
        <v>57</v>
      </c>
      <c r="H4815" s="5">
        <v>4444036</v>
      </c>
      <c r="I4815" s="5">
        <v>3890782.04</v>
      </c>
      <c r="J4815" s="5">
        <v>65</v>
      </c>
      <c r="K4815" s="5">
        <v>545615</v>
      </c>
      <c r="L4815" s="5">
        <v>4974640</v>
      </c>
      <c r="M4815" s="5">
        <v>553253.96</v>
      </c>
      <c r="N4815" s="5">
        <v>0.1245</v>
      </c>
      <c r="O4815" s="5">
        <v>4</v>
      </c>
      <c r="P4815" s="5">
        <v>265068</v>
      </c>
    </row>
    <row r="4816" spans="1:16" x14ac:dyDescent="0.3">
      <c r="A4816" s="5">
        <v>5</v>
      </c>
      <c r="B4816" s="5" t="s">
        <v>165</v>
      </c>
      <c r="C4816" s="5">
        <v>9</v>
      </c>
      <c r="D4816" s="5" t="s">
        <v>92</v>
      </c>
      <c r="E4816" s="5">
        <v>2024</v>
      </c>
      <c r="F4816" s="5">
        <v>1</v>
      </c>
      <c r="G4816" s="5" t="s">
        <v>58</v>
      </c>
      <c r="H4816" s="5">
        <v>2422430</v>
      </c>
      <c r="I4816" s="5">
        <v>2272989.71</v>
      </c>
      <c r="J4816" s="5">
        <v>36</v>
      </c>
      <c r="K4816" s="5">
        <v>458465</v>
      </c>
      <c r="L4816" s="5">
        <v>2876280</v>
      </c>
      <c r="M4816" s="5">
        <v>149440.29</v>
      </c>
      <c r="N4816" s="5">
        <v>6.1699999999999998E-2</v>
      </c>
      <c r="O4816" s="5">
        <v>1</v>
      </c>
      <c r="P4816" s="5">
        <v>4077</v>
      </c>
    </row>
    <row r="4817" spans="1:16" x14ac:dyDescent="0.3">
      <c r="A4817" s="5">
        <v>29</v>
      </c>
      <c r="B4817" s="5" t="s">
        <v>165</v>
      </c>
      <c r="C4817" s="5">
        <v>9</v>
      </c>
      <c r="D4817" s="5" t="s">
        <v>92</v>
      </c>
      <c r="E4817" s="5">
        <v>2024</v>
      </c>
      <c r="F4817" s="5">
        <v>1</v>
      </c>
      <c r="G4817" s="5" t="s">
        <v>58</v>
      </c>
      <c r="H4817" s="5">
        <v>1764756</v>
      </c>
      <c r="I4817" s="5">
        <v>1632839.09</v>
      </c>
      <c r="J4817" s="5">
        <v>31</v>
      </c>
      <c r="K4817" s="5">
        <v>367394</v>
      </c>
      <c r="L4817" s="5">
        <v>2129630</v>
      </c>
      <c r="M4817" s="5">
        <v>131916.91</v>
      </c>
      <c r="N4817" s="5">
        <v>7.4800000000000005E-2</v>
      </c>
      <c r="O4817" s="5">
        <v>3</v>
      </c>
      <c r="P4817" s="5">
        <v>138020</v>
      </c>
    </row>
    <row r="4818" spans="1:16" x14ac:dyDescent="0.3">
      <c r="A4818" s="5">
        <v>76</v>
      </c>
      <c r="B4818" s="5" t="s">
        <v>165</v>
      </c>
      <c r="C4818" s="5">
        <v>9</v>
      </c>
      <c r="D4818" s="5" t="s">
        <v>92</v>
      </c>
      <c r="E4818" s="5">
        <v>2024</v>
      </c>
      <c r="F4818" s="5">
        <v>1</v>
      </c>
      <c r="G4818" s="5" t="s">
        <v>58</v>
      </c>
      <c r="H4818" s="5">
        <v>3130067</v>
      </c>
      <c r="I4818" s="5">
        <v>2734974.36</v>
      </c>
      <c r="J4818" s="5">
        <v>47</v>
      </c>
      <c r="K4818" s="5">
        <v>434983</v>
      </c>
      <c r="L4818" s="5">
        <v>3553520</v>
      </c>
      <c r="M4818" s="5">
        <v>395092.64</v>
      </c>
      <c r="N4818" s="5">
        <v>0.12620000000000001</v>
      </c>
      <c r="O4818" s="5">
        <v>2</v>
      </c>
      <c r="P4818" s="5">
        <v>55712</v>
      </c>
    </row>
    <row r="4819" spans="1:16" x14ac:dyDescent="0.3">
      <c r="A4819" s="5">
        <v>5</v>
      </c>
      <c r="B4819" s="5" t="s">
        <v>165</v>
      </c>
      <c r="C4819" s="5">
        <v>9</v>
      </c>
      <c r="D4819" s="5" t="s">
        <v>92</v>
      </c>
      <c r="E4819" s="5">
        <v>2024</v>
      </c>
      <c r="F4819" s="5">
        <v>2</v>
      </c>
      <c r="G4819" s="5" t="s">
        <v>59</v>
      </c>
      <c r="H4819" s="5">
        <v>4050247</v>
      </c>
      <c r="I4819" s="5">
        <v>3518640.83</v>
      </c>
      <c r="J4819" s="5">
        <v>43</v>
      </c>
      <c r="K4819" s="5">
        <v>462539</v>
      </c>
      <c r="L4819" s="5">
        <v>4501580</v>
      </c>
      <c r="M4819" s="5">
        <v>531606.17000000004</v>
      </c>
      <c r="N4819" s="5">
        <v>0.1313</v>
      </c>
      <c r="O4819" s="5">
        <v>6</v>
      </c>
      <c r="P4819" s="5">
        <v>306369</v>
      </c>
    </row>
    <row r="4820" spans="1:16" x14ac:dyDescent="0.3">
      <c r="A4820" s="5">
        <v>29</v>
      </c>
      <c r="B4820" s="5" t="s">
        <v>165</v>
      </c>
      <c r="C4820" s="5">
        <v>9</v>
      </c>
      <c r="D4820" s="5" t="s">
        <v>92</v>
      </c>
      <c r="E4820" s="5">
        <v>2024</v>
      </c>
      <c r="F4820" s="5">
        <v>2</v>
      </c>
      <c r="G4820" s="5" t="s">
        <v>59</v>
      </c>
      <c r="H4820" s="5">
        <v>2651263</v>
      </c>
      <c r="I4820" s="5">
        <v>2262518.52</v>
      </c>
      <c r="J4820" s="5">
        <v>40</v>
      </c>
      <c r="K4820" s="5">
        <v>239980</v>
      </c>
      <c r="L4820" s="5">
        <v>2875330</v>
      </c>
      <c r="M4820" s="5">
        <v>388744.48</v>
      </c>
      <c r="N4820" s="5">
        <v>0.14660000000000001</v>
      </c>
      <c r="O4820" s="5">
        <v>6</v>
      </c>
      <c r="P4820" s="5">
        <v>309025</v>
      </c>
    </row>
    <row r="4821" spans="1:16" x14ac:dyDescent="0.3">
      <c r="A4821" s="5">
        <v>76</v>
      </c>
      <c r="B4821" s="5" t="s">
        <v>165</v>
      </c>
      <c r="C4821" s="5">
        <v>9</v>
      </c>
      <c r="D4821" s="5" t="s">
        <v>92</v>
      </c>
      <c r="E4821" s="5">
        <v>2024</v>
      </c>
      <c r="F4821" s="5">
        <v>2</v>
      </c>
      <c r="G4821" s="5" t="s">
        <v>59</v>
      </c>
      <c r="H4821" s="5">
        <v>1853994</v>
      </c>
      <c r="I4821" s="5">
        <v>1605210.26</v>
      </c>
      <c r="J4821" s="5">
        <v>35</v>
      </c>
      <c r="K4821" s="5">
        <v>204868</v>
      </c>
      <c r="L4821" s="5">
        <v>2051170</v>
      </c>
      <c r="M4821" s="5">
        <v>248783.74</v>
      </c>
      <c r="N4821" s="5">
        <v>0.13420000000000001</v>
      </c>
      <c r="O4821" s="5">
        <v>2</v>
      </c>
      <c r="P4821" s="5">
        <v>42079</v>
      </c>
    </row>
    <row r="4822" spans="1:16" x14ac:dyDescent="0.3">
      <c r="A4822" s="5">
        <v>5</v>
      </c>
      <c r="B4822" s="5" t="s">
        <v>165</v>
      </c>
      <c r="C4822" s="5">
        <v>9</v>
      </c>
      <c r="D4822" s="5" t="s">
        <v>92</v>
      </c>
      <c r="E4822" s="5">
        <v>2024</v>
      </c>
      <c r="F4822" s="5">
        <v>3</v>
      </c>
      <c r="G4822" s="5" t="s">
        <v>60</v>
      </c>
      <c r="H4822" s="5">
        <v>2088348</v>
      </c>
      <c r="I4822" s="5">
        <v>1774524.24</v>
      </c>
      <c r="J4822" s="5">
        <v>36</v>
      </c>
      <c r="K4822" s="5">
        <v>219170</v>
      </c>
      <c r="L4822" s="5">
        <v>2298960</v>
      </c>
      <c r="M4822" s="5">
        <v>313823.76</v>
      </c>
      <c r="N4822" s="5">
        <v>0.15029999999999999</v>
      </c>
      <c r="O4822" s="5">
        <v>5</v>
      </c>
      <c r="P4822" s="5">
        <v>105274</v>
      </c>
    </row>
    <row r="4823" spans="1:16" x14ac:dyDescent="0.3">
      <c r="A4823" s="5">
        <v>29</v>
      </c>
      <c r="B4823" s="5" t="s">
        <v>165</v>
      </c>
      <c r="C4823" s="5">
        <v>9</v>
      </c>
      <c r="D4823" s="5" t="s">
        <v>92</v>
      </c>
      <c r="E4823" s="5">
        <v>2024</v>
      </c>
      <c r="F4823" s="5">
        <v>3</v>
      </c>
      <c r="G4823" s="5" t="s">
        <v>60</v>
      </c>
      <c r="H4823" s="5">
        <v>2427130</v>
      </c>
      <c r="I4823" s="5">
        <v>2050313.04</v>
      </c>
      <c r="J4823" s="5">
        <v>36</v>
      </c>
      <c r="K4823" s="5">
        <v>290933</v>
      </c>
      <c r="L4823" s="5">
        <v>2710550</v>
      </c>
      <c r="M4823" s="5">
        <v>376816.96</v>
      </c>
      <c r="N4823" s="5">
        <v>0.15529999999999999</v>
      </c>
      <c r="O4823" s="5">
        <v>4</v>
      </c>
      <c r="P4823" s="5">
        <v>185822</v>
      </c>
    </row>
    <row r="4824" spans="1:16" x14ac:dyDescent="0.3">
      <c r="A4824" s="5">
        <v>76</v>
      </c>
      <c r="B4824" s="5" t="s">
        <v>165</v>
      </c>
      <c r="C4824" s="5">
        <v>9</v>
      </c>
      <c r="D4824" s="5" t="s">
        <v>92</v>
      </c>
      <c r="E4824" s="5">
        <v>2024</v>
      </c>
      <c r="F4824" s="5">
        <v>3</v>
      </c>
      <c r="G4824" s="5" t="s">
        <v>60</v>
      </c>
      <c r="H4824" s="5">
        <v>3617794</v>
      </c>
      <c r="I4824" s="5">
        <v>3212349.87</v>
      </c>
      <c r="J4824" s="5">
        <v>59</v>
      </c>
      <c r="K4824" s="5">
        <v>511590</v>
      </c>
      <c r="L4824" s="5">
        <v>4121580</v>
      </c>
      <c r="M4824" s="5">
        <v>405444.13</v>
      </c>
      <c r="N4824" s="5">
        <v>0.11210000000000001</v>
      </c>
      <c r="O4824" s="5">
        <v>7</v>
      </c>
      <c r="P4824" s="5">
        <v>207001</v>
      </c>
    </row>
    <row r="4825" spans="1:16" x14ac:dyDescent="0.3">
      <c r="A4825" s="5">
        <v>5</v>
      </c>
      <c r="B4825" s="5" t="s">
        <v>165</v>
      </c>
      <c r="C4825" s="5">
        <v>9</v>
      </c>
      <c r="D4825" s="5" t="s">
        <v>92</v>
      </c>
      <c r="E4825" s="5">
        <v>2024</v>
      </c>
      <c r="F4825" s="5">
        <v>4</v>
      </c>
      <c r="G4825" s="5" t="s">
        <v>61</v>
      </c>
      <c r="H4825" s="5">
        <v>3857051</v>
      </c>
      <c r="I4825" s="5">
        <v>3279690.63</v>
      </c>
      <c r="J4825" s="5">
        <v>41</v>
      </c>
      <c r="K4825" s="5">
        <v>350126</v>
      </c>
      <c r="L4825" s="5">
        <v>4197190</v>
      </c>
      <c r="M4825" s="5">
        <v>577360.37</v>
      </c>
      <c r="N4825" s="5">
        <v>0.1497</v>
      </c>
      <c r="O4825" s="5">
        <v>1</v>
      </c>
      <c r="P4825" s="5">
        <v>58599</v>
      </c>
    </row>
    <row r="4826" spans="1:16" x14ac:dyDescent="0.3">
      <c r="A4826" s="5">
        <v>29</v>
      </c>
      <c r="B4826" s="5" t="s">
        <v>165</v>
      </c>
      <c r="C4826" s="5">
        <v>9</v>
      </c>
      <c r="D4826" s="5" t="s">
        <v>92</v>
      </c>
      <c r="E4826" s="5">
        <v>2024</v>
      </c>
      <c r="F4826" s="5">
        <v>4</v>
      </c>
      <c r="G4826" s="5" t="s">
        <v>61</v>
      </c>
      <c r="H4826" s="5">
        <v>3765871</v>
      </c>
      <c r="I4826" s="5">
        <v>3391873.82</v>
      </c>
      <c r="J4826" s="5">
        <v>52</v>
      </c>
      <c r="K4826" s="5">
        <v>525388</v>
      </c>
      <c r="L4826" s="5">
        <v>4278300</v>
      </c>
      <c r="M4826" s="5">
        <v>373997.18</v>
      </c>
      <c r="N4826" s="5">
        <v>9.9299999999999999E-2</v>
      </c>
      <c r="O4826" s="5">
        <v>3</v>
      </c>
      <c r="P4826" s="5">
        <v>71227</v>
      </c>
    </row>
    <row r="4827" spans="1:16" x14ac:dyDescent="0.3">
      <c r="A4827" s="5">
        <v>76</v>
      </c>
      <c r="B4827" s="5" t="s">
        <v>165</v>
      </c>
      <c r="C4827" s="5">
        <v>9</v>
      </c>
      <c r="D4827" s="5" t="s">
        <v>92</v>
      </c>
      <c r="E4827" s="5">
        <v>2024</v>
      </c>
      <c r="F4827" s="5">
        <v>4</v>
      </c>
      <c r="G4827" s="5" t="s">
        <v>61</v>
      </c>
      <c r="H4827" s="5">
        <v>1623508</v>
      </c>
      <c r="I4827" s="5">
        <v>1418873.85</v>
      </c>
      <c r="J4827" s="5">
        <v>32</v>
      </c>
      <c r="K4827" s="5">
        <v>214105</v>
      </c>
      <c r="L4827" s="5">
        <v>1834200</v>
      </c>
      <c r="M4827" s="5">
        <v>204634.15</v>
      </c>
      <c r="N4827" s="5">
        <v>0.126</v>
      </c>
      <c r="O4827" s="5">
        <v>3</v>
      </c>
      <c r="P4827" s="5">
        <v>186113</v>
      </c>
    </row>
    <row r="4828" spans="1:16" x14ac:dyDescent="0.3">
      <c r="A4828" s="5">
        <v>5</v>
      </c>
      <c r="B4828" s="5" t="s">
        <v>165</v>
      </c>
      <c r="C4828" s="5">
        <v>9</v>
      </c>
      <c r="D4828" s="5" t="s">
        <v>92</v>
      </c>
      <c r="E4828" s="5">
        <v>2024</v>
      </c>
      <c r="F4828" s="5">
        <v>5</v>
      </c>
      <c r="G4828" s="5" t="s">
        <v>62</v>
      </c>
      <c r="H4828" s="5">
        <v>2208231</v>
      </c>
      <c r="I4828" s="5">
        <v>1815770.4</v>
      </c>
      <c r="J4828" s="5">
        <v>31</v>
      </c>
      <c r="K4828" s="5">
        <v>164102</v>
      </c>
      <c r="L4828" s="5">
        <v>2368960</v>
      </c>
      <c r="M4828" s="5">
        <v>392460.6</v>
      </c>
      <c r="N4828" s="5">
        <v>0.1777</v>
      </c>
      <c r="O4828" s="5">
        <v>2</v>
      </c>
      <c r="P4828" s="5">
        <v>36844</v>
      </c>
    </row>
    <row r="4829" spans="1:16" x14ac:dyDescent="0.3">
      <c r="A4829" s="5">
        <v>29</v>
      </c>
      <c r="B4829" s="5" t="s">
        <v>165</v>
      </c>
      <c r="C4829" s="5">
        <v>9</v>
      </c>
      <c r="D4829" s="5" t="s">
        <v>92</v>
      </c>
      <c r="E4829" s="5">
        <v>2024</v>
      </c>
      <c r="F4829" s="5">
        <v>5</v>
      </c>
      <c r="G4829" s="5" t="s">
        <v>62</v>
      </c>
      <c r="H4829" s="5">
        <v>3115027</v>
      </c>
      <c r="I4829" s="5">
        <v>2636159.62</v>
      </c>
      <c r="J4829" s="5">
        <v>47</v>
      </c>
      <c r="K4829" s="5">
        <v>291106</v>
      </c>
      <c r="L4829" s="5">
        <v>3389150</v>
      </c>
      <c r="M4829" s="5">
        <v>478867.38</v>
      </c>
      <c r="N4829" s="5">
        <v>0.1537</v>
      </c>
      <c r="O4829" s="5">
        <v>1</v>
      </c>
      <c r="P4829" s="5">
        <v>238291</v>
      </c>
    </row>
    <row r="4830" spans="1:16" x14ac:dyDescent="0.3">
      <c r="A4830" s="5">
        <v>76</v>
      </c>
      <c r="B4830" s="5" t="s">
        <v>165</v>
      </c>
      <c r="C4830" s="5">
        <v>9</v>
      </c>
      <c r="D4830" s="5" t="s">
        <v>92</v>
      </c>
      <c r="E4830" s="5">
        <v>2024</v>
      </c>
      <c r="F4830" s="5">
        <v>5</v>
      </c>
      <c r="G4830" s="5" t="s">
        <v>62</v>
      </c>
      <c r="H4830" s="5">
        <v>3212332</v>
      </c>
      <c r="I4830" s="5">
        <v>3063741.98</v>
      </c>
      <c r="J4830" s="5">
        <v>46</v>
      </c>
      <c r="K4830" s="5">
        <v>671356</v>
      </c>
      <c r="L4830" s="5">
        <v>3874750</v>
      </c>
      <c r="M4830" s="5">
        <v>148590.01999999999</v>
      </c>
      <c r="N4830" s="5">
        <v>4.6300000000000001E-2</v>
      </c>
      <c r="O4830" s="5">
        <v>2</v>
      </c>
      <c r="P4830" s="5">
        <v>93486</v>
      </c>
    </row>
    <row r="4831" spans="1:16" x14ac:dyDescent="0.3">
      <c r="A4831" s="5">
        <v>5</v>
      </c>
      <c r="B4831" s="5" t="s">
        <v>165</v>
      </c>
      <c r="C4831" s="5">
        <v>9</v>
      </c>
      <c r="D4831" s="5" t="s">
        <v>92</v>
      </c>
      <c r="E4831" s="5">
        <v>2024</v>
      </c>
      <c r="F4831" s="5">
        <v>6</v>
      </c>
      <c r="G4831" s="5" t="s">
        <v>63</v>
      </c>
      <c r="H4831" s="5">
        <v>2789806</v>
      </c>
      <c r="I4831" s="5">
        <v>2272633.0099999998</v>
      </c>
      <c r="J4831" s="5">
        <v>39</v>
      </c>
      <c r="K4831" s="5">
        <v>205012</v>
      </c>
      <c r="L4831" s="5">
        <v>2988550</v>
      </c>
      <c r="M4831" s="5">
        <v>517172.99</v>
      </c>
      <c r="N4831" s="5">
        <v>0.18540000000000001</v>
      </c>
      <c r="O4831" s="5">
        <v>3</v>
      </c>
      <c r="P4831" s="5">
        <v>151987</v>
      </c>
    </row>
    <row r="4832" spans="1:16" x14ac:dyDescent="0.3">
      <c r="A4832" s="5">
        <v>29</v>
      </c>
      <c r="B4832" s="5" t="s">
        <v>165</v>
      </c>
      <c r="C4832" s="5">
        <v>9</v>
      </c>
      <c r="D4832" s="5" t="s">
        <v>92</v>
      </c>
      <c r="E4832" s="5">
        <v>2024</v>
      </c>
      <c r="F4832" s="5">
        <v>6</v>
      </c>
      <c r="G4832" s="5" t="s">
        <v>63</v>
      </c>
      <c r="H4832" s="5">
        <v>2827124</v>
      </c>
      <c r="I4832" s="5">
        <v>2405441.27</v>
      </c>
      <c r="J4832" s="5">
        <v>38</v>
      </c>
      <c r="K4832" s="5">
        <v>235448</v>
      </c>
      <c r="L4832" s="5">
        <v>3057060</v>
      </c>
      <c r="M4832" s="5">
        <v>421682.73</v>
      </c>
      <c r="N4832" s="5">
        <v>0.1492</v>
      </c>
      <c r="O4832" s="5">
        <v>3</v>
      </c>
      <c r="P4832" s="5">
        <v>44590</v>
      </c>
    </row>
    <row r="4833" spans="1:16" x14ac:dyDescent="0.3">
      <c r="A4833" s="5">
        <v>76</v>
      </c>
      <c r="B4833" s="5" t="s">
        <v>165</v>
      </c>
      <c r="C4833" s="5">
        <v>9</v>
      </c>
      <c r="D4833" s="5" t="s">
        <v>92</v>
      </c>
      <c r="E4833" s="5">
        <v>2024</v>
      </c>
      <c r="F4833" s="5">
        <v>6</v>
      </c>
      <c r="G4833" s="5" t="s">
        <v>63</v>
      </c>
      <c r="H4833" s="5">
        <v>2426341</v>
      </c>
      <c r="I4833" s="5">
        <v>2029296.23</v>
      </c>
      <c r="J4833" s="5">
        <v>46</v>
      </c>
      <c r="K4833" s="5">
        <v>205313</v>
      </c>
      <c r="L4833" s="5">
        <v>2619530</v>
      </c>
      <c r="M4833" s="5">
        <v>397044.77</v>
      </c>
      <c r="N4833" s="5">
        <v>0.1636</v>
      </c>
      <c r="O4833" s="5">
        <v>1</v>
      </c>
      <c r="P4833" s="5">
        <v>2608</v>
      </c>
    </row>
    <row r="4834" spans="1:16" x14ac:dyDescent="0.3">
      <c r="A4834" s="5">
        <v>5</v>
      </c>
      <c r="B4834" s="5" t="s">
        <v>165</v>
      </c>
      <c r="C4834" s="5">
        <v>9</v>
      </c>
      <c r="D4834" s="5" t="s">
        <v>92</v>
      </c>
      <c r="E4834" s="5">
        <v>2024</v>
      </c>
      <c r="F4834" s="5">
        <v>7</v>
      </c>
      <c r="G4834" s="5" t="s">
        <v>64</v>
      </c>
      <c r="H4834" s="5">
        <v>1853135</v>
      </c>
      <c r="I4834" s="5">
        <v>1546674.23</v>
      </c>
      <c r="J4834" s="5">
        <v>32</v>
      </c>
      <c r="K4834" s="5">
        <v>149243</v>
      </c>
      <c r="L4834" s="5">
        <v>1992420</v>
      </c>
      <c r="M4834" s="5">
        <v>306460.77</v>
      </c>
      <c r="N4834" s="5">
        <v>0.16539999999999999</v>
      </c>
      <c r="O4834" s="5">
        <v>0</v>
      </c>
      <c r="P4834" s="5">
        <v>0</v>
      </c>
    </row>
    <row r="4835" spans="1:16" x14ac:dyDescent="0.3">
      <c r="A4835" s="5">
        <v>29</v>
      </c>
      <c r="B4835" s="5" t="s">
        <v>165</v>
      </c>
      <c r="C4835" s="5">
        <v>9</v>
      </c>
      <c r="D4835" s="5" t="s">
        <v>92</v>
      </c>
      <c r="E4835" s="5">
        <v>2024</v>
      </c>
      <c r="F4835" s="5">
        <v>7</v>
      </c>
      <c r="G4835" s="5" t="s">
        <v>64</v>
      </c>
      <c r="H4835" s="5">
        <v>3569790</v>
      </c>
      <c r="I4835" s="5">
        <v>3161797.73</v>
      </c>
      <c r="J4835" s="5">
        <v>36</v>
      </c>
      <c r="K4835" s="5">
        <v>456076</v>
      </c>
      <c r="L4835" s="5">
        <v>4018530</v>
      </c>
      <c r="M4835" s="5">
        <v>407992.27</v>
      </c>
      <c r="N4835" s="5">
        <v>0.1143</v>
      </c>
      <c r="O4835" s="5">
        <v>4</v>
      </c>
      <c r="P4835" s="5">
        <v>92050</v>
      </c>
    </row>
    <row r="4836" spans="1:16" x14ac:dyDescent="0.3">
      <c r="A4836" s="5">
        <v>76</v>
      </c>
      <c r="B4836" s="5" t="s">
        <v>165</v>
      </c>
      <c r="C4836" s="5">
        <v>9</v>
      </c>
      <c r="D4836" s="5" t="s">
        <v>92</v>
      </c>
      <c r="E4836" s="5">
        <v>2024</v>
      </c>
      <c r="F4836" s="5">
        <v>7</v>
      </c>
      <c r="G4836" s="5" t="s">
        <v>64</v>
      </c>
      <c r="H4836" s="5">
        <v>3649755</v>
      </c>
      <c r="I4836" s="5">
        <v>3094385.82</v>
      </c>
      <c r="J4836" s="5">
        <v>54</v>
      </c>
      <c r="K4836" s="5">
        <v>347212</v>
      </c>
      <c r="L4836" s="5">
        <v>3982360</v>
      </c>
      <c r="M4836" s="5">
        <v>555369.18000000005</v>
      </c>
      <c r="N4836" s="5">
        <v>0.1522</v>
      </c>
      <c r="O4836" s="5">
        <v>4</v>
      </c>
      <c r="P4836" s="5">
        <v>104447</v>
      </c>
    </row>
    <row r="4837" spans="1:16" x14ac:dyDescent="0.3">
      <c r="A4837" s="5">
        <v>5</v>
      </c>
      <c r="B4837" s="5" t="s">
        <v>165</v>
      </c>
      <c r="C4837" s="5">
        <v>9</v>
      </c>
      <c r="D4837" s="5" t="s">
        <v>92</v>
      </c>
      <c r="E4837" s="5">
        <v>2024</v>
      </c>
      <c r="F4837" s="5">
        <v>8</v>
      </c>
      <c r="G4837" s="5" t="s">
        <v>65</v>
      </c>
      <c r="H4837" s="5">
        <v>2572547</v>
      </c>
      <c r="I4837" s="5">
        <v>2261487.34</v>
      </c>
      <c r="J4837" s="5">
        <v>36</v>
      </c>
      <c r="K4837" s="5">
        <v>297898</v>
      </c>
      <c r="L4837" s="5">
        <v>2863030</v>
      </c>
      <c r="M4837" s="5">
        <v>311059.65999999997</v>
      </c>
      <c r="N4837" s="5">
        <v>0.12089999999999999</v>
      </c>
      <c r="O4837" s="5">
        <v>3</v>
      </c>
      <c r="P4837" s="5">
        <v>114107</v>
      </c>
    </row>
    <row r="4838" spans="1:16" x14ac:dyDescent="0.3">
      <c r="A4838" s="5">
        <v>29</v>
      </c>
      <c r="B4838" s="5" t="s">
        <v>165</v>
      </c>
      <c r="C4838" s="5">
        <v>9</v>
      </c>
      <c r="D4838" s="5" t="s">
        <v>92</v>
      </c>
      <c r="E4838" s="5">
        <v>2024</v>
      </c>
      <c r="F4838" s="5">
        <v>8</v>
      </c>
      <c r="G4838" s="5" t="s">
        <v>65</v>
      </c>
      <c r="H4838" s="5">
        <v>2944587</v>
      </c>
      <c r="I4838" s="5">
        <v>2516419.7200000002</v>
      </c>
      <c r="J4838" s="5">
        <v>43</v>
      </c>
      <c r="K4838" s="5">
        <v>295029</v>
      </c>
      <c r="L4838" s="5">
        <v>3222670</v>
      </c>
      <c r="M4838" s="5">
        <v>428167.28</v>
      </c>
      <c r="N4838" s="5">
        <v>0.1454</v>
      </c>
      <c r="O4838" s="5">
        <v>9</v>
      </c>
      <c r="P4838" s="5">
        <v>172062</v>
      </c>
    </row>
    <row r="4839" spans="1:16" x14ac:dyDescent="0.3">
      <c r="A4839" s="5">
        <v>76</v>
      </c>
      <c r="B4839" s="5" t="s">
        <v>165</v>
      </c>
      <c r="C4839" s="5">
        <v>9</v>
      </c>
      <c r="D4839" s="5" t="s">
        <v>92</v>
      </c>
      <c r="E4839" s="5">
        <v>2024</v>
      </c>
      <c r="F4839" s="5">
        <v>8</v>
      </c>
      <c r="G4839" s="5" t="s">
        <v>65</v>
      </c>
      <c r="H4839" s="5">
        <v>3449688</v>
      </c>
      <c r="I4839" s="5">
        <v>2974447.12</v>
      </c>
      <c r="J4839" s="5">
        <v>57</v>
      </c>
      <c r="K4839" s="5">
        <v>415983</v>
      </c>
      <c r="L4839" s="5">
        <v>3859320</v>
      </c>
      <c r="M4839" s="5">
        <v>475240.88</v>
      </c>
      <c r="N4839" s="5">
        <v>0.13780000000000001</v>
      </c>
      <c r="O4839" s="5">
        <v>4</v>
      </c>
      <c r="P4839" s="5">
        <v>59732</v>
      </c>
    </row>
    <row r="4840" spans="1:16" x14ac:dyDescent="0.3">
      <c r="A4840" s="5">
        <v>5</v>
      </c>
      <c r="B4840" s="5" t="s">
        <v>165</v>
      </c>
      <c r="C4840" s="5">
        <v>9</v>
      </c>
      <c r="D4840" s="5" t="s">
        <v>92</v>
      </c>
      <c r="E4840" s="5">
        <v>2024</v>
      </c>
      <c r="F4840" s="5">
        <v>9</v>
      </c>
      <c r="G4840" s="5" t="s">
        <v>66</v>
      </c>
      <c r="H4840" s="5">
        <v>3386677</v>
      </c>
      <c r="I4840" s="5">
        <v>2739196.46</v>
      </c>
      <c r="J4840" s="5">
        <v>49</v>
      </c>
      <c r="K4840" s="5">
        <v>173846</v>
      </c>
      <c r="L4840" s="5">
        <v>3544560</v>
      </c>
      <c r="M4840" s="5">
        <v>647480.54</v>
      </c>
      <c r="N4840" s="5">
        <v>0.19120000000000001</v>
      </c>
      <c r="O4840" s="5">
        <v>2</v>
      </c>
      <c r="P4840" s="5">
        <v>77007</v>
      </c>
    </row>
    <row r="4841" spans="1:16" x14ac:dyDescent="0.3">
      <c r="A4841" s="5">
        <v>29</v>
      </c>
      <c r="B4841" s="5" t="s">
        <v>165</v>
      </c>
      <c r="C4841" s="5">
        <v>9</v>
      </c>
      <c r="D4841" s="5" t="s">
        <v>92</v>
      </c>
      <c r="E4841" s="5">
        <v>2024</v>
      </c>
      <c r="F4841" s="5">
        <v>9</v>
      </c>
      <c r="G4841" s="5" t="s">
        <v>66</v>
      </c>
      <c r="H4841" s="5">
        <v>3646470</v>
      </c>
      <c r="I4841" s="5">
        <v>2985598.35</v>
      </c>
      <c r="J4841" s="5">
        <v>47</v>
      </c>
      <c r="K4841" s="5">
        <v>210896</v>
      </c>
      <c r="L4841" s="5">
        <v>3839910</v>
      </c>
      <c r="M4841" s="5">
        <v>660871.65</v>
      </c>
      <c r="N4841" s="5">
        <v>0.1812</v>
      </c>
      <c r="O4841" s="5">
        <v>1</v>
      </c>
      <c r="P4841" s="5">
        <v>44544</v>
      </c>
    </row>
    <row r="4842" spans="1:16" x14ac:dyDescent="0.3">
      <c r="A4842" s="5">
        <v>76</v>
      </c>
      <c r="B4842" s="5" t="s">
        <v>165</v>
      </c>
      <c r="C4842" s="5">
        <v>9</v>
      </c>
      <c r="D4842" s="5" t="s">
        <v>92</v>
      </c>
      <c r="E4842" s="5">
        <v>2024</v>
      </c>
      <c r="F4842" s="5">
        <v>9</v>
      </c>
      <c r="G4842" s="5" t="s">
        <v>66</v>
      </c>
      <c r="H4842" s="5">
        <v>4938103</v>
      </c>
      <c r="I4842" s="5">
        <v>4060447.43</v>
      </c>
      <c r="J4842" s="5">
        <v>69</v>
      </c>
      <c r="K4842" s="5">
        <v>332260</v>
      </c>
      <c r="L4842" s="5">
        <v>5251210</v>
      </c>
      <c r="M4842" s="5">
        <v>877655.57</v>
      </c>
      <c r="N4842" s="5">
        <v>0.1777</v>
      </c>
      <c r="O4842" s="5">
        <v>5</v>
      </c>
      <c r="P4842" s="5">
        <v>177504</v>
      </c>
    </row>
    <row r="4843" spans="1:16" x14ac:dyDescent="0.3">
      <c r="A4843" s="5">
        <v>5</v>
      </c>
      <c r="B4843" s="5" t="s">
        <v>165</v>
      </c>
      <c r="C4843" s="5">
        <v>9</v>
      </c>
      <c r="D4843" s="5" t="s">
        <v>92</v>
      </c>
      <c r="E4843" s="5">
        <v>2024</v>
      </c>
      <c r="F4843" s="5">
        <v>10</v>
      </c>
      <c r="G4843" s="5" t="s">
        <v>67</v>
      </c>
      <c r="H4843" s="5">
        <v>3469341</v>
      </c>
      <c r="I4843" s="5">
        <v>2817637.07</v>
      </c>
      <c r="J4843" s="5">
        <v>53</v>
      </c>
      <c r="K4843" s="5">
        <v>89802</v>
      </c>
      <c r="L4843" s="5">
        <v>3549030</v>
      </c>
      <c r="M4843" s="5">
        <v>651703.93000000005</v>
      </c>
      <c r="N4843" s="5">
        <v>0.18779999999999999</v>
      </c>
      <c r="O4843" s="5">
        <v>5</v>
      </c>
      <c r="P4843" s="5">
        <v>205758</v>
      </c>
    </row>
    <row r="4844" spans="1:16" x14ac:dyDescent="0.3">
      <c r="A4844" s="5">
        <v>29</v>
      </c>
      <c r="B4844" s="5" t="s">
        <v>165</v>
      </c>
      <c r="C4844" s="5">
        <v>9</v>
      </c>
      <c r="D4844" s="5" t="s">
        <v>92</v>
      </c>
      <c r="E4844" s="5">
        <v>2024</v>
      </c>
      <c r="F4844" s="5">
        <v>10</v>
      </c>
      <c r="G4844" s="5" t="s">
        <v>67</v>
      </c>
      <c r="H4844" s="5">
        <v>4434719</v>
      </c>
      <c r="I4844" s="5">
        <v>3520629.05</v>
      </c>
      <c r="J4844" s="5">
        <v>56</v>
      </c>
      <c r="K4844" s="5">
        <v>146990</v>
      </c>
      <c r="L4844" s="5">
        <v>4573910</v>
      </c>
      <c r="M4844" s="5">
        <v>914089.95</v>
      </c>
      <c r="N4844" s="5">
        <v>0.20610000000000001</v>
      </c>
      <c r="O4844" s="5">
        <v>3</v>
      </c>
      <c r="P4844" s="5">
        <v>112936</v>
      </c>
    </row>
    <row r="4845" spans="1:16" x14ac:dyDescent="0.3">
      <c r="A4845" s="5">
        <v>76</v>
      </c>
      <c r="B4845" s="5" t="s">
        <v>165</v>
      </c>
      <c r="C4845" s="5">
        <v>9</v>
      </c>
      <c r="D4845" s="5" t="s">
        <v>92</v>
      </c>
      <c r="E4845" s="5">
        <v>2024</v>
      </c>
      <c r="F4845" s="5">
        <v>10</v>
      </c>
      <c r="G4845" s="5" t="s">
        <v>67</v>
      </c>
      <c r="H4845" s="5">
        <v>6998574</v>
      </c>
      <c r="I4845" s="5">
        <v>5709551.0700000003</v>
      </c>
      <c r="J4845" s="5">
        <v>85</v>
      </c>
      <c r="K4845" s="5">
        <v>275464</v>
      </c>
      <c r="L4845" s="5">
        <v>7251590</v>
      </c>
      <c r="M4845" s="5">
        <v>1289022.93</v>
      </c>
      <c r="N4845" s="5">
        <v>0.1842</v>
      </c>
      <c r="O4845" s="5">
        <v>6</v>
      </c>
      <c r="P4845" s="5">
        <v>167426</v>
      </c>
    </row>
    <row r="4846" spans="1:16" x14ac:dyDescent="0.3">
      <c r="A4846" s="5">
        <v>5</v>
      </c>
      <c r="B4846" s="5" t="s">
        <v>165</v>
      </c>
      <c r="C4846" s="5">
        <v>9</v>
      </c>
      <c r="D4846" s="5" t="s">
        <v>92</v>
      </c>
      <c r="E4846" s="5">
        <v>2024</v>
      </c>
      <c r="F4846" s="5">
        <v>11</v>
      </c>
      <c r="G4846" s="5" t="s">
        <v>68</v>
      </c>
      <c r="H4846" s="5">
        <v>2943792</v>
      </c>
      <c r="I4846" s="5">
        <v>2536555.9700000002</v>
      </c>
      <c r="J4846" s="5">
        <v>52</v>
      </c>
      <c r="K4846" s="5">
        <v>332184</v>
      </c>
      <c r="L4846" s="5">
        <v>3269590</v>
      </c>
      <c r="M4846" s="5">
        <v>407236.03</v>
      </c>
      <c r="N4846" s="5">
        <v>0.13830000000000001</v>
      </c>
      <c r="O4846" s="5">
        <v>3</v>
      </c>
      <c r="P4846" s="5">
        <v>43006</v>
      </c>
    </row>
    <row r="4847" spans="1:16" x14ac:dyDescent="0.3">
      <c r="A4847" s="5">
        <v>29</v>
      </c>
      <c r="B4847" s="5" t="s">
        <v>165</v>
      </c>
      <c r="C4847" s="5">
        <v>9</v>
      </c>
      <c r="D4847" s="5" t="s">
        <v>92</v>
      </c>
      <c r="E4847" s="5">
        <v>2024</v>
      </c>
      <c r="F4847" s="5">
        <v>11</v>
      </c>
      <c r="G4847" s="5" t="s">
        <v>68</v>
      </c>
      <c r="H4847" s="5">
        <v>5561733</v>
      </c>
      <c r="I4847" s="5">
        <v>4610954.29</v>
      </c>
      <c r="J4847" s="5">
        <v>78</v>
      </c>
      <c r="K4847" s="5">
        <v>439859</v>
      </c>
      <c r="L4847" s="5">
        <v>5983810</v>
      </c>
      <c r="M4847" s="5">
        <v>950778.71</v>
      </c>
      <c r="N4847" s="5">
        <v>0.17100000000000001</v>
      </c>
      <c r="O4847" s="5">
        <v>8</v>
      </c>
      <c r="P4847" s="5">
        <v>252052</v>
      </c>
    </row>
    <row r="4848" spans="1:16" x14ac:dyDescent="0.3">
      <c r="A4848" s="5">
        <v>76</v>
      </c>
      <c r="B4848" s="5" t="s">
        <v>165</v>
      </c>
      <c r="C4848" s="5">
        <v>9</v>
      </c>
      <c r="D4848" s="5" t="s">
        <v>92</v>
      </c>
      <c r="E4848" s="5">
        <v>2024</v>
      </c>
      <c r="F4848" s="5">
        <v>11</v>
      </c>
      <c r="G4848" s="5" t="s">
        <v>68</v>
      </c>
      <c r="H4848" s="5">
        <v>5350424</v>
      </c>
      <c r="I4848" s="5">
        <v>4347524.6900000004</v>
      </c>
      <c r="J4848" s="5">
        <v>85</v>
      </c>
      <c r="K4848" s="5">
        <v>341232</v>
      </c>
      <c r="L4848" s="5">
        <v>5671050</v>
      </c>
      <c r="M4848" s="5">
        <v>1002899.31</v>
      </c>
      <c r="N4848" s="5">
        <v>0.18740000000000001</v>
      </c>
      <c r="O4848" s="5">
        <v>6</v>
      </c>
      <c r="P4848" s="5">
        <v>208140</v>
      </c>
    </row>
    <row r="4849" spans="1:16" x14ac:dyDescent="0.3">
      <c r="A4849" s="5">
        <v>5</v>
      </c>
      <c r="B4849" s="5" t="s">
        <v>165</v>
      </c>
      <c r="C4849" s="5">
        <v>9</v>
      </c>
      <c r="D4849" s="5" t="s">
        <v>92</v>
      </c>
      <c r="E4849" s="5">
        <v>2024</v>
      </c>
      <c r="F4849" s="5">
        <v>12</v>
      </c>
      <c r="G4849" s="5" t="s">
        <v>69</v>
      </c>
      <c r="H4849" s="5">
        <v>4303311</v>
      </c>
      <c r="I4849" s="5">
        <v>3372887.44</v>
      </c>
      <c r="J4849" s="5">
        <v>58</v>
      </c>
      <c r="K4849" s="5">
        <v>122534</v>
      </c>
      <c r="L4849" s="5">
        <v>4413000</v>
      </c>
      <c r="M4849" s="5">
        <v>930423.56</v>
      </c>
      <c r="N4849" s="5">
        <v>0.2162</v>
      </c>
      <c r="O4849" s="5">
        <v>1</v>
      </c>
      <c r="P4849" s="5">
        <v>34332</v>
      </c>
    </row>
    <row r="4850" spans="1:16" x14ac:dyDescent="0.3">
      <c r="A4850" s="5">
        <v>29</v>
      </c>
      <c r="B4850" s="5" t="s">
        <v>165</v>
      </c>
      <c r="C4850" s="5">
        <v>9</v>
      </c>
      <c r="D4850" s="5" t="s">
        <v>92</v>
      </c>
      <c r="E4850" s="5">
        <v>2024</v>
      </c>
      <c r="F4850" s="5">
        <v>12</v>
      </c>
      <c r="G4850" s="5" t="s">
        <v>69</v>
      </c>
      <c r="H4850" s="5">
        <v>3743915</v>
      </c>
      <c r="I4850" s="5">
        <v>2959637.73</v>
      </c>
      <c r="J4850" s="5">
        <v>66</v>
      </c>
      <c r="K4850" s="5">
        <v>138129</v>
      </c>
      <c r="L4850" s="5">
        <v>3868230</v>
      </c>
      <c r="M4850" s="5">
        <v>784277.27</v>
      </c>
      <c r="N4850" s="5">
        <v>0.20949999999999999</v>
      </c>
      <c r="O4850" s="5">
        <v>2</v>
      </c>
      <c r="P4850" s="5">
        <v>38429</v>
      </c>
    </row>
    <row r="4851" spans="1:16" x14ac:dyDescent="0.3">
      <c r="A4851" s="5">
        <v>76</v>
      </c>
      <c r="B4851" s="5" t="s">
        <v>165</v>
      </c>
      <c r="C4851" s="5">
        <v>9</v>
      </c>
      <c r="D4851" s="5" t="s">
        <v>92</v>
      </c>
      <c r="E4851" s="5">
        <v>2024</v>
      </c>
      <c r="F4851" s="5">
        <v>12</v>
      </c>
      <c r="G4851" s="5" t="s">
        <v>69</v>
      </c>
      <c r="H4851" s="5">
        <v>5722012</v>
      </c>
      <c r="I4851" s="5">
        <v>4605310.91</v>
      </c>
      <c r="J4851" s="5">
        <v>71</v>
      </c>
      <c r="K4851" s="5">
        <v>194768</v>
      </c>
      <c r="L4851" s="5">
        <v>5898590</v>
      </c>
      <c r="M4851" s="5">
        <v>1116701.0900000001</v>
      </c>
      <c r="N4851" s="5">
        <v>0.19520000000000001</v>
      </c>
      <c r="O4851" s="5">
        <v>5</v>
      </c>
      <c r="P4851" s="5">
        <v>307297</v>
      </c>
    </row>
    <row r="4852" spans="1:16" x14ac:dyDescent="0.3">
      <c r="A4852" s="5">
        <v>22</v>
      </c>
      <c r="B4852" s="5" t="s">
        <v>166</v>
      </c>
      <c r="C4852" s="5">
        <v>4</v>
      </c>
      <c r="D4852" s="5" t="s">
        <v>78</v>
      </c>
      <c r="E4852" s="5">
        <v>2021</v>
      </c>
      <c r="F4852" s="5">
        <v>1</v>
      </c>
      <c r="G4852" s="5" t="s">
        <v>22</v>
      </c>
      <c r="H4852" s="5">
        <v>1273316</v>
      </c>
      <c r="I4852" s="5">
        <v>1140751.27</v>
      </c>
      <c r="J4852" s="5">
        <v>15</v>
      </c>
      <c r="K4852" s="5">
        <v>179996</v>
      </c>
      <c r="L4852" s="5">
        <v>1449520</v>
      </c>
      <c r="M4852" s="5">
        <v>132564.73000000001</v>
      </c>
      <c r="N4852" s="5">
        <v>0.1041</v>
      </c>
      <c r="O4852" s="5">
        <v>1</v>
      </c>
      <c r="P4852" s="5">
        <v>6433</v>
      </c>
    </row>
    <row r="4853" spans="1:16" x14ac:dyDescent="0.3">
      <c r="A4853" s="5">
        <v>50</v>
      </c>
      <c r="B4853" s="5" t="s">
        <v>166</v>
      </c>
      <c r="C4853" s="5">
        <v>4</v>
      </c>
      <c r="D4853" s="5" t="s">
        <v>78</v>
      </c>
      <c r="E4853" s="5">
        <v>2021</v>
      </c>
      <c r="F4853" s="5">
        <v>1</v>
      </c>
      <c r="G4853" s="5" t="s">
        <v>22</v>
      </c>
      <c r="H4853" s="5">
        <v>1659992</v>
      </c>
      <c r="I4853" s="5">
        <v>1650176.95</v>
      </c>
      <c r="J4853" s="5">
        <v>14</v>
      </c>
      <c r="K4853" s="5">
        <v>354646</v>
      </c>
      <c r="L4853" s="5">
        <v>2011660</v>
      </c>
      <c r="M4853" s="5">
        <v>9815.0499999999993</v>
      </c>
      <c r="N4853" s="5">
        <v>5.8999999999999999E-3</v>
      </c>
      <c r="O4853" s="5">
        <v>1</v>
      </c>
      <c r="P4853" s="5">
        <v>10176</v>
      </c>
    </row>
    <row r="4854" spans="1:16" x14ac:dyDescent="0.3">
      <c r="A4854" s="5">
        <v>22</v>
      </c>
      <c r="B4854" s="5" t="s">
        <v>166</v>
      </c>
      <c r="C4854" s="5">
        <v>4</v>
      </c>
      <c r="D4854" s="5" t="s">
        <v>78</v>
      </c>
      <c r="E4854" s="5">
        <v>2021</v>
      </c>
      <c r="F4854" s="5">
        <v>2</v>
      </c>
      <c r="G4854" s="5" t="s">
        <v>23</v>
      </c>
      <c r="H4854" s="5">
        <v>1156304</v>
      </c>
      <c r="I4854" s="5">
        <v>1079099.5900000001</v>
      </c>
      <c r="J4854" s="5">
        <v>14</v>
      </c>
      <c r="K4854" s="5">
        <v>198478</v>
      </c>
      <c r="L4854" s="5">
        <v>1354010</v>
      </c>
      <c r="M4854" s="5">
        <v>77204.41</v>
      </c>
      <c r="N4854" s="5">
        <v>6.6799999999999998E-2</v>
      </c>
      <c r="O4854" s="5">
        <v>0</v>
      </c>
      <c r="P4854" s="5">
        <v>0</v>
      </c>
    </row>
    <row r="4855" spans="1:16" x14ac:dyDescent="0.3">
      <c r="A4855" s="5">
        <v>50</v>
      </c>
      <c r="B4855" s="5" t="s">
        <v>166</v>
      </c>
      <c r="C4855" s="5">
        <v>4</v>
      </c>
      <c r="D4855" s="5" t="s">
        <v>78</v>
      </c>
      <c r="E4855" s="5">
        <v>2021</v>
      </c>
      <c r="F4855" s="5">
        <v>2</v>
      </c>
      <c r="G4855" s="5" t="s">
        <v>23</v>
      </c>
      <c r="H4855" s="5">
        <v>436674</v>
      </c>
      <c r="I4855" s="5">
        <v>429872.09</v>
      </c>
      <c r="J4855" s="5">
        <v>8</v>
      </c>
      <c r="K4855" s="5">
        <v>133691</v>
      </c>
      <c r="L4855" s="5">
        <v>568490</v>
      </c>
      <c r="M4855" s="5">
        <v>6801.91</v>
      </c>
      <c r="N4855" s="5">
        <v>1.5599999999999999E-2</v>
      </c>
      <c r="O4855" s="5">
        <v>0</v>
      </c>
      <c r="P4855" s="5">
        <v>0</v>
      </c>
    </row>
    <row r="4856" spans="1:16" x14ac:dyDescent="0.3">
      <c r="A4856" s="5">
        <v>22</v>
      </c>
      <c r="B4856" s="5" t="s">
        <v>166</v>
      </c>
      <c r="C4856" s="5">
        <v>4</v>
      </c>
      <c r="D4856" s="5" t="s">
        <v>78</v>
      </c>
      <c r="E4856" s="5">
        <v>2021</v>
      </c>
      <c r="F4856" s="5">
        <v>3</v>
      </c>
      <c r="G4856" s="5" t="s">
        <v>24</v>
      </c>
      <c r="H4856" s="5">
        <v>1841822</v>
      </c>
      <c r="I4856" s="5">
        <v>1532284.37</v>
      </c>
      <c r="J4856" s="5">
        <v>25</v>
      </c>
      <c r="K4856" s="5">
        <v>160596</v>
      </c>
      <c r="L4856" s="5">
        <v>1995620</v>
      </c>
      <c r="M4856" s="5">
        <v>309537.63</v>
      </c>
      <c r="N4856" s="5">
        <v>0.1681</v>
      </c>
      <c r="O4856" s="5">
        <v>2</v>
      </c>
      <c r="P4856" s="5">
        <v>13524</v>
      </c>
    </row>
    <row r="4857" spans="1:16" x14ac:dyDescent="0.3">
      <c r="A4857" s="5">
        <v>50</v>
      </c>
      <c r="B4857" s="5" t="s">
        <v>166</v>
      </c>
      <c r="C4857" s="5">
        <v>4</v>
      </c>
      <c r="D4857" s="5" t="s">
        <v>78</v>
      </c>
      <c r="E4857" s="5">
        <v>2021</v>
      </c>
      <c r="F4857" s="5">
        <v>3</v>
      </c>
      <c r="G4857" s="5" t="s">
        <v>24</v>
      </c>
      <c r="H4857" s="5">
        <v>936355</v>
      </c>
      <c r="I4857" s="5">
        <v>871710.27</v>
      </c>
      <c r="J4857" s="5">
        <v>15</v>
      </c>
      <c r="K4857" s="5">
        <v>177339</v>
      </c>
      <c r="L4857" s="5">
        <v>1113210</v>
      </c>
      <c r="M4857" s="5">
        <v>64644.73</v>
      </c>
      <c r="N4857" s="5">
        <v>6.9000000000000006E-2</v>
      </c>
      <c r="O4857" s="5">
        <v>0</v>
      </c>
      <c r="P4857" s="5">
        <v>0</v>
      </c>
    </row>
    <row r="4858" spans="1:16" x14ac:dyDescent="0.3">
      <c r="A4858" s="5">
        <v>22</v>
      </c>
      <c r="B4858" s="5" t="s">
        <v>166</v>
      </c>
      <c r="C4858" s="5">
        <v>4</v>
      </c>
      <c r="D4858" s="5" t="s">
        <v>78</v>
      </c>
      <c r="E4858" s="5">
        <v>2021</v>
      </c>
      <c r="F4858" s="5">
        <v>4</v>
      </c>
      <c r="G4858" s="5" t="s">
        <v>25</v>
      </c>
      <c r="H4858" s="5">
        <v>1808200</v>
      </c>
      <c r="I4858" s="5">
        <v>1591858.79</v>
      </c>
      <c r="J4858" s="5">
        <v>23</v>
      </c>
      <c r="K4858" s="5">
        <v>202123</v>
      </c>
      <c r="L4858" s="5">
        <v>2005510</v>
      </c>
      <c r="M4858" s="5">
        <v>216341.21</v>
      </c>
      <c r="N4858" s="5">
        <v>0.1196</v>
      </c>
      <c r="O4858" s="5">
        <v>0</v>
      </c>
      <c r="P4858" s="5">
        <v>0</v>
      </c>
    </row>
    <row r="4859" spans="1:16" x14ac:dyDescent="0.3">
      <c r="A4859" s="5">
        <v>50</v>
      </c>
      <c r="B4859" s="5" t="s">
        <v>166</v>
      </c>
      <c r="C4859" s="5">
        <v>4</v>
      </c>
      <c r="D4859" s="5" t="s">
        <v>78</v>
      </c>
      <c r="E4859" s="5">
        <v>2021</v>
      </c>
      <c r="F4859" s="5">
        <v>4</v>
      </c>
      <c r="G4859" s="5" t="s">
        <v>25</v>
      </c>
      <c r="H4859" s="5">
        <v>1124661</v>
      </c>
      <c r="I4859" s="5">
        <v>899109.08</v>
      </c>
      <c r="J4859" s="5">
        <v>15</v>
      </c>
      <c r="K4859" s="5">
        <v>33448</v>
      </c>
      <c r="L4859" s="5">
        <v>1150880</v>
      </c>
      <c r="M4859" s="5">
        <v>225551.92</v>
      </c>
      <c r="N4859" s="5">
        <v>0.2006</v>
      </c>
      <c r="O4859" s="5">
        <v>0</v>
      </c>
      <c r="P4859" s="5">
        <v>0</v>
      </c>
    </row>
    <row r="4860" spans="1:16" x14ac:dyDescent="0.3">
      <c r="A4860" s="5">
        <v>22</v>
      </c>
      <c r="B4860" s="5" t="s">
        <v>166</v>
      </c>
      <c r="C4860" s="5">
        <v>4</v>
      </c>
      <c r="D4860" s="5" t="s">
        <v>78</v>
      </c>
      <c r="E4860" s="5">
        <v>2021</v>
      </c>
      <c r="F4860" s="5">
        <v>5</v>
      </c>
      <c r="G4860" s="5" t="s">
        <v>26</v>
      </c>
      <c r="H4860" s="5">
        <v>1402946</v>
      </c>
      <c r="I4860" s="5">
        <v>1144769.08</v>
      </c>
      <c r="J4860" s="5">
        <v>30</v>
      </c>
      <c r="K4860" s="5">
        <v>109600</v>
      </c>
      <c r="L4860" s="5">
        <v>1504080</v>
      </c>
      <c r="M4860" s="5">
        <v>258176.92</v>
      </c>
      <c r="N4860" s="5">
        <v>0.184</v>
      </c>
      <c r="O4860" s="5">
        <v>3</v>
      </c>
      <c r="P4860" s="5">
        <v>26569</v>
      </c>
    </row>
    <row r="4861" spans="1:16" x14ac:dyDescent="0.3">
      <c r="A4861" s="5">
        <v>50</v>
      </c>
      <c r="B4861" s="5" t="s">
        <v>166</v>
      </c>
      <c r="C4861" s="5">
        <v>4</v>
      </c>
      <c r="D4861" s="5" t="s">
        <v>78</v>
      </c>
      <c r="E4861" s="5">
        <v>2021</v>
      </c>
      <c r="F4861" s="5">
        <v>5</v>
      </c>
      <c r="G4861" s="5" t="s">
        <v>26</v>
      </c>
      <c r="H4861" s="5">
        <v>733268</v>
      </c>
      <c r="I4861" s="5">
        <v>592903.32999999996</v>
      </c>
      <c r="J4861" s="5">
        <v>15</v>
      </c>
      <c r="K4861" s="5">
        <v>48240</v>
      </c>
      <c r="L4861" s="5">
        <v>779820</v>
      </c>
      <c r="M4861" s="5">
        <v>140364.67000000001</v>
      </c>
      <c r="N4861" s="5">
        <v>0.19139999999999999</v>
      </c>
      <c r="O4861" s="5">
        <v>2</v>
      </c>
      <c r="P4861" s="5">
        <v>9607</v>
      </c>
    </row>
    <row r="4862" spans="1:16" x14ac:dyDescent="0.3">
      <c r="A4862" s="5">
        <v>22</v>
      </c>
      <c r="B4862" s="5" t="s">
        <v>166</v>
      </c>
      <c r="C4862" s="5">
        <v>4</v>
      </c>
      <c r="D4862" s="5" t="s">
        <v>78</v>
      </c>
      <c r="E4862" s="5">
        <v>2021</v>
      </c>
      <c r="F4862" s="5">
        <v>6</v>
      </c>
      <c r="G4862" s="5" t="s">
        <v>27</v>
      </c>
      <c r="H4862" s="5">
        <v>1435138</v>
      </c>
      <c r="I4862" s="5">
        <v>1241155.06</v>
      </c>
      <c r="J4862" s="5">
        <v>18</v>
      </c>
      <c r="K4862" s="5">
        <v>171323</v>
      </c>
      <c r="L4862" s="5">
        <v>1604210</v>
      </c>
      <c r="M4862" s="5">
        <v>193982.94</v>
      </c>
      <c r="N4862" s="5">
        <v>0.13519999999999999</v>
      </c>
      <c r="O4862" s="5">
        <v>1</v>
      </c>
      <c r="P4862" s="5">
        <v>24105</v>
      </c>
    </row>
    <row r="4863" spans="1:16" x14ac:dyDescent="0.3">
      <c r="A4863" s="5">
        <v>50</v>
      </c>
      <c r="B4863" s="5" t="s">
        <v>166</v>
      </c>
      <c r="C4863" s="5">
        <v>4</v>
      </c>
      <c r="D4863" s="5" t="s">
        <v>78</v>
      </c>
      <c r="E4863" s="5">
        <v>2021</v>
      </c>
      <c r="F4863" s="5">
        <v>6</v>
      </c>
      <c r="G4863" s="5" t="s">
        <v>27</v>
      </c>
      <c r="H4863" s="5">
        <v>1741906</v>
      </c>
      <c r="I4863" s="5">
        <v>1572388.47</v>
      </c>
      <c r="J4863" s="5">
        <v>22</v>
      </c>
      <c r="K4863" s="5">
        <v>319657</v>
      </c>
      <c r="L4863" s="5">
        <v>2060210</v>
      </c>
      <c r="M4863" s="5">
        <v>169517.53</v>
      </c>
      <c r="N4863" s="5">
        <v>9.7299999999999998E-2</v>
      </c>
      <c r="O4863" s="5">
        <v>2</v>
      </c>
      <c r="P4863" s="5">
        <v>7618</v>
      </c>
    </row>
    <row r="4864" spans="1:16" x14ac:dyDescent="0.3">
      <c r="A4864" s="5">
        <v>22</v>
      </c>
      <c r="B4864" s="5" t="s">
        <v>166</v>
      </c>
      <c r="C4864" s="5">
        <v>4</v>
      </c>
      <c r="D4864" s="5" t="s">
        <v>78</v>
      </c>
      <c r="E4864" s="5">
        <v>2021</v>
      </c>
      <c r="F4864" s="5">
        <v>7</v>
      </c>
      <c r="G4864" s="5" t="s">
        <v>28</v>
      </c>
      <c r="H4864" s="5">
        <v>762667</v>
      </c>
      <c r="I4864" s="5">
        <v>669108.5</v>
      </c>
      <c r="J4864" s="5">
        <v>16</v>
      </c>
      <c r="K4864" s="5">
        <v>130664</v>
      </c>
      <c r="L4864" s="5">
        <v>891790</v>
      </c>
      <c r="M4864" s="5">
        <v>93558.5</v>
      </c>
      <c r="N4864" s="5">
        <v>0.1227</v>
      </c>
      <c r="O4864" s="5">
        <v>2</v>
      </c>
      <c r="P4864" s="5">
        <v>18843</v>
      </c>
    </row>
    <row r="4865" spans="1:16" x14ac:dyDescent="0.3">
      <c r="A4865" s="5">
        <v>50</v>
      </c>
      <c r="B4865" s="5" t="s">
        <v>166</v>
      </c>
      <c r="C4865" s="5">
        <v>4</v>
      </c>
      <c r="D4865" s="5" t="s">
        <v>78</v>
      </c>
      <c r="E4865" s="5">
        <v>2021</v>
      </c>
      <c r="F4865" s="5">
        <v>7</v>
      </c>
      <c r="G4865" s="5" t="s">
        <v>28</v>
      </c>
      <c r="H4865" s="5">
        <v>1154089</v>
      </c>
      <c r="I4865" s="5">
        <v>974104.84</v>
      </c>
      <c r="J4865" s="5">
        <v>10</v>
      </c>
      <c r="K4865" s="5">
        <v>65839</v>
      </c>
      <c r="L4865" s="5">
        <v>1215580</v>
      </c>
      <c r="M4865" s="5">
        <v>179984.16</v>
      </c>
      <c r="N4865" s="5">
        <v>0.156</v>
      </c>
      <c r="O4865" s="5">
        <v>0</v>
      </c>
      <c r="P4865" s="5">
        <v>0</v>
      </c>
    </row>
    <row r="4866" spans="1:16" x14ac:dyDescent="0.3">
      <c r="A4866" s="5">
        <v>22</v>
      </c>
      <c r="B4866" s="5" t="s">
        <v>166</v>
      </c>
      <c r="C4866" s="5">
        <v>4</v>
      </c>
      <c r="D4866" s="5" t="s">
        <v>78</v>
      </c>
      <c r="E4866" s="5">
        <v>2021</v>
      </c>
      <c r="F4866" s="5">
        <v>8</v>
      </c>
      <c r="G4866" s="5" t="s">
        <v>29</v>
      </c>
      <c r="H4866" s="5">
        <v>2265538</v>
      </c>
      <c r="I4866" s="5">
        <v>1822410.23</v>
      </c>
      <c r="J4866" s="5">
        <v>24</v>
      </c>
      <c r="K4866" s="5">
        <v>88862</v>
      </c>
      <c r="L4866" s="5">
        <v>2343490</v>
      </c>
      <c r="M4866" s="5">
        <v>443127.77</v>
      </c>
      <c r="N4866" s="5">
        <v>0.1956</v>
      </c>
      <c r="O4866" s="5">
        <v>3</v>
      </c>
      <c r="P4866" s="5">
        <v>211395</v>
      </c>
    </row>
    <row r="4867" spans="1:16" x14ac:dyDescent="0.3">
      <c r="A4867" s="5">
        <v>50</v>
      </c>
      <c r="B4867" s="5" t="s">
        <v>166</v>
      </c>
      <c r="C4867" s="5">
        <v>4</v>
      </c>
      <c r="D4867" s="5" t="s">
        <v>78</v>
      </c>
      <c r="E4867" s="5">
        <v>2021</v>
      </c>
      <c r="F4867" s="5">
        <v>8</v>
      </c>
      <c r="G4867" s="5" t="s">
        <v>29</v>
      </c>
      <c r="H4867" s="5">
        <v>684942</v>
      </c>
      <c r="I4867" s="5">
        <v>565678.81000000006</v>
      </c>
      <c r="J4867" s="5">
        <v>11</v>
      </c>
      <c r="K4867" s="5">
        <v>67248</v>
      </c>
      <c r="L4867" s="5">
        <v>750030</v>
      </c>
      <c r="M4867" s="5">
        <v>119263.19</v>
      </c>
      <c r="N4867" s="5">
        <v>0.1741</v>
      </c>
      <c r="O4867" s="5">
        <v>3</v>
      </c>
      <c r="P4867" s="5">
        <v>41972</v>
      </c>
    </row>
    <row r="4868" spans="1:16" x14ac:dyDescent="0.3">
      <c r="A4868" s="5">
        <v>22</v>
      </c>
      <c r="B4868" s="5" t="s">
        <v>166</v>
      </c>
      <c r="C4868" s="5">
        <v>4</v>
      </c>
      <c r="D4868" s="5" t="s">
        <v>78</v>
      </c>
      <c r="E4868" s="5">
        <v>2021</v>
      </c>
      <c r="F4868" s="5">
        <v>9</v>
      </c>
      <c r="G4868" s="5" t="s">
        <v>30</v>
      </c>
      <c r="H4868" s="5">
        <v>591904</v>
      </c>
      <c r="I4868" s="5">
        <v>501627.12</v>
      </c>
      <c r="J4868" s="5">
        <v>20</v>
      </c>
      <c r="K4868" s="5">
        <v>86102</v>
      </c>
      <c r="L4868" s="5">
        <v>675070</v>
      </c>
      <c r="M4868" s="5">
        <v>90276.88</v>
      </c>
      <c r="N4868" s="5">
        <v>0.1525</v>
      </c>
      <c r="O4868" s="5">
        <v>1</v>
      </c>
      <c r="P4868" s="5">
        <v>3897</v>
      </c>
    </row>
    <row r="4869" spans="1:16" x14ac:dyDescent="0.3">
      <c r="A4869" s="5">
        <v>50</v>
      </c>
      <c r="B4869" s="5" t="s">
        <v>166</v>
      </c>
      <c r="C4869" s="5">
        <v>4</v>
      </c>
      <c r="D4869" s="5" t="s">
        <v>78</v>
      </c>
      <c r="E4869" s="5">
        <v>2021</v>
      </c>
      <c r="F4869" s="5">
        <v>9</v>
      </c>
      <c r="G4869" s="5" t="s">
        <v>30</v>
      </c>
      <c r="H4869" s="5">
        <v>796363</v>
      </c>
      <c r="I4869" s="5">
        <v>694748.19</v>
      </c>
      <c r="J4869" s="5">
        <v>16</v>
      </c>
      <c r="K4869" s="5">
        <v>109797</v>
      </c>
      <c r="L4869" s="5">
        <v>903450</v>
      </c>
      <c r="M4869" s="5">
        <v>101614.81</v>
      </c>
      <c r="N4869" s="5">
        <v>0.12759999999999999</v>
      </c>
      <c r="O4869" s="5">
        <v>3</v>
      </c>
      <c r="P4869" s="5">
        <v>189224</v>
      </c>
    </row>
    <row r="4870" spans="1:16" x14ac:dyDescent="0.3">
      <c r="A4870" s="5">
        <v>22</v>
      </c>
      <c r="B4870" s="5" t="s">
        <v>166</v>
      </c>
      <c r="C4870" s="5">
        <v>4</v>
      </c>
      <c r="D4870" s="5" t="s">
        <v>78</v>
      </c>
      <c r="E4870" s="5">
        <v>2021</v>
      </c>
      <c r="F4870" s="5">
        <v>10</v>
      </c>
      <c r="G4870" s="5" t="s">
        <v>31</v>
      </c>
      <c r="H4870" s="5">
        <v>3550562</v>
      </c>
      <c r="I4870" s="5">
        <v>3172082.52</v>
      </c>
      <c r="J4870" s="5">
        <v>30</v>
      </c>
      <c r="K4870" s="5">
        <v>365624</v>
      </c>
      <c r="L4870" s="5">
        <v>3902970</v>
      </c>
      <c r="M4870" s="5">
        <v>378479.48</v>
      </c>
      <c r="N4870" s="5">
        <v>0.1066</v>
      </c>
      <c r="O4870" s="5">
        <v>1</v>
      </c>
      <c r="P4870" s="5">
        <v>60104</v>
      </c>
    </row>
    <row r="4871" spans="1:16" x14ac:dyDescent="0.3">
      <c r="A4871" s="5">
        <v>50</v>
      </c>
      <c r="B4871" s="5" t="s">
        <v>166</v>
      </c>
      <c r="C4871" s="5">
        <v>4</v>
      </c>
      <c r="D4871" s="5" t="s">
        <v>78</v>
      </c>
      <c r="E4871" s="5">
        <v>2021</v>
      </c>
      <c r="F4871" s="5">
        <v>10</v>
      </c>
      <c r="G4871" s="5" t="s">
        <v>31</v>
      </c>
      <c r="H4871" s="5">
        <v>1119542</v>
      </c>
      <c r="I4871" s="5">
        <v>893776.65</v>
      </c>
      <c r="J4871" s="5">
        <v>17</v>
      </c>
      <c r="K4871" s="5">
        <v>50023</v>
      </c>
      <c r="L4871" s="5">
        <v>1165890</v>
      </c>
      <c r="M4871" s="5">
        <v>225765.35</v>
      </c>
      <c r="N4871" s="5">
        <v>0.20169999999999999</v>
      </c>
      <c r="O4871" s="5">
        <v>1</v>
      </c>
      <c r="P4871" s="5">
        <v>3911</v>
      </c>
    </row>
    <row r="4872" spans="1:16" x14ac:dyDescent="0.3">
      <c r="A4872" s="5">
        <v>22</v>
      </c>
      <c r="B4872" s="5" t="s">
        <v>166</v>
      </c>
      <c r="C4872" s="5">
        <v>4</v>
      </c>
      <c r="D4872" s="5" t="s">
        <v>78</v>
      </c>
      <c r="E4872" s="5">
        <v>2021</v>
      </c>
      <c r="F4872" s="5">
        <v>11</v>
      </c>
      <c r="G4872" s="5" t="s">
        <v>32</v>
      </c>
      <c r="H4872" s="5">
        <v>2054752</v>
      </c>
      <c r="I4872" s="5">
        <v>1598430.48</v>
      </c>
      <c r="J4872" s="5">
        <v>24</v>
      </c>
      <c r="K4872" s="5">
        <v>47524</v>
      </c>
      <c r="L4872" s="5">
        <v>2083890</v>
      </c>
      <c r="M4872" s="5">
        <v>456321.52</v>
      </c>
      <c r="N4872" s="5">
        <v>0.22209999999999999</v>
      </c>
      <c r="O4872" s="5">
        <v>0</v>
      </c>
      <c r="P4872" s="5">
        <v>0</v>
      </c>
    </row>
    <row r="4873" spans="1:16" x14ac:dyDescent="0.3">
      <c r="A4873" s="5">
        <v>50</v>
      </c>
      <c r="B4873" s="5" t="s">
        <v>166</v>
      </c>
      <c r="C4873" s="5">
        <v>4</v>
      </c>
      <c r="D4873" s="5" t="s">
        <v>78</v>
      </c>
      <c r="E4873" s="5">
        <v>2021</v>
      </c>
      <c r="F4873" s="5">
        <v>11</v>
      </c>
      <c r="G4873" s="5" t="s">
        <v>32</v>
      </c>
      <c r="H4873" s="5">
        <v>2016074</v>
      </c>
      <c r="I4873" s="5">
        <v>1734483.36</v>
      </c>
      <c r="J4873" s="5">
        <v>30</v>
      </c>
      <c r="K4873" s="5">
        <v>211175</v>
      </c>
      <c r="L4873" s="5">
        <v>2222130</v>
      </c>
      <c r="M4873" s="5">
        <v>281590.64</v>
      </c>
      <c r="N4873" s="5">
        <v>0.13969999999999999</v>
      </c>
      <c r="O4873" s="5">
        <v>1</v>
      </c>
      <c r="P4873" s="5">
        <v>9338</v>
      </c>
    </row>
    <row r="4874" spans="1:16" x14ac:dyDescent="0.3">
      <c r="A4874" s="5">
        <v>22</v>
      </c>
      <c r="B4874" s="5" t="s">
        <v>166</v>
      </c>
      <c r="C4874" s="5">
        <v>4</v>
      </c>
      <c r="D4874" s="5" t="s">
        <v>78</v>
      </c>
      <c r="E4874" s="5">
        <v>2021</v>
      </c>
      <c r="F4874" s="5">
        <v>12</v>
      </c>
      <c r="G4874" s="5" t="s">
        <v>33</v>
      </c>
      <c r="H4874" s="5">
        <v>1515517</v>
      </c>
      <c r="I4874" s="5">
        <v>1298982.43</v>
      </c>
      <c r="J4874" s="5">
        <v>20</v>
      </c>
      <c r="K4874" s="5">
        <v>201715</v>
      </c>
      <c r="L4874" s="5">
        <v>1714340</v>
      </c>
      <c r="M4874" s="5">
        <v>216534.57</v>
      </c>
      <c r="N4874" s="5">
        <v>0.1429</v>
      </c>
      <c r="O4874" s="5">
        <v>2</v>
      </c>
      <c r="P4874" s="5">
        <v>22752</v>
      </c>
    </row>
    <row r="4875" spans="1:16" x14ac:dyDescent="0.3">
      <c r="A4875" s="5">
        <v>50</v>
      </c>
      <c r="B4875" s="5" t="s">
        <v>166</v>
      </c>
      <c r="C4875" s="5">
        <v>4</v>
      </c>
      <c r="D4875" s="5" t="s">
        <v>78</v>
      </c>
      <c r="E4875" s="5">
        <v>2021</v>
      </c>
      <c r="F4875" s="5">
        <v>12</v>
      </c>
      <c r="G4875" s="5" t="s">
        <v>33</v>
      </c>
      <c r="H4875" s="5">
        <v>1154977</v>
      </c>
      <c r="I4875" s="5">
        <v>948394.73</v>
      </c>
      <c r="J4875" s="5">
        <v>15</v>
      </c>
      <c r="K4875" s="5">
        <v>68385</v>
      </c>
      <c r="L4875" s="5">
        <v>1222580</v>
      </c>
      <c r="M4875" s="5">
        <v>206582.27</v>
      </c>
      <c r="N4875" s="5">
        <v>0.1789</v>
      </c>
      <c r="O4875" s="5">
        <v>0</v>
      </c>
      <c r="P4875" s="5">
        <v>0</v>
      </c>
    </row>
    <row r="4876" spans="1:16" x14ac:dyDescent="0.3">
      <c r="A4876" s="5">
        <v>22</v>
      </c>
      <c r="B4876" s="5" t="s">
        <v>166</v>
      </c>
      <c r="C4876" s="5">
        <v>4</v>
      </c>
      <c r="D4876" s="5" t="s">
        <v>78</v>
      </c>
      <c r="E4876" s="5">
        <v>2022</v>
      </c>
      <c r="F4876" s="5">
        <v>1</v>
      </c>
      <c r="G4876" s="5" t="s">
        <v>34</v>
      </c>
      <c r="H4876" s="5">
        <v>977426</v>
      </c>
      <c r="I4876" s="5">
        <v>812029.31</v>
      </c>
      <c r="J4876" s="5">
        <v>18</v>
      </c>
      <c r="K4876" s="5">
        <v>57575</v>
      </c>
      <c r="L4876" s="5">
        <v>1029660</v>
      </c>
      <c r="M4876" s="5">
        <v>165396.69</v>
      </c>
      <c r="N4876" s="5">
        <v>0.16919999999999999</v>
      </c>
      <c r="O4876" s="5">
        <v>2</v>
      </c>
      <c r="P4876" s="5">
        <v>267449</v>
      </c>
    </row>
    <row r="4877" spans="1:16" x14ac:dyDescent="0.3">
      <c r="A4877" s="5">
        <v>50</v>
      </c>
      <c r="B4877" s="5" t="s">
        <v>166</v>
      </c>
      <c r="C4877" s="5">
        <v>4</v>
      </c>
      <c r="D4877" s="5" t="s">
        <v>78</v>
      </c>
      <c r="E4877" s="5">
        <v>2022</v>
      </c>
      <c r="F4877" s="5">
        <v>1</v>
      </c>
      <c r="G4877" s="5" t="s">
        <v>34</v>
      </c>
      <c r="H4877" s="5">
        <v>1886794</v>
      </c>
      <c r="I4877" s="5">
        <v>1574787.62</v>
      </c>
      <c r="J4877" s="5">
        <v>20</v>
      </c>
      <c r="K4877" s="5">
        <v>113834</v>
      </c>
      <c r="L4877" s="5">
        <v>1989670</v>
      </c>
      <c r="M4877" s="5">
        <v>312006.38</v>
      </c>
      <c r="N4877" s="5">
        <v>0.16539999999999999</v>
      </c>
      <c r="O4877" s="5">
        <v>1</v>
      </c>
      <c r="P4877" s="5">
        <v>3540</v>
      </c>
    </row>
    <row r="4878" spans="1:16" x14ac:dyDescent="0.3">
      <c r="A4878" s="5">
        <v>22</v>
      </c>
      <c r="B4878" s="5" t="s">
        <v>166</v>
      </c>
      <c r="C4878" s="5">
        <v>4</v>
      </c>
      <c r="D4878" s="5" t="s">
        <v>78</v>
      </c>
      <c r="E4878" s="5">
        <v>2022</v>
      </c>
      <c r="F4878" s="5">
        <v>2</v>
      </c>
      <c r="G4878" s="5" t="s">
        <v>35</v>
      </c>
      <c r="H4878" s="5">
        <v>2227434</v>
      </c>
      <c r="I4878" s="5">
        <v>1780115.36</v>
      </c>
      <c r="J4878" s="5">
        <v>26</v>
      </c>
      <c r="K4878" s="5">
        <v>68901</v>
      </c>
      <c r="L4878" s="5">
        <v>2285110</v>
      </c>
      <c r="M4878" s="5">
        <v>447318.64</v>
      </c>
      <c r="N4878" s="5">
        <v>0.20080000000000001</v>
      </c>
      <c r="O4878" s="5">
        <v>0</v>
      </c>
      <c r="P4878" s="5">
        <v>0</v>
      </c>
    </row>
    <row r="4879" spans="1:16" x14ac:dyDescent="0.3">
      <c r="A4879" s="5">
        <v>50</v>
      </c>
      <c r="B4879" s="5" t="s">
        <v>166</v>
      </c>
      <c r="C4879" s="5">
        <v>4</v>
      </c>
      <c r="D4879" s="5" t="s">
        <v>78</v>
      </c>
      <c r="E4879" s="5">
        <v>2022</v>
      </c>
      <c r="F4879" s="5">
        <v>2</v>
      </c>
      <c r="G4879" s="5" t="s">
        <v>35</v>
      </c>
      <c r="H4879" s="5">
        <v>1013553</v>
      </c>
      <c r="I4879" s="5">
        <v>917521.65</v>
      </c>
      <c r="J4879" s="5">
        <v>17</v>
      </c>
      <c r="K4879" s="5">
        <v>187266</v>
      </c>
      <c r="L4879" s="5">
        <v>1200550</v>
      </c>
      <c r="M4879" s="5">
        <v>96031.35</v>
      </c>
      <c r="N4879" s="5">
        <v>9.4700000000000006E-2</v>
      </c>
      <c r="O4879" s="5">
        <v>0</v>
      </c>
      <c r="P4879" s="5">
        <v>0</v>
      </c>
    </row>
    <row r="4880" spans="1:16" x14ac:dyDescent="0.3">
      <c r="A4880" s="5">
        <v>22</v>
      </c>
      <c r="B4880" s="5" t="s">
        <v>166</v>
      </c>
      <c r="C4880" s="5">
        <v>4</v>
      </c>
      <c r="D4880" s="5" t="s">
        <v>78</v>
      </c>
      <c r="E4880" s="5">
        <v>2022</v>
      </c>
      <c r="F4880" s="5">
        <v>3</v>
      </c>
      <c r="G4880" s="5" t="s">
        <v>36</v>
      </c>
      <c r="H4880" s="5">
        <v>2030175</v>
      </c>
      <c r="I4880" s="5">
        <v>1669497.4</v>
      </c>
      <c r="J4880" s="5">
        <v>21</v>
      </c>
      <c r="K4880" s="5">
        <v>86326</v>
      </c>
      <c r="L4880" s="5">
        <v>2107730</v>
      </c>
      <c r="M4880" s="5">
        <v>360677.6</v>
      </c>
      <c r="N4880" s="5">
        <v>0.1777</v>
      </c>
      <c r="O4880" s="5">
        <v>1</v>
      </c>
      <c r="P4880" s="5">
        <v>212826</v>
      </c>
    </row>
    <row r="4881" spans="1:16" x14ac:dyDescent="0.3">
      <c r="A4881" s="5">
        <v>50</v>
      </c>
      <c r="B4881" s="5" t="s">
        <v>166</v>
      </c>
      <c r="C4881" s="5">
        <v>4</v>
      </c>
      <c r="D4881" s="5" t="s">
        <v>78</v>
      </c>
      <c r="E4881" s="5">
        <v>2022</v>
      </c>
      <c r="F4881" s="5">
        <v>3</v>
      </c>
      <c r="G4881" s="5" t="s">
        <v>36</v>
      </c>
      <c r="H4881" s="5">
        <v>888698</v>
      </c>
      <c r="I4881" s="5">
        <v>748341.31</v>
      </c>
      <c r="J4881" s="5">
        <v>20</v>
      </c>
      <c r="K4881" s="5">
        <v>71161</v>
      </c>
      <c r="L4881" s="5">
        <v>954910</v>
      </c>
      <c r="M4881" s="5">
        <v>140356.69</v>
      </c>
      <c r="N4881" s="5">
        <v>0.15790000000000001</v>
      </c>
      <c r="O4881" s="5">
        <v>2</v>
      </c>
      <c r="P4881" s="5">
        <v>39586</v>
      </c>
    </row>
    <row r="4882" spans="1:16" x14ac:dyDescent="0.3">
      <c r="A4882" s="5">
        <v>22</v>
      </c>
      <c r="B4882" s="5" t="s">
        <v>166</v>
      </c>
      <c r="C4882" s="5">
        <v>4</v>
      </c>
      <c r="D4882" s="5" t="s">
        <v>78</v>
      </c>
      <c r="E4882" s="5">
        <v>2022</v>
      </c>
      <c r="F4882" s="5">
        <v>4</v>
      </c>
      <c r="G4882" s="5" t="s">
        <v>37</v>
      </c>
      <c r="H4882" s="5">
        <v>2819003</v>
      </c>
      <c r="I4882" s="5">
        <v>2515580.1800000002</v>
      </c>
      <c r="J4882" s="5">
        <v>29</v>
      </c>
      <c r="K4882" s="5">
        <v>344547</v>
      </c>
      <c r="L4882" s="5">
        <v>3148260</v>
      </c>
      <c r="M4882" s="5">
        <v>303422.82</v>
      </c>
      <c r="N4882" s="5">
        <v>0.1076</v>
      </c>
      <c r="O4882" s="5">
        <v>4</v>
      </c>
      <c r="P4882" s="5">
        <v>232558</v>
      </c>
    </row>
    <row r="4883" spans="1:16" x14ac:dyDescent="0.3">
      <c r="A4883" s="5">
        <v>50</v>
      </c>
      <c r="B4883" s="5" t="s">
        <v>166</v>
      </c>
      <c r="C4883" s="5">
        <v>4</v>
      </c>
      <c r="D4883" s="5" t="s">
        <v>78</v>
      </c>
      <c r="E4883" s="5">
        <v>2022</v>
      </c>
      <c r="F4883" s="5">
        <v>4</v>
      </c>
      <c r="G4883" s="5" t="s">
        <v>37</v>
      </c>
      <c r="H4883" s="5">
        <v>1761353</v>
      </c>
      <c r="I4883" s="5">
        <v>1547113.05</v>
      </c>
      <c r="J4883" s="5">
        <v>28</v>
      </c>
      <c r="K4883" s="5">
        <v>243780</v>
      </c>
      <c r="L4883" s="5">
        <v>1999150</v>
      </c>
      <c r="M4883" s="5">
        <v>214239.95</v>
      </c>
      <c r="N4883" s="5">
        <v>0.1216</v>
      </c>
      <c r="O4883" s="5">
        <v>3</v>
      </c>
      <c r="P4883" s="5">
        <v>17433</v>
      </c>
    </row>
    <row r="4884" spans="1:16" x14ac:dyDescent="0.3">
      <c r="A4884" s="5">
        <v>22</v>
      </c>
      <c r="B4884" s="5" t="s">
        <v>166</v>
      </c>
      <c r="C4884" s="5">
        <v>4</v>
      </c>
      <c r="D4884" s="5" t="s">
        <v>78</v>
      </c>
      <c r="E4884" s="5">
        <v>2022</v>
      </c>
      <c r="F4884" s="5">
        <v>5</v>
      </c>
      <c r="G4884" s="5" t="s">
        <v>38</v>
      </c>
      <c r="H4884" s="5">
        <v>1830529</v>
      </c>
      <c r="I4884" s="5">
        <v>1561728.75</v>
      </c>
      <c r="J4884" s="5">
        <v>24</v>
      </c>
      <c r="K4884" s="5">
        <v>213282</v>
      </c>
      <c r="L4884" s="5">
        <v>2032080</v>
      </c>
      <c r="M4884" s="5">
        <v>268800.25</v>
      </c>
      <c r="N4884" s="5">
        <v>0.14680000000000001</v>
      </c>
      <c r="O4884" s="5">
        <v>3</v>
      </c>
      <c r="P4884" s="5">
        <v>11560</v>
      </c>
    </row>
    <row r="4885" spans="1:16" x14ac:dyDescent="0.3">
      <c r="A4885" s="5">
        <v>50</v>
      </c>
      <c r="B4885" s="5" t="s">
        <v>166</v>
      </c>
      <c r="C4885" s="5">
        <v>4</v>
      </c>
      <c r="D4885" s="5" t="s">
        <v>78</v>
      </c>
      <c r="E4885" s="5">
        <v>2022</v>
      </c>
      <c r="F4885" s="5">
        <v>5</v>
      </c>
      <c r="G4885" s="5" t="s">
        <v>38</v>
      </c>
      <c r="H4885" s="5">
        <v>1881185</v>
      </c>
      <c r="I4885" s="5">
        <v>1616876.09</v>
      </c>
      <c r="J4885" s="5">
        <v>29</v>
      </c>
      <c r="K4885" s="5">
        <v>229197</v>
      </c>
      <c r="L4885" s="5">
        <v>2103520</v>
      </c>
      <c r="M4885" s="5">
        <v>264308.90999999997</v>
      </c>
      <c r="N4885" s="5">
        <v>0.14050000000000001</v>
      </c>
      <c r="O4885" s="5">
        <v>3</v>
      </c>
      <c r="P4885" s="5">
        <v>18491</v>
      </c>
    </row>
    <row r="4886" spans="1:16" x14ac:dyDescent="0.3">
      <c r="A4886" s="5">
        <v>22</v>
      </c>
      <c r="B4886" s="5" t="s">
        <v>166</v>
      </c>
      <c r="C4886" s="5">
        <v>4</v>
      </c>
      <c r="D4886" s="5" t="s">
        <v>78</v>
      </c>
      <c r="E4886" s="5">
        <v>2022</v>
      </c>
      <c r="F4886" s="5">
        <v>6</v>
      </c>
      <c r="G4886" s="5" t="s">
        <v>39</v>
      </c>
      <c r="H4886" s="5">
        <v>3597436</v>
      </c>
      <c r="I4886" s="5">
        <v>3171570.34</v>
      </c>
      <c r="J4886" s="5">
        <v>33</v>
      </c>
      <c r="K4886" s="5">
        <v>381013</v>
      </c>
      <c r="L4886" s="5">
        <v>3956690</v>
      </c>
      <c r="M4886" s="5">
        <v>425865.66</v>
      </c>
      <c r="N4886" s="5">
        <v>0.11840000000000001</v>
      </c>
      <c r="O4886" s="5">
        <v>1</v>
      </c>
      <c r="P4886" s="5">
        <v>2012</v>
      </c>
    </row>
    <row r="4887" spans="1:16" x14ac:dyDescent="0.3">
      <c r="A4887" s="5">
        <v>50</v>
      </c>
      <c r="B4887" s="5" t="s">
        <v>166</v>
      </c>
      <c r="C4887" s="5">
        <v>4</v>
      </c>
      <c r="D4887" s="5" t="s">
        <v>78</v>
      </c>
      <c r="E4887" s="5">
        <v>2022</v>
      </c>
      <c r="F4887" s="5">
        <v>6</v>
      </c>
      <c r="G4887" s="5" t="s">
        <v>39</v>
      </c>
      <c r="H4887" s="5">
        <v>2795458</v>
      </c>
      <c r="I4887" s="5">
        <v>2515272.4500000002</v>
      </c>
      <c r="J4887" s="5">
        <v>30</v>
      </c>
      <c r="K4887" s="5">
        <v>380672</v>
      </c>
      <c r="L4887" s="5">
        <v>3172820</v>
      </c>
      <c r="M4887" s="5">
        <v>280185.55</v>
      </c>
      <c r="N4887" s="5">
        <v>0.1002</v>
      </c>
      <c r="O4887" s="5">
        <v>5</v>
      </c>
      <c r="P4887" s="5">
        <v>67568</v>
      </c>
    </row>
    <row r="4888" spans="1:16" x14ac:dyDescent="0.3">
      <c r="A4888" s="5">
        <v>22</v>
      </c>
      <c r="B4888" s="5" t="s">
        <v>166</v>
      </c>
      <c r="C4888" s="5">
        <v>4</v>
      </c>
      <c r="D4888" s="5" t="s">
        <v>78</v>
      </c>
      <c r="E4888" s="5">
        <v>2022</v>
      </c>
      <c r="F4888" s="5">
        <v>7</v>
      </c>
      <c r="G4888" s="5" t="s">
        <v>40</v>
      </c>
      <c r="H4888" s="5">
        <v>1673992</v>
      </c>
      <c r="I4888" s="5">
        <v>1415066.11</v>
      </c>
      <c r="J4888" s="5">
        <v>26</v>
      </c>
      <c r="K4888" s="5">
        <v>114675</v>
      </c>
      <c r="L4888" s="5">
        <v>1774040</v>
      </c>
      <c r="M4888" s="5">
        <v>258925.89</v>
      </c>
      <c r="N4888" s="5">
        <v>0.1547</v>
      </c>
      <c r="O4888" s="5">
        <v>1</v>
      </c>
      <c r="P4888" s="5">
        <v>13900</v>
      </c>
    </row>
    <row r="4889" spans="1:16" x14ac:dyDescent="0.3">
      <c r="A4889" s="5">
        <v>50</v>
      </c>
      <c r="B4889" s="5" t="s">
        <v>166</v>
      </c>
      <c r="C4889" s="5">
        <v>4</v>
      </c>
      <c r="D4889" s="5" t="s">
        <v>78</v>
      </c>
      <c r="E4889" s="5">
        <v>2022</v>
      </c>
      <c r="F4889" s="5">
        <v>7</v>
      </c>
      <c r="G4889" s="5" t="s">
        <v>40</v>
      </c>
      <c r="H4889" s="5">
        <v>1447830</v>
      </c>
      <c r="I4889" s="5">
        <v>1360597.5</v>
      </c>
      <c r="J4889" s="5">
        <v>22</v>
      </c>
      <c r="K4889" s="5">
        <v>308843</v>
      </c>
      <c r="L4889" s="5">
        <v>1753500</v>
      </c>
      <c r="M4889" s="5">
        <v>87232.5</v>
      </c>
      <c r="N4889" s="5">
        <v>6.0299999999999999E-2</v>
      </c>
      <c r="O4889" s="5">
        <v>3</v>
      </c>
      <c r="P4889" s="5">
        <v>166364</v>
      </c>
    </row>
    <row r="4890" spans="1:16" x14ac:dyDescent="0.3">
      <c r="A4890" s="5">
        <v>22</v>
      </c>
      <c r="B4890" s="5" t="s">
        <v>166</v>
      </c>
      <c r="C4890" s="5">
        <v>4</v>
      </c>
      <c r="D4890" s="5" t="s">
        <v>78</v>
      </c>
      <c r="E4890" s="5">
        <v>2022</v>
      </c>
      <c r="F4890" s="5">
        <v>8</v>
      </c>
      <c r="G4890" s="5" t="s">
        <v>41</v>
      </c>
      <c r="H4890" s="5">
        <v>1996744</v>
      </c>
      <c r="I4890" s="5">
        <v>1621710.64</v>
      </c>
      <c r="J4890" s="5">
        <v>27</v>
      </c>
      <c r="K4890" s="5">
        <v>101320</v>
      </c>
      <c r="L4890" s="5">
        <v>2091340</v>
      </c>
      <c r="M4890" s="5">
        <v>375033.36</v>
      </c>
      <c r="N4890" s="5">
        <v>0.18779999999999999</v>
      </c>
      <c r="O4890" s="5">
        <v>3</v>
      </c>
      <c r="P4890" s="5">
        <v>564762</v>
      </c>
    </row>
    <row r="4891" spans="1:16" x14ac:dyDescent="0.3">
      <c r="A4891" s="5">
        <v>50</v>
      </c>
      <c r="B4891" s="5" t="s">
        <v>166</v>
      </c>
      <c r="C4891" s="5">
        <v>4</v>
      </c>
      <c r="D4891" s="5" t="s">
        <v>78</v>
      </c>
      <c r="E4891" s="5">
        <v>2022</v>
      </c>
      <c r="F4891" s="5">
        <v>8</v>
      </c>
      <c r="G4891" s="5" t="s">
        <v>41</v>
      </c>
      <c r="H4891" s="5">
        <v>1223903</v>
      </c>
      <c r="I4891" s="5">
        <v>1171659.52</v>
      </c>
      <c r="J4891" s="5">
        <v>20</v>
      </c>
      <c r="K4891" s="5">
        <v>289431</v>
      </c>
      <c r="L4891" s="5">
        <v>1510330</v>
      </c>
      <c r="M4891" s="5">
        <v>52243.48</v>
      </c>
      <c r="N4891" s="5">
        <v>4.2700000000000002E-2</v>
      </c>
      <c r="O4891" s="5">
        <v>5</v>
      </c>
      <c r="P4891" s="5">
        <v>272470</v>
      </c>
    </row>
    <row r="4892" spans="1:16" x14ac:dyDescent="0.3">
      <c r="A4892" s="5">
        <v>22</v>
      </c>
      <c r="B4892" s="5" t="s">
        <v>166</v>
      </c>
      <c r="C4892" s="5">
        <v>4</v>
      </c>
      <c r="D4892" s="5" t="s">
        <v>78</v>
      </c>
      <c r="E4892" s="5">
        <v>2022</v>
      </c>
      <c r="F4892" s="5">
        <v>9</v>
      </c>
      <c r="G4892" s="5" t="s">
        <v>42</v>
      </c>
      <c r="H4892" s="5">
        <v>2566647</v>
      </c>
      <c r="I4892" s="5">
        <v>2307815.5</v>
      </c>
      <c r="J4892" s="5">
        <v>32</v>
      </c>
      <c r="K4892" s="5">
        <v>426571</v>
      </c>
      <c r="L4892" s="5">
        <v>2987390</v>
      </c>
      <c r="M4892" s="5">
        <v>258831.5</v>
      </c>
      <c r="N4892" s="5">
        <v>0.1008</v>
      </c>
      <c r="O4892" s="5">
        <v>3</v>
      </c>
      <c r="P4892" s="5">
        <v>179264</v>
      </c>
    </row>
    <row r="4893" spans="1:16" x14ac:dyDescent="0.3">
      <c r="A4893" s="5">
        <v>50</v>
      </c>
      <c r="B4893" s="5" t="s">
        <v>166</v>
      </c>
      <c r="C4893" s="5">
        <v>4</v>
      </c>
      <c r="D4893" s="5" t="s">
        <v>78</v>
      </c>
      <c r="E4893" s="5">
        <v>2022</v>
      </c>
      <c r="F4893" s="5">
        <v>9</v>
      </c>
      <c r="G4893" s="5" t="s">
        <v>42</v>
      </c>
      <c r="H4893" s="5">
        <v>957911</v>
      </c>
      <c r="I4893" s="5">
        <v>919427.81</v>
      </c>
      <c r="J4893" s="5">
        <v>18</v>
      </c>
      <c r="K4893" s="5">
        <v>210205</v>
      </c>
      <c r="L4893" s="5">
        <v>1167290</v>
      </c>
      <c r="M4893" s="5">
        <v>38483.19</v>
      </c>
      <c r="N4893" s="5">
        <v>4.02E-2</v>
      </c>
      <c r="O4893" s="5">
        <v>2</v>
      </c>
      <c r="P4893" s="5">
        <v>137843</v>
      </c>
    </row>
    <row r="4894" spans="1:16" x14ac:dyDescent="0.3">
      <c r="A4894" s="5">
        <v>22</v>
      </c>
      <c r="B4894" s="5" t="s">
        <v>166</v>
      </c>
      <c r="C4894" s="5">
        <v>4</v>
      </c>
      <c r="D4894" s="5" t="s">
        <v>78</v>
      </c>
      <c r="E4894" s="5">
        <v>2022</v>
      </c>
      <c r="F4894" s="5">
        <v>10</v>
      </c>
      <c r="G4894" s="5" t="s">
        <v>43</v>
      </c>
      <c r="H4894" s="5">
        <v>1940553</v>
      </c>
      <c r="I4894" s="5">
        <v>1728601.86</v>
      </c>
      <c r="J4894" s="5">
        <v>28</v>
      </c>
      <c r="K4894" s="5">
        <v>292921</v>
      </c>
      <c r="L4894" s="5">
        <v>2219970</v>
      </c>
      <c r="M4894" s="5">
        <v>211951.14</v>
      </c>
      <c r="N4894" s="5">
        <v>0.10920000000000001</v>
      </c>
      <c r="O4894" s="5">
        <v>1</v>
      </c>
      <c r="P4894" s="5">
        <v>42337</v>
      </c>
    </row>
    <row r="4895" spans="1:16" x14ac:dyDescent="0.3">
      <c r="A4895" s="5">
        <v>50</v>
      </c>
      <c r="B4895" s="5" t="s">
        <v>166</v>
      </c>
      <c r="C4895" s="5">
        <v>4</v>
      </c>
      <c r="D4895" s="5" t="s">
        <v>78</v>
      </c>
      <c r="E4895" s="5">
        <v>2022</v>
      </c>
      <c r="F4895" s="5">
        <v>10</v>
      </c>
      <c r="G4895" s="5" t="s">
        <v>43</v>
      </c>
      <c r="H4895" s="5">
        <v>2521505</v>
      </c>
      <c r="I4895" s="5">
        <v>2191757.2599999998</v>
      </c>
      <c r="J4895" s="5">
        <v>39</v>
      </c>
      <c r="K4895" s="5">
        <v>294011</v>
      </c>
      <c r="L4895" s="5">
        <v>2799860</v>
      </c>
      <c r="M4895" s="5">
        <v>329747.74</v>
      </c>
      <c r="N4895" s="5">
        <v>0.1308</v>
      </c>
      <c r="O4895" s="5">
        <v>3</v>
      </c>
      <c r="P4895" s="5">
        <v>127012</v>
      </c>
    </row>
    <row r="4896" spans="1:16" x14ac:dyDescent="0.3">
      <c r="A4896" s="5">
        <v>22</v>
      </c>
      <c r="B4896" s="5" t="s">
        <v>166</v>
      </c>
      <c r="C4896" s="5">
        <v>4</v>
      </c>
      <c r="D4896" s="5" t="s">
        <v>78</v>
      </c>
      <c r="E4896" s="5">
        <v>2022</v>
      </c>
      <c r="F4896" s="5">
        <v>11</v>
      </c>
      <c r="G4896" s="5" t="s">
        <v>44</v>
      </c>
      <c r="H4896" s="5">
        <v>2245382</v>
      </c>
      <c r="I4896" s="5">
        <v>2006771.54</v>
      </c>
      <c r="J4896" s="5">
        <v>40</v>
      </c>
      <c r="K4896" s="5">
        <v>313860</v>
      </c>
      <c r="L4896" s="5">
        <v>2555040</v>
      </c>
      <c r="M4896" s="5">
        <v>238610.46</v>
      </c>
      <c r="N4896" s="5">
        <v>0.10630000000000001</v>
      </c>
      <c r="O4896" s="5">
        <v>0</v>
      </c>
      <c r="P4896" s="5">
        <v>0</v>
      </c>
    </row>
    <row r="4897" spans="1:16" x14ac:dyDescent="0.3">
      <c r="A4897" s="5">
        <v>50</v>
      </c>
      <c r="B4897" s="5" t="s">
        <v>166</v>
      </c>
      <c r="C4897" s="5">
        <v>4</v>
      </c>
      <c r="D4897" s="5" t="s">
        <v>78</v>
      </c>
      <c r="E4897" s="5">
        <v>2022</v>
      </c>
      <c r="F4897" s="5">
        <v>11</v>
      </c>
      <c r="G4897" s="5" t="s">
        <v>44</v>
      </c>
      <c r="H4897" s="5">
        <v>2436476</v>
      </c>
      <c r="I4897" s="5">
        <v>2094166.41</v>
      </c>
      <c r="J4897" s="5">
        <v>42</v>
      </c>
      <c r="K4897" s="5">
        <v>287568</v>
      </c>
      <c r="L4897" s="5">
        <v>2709580</v>
      </c>
      <c r="M4897" s="5">
        <v>342309.59</v>
      </c>
      <c r="N4897" s="5">
        <v>0.14050000000000001</v>
      </c>
      <c r="O4897" s="5">
        <v>4</v>
      </c>
      <c r="P4897" s="5">
        <v>136731</v>
      </c>
    </row>
    <row r="4898" spans="1:16" x14ac:dyDescent="0.3">
      <c r="A4898" s="5">
        <v>22</v>
      </c>
      <c r="B4898" s="5" t="s">
        <v>166</v>
      </c>
      <c r="C4898" s="5">
        <v>4</v>
      </c>
      <c r="D4898" s="5" t="s">
        <v>78</v>
      </c>
      <c r="E4898" s="5">
        <v>2022</v>
      </c>
      <c r="F4898" s="5">
        <v>12</v>
      </c>
      <c r="G4898" s="5" t="s">
        <v>45</v>
      </c>
      <c r="H4898" s="5">
        <v>3180944</v>
      </c>
      <c r="I4898" s="5">
        <v>2547578.7400000002</v>
      </c>
      <c r="J4898" s="5">
        <v>44</v>
      </c>
      <c r="K4898" s="5">
        <v>151018</v>
      </c>
      <c r="L4898" s="5">
        <v>3325900</v>
      </c>
      <c r="M4898" s="5">
        <v>633365.26</v>
      </c>
      <c r="N4898" s="5">
        <v>0.1991</v>
      </c>
      <c r="O4898" s="5">
        <v>3</v>
      </c>
      <c r="P4898" s="5">
        <v>85140</v>
      </c>
    </row>
    <row r="4899" spans="1:16" x14ac:dyDescent="0.3">
      <c r="A4899" s="5">
        <v>50</v>
      </c>
      <c r="B4899" s="5" t="s">
        <v>166</v>
      </c>
      <c r="C4899" s="5">
        <v>4</v>
      </c>
      <c r="D4899" s="5" t="s">
        <v>78</v>
      </c>
      <c r="E4899" s="5">
        <v>2022</v>
      </c>
      <c r="F4899" s="5">
        <v>12</v>
      </c>
      <c r="G4899" s="5" t="s">
        <v>45</v>
      </c>
      <c r="H4899" s="5">
        <v>2884069</v>
      </c>
      <c r="I4899" s="5">
        <v>2395116.12</v>
      </c>
      <c r="J4899" s="5">
        <v>36</v>
      </c>
      <c r="K4899" s="5">
        <v>170282</v>
      </c>
      <c r="L4899" s="5">
        <v>3037170</v>
      </c>
      <c r="M4899" s="5">
        <v>488952.88</v>
      </c>
      <c r="N4899" s="5">
        <v>0.16950000000000001</v>
      </c>
      <c r="O4899" s="5">
        <v>3</v>
      </c>
      <c r="P4899" s="5">
        <v>107279</v>
      </c>
    </row>
    <row r="4900" spans="1:16" x14ac:dyDescent="0.3">
      <c r="A4900" s="5">
        <v>22</v>
      </c>
      <c r="B4900" s="5" t="s">
        <v>166</v>
      </c>
      <c r="C4900" s="5">
        <v>4</v>
      </c>
      <c r="D4900" s="5" t="s">
        <v>78</v>
      </c>
      <c r="E4900" s="5">
        <v>2023</v>
      </c>
      <c r="F4900" s="5">
        <v>1</v>
      </c>
      <c r="G4900" s="5" t="s">
        <v>46</v>
      </c>
      <c r="H4900" s="5">
        <v>1833910</v>
      </c>
      <c r="I4900" s="5">
        <v>1596061.27</v>
      </c>
      <c r="J4900" s="5">
        <v>27</v>
      </c>
      <c r="K4900" s="5">
        <v>293703</v>
      </c>
      <c r="L4900" s="5">
        <v>2123840</v>
      </c>
      <c r="M4900" s="5">
        <v>237848.73</v>
      </c>
      <c r="N4900" s="5">
        <v>0.12970000000000001</v>
      </c>
      <c r="O4900" s="5">
        <v>3</v>
      </c>
      <c r="P4900" s="5">
        <v>116700</v>
      </c>
    </row>
    <row r="4901" spans="1:16" x14ac:dyDescent="0.3">
      <c r="A4901" s="5">
        <v>50</v>
      </c>
      <c r="B4901" s="5" t="s">
        <v>166</v>
      </c>
      <c r="C4901" s="5">
        <v>4</v>
      </c>
      <c r="D4901" s="5" t="s">
        <v>78</v>
      </c>
      <c r="E4901" s="5">
        <v>2023</v>
      </c>
      <c r="F4901" s="5">
        <v>1</v>
      </c>
      <c r="G4901" s="5" t="s">
        <v>46</v>
      </c>
      <c r="H4901" s="5">
        <v>1636488</v>
      </c>
      <c r="I4901" s="5">
        <v>1463217.17</v>
      </c>
      <c r="J4901" s="5">
        <v>21</v>
      </c>
      <c r="K4901" s="5">
        <v>311764</v>
      </c>
      <c r="L4901" s="5">
        <v>1945000</v>
      </c>
      <c r="M4901" s="5">
        <v>173270.83</v>
      </c>
      <c r="N4901" s="5">
        <v>0.10589999999999999</v>
      </c>
      <c r="O4901" s="5">
        <v>3</v>
      </c>
      <c r="P4901" s="5">
        <v>137423</v>
      </c>
    </row>
    <row r="4902" spans="1:16" x14ac:dyDescent="0.3">
      <c r="A4902" s="5">
        <v>22</v>
      </c>
      <c r="B4902" s="5" t="s">
        <v>166</v>
      </c>
      <c r="C4902" s="5">
        <v>4</v>
      </c>
      <c r="D4902" s="5" t="s">
        <v>78</v>
      </c>
      <c r="E4902" s="5">
        <v>2023</v>
      </c>
      <c r="F4902" s="5">
        <v>2</v>
      </c>
      <c r="G4902" s="5" t="s">
        <v>47</v>
      </c>
      <c r="H4902" s="5">
        <v>1722756</v>
      </c>
      <c r="I4902" s="5">
        <v>1454877.88</v>
      </c>
      <c r="J4902" s="5">
        <v>20</v>
      </c>
      <c r="K4902" s="5">
        <v>153034</v>
      </c>
      <c r="L4902" s="5">
        <v>1865840</v>
      </c>
      <c r="M4902" s="5">
        <v>267878.12</v>
      </c>
      <c r="N4902" s="5">
        <v>0.1555</v>
      </c>
      <c r="O4902" s="5">
        <v>3</v>
      </c>
      <c r="P4902" s="5">
        <v>138437</v>
      </c>
    </row>
    <row r="4903" spans="1:16" x14ac:dyDescent="0.3">
      <c r="A4903" s="5">
        <v>50</v>
      </c>
      <c r="B4903" s="5" t="s">
        <v>166</v>
      </c>
      <c r="C4903" s="5">
        <v>4</v>
      </c>
      <c r="D4903" s="5" t="s">
        <v>78</v>
      </c>
      <c r="E4903" s="5">
        <v>2023</v>
      </c>
      <c r="F4903" s="5">
        <v>2</v>
      </c>
      <c r="G4903" s="5" t="s">
        <v>47</v>
      </c>
      <c r="H4903" s="5">
        <v>1202748</v>
      </c>
      <c r="I4903" s="5">
        <v>1032259.66</v>
      </c>
      <c r="J4903" s="5">
        <v>24</v>
      </c>
      <c r="K4903" s="5">
        <v>141696</v>
      </c>
      <c r="L4903" s="5">
        <v>1341550</v>
      </c>
      <c r="M4903" s="5">
        <v>170488.34</v>
      </c>
      <c r="N4903" s="5">
        <v>0.14169999999999999</v>
      </c>
      <c r="O4903" s="5">
        <v>0</v>
      </c>
      <c r="P4903" s="5">
        <v>0</v>
      </c>
    </row>
    <row r="4904" spans="1:16" x14ac:dyDescent="0.3">
      <c r="A4904" s="5">
        <v>22</v>
      </c>
      <c r="B4904" s="5" t="s">
        <v>166</v>
      </c>
      <c r="C4904" s="5">
        <v>4</v>
      </c>
      <c r="D4904" s="5" t="s">
        <v>78</v>
      </c>
      <c r="E4904" s="5">
        <v>2023</v>
      </c>
      <c r="F4904" s="5">
        <v>3</v>
      </c>
      <c r="G4904" s="5" t="s">
        <v>48</v>
      </c>
      <c r="H4904" s="5">
        <v>1479038</v>
      </c>
      <c r="I4904" s="5">
        <v>1269692.97</v>
      </c>
      <c r="J4904" s="5">
        <v>26</v>
      </c>
      <c r="K4904" s="5">
        <v>186763</v>
      </c>
      <c r="L4904" s="5">
        <v>1657630</v>
      </c>
      <c r="M4904" s="5">
        <v>209345.03</v>
      </c>
      <c r="N4904" s="5">
        <v>0.14149999999999999</v>
      </c>
      <c r="O4904" s="5">
        <v>3</v>
      </c>
      <c r="P4904" s="5">
        <v>76760</v>
      </c>
    </row>
    <row r="4905" spans="1:16" x14ac:dyDescent="0.3">
      <c r="A4905" s="5">
        <v>50</v>
      </c>
      <c r="B4905" s="5" t="s">
        <v>166</v>
      </c>
      <c r="C4905" s="5">
        <v>4</v>
      </c>
      <c r="D4905" s="5" t="s">
        <v>78</v>
      </c>
      <c r="E4905" s="5">
        <v>2023</v>
      </c>
      <c r="F4905" s="5">
        <v>3</v>
      </c>
      <c r="G4905" s="5" t="s">
        <v>48</v>
      </c>
      <c r="H4905" s="5">
        <v>2448001</v>
      </c>
      <c r="I4905" s="5">
        <v>2100622.83</v>
      </c>
      <c r="J4905" s="5">
        <v>36</v>
      </c>
      <c r="K4905" s="5">
        <v>230785</v>
      </c>
      <c r="L4905" s="5">
        <v>2674680</v>
      </c>
      <c r="M4905" s="5">
        <v>347378.17</v>
      </c>
      <c r="N4905" s="5">
        <v>0.1419</v>
      </c>
      <c r="O4905" s="5">
        <v>4</v>
      </c>
      <c r="P4905" s="5">
        <v>223888</v>
      </c>
    </row>
    <row r="4906" spans="1:16" x14ac:dyDescent="0.3">
      <c r="A4906" s="5">
        <v>22</v>
      </c>
      <c r="B4906" s="5" t="s">
        <v>166</v>
      </c>
      <c r="C4906" s="5">
        <v>4</v>
      </c>
      <c r="D4906" s="5" t="s">
        <v>78</v>
      </c>
      <c r="E4906" s="5">
        <v>2023</v>
      </c>
      <c r="F4906" s="5">
        <v>4</v>
      </c>
      <c r="G4906" s="5" t="s">
        <v>49</v>
      </c>
      <c r="H4906" s="5">
        <v>3385572</v>
      </c>
      <c r="I4906" s="5">
        <v>2974469.44</v>
      </c>
      <c r="J4906" s="5">
        <v>37</v>
      </c>
      <c r="K4906" s="5">
        <v>397819</v>
      </c>
      <c r="L4906" s="5">
        <v>3772930</v>
      </c>
      <c r="M4906" s="5">
        <v>411102.56</v>
      </c>
      <c r="N4906" s="5">
        <v>0.12139999999999999</v>
      </c>
      <c r="O4906" s="5">
        <v>4</v>
      </c>
      <c r="P4906" s="5">
        <v>43849</v>
      </c>
    </row>
    <row r="4907" spans="1:16" x14ac:dyDescent="0.3">
      <c r="A4907" s="5">
        <v>50</v>
      </c>
      <c r="B4907" s="5" t="s">
        <v>166</v>
      </c>
      <c r="C4907" s="5">
        <v>4</v>
      </c>
      <c r="D4907" s="5" t="s">
        <v>78</v>
      </c>
      <c r="E4907" s="5">
        <v>2023</v>
      </c>
      <c r="F4907" s="5">
        <v>4</v>
      </c>
      <c r="G4907" s="5" t="s">
        <v>49</v>
      </c>
      <c r="H4907" s="5">
        <v>2169068</v>
      </c>
      <c r="I4907" s="5">
        <v>1904446.82</v>
      </c>
      <c r="J4907" s="5">
        <v>32</v>
      </c>
      <c r="K4907" s="5">
        <v>259144</v>
      </c>
      <c r="L4907" s="5">
        <v>2419980</v>
      </c>
      <c r="M4907" s="5">
        <v>264621.18</v>
      </c>
      <c r="N4907" s="5">
        <v>0.122</v>
      </c>
      <c r="O4907" s="5">
        <v>2</v>
      </c>
      <c r="P4907" s="5">
        <v>27677</v>
      </c>
    </row>
    <row r="4908" spans="1:16" x14ac:dyDescent="0.3">
      <c r="A4908" s="5">
        <v>22</v>
      </c>
      <c r="B4908" s="5" t="s">
        <v>166</v>
      </c>
      <c r="C4908" s="5">
        <v>4</v>
      </c>
      <c r="D4908" s="5" t="s">
        <v>78</v>
      </c>
      <c r="E4908" s="5">
        <v>2023</v>
      </c>
      <c r="F4908" s="5">
        <v>5</v>
      </c>
      <c r="G4908" s="5" t="s">
        <v>50</v>
      </c>
      <c r="H4908" s="5">
        <v>2537712</v>
      </c>
      <c r="I4908" s="5">
        <v>2096154.14</v>
      </c>
      <c r="J4908" s="5">
        <v>31</v>
      </c>
      <c r="K4908" s="5">
        <v>180354</v>
      </c>
      <c r="L4908" s="5">
        <v>2702330</v>
      </c>
      <c r="M4908" s="5">
        <v>441557.86</v>
      </c>
      <c r="N4908" s="5">
        <v>0.17399999999999999</v>
      </c>
      <c r="O4908" s="5">
        <v>2</v>
      </c>
      <c r="P4908" s="5">
        <v>24048</v>
      </c>
    </row>
    <row r="4909" spans="1:16" x14ac:dyDescent="0.3">
      <c r="A4909" s="5">
        <v>50</v>
      </c>
      <c r="B4909" s="5" t="s">
        <v>166</v>
      </c>
      <c r="C4909" s="5">
        <v>4</v>
      </c>
      <c r="D4909" s="5" t="s">
        <v>78</v>
      </c>
      <c r="E4909" s="5">
        <v>2023</v>
      </c>
      <c r="F4909" s="5">
        <v>5</v>
      </c>
      <c r="G4909" s="5" t="s">
        <v>50</v>
      </c>
      <c r="H4909" s="5">
        <v>1940503</v>
      </c>
      <c r="I4909" s="5">
        <v>1687381.99</v>
      </c>
      <c r="J4909" s="5">
        <v>22</v>
      </c>
      <c r="K4909" s="5">
        <v>144115</v>
      </c>
      <c r="L4909" s="5">
        <v>2066940</v>
      </c>
      <c r="M4909" s="5">
        <v>253121.01</v>
      </c>
      <c r="N4909" s="5">
        <v>0.13039999999999999</v>
      </c>
      <c r="O4909" s="5">
        <v>2</v>
      </c>
      <c r="P4909" s="5">
        <v>90820</v>
      </c>
    </row>
    <row r="4910" spans="1:16" x14ac:dyDescent="0.3">
      <c r="A4910" s="5">
        <v>22</v>
      </c>
      <c r="B4910" s="5" t="s">
        <v>166</v>
      </c>
      <c r="C4910" s="5">
        <v>4</v>
      </c>
      <c r="D4910" s="5" t="s">
        <v>78</v>
      </c>
      <c r="E4910" s="5">
        <v>2023</v>
      </c>
      <c r="F4910" s="5">
        <v>6</v>
      </c>
      <c r="G4910" s="5" t="s">
        <v>51</v>
      </c>
      <c r="H4910" s="5">
        <v>2928499</v>
      </c>
      <c r="I4910" s="5">
        <v>2513214.54</v>
      </c>
      <c r="J4910" s="5">
        <v>37</v>
      </c>
      <c r="K4910" s="5">
        <v>272888</v>
      </c>
      <c r="L4910" s="5">
        <v>3194010</v>
      </c>
      <c r="M4910" s="5">
        <v>415284.46</v>
      </c>
      <c r="N4910" s="5">
        <v>0.14180000000000001</v>
      </c>
      <c r="O4910" s="5">
        <v>1</v>
      </c>
      <c r="P4910" s="5">
        <v>6977</v>
      </c>
    </row>
    <row r="4911" spans="1:16" x14ac:dyDescent="0.3">
      <c r="A4911" s="5">
        <v>50</v>
      </c>
      <c r="B4911" s="5" t="s">
        <v>166</v>
      </c>
      <c r="C4911" s="5">
        <v>4</v>
      </c>
      <c r="D4911" s="5" t="s">
        <v>78</v>
      </c>
      <c r="E4911" s="5">
        <v>2023</v>
      </c>
      <c r="F4911" s="5">
        <v>6</v>
      </c>
      <c r="G4911" s="5" t="s">
        <v>51</v>
      </c>
      <c r="H4911" s="5">
        <v>1230693</v>
      </c>
      <c r="I4911" s="5">
        <v>1019528.49</v>
      </c>
      <c r="J4911" s="5">
        <v>20</v>
      </c>
      <c r="K4911" s="5">
        <v>100217</v>
      </c>
      <c r="L4911" s="5">
        <v>1330130</v>
      </c>
      <c r="M4911" s="5">
        <v>211164.51</v>
      </c>
      <c r="N4911" s="5">
        <v>0.1716</v>
      </c>
      <c r="O4911" s="5">
        <v>1</v>
      </c>
      <c r="P4911" s="5">
        <v>2674</v>
      </c>
    </row>
    <row r="4912" spans="1:16" x14ac:dyDescent="0.3">
      <c r="A4912" s="5">
        <v>22</v>
      </c>
      <c r="B4912" s="5" t="s">
        <v>166</v>
      </c>
      <c r="C4912" s="5">
        <v>4</v>
      </c>
      <c r="D4912" s="5" t="s">
        <v>78</v>
      </c>
      <c r="E4912" s="5">
        <v>2023</v>
      </c>
      <c r="F4912" s="5">
        <v>7</v>
      </c>
      <c r="G4912" s="5" t="s">
        <v>52</v>
      </c>
      <c r="H4912" s="5">
        <v>1807109</v>
      </c>
      <c r="I4912" s="5">
        <v>1616665.65</v>
      </c>
      <c r="J4912" s="5">
        <v>32</v>
      </c>
      <c r="K4912" s="5">
        <v>276047</v>
      </c>
      <c r="L4912" s="5">
        <v>2080940</v>
      </c>
      <c r="M4912" s="5">
        <v>190443.35</v>
      </c>
      <c r="N4912" s="5">
        <v>0.10539999999999999</v>
      </c>
      <c r="O4912" s="5">
        <v>4</v>
      </c>
      <c r="P4912" s="5">
        <v>52470</v>
      </c>
    </row>
    <row r="4913" spans="1:16" x14ac:dyDescent="0.3">
      <c r="A4913" s="5">
        <v>50</v>
      </c>
      <c r="B4913" s="5" t="s">
        <v>166</v>
      </c>
      <c r="C4913" s="5">
        <v>4</v>
      </c>
      <c r="D4913" s="5" t="s">
        <v>78</v>
      </c>
      <c r="E4913" s="5">
        <v>2023</v>
      </c>
      <c r="F4913" s="5">
        <v>7</v>
      </c>
      <c r="G4913" s="5" t="s">
        <v>52</v>
      </c>
      <c r="H4913" s="5">
        <v>2037051</v>
      </c>
      <c r="I4913" s="5">
        <v>1697326.01</v>
      </c>
      <c r="J4913" s="5">
        <v>28</v>
      </c>
      <c r="K4913" s="5">
        <v>162481</v>
      </c>
      <c r="L4913" s="5">
        <v>2193140</v>
      </c>
      <c r="M4913" s="5">
        <v>339724.99</v>
      </c>
      <c r="N4913" s="5">
        <v>0.1668</v>
      </c>
      <c r="O4913" s="5">
        <v>3</v>
      </c>
      <c r="P4913" s="5">
        <v>92932</v>
      </c>
    </row>
    <row r="4914" spans="1:16" x14ac:dyDescent="0.3">
      <c r="A4914" s="5">
        <v>22</v>
      </c>
      <c r="B4914" s="5" t="s">
        <v>166</v>
      </c>
      <c r="C4914" s="5">
        <v>4</v>
      </c>
      <c r="D4914" s="5" t="s">
        <v>78</v>
      </c>
      <c r="E4914" s="5">
        <v>2023</v>
      </c>
      <c r="F4914" s="5">
        <v>8</v>
      </c>
      <c r="G4914" s="5" t="s">
        <v>53</v>
      </c>
      <c r="H4914" s="5">
        <v>2296137</v>
      </c>
      <c r="I4914" s="5">
        <v>2067757.82</v>
      </c>
      <c r="J4914" s="5">
        <v>27</v>
      </c>
      <c r="K4914" s="5">
        <v>396831</v>
      </c>
      <c r="L4914" s="5">
        <v>2685420</v>
      </c>
      <c r="M4914" s="5">
        <v>228379.18</v>
      </c>
      <c r="N4914" s="5">
        <v>9.9500000000000005E-2</v>
      </c>
      <c r="O4914" s="5">
        <v>3</v>
      </c>
      <c r="P4914" s="5">
        <v>27844</v>
      </c>
    </row>
    <row r="4915" spans="1:16" x14ac:dyDescent="0.3">
      <c r="A4915" s="5">
        <v>50</v>
      </c>
      <c r="B4915" s="5" t="s">
        <v>166</v>
      </c>
      <c r="C4915" s="5">
        <v>4</v>
      </c>
      <c r="D4915" s="5" t="s">
        <v>78</v>
      </c>
      <c r="E4915" s="5">
        <v>2023</v>
      </c>
      <c r="F4915" s="5">
        <v>8</v>
      </c>
      <c r="G4915" s="5" t="s">
        <v>53</v>
      </c>
      <c r="H4915" s="5">
        <v>1063015</v>
      </c>
      <c r="I4915" s="5">
        <v>972259.75</v>
      </c>
      <c r="J4915" s="5">
        <v>23</v>
      </c>
      <c r="K4915" s="5">
        <v>194696</v>
      </c>
      <c r="L4915" s="5">
        <v>1255690</v>
      </c>
      <c r="M4915" s="5">
        <v>90755.25</v>
      </c>
      <c r="N4915" s="5">
        <v>8.5400000000000004E-2</v>
      </c>
      <c r="O4915" s="5">
        <v>1</v>
      </c>
      <c r="P4915" s="5">
        <v>1122</v>
      </c>
    </row>
    <row r="4916" spans="1:16" x14ac:dyDescent="0.3">
      <c r="A4916" s="5">
        <v>22</v>
      </c>
      <c r="B4916" s="5" t="s">
        <v>166</v>
      </c>
      <c r="C4916" s="5">
        <v>4</v>
      </c>
      <c r="D4916" s="5" t="s">
        <v>78</v>
      </c>
      <c r="E4916" s="5">
        <v>2023</v>
      </c>
      <c r="F4916" s="5">
        <v>9</v>
      </c>
      <c r="G4916" s="5" t="s">
        <v>54</v>
      </c>
      <c r="H4916" s="5">
        <v>2055378</v>
      </c>
      <c r="I4916" s="5">
        <v>1840095.21</v>
      </c>
      <c r="J4916" s="5">
        <v>28</v>
      </c>
      <c r="K4916" s="5">
        <v>268778</v>
      </c>
      <c r="L4916" s="5">
        <v>2318640</v>
      </c>
      <c r="M4916" s="5">
        <v>215282.79</v>
      </c>
      <c r="N4916" s="5">
        <v>0.1047</v>
      </c>
      <c r="O4916" s="5">
        <v>2</v>
      </c>
      <c r="P4916" s="5">
        <v>90220</v>
      </c>
    </row>
    <row r="4917" spans="1:16" x14ac:dyDescent="0.3">
      <c r="A4917" s="5">
        <v>50</v>
      </c>
      <c r="B4917" s="5" t="s">
        <v>166</v>
      </c>
      <c r="C4917" s="5">
        <v>4</v>
      </c>
      <c r="D4917" s="5" t="s">
        <v>78</v>
      </c>
      <c r="E4917" s="5">
        <v>2023</v>
      </c>
      <c r="F4917" s="5">
        <v>9</v>
      </c>
      <c r="G4917" s="5" t="s">
        <v>54</v>
      </c>
      <c r="H4917" s="5">
        <v>2201048</v>
      </c>
      <c r="I4917" s="5">
        <v>1853351.69</v>
      </c>
      <c r="J4917" s="5">
        <v>31</v>
      </c>
      <c r="K4917" s="5">
        <v>166662</v>
      </c>
      <c r="L4917" s="5">
        <v>2350780</v>
      </c>
      <c r="M4917" s="5">
        <v>347696.31</v>
      </c>
      <c r="N4917" s="5">
        <v>0.158</v>
      </c>
      <c r="O4917" s="5">
        <v>4</v>
      </c>
      <c r="P4917" s="5">
        <v>125435</v>
      </c>
    </row>
    <row r="4918" spans="1:16" x14ac:dyDescent="0.3">
      <c r="A4918" s="5">
        <v>22</v>
      </c>
      <c r="B4918" s="5" t="s">
        <v>166</v>
      </c>
      <c r="C4918" s="5">
        <v>4</v>
      </c>
      <c r="D4918" s="5" t="s">
        <v>78</v>
      </c>
      <c r="E4918" s="5">
        <v>2023</v>
      </c>
      <c r="F4918" s="5">
        <v>10</v>
      </c>
      <c r="G4918" s="5" t="s">
        <v>55</v>
      </c>
      <c r="H4918" s="5">
        <v>3440281</v>
      </c>
      <c r="I4918" s="5">
        <v>3014389.55</v>
      </c>
      <c r="J4918" s="5">
        <v>46</v>
      </c>
      <c r="K4918" s="5">
        <v>370219</v>
      </c>
      <c r="L4918" s="5">
        <v>3806410</v>
      </c>
      <c r="M4918" s="5">
        <v>425891.45</v>
      </c>
      <c r="N4918" s="5">
        <v>0.12379999999999999</v>
      </c>
      <c r="O4918" s="5">
        <v>1</v>
      </c>
      <c r="P4918" s="5">
        <v>59109</v>
      </c>
    </row>
    <row r="4919" spans="1:16" x14ac:dyDescent="0.3">
      <c r="A4919" s="5">
        <v>50</v>
      </c>
      <c r="B4919" s="5" t="s">
        <v>166</v>
      </c>
      <c r="C4919" s="5">
        <v>4</v>
      </c>
      <c r="D4919" s="5" t="s">
        <v>78</v>
      </c>
      <c r="E4919" s="5">
        <v>2023</v>
      </c>
      <c r="F4919" s="5">
        <v>10</v>
      </c>
      <c r="G4919" s="5" t="s">
        <v>55</v>
      </c>
      <c r="H4919" s="5">
        <v>3087455</v>
      </c>
      <c r="I4919" s="5">
        <v>2697841.47</v>
      </c>
      <c r="J4919" s="5">
        <v>42</v>
      </c>
      <c r="K4919" s="5">
        <v>394830</v>
      </c>
      <c r="L4919" s="5">
        <v>3475360</v>
      </c>
      <c r="M4919" s="5">
        <v>389613.53</v>
      </c>
      <c r="N4919" s="5">
        <v>0.12620000000000001</v>
      </c>
      <c r="O4919" s="5">
        <v>4</v>
      </c>
      <c r="P4919" s="5">
        <v>152674</v>
      </c>
    </row>
    <row r="4920" spans="1:16" x14ac:dyDescent="0.3">
      <c r="A4920" s="5">
        <v>22</v>
      </c>
      <c r="B4920" s="5" t="s">
        <v>166</v>
      </c>
      <c r="C4920" s="5">
        <v>4</v>
      </c>
      <c r="D4920" s="5" t="s">
        <v>78</v>
      </c>
      <c r="E4920" s="5">
        <v>2023</v>
      </c>
      <c r="F4920" s="5">
        <v>11</v>
      </c>
      <c r="G4920" s="5" t="s">
        <v>56</v>
      </c>
      <c r="H4920" s="5">
        <v>3918020</v>
      </c>
      <c r="I4920" s="5">
        <v>3554434</v>
      </c>
      <c r="J4920" s="5">
        <v>49</v>
      </c>
      <c r="K4920" s="5">
        <v>620259</v>
      </c>
      <c r="L4920" s="5">
        <v>4532380</v>
      </c>
      <c r="M4920" s="5">
        <v>363586</v>
      </c>
      <c r="N4920" s="5">
        <v>9.2799999999999994E-2</v>
      </c>
      <c r="O4920" s="5">
        <v>2</v>
      </c>
      <c r="P4920" s="5">
        <v>13540</v>
      </c>
    </row>
    <row r="4921" spans="1:16" x14ac:dyDescent="0.3">
      <c r="A4921" s="5">
        <v>50</v>
      </c>
      <c r="B4921" s="5" t="s">
        <v>166</v>
      </c>
      <c r="C4921" s="5">
        <v>4</v>
      </c>
      <c r="D4921" s="5" t="s">
        <v>78</v>
      </c>
      <c r="E4921" s="5">
        <v>2023</v>
      </c>
      <c r="F4921" s="5">
        <v>11</v>
      </c>
      <c r="G4921" s="5" t="s">
        <v>56</v>
      </c>
      <c r="H4921" s="5">
        <v>1668103</v>
      </c>
      <c r="I4921" s="5">
        <v>1501132.75</v>
      </c>
      <c r="J4921" s="5">
        <v>27</v>
      </c>
      <c r="K4921" s="5">
        <v>270352</v>
      </c>
      <c r="L4921" s="5">
        <v>1929020</v>
      </c>
      <c r="M4921" s="5">
        <v>166970.25</v>
      </c>
      <c r="N4921" s="5">
        <v>0.10009999999999999</v>
      </c>
      <c r="O4921" s="5">
        <v>1</v>
      </c>
      <c r="P4921" s="5">
        <v>11553</v>
      </c>
    </row>
    <row r="4922" spans="1:16" x14ac:dyDescent="0.3">
      <c r="A4922" s="5">
        <v>22</v>
      </c>
      <c r="B4922" s="5" t="s">
        <v>166</v>
      </c>
      <c r="C4922" s="5">
        <v>4</v>
      </c>
      <c r="D4922" s="5" t="s">
        <v>78</v>
      </c>
      <c r="E4922" s="5">
        <v>2023</v>
      </c>
      <c r="F4922" s="5">
        <v>12</v>
      </c>
      <c r="G4922" s="5" t="s">
        <v>57</v>
      </c>
      <c r="H4922" s="5">
        <v>4027476</v>
      </c>
      <c r="I4922" s="5">
        <v>3533897.72</v>
      </c>
      <c r="J4922" s="5">
        <v>58</v>
      </c>
      <c r="K4922" s="5">
        <v>528540</v>
      </c>
      <c r="L4922" s="5">
        <v>4540160</v>
      </c>
      <c r="M4922" s="5">
        <v>493578.28</v>
      </c>
      <c r="N4922" s="5">
        <v>0.1226</v>
      </c>
      <c r="O4922" s="5">
        <v>3</v>
      </c>
      <c r="P4922" s="5">
        <v>68770</v>
      </c>
    </row>
    <row r="4923" spans="1:16" x14ac:dyDescent="0.3">
      <c r="A4923" s="5">
        <v>50</v>
      </c>
      <c r="B4923" s="5" t="s">
        <v>166</v>
      </c>
      <c r="C4923" s="5">
        <v>4</v>
      </c>
      <c r="D4923" s="5" t="s">
        <v>78</v>
      </c>
      <c r="E4923" s="5">
        <v>2023</v>
      </c>
      <c r="F4923" s="5">
        <v>12</v>
      </c>
      <c r="G4923" s="5" t="s">
        <v>57</v>
      </c>
      <c r="H4923" s="5">
        <v>1814646</v>
      </c>
      <c r="I4923" s="5">
        <v>1470967.4</v>
      </c>
      <c r="J4923" s="5">
        <v>40</v>
      </c>
      <c r="K4923" s="5">
        <v>131216</v>
      </c>
      <c r="L4923" s="5">
        <v>1930000</v>
      </c>
      <c r="M4923" s="5">
        <v>343678.6</v>
      </c>
      <c r="N4923" s="5">
        <v>0.18940000000000001</v>
      </c>
      <c r="O4923" s="5">
        <v>3</v>
      </c>
      <c r="P4923" s="5">
        <v>49502</v>
      </c>
    </row>
    <row r="4924" spans="1:16" x14ac:dyDescent="0.3">
      <c r="A4924" s="5">
        <v>22</v>
      </c>
      <c r="B4924" s="5" t="s">
        <v>166</v>
      </c>
      <c r="C4924" s="5">
        <v>4</v>
      </c>
      <c r="D4924" s="5" t="s">
        <v>78</v>
      </c>
      <c r="E4924" s="5">
        <v>2024</v>
      </c>
      <c r="F4924" s="5">
        <v>1</v>
      </c>
      <c r="G4924" s="5" t="s">
        <v>58</v>
      </c>
      <c r="H4924" s="5">
        <v>2524260</v>
      </c>
      <c r="I4924" s="5">
        <v>2081808.32</v>
      </c>
      <c r="J4924" s="5">
        <v>43</v>
      </c>
      <c r="K4924" s="5">
        <v>268576</v>
      </c>
      <c r="L4924" s="5">
        <v>2782410</v>
      </c>
      <c r="M4924" s="5">
        <v>442451.68</v>
      </c>
      <c r="N4924" s="5">
        <v>0.17530000000000001</v>
      </c>
      <c r="O4924" s="5">
        <v>3</v>
      </c>
      <c r="P4924" s="5">
        <v>122827</v>
      </c>
    </row>
    <row r="4925" spans="1:16" x14ac:dyDescent="0.3">
      <c r="A4925" s="5">
        <v>50</v>
      </c>
      <c r="B4925" s="5" t="s">
        <v>166</v>
      </c>
      <c r="C4925" s="5">
        <v>4</v>
      </c>
      <c r="D4925" s="5" t="s">
        <v>78</v>
      </c>
      <c r="E4925" s="5">
        <v>2024</v>
      </c>
      <c r="F4925" s="5">
        <v>1</v>
      </c>
      <c r="G4925" s="5" t="s">
        <v>58</v>
      </c>
      <c r="H4925" s="5">
        <v>1539520</v>
      </c>
      <c r="I4925" s="5">
        <v>1259782.5900000001</v>
      </c>
      <c r="J4925" s="5">
        <v>19</v>
      </c>
      <c r="K4925" s="5">
        <v>133240</v>
      </c>
      <c r="L4925" s="5">
        <v>1667220</v>
      </c>
      <c r="M4925" s="5">
        <v>279737.40999999997</v>
      </c>
      <c r="N4925" s="5">
        <v>0.1817</v>
      </c>
      <c r="O4925" s="5">
        <v>3</v>
      </c>
      <c r="P4925" s="5">
        <v>9770</v>
      </c>
    </row>
    <row r="4926" spans="1:16" x14ac:dyDescent="0.3">
      <c r="A4926" s="5">
        <v>22</v>
      </c>
      <c r="B4926" s="5" t="s">
        <v>166</v>
      </c>
      <c r="C4926" s="5">
        <v>4</v>
      </c>
      <c r="D4926" s="5" t="s">
        <v>78</v>
      </c>
      <c r="E4926" s="5">
        <v>2024</v>
      </c>
      <c r="F4926" s="5">
        <v>2</v>
      </c>
      <c r="G4926" s="5" t="s">
        <v>59</v>
      </c>
      <c r="H4926" s="5">
        <v>1940479</v>
      </c>
      <c r="I4926" s="5">
        <v>1631621.07</v>
      </c>
      <c r="J4926" s="5">
        <v>31</v>
      </c>
      <c r="K4926" s="5">
        <v>141049</v>
      </c>
      <c r="L4926" s="5">
        <v>2071880</v>
      </c>
      <c r="M4926" s="5">
        <v>308857.93</v>
      </c>
      <c r="N4926" s="5">
        <v>0.15920000000000001</v>
      </c>
      <c r="O4926" s="5">
        <v>2</v>
      </c>
      <c r="P4926" s="5">
        <v>11258</v>
      </c>
    </row>
    <row r="4927" spans="1:16" x14ac:dyDescent="0.3">
      <c r="A4927" s="5">
        <v>50</v>
      </c>
      <c r="B4927" s="5" t="s">
        <v>166</v>
      </c>
      <c r="C4927" s="5">
        <v>4</v>
      </c>
      <c r="D4927" s="5" t="s">
        <v>78</v>
      </c>
      <c r="E4927" s="5">
        <v>2024</v>
      </c>
      <c r="F4927" s="5">
        <v>2</v>
      </c>
      <c r="G4927" s="5" t="s">
        <v>59</v>
      </c>
      <c r="H4927" s="5">
        <v>839115</v>
      </c>
      <c r="I4927" s="5">
        <v>695785.83</v>
      </c>
      <c r="J4927" s="5">
        <v>18</v>
      </c>
      <c r="K4927" s="5">
        <v>72299</v>
      </c>
      <c r="L4927" s="5">
        <v>908560</v>
      </c>
      <c r="M4927" s="5">
        <v>143329.17000000001</v>
      </c>
      <c r="N4927" s="5">
        <v>0.17080000000000001</v>
      </c>
      <c r="O4927" s="5">
        <v>0</v>
      </c>
      <c r="P4927" s="5">
        <v>0</v>
      </c>
    </row>
    <row r="4928" spans="1:16" x14ac:dyDescent="0.3">
      <c r="A4928" s="5">
        <v>22</v>
      </c>
      <c r="B4928" s="5" t="s">
        <v>166</v>
      </c>
      <c r="C4928" s="5">
        <v>4</v>
      </c>
      <c r="D4928" s="5" t="s">
        <v>78</v>
      </c>
      <c r="E4928" s="5">
        <v>2024</v>
      </c>
      <c r="F4928" s="5">
        <v>3</v>
      </c>
      <c r="G4928" s="5" t="s">
        <v>60</v>
      </c>
      <c r="H4928" s="5">
        <v>2745735</v>
      </c>
      <c r="I4928" s="5">
        <v>2513302.6</v>
      </c>
      <c r="J4928" s="5">
        <v>36</v>
      </c>
      <c r="K4928" s="5">
        <v>471871</v>
      </c>
      <c r="L4928" s="5">
        <v>3212820</v>
      </c>
      <c r="M4928" s="5">
        <v>232432.4</v>
      </c>
      <c r="N4928" s="5">
        <v>8.4699999999999998E-2</v>
      </c>
      <c r="O4928" s="5">
        <v>2</v>
      </c>
      <c r="P4928" s="5">
        <v>9796</v>
      </c>
    </row>
    <row r="4929" spans="1:16" x14ac:dyDescent="0.3">
      <c r="A4929" s="5">
        <v>50</v>
      </c>
      <c r="B4929" s="5" t="s">
        <v>166</v>
      </c>
      <c r="C4929" s="5">
        <v>4</v>
      </c>
      <c r="D4929" s="5" t="s">
        <v>78</v>
      </c>
      <c r="E4929" s="5">
        <v>2024</v>
      </c>
      <c r="F4929" s="5">
        <v>3</v>
      </c>
      <c r="G4929" s="5" t="s">
        <v>60</v>
      </c>
      <c r="H4929" s="5">
        <v>943680</v>
      </c>
      <c r="I4929" s="5">
        <v>793317.96</v>
      </c>
      <c r="J4929" s="5">
        <v>18</v>
      </c>
      <c r="K4929" s="5">
        <v>76491</v>
      </c>
      <c r="L4929" s="5">
        <v>1017510</v>
      </c>
      <c r="M4929" s="5">
        <v>150362.04</v>
      </c>
      <c r="N4929" s="5">
        <v>0.1593</v>
      </c>
      <c r="O4929" s="5">
        <v>1</v>
      </c>
      <c r="P4929" s="5">
        <v>114099</v>
      </c>
    </row>
    <row r="4930" spans="1:16" x14ac:dyDescent="0.3">
      <c r="A4930" s="5">
        <v>22</v>
      </c>
      <c r="B4930" s="5" t="s">
        <v>166</v>
      </c>
      <c r="C4930" s="5">
        <v>4</v>
      </c>
      <c r="D4930" s="5" t="s">
        <v>78</v>
      </c>
      <c r="E4930" s="5">
        <v>2024</v>
      </c>
      <c r="F4930" s="5">
        <v>4</v>
      </c>
      <c r="G4930" s="5" t="s">
        <v>61</v>
      </c>
      <c r="H4930" s="5">
        <v>2883575</v>
      </c>
      <c r="I4930" s="5">
        <v>2611825</v>
      </c>
      <c r="J4930" s="5">
        <v>32</v>
      </c>
      <c r="K4930" s="5">
        <v>458170</v>
      </c>
      <c r="L4930" s="5">
        <v>3336080</v>
      </c>
      <c r="M4930" s="5">
        <v>271750</v>
      </c>
      <c r="N4930" s="5">
        <v>9.4200000000000006E-2</v>
      </c>
      <c r="O4930" s="5">
        <v>3</v>
      </c>
      <c r="P4930" s="5">
        <v>372796</v>
      </c>
    </row>
    <row r="4931" spans="1:16" x14ac:dyDescent="0.3">
      <c r="A4931" s="5">
        <v>50</v>
      </c>
      <c r="B4931" s="5" t="s">
        <v>166</v>
      </c>
      <c r="C4931" s="5">
        <v>4</v>
      </c>
      <c r="D4931" s="5" t="s">
        <v>78</v>
      </c>
      <c r="E4931" s="5">
        <v>2024</v>
      </c>
      <c r="F4931" s="5">
        <v>4</v>
      </c>
      <c r="G4931" s="5" t="s">
        <v>61</v>
      </c>
      <c r="H4931" s="5">
        <v>2393618</v>
      </c>
      <c r="I4931" s="5">
        <v>2152893.46</v>
      </c>
      <c r="J4931" s="5">
        <v>41</v>
      </c>
      <c r="K4931" s="5">
        <v>362426</v>
      </c>
      <c r="L4931" s="5">
        <v>2752370</v>
      </c>
      <c r="M4931" s="5">
        <v>240724.54</v>
      </c>
      <c r="N4931" s="5">
        <v>0.10059999999999999</v>
      </c>
      <c r="O4931" s="5">
        <v>8</v>
      </c>
      <c r="P4931" s="5">
        <v>94128</v>
      </c>
    </row>
    <row r="4932" spans="1:16" x14ac:dyDescent="0.3">
      <c r="A4932" s="5">
        <v>22</v>
      </c>
      <c r="B4932" s="5" t="s">
        <v>166</v>
      </c>
      <c r="C4932" s="5">
        <v>4</v>
      </c>
      <c r="D4932" s="5" t="s">
        <v>78</v>
      </c>
      <c r="E4932" s="5">
        <v>2024</v>
      </c>
      <c r="F4932" s="5">
        <v>5</v>
      </c>
      <c r="G4932" s="5" t="s">
        <v>62</v>
      </c>
      <c r="H4932" s="5">
        <v>2304512</v>
      </c>
      <c r="I4932" s="5">
        <v>1945135.5</v>
      </c>
      <c r="J4932" s="5">
        <v>34</v>
      </c>
      <c r="K4932" s="5">
        <v>226074</v>
      </c>
      <c r="L4932" s="5">
        <v>2523550</v>
      </c>
      <c r="M4932" s="5">
        <v>359376.5</v>
      </c>
      <c r="N4932" s="5">
        <v>0.15590000000000001</v>
      </c>
      <c r="O4932" s="5">
        <v>4</v>
      </c>
      <c r="P4932" s="5">
        <v>29388</v>
      </c>
    </row>
    <row r="4933" spans="1:16" x14ac:dyDescent="0.3">
      <c r="A4933" s="5">
        <v>50</v>
      </c>
      <c r="B4933" s="5" t="s">
        <v>166</v>
      </c>
      <c r="C4933" s="5">
        <v>4</v>
      </c>
      <c r="D4933" s="5" t="s">
        <v>78</v>
      </c>
      <c r="E4933" s="5">
        <v>2024</v>
      </c>
      <c r="F4933" s="5">
        <v>5</v>
      </c>
      <c r="G4933" s="5" t="s">
        <v>62</v>
      </c>
      <c r="H4933" s="5">
        <v>2307826</v>
      </c>
      <c r="I4933" s="5">
        <v>2015638.55</v>
      </c>
      <c r="J4933" s="5">
        <v>30</v>
      </c>
      <c r="K4933" s="5">
        <v>299599</v>
      </c>
      <c r="L4933" s="5">
        <v>2599540</v>
      </c>
      <c r="M4933" s="5">
        <v>292187.45</v>
      </c>
      <c r="N4933" s="5">
        <v>0.12659999999999999</v>
      </c>
      <c r="O4933" s="5">
        <v>1</v>
      </c>
      <c r="P4933" s="5">
        <v>5435</v>
      </c>
    </row>
    <row r="4934" spans="1:16" x14ac:dyDescent="0.3">
      <c r="A4934" s="5">
        <v>22</v>
      </c>
      <c r="B4934" s="5" t="s">
        <v>166</v>
      </c>
      <c r="C4934" s="5">
        <v>4</v>
      </c>
      <c r="D4934" s="5" t="s">
        <v>78</v>
      </c>
      <c r="E4934" s="5">
        <v>2024</v>
      </c>
      <c r="F4934" s="5">
        <v>6</v>
      </c>
      <c r="G4934" s="5" t="s">
        <v>63</v>
      </c>
      <c r="H4934" s="5">
        <v>2572691</v>
      </c>
      <c r="I4934" s="5">
        <v>2044282.54</v>
      </c>
      <c r="J4934" s="5">
        <v>34</v>
      </c>
      <c r="K4934" s="5">
        <v>100084</v>
      </c>
      <c r="L4934" s="5">
        <v>2652510</v>
      </c>
      <c r="M4934" s="5">
        <v>528408.46</v>
      </c>
      <c r="N4934" s="5">
        <v>0.2054</v>
      </c>
      <c r="O4934" s="5">
        <v>3</v>
      </c>
      <c r="P4934" s="5">
        <v>17457</v>
      </c>
    </row>
    <row r="4935" spans="1:16" x14ac:dyDescent="0.3">
      <c r="A4935" s="5">
        <v>50</v>
      </c>
      <c r="B4935" s="5" t="s">
        <v>166</v>
      </c>
      <c r="C4935" s="5">
        <v>4</v>
      </c>
      <c r="D4935" s="5" t="s">
        <v>78</v>
      </c>
      <c r="E4935" s="5">
        <v>2024</v>
      </c>
      <c r="F4935" s="5">
        <v>6</v>
      </c>
      <c r="G4935" s="5" t="s">
        <v>63</v>
      </c>
      <c r="H4935" s="5">
        <v>1751231</v>
      </c>
      <c r="I4935" s="5">
        <v>1468844.76</v>
      </c>
      <c r="J4935" s="5">
        <v>22</v>
      </c>
      <c r="K4935" s="5">
        <v>124628</v>
      </c>
      <c r="L4935" s="5">
        <v>1873050</v>
      </c>
      <c r="M4935" s="5">
        <v>282386.24</v>
      </c>
      <c r="N4935" s="5">
        <v>0.1613</v>
      </c>
      <c r="O4935" s="5">
        <v>2</v>
      </c>
      <c r="P4935" s="5">
        <v>5757</v>
      </c>
    </row>
    <row r="4936" spans="1:16" x14ac:dyDescent="0.3">
      <c r="A4936" s="5">
        <v>22</v>
      </c>
      <c r="B4936" s="5" t="s">
        <v>166</v>
      </c>
      <c r="C4936" s="5">
        <v>4</v>
      </c>
      <c r="D4936" s="5" t="s">
        <v>78</v>
      </c>
      <c r="E4936" s="5">
        <v>2024</v>
      </c>
      <c r="F4936" s="5">
        <v>7</v>
      </c>
      <c r="G4936" s="5" t="s">
        <v>64</v>
      </c>
      <c r="H4936" s="5">
        <v>2732834</v>
      </c>
      <c r="I4936" s="5">
        <v>2366237.34</v>
      </c>
      <c r="J4936" s="5">
        <v>39</v>
      </c>
      <c r="K4936" s="5">
        <v>240335</v>
      </c>
      <c r="L4936" s="5">
        <v>2963630</v>
      </c>
      <c r="M4936" s="5">
        <v>366596.66</v>
      </c>
      <c r="N4936" s="5">
        <v>0.1341</v>
      </c>
      <c r="O4936" s="5">
        <v>5</v>
      </c>
      <c r="P4936" s="5">
        <v>15920</v>
      </c>
    </row>
    <row r="4937" spans="1:16" x14ac:dyDescent="0.3">
      <c r="A4937" s="5">
        <v>50</v>
      </c>
      <c r="B4937" s="5" t="s">
        <v>166</v>
      </c>
      <c r="C4937" s="5">
        <v>4</v>
      </c>
      <c r="D4937" s="5" t="s">
        <v>78</v>
      </c>
      <c r="E4937" s="5">
        <v>2024</v>
      </c>
      <c r="F4937" s="5">
        <v>7</v>
      </c>
      <c r="G4937" s="5" t="s">
        <v>64</v>
      </c>
      <c r="H4937" s="5">
        <v>2297615</v>
      </c>
      <c r="I4937" s="5">
        <v>2074102.62</v>
      </c>
      <c r="J4937" s="5">
        <v>38</v>
      </c>
      <c r="K4937" s="5">
        <v>342840</v>
      </c>
      <c r="L4937" s="5">
        <v>2638990</v>
      </c>
      <c r="M4937" s="5">
        <v>223512.38</v>
      </c>
      <c r="N4937" s="5">
        <v>9.7299999999999998E-2</v>
      </c>
      <c r="O4937" s="5">
        <v>1</v>
      </c>
      <c r="P4937" s="5">
        <v>33901</v>
      </c>
    </row>
    <row r="4938" spans="1:16" x14ac:dyDescent="0.3">
      <c r="A4938" s="5">
        <v>22</v>
      </c>
      <c r="B4938" s="5" t="s">
        <v>166</v>
      </c>
      <c r="C4938" s="5">
        <v>4</v>
      </c>
      <c r="D4938" s="5" t="s">
        <v>78</v>
      </c>
      <c r="E4938" s="5">
        <v>2024</v>
      </c>
      <c r="F4938" s="5">
        <v>8</v>
      </c>
      <c r="G4938" s="5" t="s">
        <v>65</v>
      </c>
      <c r="H4938" s="5">
        <v>2287686</v>
      </c>
      <c r="I4938" s="5">
        <v>1940739.52</v>
      </c>
      <c r="J4938" s="5">
        <v>33</v>
      </c>
      <c r="K4938" s="5">
        <v>223946</v>
      </c>
      <c r="L4938" s="5">
        <v>2502360</v>
      </c>
      <c r="M4938" s="5">
        <v>346946.48</v>
      </c>
      <c r="N4938" s="5">
        <v>0.1517</v>
      </c>
      <c r="O4938" s="5">
        <v>2</v>
      </c>
      <c r="P4938" s="5">
        <v>73749</v>
      </c>
    </row>
    <row r="4939" spans="1:16" x14ac:dyDescent="0.3">
      <c r="A4939" s="5">
        <v>50</v>
      </c>
      <c r="B4939" s="5" t="s">
        <v>166</v>
      </c>
      <c r="C4939" s="5">
        <v>4</v>
      </c>
      <c r="D4939" s="5" t="s">
        <v>78</v>
      </c>
      <c r="E4939" s="5">
        <v>2024</v>
      </c>
      <c r="F4939" s="5">
        <v>8</v>
      </c>
      <c r="G4939" s="5" t="s">
        <v>65</v>
      </c>
      <c r="H4939" s="5">
        <v>1802909</v>
      </c>
      <c r="I4939" s="5">
        <v>1552466.8</v>
      </c>
      <c r="J4939" s="5">
        <v>31</v>
      </c>
      <c r="K4939" s="5">
        <v>189096</v>
      </c>
      <c r="L4939" s="5">
        <v>1983970</v>
      </c>
      <c r="M4939" s="5">
        <v>250442.2</v>
      </c>
      <c r="N4939" s="5">
        <v>0.1389</v>
      </c>
      <c r="O4939" s="5">
        <v>3</v>
      </c>
      <c r="P4939" s="5">
        <v>246868</v>
      </c>
    </row>
    <row r="4940" spans="1:16" x14ac:dyDescent="0.3">
      <c r="A4940" s="5">
        <v>22</v>
      </c>
      <c r="B4940" s="5" t="s">
        <v>166</v>
      </c>
      <c r="C4940" s="5">
        <v>4</v>
      </c>
      <c r="D4940" s="5" t="s">
        <v>78</v>
      </c>
      <c r="E4940" s="5">
        <v>2024</v>
      </c>
      <c r="F4940" s="5">
        <v>9</v>
      </c>
      <c r="G4940" s="5" t="s">
        <v>66</v>
      </c>
      <c r="H4940" s="5">
        <v>2076966</v>
      </c>
      <c r="I4940" s="5">
        <v>1693420.02</v>
      </c>
      <c r="J4940" s="5">
        <v>36</v>
      </c>
      <c r="K4940" s="5">
        <v>171953</v>
      </c>
      <c r="L4940" s="5">
        <v>2242260</v>
      </c>
      <c r="M4940" s="5">
        <v>383545.98</v>
      </c>
      <c r="N4940" s="5">
        <v>0.1847</v>
      </c>
      <c r="O4940" s="5">
        <v>4</v>
      </c>
      <c r="P4940" s="5">
        <v>117641</v>
      </c>
    </row>
    <row r="4941" spans="1:16" x14ac:dyDescent="0.3">
      <c r="A4941" s="5">
        <v>50</v>
      </c>
      <c r="B4941" s="5" t="s">
        <v>166</v>
      </c>
      <c r="C4941" s="5">
        <v>4</v>
      </c>
      <c r="D4941" s="5" t="s">
        <v>78</v>
      </c>
      <c r="E4941" s="5">
        <v>2024</v>
      </c>
      <c r="F4941" s="5">
        <v>9</v>
      </c>
      <c r="G4941" s="5" t="s">
        <v>66</v>
      </c>
      <c r="H4941" s="5">
        <v>1821431</v>
      </c>
      <c r="I4941" s="5">
        <v>1498950.4</v>
      </c>
      <c r="J4941" s="5">
        <v>38</v>
      </c>
      <c r="K4941" s="5">
        <v>96348</v>
      </c>
      <c r="L4941" s="5">
        <v>1912500</v>
      </c>
      <c r="M4941" s="5">
        <v>322480.59999999998</v>
      </c>
      <c r="N4941" s="5">
        <v>0.17699999999999999</v>
      </c>
      <c r="O4941" s="5">
        <v>3</v>
      </c>
      <c r="P4941" s="5">
        <v>22138</v>
      </c>
    </row>
    <row r="4942" spans="1:16" x14ac:dyDescent="0.3">
      <c r="A4942" s="5">
        <v>22</v>
      </c>
      <c r="B4942" s="5" t="s">
        <v>166</v>
      </c>
      <c r="C4942" s="5">
        <v>4</v>
      </c>
      <c r="D4942" s="5" t="s">
        <v>78</v>
      </c>
      <c r="E4942" s="5">
        <v>2024</v>
      </c>
      <c r="F4942" s="5">
        <v>10</v>
      </c>
      <c r="G4942" s="5" t="s">
        <v>67</v>
      </c>
      <c r="H4942" s="5">
        <v>3987734</v>
      </c>
      <c r="I4942" s="5">
        <v>3202445.34</v>
      </c>
      <c r="J4942" s="5">
        <v>49</v>
      </c>
      <c r="K4942" s="5">
        <v>116710</v>
      </c>
      <c r="L4942" s="5">
        <v>4097450</v>
      </c>
      <c r="M4942" s="5">
        <v>785288.66</v>
      </c>
      <c r="N4942" s="5">
        <v>0.19689999999999999</v>
      </c>
      <c r="O4942" s="5">
        <v>4</v>
      </c>
      <c r="P4942" s="5">
        <v>241414</v>
      </c>
    </row>
    <row r="4943" spans="1:16" x14ac:dyDescent="0.3">
      <c r="A4943" s="5">
        <v>50</v>
      </c>
      <c r="B4943" s="5" t="s">
        <v>166</v>
      </c>
      <c r="C4943" s="5">
        <v>4</v>
      </c>
      <c r="D4943" s="5" t="s">
        <v>78</v>
      </c>
      <c r="E4943" s="5">
        <v>2024</v>
      </c>
      <c r="F4943" s="5">
        <v>10</v>
      </c>
      <c r="G4943" s="5" t="s">
        <v>67</v>
      </c>
      <c r="H4943" s="5">
        <v>2880301</v>
      </c>
      <c r="I4943" s="5">
        <v>2322581.54</v>
      </c>
      <c r="J4943" s="5">
        <v>34</v>
      </c>
      <c r="K4943" s="5">
        <v>85157</v>
      </c>
      <c r="L4943" s="5">
        <v>2946440</v>
      </c>
      <c r="M4943" s="5">
        <v>557719.46</v>
      </c>
      <c r="N4943" s="5">
        <v>0.19359999999999999</v>
      </c>
      <c r="O4943" s="5">
        <v>1</v>
      </c>
      <c r="P4943" s="5">
        <v>6859</v>
      </c>
    </row>
    <row r="4944" spans="1:16" x14ac:dyDescent="0.3">
      <c r="A4944" s="5">
        <v>22</v>
      </c>
      <c r="B4944" s="5" t="s">
        <v>166</v>
      </c>
      <c r="C4944" s="5">
        <v>4</v>
      </c>
      <c r="D4944" s="5" t="s">
        <v>78</v>
      </c>
      <c r="E4944" s="5">
        <v>2024</v>
      </c>
      <c r="F4944" s="5">
        <v>11</v>
      </c>
      <c r="G4944" s="5" t="s">
        <v>68</v>
      </c>
      <c r="H4944" s="5">
        <v>2830475</v>
      </c>
      <c r="I4944" s="5">
        <v>2361595.7200000002</v>
      </c>
      <c r="J4944" s="5">
        <v>44</v>
      </c>
      <c r="K4944" s="5">
        <v>256047</v>
      </c>
      <c r="L4944" s="5">
        <v>3081670</v>
      </c>
      <c r="M4944" s="5">
        <v>468879.28</v>
      </c>
      <c r="N4944" s="5">
        <v>0.16569999999999999</v>
      </c>
      <c r="O4944" s="5">
        <v>2</v>
      </c>
      <c r="P4944" s="5">
        <v>3434</v>
      </c>
    </row>
    <row r="4945" spans="1:16" x14ac:dyDescent="0.3">
      <c r="A4945" s="5">
        <v>50</v>
      </c>
      <c r="B4945" s="5" t="s">
        <v>166</v>
      </c>
      <c r="C4945" s="5">
        <v>4</v>
      </c>
      <c r="D4945" s="5" t="s">
        <v>78</v>
      </c>
      <c r="E4945" s="5">
        <v>2024</v>
      </c>
      <c r="F4945" s="5">
        <v>11</v>
      </c>
      <c r="G4945" s="5" t="s">
        <v>68</v>
      </c>
      <c r="H4945" s="5">
        <v>2286749</v>
      </c>
      <c r="I4945" s="5">
        <v>1887835.02</v>
      </c>
      <c r="J4945" s="5">
        <v>43</v>
      </c>
      <c r="K4945" s="5">
        <v>158504</v>
      </c>
      <c r="L4945" s="5">
        <v>2441070</v>
      </c>
      <c r="M4945" s="5">
        <v>398913.98</v>
      </c>
      <c r="N4945" s="5">
        <v>0.1744</v>
      </c>
      <c r="O4945" s="5">
        <v>5</v>
      </c>
      <c r="P4945" s="5">
        <v>249747</v>
      </c>
    </row>
    <row r="4946" spans="1:16" x14ac:dyDescent="0.3">
      <c r="A4946" s="5">
        <v>22</v>
      </c>
      <c r="B4946" s="5" t="s">
        <v>166</v>
      </c>
      <c r="C4946" s="5">
        <v>4</v>
      </c>
      <c r="D4946" s="5" t="s">
        <v>78</v>
      </c>
      <c r="E4946" s="5">
        <v>2024</v>
      </c>
      <c r="F4946" s="5">
        <v>12</v>
      </c>
      <c r="G4946" s="5" t="s">
        <v>69</v>
      </c>
      <c r="H4946" s="5">
        <v>3875307</v>
      </c>
      <c r="I4946" s="5">
        <v>3164391.84</v>
      </c>
      <c r="J4946" s="5">
        <v>51</v>
      </c>
      <c r="K4946" s="5">
        <v>130351</v>
      </c>
      <c r="L4946" s="5">
        <v>3994690</v>
      </c>
      <c r="M4946" s="5">
        <v>710915.16</v>
      </c>
      <c r="N4946" s="5">
        <v>0.18340000000000001</v>
      </c>
      <c r="O4946" s="5">
        <v>5</v>
      </c>
      <c r="P4946" s="5">
        <v>164556</v>
      </c>
    </row>
    <row r="4947" spans="1:16" x14ac:dyDescent="0.3">
      <c r="A4947" s="5">
        <v>50</v>
      </c>
      <c r="B4947" s="5" t="s">
        <v>166</v>
      </c>
      <c r="C4947" s="5">
        <v>4</v>
      </c>
      <c r="D4947" s="5" t="s">
        <v>78</v>
      </c>
      <c r="E4947" s="5">
        <v>2024</v>
      </c>
      <c r="F4947" s="5">
        <v>12</v>
      </c>
      <c r="G4947" s="5" t="s">
        <v>69</v>
      </c>
      <c r="H4947" s="5">
        <v>3110841</v>
      </c>
      <c r="I4947" s="5">
        <v>2492569.79</v>
      </c>
      <c r="J4947" s="5">
        <v>47</v>
      </c>
      <c r="K4947" s="5">
        <v>109789</v>
      </c>
      <c r="L4947" s="5">
        <v>3211710</v>
      </c>
      <c r="M4947" s="5">
        <v>618271.21</v>
      </c>
      <c r="N4947" s="5">
        <v>0.19869999999999999</v>
      </c>
      <c r="O4947" s="5">
        <v>3</v>
      </c>
      <c r="P4947" s="5">
        <v>60928</v>
      </c>
    </row>
    <row r="4948" spans="1:16" x14ac:dyDescent="0.3">
      <c r="A4948" s="5">
        <v>70</v>
      </c>
      <c r="B4948" s="5" t="s">
        <v>167</v>
      </c>
      <c r="C4948" s="5">
        <v>8</v>
      </c>
      <c r="D4948" s="5" t="s">
        <v>82</v>
      </c>
      <c r="E4948" s="5">
        <v>2021</v>
      </c>
      <c r="F4948" s="5">
        <v>1</v>
      </c>
      <c r="G4948" s="5" t="s">
        <v>22</v>
      </c>
      <c r="H4948" s="5">
        <v>1187199</v>
      </c>
      <c r="I4948" s="5">
        <v>1091245.02</v>
      </c>
      <c r="J4948" s="5">
        <v>14</v>
      </c>
      <c r="K4948" s="5">
        <v>209396</v>
      </c>
      <c r="L4948" s="5">
        <v>1394950</v>
      </c>
      <c r="M4948" s="5">
        <v>95953.98</v>
      </c>
      <c r="N4948" s="5">
        <v>8.0799999999999997E-2</v>
      </c>
      <c r="O4948" s="5">
        <v>1</v>
      </c>
      <c r="P4948" s="5">
        <v>114237</v>
      </c>
    </row>
    <row r="4949" spans="1:16" x14ac:dyDescent="0.3">
      <c r="A4949" s="5">
        <v>96</v>
      </c>
      <c r="B4949" s="5" t="s">
        <v>167</v>
      </c>
      <c r="C4949" s="5">
        <v>8</v>
      </c>
      <c r="D4949" s="5" t="s">
        <v>82</v>
      </c>
      <c r="E4949" s="5">
        <v>2021</v>
      </c>
      <c r="F4949" s="5">
        <v>1</v>
      </c>
      <c r="G4949" s="5" t="s">
        <v>22</v>
      </c>
      <c r="H4949" s="5">
        <v>1979392</v>
      </c>
      <c r="I4949" s="5">
        <v>1863587.67</v>
      </c>
      <c r="J4949" s="5">
        <v>32</v>
      </c>
      <c r="K4949" s="5">
        <v>438591</v>
      </c>
      <c r="L4949" s="5">
        <v>2413310</v>
      </c>
      <c r="M4949" s="5">
        <v>115804.33</v>
      </c>
      <c r="N4949" s="5">
        <v>5.8500000000000003E-2</v>
      </c>
      <c r="O4949" s="5">
        <v>3</v>
      </c>
      <c r="P4949" s="5">
        <v>175176</v>
      </c>
    </row>
    <row r="4950" spans="1:16" x14ac:dyDescent="0.3">
      <c r="A4950" s="5">
        <v>70</v>
      </c>
      <c r="B4950" s="5" t="s">
        <v>167</v>
      </c>
      <c r="C4950" s="5">
        <v>8</v>
      </c>
      <c r="D4950" s="5" t="s">
        <v>82</v>
      </c>
      <c r="E4950" s="5">
        <v>2021</v>
      </c>
      <c r="F4950" s="5">
        <v>2</v>
      </c>
      <c r="G4950" s="5" t="s">
        <v>23</v>
      </c>
      <c r="H4950" s="5">
        <v>1004489</v>
      </c>
      <c r="I4950" s="5">
        <v>934454.73</v>
      </c>
      <c r="J4950" s="5">
        <v>15</v>
      </c>
      <c r="K4950" s="5">
        <v>172709</v>
      </c>
      <c r="L4950" s="5">
        <v>1176090</v>
      </c>
      <c r="M4950" s="5">
        <v>70034.27</v>
      </c>
      <c r="N4950" s="5">
        <v>6.9699999999999998E-2</v>
      </c>
      <c r="O4950" s="5">
        <v>0</v>
      </c>
      <c r="P4950" s="5">
        <v>0</v>
      </c>
    </row>
    <row r="4951" spans="1:16" x14ac:dyDescent="0.3">
      <c r="A4951" s="5">
        <v>96</v>
      </c>
      <c r="B4951" s="5" t="s">
        <v>167</v>
      </c>
      <c r="C4951" s="5">
        <v>8</v>
      </c>
      <c r="D4951" s="5" t="s">
        <v>82</v>
      </c>
      <c r="E4951" s="5">
        <v>2021</v>
      </c>
      <c r="F4951" s="5">
        <v>2</v>
      </c>
      <c r="G4951" s="5" t="s">
        <v>23</v>
      </c>
      <c r="H4951" s="5">
        <v>2001372</v>
      </c>
      <c r="I4951" s="5">
        <v>1711265.54</v>
      </c>
      <c r="J4951" s="5">
        <v>30</v>
      </c>
      <c r="K4951" s="5">
        <v>158930</v>
      </c>
      <c r="L4951" s="5">
        <v>2133010</v>
      </c>
      <c r="M4951" s="5">
        <v>290106.46000000002</v>
      </c>
      <c r="N4951" s="5">
        <v>0.14499999999999999</v>
      </c>
      <c r="O4951" s="5">
        <v>2</v>
      </c>
      <c r="P4951" s="5">
        <v>74883</v>
      </c>
    </row>
    <row r="4952" spans="1:16" x14ac:dyDescent="0.3">
      <c r="A4952" s="5">
        <v>70</v>
      </c>
      <c r="B4952" s="5" t="s">
        <v>167</v>
      </c>
      <c r="C4952" s="5">
        <v>8</v>
      </c>
      <c r="D4952" s="5" t="s">
        <v>82</v>
      </c>
      <c r="E4952" s="5">
        <v>2021</v>
      </c>
      <c r="F4952" s="5">
        <v>3</v>
      </c>
      <c r="G4952" s="5" t="s">
        <v>24</v>
      </c>
      <c r="H4952" s="5">
        <v>555295</v>
      </c>
      <c r="I4952" s="5">
        <v>465884.14</v>
      </c>
      <c r="J4952" s="5">
        <v>10</v>
      </c>
      <c r="K4952" s="5">
        <v>75963</v>
      </c>
      <c r="L4952" s="5">
        <v>629580</v>
      </c>
      <c r="M4952" s="5">
        <v>89410.86</v>
      </c>
      <c r="N4952" s="5">
        <v>0.161</v>
      </c>
      <c r="O4952" s="5">
        <v>3</v>
      </c>
      <c r="P4952" s="5">
        <v>64371</v>
      </c>
    </row>
    <row r="4953" spans="1:16" x14ac:dyDescent="0.3">
      <c r="A4953" s="5">
        <v>96</v>
      </c>
      <c r="B4953" s="5" t="s">
        <v>167</v>
      </c>
      <c r="C4953" s="5">
        <v>8</v>
      </c>
      <c r="D4953" s="5" t="s">
        <v>82</v>
      </c>
      <c r="E4953" s="5">
        <v>2021</v>
      </c>
      <c r="F4953" s="5">
        <v>3</v>
      </c>
      <c r="G4953" s="5" t="s">
        <v>24</v>
      </c>
      <c r="H4953" s="5">
        <v>2749326</v>
      </c>
      <c r="I4953" s="5">
        <v>2286102.5099999998</v>
      </c>
      <c r="J4953" s="5">
        <v>42</v>
      </c>
      <c r="K4953" s="5">
        <v>257154</v>
      </c>
      <c r="L4953" s="5">
        <v>3001190</v>
      </c>
      <c r="M4953" s="5">
        <v>463223.49</v>
      </c>
      <c r="N4953" s="5">
        <v>0.16850000000000001</v>
      </c>
      <c r="O4953" s="5">
        <v>2</v>
      </c>
      <c r="P4953" s="5">
        <v>7286</v>
      </c>
    </row>
    <row r="4954" spans="1:16" x14ac:dyDescent="0.3">
      <c r="A4954" s="5">
        <v>70</v>
      </c>
      <c r="B4954" s="5" t="s">
        <v>167</v>
      </c>
      <c r="C4954" s="5">
        <v>8</v>
      </c>
      <c r="D4954" s="5" t="s">
        <v>82</v>
      </c>
      <c r="E4954" s="5">
        <v>2021</v>
      </c>
      <c r="F4954" s="5">
        <v>4</v>
      </c>
      <c r="G4954" s="5" t="s">
        <v>25</v>
      </c>
      <c r="H4954" s="5">
        <v>835642</v>
      </c>
      <c r="I4954" s="5">
        <v>687838.26</v>
      </c>
      <c r="J4954" s="5">
        <v>18</v>
      </c>
      <c r="K4954" s="5">
        <v>48581</v>
      </c>
      <c r="L4954" s="5">
        <v>879870</v>
      </c>
      <c r="M4954" s="5">
        <v>147803.74</v>
      </c>
      <c r="N4954" s="5">
        <v>0.1769</v>
      </c>
      <c r="O4954" s="5">
        <v>1</v>
      </c>
      <c r="P4954" s="5">
        <v>7621</v>
      </c>
    </row>
    <row r="4955" spans="1:16" x14ac:dyDescent="0.3">
      <c r="A4955" s="5">
        <v>96</v>
      </c>
      <c r="B4955" s="5" t="s">
        <v>167</v>
      </c>
      <c r="C4955" s="5">
        <v>8</v>
      </c>
      <c r="D4955" s="5" t="s">
        <v>82</v>
      </c>
      <c r="E4955" s="5">
        <v>2021</v>
      </c>
      <c r="F4955" s="5">
        <v>4</v>
      </c>
      <c r="G4955" s="5" t="s">
        <v>25</v>
      </c>
      <c r="H4955" s="5">
        <v>2457173</v>
      </c>
      <c r="I4955" s="5">
        <v>2082823.16</v>
      </c>
      <c r="J4955" s="5">
        <v>38</v>
      </c>
      <c r="K4955" s="5">
        <v>272772</v>
      </c>
      <c r="L4955" s="5">
        <v>2721020</v>
      </c>
      <c r="M4955" s="5">
        <v>374349.84</v>
      </c>
      <c r="N4955" s="5">
        <v>0.15229999999999999</v>
      </c>
      <c r="O4955" s="5">
        <v>2</v>
      </c>
      <c r="P4955" s="5">
        <v>100018</v>
      </c>
    </row>
    <row r="4956" spans="1:16" x14ac:dyDescent="0.3">
      <c r="A4956" s="5">
        <v>70</v>
      </c>
      <c r="B4956" s="5" t="s">
        <v>167</v>
      </c>
      <c r="C4956" s="5">
        <v>8</v>
      </c>
      <c r="D4956" s="5" t="s">
        <v>82</v>
      </c>
      <c r="E4956" s="5">
        <v>2021</v>
      </c>
      <c r="F4956" s="5">
        <v>5</v>
      </c>
      <c r="G4956" s="5" t="s">
        <v>26</v>
      </c>
      <c r="H4956" s="5">
        <v>628815</v>
      </c>
      <c r="I4956" s="5">
        <v>560917.82999999996</v>
      </c>
      <c r="J4956" s="5">
        <v>11</v>
      </c>
      <c r="K4956" s="5">
        <v>94566</v>
      </c>
      <c r="L4956" s="5">
        <v>721040</v>
      </c>
      <c r="M4956" s="5">
        <v>67897.17</v>
      </c>
      <c r="N4956" s="5">
        <v>0.108</v>
      </c>
      <c r="O4956" s="5">
        <v>1</v>
      </c>
      <c r="P4956" s="5">
        <v>11128</v>
      </c>
    </row>
    <row r="4957" spans="1:16" x14ac:dyDescent="0.3">
      <c r="A4957" s="5">
        <v>96</v>
      </c>
      <c r="B4957" s="5" t="s">
        <v>167</v>
      </c>
      <c r="C4957" s="5">
        <v>8</v>
      </c>
      <c r="D4957" s="5" t="s">
        <v>82</v>
      </c>
      <c r="E4957" s="5">
        <v>2021</v>
      </c>
      <c r="F4957" s="5">
        <v>5</v>
      </c>
      <c r="G4957" s="5" t="s">
        <v>26</v>
      </c>
      <c r="H4957" s="5">
        <v>2826934</v>
      </c>
      <c r="I4957" s="5">
        <v>2393926.5699999998</v>
      </c>
      <c r="J4957" s="5">
        <v>49</v>
      </c>
      <c r="K4957" s="5">
        <v>300848</v>
      </c>
      <c r="L4957" s="5">
        <v>3114790</v>
      </c>
      <c r="M4957" s="5">
        <v>433007.43</v>
      </c>
      <c r="N4957" s="5">
        <v>0.1532</v>
      </c>
      <c r="O4957" s="5">
        <v>3</v>
      </c>
      <c r="P4957" s="5">
        <v>52038</v>
      </c>
    </row>
    <row r="4958" spans="1:16" x14ac:dyDescent="0.3">
      <c r="A4958" s="5">
        <v>70</v>
      </c>
      <c r="B4958" s="5" t="s">
        <v>167</v>
      </c>
      <c r="C4958" s="5">
        <v>8</v>
      </c>
      <c r="D4958" s="5" t="s">
        <v>82</v>
      </c>
      <c r="E4958" s="5">
        <v>2021</v>
      </c>
      <c r="F4958" s="5">
        <v>6</v>
      </c>
      <c r="G4958" s="5" t="s">
        <v>27</v>
      </c>
      <c r="H4958" s="5">
        <v>1030973</v>
      </c>
      <c r="I4958" s="5">
        <v>1002351.43</v>
      </c>
      <c r="J4958" s="5">
        <v>21</v>
      </c>
      <c r="K4958" s="5">
        <v>284616</v>
      </c>
      <c r="L4958" s="5">
        <v>1313190</v>
      </c>
      <c r="M4958" s="5">
        <v>28621.57</v>
      </c>
      <c r="N4958" s="5">
        <v>2.7799999999999998E-2</v>
      </c>
      <c r="O4958" s="5">
        <v>1</v>
      </c>
      <c r="P4958" s="5">
        <v>3533</v>
      </c>
    </row>
    <row r="4959" spans="1:16" x14ac:dyDescent="0.3">
      <c r="A4959" s="5">
        <v>96</v>
      </c>
      <c r="B4959" s="5" t="s">
        <v>167</v>
      </c>
      <c r="C4959" s="5">
        <v>8</v>
      </c>
      <c r="D4959" s="5" t="s">
        <v>82</v>
      </c>
      <c r="E4959" s="5">
        <v>2021</v>
      </c>
      <c r="F4959" s="5">
        <v>6</v>
      </c>
      <c r="G4959" s="5" t="s">
        <v>27</v>
      </c>
      <c r="H4959" s="5">
        <v>1867545</v>
      </c>
      <c r="I4959" s="5">
        <v>1682741.95</v>
      </c>
      <c r="J4959" s="5">
        <v>33</v>
      </c>
      <c r="K4959" s="5">
        <v>355126</v>
      </c>
      <c r="L4959" s="5">
        <v>2212490</v>
      </c>
      <c r="M4959" s="5">
        <v>184803.05</v>
      </c>
      <c r="N4959" s="5">
        <v>9.9000000000000005E-2</v>
      </c>
      <c r="O4959" s="5">
        <v>2</v>
      </c>
      <c r="P4959" s="5">
        <v>35456</v>
      </c>
    </row>
    <row r="4960" spans="1:16" x14ac:dyDescent="0.3">
      <c r="A4960" s="5">
        <v>70</v>
      </c>
      <c r="B4960" s="5" t="s">
        <v>167</v>
      </c>
      <c r="C4960" s="5">
        <v>8</v>
      </c>
      <c r="D4960" s="5" t="s">
        <v>82</v>
      </c>
      <c r="E4960" s="5">
        <v>2021</v>
      </c>
      <c r="F4960" s="5">
        <v>7</v>
      </c>
      <c r="G4960" s="5" t="s">
        <v>28</v>
      </c>
      <c r="H4960" s="5">
        <v>526671</v>
      </c>
      <c r="I4960" s="5">
        <v>487011.77</v>
      </c>
      <c r="J4960" s="5">
        <v>11</v>
      </c>
      <c r="K4960" s="5">
        <v>98850</v>
      </c>
      <c r="L4960" s="5">
        <v>624430</v>
      </c>
      <c r="M4960" s="5">
        <v>39659.230000000003</v>
      </c>
      <c r="N4960" s="5">
        <v>7.5300000000000006E-2</v>
      </c>
      <c r="O4960" s="5">
        <v>0</v>
      </c>
      <c r="P4960" s="5">
        <v>0</v>
      </c>
    </row>
    <row r="4961" spans="1:16" x14ac:dyDescent="0.3">
      <c r="A4961" s="5">
        <v>96</v>
      </c>
      <c r="B4961" s="5" t="s">
        <v>167</v>
      </c>
      <c r="C4961" s="5">
        <v>8</v>
      </c>
      <c r="D4961" s="5" t="s">
        <v>82</v>
      </c>
      <c r="E4961" s="5">
        <v>2021</v>
      </c>
      <c r="F4961" s="5">
        <v>7</v>
      </c>
      <c r="G4961" s="5" t="s">
        <v>28</v>
      </c>
      <c r="H4961" s="5">
        <v>2649929</v>
      </c>
      <c r="I4961" s="5">
        <v>2359686.96</v>
      </c>
      <c r="J4961" s="5">
        <v>34</v>
      </c>
      <c r="K4961" s="5">
        <v>350501</v>
      </c>
      <c r="L4961" s="5">
        <v>2996300</v>
      </c>
      <c r="M4961" s="5">
        <v>290242.03999999998</v>
      </c>
      <c r="N4961" s="5">
        <v>0.1095</v>
      </c>
      <c r="O4961" s="5">
        <v>1</v>
      </c>
      <c r="P4961" s="5">
        <v>7301</v>
      </c>
    </row>
    <row r="4962" spans="1:16" x14ac:dyDescent="0.3">
      <c r="A4962" s="5">
        <v>70</v>
      </c>
      <c r="B4962" s="5" t="s">
        <v>167</v>
      </c>
      <c r="C4962" s="5">
        <v>8</v>
      </c>
      <c r="D4962" s="5" t="s">
        <v>82</v>
      </c>
      <c r="E4962" s="5">
        <v>2021</v>
      </c>
      <c r="F4962" s="5">
        <v>8</v>
      </c>
      <c r="G4962" s="5" t="s">
        <v>29</v>
      </c>
      <c r="H4962" s="5">
        <v>616769</v>
      </c>
      <c r="I4962" s="5">
        <v>562346.1</v>
      </c>
      <c r="J4962" s="5">
        <v>10</v>
      </c>
      <c r="K4962" s="5">
        <v>110395</v>
      </c>
      <c r="L4962" s="5">
        <v>727000</v>
      </c>
      <c r="M4962" s="5">
        <v>54422.9</v>
      </c>
      <c r="N4962" s="5">
        <v>8.8200000000000001E-2</v>
      </c>
      <c r="O4962" s="5">
        <v>0</v>
      </c>
      <c r="P4962" s="5">
        <v>0</v>
      </c>
    </row>
    <row r="4963" spans="1:16" x14ac:dyDescent="0.3">
      <c r="A4963" s="5">
        <v>96</v>
      </c>
      <c r="B4963" s="5" t="s">
        <v>167</v>
      </c>
      <c r="C4963" s="5">
        <v>8</v>
      </c>
      <c r="D4963" s="5" t="s">
        <v>82</v>
      </c>
      <c r="E4963" s="5">
        <v>2021</v>
      </c>
      <c r="F4963" s="5">
        <v>8</v>
      </c>
      <c r="G4963" s="5" t="s">
        <v>29</v>
      </c>
      <c r="H4963" s="5">
        <v>1913686</v>
      </c>
      <c r="I4963" s="5">
        <v>1637420.18</v>
      </c>
      <c r="J4963" s="5">
        <v>28</v>
      </c>
      <c r="K4963" s="5">
        <v>162446</v>
      </c>
      <c r="L4963" s="5">
        <v>2072300</v>
      </c>
      <c r="M4963" s="5">
        <v>276265.82</v>
      </c>
      <c r="N4963" s="5">
        <v>0.1444</v>
      </c>
      <c r="O4963" s="5">
        <v>4</v>
      </c>
      <c r="P4963" s="5">
        <v>90753</v>
      </c>
    </row>
    <row r="4964" spans="1:16" x14ac:dyDescent="0.3">
      <c r="A4964" s="5">
        <v>70</v>
      </c>
      <c r="B4964" s="5" t="s">
        <v>167</v>
      </c>
      <c r="C4964" s="5">
        <v>8</v>
      </c>
      <c r="D4964" s="5" t="s">
        <v>82</v>
      </c>
      <c r="E4964" s="5">
        <v>2021</v>
      </c>
      <c r="F4964" s="5">
        <v>9</v>
      </c>
      <c r="G4964" s="5" t="s">
        <v>30</v>
      </c>
      <c r="H4964" s="5">
        <v>1310487</v>
      </c>
      <c r="I4964" s="5">
        <v>1081669.8500000001</v>
      </c>
      <c r="J4964" s="5">
        <v>16</v>
      </c>
      <c r="K4964" s="5">
        <v>105325</v>
      </c>
      <c r="L4964" s="5">
        <v>1410650</v>
      </c>
      <c r="M4964" s="5">
        <v>228817.15</v>
      </c>
      <c r="N4964" s="5">
        <v>0.17460000000000001</v>
      </c>
      <c r="O4964" s="5">
        <v>2</v>
      </c>
      <c r="P4964" s="5">
        <v>30420</v>
      </c>
    </row>
    <row r="4965" spans="1:16" x14ac:dyDescent="0.3">
      <c r="A4965" s="5">
        <v>96</v>
      </c>
      <c r="B4965" s="5" t="s">
        <v>167</v>
      </c>
      <c r="C4965" s="5">
        <v>8</v>
      </c>
      <c r="D4965" s="5" t="s">
        <v>82</v>
      </c>
      <c r="E4965" s="5">
        <v>2021</v>
      </c>
      <c r="F4965" s="5">
        <v>9</v>
      </c>
      <c r="G4965" s="5" t="s">
        <v>30</v>
      </c>
      <c r="H4965" s="5">
        <v>3028387</v>
      </c>
      <c r="I4965" s="5">
        <v>2696557.6</v>
      </c>
      <c r="J4965" s="5">
        <v>42</v>
      </c>
      <c r="K4965" s="5">
        <v>395982</v>
      </c>
      <c r="L4965" s="5">
        <v>3416500</v>
      </c>
      <c r="M4965" s="5">
        <v>331829.40000000002</v>
      </c>
      <c r="N4965" s="5">
        <v>0.1096</v>
      </c>
      <c r="O4965" s="5">
        <v>4</v>
      </c>
      <c r="P4965" s="5">
        <v>88899</v>
      </c>
    </row>
    <row r="4966" spans="1:16" x14ac:dyDescent="0.3">
      <c r="A4966" s="5">
        <v>70</v>
      </c>
      <c r="B4966" s="5" t="s">
        <v>167</v>
      </c>
      <c r="C4966" s="5">
        <v>8</v>
      </c>
      <c r="D4966" s="5" t="s">
        <v>82</v>
      </c>
      <c r="E4966" s="5">
        <v>2021</v>
      </c>
      <c r="F4966" s="5">
        <v>10</v>
      </c>
      <c r="G4966" s="5" t="s">
        <v>31</v>
      </c>
      <c r="H4966" s="5">
        <v>2077112</v>
      </c>
      <c r="I4966" s="5">
        <v>1678162.91</v>
      </c>
      <c r="J4966" s="5">
        <v>29</v>
      </c>
      <c r="K4966" s="5">
        <v>131472</v>
      </c>
      <c r="L4966" s="5">
        <v>2196630</v>
      </c>
      <c r="M4966" s="5">
        <v>398949.09</v>
      </c>
      <c r="N4966" s="5">
        <v>0.19209999999999999</v>
      </c>
      <c r="O4966" s="5">
        <v>4</v>
      </c>
      <c r="P4966" s="5">
        <v>38866</v>
      </c>
    </row>
    <row r="4967" spans="1:16" x14ac:dyDescent="0.3">
      <c r="A4967" s="5">
        <v>96</v>
      </c>
      <c r="B4967" s="5" t="s">
        <v>167</v>
      </c>
      <c r="C4967" s="5">
        <v>8</v>
      </c>
      <c r="D4967" s="5" t="s">
        <v>82</v>
      </c>
      <c r="E4967" s="5">
        <v>2021</v>
      </c>
      <c r="F4967" s="5">
        <v>10</v>
      </c>
      <c r="G4967" s="5" t="s">
        <v>31</v>
      </c>
      <c r="H4967" s="5">
        <v>3621157</v>
      </c>
      <c r="I4967" s="5">
        <v>3056358.68</v>
      </c>
      <c r="J4967" s="5">
        <v>51</v>
      </c>
      <c r="K4967" s="5">
        <v>254977</v>
      </c>
      <c r="L4967" s="5">
        <v>3863880</v>
      </c>
      <c r="M4967" s="5">
        <v>564798.31999999995</v>
      </c>
      <c r="N4967" s="5">
        <v>0.156</v>
      </c>
      <c r="O4967" s="5">
        <v>2</v>
      </c>
      <c r="P4967" s="5">
        <v>57088</v>
      </c>
    </row>
    <row r="4968" spans="1:16" x14ac:dyDescent="0.3">
      <c r="A4968" s="5">
        <v>70</v>
      </c>
      <c r="B4968" s="5" t="s">
        <v>167</v>
      </c>
      <c r="C4968" s="5">
        <v>8</v>
      </c>
      <c r="D4968" s="5" t="s">
        <v>82</v>
      </c>
      <c r="E4968" s="5">
        <v>2021</v>
      </c>
      <c r="F4968" s="5">
        <v>11</v>
      </c>
      <c r="G4968" s="5" t="s">
        <v>32</v>
      </c>
      <c r="H4968" s="5">
        <v>1294920</v>
      </c>
      <c r="I4968" s="5">
        <v>1070875.97</v>
      </c>
      <c r="J4968" s="5">
        <v>21</v>
      </c>
      <c r="K4968" s="5">
        <v>61849</v>
      </c>
      <c r="L4968" s="5">
        <v>1351980</v>
      </c>
      <c r="M4968" s="5">
        <v>224044.03</v>
      </c>
      <c r="N4968" s="5">
        <v>0.17299999999999999</v>
      </c>
      <c r="O4968" s="5">
        <v>2</v>
      </c>
      <c r="P4968" s="5">
        <v>7812</v>
      </c>
    </row>
    <row r="4969" spans="1:16" x14ac:dyDescent="0.3">
      <c r="A4969" s="5">
        <v>96</v>
      </c>
      <c r="B4969" s="5" t="s">
        <v>167</v>
      </c>
      <c r="C4969" s="5">
        <v>8</v>
      </c>
      <c r="D4969" s="5" t="s">
        <v>82</v>
      </c>
      <c r="E4969" s="5">
        <v>2021</v>
      </c>
      <c r="F4969" s="5">
        <v>11</v>
      </c>
      <c r="G4969" s="5" t="s">
        <v>32</v>
      </c>
      <c r="H4969" s="5">
        <v>4439153</v>
      </c>
      <c r="I4969" s="5">
        <v>3661948.31</v>
      </c>
      <c r="J4969" s="5">
        <v>51</v>
      </c>
      <c r="K4969" s="5">
        <v>248148</v>
      </c>
      <c r="L4969" s="5">
        <v>4680260</v>
      </c>
      <c r="M4969" s="5">
        <v>777204.69</v>
      </c>
      <c r="N4969" s="5">
        <v>0.17510000000000001</v>
      </c>
      <c r="O4969" s="5">
        <v>10</v>
      </c>
      <c r="P4969" s="5">
        <v>215256</v>
      </c>
    </row>
    <row r="4970" spans="1:16" x14ac:dyDescent="0.3">
      <c r="A4970" s="5">
        <v>70</v>
      </c>
      <c r="B4970" s="5" t="s">
        <v>167</v>
      </c>
      <c r="C4970" s="5">
        <v>8</v>
      </c>
      <c r="D4970" s="5" t="s">
        <v>82</v>
      </c>
      <c r="E4970" s="5">
        <v>2021</v>
      </c>
      <c r="F4970" s="5">
        <v>12</v>
      </c>
      <c r="G4970" s="5" t="s">
        <v>33</v>
      </c>
      <c r="H4970" s="5">
        <v>1239047</v>
      </c>
      <c r="I4970" s="5">
        <v>977243.26</v>
      </c>
      <c r="J4970" s="5">
        <v>23</v>
      </c>
      <c r="K4970" s="5">
        <v>64307</v>
      </c>
      <c r="L4970" s="5">
        <v>1295970</v>
      </c>
      <c r="M4970" s="5">
        <v>261803.74</v>
      </c>
      <c r="N4970" s="5">
        <v>0.21129999999999999</v>
      </c>
      <c r="O4970" s="5">
        <v>1</v>
      </c>
      <c r="P4970" s="5">
        <v>1646</v>
      </c>
    </row>
    <row r="4971" spans="1:16" x14ac:dyDescent="0.3">
      <c r="A4971" s="5">
        <v>96</v>
      </c>
      <c r="B4971" s="5" t="s">
        <v>167</v>
      </c>
      <c r="C4971" s="5">
        <v>8</v>
      </c>
      <c r="D4971" s="5" t="s">
        <v>82</v>
      </c>
      <c r="E4971" s="5">
        <v>2021</v>
      </c>
      <c r="F4971" s="5">
        <v>12</v>
      </c>
      <c r="G4971" s="5" t="s">
        <v>33</v>
      </c>
      <c r="H4971" s="5">
        <v>2661545</v>
      </c>
      <c r="I4971" s="5">
        <v>2183901.5</v>
      </c>
      <c r="J4971" s="5">
        <v>45</v>
      </c>
      <c r="K4971" s="5">
        <v>156898</v>
      </c>
      <c r="L4971" s="5">
        <v>2811760</v>
      </c>
      <c r="M4971" s="5">
        <v>477643.5</v>
      </c>
      <c r="N4971" s="5">
        <v>0.17949999999999999</v>
      </c>
      <c r="O4971" s="5">
        <v>8</v>
      </c>
      <c r="P4971" s="5">
        <v>92738</v>
      </c>
    </row>
    <row r="4972" spans="1:16" x14ac:dyDescent="0.3">
      <c r="A4972" s="5">
        <v>70</v>
      </c>
      <c r="B4972" s="5" t="s">
        <v>167</v>
      </c>
      <c r="C4972" s="5">
        <v>8</v>
      </c>
      <c r="D4972" s="5" t="s">
        <v>82</v>
      </c>
      <c r="E4972" s="5">
        <v>2022</v>
      </c>
      <c r="F4972" s="5">
        <v>1</v>
      </c>
      <c r="G4972" s="5" t="s">
        <v>34</v>
      </c>
      <c r="H4972" s="5">
        <v>2154919</v>
      </c>
      <c r="I4972" s="5">
        <v>1815070.31</v>
      </c>
      <c r="J4972" s="5">
        <v>24</v>
      </c>
      <c r="K4972" s="5">
        <v>190732</v>
      </c>
      <c r="L4972" s="5">
        <v>2339120</v>
      </c>
      <c r="M4972" s="5">
        <v>339848.69</v>
      </c>
      <c r="N4972" s="5">
        <v>0.15770000000000001</v>
      </c>
      <c r="O4972" s="5">
        <v>2</v>
      </c>
      <c r="P4972" s="5">
        <v>48164</v>
      </c>
    </row>
    <row r="4973" spans="1:16" x14ac:dyDescent="0.3">
      <c r="A4973" s="5">
        <v>96</v>
      </c>
      <c r="B4973" s="5" t="s">
        <v>167</v>
      </c>
      <c r="C4973" s="5">
        <v>8</v>
      </c>
      <c r="D4973" s="5" t="s">
        <v>82</v>
      </c>
      <c r="E4973" s="5">
        <v>2022</v>
      </c>
      <c r="F4973" s="5">
        <v>1</v>
      </c>
      <c r="G4973" s="5" t="s">
        <v>34</v>
      </c>
      <c r="H4973" s="5">
        <v>2514925</v>
      </c>
      <c r="I4973" s="5">
        <v>2141646.9300000002</v>
      </c>
      <c r="J4973" s="5">
        <v>46</v>
      </c>
      <c r="K4973" s="5">
        <v>234582</v>
      </c>
      <c r="L4973" s="5">
        <v>2744520</v>
      </c>
      <c r="M4973" s="5">
        <v>373278.07</v>
      </c>
      <c r="N4973" s="5">
        <v>0.1484</v>
      </c>
      <c r="O4973" s="5">
        <v>2</v>
      </c>
      <c r="P4973" s="5">
        <v>16745</v>
      </c>
    </row>
    <row r="4974" spans="1:16" x14ac:dyDescent="0.3">
      <c r="A4974" s="5">
        <v>70</v>
      </c>
      <c r="B4974" s="5" t="s">
        <v>167</v>
      </c>
      <c r="C4974" s="5">
        <v>8</v>
      </c>
      <c r="D4974" s="5" t="s">
        <v>82</v>
      </c>
      <c r="E4974" s="5">
        <v>2022</v>
      </c>
      <c r="F4974" s="5">
        <v>2</v>
      </c>
      <c r="G4974" s="5" t="s">
        <v>35</v>
      </c>
      <c r="H4974" s="5">
        <v>1532385</v>
      </c>
      <c r="I4974" s="5">
        <v>1223665.69</v>
      </c>
      <c r="J4974" s="5">
        <v>21</v>
      </c>
      <c r="K4974" s="5">
        <v>75422</v>
      </c>
      <c r="L4974" s="5">
        <v>1605430</v>
      </c>
      <c r="M4974" s="5">
        <v>308719.31</v>
      </c>
      <c r="N4974" s="5">
        <v>0.20150000000000001</v>
      </c>
      <c r="O4974" s="5">
        <v>4</v>
      </c>
      <c r="P4974" s="5">
        <v>67891</v>
      </c>
    </row>
    <row r="4975" spans="1:16" x14ac:dyDescent="0.3">
      <c r="A4975" s="5">
        <v>96</v>
      </c>
      <c r="B4975" s="5" t="s">
        <v>167</v>
      </c>
      <c r="C4975" s="5">
        <v>8</v>
      </c>
      <c r="D4975" s="5" t="s">
        <v>82</v>
      </c>
      <c r="E4975" s="5">
        <v>2022</v>
      </c>
      <c r="F4975" s="5">
        <v>2</v>
      </c>
      <c r="G4975" s="5" t="s">
        <v>35</v>
      </c>
      <c r="H4975" s="5">
        <v>2636941</v>
      </c>
      <c r="I4975" s="5">
        <v>2167012.5099999998</v>
      </c>
      <c r="J4975" s="5">
        <v>39</v>
      </c>
      <c r="K4975" s="5">
        <v>162565</v>
      </c>
      <c r="L4975" s="5">
        <v>2790260</v>
      </c>
      <c r="M4975" s="5">
        <v>469928.49</v>
      </c>
      <c r="N4975" s="5">
        <v>0.1782</v>
      </c>
      <c r="O4975" s="5">
        <v>7</v>
      </c>
      <c r="P4975" s="5">
        <v>356179</v>
      </c>
    </row>
    <row r="4976" spans="1:16" x14ac:dyDescent="0.3">
      <c r="A4976" s="5">
        <v>70</v>
      </c>
      <c r="B4976" s="5" t="s">
        <v>167</v>
      </c>
      <c r="C4976" s="5">
        <v>8</v>
      </c>
      <c r="D4976" s="5" t="s">
        <v>82</v>
      </c>
      <c r="E4976" s="5">
        <v>2022</v>
      </c>
      <c r="F4976" s="5">
        <v>3</v>
      </c>
      <c r="G4976" s="5" t="s">
        <v>36</v>
      </c>
      <c r="H4976" s="5">
        <v>2875234</v>
      </c>
      <c r="I4976" s="5">
        <v>2846296.41</v>
      </c>
      <c r="J4976" s="5">
        <v>23</v>
      </c>
      <c r="K4976" s="5">
        <v>695092</v>
      </c>
      <c r="L4976" s="5">
        <v>3565760</v>
      </c>
      <c r="M4976" s="5">
        <v>28937.59</v>
      </c>
      <c r="N4976" s="5">
        <v>1.01E-2</v>
      </c>
      <c r="O4976" s="5">
        <v>4</v>
      </c>
      <c r="P4976" s="5">
        <v>31945</v>
      </c>
    </row>
    <row r="4977" spans="1:16" x14ac:dyDescent="0.3">
      <c r="A4977" s="5">
        <v>96</v>
      </c>
      <c r="B4977" s="5" t="s">
        <v>167</v>
      </c>
      <c r="C4977" s="5">
        <v>8</v>
      </c>
      <c r="D4977" s="5" t="s">
        <v>82</v>
      </c>
      <c r="E4977" s="5">
        <v>2022</v>
      </c>
      <c r="F4977" s="5">
        <v>3</v>
      </c>
      <c r="G4977" s="5" t="s">
        <v>36</v>
      </c>
      <c r="H4977" s="5">
        <v>3211664</v>
      </c>
      <c r="I4977" s="5">
        <v>2684359.29</v>
      </c>
      <c r="J4977" s="5">
        <v>43</v>
      </c>
      <c r="K4977" s="5">
        <v>263707</v>
      </c>
      <c r="L4977" s="5">
        <v>3454860</v>
      </c>
      <c r="M4977" s="5">
        <v>527304.71</v>
      </c>
      <c r="N4977" s="5">
        <v>0.16420000000000001</v>
      </c>
      <c r="O4977" s="5">
        <v>6</v>
      </c>
      <c r="P4977" s="5">
        <v>182102</v>
      </c>
    </row>
    <row r="4978" spans="1:16" x14ac:dyDescent="0.3">
      <c r="A4978" s="5">
        <v>70</v>
      </c>
      <c r="B4978" s="5" t="s">
        <v>167</v>
      </c>
      <c r="C4978" s="5">
        <v>8</v>
      </c>
      <c r="D4978" s="5" t="s">
        <v>82</v>
      </c>
      <c r="E4978" s="5">
        <v>2022</v>
      </c>
      <c r="F4978" s="5">
        <v>4</v>
      </c>
      <c r="G4978" s="5" t="s">
        <v>37</v>
      </c>
      <c r="H4978" s="5">
        <v>1566276</v>
      </c>
      <c r="I4978" s="5">
        <v>1372443.18</v>
      </c>
      <c r="J4978" s="5">
        <v>22</v>
      </c>
      <c r="K4978" s="5">
        <v>197978</v>
      </c>
      <c r="L4978" s="5">
        <v>1758330</v>
      </c>
      <c r="M4978" s="5">
        <v>193832.82</v>
      </c>
      <c r="N4978" s="5">
        <v>0.12379999999999999</v>
      </c>
      <c r="O4978" s="5">
        <v>2</v>
      </c>
      <c r="P4978" s="5">
        <v>40397</v>
      </c>
    </row>
    <row r="4979" spans="1:16" x14ac:dyDescent="0.3">
      <c r="A4979" s="5">
        <v>96</v>
      </c>
      <c r="B4979" s="5" t="s">
        <v>167</v>
      </c>
      <c r="C4979" s="5">
        <v>8</v>
      </c>
      <c r="D4979" s="5" t="s">
        <v>82</v>
      </c>
      <c r="E4979" s="5">
        <v>2022</v>
      </c>
      <c r="F4979" s="5">
        <v>4</v>
      </c>
      <c r="G4979" s="5" t="s">
        <v>37</v>
      </c>
      <c r="H4979" s="5">
        <v>4444525</v>
      </c>
      <c r="I4979" s="5">
        <v>3784770.32</v>
      </c>
      <c r="J4979" s="5">
        <v>46</v>
      </c>
      <c r="K4979" s="5">
        <v>396719</v>
      </c>
      <c r="L4979" s="5">
        <v>4812440</v>
      </c>
      <c r="M4979" s="5">
        <v>659754.68000000005</v>
      </c>
      <c r="N4979" s="5">
        <v>0.1484</v>
      </c>
      <c r="O4979" s="5">
        <v>1</v>
      </c>
      <c r="P4979" s="5">
        <v>2967</v>
      </c>
    </row>
    <row r="4980" spans="1:16" x14ac:dyDescent="0.3">
      <c r="A4980" s="5">
        <v>70</v>
      </c>
      <c r="B4980" s="5" t="s">
        <v>167</v>
      </c>
      <c r="C4980" s="5">
        <v>8</v>
      </c>
      <c r="D4980" s="5" t="s">
        <v>82</v>
      </c>
      <c r="E4980" s="5">
        <v>2022</v>
      </c>
      <c r="F4980" s="5">
        <v>5</v>
      </c>
      <c r="G4980" s="5" t="s">
        <v>38</v>
      </c>
      <c r="H4980" s="5">
        <v>1276646</v>
      </c>
      <c r="I4980" s="5">
        <v>1152754.32</v>
      </c>
      <c r="J4980" s="5">
        <v>21</v>
      </c>
      <c r="K4980" s="5">
        <v>179240</v>
      </c>
      <c r="L4980" s="5">
        <v>1452350</v>
      </c>
      <c r="M4980" s="5">
        <v>123891.68</v>
      </c>
      <c r="N4980" s="5">
        <v>9.7000000000000003E-2</v>
      </c>
      <c r="O4980" s="5">
        <v>3</v>
      </c>
      <c r="P4980" s="5">
        <v>36873</v>
      </c>
    </row>
    <row r="4981" spans="1:16" x14ac:dyDescent="0.3">
      <c r="A4981" s="5">
        <v>96</v>
      </c>
      <c r="B4981" s="5" t="s">
        <v>167</v>
      </c>
      <c r="C4981" s="5">
        <v>8</v>
      </c>
      <c r="D4981" s="5" t="s">
        <v>82</v>
      </c>
      <c r="E4981" s="5">
        <v>2022</v>
      </c>
      <c r="F4981" s="5">
        <v>5</v>
      </c>
      <c r="G4981" s="5" t="s">
        <v>38</v>
      </c>
      <c r="H4981" s="5">
        <v>3907784</v>
      </c>
      <c r="I4981" s="5">
        <v>3325876.62</v>
      </c>
      <c r="J4981" s="5">
        <v>63</v>
      </c>
      <c r="K4981" s="5">
        <v>404367</v>
      </c>
      <c r="L4981" s="5">
        <v>4302880</v>
      </c>
      <c r="M4981" s="5">
        <v>581907.38</v>
      </c>
      <c r="N4981" s="5">
        <v>0.1489</v>
      </c>
      <c r="O4981" s="5">
        <v>4</v>
      </c>
      <c r="P4981" s="5">
        <v>116206</v>
      </c>
    </row>
    <row r="4982" spans="1:16" x14ac:dyDescent="0.3">
      <c r="A4982" s="5">
        <v>70</v>
      </c>
      <c r="B4982" s="5" t="s">
        <v>167</v>
      </c>
      <c r="C4982" s="5">
        <v>8</v>
      </c>
      <c r="D4982" s="5" t="s">
        <v>82</v>
      </c>
      <c r="E4982" s="5">
        <v>2022</v>
      </c>
      <c r="F4982" s="5">
        <v>6</v>
      </c>
      <c r="G4982" s="5" t="s">
        <v>39</v>
      </c>
      <c r="H4982" s="5">
        <v>1867933</v>
      </c>
      <c r="I4982" s="5">
        <v>1726713.63</v>
      </c>
      <c r="J4982" s="5">
        <v>31</v>
      </c>
      <c r="K4982" s="5">
        <v>344934</v>
      </c>
      <c r="L4982" s="5">
        <v>2208410</v>
      </c>
      <c r="M4982" s="5">
        <v>141219.37</v>
      </c>
      <c r="N4982" s="5">
        <v>7.5600000000000001E-2</v>
      </c>
      <c r="O4982" s="5">
        <v>2</v>
      </c>
      <c r="P4982" s="5">
        <v>56591</v>
      </c>
    </row>
    <row r="4983" spans="1:16" x14ac:dyDescent="0.3">
      <c r="A4983" s="5">
        <v>96</v>
      </c>
      <c r="B4983" s="5" t="s">
        <v>167</v>
      </c>
      <c r="C4983" s="5">
        <v>8</v>
      </c>
      <c r="D4983" s="5" t="s">
        <v>82</v>
      </c>
      <c r="E4983" s="5">
        <v>2022</v>
      </c>
      <c r="F4983" s="5">
        <v>6</v>
      </c>
      <c r="G4983" s="5" t="s">
        <v>39</v>
      </c>
      <c r="H4983" s="5">
        <v>3606017</v>
      </c>
      <c r="I4983" s="5">
        <v>3114572.59</v>
      </c>
      <c r="J4983" s="5">
        <v>52</v>
      </c>
      <c r="K4983" s="5">
        <v>461913</v>
      </c>
      <c r="L4983" s="5">
        <v>4048760</v>
      </c>
      <c r="M4983" s="5">
        <v>491444.41</v>
      </c>
      <c r="N4983" s="5">
        <v>0.1363</v>
      </c>
      <c r="O4983" s="5">
        <v>6</v>
      </c>
      <c r="P4983" s="5">
        <v>56498</v>
      </c>
    </row>
    <row r="4984" spans="1:16" x14ac:dyDescent="0.3">
      <c r="A4984" s="5">
        <v>70</v>
      </c>
      <c r="B4984" s="5" t="s">
        <v>167</v>
      </c>
      <c r="C4984" s="5">
        <v>8</v>
      </c>
      <c r="D4984" s="5" t="s">
        <v>82</v>
      </c>
      <c r="E4984" s="5">
        <v>2022</v>
      </c>
      <c r="F4984" s="5">
        <v>7</v>
      </c>
      <c r="G4984" s="5" t="s">
        <v>40</v>
      </c>
      <c r="H4984" s="5">
        <v>1019291</v>
      </c>
      <c r="I4984" s="5">
        <v>1005495.47</v>
      </c>
      <c r="J4984" s="5">
        <v>22</v>
      </c>
      <c r="K4984" s="5">
        <v>265792</v>
      </c>
      <c r="L4984" s="5">
        <v>1284590</v>
      </c>
      <c r="M4984" s="5">
        <v>13795.53</v>
      </c>
      <c r="N4984" s="5">
        <v>1.35E-2</v>
      </c>
      <c r="O4984" s="5">
        <v>0</v>
      </c>
      <c r="P4984" s="5">
        <v>0</v>
      </c>
    </row>
    <row r="4985" spans="1:16" x14ac:dyDescent="0.3">
      <c r="A4985" s="5">
        <v>96</v>
      </c>
      <c r="B4985" s="5" t="s">
        <v>167</v>
      </c>
      <c r="C4985" s="5">
        <v>8</v>
      </c>
      <c r="D4985" s="5" t="s">
        <v>82</v>
      </c>
      <c r="E4985" s="5">
        <v>2022</v>
      </c>
      <c r="F4985" s="5">
        <v>7</v>
      </c>
      <c r="G4985" s="5" t="s">
        <v>40</v>
      </c>
      <c r="H4985" s="5">
        <v>3371749</v>
      </c>
      <c r="I4985" s="5">
        <v>2770613.48</v>
      </c>
      <c r="J4985" s="5">
        <v>55</v>
      </c>
      <c r="K4985" s="5">
        <v>307740</v>
      </c>
      <c r="L4985" s="5">
        <v>3669910</v>
      </c>
      <c r="M4985" s="5">
        <v>601135.52</v>
      </c>
      <c r="N4985" s="5">
        <v>0.17829999999999999</v>
      </c>
      <c r="O4985" s="5">
        <v>2</v>
      </c>
      <c r="P4985" s="5">
        <v>138219</v>
      </c>
    </row>
    <row r="4986" spans="1:16" x14ac:dyDescent="0.3">
      <c r="A4986" s="5">
        <v>70</v>
      </c>
      <c r="B4986" s="5" t="s">
        <v>167</v>
      </c>
      <c r="C4986" s="5">
        <v>8</v>
      </c>
      <c r="D4986" s="5" t="s">
        <v>82</v>
      </c>
      <c r="E4986" s="5">
        <v>2022</v>
      </c>
      <c r="F4986" s="5">
        <v>8</v>
      </c>
      <c r="G4986" s="5" t="s">
        <v>41</v>
      </c>
      <c r="H4986" s="5">
        <v>2021060</v>
      </c>
      <c r="I4986" s="5">
        <v>2029109.28</v>
      </c>
      <c r="J4986" s="5">
        <v>27</v>
      </c>
      <c r="K4986" s="5">
        <v>600296</v>
      </c>
      <c r="L4986" s="5">
        <v>2620020</v>
      </c>
      <c r="M4986" s="5">
        <v>-8049.28</v>
      </c>
      <c r="N4986" s="5">
        <v>-4.0000000000000001E-3</v>
      </c>
      <c r="O4986" s="5">
        <v>3</v>
      </c>
      <c r="P4986" s="5">
        <v>81063</v>
      </c>
    </row>
    <row r="4987" spans="1:16" x14ac:dyDescent="0.3">
      <c r="A4987" s="5">
        <v>96</v>
      </c>
      <c r="B4987" s="5" t="s">
        <v>167</v>
      </c>
      <c r="C4987" s="5">
        <v>8</v>
      </c>
      <c r="D4987" s="5" t="s">
        <v>82</v>
      </c>
      <c r="E4987" s="5">
        <v>2022</v>
      </c>
      <c r="F4987" s="5">
        <v>8</v>
      </c>
      <c r="G4987" s="5" t="s">
        <v>41</v>
      </c>
      <c r="H4987" s="5">
        <v>2370772</v>
      </c>
      <c r="I4987" s="5">
        <v>2218717.4900000002</v>
      </c>
      <c r="J4987" s="5">
        <v>50</v>
      </c>
      <c r="K4987" s="5">
        <v>537832</v>
      </c>
      <c r="L4987" s="5">
        <v>2902510</v>
      </c>
      <c r="M4987" s="5">
        <v>152054.51</v>
      </c>
      <c r="N4987" s="5">
        <v>6.4100000000000004E-2</v>
      </c>
      <c r="O4987" s="5">
        <v>1</v>
      </c>
      <c r="P4987" s="5">
        <v>8977</v>
      </c>
    </row>
    <row r="4988" spans="1:16" x14ac:dyDescent="0.3">
      <c r="A4988" s="5">
        <v>70</v>
      </c>
      <c r="B4988" s="5" t="s">
        <v>167</v>
      </c>
      <c r="C4988" s="5">
        <v>8</v>
      </c>
      <c r="D4988" s="5" t="s">
        <v>82</v>
      </c>
      <c r="E4988" s="5">
        <v>2022</v>
      </c>
      <c r="F4988" s="5">
        <v>9</v>
      </c>
      <c r="G4988" s="5" t="s">
        <v>42</v>
      </c>
      <c r="H4988" s="5">
        <v>2268421</v>
      </c>
      <c r="I4988" s="5">
        <v>1971699.95</v>
      </c>
      <c r="J4988" s="5">
        <v>36</v>
      </c>
      <c r="K4988" s="5">
        <v>306881</v>
      </c>
      <c r="L4988" s="5">
        <v>2573180</v>
      </c>
      <c r="M4988" s="5">
        <v>296721.05</v>
      </c>
      <c r="N4988" s="5">
        <v>0.1308</v>
      </c>
      <c r="O4988" s="5">
        <v>1</v>
      </c>
      <c r="P4988" s="5">
        <v>67656</v>
      </c>
    </row>
    <row r="4989" spans="1:16" x14ac:dyDescent="0.3">
      <c r="A4989" s="5">
        <v>96</v>
      </c>
      <c r="B4989" s="5" t="s">
        <v>167</v>
      </c>
      <c r="C4989" s="5">
        <v>8</v>
      </c>
      <c r="D4989" s="5" t="s">
        <v>82</v>
      </c>
      <c r="E4989" s="5">
        <v>2022</v>
      </c>
      <c r="F4989" s="5">
        <v>9</v>
      </c>
      <c r="G4989" s="5" t="s">
        <v>42</v>
      </c>
      <c r="H4989" s="5">
        <v>2699826</v>
      </c>
      <c r="I4989" s="5">
        <v>2282017.79</v>
      </c>
      <c r="J4989" s="5">
        <v>37</v>
      </c>
      <c r="K4989" s="5">
        <v>318748</v>
      </c>
      <c r="L4989" s="5">
        <v>3011210</v>
      </c>
      <c r="M4989" s="5">
        <v>417808.21</v>
      </c>
      <c r="N4989" s="5">
        <v>0.15479999999999999</v>
      </c>
      <c r="O4989" s="5">
        <v>1</v>
      </c>
      <c r="P4989" s="5">
        <v>18982</v>
      </c>
    </row>
    <row r="4990" spans="1:16" x14ac:dyDescent="0.3">
      <c r="A4990" s="5">
        <v>70</v>
      </c>
      <c r="B4990" s="5" t="s">
        <v>167</v>
      </c>
      <c r="C4990" s="5">
        <v>8</v>
      </c>
      <c r="D4990" s="5" t="s">
        <v>82</v>
      </c>
      <c r="E4990" s="5">
        <v>2022</v>
      </c>
      <c r="F4990" s="5">
        <v>10</v>
      </c>
      <c r="G4990" s="5" t="s">
        <v>43</v>
      </c>
      <c r="H4990" s="5">
        <v>2435571</v>
      </c>
      <c r="I4990" s="5">
        <v>1986105.07</v>
      </c>
      <c r="J4990" s="5">
        <v>36</v>
      </c>
      <c r="K4990" s="5">
        <v>190916</v>
      </c>
      <c r="L4990" s="5">
        <v>2615180</v>
      </c>
      <c r="M4990" s="5">
        <v>449465.93</v>
      </c>
      <c r="N4990" s="5">
        <v>0.1845</v>
      </c>
      <c r="O4990" s="5">
        <v>3</v>
      </c>
      <c r="P4990" s="5">
        <v>6650</v>
      </c>
    </row>
    <row r="4991" spans="1:16" x14ac:dyDescent="0.3">
      <c r="A4991" s="5">
        <v>96</v>
      </c>
      <c r="B4991" s="5" t="s">
        <v>167</v>
      </c>
      <c r="C4991" s="5">
        <v>8</v>
      </c>
      <c r="D4991" s="5" t="s">
        <v>82</v>
      </c>
      <c r="E4991" s="5">
        <v>2022</v>
      </c>
      <c r="F4991" s="5">
        <v>10</v>
      </c>
      <c r="G4991" s="5" t="s">
        <v>43</v>
      </c>
      <c r="H4991" s="5">
        <v>3372172</v>
      </c>
      <c r="I4991" s="5">
        <v>2950106.16</v>
      </c>
      <c r="J4991" s="5">
        <v>55</v>
      </c>
      <c r="K4991" s="5">
        <v>466505</v>
      </c>
      <c r="L4991" s="5">
        <v>3824090</v>
      </c>
      <c r="M4991" s="5">
        <v>422065.84</v>
      </c>
      <c r="N4991" s="5">
        <v>0.12520000000000001</v>
      </c>
      <c r="O4991" s="5">
        <v>4</v>
      </c>
      <c r="P4991" s="5">
        <v>216302</v>
      </c>
    </row>
    <row r="4992" spans="1:16" x14ac:dyDescent="0.3">
      <c r="A4992" s="5">
        <v>70</v>
      </c>
      <c r="B4992" s="5" t="s">
        <v>167</v>
      </c>
      <c r="C4992" s="5">
        <v>8</v>
      </c>
      <c r="D4992" s="5" t="s">
        <v>82</v>
      </c>
      <c r="E4992" s="5">
        <v>2022</v>
      </c>
      <c r="F4992" s="5">
        <v>11</v>
      </c>
      <c r="G4992" s="5" t="s">
        <v>44</v>
      </c>
      <c r="H4992" s="5">
        <v>1156636</v>
      </c>
      <c r="I4992" s="5">
        <v>1054797.6200000001</v>
      </c>
      <c r="J4992" s="5">
        <v>22</v>
      </c>
      <c r="K4992" s="5">
        <v>195627</v>
      </c>
      <c r="L4992" s="5">
        <v>1350190</v>
      </c>
      <c r="M4992" s="5">
        <v>101838.38</v>
      </c>
      <c r="N4992" s="5">
        <v>8.7999999999999995E-2</v>
      </c>
      <c r="O4992" s="5">
        <v>3</v>
      </c>
      <c r="P4992" s="5">
        <v>7118</v>
      </c>
    </row>
    <row r="4993" spans="1:16" x14ac:dyDescent="0.3">
      <c r="A4993" s="5">
        <v>96</v>
      </c>
      <c r="B4993" s="5" t="s">
        <v>167</v>
      </c>
      <c r="C4993" s="5">
        <v>8</v>
      </c>
      <c r="D4993" s="5" t="s">
        <v>82</v>
      </c>
      <c r="E4993" s="5">
        <v>2022</v>
      </c>
      <c r="F4993" s="5">
        <v>11</v>
      </c>
      <c r="G4993" s="5" t="s">
        <v>44</v>
      </c>
      <c r="H4993" s="5">
        <v>6417341</v>
      </c>
      <c r="I4993" s="5">
        <v>5347646.28</v>
      </c>
      <c r="J4993" s="5">
        <v>69</v>
      </c>
      <c r="K4993" s="5">
        <v>409313</v>
      </c>
      <c r="L4993" s="5">
        <v>6805940</v>
      </c>
      <c r="M4993" s="5">
        <v>1069694.72</v>
      </c>
      <c r="N4993" s="5">
        <v>0.16669999999999999</v>
      </c>
      <c r="O4993" s="5">
        <v>4</v>
      </c>
      <c r="P4993" s="5">
        <v>219569</v>
      </c>
    </row>
    <row r="4994" spans="1:16" x14ac:dyDescent="0.3">
      <c r="A4994" s="5">
        <v>70</v>
      </c>
      <c r="B4994" s="5" t="s">
        <v>167</v>
      </c>
      <c r="C4994" s="5">
        <v>8</v>
      </c>
      <c r="D4994" s="5" t="s">
        <v>82</v>
      </c>
      <c r="E4994" s="5">
        <v>2022</v>
      </c>
      <c r="F4994" s="5">
        <v>12</v>
      </c>
      <c r="G4994" s="5" t="s">
        <v>45</v>
      </c>
      <c r="H4994" s="5">
        <v>812457</v>
      </c>
      <c r="I4994" s="5">
        <v>651823.24</v>
      </c>
      <c r="J4994" s="5">
        <v>24</v>
      </c>
      <c r="K4994" s="5">
        <v>59763</v>
      </c>
      <c r="L4994" s="5">
        <v>868800</v>
      </c>
      <c r="M4994" s="5">
        <v>160633.76</v>
      </c>
      <c r="N4994" s="5">
        <v>0.19769999999999999</v>
      </c>
      <c r="O4994" s="5">
        <v>7</v>
      </c>
      <c r="P4994" s="5">
        <v>93488</v>
      </c>
    </row>
    <row r="4995" spans="1:16" x14ac:dyDescent="0.3">
      <c r="A4995" s="5">
        <v>96</v>
      </c>
      <c r="B4995" s="5" t="s">
        <v>167</v>
      </c>
      <c r="C4995" s="5">
        <v>8</v>
      </c>
      <c r="D4995" s="5" t="s">
        <v>82</v>
      </c>
      <c r="E4995" s="5">
        <v>2022</v>
      </c>
      <c r="F4995" s="5">
        <v>12</v>
      </c>
      <c r="G4995" s="5" t="s">
        <v>45</v>
      </c>
      <c r="H4995" s="5">
        <v>4229811</v>
      </c>
      <c r="I4995" s="5">
        <v>3544362.76</v>
      </c>
      <c r="J4995" s="5">
        <v>61</v>
      </c>
      <c r="K4995" s="5">
        <v>284010</v>
      </c>
      <c r="L4995" s="5">
        <v>4505280</v>
      </c>
      <c r="M4995" s="5">
        <v>685448.24</v>
      </c>
      <c r="N4995" s="5">
        <v>0.16209999999999999</v>
      </c>
      <c r="O4995" s="5">
        <v>3</v>
      </c>
      <c r="P4995" s="5">
        <v>135626</v>
      </c>
    </row>
    <row r="4996" spans="1:16" x14ac:dyDescent="0.3">
      <c r="A4996" s="5">
        <v>70</v>
      </c>
      <c r="B4996" s="5" t="s">
        <v>167</v>
      </c>
      <c r="C4996" s="5">
        <v>8</v>
      </c>
      <c r="D4996" s="5" t="s">
        <v>82</v>
      </c>
      <c r="E4996" s="5">
        <v>2023</v>
      </c>
      <c r="F4996" s="5">
        <v>1</v>
      </c>
      <c r="G4996" s="5" t="s">
        <v>46</v>
      </c>
      <c r="H4996" s="5">
        <v>1476473</v>
      </c>
      <c r="I4996" s="5">
        <v>1228779.04</v>
      </c>
      <c r="J4996" s="5">
        <v>27</v>
      </c>
      <c r="K4996" s="5">
        <v>159018</v>
      </c>
      <c r="L4996" s="5">
        <v>1628860</v>
      </c>
      <c r="M4996" s="5">
        <v>247693.96</v>
      </c>
      <c r="N4996" s="5">
        <v>0.1678</v>
      </c>
      <c r="O4996" s="5">
        <v>0</v>
      </c>
      <c r="P4996" s="5">
        <v>0</v>
      </c>
    </row>
    <row r="4997" spans="1:16" x14ac:dyDescent="0.3">
      <c r="A4997" s="5">
        <v>96</v>
      </c>
      <c r="B4997" s="5" t="s">
        <v>167</v>
      </c>
      <c r="C4997" s="5">
        <v>8</v>
      </c>
      <c r="D4997" s="5" t="s">
        <v>82</v>
      </c>
      <c r="E4997" s="5">
        <v>2023</v>
      </c>
      <c r="F4997" s="5">
        <v>1</v>
      </c>
      <c r="G4997" s="5" t="s">
        <v>46</v>
      </c>
      <c r="H4997" s="5">
        <v>3218068</v>
      </c>
      <c r="I4997" s="5">
        <v>2925416.08</v>
      </c>
      <c r="J4997" s="5">
        <v>48</v>
      </c>
      <c r="K4997" s="5">
        <v>557754</v>
      </c>
      <c r="L4997" s="5">
        <v>3772530</v>
      </c>
      <c r="M4997" s="5">
        <v>292651.92</v>
      </c>
      <c r="N4997" s="5">
        <v>9.0899999999999995E-2</v>
      </c>
      <c r="O4997" s="5">
        <v>1</v>
      </c>
      <c r="P4997" s="5">
        <v>503</v>
      </c>
    </row>
    <row r="4998" spans="1:16" x14ac:dyDescent="0.3">
      <c r="A4998" s="5">
        <v>70</v>
      </c>
      <c r="B4998" s="5" t="s">
        <v>167</v>
      </c>
      <c r="C4998" s="5">
        <v>8</v>
      </c>
      <c r="D4998" s="5" t="s">
        <v>82</v>
      </c>
      <c r="E4998" s="5">
        <v>2023</v>
      </c>
      <c r="F4998" s="5">
        <v>2</v>
      </c>
      <c r="G4998" s="5" t="s">
        <v>47</v>
      </c>
      <c r="H4998" s="5">
        <v>1588213</v>
      </c>
      <c r="I4998" s="5">
        <v>1387507.48</v>
      </c>
      <c r="J4998" s="5">
        <v>24</v>
      </c>
      <c r="K4998" s="5">
        <v>196603</v>
      </c>
      <c r="L4998" s="5">
        <v>1780800</v>
      </c>
      <c r="M4998" s="5">
        <v>200705.52</v>
      </c>
      <c r="N4998" s="5">
        <v>0.12640000000000001</v>
      </c>
      <c r="O4998" s="5">
        <v>0</v>
      </c>
      <c r="P4998" s="5">
        <v>0</v>
      </c>
    </row>
    <row r="4999" spans="1:16" x14ac:dyDescent="0.3">
      <c r="A4999" s="5">
        <v>96</v>
      </c>
      <c r="B4999" s="5" t="s">
        <v>167</v>
      </c>
      <c r="C4999" s="5">
        <v>8</v>
      </c>
      <c r="D4999" s="5" t="s">
        <v>82</v>
      </c>
      <c r="E4999" s="5">
        <v>2023</v>
      </c>
      <c r="F4999" s="5">
        <v>2</v>
      </c>
      <c r="G4999" s="5" t="s">
        <v>47</v>
      </c>
      <c r="H4999" s="5">
        <v>2993985</v>
      </c>
      <c r="I4999" s="5">
        <v>2515329.89</v>
      </c>
      <c r="J4999" s="5">
        <v>44</v>
      </c>
      <c r="K4999" s="5">
        <v>216749</v>
      </c>
      <c r="L4999" s="5">
        <v>3198390</v>
      </c>
      <c r="M4999" s="5">
        <v>478655.11</v>
      </c>
      <c r="N4999" s="5">
        <v>0.15989999999999999</v>
      </c>
      <c r="O4999" s="5">
        <v>2</v>
      </c>
      <c r="P4999" s="5">
        <v>48011</v>
      </c>
    </row>
    <row r="5000" spans="1:16" x14ac:dyDescent="0.3">
      <c r="A5000" s="5">
        <v>70</v>
      </c>
      <c r="B5000" s="5" t="s">
        <v>167</v>
      </c>
      <c r="C5000" s="5">
        <v>8</v>
      </c>
      <c r="D5000" s="5" t="s">
        <v>82</v>
      </c>
      <c r="E5000" s="5">
        <v>2023</v>
      </c>
      <c r="F5000" s="5">
        <v>3</v>
      </c>
      <c r="G5000" s="5" t="s">
        <v>48</v>
      </c>
      <c r="H5000" s="5">
        <v>1679811</v>
      </c>
      <c r="I5000" s="5">
        <v>1418688.09</v>
      </c>
      <c r="J5000" s="5">
        <v>25</v>
      </c>
      <c r="K5000" s="5">
        <v>161503</v>
      </c>
      <c r="L5000" s="5">
        <v>1834860</v>
      </c>
      <c r="M5000" s="5">
        <v>261122.91</v>
      </c>
      <c r="N5000" s="5">
        <v>0.15540000000000001</v>
      </c>
      <c r="O5000" s="5">
        <v>1</v>
      </c>
      <c r="P5000" s="5">
        <v>3222</v>
      </c>
    </row>
    <row r="5001" spans="1:16" x14ac:dyDescent="0.3">
      <c r="A5001" s="5">
        <v>96</v>
      </c>
      <c r="B5001" s="5" t="s">
        <v>167</v>
      </c>
      <c r="C5001" s="5">
        <v>8</v>
      </c>
      <c r="D5001" s="5" t="s">
        <v>82</v>
      </c>
      <c r="E5001" s="5">
        <v>2023</v>
      </c>
      <c r="F5001" s="5">
        <v>3</v>
      </c>
      <c r="G5001" s="5" t="s">
        <v>48</v>
      </c>
      <c r="H5001" s="5">
        <v>3751259</v>
      </c>
      <c r="I5001" s="5">
        <v>3168277.1</v>
      </c>
      <c r="J5001" s="5">
        <v>50</v>
      </c>
      <c r="K5001" s="5">
        <v>378360</v>
      </c>
      <c r="L5001" s="5">
        <v>4111150</v>
      </c>
      <c r="M5001" s="5">
        <v>582981.9</v>
      </c>
      <c r="N5001" s="5">
        <v>0.15540000000000001</v>
      </c>
      <c r="O5001" s="5">
        <v>3</v>
      </c>
      <c r="P5001" s="5">
        <v>57461</v>
      </c>
    </row>
    <row r="5002" spans="1:16" x14ac:dyDescent="0.3">
      <c r="A5002" s="5">
        <v>70</v>
      </c>
      <c r="B5002" s="5" t="s">
        <v>167</v>
      </c>
      <c r="C5002" s="5">
        <v>8</v>
      </c>
      <c r="D5002" s="5" t="s">
        <v>82</v>
      </c>
      <c r="E5002" s="5">
        <v>2023</v>
      </c>
      <c r="F5002" s="5">
        <v>4</v>
      </c>
      <c r="G5002" s="5" t="s">
        <v>49</v>
      </c>
      <c r="H5002" s="5">
        <v>2190857</v>
      </c>
      <c r="I5002" s="5">
        <v>1959605.53</v>
      </c>
      <c r="J5002" s="5">
        <v>27</v>
      </c>
      <c r="K5002" s="5">
        <v>322641</v>
      </c>
      <c r="L5002" s="5">
        <v>2512640</v>
      </c>
      <c r="M5002" s="5">
        <v>231251.47</v>
      </c>
      <c r="N5002" s="5">
        <v>0.1056</v>
      </c>
      <c r="O5002" s="5">
        <v>4</v>
      </c>
      <c r="P5002" s="5">
        <v>87665</v>
      </c>
    </row>
    <row r="5003" spans="1:16" x14ac:dyDescent="0.3">
      <c r="A5003" s="5">
        <v>96</v>
      </c>
      <c r="B5003" s="5" t="s">
        <v>167</v>
      </c>
      <c r="C5003" s="5">
        <v>8</v>
      </c>
      <c r="D5003" s="5" t="s">
        <v>82</v>
      </c>
      <c r="E5003" s="5">
        <v>2023</v>
      </c>
      <c r="F5003" s="5">
        <v>4</v>
      </c>
      <c r="G5003" s="5" t="s">
        <v>49</v>
      </c>
      <c r="H5003" s="5">
        <v>6703495</v>
      </c>
      <c r="I5003" s="5">
        <v>6009035.1399999997</v>
      </c>
      <c r="J5003" s="5">
        <v>77</v>
      </c>
      <c r="K5003" s="5">
        <v>1019552</v>
      </c>
      <c r="L5003" s="5">
        <v>7716420</v>
      </c>
      <c r="M5003" s="5">
        <v>694459.86</v>
      </c>
      <c r="N5003" s="5">
        <v>0.1036</v>
      </c>
      <c r="O5003" s="5">
        <v>6</v>
      </c>
      <c r="P5003" s="5">
        <v>178393</v>
      </c>
    </row>
    <row r="5004" spans="1:16" x14ac:dyDescent="0.3">
      <c r="A5004" s="5">
        <v>70</v>
      </c>
      <c r="B5004" s="5" t="s">
        <v>167</v>
      </c>
      <c r="C5004" s="5">
        <v>8</v>
      </c>
      <c r="D5004" s="5" t="s">
        <v>82</v>
      </c>
      <c r="E5004" s="5">
        <v>2023</v>
      </c>
      <c r="F5004" s="5">
        <v>5</v>
      </c>
      <c r="G5004" s="5" t="s">
        <v>50</v>
      </c>
      <c r="H5004" s="5">
        <v>2407622</v>
      </c>
      <c r="I5004" s="5">
        <v>2029528.82</v>
      </c>
      <c r="J5004" s="5">
        <v>29</v>
      </c>
      <c r="K5004" s="5">
        <v>274542</v>
      </c>
      <c r="L5004" s="5">
        <v>2680410</v>
      </c>
      <c r="M5004" s="5">
        <v>378093.18</v>
      </c>
      <c r="N5004" s="5">
        <v>0.157</v>
      </c>
      <c r="O5004" s="5">
        <v>3</v>
      </c>
      <c r="P5004" s="5">
        <v>92148</v>
      </c>
    </row>
    <row r="5005" spans="1:16" x14ac:dyDescent="0.3">
      <c r="A5005" s="5">
        <v>96</v>
      </c>
      <c r="B5005" s="5" t="s">
        <v>167</v>
      </c>
      <c r="C5005" s="5">
        <v>8</v>
      </c>
      <c r="D5005" s="5" t="s">
        <v>82</v>
      </c>
      <c r="E5005" s="5">
        <v>2023</v>
      </c>
      <c r="F5005" s="5">
        <v>5</v>
      </c>
      <c r="G5005" s="5" t="s">
        <v>50</v>
      </c>
      <c r="H5005" s="5">
        <v>4789374</v>
      </c>
      <c r="I5005" s="5">
        <v>4166824.1</v>
      </c>
      <c r="J5005" s="5">
        <v>71</v>
      </c>
      <c r="K5005" s="5">
        <v>621846</v>
      </c>
      <c r="L5005" s="5">
        <v>5400580</v>
      </c>
      <c r="M5005" s="5">
        <v>622549.9</v>
      </c>
      <c r="N5005" s="5">
        <v>0.13</v>
      </c>
      <c r="O5005" s="5">
        <v>7</v>
      </c>
      <c r="P5005" s="5">
        <v>249377</v>
      </c>
    </row>
    <row r="5006" spans="1:16" x14ac:dyDescent="0.3">
      <c r="A5006" s="5">
        <v>70</v>
      </c>
      <c r="B5006" s="5" t="s">
        <v>167</v>
      </c>
      <c r="C5006" s="5">
        <v>8</v>
      </c>
      <c r="D5006" s="5" t="s">
        <v>82</v>
      </c>
      <c r="E5006" s="5">
        <v>2023</v>
      </c>
      <c r="F5006" s="5">
        <v>6</v>
      </c>
      <c r="G5006" s="5" t="s">
        <v>51</v>
      </c>
      <c r="H5006" s="5">
        <v>2092538</v>
      </c>
      <c r="I5006" s="5">
        <v>1778675.64</v>
      </c>
      <c r="J5006" s="5">
        <v>26</v>
      </c>
      <c r="K5006" s="5">
        <v>235421</v>
      </c>
      <c r="L5006" s="5">
        <v>2326010</v>
      </c>
      <c r="M5006" s="5">
        <v>313862.36</v>
      </c>
      <c r="N5006" s="5">
        <v>0.15</v>
      </c>
      <c r="O5006" s="5">
        <v>1</v>
      </c>
      <c r="P5006" s="5">
        <v>702</v>
      </c>
    </row>
    <row r="5007" spans="1:16" x14ac:dyDescent="0.3">
      <c r="A5007" s="5">
        <v>96</v>
      </c>
      <c r="B5007" s="5" t="s">
        <v>167</v>
      </c>
      <c r="C5007" s="5">
        <v>8</v>
      </c>
      <c r="D5007" s="5" t="s">
        <v>82</v>
      </c>
      <c r="E5007" s="5">
        <v>2023</v>
      </c>
      <c r="F5007" s="5">
        <v>6</v>
      </c>
      <c r="G5007" s="5" t="s">
        <v>51</v>
      </c>
      <c r="H5007" s="5">
        <v>4700143</v>
      </c>
      <c r="I5007" s="5">
        <v>4059421.01</v>
      </c>
      <c r="J5007" s="5">
        <v>70</v>
      </c>
      <c r="K5007" s="5">
        <v>565691</v>
      </c>
      <c r="L5007" s="5">
        <v>5242710</v>
      </c>
      <c r="M5007" s="5">
        <v>640721.99</v>
      </c>
      <c r="N5007" s="5">
        <v>0.1363</v>
      </c>
      <c r="O5007" s="5">
        <v>5</v>
      </c>
      <c r="P5007" s="5">
        <v>55187</v>
      </c>
    </row>
    <row r="5008" spans="1:16" x14ac:dyDescent="0.3">
      <c r="A5008" s="5">
        <v>70</v>
      </c>
      <c r="B5008" s="5" t="s">
        <v>167</v>
      </c>
      <c r="C5008" s="5">
        <v>8</v>
      </c>
      <c r="D5008" s="5" t="s">
        <v>82</v>
      </c>
      <c r="E5008" s="5">
        <v>2023</v>
      </c>
      <c r="F5008" s="5">
        <v>7</v>
      </c>
      <c r="G5008" s="5" t="s">
        <v>52</v>
      </c>
      <c r="H5008" s="5">
        <v>1233229</v>
      </c>
      <c r="I5008" s="5">
        <v>1125052.54</v>
      </c>
      <c r="J5008" s="5">
        <v>19</v>
      </c>
      <c r="K5008" s="5">
        <v>214233</v>
      </c>
      <c r="L5008" s="5">
        <v>1446620</v>
      </c>
      <c r="M5008" s="5">
        <v>108176.46</v>
      </c>
      <c r="N5008" s="5">
        <v>8.77E-2</v>
      </c>
      <c r="O5008" s="5">
        <v>3</v>
      </c>
      <c r="P5008" s="5">
        <v>23411</v>
      </c>
    </row>
    <row r="5009" spans="1:16" x14ac:dyDescent="0.3">
      <c r="A5009" s="5">
        <v>96</v>
      </c>
      <c r="B5009" s="5" t="s">
        <v>167</v>
      </c>
      <c r="C5009" s="5">
        <v>8</v>
      </c>
      <c r="D5009" s="5" t="s">
        <v>82</v>
      </c>
      <c r="E5009" s="5">
        <v>2023</v>
      </c>
      <c r="F5009" s="5">
        <v>7</v>
      </c>
      <c r="G5009" s="5" t="s">
        <v>52</v>
      </c>
      <c r="H5009" s="5">
        <v>3874302</v>
      </c>
      <c r="I5009" s="5">
        <v>3476046.95</v>
      </c>
      <c r="J5009" s="5">
        <v>55</v>
      </c>
      <c r="K5009" s="5">
        <v>545795</v>
      </c>
      <c r="L5009" s="5">
        <v>4397820</v>
      </c>
      <c r="M5009" s="5">
        <v>398255.05</v>
      </c>
      <c r="N5009" s="5">
        <v>0.1028</v>
      </c>
      <c r="O5009" s="5">
        <v>5</v>
      </c>
      <c r="P5009" s="5">
        <v>90322</v>
      </c>
    </row>
    <row r="5010" spans="1:16" x14ac:dyDescent="0.3">
      <c r="A5010" s="5">
        <v>70</v>
      </c>
      <c r="B5010" s="5" t="s">
        <v>167</v>
      </c>
      <c r="C5010" s="5">
        <v>8</v>
      </c>
      <c r="D5010" s="5" t="s">
        <v>82</v>
      </c>
      <c r="E5010" s="5">
        <v>2023</v>
      </c>
      <c r="F5010" s="5">
        <v>8</v>
      </c>
      <c r="G5010" s="5" t="s">
        <v>53</v>
      </c>
      <c r="H5010" s="5">
        <v>2455044</v>
      </c>
      <c r="I5010" s="5">
        <v>2139153.79</v>
      </c>
      <c r="J5010" s="5">
        <v>32</v>
      </c>
      <c r="K5010" s="5">
        <v>265002</v>
      </c>
      <c r="L5010" s="5">
        <v>2718040</v>
      </c>
      <c r="M5010" s="5">
        <v>315890.21000000002</v>
      </c>
      <c r="N5010" s="5">
        <v>0.12870000000000001</v>
      </c>
      <c r="O5010" s="5">
        <v>0</v>
      </c>
      <c r="P5010" s="5">
        <v>0</v>
      </c>
    </row>
    <row r="5011" spans="1:16" x14ac:dyDescent="0.3">
      <c r="A5011" s="5">
        <v>96</v>
      </c>
      <c r="B5011" s="5" t="s">
        <v>167</v>
      </c>
      <c r="C5011" s="5">
        <v>8</v>
      </c>
      <c r="D5011" s="5" t="s">
        <v>82</v>
      </c>
      <c r="E5011" s="5">
        <v>2023</v>
      </c>
      <c r="F5011" s="5">
        <v>8</v>
      </c>
      <c r="G5011" s="5" t="s">
        <v>53</v>
      </c>
      <c r="H5011" s="5">
        <v>4681606</v>
      </c>
      <c r="I5011" s="5">
        <v>4027920.34</v>
      </c>
      <c r="J5011" s="5">
        <v>55</v>
      </c>
      <c r="K5011" s="5">
        <v>486887</v>
      </c>
      <c r="L5011" s="5">
        <v>5154350</v>
      </c>
      <c r="M5011" s="5">
        <v>653685.66</v>
      </c>
      <c r="N5011" s="5">
        <v>0.1396</v>
      </c>
      <c r="O5011" s="5">
        <v>2</v>
      </c>
      <c r="P5011" s="5">
        <v>35782</v>
      </c>
    </row>
    <row r="5012" spans="1:16" x14ac:dyDescent="0.3">
      <c r="A5012" s="5">
        <v>70</v>
      </c>
      <c r="B5012" s="5" t="s">
        <v>167</v>
      </c>
      <c r="C5012" s="5">
        <v>8</v>
      </c>
      <c r="D5012" s="5" t="s">
        <v>82</v>
      </c>
      <c r="E5012" s="5">
        <v>2023</v>
      </c>
      <c r="F5012" s="5">
        <v>9</v>
      </c>
      <c r="G5012" s="5" t="s">
        <v>54</v>
      </c>
      <c r="H5012" s="5">
        <v>2694165</v>
      </c>
      <c r="I5012" s="5">
        <v>2291041.67</v>
      </c>
      <c r="J5012" s="5">
        <v>41</v>
      </c>
      <c r="K5012" s="5">
        <v>241165</v>
      </c>
      <c r="L5012" s="5">
        <v>2915160</v>
      </c>
      <c r="M5012" s="5">
        <v>403123.33</v>
      </c>
      <c r="N5012" s="5">
        <v>0.14960000000000001</v>
      </c>
      <c r="O5012" s="5">
        <v>5</v>
      </c>
      <c r="P5012" s="5">
        <v>188415</v>
      </c>
    </row>
    <row r="5013" spans="1:16" x14ac:dyDescent="0.3">
      <c r="A5013" s="5">
        <v>96</v>
      </c>
      <c r="B5013" s="5" t="s">
        <v>167</v>
      </c>
      <c r="C5013" s="5">
        <v>8</v>
      </c>
      <c r="D5013" s="5" t="s">
        <v>82</v>
      </c>
      <c r="E5013" s="5">
        <v>2023</v>
      </c>
      <c r="F5013" s="5">
        <v>9</v>
      </c>
      <c r="G5013" s="5" t="s">
        <v>54</v>
      </c>
      <c r="H5013" s="5">
        <v>3246313</v>
      </c>
      <c r="I5013" s="5">
        <v>3016066.89</v>
      </c>
      <c r="J5013" s="5">
        <v>57</v>
      </c>
      <c r="K5013" s="5">
        <v>744840</v>
      </c>
      <c r="L5013" s="5">
        <v>3983320</v>
      </c>
      <c r="M5013" s="5">
        <v>230246.11</v>
      </c>
      <c r="N5013" s="5">
        <v>7.0900000000000005E-2</v>
      </c>
      <c r="O5013" s="5">
        <v>4</v>
      </c>
      <c r="P5013" s="5">
        <v>173333</v>
      </c>
    </row>
    <row r="5014" spans="1:16" x14ac:dyDescent="0.3">
      <c r="A5014" s="5">
        <v>70</v>
      </c>
      <c r="B5014" s="5" t="s">
        <v>167</v>
      </c>
      <c r="C5014" s="5">
        <v>8</v>
      </c>
      <c r="D5014" s="5" t="s">
        <v>82</v>
      </c>
      <c r="E5014" s="5">
        <v>2023</v>
      </c>
      <c r="F5014" s="5">
        <v>10</v>
      </c>
      <c r="G5014" s="5" t="s">
        <v>55</v>
      </c>
      <c r="H5014" s="5">
        <v>1463458</v>
      </c>
      <c r="I5014" s="5">
        <v>1253269.19</v>
      </c>
      <c r="J5014" s="5">
        <v>35</v>
      </c>
      <c r="K5014" s="5">
        <v>177971</v>
      </c>
      <c r="L5014" s="5">
        <v>1638240</v>
      </c>
      <c r="M5014" s="5">
        <v>210188.81</v>
      </c>
      <c r="N5014" s="5">
        <v>0.14360000000000001</v>
      </c>
      <c r="O5014" s="5">
        <v>2</v>
      </c>
      <c r="P5014" s="5">
        <v>14918</v>
      </c>
    </row>
    <row r="5015" spans="1:16" x14ac:dyDescent="0.3">
      <c r="A5015" s="5">
        <v>96</v>
      </c>
      <c r="B5015" s="5" t="s">
        <v>167</v>
      </c>
      <c r="C5015" s="5">
        <v>8</v>
      </c>
      <c r="D5015" s="5" t="s">
        <v>82</v>
      </c>
      <c r="E5015" s="5">
        <v>2023</v>
      </c>
      <c r="F5015" s="5">
        <v>10</v>
      </c>
      <c r="G5015" s="5" t="s">
        <v>55</v>
      </c>
      <c r="H5015" s="5">
        <v>6735735</v>
      </c>
      <c r="I5015" s="5">
        <v>6025140.6600000001</v>
      </c>
      <c r="J5015" s="5">
        <v>82</v>
      </c>
      <c r="K5015" s="5">
        <v>869994</v>
      </c>
      <c r="L5015" s="5">
        <v>7590100</v>
      </c>
      <c r="M5015" s="5">
        <v>710594.34</v>
      </c>
      <c r="N5015" s="5">
        <v>0.1055</v>
      </c>
      <c r="O5015" s="5">
        <v>4</v>
      </c>
      <c r="P5015" s="5">
        <v>137133</v>
      </c>
    </row>
    <row r="5016" spans="1:16" x14ac:dyDescent="0.3">
      <c r="A5016" s="5">
        <v>70</v>
      </c>
      <c r="B5016" s="5" t="s">
        <v>167</v>
      </c>
      <c r="C5016" s="5">
        <v>8</v>
      </c>
      <c r="D5016" s="5" t="s">
        <v>82</v>
      </c>
      <c r="E5016" s="5">
        <v>2023</v>
      </c>
      <c r="F5016" s="5">
        <v>11</v>
      </c>
      <c r="G5016" s="5" t="s">
        <v>56</v>
      </c>
      <c r="H5016" s="5">
        <v>2604945</v>
      </c>
      <c r="I5016" s="5">
        <v>2332772.84</v>
      </c>
      <c r="J5016" s="5">
        <v>42</v>
      </c>
      <c r="K5016" s="5">
        <v>363676</v>
      </c>
      <c r="L5016" s="5">
        <v>2955750</v>
      </c>
      <c r="M5016" s="5">
        <v>272172.15999999997</v>
      </c>
      <c r="N5016" s="5">
        <v>0.1045</v>
      </c>
      <c r="O5016" s="5">
        <v>5</v>
      </c>
      <c r="P5016" s="5">
        <v>453524</v>
      </c>
    </row>
    <row r="5017" spans="1:16" x14ac:dyDescent="0.3">
      <c r="A5017" s="5">
        <v>96</v>
      </c>
      <c r="B5017" s="5" t="s">
        <v>167</v>
      </c>
      <c r="C5017" s="5">
        <v>8</v>
      </c>
      <c r="D5017" s="5" t="s">
        <v>82</v>
      </c>
      <c r="E5017" s="5">
        <v>2023</v>
      </c>
      <c r="F5017" s="5">
        <v>11</v>
      </c>
      <c r="G5017" s="5" t="s">
        <v>56</v>
      </c>
      <c r="H5017" s="5">
        <v>5075304</v>
      </c>
      <c r="I5017" s="5">
        <v>4344623.8600000003</v>
      </c>
      <c r="J5017" s="5">
        <v>76</v>
      </c>
      <c r="K5017" s="5">
        <v>490912</v>
      </c>
      <c r="L5017" s="5">
        <v>5544710</v>
      </c>
      <c r="M5017" s="5">
        <v>730680.14</v>
      </c>
      <c r="N5017" s="5">
        <v>0.14399999999999999</v>
      </c>
      <c r="O5017" s="5">
        <v>7</v>
      </c>
      <c r="P5017" s="5">
        <v>243267</v>
      </c>
    </row>
    <row r="5018" spans="1:16" x14ac:dyDescent="0.3">
      <c r="A5018" s="5">
        <v>70</v>
      </c>
      <c r="B5018" s="5" t="s">
        <v>167</v>
      </c>
      <c r="C5018" s="5">
        <v>8</v>
      </c>
      <c r="D5018" s="5" t="s">
        <v>82</v>
      </c>
      <c r="E5018" s="5">
        <v>2023</v>
      </c>
      <c r="F5018" s="5">
        <v>12</v>
      </c>
      <c r="G5018" s="5" t="s">
        <v>57</v>
      </c>
      <c r="H5018" s="5">
        <v>2211616</v>
      </c>
      <c r="I5018" s="5">
        <v>2006415.42</v>
      </c>
      <c r="J5018" s="5">
        <v>40</v>
      </c>
      <c r="K5018" s="5">
        <v>342018</v>
      </c>
      <c r="L5018" s="5">
        <v>2549190</v>
      </c>
      <c r="M5018" s="5">
        <v>205200.58</v>
      </c>
      <c r="N5018" s="5">
        <v>9.2799999999999994E-2</v>
      </c>
      <c r="O5018" s="5">
        <v>3</v>
      </c>
      <c r="P5018" s="5">
        <v>28721</v>
      </c>
    </row>
    <row r="5019" spans="1:16" x14ac:dyDescent="0.3">
      <c r="A5019" s="5">
        <v>96</v>
      </c>
      <c r="B5019" s="5" t="s">
        <v>167</v>
      </c>
      <c r="C5019" s="5">
        <v>8</v>
      </c>
      <c r="D5019" s="5" t="s">
        <v>82</v>
      </c>
      <c r="E5019" s="5">
        <v>2023</v>
      </c>
      <c r="F5019" s="5">
        <v>12</v>
      </c>
      <c r="G5019" s="5" t="s">
        <v>57</v>
      </c>
      <c r="H5019" s="5">
        <v>6649860</v>
      </c>
      <c r="I5019" s="5">
        <v>5957612.9400000004</v>
      </c>
      <c r="J5019" s="5">
        <v>104</v>
      </c>
      <c r="K5019" s="5">
        <v>993492</v>
      </c>
      <c r="L5019" s="5">
        <v>7620880</v>
      </c>
      <c r="M5019" s="5">
        <v>692247.06</v>
      </c>
      <c r="N5019" s="5">
        <v>0.1041</v>
      </c>
      <c r="O5019" s="5">
        <v>15</v>
      </c>
      <c r="P5019" s="5">
        <v>857988</v>
      </c>
    </row>
    <row r="5020" spans="1:16" x14ac:dyDescent="0.3">
      <c r="A5020" s="5">
        <v>70</v>
      </c>
      <c r="B5020" s="5" t="s">
        <v>167</v>
      </c>
      <c r="C5020" s="5">
        <v>8</v>
      </c>
      <c r="D5020" s="5" t="s">
        <v>82</v>
      </c>
      <c r="E5020" s="5">
        <v>2024</v>
      </c>
      <c r="F5020" s="5">
        <v>1</v>
      </c>
      <c r="G5020" s="5" t="s">
        <v>58</v>
      </c>
      <c r="H5020" s="5">
        <v>1756970</v>
      </c>
      <c r="I5020" s="5">
        <v>1473616.48</v>
      </c>
      <c r="J5020" s="5">
        <v>20</v>
      </c>
      <c r="K5020" s="5">
        <v>174737</v>
      </c>
      <c r="L5020" s="5">
        <v>1922250</v>
      </c>
      <c r="M5020" s="5">
        <v>283353.52</v>
      </c>
      <c r="N5020" s="5">
        <v>0.1613</v>
      </c>
      <c r="O5020" s="5">
        <v>0</v>
      </c>
      <c r="P5020" s="5">
        <v>0</v>
      </c>
    </row>
    <row r="5021" spans="1:16" x14ac:dyDescent="0.3">
      <c r="A5021" s="5">
        <v>96</v>
      </c>
      <c r="B5021" s="5" t="s">
        <v>167</v>
      </c>
      <c r="C5021" s="5">
        <v>8</v>
      </c>
      <c r="D5021" s="5" t="s">
        <v>82</v>
      </c>
      <c r="E5021" s="5">
        <v>2024</v>
      </c>
      <c r="F5021" s="5">
        <v>1</v>
      </c>
      <c r="G5021" s="5" t="s">
        <v>58</v>
      </c>
      <c r="H5021" s="5">
        <v>3133055</v>
      </c>
      <c r="I5021" s="5">
        <v>2593206.77</v>
      </c>
      <c r="J5021" s="5">
        <v>52</v>
      </c>
      <c r="K5021" s="5">
        <v>338119</v>
      </c>
      <c r="L5021" s="5">
        <v>3459560</v>
      </c>
      <c r="M5021" s="5">
        <v>539848.23</v>
      </c>
      <c r="N5021" s="5">
        <v>0.17230000000000001</v>
      </c>
      <c r="O5021" s="5">
        <v>3</v>
      </c>
      <c r="P5021" s="5">
        <v>11764</v>
      </c>
    </row>
    <row r="5022" spans="1:16" x14ac:dyDescent="0.3">
      <c r="A5022" s="5">
        <v>70</v>
      </c>
      <c r="B5022" s="5" t="s">
        <v>167</v>
      </c>
      <c r="C5022" s="5">
        <v>8</v>
      </c>
      <c r="D5022" s="5" t="s">
        <v>82</v>
      </c>
      <c r="E5022" s="5">
        <v>2024</v>
      </c>
      <c r="F5022" s="5">
        <v>2</v>
      </c>
      <c r="G5022" s="5" t="s">
        <v>59</v>
      </c>
      <c r="H5022" s="5">
        <v>2341733</v>
      </c>
      <c r="I5022" s="5">
        <v>2023571.01</v>
      </c>
      <c r="J5022" s="5">
        <v>37</v>
      </c>
      <c r="K5022" s="5">
        <v>241396</v>
      </c>
      <c r="L5022" s="5">
        <v>2576220</v>
      </c>
      <c r="M5022" s="5">
        <v>318161.99</v>
      </c>
      <c r="N5022" s="5">
        <v>0.13589999999999999</v>
      </c>
      <c r="O5022" s="5">
        <v>2</v>
      </c>
      <c r="P5022" s="5">
        <v>6226</v>
      </c>
    </row>
    <row r="5023" spans="1:16" x14ac:dyDescent="0.3">
      <c r="A5023" s="5">
        <v>96</v>
      </c>
      <c r="B5023" s="5" t="s">
        <v>167</v>
      </c>
      <c r="C5023" s="5">
        <v>8</v>
      </c>
      <c r="D5023" s="5" t="s">
        <v>82</v>
      </c>
      <c r="E5023" s="5">
        <v>2024</v>
      </c>
      <c r="F5023" s="5">
        <v>2</v>
      </c>
      <c r="G5023" s="5" t="s">
        <v>59</v>
      </c>
      <c r="H5023" s="5">
        <v>3780402</v>
      </c>
      <c r="I5023" s="5">
        <v>3194580.77</v>
      </c>
      <c r="J5023" s="5">
        <v>70</v>
      </c>
      <c r="K5023" s="5">
        <v>376053</v>
      </c>
      <c r="L5023" s="5">
        <v>4143960</v>
      </c>
      <c r="M5023" s="5">
        <v>585821.23</v>
      </c>
      <c r="N5023" s="5">
        <v>0.155</v>
      </c>
      <c r="O5023" s="5">
        <v>6</v>
      </c>
      <c r="P5023" s="5">
        <v>57701</v>
      </c>
    </row>
    <row r="5024" spans="1:16" x14ac:dyDescent="0.3">
      <c r="A5024" s="5">
        <v>70</v>
      </c>
      <c r="B5024" s="5" t="s">
        <v>167</v>
      </c>
      <c r="C5024" s="5">
        <v>8</v>
      </c>
      <c r="D5024" s="5" t="s">
        <v>82</v>
      </c>
      <c r="E5024" s="5">
        <v>2024</v>
      </c>
      <c r="F5024" s="5">
        <v>3</v>
      </c>
      <c r="G5024" s="5" t="s">
        <v>60</v>
      </c>
      <c r="H5024" s="5">
        <v>1890281</v>
      </c>
      <c r="I5024" s="5">
        <v>1640988.34</v>
      </c>
      <c r="J5024" s="5">
        <v>27</v>
      </c>
      <c r="K5024" s="5">
        <v>217149</v>
      </c>
      <c r="L5024" s="5">
        <v>2101570</v>
      </c>
      <c r="M5024" s="5">
        <v>249292.66</v>
      </c>
      <c r="N5024" s="5">
        <v>0.13189999999999999</v>
      </c>
      <c r="O5024" s="5">
        <v>2</v>
      </c>
      <c r="P5024" s="5">
        <v>40297</v>
      </c>
    </row>
    <row r="5025" spans="1:16" x14ac:dyDescent="0.3">
      <c r="A5025" s="5">
        <v>96</v>
      </c>
      <c r="B5025" s="5" t="s">
        <v>167</v>
      </c>
      <c r="C5025" s="5">
        <v>8</v>
      </c>
      <c r="D5025" s="5" t="s">
        <v>82</v>
      </c>
      <c r="E5025" s="5">
        <v>2024</v>
      </c>
      <c r="F5025" s="5">
        <v>3</v>
      </c>
      <c r="G5025" s="5" t="s">
        <v>60</v>
      </c>
      <c r="H5025" s="5">
        <v>5221800</v>
      </c>
      <c r="I5025" s="5">
        <v>4508080.37</v>
      </c>
      <c r="J5025" s="5">
        <v>64</v>
      </c>
      <c r="K5025" s="5">
        <v>567950</v>
      </c>
      <c r="L5025" s="5">
        <v>5781070</v>
      </c>
      <c r="M5025" s="5">
        <v>713719.63</v>
      </c>
      <c r="N5025" s="5">
        <v>0.13669999999999999</v>
      </c>
      <c r="O5025" s="5">
        <v>5</v>
      </c>
      <c r="P5025" s="5">
        <v>163538</v>
      </c>
    </row>
    <row r="5026" spans="1:16" x14ac:dyDescent="0.3">
      <c r="A5026" s="5">
        <v>70</v>
      </c>
      <c r="B5026" s="5" t="s">
        <v>167</v>
      </c>
      <c r="C5026" s="5">
        <v>8</v>
      </c>
      <c r="D5026" s="5" t="s">
        <v>82</v>
      </c>
      <c r="E5026" s="5">
        <v>2024</v>
      </c>
      <c r="F5026" s="5">
        <v>4</v>
      </c>
      <c r="G5026" s="5" t="s">
        <v>61</v>
      </c>
      <c r="H5026" s="5">
        <v>2770473</v>
      </c>
      <c r="I5026" s="5">
        <v>2418233.0499999998</v>
      </c>
      <c r="J5026" s="5">
        <v>35</v>
      </c>
      <c r="K5026" s="5">
        <v>375708</v>
      </c>
      <c r="L5026" s="5">
        <v>3144400</v>
      </c>
      <c r="M5026" s="5">
        <v>352239.95</v>
      </c>
      <c r="N5026" s="5">
        <v>0.12709999999999999</v>
      </c>
      <c r="O5026" s="5">
        <v>6</v>
      </c>
      <c r="P5026" s="5">
        <v>268684</v>
      </c>
    </row>
    <row r="5027" spans="1:16" x14ac:dyDescent="0.3">
      <c r="A5027" s="5">
        <v>96</v>
      </c>
      <c r="B5027" s="5" t="s">
        <v>167</v>
      </c>
      <c r="C5027" s="5">
        <v>8</v>
      </c>
      <c r="D5027" s="5" t="s">
        <v>82</v>
      </c>
      <c r="E5027" s="5">
        <v>2024</v>
      </c>
      <c r="F5027" s="5">
        <v>4</v>
      </c>
      <c r="G5027" s="5" t="s">
        <v>61</v>
      </c>
      <c r="H5027" s="5">
        <v>4193608</v>
      </c>
      <c r="I5027" s="5">
        <v>3636954.98</v>
      </c>
      <c r="J5027" s="5">
        <v>63</v>
      </c>
      <c r="K5027" s="5">
        <v>500255</v>
      </c>
      <c r="L5027" s="5">
        <v>4687910</v>
      </c>
      <c r="M5027" s="5">
        <v>556653.02</v>
      </c>
      <c r="N5027" s="5">
        <v>0.13270000000000001</v>
      </c>
      <c r="O5027" s="5">
        <v>5</v>
      </c>
      <c r="P5027" s="5">
        <v>75127</v>
      </c>
    </row>
    <row r="5028" spans="1:16" x14ac:dyDescent="0.3">
      <c r="A5028" s="5">
        <v>70</v>
      </c>
      <c r="B5028" s="5" t="s">
        <v>167</v>
      </c>
      <c r="C5028" s="5">
        <v>8</v>
      </c>
      <c r="D5028" s="5" t="s">
        <v>82</v>
      </c>
      <c r="E5028" s="5">
        <v>2024</v>
      </c>
      <c r="F5028" s="5">
        <v>5</v>
      </c>
      <c r="G5028" s="5" t="s">
        <v>62</v>
      </c>
      <c r="H5028" s="5">
        <v>2041817</v>
      </c>
      <c r="I5028" s="5">
        <v>1749028.56</v>
      </c>
      <c r="J5028" s="5">
        <v>33</v>
      </c>
      <c r="K5028" s="5">
        <v>196547</v>
      </c>
      <c r="L5028" s="5">
        <v>2233070</v>
      </c>
      <c r="M5028" s="5">
        <v>292788.44</v>
      </c>
      <c r="N5028" s="5">
        <v>0.1434</v>
      </c>
      <c r="O5028" s="5">
        <v>3</v>
      </c>
      <c r="P5028" s="5">
        <v>117733</v>
      </c>
    </row>
    <row r="5029" spans="1:16" x14ac:dyDescent="0.3">
      <c r="A5029" s="5">
        <v>96</v>
      </c>
      <c r="B5029" s="5" t="s">
        <v>167</v>
      </c>
      <c r="C5029" s="5">
        <v>8</v>
      </c>
      <c r="D5029" s="5" t="s">
        <v>82</v>
      </c>
      <c r="E5029" s="5">
        <v>2024</v>
      </c>
      <c r="F5029" s="5">
        <v>5</v>
      </c>
      <c r="G5029" s="5" t="s">
        <v>62</v>
      </c>
      <c r="H5029" s="5">
        <v>4900295</v>
      </c>
      <c r="I5029" s="5">
        <v>4263703.5</v>
      </c>
      <c r="J5029" s="5">
        <v>74</v>
      </c>
      <c r="K5029" s="5">
        <v>560049</v>
      </c>
      <c r="L5029" s="5">
        <v>5442820</v>
      </c>
      <c r="M5029" s="5">
        <v>636591.5</v>
      </c>
      <c r="N5029" s="5">
        <v>0.12989999999999999</v>
      </c>
      <c r="O5029" s="5">
        <v>6</v>
      </c>
      <c r="P5029" s="5">
        <v>52243</v>
      </c>
    </row>
    <row r="5030" spans="1:16" x14ac:dyDescent="0.3">
      <c r="A5030" s="5">
        <v>70</v>
      </c>
      <c r="B5030" s="5" t="s">
        <v>167</v>
      </c>
      <c r="C5030" s="5">
        <v>8</v>
      </c>
      <c r="D5030" s="5" t="s">
        <v>82</v>
      </c>
      <c r="E5030" s="5">
        <v>2024</v>
      </c>
      <c r="F5030" s="5">
        <v>6</v>
      </c>
      <c r="G5030" s="5" t="s">
        <v>63</v>
      </c>
      <c r="H5030" s="5">
        <v>1227893</v>
      </c>
      <c r="I5030" s="5">
        <v>962206.53</v>
      </c>
      <c r="J5030" s="5">
        <v>30</v>
      </c>
      <c r="K5030" s="5">
        <v>68767</v>
      </c>
      <c r="L5030" s="5">
        <v>1293570</v>
      </c>
      <c r="M5030" s="5">
        <v>265686.46999999997</v>
      </c>
      <c r="N5030" s="5">
        <v>0.21640000000000001</v>
      </c>
      <c r="O5030" s="5">
        <v>6</v>
      </c>
      <c r="P5030" s="5">
        <v>39487</v>
      </c>
    </row>
    <row r="5031" spans="1:16" x14ac:dyDescent="0.3">
      <c r="A5031" s="5">
        <v>96</v>
      </c>
      <c r="B5031" s="5" t="s">
        <v>167</v>
      </c>
      <c r="C5031" s="5">
        <v>8</v>
      </c>
      <c r="D5031" s="5" t="s">
        <v>82</v>
      </c>
      <c r="E5031" s="5">
        <v>2024</v>
      </c>
      <c r="F5031" s="5">
        <v>6</v>
      </c>
      <c r="G5031" s="5" t="s">
        <v>63</v>
      </c>
      <c r="H5031" s="5">
        <v>4943461</v>
      </c>
      <c r="I5031" s="5">
        <v>4151541.84</v>
      </c>
      <c r="J5031" s="5">
        <v>64</v>
      </c>
      <c r="K5031" s="5">
        <v>418032</v>
      </c>
      <c r="L5031" s="5">
        <v>5349530</v>
      </c>
      <c r="M5031" s="5">
        <v>791919.16</v>
      </c>
      <c r="N5031" s="5">
        <v>0.16020000000000001</v>
      </c>
      <c r="O5031" s="5">
        <v>7</v>
      </c>
      <c r="P5031" s="5">
        <v>87727</v>
      </c>
    </row>
    <row r="5032" spans="1:16" x14ac:dyDescent="0.3">
      <c r="A5032" s="5">
        <v>70</v>
      </c>
      <c r="B5032" s="5" t="s">
        <v>167</v>
      </c>
      <c r="C5032" s="5">
        <v>8</v>
      </c>
      <c r="D5032" s="5" t="s">
        <v>82</v>
      </c>
      <c r="E5032" s="5">
        <v>2024</v>
      </c>
      <c r="F5032" s="5">
        <v>7</v>
      </c>
      <c r="G5032" s="5" t="s">
        <v>64</v>
      </c>
      <c r="H5032" s="5">
        <v>2040114</v>
      </c>
      <c r="I5032" s="5">
        <v>1702042.6</v>
      </c>
      <c r="J5032" s="5">
        <v>31</v>
      </c>
      <c r="K5032" s="5">
        <v>148108</v>
      </c>
      <c r="L5032" s="5">
        <v>2176200</v>
      </c>
      <c r="M5032" s="5">
        <v>338071.4</v>
      </c>
      <c r="N5032" s="5">
        <v>0.16569999999999999</v>
      </c>
      <c r="O5032" s="5">
        <v>3</v>
      </c>
      <c r="P5032" s="5">
        <v>9814</v>
      </c>
    </row>
    <row r="5033" spans="1:16" x14ac:dyDescent="0.3">
      <c r="A5033" s="5">
        <v>96</v>
      </c>
      <c r="B5033" s="5" t="s">
        <v>167</v>
      </c>
      <c r="C5033" s="5">
        <v>8</v>
      </c>
      <c r="D5033" s="5" t="s">
        <v>82</v>
      </c>
      <c r="E5033" s="5">
        <v>2024</v>
      </c>
      <c r="F5033" s="5">
        <v>7</v>
      </c>
      <c r="G5033" s="5" t="s">
        <v>64</v>
      </c>
      <c r="H5033" s="5">
        <v>3832556</v>
      </c>
      <c r="I5033" s="5">
        <v>3289686.28</v>
      </c>
      <c r="J5033" s="5">
        <v>57</v>
      </c>
      <c r="K5033" s="5">
        <v>440029</v>
      </c>
      <c r="L5033" s="5">
        <v>4251530</v>
      </c>
      <c r="M5033" s="5">
        <v>542869.72</v>
      </c>
      <c r="N5033" s="5">
        <v>0.1416</v>
      </c>
      <c r="O5033" s="5">
        <v>2</v>
      </c>
      <c r="P5033" s="5">
        <v>53352</v>
      </c>
    </row>
    <row r="5034" spans="1:16" x14ac:dyDescent="0.3">
      <c r="A5034" s="5">
        <v>70</v>
      </c>
      <c r="B5034" s="5" t="s">
        <v>167</v>
      </c>
      <c r="C5034" s="5">
        <v>8</v>
      </c>
      <c r="D5034" s="5" t="s">
        <v>82</v>
      </c>
      <c r="E5034" s="5">
        <v>2024</v>
      </c>
      <c r="F5034" s="5">
        <v>8</v>
      </c>
      <c r="G5034" s="5" t="s">
        <v>65</v>
      </c>
      <c r="H5034" s="5">
        <v>1837645</v>
      </c>
      <c r="I5034" s="5">
        <v>1511127.32</v>
      </c>
      <c r="J5034" s="5">
        <v>28</v>
      </c>
      <c r="K5034" s="5">
        <v>175872</v>
      </c>
      <c r="L5034" s="5">
        <v>2005170</v>
      </c>
      <c r="M5034" s="5">
        <v>326517.68</v>
      </c>
      <c r="N5034" s="5">
        <v>0.1777</v>
      </c>
      <c r="O5034" s="5">
        <v>1</v>
      </c>
      <c r="P5034" s="5">
        <v>6257</v>
      </c>
    </row>
    <row r="5035" spans="1:16" x14ac:dyDescent="0.3">
      <c r="A5035" s="5">
        <v>96</v>
      </c>
      <c r="B5035" s="5" t="s">
        <v>167</v>
      </c>
      <c r="C5035" s="5">
        <v>8</v>
      </c>
      <c r="D5035" s="5" t="s">
        <v>82</v>
      </c>
      <c r="E5035" s="5">
        <v>2024</v>
      </c>
      <c r="F5035" s="5">
        <v>8</v>
      </c>
      <c r="G5035" s="5" t="s">
        <v>65</v>
      </c>
      <c r="H5035" s="5">
        <v>4031220</v>
      </c>
      <c r="I5035" s="5">
        <v>3324628.44</v>
      </c>
      <c r="J5035" s="5">
        <v>63</v>
      </c>
      <c r="K5035" s="5">
        <v>398941</v>
      </c>
      <c r="L5035" s="5">
        <v>4412730</v>
      </c>
      <c r="M5035" s="5">
        <v>706591.56</v>
      </c>
      <c r="N5035" s="5">
        <v>0.17530000000000001</v>
      </c>
      <c r="O5035" s="5">
        <v>6</v>
      </c>
      <c r="P5035" s="5">
        <v>347573</v>
      </c>
    </row>
    <row r="5036" spans="1:16" x14ac:dyDescent="0.3">
      <c r="A5036" s="5">
        <v>70</v>
      </c>
      <c r="B5036" s="5" t="s">
        <v>167</v>
      </c>
      <c r="C5036" s="5">
        <v>8</v>
      </c>
      <c r="D5036" s="5" t="s">
        <v>82</v>
      </c>
      <c r="E5036" s="5">
        <v>2024</v>
      </c>
      <c r="F5036" s="5">
        <v>9</v>
      </c>
      <c r="G5036" s="5" t="s">
        <v>66</v>
      </c>
      <c r="H5036" s="5">
        <v>1796323</v>
      </c>
      <c r="I5036" s="5">
        <v>1381851.19</v>
      </c>
      <c r="J5036" s="5">
        <v>36</v>
      </c>
      <c r="K5036" s="5">
        <v>75478</v>
      </c>
      <c r="L5036" s="5">
        <v>1865310</v>
      </c>
      <c r="M5036" s="5">
        <v>414471.81</v>
      </c>
      <c r="N5036" s="5">
        <v>0.23069999999999999</v>
      </c>
      <c r="O5036" s="5">
        <v>5</v>
      </c>
      <c r="P5036" s="5">
        <v>121771</v>
      </c>
    </row>
    <row r="5037" spans="1:16" x14ac:dyDescent="0.3">
      <c r="A5037" s="5">
        <v>96</v>
      </c>
      <c r="B5037" s="5" t="s">
        <v>167</v>
      </c>
      <c r="C5037" s="5">
        <v>8</v>
      </c>
      <c r="D5037" s="5" t="s">
        <v>82</v>
      </c>
      <c r="E5037" s="5">
        <v>2024</v>
      </c>
      <c r="F5037" s="5">
        <v>9</v>
      </c>
      <c r="G5037" s="5" t="s">
        <v>66</v>
      </c>
      <c r="H5037" s="5">
        <v>4456226</v>
      </c>
      <c r="I5037" s="5">
        <v>3712916.82</v>
      </c>
      <c r="J5037" s="5">
        <v>69</v>
      </c>
      <c r="K5037" s="5">
        <v>388389</v>
      </c>
      <c r="L5037" s="5">
        <v>4832420</v>
      </c>
      <c r="M5037" s="5">
        <v>743309.18</v>
      </c>
      <c r="N5037" s="5">
        <v>0.1668</v>
      </c>
      <c r="O5037" s="5">
        <v>5</v>
      </c>
      <c r="P5037" s="5">
        <v>201742</v>
      </c>
    </row>
    <row r="5038" spans="1:16" x14ac:dyDescent="0.3">
      <c r="A5038" s="5">
        <v>70</v>
      </c>
      <c r="B5038" s="5" t="s">
        <v>167</v>
      </c>
      <c r="C5038" s="5">
        <v>8</v>
      </c>
      <c r="D5038" s="5" t="s">
        <v>82</v>
      </c>
      <c r="E5038" s="5">
        <v>2024</v>
      </c>
      <c r="F5038" s="5">
        <v>10</v>
      </c>
      <c r="G5038" s="5" t="s">
        <v>67</v>
      </c>
      <c r="H5038" s="5">
        <v>3195342</v>
      </c>
      <c r="I5038" s="5">
        <v>2481749.15</v>
      </c>
      <c r="J5038" s="5">
        <v>38</v>
      </c>
      <c r="K5038" s="5">
        <v>106890</v>
      </c>
      <c r="L5038" s="5">
        <v>3294410</v>
      </c>
      <c r="M5038" s="5">
        <v>713592.85</v>
      </c>
      <c r="N5038" s="5">
        <v>0.2233</v>
      </c>
      <c r="O5038" s="5">
        <v>3</v>
      </c>
      <c r="P5038" s="5">
        <v>142001</v>
      </c>
    </row>
    <row r="5039" spans="1:16" x14ac:dyDescent="0.3">
      <c r="A5039" s="5">
        <v>96</v>
      </c>
      <c r="B5039" s="5" t="s">
        <v>167</v>
      </c>
      <c r="C5039" s="5">
        <v>8</v>
      </c>
      <c r="D5039" s="5" t="s">
        <v>82</v>
      </c>
      <c r="E5039" s="5">
        <v>2024</v>
      </c>
      <c r="F5039" s="5">
        <v>10</v>
      </c>
      <c r="G5039" s="5" t="s">
        <v>67</v>
      </c>
      <c r="H5039" s="5">
        <v>6181349</v>
      </c>
      <c r="I5039" s="5">
        <v>4940462.99</v>
      </c>
      <c r="J5039" s="5">
        <v>79</v>
      </c>
      <c r="K5039" s="5">
        <v>247785</v>
      </c>
      <c r="L5039" s="5">
        <v>6417750</v>
      </c>
      <c r="M5039" s="5">
        <v>1240886.01</v>
      </c>
      <c r="N5039" s="5">
        <v>0.20069999999999999</v>
      </c>
      <c r="O5039" s="5">
        <v>7</v>
      </c>
      <c r="P5039" s="5">
        <v>243347</v>
      </c>
    </row>
    <row r="5040" spans="1:16" x14ac:dyDescent="0.3">
      <c r="A5040" s="5">
        <v>70</v>
      </c>
      <c r="B5040" s="5" t="s">
        <v>167</v>
      </c>
      <c r="C5040" s="5">
        <v>8</v>
      </c>
      <c r="D5040" s="5" t="s">
        <v>82</v>
      </c>
      <c r="E5040" s="5">
        <v>2024</v>
      </c>
      <c r="F5040" s="5">
        <v>11</v>
      </c>
      <c r="G5040" s="5" t="s">
        <v>68</v>
      </c>
      <c r="H5040" s="5">
        <v>3604834</v>
      </c>
      <c r="I5040" s="5">
        <v>2998040.98</v>
      </c>
      <c r="J5040" s="5">
        <v>55</v>
      </c>
      <c r="K5040" s="5">
        <v>300038</v>
      </c>
      <c r="L5040" s="5">
        <v>3890760</v>
      </c>
      <c r="M5040" s="5">
        <v>606793.02</v>
      </c>
      <c r="N5040" s="5">
        <v>0.16830000000000001</v>
      </c>
      <c r="O5040" s="5">
        <v>7</v>
      </c>
      <c r="P5040" s="5">
        <v>81198</v>
      </c>
    </row>
    <row r="5041" spans="1:16" x14ac:dyDescent="0.3">
      <c r="A5041" s="5">
        <v>96</v>
      </c>
      <c r="B5041" s="5" t="s">
        <v>167</v>
      </c>
      <c r="C5041" s="5">
        <v>8</v>
      </c>
      <c r="D5041" s="5" t="s">
        <v>82</v>
      </c>
      <c r="E5041" s="5">
        <v>2024</v>
      </c>
      <c r="F5041" s="5">
        <v>11</v>
      </c>
      <c r="G5041" s="5" t="s">
        <v>68</v>
      </c>
      <c r="H5041" s="5">
        <v>6180475</v>
      </c>
      <c r="I5041" s="5">
        <v>5256216.1100000003</v>
      </c>
      <c r="J5041" s="5">
        <v>96</v>
      </c>
      <c r="K5041" s="5">
        <v>528099</v>
      </c>
      <c r="L5041" s="5">
        <v>6684320</v>
      </c>
      <c r="M5041" s="5">
        <v>924258.89</v>
      </c>
      <c r="N5041" s="5">
        <v>0.14949999999999999</v>
      </c>
      <c r="O5041" s="5">
        <v>13</v>
      </c>
      <c r="P5041" s="5">
        <v>206621</v>
      </c>
    </row>
    <row r="5042" spans="1:16" x14ac:dyDescent="0.3">
      <c r="A5042" s="5">
        <v>70</v>
      </c>
      <c r="B5042" s="5" t="s">
        <v>167</v>
      </c>
      <c r="C5042" s="5">
        <v>8</v>
      </c>
      <c r="D5042" s="5" t="s">
        <v>82</v>
      </c>
      <c r="E5042" s="5">
        <v>2024</v>
      </c>
      <c r="F5042" s="5">
        <v>12</v>
      </c>
      <c r="G5042" s="5" t="s">
        <v>69</v>
      </c>
      <c r="H5042" s="5">
        <v>3297093</v>
      </c>
      <c r="I5042" s="5">
        <v>2665722.2999999998</v>
      </c>
      <c r="J5042" s="5">
        <v>45</v>
      </c>
      <c r="K5042" s="5">
        <v>133495</v>
      </c>
      <c r="L5042" s="5">
        <v>3419590</v>
      </c>
      <c r="M5042" s="5">
        <v>631370.69999999995</v>
      </c>
      <c r="N5042" s="5">
        <v>0.1915</v>
      </c>
      <c r="O5042" s="5">
        <v>1</v>
      </c>
      <c r="P5042" s="5">
        <v>4903</v>
      </c>
    </row>
    <row r="5043" spans="1:16" x14ac:dyDescent="0.3">
      <c r="A5043" s="5">
        <v>96</v>
      </c>
      <c r="B5043" s="5" t="s">
        <v>167</v>
      </c>
      <c r="C5043" s="5">
        <v>8</v>
      </c>
      <c r="D5043" s="5" t="s">
        <v>82</v>
      </c>
      <c r="E5043" s="5">
        <v>2024</v>
      </c>
      <c r="F5043" s="5">
        <v>12</v>
      </c>
      <c r="G5043" s="5" t="s">
        <v>69</v>
      </c>
      <c r="H5043" s="5">
        <v>5770474</v>
      </c>
      <c r="I5043" s="5">
        <v>4502455.58</v>
      </c>
      <c r="J5043" s="5">
        <v>96</v>
      </c>
      <c r="K5043" s="5">
        <v>185314</v>
      </c>
      <c r="L5043" s="5">
        <v>5937120</v>
      </c>
      <c r="M5043" s="5">
        <v>1268018.42</v>
      </c>
      <c r="N5043" s="5">
        <v>0.21970000000000001</v>
      </c>
      <c r="O5043" s="5">
        <v>7</v>
      </c>
      <c r="P5043" s="5">
        <v>243224</v>
      </c>
    </row>
    <row r="5044" spans="1:16" x14ac:dyDescent="0.3">
      <c r="A5044" s="5">
        <v>39</v>
      </c>
      <c r="B5044" s="5" t="s">
        <v>168</v>
      </c>
      <c r="C5044" s="5">
        <v>8</v>
      </c>
      <c r="D5044" s="5" t="s">
        <v>82</v>
      </c>
      <c r="E5044" s="5">
        <v>2021</v>
      </c>
      <c r="F5044" s="5">
        <v>1</v>
      </c>
      <c r="G5044" s="5" t="s">
        <v>22</v>
      </c>
      <c r="H5044" s="5">
        <v>707117</v>
      </c>
      <c r="I5044" s="5">
        <v>599353.81999999995</v>
      </c>
      <c r="J5044" s="5">
        <v>14</v>
      </c>
      <c r="K5044" s="5">
        <v>65396</v>
      </c>
      <c r="L5044" s="5">
        <v>772010</v>
      </c>
      <c r="M5044" s="5">
        <v>107763.18</v>
      </c>
      <c r="N5044" s="5">
        <v>0.15240000000000001</v>
      </c>
      <c r="O5044" s="5">
        <v>1</v>
      </c>
      <c r="P5044" s="5">
        <v>194646</v>
      </c>
    </row>
    <row r="5045" spans="1:16" x14ac:dyDescent="0.3">
      <c r="A5045" s="5">
        <v>88</v>
      </c>
      <c r="B5045" s="5" t="s">
        <v>168</v>
      </c>
      <c r="C5045" s="5">
        <v>8</v>
      </c>
      <c r="D5045" s="5" t="s">
        <v>82</v>
      </c>
      <c r="E5045" s="5">
        <v>2021</v>
      </c>
      <c r="F5045" s="5">
        <v>1</v>
      </c>
      <c r="G5045" s="5" t="s">
        <v>22</v>
      </c>
      <c r="H5045" s="5">
        <v>339608</v>
      </c>
      <c r="I5045" s="5">
        <v>283348.67</v>
      </c>
      <c r="J5045" s="5">
        <v>13</v>
      </c>
      <c r="K5045" s="5">
        <v>43532</v>
      </c>
      <c r="L5045" s="5">
        <v>380170</v>
      </c>
      <c r="M5045" s="5">
        <v>56259.33</v>
      </c>
      <c r="N5045" s="5">
        <v>0.16569999999999999</v>
      </c>
      <c r="O5045" s="5">
        <v>0</v>
      </c>
      <c r="P5045" s="5">
        <v>0</v>
      </c>
    </row>
    <row r="5046" spans="1:16" x14ac:dyDescent="0.3">
      <c r="A5046" s="5">
        <v>104</v>
      </c>
      <c r="B5046" s="5" t="s">
        <v>168</v>
      </c>
      <c r="C5046" s="5">
        <v>8</v>
      </c>
      <c r="D5046" s="5" t="s">
        <v>82</v>
      </c>
      <c r="E5046" s="5">
        <v>2021</v>
      </c>
      <c r="F5046" s="5">
        <v>1</v>
      </c>
      <c r="G5046" s="5" t="s">
        <v>22</v>
      </c>
      <c r="H5046" s="5">
        <v>1614159</v>
      </c>
      <c r="I5046" s="5">
        <v>1549894.71</v>
      </c>
      <c r="J5046" s="5">
        <v>22</v>
      </c>
      <c r="K5046" s="5">
        <v>320557</v>
      </c>
      <c r="L5046" s="5">
        <v>1930450</v>
      </c>
      <c r="M5046" s="5">
        <v>64264.29</v>
      </c>
      <c r="N5046" s="5">
        <v>3.9800000000000002E-2</v>
      </c>
      <c r="O5046" s="5">
        <v>0</v>
      </c>
      <c r="P5046" s="5">
        <v>0</v>
      </c>
    </row>
    <row r="5047" spans="1:16" x14ac:dyDescent="0.3">
      <c r="A5047" s="5">
        <v>39</v>
      </c>
      <c r="B5047" s="5" t="s">
        <v>168</v>
      </c>
      <c r="C5047" s="5">
        <v>8</v>
      </c>
      <c r="D5047" s="5" t="s">
        <v>82</v>
      </c>
      <c r="E5047" s="5">
        <v>2021</v>
      </c>
      <c r="F5047" s="5">
        <v>2</v>
      </c>
      <c r="G5047" s="5" t="s">
        <v>23</v>
      </c>
      <c r="H5047" s="5">
        <v>777263</v>
      </c>
      <c r="I5047" s="5">
        <v>650126.4</v>
      </c>
      <c r="J5047" s="5">
        <v>13</v>
      </c>
      <c r="K5047" s="5">
        <v>83943</v>
      </c>
      <c r="L5047" s="5">
        <v>856800</v>
      </c>
      <c r="M5047" s="5">
        <v>127136.6</v>
      </c>
      <c r="N5047" s="5">
        <v>0.1636</v>
      </c>
      <c r="O5047" s="5">
        <v>0</v>
      </c>
      <c r="P5047" s="5">
        <v>0</v>
      </c>
    </row>
    <row r="5048" spans="1:16" x14ac:dyDescent="0.3">
      <c r="A5048" s="5">
        <v>88</v>
      </c>
      <c r="B5048" s="5" t="s">
        <v>168</v>
      </c>
      <c r="C5048" s="5">
        <v>8</v>
      </c>
      <c r="D5048" s="5" t="s">
        <v>82</v>
      </c>
      <c r="E5048" s="5">
        <v>2021</v>
      </c>
      <c r="F5048" s="5">
        <v>2</v>
      </c>
      <c r="G5048" s="5" t="s">
        <v>23</v>
      </c>
      <c r="H5048" s="5">
        <v>841627</v>
      </c>
      <c r="I5048" s="5">
        <v>836875.81</v>
      </c>
      <c r="J5048" s="5">
        <v>10</v>
      </c>
      <c r="K5048" s="5">
        <v>204803</v>
      </c>
      <c r="L5048" s="5">
        <v>1046430</v>
      </c>
      <c r="M5048" s="5">
        <v>4751.1899999999996</v>
      </c>
      <c r="N5048" s="5">
        <v>5.5999999999999999E-3</v>
      </c>
      <c r="O5048" s="5">
        <v>2</v>
      </c>
      <c r="P5048" s="5">
        <v>138119</v>
      </c>
    </row>
    <row r="5049" spans="1:16" x14ac:dyDescent="0.3">
      <c r="A5049" s="5">
        <v>104</v>
      </c>
      <c r="B5049" s="5" t="s">
        <v>168</v>
      </c>
      <c r="C5049" s="5">
        <v>8</v>
      </c>
      <c r="D5049" s="5" t="s">
        <v>82</v>
      </c>
      <c r="E5049" s="5">
        <v>2021</v>
      </c>
      <c r="F5049" s="5">
        <v>2</v>
      </c>
      <c r="G5049" s="5" t="s">
        <v>23</v>
      </c>
      <c r="H5049" s="5">
        <v>1911322</v>
      </c>
      <c r="I5049" s="5">
        <v>1667980.02</v>
      </c>
      <c r="J5049" s="5">
        <v>28</v>
      </c>
      <c r="K5049" s="5">
        <v>285963</v>
      </c>
      <c r="L5049" s="5">
        <v>2191590</v>
      </c>
      <c r="M5049" s="5">
        <v>243341.98</v>
      </c>
      <c r="N5049" s="5">
        <v>0.1273</v>
      </c>
      <c r="O5049" s="5">
        <v>2</v>
      </c>
      <c r="P5049" s="5">
        <v>13462</v>
      </c>
    </row>
    <row r="5050" spans="1:16" x14ac:dyDescent="0.3">
      <c r="A5050" s="5">
        <v>39</v>
      </c>
      <c r="B5050" s="5" t="s">
        <v>168</v>
      </c>
      <c r="C5050" s="5">
        <v>8</v>
      </c>
      <c r="D5050" s="5" t="s">
        <v>82</v>
      </c>
      <c r="E5050" s="5">
        <v>2021</v>
      </c>
      <c r="F5050" s="5">
        <v>3</v>
      </c>
      <c r="G5050" s="5" t="s">
        <v>24</v>
      </c>
      <c r="H5050" s="5">
        <v>1528855</v>
      </c>
      <c r="I5050" s="5">
        <v>1211522.58</v>
      </c>
      <c r="J5050" s="5">
        <v>15</v>
      </c>
      <c r="K5050" s="5">
        <v>61589</v>
      </c>
      <c r="L5050" s="5">
        <v>1580580</v>
      </c>
      <c r="M5050" s="5">
        <v>317332.42</v>
      </c>
      <c r="N5050" s="5">
        <v>0.20760000000000001</v>
      </c>
      <c r="O5050" s="5">
        <v>1</v>
      </c>
      <c r="P5050" s="5">
        <v>1979</v>
      </c>
    </row>
    <row r="5051" spans="1:16" x14ac:dyDescent="0.3">
      <c r="A5051" s="5">
        <v>88</v>
      </c>
      <c r="B5051" s="5" t="s">
        <v>168</v>
      </c>
      <c r="C5051" s="5">
        <v>8</v>
      </c>
      <c r="D5051" s="5" t="s">
        <v>82</v>
      </c>
      <c r="E5051" s="5">
        <v>2021</v>
      </c>
      <c r="F5051" s="5">
        <v>3</v>
      </c>
      <c r="G5051" s="5" t="s">
        <v>24</v>
      </c>
      <c r="H5051" s="5">
        <v>921499</v>
      </c>
      <c r="I5051" s="5">
        <v>728789.34</v>
      </c>
      <c r="J5051" s="5">
        <v>13</v>
      </c>
      <c r="K5051" s="5">
        <v>53480</v>
      </c>
      <c r="L5051" s="5">
        <v>973010</v>
      </c>
      <c r="M5051" s="5">
        <v>192709.66</v>
      </c>
      <c r="N5051" s="5">
        <v>0.20910000000000001</v>
      </c>
      <c r="O5051" s="5">
        <v>5</v>
      </c>
      <c r="P5051" s="5">
        <v>149604</v>
      </c>
    </row>
    <row r="5052" spans="1:16" x14ac:dyDescent="0.3">
      <c r="A5052" s="5">
        <v>104</v>
      </c>
      <c r="B5052" s="5" t="s">
        <v>168</v>
      </c>
      <c r="C5052" s="5">
        <v>8</v>
      </c>
      <c r="D5052" s="5" t="s">
        <v>82</v>
      </c>
      <c r="E5052" s="5">
        <v>2021</v>
      </c>
      <c r="F5052" s="5">
        <v>3</v>
      </c>
      <c r="G5052" s="5" t="s">
        <v>24</v>
      </c>
      <c r="H5052" s="5">
        <v>3418636</v>
      </c>
      <c r="I5052" s="5">
        <v>2889368.15</v>
      </c>
      <c r="J5052" s="5">
        <v>35</v>
      </c>
      <c r="K5052" s="5">
        <v>252182</v>
      </c>
      <c r="L5052" s="5">
        <v>3655710</v>
      </c>
      <c r="M5052" s="5">
        <v>529267.85</v>
      </c>
      <c r="N5052" s="5">
        <v>0.15479999999999999</v>
      </c>
      <c r="O5052" s="5">
        <v>5</v>
      </c>
      <c r="P5052" s="5">
        <v>361050</v>
      </c>
    </row>
    <row r="5053" spans="1:16" x14ac:dyDescent="0.3">
      <c r="A5053" s="5">
        <v>39</v>
      </c>
      <c r="B5053" s="5" t="s">
        <v>168</v>
      </c>
      <c r="C5053" s="5">
        <v>8</v>
      </c>
      <c r="D5053" s="5" t="s">
        <v>82</v>
      </c>
      <c r="E5053" s="5">
        <v>2021</v>
      </c>
      <c r="F5053" s="5">
        <v>4</v>
      </c>
      <c r="G5053" s="5" t="s">
        <v>25</v>
      </c>
      <c r="H5053" s="5">
        <v>826514</v>
      </c>
      <c r="I5053" s="5">
        <v>731772.85</v>
      </c>
      <c r="J5053" s="5">
        <v>15</v>
      </c>
      <c r="K5053" s="5">
        <v>101243</v>
      </c>
      <c r="L5053" s="5">
        <v>924400</v>
      </c>
      <c r="M5053" s="5">
        <v>94741.15</v>
      </c>
      <c r="N5053" s="5">
        <v>0.11459999999999999</v>
      </c>
      <c r="O5053" s="5">
        <v>4</v>
      </c>
      <c r="P5053" s="5">
        <v>69321</v>
      </c>
    </row>
    <row r="5054" spans="1:16" x14ac:dyDescent="0.3">
      <c r="A5054" s="5">
        <v>88</v>
      </c>
      <c r="B5054" s="5" t="s">
        <v>168</v>
      </c>
      <c r="C5054" s="5">
        <v>8</v>
      </c>
      <c r="D5054" s="5" t="s">
        <v>82</v>
      </c>
      <c r="E5054" s="5">
        <v>2021</v>
      </c>
      <c r="F5054" s="5">
        <v>4</v>
      </c>
      <c r="G5054" s="5" t="s">
        <v>25</v>
      </c>
      <c r="H5054" s="5">
        <v>356788</v>
      </c>
      <c r="I5054" s="5">
        <v>349315.34</v>
      </c>
      <c r="J5054" s="5">
        <v>8</v>
      </c>
      <c r="K5054" s="5">
        <v>82724</v>
      </c>
      <c r="L5054" s="5">
        <v>438480</v>
      </c>
      <c r="M5054" s="5">
        <v>7472.66</v>
      </c>
      <c r="N5054" s="5">
        <v>2.0899999999999998E-2</v>
      </c>
      <c r="O5054" s="5">
        <v>0</v>
      </c>
      <c r="P5054" s="5">
        <v>0</v>
      </c>
    </row>
    <row r="5055" spans="1:16" x14ac:dyDescent="0.3">
      <c r="A5055" s="5">
        <v>104</v>
      </c>
      <c r="B5055" s="5" t="s">
        <v>168</v>
      </c>
      <c r="C5055" s="5">
        <v>8</v>
      </c>
      <c r="D5055" s="5" t="s">
        <v>82</v>
      </c>
      <c r="E5055" s="5">
        <v>2021</v>
      </c>
      <c r="F5055" s="5">
        <v>4</v>
      </c>
      <c r="G5055" s="5" t="s">
        <v>25</v>
      </c>
      <c r="H5055" s="5">
        <v>2131182</v>
      </c>
      <c r="I5055" s="5">
        <v>1820377.17</v>
      </c>
      <c r="J5055" s="5">
        <v>34</v>
      </c>
      <c r="K5055" s="5">
        <v>241506</v>
      </c>
      <c r="L5055" s="5">
        <v>2361390</v>
      </c>
      <c r="M5055" s="5">
        <v>310804.83</v>
      </c>
      <c r="N5055" s="5">
        <v>0.14580000000000001</v>
      </c>
      <c r="O5055" s="5">
        <v>1</v>
      </c>
      <c r="P5055" s="5">
        <v>28347</v>
      </c>
    </row>
    <row r="5056" spans="1:16" x14ac:dyDescent="0.3">
      <c r="A5056" s="5">
        <v>39</v>
      </c>
      <c r="B5056" s="5" t="s">
        <v>168</v>
      </c>
      <c r="C5056" s="5">
        <v>8</v>
      </c>
      <c r="D5056" s="5" t="s">
        <v>82</v>
      </c>
      <c r="E5056" s="5">
        <v>2021</v>
      </c>
      <c r="F5056" s="5">
        <v>5</v>
      </c>
      <c r="G5056" s="5" t="s">
        <v>26</v>
      </c>
      <c r="H5056" s="5">
        <v>604018</v>
      </c>
      <c r="I5056" s="5">
        <v>509950.71</v>
      </c>
      <c r="J5056" s="5">
        <v>15</v>
      </c>
      <c r="K5056" s="5">
        <v>72202</v>
      </c>
      <c r="L5056" s="5">
        <v>674590</v>
      </c>
      <c r="M5056" s="5">
        <v>94067.29</v>
      </c>
      <c r="N5056" s="5">
        <v>0.15570000000000001</v>
      </c>
      <c r="O5056" s="5">
        <v>0</v>
      </c>
      <c r="P5056" s="5">
        <v>0</v>
      </c>
    </row>
    <row r="5057" spans="1:16" x14ac:dyDescent="0.3">
      <c r="A5057" s="5">
        <v>88</v>
      </c>
      <c r="B5057" s="5" t="s">
        <v>168</v>
      </c>
      <c r="C5057" s="5">
        <v>8</v>
      </c>
      <c r="D5057" s="5" t="s">
        <v>82</v>
      </c>
      <c r="E5057" s="5">
        <v>2021</v>
      </c>
      <c r="F5057" s="5">
        <v>5</v>
      </c>
      <c r="G5057" s="5" t="s">
        <v>26</v>
      </c>
      <c r="H5057" s="5">
        <v>777549</v>
      </c>
      <c r="I5057" s="5">
        <v>604746.35</v>
      </c>
      <c r="J5057" s="5">
        <v>13</v>
      </c>
      <c r="K5057" s="5">
        <v>59609</v>
      </c>
      <c r="L5057" s="5">
        <v>834560</v>
      </c>
      <c r="M5057" s="5">
        <v>172802.65</v>
      </c>
      <c r="N5057" s="5">
        <v>0.22220000000000001</v>
      </c>
      <c r="O5057" s="5">
        <v>2</v>
      </c>
      <c r="P5057" s="5">
        <v>98112</v>
      </c>
    </row>
    <row r="5058" spans="1:16" x14ac:dyDescent="0.3">
      <c r="A5058" s="5">
        <v>104</v>
      </c>
      <c r="B5058" s="5" t="s">
        <v>168</v>
      </c>
      <c r="C5058" s="5">
        <v>8</v>
      </c>
      <c r="D5058" s="5" t="s">
        <v>82</v>
      </c>
      <c r="E5058" s="5">
        <v>2021</v>
      </c>
      <c r="F5058" s="5">
        <v>5</v>
      </c>
      <c r="G5058" s="5" t="s">
        <v>26</v>
      </c>
      <c r="H5058" s="5">
        <v>2811906</v>
      </c>
      <c r="I5058" s="5">
        <v>2376128.59</v>
      </c>
      <c r="J5058" s="5">
        <v>39</v>
      </c>
      <c r="K5058" s="5">
        <v>252117</v>
      </c>
      <c r="L5058" s="5">
        <v>3041930</v>
      </c>
      <c r="M5058" s="5">
        <v>435777.41</v>
      </c>
      <c r="N5058" s="5">
        <v>0.155</v>
      </c>
      <c r="O5058" s="5">
        <v>3</v>
      </c>
      <c r="P5058" s="5">
        <v>387647</v>
      </c>
    </row>
    <row r="5059" spans="1:16" x14ac:dyDescent="0.3">
      <c r="A5059" s="5">
        <v>39</v>
      </c>
      <c r="B5059" s="5" t="s">
        <v>168</v>
      </c>
      <c r="C5059" s="5">
        <v>8</v>
      </c>
      <c r="D5059" s="5" t="s">
        <v>82</v>
      </c>
      <c r="E5059" s="5">
        <v>2021</v>
      </c>
      <c r="F5059" s="5">
        <v>6</v>
      </c>
      <c r="G5059" s="5" t="s">
        <v>27</v>
      </c>
      <c r="H5059" s="5">
        <v>1477164</v>
      </c>
      <c r="I5059" s="5">
        <v>1234600.2</v>
      </c>
      <c r="J5059" s="5">
        <v>15</v>
      </c>
      <c r="K5059" s="5">
        <v>108842</v>
      </c>
      <c r="L5059" s="5">
        <v>1582230</v>
      </c>
      <c r="M5059" s="5">
        <v>242563.8</v>
      </c>
      <c r="N5059" s="5">
        <v>0.16420000000000001</v>
      </c>
      <c r="O5059" s="5">
        <v>1</v>
      </c>
      <c r="P5059" s="5">
        <v>14554</v>
      </c>
    </row>
    <row r="5060" spans="1:16" x14ac:dyDescent="0.3">
      <c r="A5060" s="5">
        <v>88</v>
      </c>
      <c r="B5060" s="5" t="s">
        <v>168</v>
      </c>
      <c r="C5060" s="5">
        <v>8</v>
      </c>
      <c r="D5060" s="5" t="s">
        <v>82</v>
      </c>
      <c r="E5060" s="5">
        <v>2021</v>
      </c>
      <c r="F5060" s="5">
        <v>6</v>
      </c>
      <c r="G5060" s="5" t="s">
        <v>27</v>
      </c>
      <c r="H5060" s="5">
        <v>1090581</v>
      </c>
      <c r="I5060" s="5">
        <v>975638.09</v>
      </c>
      <c r="J5060" s="5">
        <v>17</v>
      </c>
      <c r="K5060" s="5">
        <v>160334</v>
      </c>
      <c r="L5060" s="5">
        <v>1245810</v>
      </c>
      <c r="M5060" s="5">
        <v>114942.91</v>
      </c>
      <c r="N5060" s="5">
        <v>0.10539999999999999</v>
      </c>
      <c r="O5060" s="5">
        <v>0</v>
      </c>
      <c r="P5060" s="5">
        <v>0</v>
      </c>
    </row>
    <row r="5061" spans="1:16" x14ac:dyDescent="0.3">
      <c r="A5061" s="5">
        <v>104</v>
      </c>
      <c r="B5061" s="5" t="s">
        <v>168</v>
      </c>
      <c r="C5061" s="5">
        <v>8</v>
      </c>
      <c r="D5061" s="5" t="s">
        <v>82</v>
      </c>
      <c r="E5061" s="5">
        <v>2021</v>
      </c>
      <c r="F5061" s="5">
        <v>6</v>
      </c>
      <c r="G5061" s="5" t="s">
        <v>27</v>
      </c>
      <c r="H5061" s="5">
        <v>2407440</v>
      </c>
      <c r="I5061" s="5">
        <v>2114265.7799999998</v>
      </c>
      <c r="J5061" s="5">
        <v>43</v>
      </c>
      <c r="K5061" s="5">
        <v>366579</v>
      </c>
      <c r="L5061" s="5">
        <v>2771240</v>
      </c>
      <c r="M5061" s="5">
        <v>293174.21999999997</v>
      </c>
      <c r="N5061" s="5">
        <v>0.12180000000000001</v>
      </c>
      <c r="O5061" s="5">
        <v>1</v>
      </c>
      <c r="P5061" s="5">
        <v>14886</v>
      </c>
    </row>
    <row r="5062" spans="1:16" x14ac:dyDescent="0.3">
      <c r="A5062" s="5">
        <v>39</v>
      </c>
      <c r="B5062" s="5" t="s">
        <v>168</v>
      </c>
      <c r="C5062" s="5">
        <v>8</v>
      </c>
      <c r="D5062" s="5" t="s">
        <v>82</v>
      </c>
      <c r="E5062" s="5">
        <v>2021</v>
      </c>
      <c r="F5062" s="5">
        <v>7</v>
      </c>
      <c r="G5062" s="5" t="s">
        <v>28</v>
      </c>
      <c r="H5062" s="5">
        <v>785898</v>
      </c>
      <c r="I5062" s="5">
        <v>659763.35</v>
      </c>
      <c r="J5062" s="5">
        <v>7</v>
      </c>
      <c r="K5062" s="5">
        <v>58467</v>
      </c>
      <c r="L5062" s="5">
        <v>837520</v>
      </c>
      <c r="M5062" s="5">
        <v>126134.65</v>
      </c>
      <c r="N5062" s="5">
        <v>0.1605</v>
      </c>
      <c r="O5062" s="5">
        <v>1</v>
      </c>
      <c r="P5062" s="5">
        <v>3924</v>
      </c>
    </row>
    <row r="5063" spans="1:16" x14ac:dyDescent="0.3">
      <c r="A5063" s="5">
        <v>88</v>
      </c>
      <c r="B5063" s="5" t="s">
        <v>168</v>
      </c>
      <c r="C5063" s="5">
        <v>8</v>
      </c>
      <c r="D5063" s="5" t="s">
        <v>82</v>
      </c>
      <c r="E5063" s="5">
        <v>2021</v>
      </c>
      <c r="F5063" s="5">
        <v>7</v>
      </c>
      <c r="G5063" s="5" t="s">
        <v>28</v>
      </c>
      <c r="H5063" s="5">
        <v>828218</v>
      </c>
      <c r="I5063" s="5">
        <v>762452.58</v>
      </c>
      <c r="J5063" s="5">
        <v>13</v>
      </c>
      <c r="K5063" s="5">
        <v>141334</v>
      </c>
      <c r="L5063" s="5">
        <v>968560</v>
      </c>
      <c r="M5063" s="5">
        <v>65765.42</v>
      </c>
      <c r="N5063" s="5">
        <v>7.9399999999999998E-2</v>
      </c>
      <c r="O5063" s="5">
        <v>0</v>
      </c>
      <c r="P5063" s="5">
        <v>0</v>
      </c>
    </row>
    <row r="5064" spans="1:16" x14ac:dyDescent="0.3">
      <c r="A5064" s="5">
        <v>104</v>
      </c>
      <c r="B5064" s="5" t="s">
        <v>168</v>
      </c>
      <c r="C5064" s="5">
        <v>8</v>
      </c>
      <c r="D5064" s="5" t="s">
        <v>82</v>
      </c>
      <c r="E5064" s="5">
        <v>2021</v>
      </c>
      <c r="F5064" s="5">
        <v>7</v>
      </c>
      <c r="G5064" s="5" t="s">
        <v>28</v>
      </c>
      <c r="H5064" s="5">
        <v>2848911</v>
      </c>
      <c r="I5064" s="5">
        <v>2430808.12</v>
      </c>
      <c r="J5064" s="5">
        <v>41</v>
      </c>
      <c r="K5064" s="5">
        <v>290610</v>
      </c>
      <c r="L5064" s="5">
        <v>3131710</v>
      </c>
      <c r="M5064" s="5">
        <v>418102.88</v>
      </c>
      <c r="N5064" s="5">
        <v>0.14680000000000001</v>
      </c>
      <c r="O5064" s="5">
        <v>2</v>
      </c>
      <c r="P5064" s="5">
        <v>7629</v>
      </c>
    </row>
    <row r="5065" spans="1:16" x14ac:dyDescent="0.3">
      <c r="A5065" s="5">
        <v>39</v>
      </c>
      <c r="B5065" s="5" t="s">
        <v>168</v>
      </c>
      <c r="C5065" s="5">
        <v>8</v>
      </c>
      <c r="D5065" s="5" t="s">
        <v>82</v>
      </c>
      <c r="E5065" s="5">
        <v>2021</v>
      </c>
      <c r="F5065" s="5">
        <v>8</v>
      </c>
      <c r="G5065" s="5" t="s">
        <v>29</v>
      </c>
      <c r="H5065" s="5">
        <v>957151</v>
      </c>
      <c r="I5065" s="5">
        <v>793045.4</v>
      </c>
      <c r="J5065" s="5">
        <v>13</v>
      </c>
      <c r="K5065" s="5">
        <v>85329</v>
      </c>
      <c r="L5065" s="5">
        <v>1040800</v>
      </c>
      <c r="M5065" s="5">
        <v>164105.60000000001</v>
      </c>
      <c r="N5065" s="5">
        <v>0.17150000000000001</v>
      </c>
      <c r="O5065" s="5">
        <v>1</v>
      </c>
      <c r="P5065" s="5">
        <v>42681</v>
      </c>
    </row>
    <row r="5066" spans="1:16" x14ac:dyDescent="0.3">
      <c r="A5066" s="5">
        <v>88</v>
      </c>
      <c r="B5066" s="5" t="s">
        <v>168</v>
      </c>
      <c r="C5066" s="5">
        <v>8</v>
      </c>
      <c r="D5066" s="5" t="s">
        <v>82</v>
      </c>
      <c r="E5066" s="5">
        <v>2021</v>
      </c>
      <c r="F5066" s="5">
        <v>8</v>
      </c>
      <c r="G5066" s="5" t="s">
        <v>29</v>
      </c>
      <c r="H5066" s="5">
        <v>406183</v>
      </c>
      <c r="I5066" s="5">
        <v>332300.56</v>
      </c>
      <c r="J5066" s="5">
        <v>10</v>
      </c>
      <c r="K5066" s="5">
        <v>33479</v>
      </c>
      <c r="L5066" s="5">
        <v>438920</v>
      </c>
      <c r="M5066" s="5">
        <v>73882.44</v>
      </c>
      <c r="N5066" s="5">
        <v>0.18190000000000001</v>
      </c>
      <c r="O5066" s="5">
        <v>0</v>
      </c>
      <c r="P5066" s="5">
        <v>0</v>
      </c>
    </row>
    <row r="5067" spans="1:16" x14ac:dyDescent="0.3">
      <c r="A5067" s="5">
        <v>104</v>
      </c>
      <c r="B5067" s="5" t="s">
        <v>168</v>
      </c>
      <c r="C5067" s="5">
        <v>8</v>
      </c>
      <c r="D5067" s="5" t="s">
        <v>82</v>
      </c>
      <c r="E5067" s="5">
        <v>2021</v>
      </c>
      <c r="F5067" s="5">
        <v>8</v>
      </c>
      <c r="G5067" s="5" t="s">
        <v>29</v>
      </c>
      <c r="H5067" s="5">
        <v>4955463</v>
      </c>
      <c r="I5067" s="5">
        <v>4294306.37</v>
      </c>
      <c r="J5067" s="5">
        <v>48</v>
      </c>
      <c r="K5067" s="5">
        <v>449599</v>
      </c>
      <c r="L5067" s="5">
        <v>5400270</v>
      </c>
      <c r="M5067" s="5">
        <v>661156.63</v>
      </c>
      <c r="N5067" s="5">
        <v>0.13339999999999999</v>
      </c>
      <c r="O5067" s="5">
        <v>5</v>
      </c>
      <c r="P5067" s="5">
        <v>375419</v>
      </c>
    </row>
    <row r="5068" spans="1:16" x14ac:dyDescent="0.3">
      <c r="A5068" s="5">
        <v>39</v>
      </c>
      <c r="B5068" s="5" t="s">
        <v>168</v>
      </c>
      <c r="C5068" s="5">
        <v>8</v>
      </c>
      <c r="D5068" s="5" t="s">
        <v>82</v>
      </c>
      <c r="E5068" s="5">
        <v>2021</v>
      </c>
      <c r="F5068" s="5">
        <v>9</v>
      </c>
      <c r="G5068" s="5" t="s">
        <v>30</v>
      </c>
      <c r="H5068" s="5">
        <v>1511213</v>
      </c>
      <c r="I5068" s="5">
        <v>1280591.6399999999</v>
      </c>
      <c r="J5068" s="5">
        <v>23</v>
      </c>
      <c r="K5068" s="5">
        <v>136690</v>
      </c>
      <c r="L5068" s="5">
        <v>1639430</v>
      </c>
      <c r="M5068" s="5">
        <v>230621.36</v>
      </c>
      <c r="N5068" s="5">
        <v>0.15260000000000001</v>
      </c>
      <c r="O5068" s="5">
        <v>1</v>
      </c>
      <c r="P5068" s="5">
        <v>63870</v>
      </c>
    </row>
    <row r="5069" spans="1:16" x14ac:dyDescent="0.3">
      <c r="A5069" s="5">
        <v>88</v>
      </c>
      <c r="B5069" s="5" t="s">
        <v>168</v>
      </c>
      <c r="C5069" s="5">
        <v>8</v>
      </c>
      <c r="D5069" s="5" t="s">
        <v>82</v>
      </c>
      <c r="E5069" s="5">
        <v>2021</v>
      </c>
      <c r="F5069" s="5">
        <v>9</v>
      </c>
      <c r="G5069" s="5" t="s">
        <v>30</v>
      </c>
      <c r="H5069" s="5">
        <v>441130</v>
      </c>
      <c r="I5069" s="5">
        <v>394047.69</v>
      </c>
      <c r="J5069" s="5">
        <v>10</v>
      </c>
      <c r="K5069" s="5">
        <v>57145</v>
      </c>
      <c r="L5069" s="5">
        <v>495700</v>
      </c>
      <c r="M5069" s="5">
        <v>47082.31</v>
      </c>
      <c r="N5069" s="5">
        <v>0.1067</v>
      </c>
      <c r="O5069" s="5">
        <v>1</v>
      </c>
      <c r="P5069" s="5">
        <v>30564</v>
      </c>
    </row>
    <row r="5070" spans="1:16" x14ac:dyDescent="0.3">
      <c r="A5070" s="5">
        <v>104</v>
      </c>
      <c r="B5070" s="5" t="s">
        <v>168</v>
      </c>
      <c r="C5070" s="5">
        <v>8</v>
      </c>
      <c r="D5070" s="5" t="s">
        <v>82</v>
      </c>
      <c r="E5070" s="5">
        <v>2021</v>
      </c>
      <c r="F5070" s="5">
        <v>9</v>
      </c>
      <c r="G5070" s="5" t="s">
        <v>30</v>
      </c>
      <c r="H5070" s="5">
        <v>3279881</v>
      </c>
      <c r="I5070" s="5">
        <v>2840609.96</v>
      </c>
      <c r="J5070" s="5">
        <v>42</v>
      </c>
      <c r="K5070" s="5">
        <v>371142</v>
      </c>
      <c r="L5070" s="5">
        <v>3643920</v>
      </c>
      <c r="M5070" s="5">
        <v>439271.04</v>
      </c>
      <c r="N5070" s="5">
        <v>0.13389999999999999</v>
      </c>
      <c r="O5070" s="5">
        <v>1</v>
      </c>
      <c r="P5070" s="5">
        <v>6866</v>
      </c>
    </row>
    <row r="5071" spans="1:16" x14ac:dyDescent="0.3">
      <c r="A5071" s="5">
        <v>39</v>
      </c>
      <c r="B5071" s="5" t="s">
        <v>168</v>
      </c>
      <c r="C5071" s="5">
        <v>8</v>
      </c>
      <c r="D5071" s="5" t="s">
        <v>82</v>
      </c>
      <c r="E5071" s="5">
        <v>2021</v>
      </c>
      <c r="F5071" s="5">
        <v>10</v>
      </c>
      <c r="G5071" s="5" t="s">
        <v>31</v>
      </c>
      <c r="H5071" s="5">
        <v>1251438</v>
      </c>
      <c r="I5071" s="5">
        <v>990662.7</v>
      </c>
      <c r="J5071" s="5">
        <v>18</v>
      </c>
      <c r="K5071" s="5">
        <v>59846</v>
      </c>
      <c r="L5071" s="5">
        <v>1302550</v>
      </c>
      <c r="M5071" s="5">
        <v>260775.3</v>
      </c>
      <c r="N5071" s="5">
        <v>0.2084</v>
      </c>
      <c r="O5071" s="5">
        <v>5</v>
      </c>
      <c r="P5071" s="5">
        <v>58119</v>
      </c>
    </row>
    <row r="5072" spans="1:16" x14ac:dyDescent="0.3">
      <c r="A5072" s="5">
        <v>88</v>
      </c>
      <c r="B5072" s="5" t="s">
        <v>168</v>
      </c>
      <c r="C5072" s="5">
        <v>8</v>
      </c>
      <c r="D5072" s="5" t="s">
        <v>82</v>
      </c>
      <c r="E5072" s="5">
        <v>2021</v>
      </c>
      <c r="F5072" s="5">
        <v>10</v>
      </c>
      <c r="G5072" s="5" t="s">
        <v>31</v>
      </c>
      <c r="H5072" s="5">
        <v>2085095</v>
      </c>
      <c r="I5072" s="5">
        <v>1818934.53</v>
      </c>
      <c r="J5072" s="5">
        <v>21</v>
      </c>
      <c r="K5072" s="5">
        <v>215447</v>
      </c>
      <c r="L5072" s="5">
        <v>2296260</v>
      </c>
      <c r="M5072" s="5">
        <v>266160.46999999997</v>
      </c>
      <c r="N5072" s="5">
        <v>0.12759999999999999</v>
      </c>
      <c r="O5072" s="5">
        <v>2</v>
      </c>
      <c r="P5072" s="5">
        <v>120244</v>
      </c>
    </row>
    <row r="5073" spans="1:16" x14ac:dyDescent="0.3">
      <c r="A5073" s="5">
        <v>104</v>
      </c>
      <c r="B5073" s="5" t="s">
        <v>168</v>
      </c>
      <c r="C5073" s="5">
        <v>8</v>
      </c>
      <c r="D5073" s="5" t="s">
        <v>82</v>
      </c>
      <c r="E5073" s="5">
        <v>2021</v>
      </c>
      <c r="F5073" s="5">
        <v>10</v>
      </c>
      <c r="G5073" s="5" t="s">
        <v>31</v>
      </c>
      <c r="H5073" s="5">
        <v>3273580</v>
      </c>
      <c r="I5073" s="5">
        <v>2685836.2</v>
      </c>
      <c r="J5073" s="5">
        <v>60</v>
      </c>
      <c r="K5073" s="5">
        <v>257717</v>
      </c>
      <c r="L5073" s="5">
        <v>3514100</v>
      </c>
      <c r="M5073" s="5">
        <v>587743.80000000005</v>
      </c>
      <c r="N5073" s="5">
        <v>0.17949999999999999</v>
      </c>
      <c r="O5073" s="5">
        <v>5</v>
      </c>
      <c r="P5073" s="5">
        <v>53796</v>
      </c>
    </row>
    <row r="5074" spans="1:16" x14ac:dyDescent="0.3">
      <c r="A5074" s="5">
        <v>39</v>
      </c>
      <c r="B5074" s="5" t="s">
        <v>168</v>
      </c>
      <c r="C5074" s="5">
        <v>8</v>
      </c>
      <c r="D5074" s="5" t="s">
        <v>82</v>
      </c>
      <c r="E5074" s="5">
        <v>2021</v>
      </c>
      <c r="F5074" s="5">
        <v>11</v>
      </c>
      <c r="G5074" s="5" t="s">
        <v>32</v>
      </c>
      <c r="H5074" s="5">
        <v>1733408</v>
      </c>
      <c r="I5074" s="5">
        <v>1450887.26</v>
      </c>
      <c r="J5074" s="5">
        <v>30</v>
      </c>
      <c r="K5074" s="5">
        <v>161825</v>
      </c>
      <c r="L5074" s="5">
        <v>1894020</v>
      </c>
      <c r="M5074" s="5">
        <v>282520.74</v>
      </c>
      <c r="N5074" s="5">
        <v>0.16300000000000001</v>
      </c>
      <c r="O5074" s="5">
        <v>6</v>
      </c>
      <c r="P5074" s="5">
        <v>242955</v>
      </c>
    </row>
    <row r="5075" spans="1:16" x14ac:dyDescent="0.3">
      <c r="A5075" s="5">
        <v>88</v>
      </c>
      <c r="B5075" s="5" t="s">
        <v>168</v>
      </c>
      <c r="C5075" s="5">
        <v>8</v>
      </c>
      <c r="D5075" s="5" t="s">
        <v>82</v>
      </c>
      <c r="E5075" s="5">
        <v>2021</v>
      </c>
      <c r="F5075" s="5">
        <v>11</v>
      </c>
      <c r="G5075" s="5" t="s">
        <v>32</v>
      </c>
      <c r="H5075" s="5">
        <v>1575587</v>
      </c>
      <c r="I5075" s="5">
        <v>1272733.93</v>
      </c>
      <c r="J5075" s="5">
        <v>21</v>
      </c>
      <c r="K5075" s="5">
        <v>107751</v>
      </c>
      <c r="L5075" s="5">
        <v>1681860</v>
      </c>
      <c r="M5075" s="5">
        <v>302853.07</v>
      </c>
      <c r="N5075" s="5">
        <v>0.19220000000000001</v>
      </c>
      <c r="O5075" s="5">
        <v>1</v>
      </c>
      <c r="P5075" s="5">
        <v>14713</v>
      </c>
    </row>
    <row r="5076" spans="1:16" x14ac:dyDescent="0.3">
      <c r="A5076" s="5">
        <v>104</v>
      </c>
      <c r="B5076" s="5" t="s">
        <v>168</v>
      </c>
      <c r="C5076" s="5">
        <v>8</v>
      </c>
      <c r="D5076" s="5" t="s">
        <v>82</v>
      </c>
      <c r="E5076" s="5">
        <v>2021</v>
      </c>
      <c r="F5076" s="5">
        <v>11</v>
      </c>
      <c r="G5076" s="5" t="s">
        <v>32</v>
      </c>
      <c r="H5076" s="5">
        <v>4842887</v>
      </c>
      <c r="I5076" s="5">
        <v>3970032.45</v>
      </c>
      <c r="J5076" s="5">
        <v>61</v>
      </c>
      <c r="K5076" s="5">
        <v>299997</v>
      </c>
      <c r="L5076" s="5">
        <v>5129670</v>
      </c>
      <c r="M5076" s="5">
        <v>872854.55</v>
      </c>
      <c r="N5076" s="5">
        <v>0.1802</v>
      </c>
      <c r="O5076" s="5">
        <v>7</v>
      </c>
      <c r="P5076" s="5">
        <v>223935</v>
      </c>
    </row>
    <row r="5077" spans="1:16" x14ac:dyDescent="0.3">
      <c r="A5077" s="5">
        <v>39</v>
      </c>
      <c r="B5077" s="5" t="s">
        <v>168</v>
      </c>
      <c r="C5077" s="5">
        <v>8</v>
      </c>
      <c r="D5077" s="5" t="s">
        <v>82</v>
      </c>
      <c r="E5077" s="5">
        <v>2021</v>
      </c>
      <c r="F5077" s="5">
        <v>12</v>
      </c>
      <c r="G5077" s="5" t="s">
        <v>33</v>
      </c>
      <c r="H5077" s="5">
        <v>986729</v>
      </c>
      <c r="I5077" s="5">
        <v>867587.12</v>
      </c>
      <c r="J5077" s="5">
        <v>28</v>
      </c>
      <c r="K5077" s="5">
        <v>138567</v>
      </c>
      <c r="L5077" s="5">
        <v>1122870</v>
      </c>
      <c r="M5077" s="5">
        <v>119141.88</v>
      </c>
      <c r="N5077" s="5">
        <v>0.1207</v>
      </c>
      <c r="O5077" s="5">
        <v>2</v>
      </c>
      <c r="P5077" s="5">
        <v>78724</v>
      </c>
    </row>
    <row r="5078" spans="1:16" x14ac:dyDescent="0.3">
      <c r="A5078" s="5">
        <v>88</v>
      </c>
      <c r="B5078" s="5" t="s">
        <v>168</v>
      </c>
      <c r="C5078" s="5">
        <v>8</v>
      </c>
      <c r="D5078" s="5" t="s">
        <v>82</v>
      </c>
      <c r="E5078" s="5">
        <v>2021</v>
      </c>
      <c r="F5078" s="5">
        <v>12</v>
      </c>
      <c r="G5078" s="5" t="s">
        <v>33</v>
      </c>
      <c r="H5078" s="5">
        <v>2263496</v>
      </c>
      <c r="I5078" s="5">
        <v>1911755.12</v>
      </c>
      <c r="J5078" s="5">
        <v>22</v>
      </c>
      <c r="K5078" s="5">
        <v>160047</v>
      </c>
      <c r="L5078" s="5">
        <v>2414530</v>
      </c>
      <c r="M5078" s="5">
        <v>351740.88</v>
      </c>
      <c r="N5078" s="5">
        <v>0.15540000000000001</v>
      </c>
      <c r="O5078" s="5">
        <v>6</v>
      </c>
      <c r="P5078" s="5">
        <v>366721</v>
      </c>
    </row>
    <row r="5079" spans="1:16" x14ac:dyDescent="0.3">
      <c r="A5079" s="5">
        <v>104</v>
      </c>
      <c r="B5079" s="5" t="s">
        <v>168</v>
      </c>
      <c r="C5079" s="5">
        <v>8</v>
      </c>
      <c r="D5079" s="5" t="s">
        <v>82</v>
      </c>
      <c r="E5079" s="5">
        <v>2021</v>
      </c>
      <c r="F5079" s="5">
        <v>12</v>
      </c>
      <c r="G5079" s="5" t="s">
        <v>33</v>
      </c>
      <c r="H5079" s="5">
        <v>2645354</v>
      </c>
      <c r="I5079" s="5">
        <v>2269473.67</v>
      </c>
      <c r="J5079" s="5">
        <v>47</v>
      </c>
      <c r="K5079" s="5">
        <v>289631</v>
      </c>
      <c r="L5079" s="5">
        <v>2925100</v>
      </c>
      <c r="M5079" s="5">
        <v>375880.33</v>
      </c>
      <c r="N5079" s="5">
        <v>0.1421</v>
      </c>
      <c r="O5079" s="5">
        <v>4</v>
      </c>
      <c r="P5079" s="5">
        <v>115740</v>
      </c>
    </row>
    <row r="5080" spans="1:16" x14ac:dyDescent="0.3">
      <c r="A5080" s="5">
        <v>39</v>
      </c>
      <c r="B5080" s="5" t="s">
        <v>168</v>
      </c>
      <c r="C5080" s="5">
        <v>8</v>
      </c>
      <c r="D5080" s="5" t="s">
        <v>82</v>
      </c>
      <c r="E5080" s="5">
        <v>2022</v>
      </c>
      <c r="F5080" s="5">
        <v>1</v>
      </c>
      <c r="G5080" s="5" t="s">
        <v>34</v>
      </c>
      <c r="H5080" s="5">
        <v>1190117</v>
      </c>
      <c r="I5080" s="5">
        <v>973328.71</v>
      </c>
      <c r="J5080" s="5">
        <v>21</v>
      </c>
      <c r="K5080" s="5">
        <v>48036</v>
      </c>
      <c r="L5080" s="5">
        <v>1236980</v>
      </c>
      <c r="M5080" s="5">
        <v>216788.29</v>
      </c>
      <c r="N5080" s="5">
        <v>0.1822</v>
      </c>
      <c r="O5080" s="5">
        <v>2</v>
      </c>
      <c r="P5080" s="5">
        <v>21030</v>
      </c>
    </row>
    <row r="5081" spans="1:16" x14ac:dyDescent="0.3">
      <c r="A5081" s="5">
        <v>88</v>
      </c>
      <c r="B5081" s="5" t="s">
        <v>168</v>
      </c>
      <c r="C5081" s="5">
        <v>8</v>
      </c>
      <c r="D5081" s="5" t="s">
        <v>82</v>
      </c>
      <c r="E5081" s="5">
        <v>2022</v>
      </c>
      <c r="F5081" s="5">
        <v>1</v>
      </c>
      <c r="G5081" s="5" t="s">
        <v>34</v>
      </c>
      <c r="H5081" s="5">
        <v>1771375</v>
      </c>
      <c r="I5081" s="5">
        <v>1463536.96</v>
      </c>
      <c r="J5081" s="5">
        <v>17</v>
      </c>
      <c r="K5081" s="5">
        <v>98596</v>
      </c>
      <c r="L5081" s="5">
        <v>1864230</v>
      </c>
      <c r="M5081" s="5">
        <v>307838.03999999998</v>
      </c>
      <c r="N5081" s="5">
        <v>0.17380000000000001</v>
      </c>
      <c r="O5081" s="5">
        <v>2</v>
      </c>
      <c r="P5081" s="5">
        <v>65901</v>
      </c>
    </row>
    <row r="5082" spans="1:16" x14ac:dyDescent="0.3">
      <c r="A5082" s="5">
        <v>104</v>
      </c>
      <c r="B5082" s="5" t="s">
        <v>168</v>
      </c>
      <c r="C5082" s="5">
        <v>8</v>
      </c>
      <c r="D5082" s="5" t="s">
        <v>82</v>
      </c>
      <c r="E5082" s="5">
        <v>2022</v>
      </c>
      <c r="F5082" s="5">
        <v>1</v>
      </c>
      <c r="G5082" s="5" t="s">
        <v>34</v>
      </c>
      <c r="H5082" s="5">
        <v>2750207</v>
      </c>
      <c r="I5082" s="5">
        <v>2330941.7200000002</v>
      </c>
      <c r="J5082" s="5">
        <v>48</v>
      </c>
      <c r="K5082" s="5">
        <v>260750</v>
      </c>
      <c r="L5082" s="5">
        <v>3000020</v>
      </c>
      <c r="M5082" s="5">
        <v>419265.28000000003</v>
      </c>
      <c r="N5082" s="5">
        <v>0.15240000000000001</v>
      </c>
      <c r="O5082" s="5">
        <v>3</v>
      </c>
      <c r="P5082" s="5">
        <v>21917</v>
      </c>
    </row>
    <row r="5083" spans="1:16" x14ac:dyDescent="0.3">
      <c r="A5083" s="5">
        <v>39</v>
      </c>
      <c r="B5083" s="5" t="s">
        <v>168</v>
      </c>
      <c r="C5083" s="5">
        <v>8</v>
      </c>
      <c r="D5083" s="5" t="s">
        <v>82</v>
      </c>
      <c r="E5083" s="5">
        <v>2022</v>
      </c>
      <c r="F5083" s="5">
        <v>2</v>
      </c>
      <c r="G5083" s="5" t="s">
        <v>35</v>
      </c>
      <c r="H5083" s="5">
        <v>723890</v>
      </c>
      <c r="I5083" s="5">
        <v>574409.93000000005</v>
      </c>
      <c r="J5083" s="5">
        <v>11</v>
      </c>
      <c r="K5083" s="5">
        <v>24964</v>
      </c>
      <c r="L5083" s="5">
        <v>745400</v>
      </c>
      <c r="M5083" s="5">
        <v>149480.07</v>
      </c>
      <c r="N5083" s="5">
        <v>0.20649999999999999</v>
      </c>
      <c r="O5083" s="5">
        <v>2</v>
      </c>
      <c r="P5083" s="5">
        <v>322369</v>
      </c>
    </row>
    <row r="5084" spans="1:16" x14ac:dyDescent="0.3">
      <c r="A5084" s="5">
        <v>88</v>
      </c>
      <c r="B5084" s="5" t="s">
        <v>168</v>
      </c>
      <c r="C5084" s="5">
        <v>8</v>
      </c>
      <c r="D5084" s="5" t="s">
        <v>82</v>
      </c>
      <c r="E5084" s="5">
        <v>2022</v>
      </c>
      <c r="F5084" s="5">
        <v>2</v>
      </c>
      <c r="G5084" s="5" t="s">
        <v>35</v>
      </c>
      <c r="H5084" s="5">
        <v>953513</v>
      </c>
      <c r="I5084" s="5">
        <v>731569.84</v>
      </c>
      <c r="J5084" s="5">
        <v>16</v>
      </c>
      <c r="K5084" s="5">
        <v>47039</v>
      </c>
      <c r="L5084" s="5">
        <v>996090</v>
      </c>
      <c r="M5084" s="5">
        <v>221943.16</v>
      </c>
      <c r="N5084" s="5">
        <v>0.23280000000000001</v>
      </c>
      <c r="O5084" s="5">
        <v>2</v>
      </c>
      <c r="P5084" s="5">
        <v>1740</v>
      </c>
    </row>
    <row r="5085" spans="1:16" x14ac:dyDescent="0.3">
      <c r="A5085" s="5">
        <v>104</v>
      </c>
      <c r="B5085" s="5" t="s">
        <v>168</v>
      </c>
      <c r="C5085" s="5">
        <v>8</v>
      </c>
      <c r="D5085" s="5" t="s">
        <v>82</v>
      </c>
      <c r="E5085" s="5">
        <v>2022</v>
      </c>
      <c r="F5085" s="5">
        <v>2</v>
      </c>
      <c r="G5085" s="5" t="s">
        <v>35</v>
      </c>
      <c r="H5085" s="5">
        <v>2193696</v>
      </c>
      <c r="I5085" s="5">
        <v>1869719.9</v>
      </c>
      <c r="J5085" s="5">
        <v>43</v>
      </c>
      <c r="K5085" s="5">
        <v>229747</v>
      </c>
      <c r="L5085" s="5">
        <v>2414940</v>
      </c>
      <c r="M5085" s="5">
        <v>323976.09999999998</v>
      </c>
      <c r="N5085" s="5">
        <v>0.1477</v>
      </c>
      <c r="O5085" s="5">
        <v>5</v>
      </c>
      <c r="P5085" s="5">
        <v>39808</v>
      </c>
    </row>
    <row r="5086" spans="1:16" x14ac:dyDescent="0.3">
      <c r="A5086" s="5">
        <v>39</v>
      </c>
      <c r="B5086" s="5" t="s">
        <v>168</v>
      </c>
      <c r="C5086" s="5">
        <v>8</v>
      </c>
      <c r="D5086" s="5" t="s">
        <v>82</v>
      </c>
      <c r="E5086" s="5">
        <v>2022</v>
      </c>
      <c r="F5086" s="5">
        <v>3</v>
      </c>
      <c r="G5086" s="5" t="s">
        <v>36</v>
      </c>
      <c r="H5086" s="5">
        <v>1110716</v>
      </c>
      <c r="I5086" s="5">
        <v>919239.03</v>
      </c>
      <c r="J5086" s="5">
        <v>20</v>
      </c>
      <c r="K5086" s="5">
        <v>85312</v>
      </c>
      <c r="L5086" s="5">
        <v>1193470</v>
      </c>
      <c r="M5086" s="5">
        <v>191476.97</v>
      </c>
      <c r="N5086" s="5">
        <v>0.1724</v>
      </c>
      <c r="O5086" s="5">
        <v>2</v>
      </c>
      <c r="P5086" s="5">
        <v>42250</v>
      </c>
    </row>
    <row r="5087" spans="1:16" x14ac:dyDescent="0.3">
      <c r="A5087" s="5">
        <v>88</v>
      </c>
      <c r="B5087" s="5" t="s">
        <v>168</v>
      </c>
      <c r="C5087" s="5">
        <v>8</v>
      </c>
      <c r="D5087" s="5" t="s">
        <v>82</v>
      </c>
      <c r="E5087" s="5">
        <v>2022</v>
      </c>
      <c r="F5087" s="5">
        <v>3</v>
      </c>
      <c r="G5087" s="5" t="s">
        <v>36</v>
      </c>
      <c r="H5087" s="5">
        <v>1079998</v>
      </c>
      <c r="I5087" s="5">
        <v>1087321.07</v>
      </c>
      <c r="J5087" s="5">
        <v>17</v>
      </c>
      <c r="K5087" s="5">
        <v>280932</v>
      </c>
      <c r="L5087" s="5">
        <v>1355540</v>
      </c>
      <c r="M5087" s="5">
        <v>-7323.07</v>
      </c>
      <c r="N5087" s="5">
        <v>-6.7999999999999996E-3</v>
      </c>
      <c r="O5087" s="5">
        <v>0</v>
      </c>
      <c r="P5087" s="5">
        <v>0</v>
      </c>
    </row>
    <row r="5088" spans="1:16" x14ac:dyDescent="0.3">
      <c r="A5088" s="5">
        <v>104</v>
      </c>
      <c r="B5088" s="5" t="s">
        <v>168</v>
      </c>
      <c r="C5088" s="5">
        <v>8</v>
      </c>
      <c r="D5088" s="5" t="s">
        <v>82</v>
      </c>
      <c r="E5088" s="5">
        <v>2022</v>
      </c>
      <c r="F5088" s="5">
        <v>3</v>
      </c>
      <c r="G5088" s="5" t="s">
        <v>36</v>
      </c>
      <c r="H5088" s="5">
        <v>3172279</v>
      </c>
      <c r="I5088" s="5">
        <v>2678812.7599999998</v>
      </c>
      <c r="J5088" s="5">
        <v>52</v>
      </c>
      <c r="K5088" s="5">
        <v>338328</v>
      </c>
      <c r="L5088" s="5">
        <v>3494950</v>
      </c>
      <c r="M5088" s="5">
        <v>493466.24</v>
      </c>
      <c r="N5088" s="5">
        <v>0.15559999999999999</v>
      </c>
      <c r="O5088" s="5">
        <v>5</v>
      </c>
      <c r="P5088" s="5">
        <v>137341</v>
      </c>
    </row>
    <row r="5089" spans="1:16" x14ac:dyDescent="0.3">
      <c r="A5089" s="5">
        <v>39</v>
      </c>
      <c r="B5089" s="5" t="s">
        <v>168</v>
      </c>
      <c r="C5089" s="5">
        <v>8</v>
      </c>
      <c r="D5089" s="5" t="s">
        <v>82</v>
      </c>
      <c r="E5089" s="5">
        <v>2022</v>
      </c>
      <c r="F5089" s="5">
        <v>4</v>
      </c>
      <c r="G5089" s="5" t="s">
        <v>37</v>
      </c>
      <c r="H5089" s="5">
        <v>1403815</v>
      </c>
      <c r="I5089" s="5">
        <v>1263296.55</v>
      </c>
      <c r="J5089" s="5">
        <v>25</v>
      </c>
      <c r="K5089" s="5">
        <v>188606</v>
      </c>
      <c r="L5089" s="5">
        <v>1587740</v>
      </c>
      <c r="M5089" s="5">
        <v>140518.45000000001</v>
      </c>
      <c r="N5089" s="5">
        <v>0.10009999999999999</v>
      </c>
      <c r="O5089" s="5">
        <v>2</v>
      </c>
      <c r="P5089" s="5">
        <v>80045</v>
      </c>
    </row>
    <row r="5090" spans="1:16" x14ac:dyDescent="0.3">
      <c r="A5090" s="5">
        <v>88</v>
      </c>
      <c r="B5090" s="5" t="s">
        <v>168</v>
      </c>
      <c r="C5090" s="5">
        <v>8</v>
      </c>
      <c r="D5090" s="5" t="s">
        <v>82</v>
      </c>
      <c r="E5090" s="5">
        <v>2022</v>
      </c>
      <c r="F5090" s="5">
        <v>4</v>
      </c>
      <c r="G5090" s="5" t="s">
        <v>37</v>
      </c>
      <c r="H5090" s="5">
        <v>1421493</v>
      </c>
      <c r="I5090" s="5">
        <v>1241680.1599999999</v>
      </c>
      <c r="J5090" s="5">
        <v>19</v>
      </c>
      <c r="K5090" s="5">
        <v>212911</v>
      </c>
      <c r="L5090" s="5">
        <v>1631720</v>
      </c>
      <c r="M5090" s="5">
        <v>179812.84</v>
      </c>
      <c r="N5090" s="5">
        <v>0.1265</v>
      </c>
      <c r="O5090" s="5">
        <v>0</v>
      </c>
      <c r="P5090" s="5">
        <v>0</v>
      </c>
    </row>
    <row r="5091" spans="1:16" x14ac:dyDescent="0.3">
      <c r="A5091" s="5">
        <v>104</v>
      </c>
      <c r="B5091" s="5" t="s">
        <v>168</v>
      </c>
      <c r="C5091" s="5">
        <v>8</v>
      </c>
      <c r="D5091" s="5" t="s">
        <v>82</v>
      </c>
      <c r="E5091" s="5">
        <v>2022</v>
      </c>
      <c r="F5091" s="5">
        <v>4</v>
      </c>
      <c r="G5091" s="5" t="s">
        <v>37</v>
      </c>
      <c r="H5091" s="5">
        <v>3549971</v>
      </c>
      <c r="I5091" s="5">
        <v>3180427.87</v>
      </c>
      <c r="J5091" s="5">
        <v>43</v>
      </c>
      <c r="K5091" s="5">
        <v>485510</v>
      </c>
      <c r="L5091" s="5">
        <v>4023530</v>
      </c>
      <c r="M5091" s="5">
        <v>369543.13</v>
      </c>
      <c r="N5091" s="5">
        <v>0.1041</v>
      </c>
      <c r="O5091" s="5">
        <v>1</v>
      </c>
      <c r="P5091" s="5">
        <v>1790</v>
      </c>
    </row>
    <row r="5092" spans="1:16" x14ac:dyDescent="0.3">
      <c r="A5092" s="5">
        <v>39</v>
      </c>
      <c r="B5092" s="5" t="s">
        <v>168</v>
      </c>
      <c r="C5092" s="5">
        <v>8</v>
      </c>
      <c r="D5092" s="5" t="s">
        <v>82</v>
      </c>
      <c r="E5092" s="5">
        <v>2022</v>
      </c>
      <c r="F5092" s="5">
        <v>5</v>
      </c>
      <c r="G5092" s="5" t="s">
        <v>38</v>
      </c>
      <c r="H5092" s="5">
        <v>2624022</v>
      </c>
      <c r="I5092" s="5">
        <v>2404265.83</v>
      </c>
      <c r="J5092" s="5">
        <v>29</v>
      </c>
      <c r="K5092" s="5">
        <v>407586</v>
      </c>
      <c r="L5092" s="5">
        <v>3024130</v>
      </c>
      <c r="M5092" s="5">
        <v>219756.17</v>
      </c>
      <c r="N5092" s="5">
        <v>8.3699999999999997E-2</v>
      </c>
      <c r="O5092" s="5">
        <v>3</v>
      </c>
      <c r="P5092" s="5">
        <v>44288</v>
      </c>
    </row>
    <row r="5093" spans="1:16" x14ac:dyDescent="0.3">
      <c r="A5093" s="5">
        <v>88</v>
      </c>
      <c r="B5093" s="5" t="s">
        <v>168</v>
      </c>
      <c r="C5093" s="5">
        <v>8</v>
      </c>
      <c r="D5093" s="5" t="s">
        <v>82</v>
      </c>
      <c r="E5093" s="5">
        <v>2022</v>
      </c>
      <c r="F5093" s="5">
        <v>5</v>
      </c>
      <c r="G5093" s="5" t="s">
        <v>38</v>
      </c>
      <c r="H5093" s="5">
        <v>1565654</v>
      </c>
      <c r="I5093" s="5">
        <v>1301413.0900000001</v>
      </c>
      <c r="J5093" s="5">
        <v>25</v>
      </c>
      <c r="K5093" s="5">
        <v>141810</v>
      </c>
      <c r="L5093" s="5">
        <v>1701160</v>
      </c>
      <c r="M5093" s="5">
        <v>264240.90999999997</v>
      </c>
      <c r="N5093" s="5">
        <v>0.16880000000000001</v>
      </c>
      <c r="O5093" s="5">
        <v>2</v>
      </c>
      <c r="P5093" s="5">
        <v>15563</v>
      </c>
    </row>
    <row r="5094" spans="1:16" x14ac:dyDescent="0.3">
      <c r="A5094" s="5">
        <v>104</v>
      </c>
      <c r="B5094" s="5" t="s">
        <v>168</v>
      </c>
      <c r="C5094" s="5">
        <v>8</v>
      </c>
      <c r="D5094" s="5" t="s">
        <v>82</v>
      </c>
      <c r="E5094" s="5">
        <v>2022</v>
      </c>
      <c r="F5094" s="5">
        <v>5</v>
      </c>
      <c r="G5094" s="5" t="s">
        <v>38</v>
      </c>
      <c r="H5094" s="5">
        <v>3106641</v>
      </c>
      <c r="I5094" s="5">
        <v>2746501.77</v>
      </c>
      <c r="J5094" s="5">
        <v>43</v>
      </c>
      <c r="K5094" s="5">
        <v>396840</v>
      </c>
      <c r="L5094" s="5">
        <v>3498980</v>
      </c>
      <c r="M5094" s="5">
        <v>360139.23</v>
      </c>
      <c r="N5094" s="5">
        <v>0.1159</v>
      </c>
      <c r="O5094" s="5">
        <v>5</v>
      </c>
      <c r="P5094" s="5">
        <v>121793</v>
      </c>
    </row>
    <row r="5095" spans="1:16" x14ac:dyDescent="0.3">
      <c r="A5095" s="5">
        <v>39</v>
      </c>
      <c r="B5095" s="5" t="s">
        <v>168</v>
      </c>
      <c r="C5095" s="5">
        <v>8</v>
      </c>
      <c r="D5095" s="5" t="s">
        <v>82</v>
      </c>
      <c r="E5095" s="5">
        <v>2022</v>
      </c>
      <c r="F5095" s="5">
        <v>6</v>
      </c>
      <c r="G5095" s="5" t="s">
        <v>39</v>
      </c>
      <c r="H5095" s="5">
        <v>1236556</v>
      </c>
      <c r="I5095" s="5">
        <v>1043818.52</v>
      </c>
      <c r="J5095" s="5">
        <v>22</v>
      </c>
      <c r="K5095" s="5">
        <v>126623</v>
      </c>
      <c r="L5095" s="5">
        <v>1353440</v>
      </c>
      <c r="M5095" s="5">
        <v>192737.48</v>
      </c>
      <c r="N5095" s="5">
        <v>0.15590000000000001</v>
      </c>
      <c r="O5095" s="5">
        <v>3</v>
      </c>
      <c r="P5095" s="5">
        <v>70232</v>
      </c>
    </row>
    <row r="5096" spans="1:16" x14ac:dyDescent="0.3">
      <c r="A5096" s="5">
        <v>88</v>
      </c>
      <c r="B5096" s="5" t="s">
        <v>168</v>
      </c>
      <c r="C5096" s="5">
        <v>8</v>
      </c>
      <c r="D5096" s="5" t="s">
        <v>82</v>
      </c>
      <c r="E5096" s="5">
        <v>2022</v>
      </c>
      <c r="F5096" s="5">
        <v>6</v>
      </c>
      <c r="G5096" s="5" t="s">
        <v>39</v>
      </c>
      <c r="H5096" s="5">
        <v>1081822</v>
      </c>
      <c r="I5096" s="5">
        <v>985830.59</v>
      </c>
      <c r="J5096" s="5">
        <v>18</v>
      </c>
      <c r="K5096" s="5">
        <v>164319</v>
      </c>
      <c r="L5096" s="5">
        <v>1244130</v>
      </c>
      <c r="M5096" s="5">
        <v>95991.41</v>
      </c>
      <c r="N5096" s="5">
        <v>8.8700000000000001E-2</v>
      </c>
      <c r="O5096" s="5">
        <v>1</v>
      </c>
      <c r="P5096" s="5">
        <v>45330</v>
      </c>
    </row>
    <row r="5097" spans="1:16" x14ac:dyDescent="0.3">
      <c r="A5097" s="5">
        <v>104</v>
      </c>
      <c r="B5097" s="5" t="s">
        <v>168</v>
      </c>
      <c r="C5097" s="5">
        <v>8</v>
      </c>
      <c r="D5097" s="5" t="s">
        <v>82</v>
      </c>
      <c r="E5097" s="5">
        <v>2022</v>
      </c>
      <c r="F5097" s="5">
        <v>6</v>
      </c>
      <c r="G5097" s="5" t="s">
        <v>39</v>
      </c>
      <c r="H5097" s="5">
        <v>3961838</v>
      </c>
      <c r="I5097" s="5">
        <v>3280278.32</v>
      </c>
      <c r="J5097" s="5">
        <v>52</v>
      </c>
      <c r="K5097" s="5">
        <v>320722</v>
      </c>
      <c r="L5097" s="5">
        <v>4270200</v>
      </c>
      <c r="M5097" s="5">
        <v>681559.68</v>
      </c>
      <c r="N5097" s="5">
        <v>0.17199999999999999</v>
      </c>
      <c r="O5097" s="5">
        <v>4</v>
      </c>
      <c r="P5097" s="5">
        <v>18265</v>
      </c>
    </row>
    <row r="5098" spans="1:16" x14ac:dyDescent="0.3">
      <c r="A5098" s="5">
        <v>39</v>
      </c>
      <c r="B5098" s="5" t="s">
        <v>168</v>
      </c>
      <c r="C5098" s="5">
        <v>8</v>
      </c>
      <c r="D5098" s="5" t="s">
        <v>82</v>
      </c>
      <c r="E5098" s="5">
        <v>2022</v>
      </c>
      <c r="F5098" s="5">
        <v>7</v>
      </c>
      <c r="G5098" s="5" t="s">
        <v>40</v>
      </c>
      <c r="H5098" s="5">
        <v>673400</v>
      </c>
      <c r="I5098" s="5">
        <v>591298.34</v>
      </c>
      <c r="J5098" s="5">
        <v>16</v>
      </c>
      <c r="K5098" s="5">
        <v>95704</v>
      </c>
      <c r="L5098" s="5">
        <v>764670</v>
      </c>
      <c r="M5098" s="5">
        <v>82101.66</v>
      </c>
      <c r="N5098" s="5">
        <v>0.12189999999999999</v>
      </c>
      <c r="O5098" s="5">
        <v>0</v>
      </c>
      <c r="P5098" s="5">
        <v>0</v>
      </c>
    </row>
    <row r="5099" spans="1:16" x14ac:dyDescent="0.3">
      <c r="A5099" s="5">
        <v>88</v>
      </c>
      <c r="B5099" s="5" t="s">
        <v>168</v>
      </c>
      <c r="C5099" s="5">
        <v>8</v>
      </c>
      <c r="D5099" s="5" t="s">
        <v>82</v>
      </c>
      <c r="E5099" s="5">
        <v>2022</v>
      </c>
      <c r="F5099" s="5">
        <v>7</v>
      </c>
      <c r="G5099" s="5" t="s">
        <v>40</v>
      </c>
      <c r="H5099" s="5">
        <v>960454</v>
      </c>
      <c r="I5099" s="5">
        <v>839476.93</v>
      </c>
      <c r="J5099" s="5">
        <v>22</v>
      </c>
      <c r="K5099" s="5">
        <v>164663</v>
      </c>
      <c r="L5099" s="5">
        <v>1121010</v>
      </c>
      <c r="M5099" s="5">
        <v>120977.07</v>
      </c>
      <c r="N5099" s="5">
        <v>0.126</v>
      </c>
      <c r="O5099" s="5">
        <v>2</v>
      </c>
      <c r="P5099" s="5">
        <v>104294</v>
      </c>
    </row>
    <row r="5100" spans="1:16" x14ac:dyDescent="0.3">
      <c r="A5100" s="5">
        <v>104</v>
      </c>
      <c r="B5100" s="5" t="s">
        <v>168</v>
      </c>
      <c r="C5100" s="5">
        <v>8</v>
      </c>
      <c r="D5100" s="5" t="s">
        <v>82</v>
      </c>
      <c r="E5100" s="5">
        <v>2022</v>
      </c>
      <c r="F5100" s="5">
        <v>7</v>
      </c>
      <c r="G5100" s="5" t="s">
        <v>40</v>
      </c>
      <c r="H5100" s="5">
        <v>3628352</v>
      </c>
      <c r="I5100" s="5">
        <v>3260562.8</v>
      </c>
      <c r="J5100" s="5">
        <v>60</v>
      </c>
      <c r="K5100" s="5">
        <v>460281</v>
      </c>
      <c r="L5100" s="5">
        <v>4073990</v>
      </c>
      <c r="M5100" s="5">
        <v>367789.2</v>
      </c>
      <c r="N5100" s="5">
        <v>0.1014</v>
      </c>
      <c r="O5100" s="5">
        <v>4</v>
      </c>
      <c r="P5100" s="5">
        <v>24375</v>
      </c>
    </row>
    <row r="5101" spans="1:16" x14ac:dyDescent="0.3">
      <c r="A5101" s="5">
        <v>39</v>
      </c>
      <c r="B5101" s="5" t="s">
        <v>168</v>
      </c>
      <c r="C5101" s="5">
        <v>8</v>
      </c>
      <c r="D5101" s="5" t="s">
        <v>82</v>
      </c>
      <c r="E5101" s="5">
        <v>2022</v>
      </c>
      <c r="F5101" s="5">
        <v>8</v>
      </c>
      <c r="G5101" s="5" t="s">
        <v>41</v>
      </c>
      <c r="H5101" s="5">
        <v>1712454</v>
      </c>
      <c r="I5101" s="5">
        <v>1540785.95</v>
      </c>
      <c r="J5101" s="5">
        <v>24</v>
      </c>
      <c r="K5101" s="5">
        <v>270086</v>
      </c>
      <c r="L5101" s="5">
        <v>1979780</v>
      </c>
      <c r="M5101" s="5">
        <v>171668.05</v>
      </c>
      <c r="N5101" s="5">
        <v>0.1002</v>
      </c>
      <c r="O5101" s="5">
        <v>1</v>
      </c>
      <c r="P5101" s="5">
        <v>22199</v>
      </c>
    </row>
    <row r="5102" spans="1:16" x14ac:dyDescent="0.3">
      <c r="A5102" s="5">
        <v>88</v>
      </c>
      <c r="B5102" s="5" t="s">
        <v>168</v>
      </c>
      <c r="C5102" s="5">
        <v>8</v>
      </c>
      <c r="D5102" s="5" t="s">
        <v>82</v>
      </c>
      <c r="E5102" s="5">
        <v>2022</v>
      </c>
      <c r="F5102" s="5">
        <v>8</v>
      </c>
      <c r="G5102" s="5" t="s">
        <v>41</v>
      </c>
      <c r="H5102" s="5">
        <v>1644209</v>
      </c>
      <c r="I5102" s="5">
        <v>1569803.97</v>
      </c>
      <c r="J5102" s="5">
        <v>19</v>
      </c>
      <c r="K5102" s="5">
        <v>382010</v>
      </c>
      <c r="L5102" s="5">
        <v>2017330</v>
      </c>
      <c r="M5102" s="5">
        <v>74405.03</v>
      </c>
      <c r="N5102" s="5">
        <v>4.53E-2</v>
      </c>
      <c r="O5102" s="5">
        <v>0</v>
      </c>
      <c r="P5102" s="5">
        <v>0</v>
      </c>
    </row>
    <row r="5103" spans="1:16" x14ac:dyDescent="0.3">
      <c r="A5103" s="5">
        <v>104</v>
      </c>
      <c r="B5103" s="5" t="s">
        <v>168</v>
      </c>
      <c r="C5103" s="5">
        <v>8</v>
      </c>
      <c r="D5103" s="5" t="s">
        <v>82</v>
      </c>
      <c r="E5103" s="5">
        <v>2022</v>
      </c>
      <c r="F5103" s="5">
        <v>8</v>
      </c>
      <c r="G5103" s="5" t="s">
        <v>41</v>
      </c>
      <c r="H5103" s="5">
        <v>2937305</v>
      </c>
      <c r="I5103" s="5">
        <v>2623693.13</v>
      </c>
      <c r="J5103" s="5">
        <v>38</v>
      </c>
      <c r="K5103" s="5">
        <v>438808</v>
      </c>
      <c r="L5103" s="5">
        <v>3360590</v>
      </c>
      <c r="M5103" s="5">
        <v>313611.87</v>
      </c>
      <c r="N5103" s="5">
        <v>0.10680000000000001</v>
      </c>
      <c r="O5103" s="5">
        <v>3</v>
      </c>
      <c r="P5103" s="5">
        <v>25760</v>
      </c>
    </row>
    <row r="5104" spans="1:16" x14ac:dyDescent="0.3">
      <c r="A5104" s="5">
        <v>39</v>
      </c>
      <c r="B5104" s="5" t="s">
        <v>168</v>
      </c>
      <c r="C5104" s="5">
        <v>8</v>
      </c>
      <c r="D5104" s="5" t="s">
        <v>82</v>
      </c>
      <c r="E5104" s="5">
        <v>2022</v>
      </c>
      <c r="F5104" s="5">
        <v>9</v>
      </c>
      <c r="G5104" s="5" t="s">
        <v>42</v>
      </c>
      <c r="H5104" s="5">
        <v>426848</v>
      </c>
      <c r="I5104" s="5">
        <v>327494.78000000003</v>
      </c>
      <c r="J5104" s="5">
        <v>20</v>
      </c>
      <c r="K5104" s="5">
        <v>53333</v>
      </c>
      <c r="L5104" s="5">
        <v>478540</v>
      </c>
      <c r="M5104" s="5">
        <v>99353.22</v>
      </c>
      <c r="N5104" s="5">
        <v>0.23280000000000001</v>
      </c>
      <c r="O5104" s="5">
        <v>1</v>
      </c>
      <c r="P5104" s="5">
        <v>7132</v>
      </c>
    </row>
    <row r="5105" spans="1:16" x14ac:dyDescent="0.3">
      <c r="A5105" s="5">
        <v>88</v>
      </c>
      <c r="B5105" s="5" t="s">
        <v>168</v>
      </c>
      <c r="C5105" s="5">
        <v>8</v>
      </c>
      <c r="D5105" s="5" t="s">
        <v>82</v>
      </c>
      <c r="E5105" s="5">
        <v>2022</v>
      </c>
      <c r="F5105" s="5">
        <v>9</v>
      </c>
      <c r="G5105" s="5" t="s">
        <v>42</v>
      </c>
      <c r="H5105" s="5">
        <v>1619439</v>
      </c>
      <c r="I5105" s="5">
        <v>1406074.33</v>
      </c>
      <c r="J5105" s="5">
        <v>26</v>
      </c>
      <c r="K5105" s="5">
        <v>207208</v>
      </c>
      <c r="L5105" s="5">
        <v>1821500</v>
      </c>
      <c r="M5105" s="5">
        <v>213364.67</v>
      </c>
      <c r="N5105" s="5">
        <v>0.1318</v>
      </c>
      <c r="O5105" s="5">
        <v>2</v>
      </c>
      <c r="P5105" s="5">
        <v>41005</v>
      </c>
    </row>
    <row r="5106" spans="1:16" x14ac:dyDescent="0.3">
      <c r="A5106" s="5">
        <v>104</v>
      </c>
      <c r="B5106" s="5" t="s">
        <v>168</v>
      </c>
      <c r="C5106" s="5">
        <v>8</v>
      </c>
      <c r="D5106" s="5" t="s">
        <v>82</v>
      </c>
      <c r="E5106" s="5">
        <v>2022</v>
      </c>
      <c r="F5106" s="5">
        <v>9</v>
      </c>
      <c r="G5106" s="5" t="s">
        <v>42</v>
      </c>
      <c r="H5106" s="5">
        <v>4669769</v>
      </c>
      <c r="I5106" s="5">
        <v>4144958.71</v>
      </c>
      <c r="J5106" s="5">
        <v>53</v>
      </c>
      <c r="K5106" s="5">
        <v>590797</v>
      </c>
      <c r="L5106" s="5">
        <v>5242660</v>
      </c>
      <c r="M5106" s="5">
        <v>524810.29</v>
      </c>
      <c r="N5106" s="5">
        <v>0.1124</v>
      </c>
      <c r="O5106" s="5">
        <v>2</v>
      </c>
      <c r="P5106" s="5">
        <v>130883</v>
      </c>
    </row>
    <row r="5107" spans="1:16" x14ac:dyDescent="0.3">
      <c r="A5107" s="5">
        <v>39</v>
      </c>
      <c r="B5107" s="5" t="s">
        <v>168</v>
      </c>
      <c r="C5107" s="5">
        <v>8</v>
      </c>
      <c r="D5107" s="5" t="s">
        <v>82</v>
      </c>
      <c r="E5107" s="5">
        <v>2022</v>
      </c>
      <c r="F5107" s="5">
        <v>10</v>
      </c>
      <c r="G5107" s="5" t="s">
        <v>43</v>
      </c>
      <c r="H5107" s="5">
        <v>2435518</v>
      </c>
      <c r="I5107" s="5">
        <v>2255008.0299999998</v>
      </c>
      <c r="J5107" s="5">
        <v>31</v>
      </c>
      <c r="K5107" s="5">
        <v>515276</v>
      </c>
      <c r="L5107" s="5">
        <v>2941360</v>
      </c>
      <c r="M5107" s="5">
        <v>180509.97</v>
      </c>
      <c r="N5107" s="5">
        <v>7.4099999999999999E-2</v>
      </c>
      <c r="O5107" s="5">
        <v>3</v>
      </c>
      <c r="P5107" s="5">
        <v>186672</v>
      </c>
    </row>
    <row r="5108" spans="1:16" x14ac:dyDescent="0.3">
      <c r="A5108" s="5">
        <v>88</v>
      </c>
      <c r="B5108" s="5" t="s">
        <v>168</v>
      </c>
      <c r="C5108" s="5">
        <v>8</v>
      </c>
      <c r="D5108" s="5" t="s">
        <v>82</v>
      </c>
      <c r="E5108" s="5">
        <v>2022</v>
      </c>
      <c r="F5108" s="5">
        <v>10</v>
      </c>
      <c r="G5108" s="5" t="s">
        <v>43</v>
      </c>
      <c r="H5108" s="5">
        <v>1651656</v>
      </c>
      <c r="I5108" s="5">
        <v>1365999.24</v>
      </c>
      <c r="J5108" s="5">
        <v>30</v>
      </c>
      <c r="K5108" s="5">
        <v>180376</v>
      </c>
      <c r="L5108" s="5">
        <v>1824390</v>
      </c>
      <c r="M5108" s="5">
        <v>285656.76</v>
      </c>
      <c r="N5108" s="5">
        <v>0.17299999999999999</v>
      </c>
      <c r="O5108" s="5">
        <v>4</v>
      </c>
      <c r="P5108" s="5">
        <v>17495</v>
      </c>
    </row>
    <row r="5109" spans="1:16" x14ac:dyDescent="0.3">
      <c r="A5109" s="5">
        <v>104</v>
      </c>
      <c r="B5109" s="5" t="s">
        <v>168</v>
      </c>
      <c r="C5109" s="5">
        <v>8</v>
      </c>
      <c r="D5109" s="5" t="s">
        <v>82</v>
      </c>
      <c r="E5109" s="5">
        <v>2022</v>
      </c>
      <c r="F5109" s="5">
        <v>10</v>
      </c>
      <c r="G5109" s="5" t="s">
        <v>43</v>
      </c>
      <c r="H5109" s="5">
        <v>4700397</v>
      </c>
      <c r="I5109" s="5">
        <v>4164000.17</v>
      </c>
      <c r="J5109" s="5">
        <v>78</v>
      </c>
      <c r="K5109" s="5">
        <v>728543</v>
      </c>
      <c r="L5109" s="5">
        <v>5416570</v>
      </c>
      <c r="M5109" s="5">
        <v>536396.82999999996</v>
      </c>
      <c r="N5109" s="5">
        <v>0.11409999999999999</v>
      </c>
      <c r="O5109" s="5">
        <v>3</v>
      </c>
      <c r="P5109" s="5">
        <v>5026</v>
      </c>
    </row>
    <row r="5110" spans="1:16" x14ac:dyDescent="0.3">
      <c r="A5110" s="5">
        <v>39</v>
      </c>
      <c r="B5110" s="5" t="s">
        <v>168</v>
      </c>
      <c r="C5110" s="5">
        <v>8</v>
      </c>
      <c r="D5110" s="5" t="s">
        <v>82</v>
      </c>
      <c r="E5110" s="5">
        <v>2022</v>
      </c>
      <c r="F5110" s="5">
        <v>11</v>
      </c>
      <c r="G5110" s="5" t="s">
        <v>44</v>
      </c>
      <c r="H5110" s="5">
        <v>2456266</v>
      </c>
      <c r="I5110" s="5">
        <v>2054239.83</v>
      </c>
      <c r="J5110" s="5">
        <v>33</v>
      </c>
      <c r="K5110" s="5">
        <v>253681</v>
      </c>
      <c r="L5110" s="5">
        <v>2701420</v>
      </c>
      <c r="M5110" s="5">
        <v>402026.17</v>
      </c>
      <c r="N5110" s="5">
        <v>0.16370000000000001</v>
      </c>
      <c r="O5110" s="5">
        <v>2</v>
      </c>
      <c r="P5110" s="5">
        <v>31245</v>
      </c>
    </row>
    <row r="5111" spans="1:16" x14ac:dyDescent="0.3">
      <c r="A5111" s="5">
        <v>88</v>
      </c>
      <c r="B5111" s="5" t="s">
        <v>168</v>
      </c>
      <c r="C5111" s="5">
        <v>8</v>
      </c>
      <c r="D5111" s="5" t="s">
        <v>82</v>
      </c>
      <c r="E5111" s="5">
        <v>2022</v>
      </c>
      <c r="F5111" s="5">
        <v>11</v>
      </c>
      <c r="G5111" s="5" t="s">
        <v>44</v>
      </c>
      <c r="H5111" s="5">
        <v>2352409</v>
      </c>
      <c r="I5111" s="5">
        <v>1957859.2</v>
      </c>
      <c r="J5111" s="5">
        <v>32</v>
      </c>
      <c r="K5111" s="5">
        <v>130170</v>
      </c>
      <c r="L5111" s="5">
        <v>2469180</v>
      </c>
      <c r="M5111" s="5">
        <v>394549.8</v>
      </c>
      <c r="N5111" s="5">
        <v>0.16769999999999999</v>
      </c>
      <c r="O5111" s="5">
        <v>3</v>
      </c>
      <c r="P5111" s="5">
        <v>160346</v>
      </c>
    </row>
    <row r="5112" spans="1:16" x14ac:dyDescent="0.3">
      <c r="A5112" s="5">
        <v>104</v>
      </c>
      <c r="B5112" s="5" t="s">
        <v>168</v>
      </c>
      <c r="C5112" s="5">
        <v>8</v>
      </c>
      <c r="D5112" s="5" t="s">
        <v>82</v>
      </c>
      <c r="E5112" s="5">
        <v>2022</v>
      </c>
      <c r="F5112" s="5">
        <v>11</v>
      </c>
      <c r="G5112" s="5" t="s">
        <v>44</v>
      </c>
      <c r="H5112" s="5">
        <v>4620940</v>
      </c>
      <c r="I5112" s="5">
        <v>4019050.4</v>
      </c>
      <c r="J5112" s="5">
        <v>68</v>
      </c>
      <c r="K5112" s="5">
        <v>521486</v>
      </c>
      <c r="L5112" s="5">
        <v>5129750</v>
      </c>
      <c r="M5112" s="5">
        <v>601889.6</v>
      </c>
      <c r="N5112" s="5">
        <v>0.1303</v>
      </c>
      <c r="O5112" s="5">
        <v>6</v>
      </c>
      <c r="P5112" s="5">
        <v>28676</v>
      </c>
    </row>
    <row r="5113" spans="1:16" x14ac:dyDescent="0.3">
      <c r="A5113" s="5">
        <v>39</v>
      </c>
      <c r="B5113" s="5" t="s">
        <v>168</v>
      </c>
      <c r="C5113" s="5">
        <v>8</v>
      </c>
      <c r="D5113" s="5" t="s">
        <v>82</v>
      </c>
      <c r="E5113" s="5">
        <v>2022</v>
      </c>
      <c r="F5113" s="5">
        <v>12</v>
      </c>
      <c r="G5113" s="5" t="s">
        <v>45</v>
      </c>
      <c r="H5113" s="5">
        <v>1515187</v>
      </c>
      <c r="I5113" s="5">
        <v>1234101.77</v>
      </c>
      <c r="J5113" s="5">
        <v>32</v>
      </c>
      <c r="K5113" s="5">
        <v>128346</v>
      </c>
      <c r="L5113" s="5">
        <v>1639470</v>
      </c>
      <c r="M5113" s="5">
        <v>281085.23</v>
      </c>
      <c r="N5113" s="5">
        <v>0.1855</v>
      </c>
      <c r="O5113" s="5">
        <v>4</v>
      </c>
      <c r="P5113" s="5">
        <v>43682</v>
      </c>
    </row>
    <row r="5114" spans="1:16" x14ac:dyDescent="0.3">
      <c r="A5114" s="5">
        <v>88</v>
      </c>
      <c r="B5114" s="5" t="s">
        <v>168</v>
      </c>
      <c r="C5114" s="5">
        <v>8</v>
      </c>
      <c r="D5114" s="5" t="s">
        <v>82</v>
      </c>
      <c r="E5114" s="5">
        <v>2022</v>
      </c>
      <c r="F5114" s="5">
        <v>12</v>
      </c>
      <c r="G5114" s="5" t="s">
        <v>45</v>
      </c>
      <c r="H5114" s="5">
        <v>2718681</v>
      </c>
      <c r="I5114" s="5">
        <v>2252044.02</v>
      </c>
      <c r="J5114" s="5">
        <v>28</v>
      </c>
      <c r="K5114" s="5">
        <v>139700</v>
      </c>
      <c r="L5114" s="5">
        <v>2854860</v>
      </c>
      <c r="M5114" s="5">
        <v>466636.98</v>
      </c>
      <c r="N5114" s="5">
        <v>0.1716</v>
      </c>
      <c r="O5114" s="5">
        <v>2</v>
      </c>
      <c r="P5114" s="5">
        <v>92850</v>
      </c>
    </row>
    <row r="5115" spans="1:16" x14ac:dyDescent="0.3">
      <c r="A5115" s="5">
        <v>104</v>
      </c>
      <c r="B5115" s="5" t="s">
        <v>168</v>
      </c>
      <c r="C5115" s="5">
        <v>8</v>
      </c>
      <c r="D5115" s="5" t="s">
        <v>82</v>
      </c>
      <c r="E5115" s="5">
        <v>2022</v>
      </c>
      <c r="F5115" s="5">
        <v>12</v>
      </c>
      <c r="G5115" s="5" t="s">
        <v>45</v>
      </c>
      <c r="H5115" s="5">
        <v>5733617</v>
      </c>
      <c r="I5115" s="5">
        <v>4719441.2300000004</v>
      </c>
      <c r="J5115" s="5">
        <v>85</v>
      </c>
      <c r="K5115" s="5">
        <v>440031</v>
      </c>
      <c r="L5115" s="5">
        <v>6147940</v>
      </c>
      <c r="M5115" s="5">
        <v>1014175.77</v>
      </c>
      <c r="N5115" s="5">
        <v>0.1769</v>
      </c>
      <c r="O5115" s="5">
        <v>6</v>
      </c>
      <c r="P5115" s="5">
        <v>158893</v>
      </c>
    </row>
    <row r="5116" spans="1:16" x14ac:dyDescent="0.3">
      <c r="A5116" s="5">
        <v>39</v>
      </c>
      <c r="B5116" s="5" t="s">
        <v>168</v>
      </c>
      <c r="C5116" s="5">
        <v>8</v>
      </c>
      <c r="D5116" s="5" t="s">
        <v>82</v>
      </c>
      <c r="E5116" s="5">
        <v>2023</v>
      </c>
      <c r="F5116" s="5">
        <v>1</v>
      </c>
      <c r="G5116" s="5" t="s">
        <v>46</v>
      </c>
      <c r="H5116" s="5">
        <v>1260274</v>
      </c>
      <c r="I5116" s="5">
        <v>1054901.73</v>
      </c>
      <c r="J5116" s="5">
        <v>20</v>
      </c>
      <c r="K5116" s="5">
        <v>79938</v>
      </c>
      <c r="L5116" s="5">
        <v>1339090</v>
      </c>
      <c r="M5116" s="5">
        <v>205372.27</v>
      </c>
      <c r="N5116" s="5">
        <v>0.16300000000000001</v>
      </c>
      <c r="O5116" s="5">
        <v>0</v>
      </c>
      <c r="P5116" s="5">
        <v>0</v>
      </c>
    </row>
    <row r="5117" spans="1:16" x14ac:dyDescent="0.3">
      <c r="A5117" s="5">
        <v>88</v>
      </c>
      <c r="B5117" s="5" t="s">
        <v>168</v>
      </c>
      <c r="C5117" s="5">
        <v>8</v>
      </c>
      <c r="D5117" s="5" t="s">
        <v>82</v>
      </c>
      <c r="E5117" s="5">
        <v>2023</v>
      </c>
      <c r="F5117" s="5">
        <v>1</v>
      </c>
      <c r="G5117" s="5" t="s">
        <v>46</v>
      </c>
      <c r="H5117" s="5">
        <v>1234899</v>
      </c>
      <c r="I5117" s="5">
        <v>996978.8</v>
      </c>
      <c r="J5117" s="5">
        <v>20</v>
      </c>
      <c r="K5117" s="5">
        <v>72907</v>
      </c>
      <c r="L5117" s="5">
        <v>1304820</v>
      </c>
      <c r="M5117" s="5">
        <v>237920.2</v>
      </c>
      <c r="N5117" s="5">
        <v>0.19270000000000001</v>
      </c>
      <c r="O5117" s="5">
        <v>0</v>
      </c>
      <c r="P5117" s="5">
        <v>0</v>
      </c>
    </row>
    <row r="5118" spans="1:16" x14ac:dyDescent="0.3">
      <c r="A5118" s="5">
        <v>104</v>
      </c>
      <c r="B5118" s="5" t="s">
        <v>168</v>
      </c>
      <c r="C5118" s="5">
        <v>8</v>
      </c>
      <c r="D5118" s="5" t="s">
        <v>82</v>
      </c>
      <c r="E5118" s="5">
        <v>2023</v>
      </c>
      <c r="F5118" s="5">
        <v>1</v>
      </c>
      <c r="G5118" s="5" t="s">
        <v>46</v>
      </c>
      <c r="H5118" s="5">
        <v>3179194</v>
      </c>
      <c r="I5118" s="5">
        <v>2682423.75</v>
      </c>
      <c r="J5118" s="5">
        <v>55</v>
      </c>
      <c r="K5118" s="5">
        <v>257540</v>
      </c>
      <c r="L5118" s="5">
        <v>3432950</v>
      </c>
      <c r="M5118" s="5">
        <v>496770.25</v>
      </c>
      <c r="N5118" s="5">
        <v>0.15629999999999999</v>
      </c>
      <c r="O5118" s="5">
        <v>5</v>
      </c>
      <c r="P5118" s="5">
        <v>283385</v>
      </c>
    </row>
    <row r="5119" spans="1:16" x14ac:dyDescent="0.3">
      <c r="A5119" s="5">
        <v>39</v>
      </c>
      <c r="B5119" s="5" t="s">
        <v>168</v>
      </c>
      <c r="C5119" s="5">
        <v>8</v>
      </c>
      <c r="D5119" s="5" t="s">
        <v>82</v>
      </c>
      <c r="E5119" s="5">
        <v>2023</v>
      </c>
      <c r="F5119" s="5">
        <v>2</v>
      </c>
      <c r="G5119" s="5" t="s">
        <v>47</v>
      </c>
      <c r="H5119" s="5">
        <v>2008393</v>
      </c>
      <c r="I5119" s="5">
        <v>1726351.68</v>
      </c>
      <c r="J5119" s="5">
        <v>19</v>
      </c>
      <c r="K5119" s="5">
        <v>166860</v>
      </c>
      <c r="L5119" s="5">
        <v>2166010</v>
      </c>
      <c r="M5119" s="5">
        <v>282041.32</v>
      </c>
      <c r="N5119" s="5">
        <v>0.1404</v>
      </c>
      <c r="O5119" s="5">
        <v>2</v>
      </c>
      <c r="P5119" s="5">
        <v>303522</v>
      </c>
    </row>
    <row r="5120" spans="1:16" x14ac:dyDescent="0.3">
      <c r="A5120" s="5">
        <v>88</v>
      </c>
      <c r="B5120" s="5" t="s">
        <v>168</v>
      </c>
      <c r="C5120" s="5">
        <v>8</v>
      </c>
      <c r="D5120" s="5" t="s">
        <v>82</v>
      </c>
      <c r="E5120" s="5">
        <v>2023</v>
      </c>
      <c r="F5120" s="5">
        <v>2</v>
      </c>
      <c r="G5120" s="5" t="s">
        <v>47</v>
      </c>
      <c r="H5120" s="5">
        <v>1372204</v>
      </c>
      <c r="I5120" s="5">
        <v>1205719.77</v>
      </c>
      <c r="J5120" s="5">
        <v>24</v>
      </c>
      <c r="K5120" s="5">
        <v>203757</v>
      </c>
      <c r="L5120" s="5">
        <v>1575070</v>
      </c>
      <c r="M5120" s="5">
        <v>166484.23000000001</v>
      </c>
      <c r="N5120" s="5">
        <v>0.12130000000000001</v>
      </c>
      <c r="O5120" s="5">
        <v>3</v>
      </c>
      <c r="P5120" s="5">
        <v>21296</v>
      </c>
    </row>
    <row r="5121" spans="1:16" x14ac:dyDescent="0.3">
      <c r="A5121" s="5">
        <v>104</v>
      </c>
      <c r="B5121" s="5" t="s">
        <v>168</v>
      </c>
      <c r="C5121" s="5">
        <v>8</v>
      </c>
      <c r="D5121" s="5" t="s">
        <v>82</v>
      </c>
      <c r="E5121" s="5">
        <v>2023</v>
      </c>
      <c r="F5121" s="5">
        <v>2</v>
      </c>
      <c r="G5121" s="5" t="s">
        <v>47</v>
      </c>
      <c r="H5121" s="5">
        <v>2801879</v>
      </c>
      <c r="I5121" s="5">
        <v>2401608.4900000002</v>
      </c>
      <c r="J5121" s="5">
        <v>40</v>
      </c>
      <c r="K5121" s="5">
        <v>269465</v>
      </c>
      <c r="L5121" s="5">
        <v>3062580</v>
      </c>
      <c r="M5121" s="5">
        <v>400270.51</v>
      </c>
      <c r="N5121" s="5">
        <v>0.1429</v>
      </c>
      <c r="O5121" s="5">
        <v>3</v>
      </c>
      <c r="P5121" s="5">
        <v>28827</v>
      </c>
    </row>
    <row r="5122" spans="1:16" x14ac:dyDescent="0.3">
      <c r="A5122" s="5">
        <v>39</v>
      </c>
      <c r="B5122" s="5" t="s">
        <v>168</v>
      </c>
      <c r="C5122" s="5">
        <v>8</v>
      </c>
      <c r="D5122" s="5" t="s">
        <v>82</v>
      </c>
      <c r="E5122" s="5">
        <v>2023</v>
      </c>
      <c r="F5122" s="5">
        <v>3</v>
      </c>
      <c r="G5122" s="5" t="s">
        <v>48</v>
      </c>
      <c r="H5122" s="5">
        <v>2697207</v>
      </c>
      <c r="I5122" s="5">
        <v>2305296.19</v>
      </c>
      <c r="J5122" s="5">
        <v>30</v>
      </c>
      <c r="K5122" s="5">
        <v>284947</v>
      </c>
      <c r="L5122" s="5">
        <v>2973920</v>
      </c>
      <c r="M5122" s="5">
        <v>391910.81</v>
      </c>
      <c r="N5122" s="5">
        <v>0.14530000000000001</v>
      </c>
      <c r="O5122" s="5">
        <v>2</v>
      </c>
      <c r="P5122" s="5">
        <v>86383</v>
      </c>
    </row>
    <row r="5123" spans="1:16" x14ac:dyDescent="0.3">
      <c r="A5123" s="5">
        <v>88</v>
      </c>
      <c r="B5123" s="5" t="s">
        <v>168</v>
      </c>
      <c r="C5123" s="5">
        <v>8</v>
      </c>
      <c r="D5123" s="5" t="s">
        <v>82</v>
      </c>
      <c r="E5123" s="5">
        <v>2023</v>
      </c>
      <c r="F5123" s="5">
        <v>3</v>
      </c>
      <c r="G5123" s="5" t="s">
        <v>48</v>
      </c>
      <c r="H5123" s="5">
        <v>1418521</v>
      </c>
      <c r="I5123" s="5">
        <v>1180935.2</v>
      </c>
      <c r="J5123" s="5">
        <v>27</v>
      </c>
      <c r="K5123" s="5">
        <v>137676</v>
      </c>
      <c r="L5123" s="5">
        <v>1551500</v>
      </c>
      <c r="M5123" s="5">
        <v>237585.8</v>
      </c>
      <c r="N5123" s="5">
        <v>0.16750000000000001</v>
      </c>
      <c r="O5123" s="5">
        <v>0</v>
      </c>
      <c r="P5123" s="5">
        <v>0</v>
      </c>
    </row>
    <row r="5124" spans="1:16" x14ac:dyDescent="0.3">
      <c r="A5124" s="5">
        <v>104</v>
      </c>
      <c r="B5124" s="5" t="s">
        <v>168</v>
      </c>
      <c r="C5124" s="5">
        <v>8</v>
      </c>
      <c r="D5124" s="5" t="s">
        <v>82</v>
      </c>
      <c r="E5124" s="5">
        <v>2023</v>
      </c>
      <c r="F5124" s="5">
        <v>3</v>
      </c>
      <c r="G5124" s="5" t="s">
        <v>48</v>
      </c>
      <c r="H5124" s="5">
        <v>4549455</v>
      </c>
      <c r="I5124" s="5">
        <v>3876234.82</v>
      </c>
      <c r="J5124" s="5">
        <v>78</v>
      </c>
      <c r="K5124" s="5">
        <v>513195</v>
      </c>
      <c r="L5124" s="5">
        <v>5047040</v>
      </c>
      <c r="M5124" s="5">
        <v>673220.18</v>
      </c>
      <c r="N5124" s="5">
        <v>0.14799999999999999</v>
      </c>
      <c r="O5124" s="5">
        <v>3</v>
      </c>
      <c r="P5124" s="5">
        <v>151872</v>
      </c>
    </row>
    <row r="5125" spans="1:16" x14ac:dyDescent="0.3">
      <c r="A5125" s="5">
        <v>39</v>
      </c>
      <c r="B5125" s="5" t="s">
        <v>168</v>
      </c>
      <c r="C5125" s="5">
        <v>8</v>
      </c>
      <c r="D5125" s="5" t="s">
        <v>82</v>
      </c>
      <c r="E5125" s="5">
        <v>2023</v>
      </c>
      <c r="F5125" s="5">
        <v>4</v>
      </c>
      <c r="G5125" s="5" t="s">
        <v>49</v>
      </c>
      <c r="H5125" s="5">
        <v>2131280</v>
      </c>
      <c r="I5125" s="5">
        <v>1998454.86</v>
      </c>
      <c r="J5125" s="5">
        <v>30</v>
      </c>
      <c r="K5125" s="5">
        <v>321018</v>
      </c>
      <c r="L5125" s="5">
        <v>2442410</v>
      </c>
      <c r="M5125" s="5">
        <v>132825.14000000001</v>
      </c>
      <c r="N5125" s="5">
        <v>6.2300000000000001E-2</v>
      </c>
      <c r="O5125" s="5">
        <v>2</v>
      </c>
      <c r="P5125" s="5">
        <v>34128</v>
      </c>
    </row>
    <row r="5126" spans="1:16" x14ac:dyDescent="0.3">
      <c r="A5126" s="5">
        <v>88</v>
      </c>
      <c r="B5126" s="5" t="s">
        <v>168</v>
      </c>
      <c r="C5126" s="5">
        <v>8</v>
      </c>
      <c r="D5126" s="5" t="s">
        <v>82</v>
      </c>
      <c r="E5126" s="5">
        <v>2023</v>
      </c>
      <c r="F5126" s="5">
        <v>4</v>
      </c>
      <c r="G5126" s="5" t="s">
        <v>49</v>
      </c>
      <c r="H5126" s="5">
        <v>1719628</v>
      </c>
      <c r="I5126" s="5">
        <v>1448494.96</v>
      </c>
      <c r="J5126" s="5">
        <v>30</v>
      </c>
      <c r="K5126" s="5">
        <v>178690</v>
      </c>
      <c r="L5126" s="5">
        <v>1894360</v>
      </c>
      <c r="M5126" s="5">
        <v>271133.03999999998</v>
      </c>
      <c r="N5126" s="5">
        <v>0.15770000000000001</v>
      </c>
      <c r="O5126" s="5">
        <v>2</v>
      </c>
      <c r="P5126" s="5">
        <v>6415</v>
      </c>
    </row>
    <row r="5127" spans="1:16" x14ac:dyDescent="0.3">
      <c r="A5127" s="5">
        <v>104</v>
      </c>
      <c r="B5127" s="5" t="s">
        <v>168</v>
      </c>
      <c r="C5127" s="5">
        <v>8</v>
      </c>
      <c r="D5127" s="5" t="s">
        <v>82</v>
      </c>
      <c r="E5127" s="5">
        <v>2023</v>
      </c>
      <c r="F5127" s="5">
        <v>4</v>
      </c>
      <c r="G5127" s="5" t="s">
        <v>49</v>
      </c>
      <c r="H5127" s="5">
        <v>4112287</v>
      </c>
      <c r="I5127" s="5">
        <v>3542353.86</v>
      </c>
      <c r="J5127" s="5">
        <v>64</v>
      </c>
      <c r="K5127" s="5">
        <v>514913</v>
      </c>
      <c r="L5127" s="5">
        <v>4603650</v>
      </c>
      <c r="M5127" s="5">
        <v>569933.14</v>
      </c>
      <c r="N5127" s="5">
        <v>0.1386</v>
      </c>
      <c r="O5127" s="5">
        <v>4</v>
      </c>
      <c r="P5127" s="5">
        <v>47292</v>
      </c>
    </row>
    <row r="5128" spans="1:16" x14ac:dyDescent="0.3">
      <c r="A5128" s="5">
        <v>39</v>
      </c>
      <c r="B5128" s="5" t="s">
        <v>168</v>
      </c>
      <c r="C5128" s="5">
        <v>8</v>
      </c>
      <c r="D5128" s="5" t="s">
        <v>82</v>
      </c>
      <c r="E5128" s="5">
        <v>2023</v>
      </c>
      <c r="F5128" s="5">
        <v>5</v>
      </c>
      <c r="G5128" s="5" t="s">
        <v>50</v>
      </c>
      <c r="H5128" s="5">
        <v>2748217</v>
      </c>
      <c r="I5128" s="5">
        <v>2402256.02</v>
      </c>
      <c r="J5128" s="5">
        <v>34</v>
      </c>
      <c r="K5128" s="5">
        <v>316378</v>
      </c>
      <c r="L5128" s="5">
        <v>3057520</v>
      </c>
      <c r="M5128" s="5">
        <v>345960.98</v>
      </c>
      <c r="N5128" s="5">
        <v>0.12590000000000001</v>
      </c>
      <c r="O5128" s="5">
        <v>4</v>
      </c>
      <c r="P5128" s="5">
        <v>53536</v>
      </c>
    </row>
    <row r="5129" spans="1:16" x14ac:dyDescent="0.3">
      <c r="A5129" s="5">
        <v>88</v>
      </c>
      <c r="B5129" s="5" t="s">
        <v>168</v>
      </c>
      <c r="C5129" s="5">
        <v>8</v>
      </c>
      <c r="D5129" s="5" t="s">
        <v>82</v>
      </c>
      <c r="E5129" s="5">
        <v>2023</v>
      </c>
      <c r="F5129" s="5">
        <v>5</v>
      </c>
      <c r="G5129" s="5" t="s">
        <v>50</v>
      </c>
      <c r="H5129" s="5">
        <v>1853094</v>
      </c>
      <c r="I5129" s="5">
        <v>1561694.09</v>
      </c>
      <c r="J5129" s="5">
        <v>30</v>
      </c>
      <c r="K5129" s="5">
        <v>215821</v>
      </c>
      <c r="L5129" s="5">
        <v>2060070</v>
      </c>
      <c r="M5129" s="5">
        <v>291399.90999999997</v>
      </c>
      <c r="N5129" s="5">
        <v>0.1573</v>
      </c>
      <c r="O5129" s="5">
        <v>3</v>
      </c>
      <c r="P5129" s="5">
        <v>102669</v>
      </c>
    </row>
    <row r="5130" spans="1:16" x14ac:dyDescent="0.3">
      <c r="A5130" s="5">
        <v>104</v>
      </c>
      <c r="B5130" s="5" t="s">
        <v>168</v>
      </c>
      <c r="C5130" s="5">
        <v>8</v>
      </c>
      <c r="D5130" s="5" t="s">
        <v>82</v>
      </c>
      <c r="E5130" s="5">
        <v>2023</v>
      </c>
      <c r="F5130" s="5">
        <v>5</v>
      </c>
      <c r="G5130" s="5" t="s">
        <v>50</v>
      </c>
      <c r="H5130" s="5">
        <v>5996729</v>
      </c>
      <c r="I5130" s="5">
        <v>5054547.92</v>
      </c>
      <c r="J5130" s="5">
        <v>72</v>
      </c>
      <c r="K5130" s="5">
        <v>460575</v>
      </c>
      <c r="L5130" s="5">
        <v>6435210</v>
      </c>
      <c r="M5130" s="5">
        <v>942181.08</v>
      </c>
      <c r="N5130" s="5">
        <v>0.15709999999999999</v>
      </c>
      <c r="O5130" s="5">
        <v>10</v>
      </c>
      <c r="P5130" s="5">
        <v>384552</v>
      </c>
    </row>
    <row r="5131" spans="1:16" x14ac:dyDescent="0.3">
      <c r="A5131" s="5">
        <v>39</v>
      </c>
      <c r="B5131" s="5" t="s">
        <v>168</v>
      </c>
      <c r="C5131" s="5">
        <v>8</v>
      </c>
      <c r="D5131" s="5" t="s">
        <v>82</v>
      </c>
      <c r="E5131" s="5">
        <v>2023</v>
      </c>
      <c r="F5131" s="5">
        <v>6</v>
      </c>
      <c r="G5131" s="5" t="s">
        <v>51</v>
      </c>
      <c r="H5131" s="5">
        <v>2554543</v>
      </c>
      <c r="I5131" s="5">
        <v>2247315.62</v>
      </c>
      <c r="J5131" s="5">
        <v>30</v>
      </c>
      <c r="K5131" s="5">
        <v>273372</v>
      </c>
      <c r="L5131" s="5">
        <v>2818680</v>
      </c>
      <c r="M5131" s="5">
        <v>307227.38</v>
      </c>
      <c r="N5131" s="5">
        <v>0.1203</v>
      </c>
      <c r="O5131" s="5">
        <v>2</v>
      </c>
      <c r="P5131" s="5">
        <v>230443</v>
      </c>
    </row>
    <row r="5132" spans="1:16" x14ac:dyDescent="0.3">
      <c r="A5132" s="5">
        <v>88</v>
      </c>
      <c r="B5132" s="5" t="s">
        <v>168</v>
      </c>
      <c r="C5132" s="5">
        <v>8</v>
      </c>
      <c r="D5132" s="5" t="s">
        <v>82</v>
      </c>
      <c r="E5132" s="5">
        <v>2023</v>
      </c>
      <c r="F5132" s="5">
        <v>6</v>
      </c>
      <c r="G5132" s="5" t="s">
        <v>51</v>
      </c>
      <c r="H5132" s="5">
        <v>2049410</v>
      </c>
      <c r="I5132" s="5">
        <v>1753131.51</v>
      </c>
      <c r="J5132" s="5">
        <v>28</v>
      </c>
      <c r="K5132" s="5">
        <v>197339</v>
      </c>
      <c r="L5132" s="5">
        <v>2238480</v>
      </c>
      <c r="M5132" s="5">
        <v>296278.49</v>
      </c>
      <c r="N5132" s="5">
        <v>0.14460000000000001</v>
      </c>
      <c r="O5132" s="5">
        <v>1</v>
      </c>
      <c r="P5132" s="5">
        <v>65530</v>
      </c>
    </row>
    <row r="5133" spans="1:16" x14ac:dyDescent="0.3">
      <c r="A5133" s="5">
        <v>104</v>
      </c>
      <c r="B5133" s="5" t="s">
        <v>168</v>
      </c>
      <c r="C5133" s="5">
        <v>8</v>
      </c>
      <c r="D5133" s="5" t="s">
        <v>82</v>
      </c>
      <c r="E5133" s="5">
        <v>2023</v>
      </c>
      <c r="F5133" s="5">
        <v>6</v>
      </c>
      <c r="G5133" s="5" t="s">
        <v>51</v>
      </c>
      <c r="H5133" s="5">
        <v>4673244</v>
      </c>
      <c r="I5133" s="5">
        <v>3918634.45</v>
      </c>
      <c r="J5133" s="5">
        <v>73</v>
      </c>
      <c r="K5133" s="5">
        <v>461616</v>
      </c>
      <c r="L5133" s="5">
        <v>5124180</v>
      </c>
      <c r="M5133" s="5">
        <v>754609.55</v>
      </c>
      <c r="N5133" s="5">
        <v>0.1615</v>
      </c>
      <c r="O5133" s="5">
        <v>6</v>
      </c>
      <c r="P5133" s="5">
        <v>255608</v>
      </c>
    </row>
    <row r="5134" spans="1:16" x14ac:dyDescent="0.3">
      <c r="A5134" s="5">
        <v>39</v>
      </c>
      <c r="B5134" s="5" t="s">
        <v>168</v>
      </c>
      <c r="C5134" s="5">
        <v>8</v>
      </c>
      <c r="D5134" s="5" t="s">
        <v>82</v>
      </c>
      <c r="E5134" s="5">
        <v>2023</v>
      </c>
      <c r="F5134" s="5">
        <v>7</v>
      </c>
      <c r="G5134" s="5" t="s">
        <v>52</v>
      </c>
      <c r="H5134" s="5">
        <v>1523733</v>
      </c>
      <c r="I5134" s="5">
        <v>1443963.69</v>
      </c>
      <c r="J5134" s="5">
        <v>24</v>
      </c>
      <c r="K5134" s="5">
        <v>334468</v>
      </c>
      <c r="L5134" s="5">
        <v>1854810</v>
      </c>
      <c r="M5134" s="5">
        <v>79769.31</v>
      </c>
      <c r="N5134" s="5">
        <v>5.2400000000000002E-2</v>
      </c>
      <c r="O5134" s="5">
        <v>4</v>
      </c>
      <c r="P5134" s="5">
        <v>67769</v>
      </c>
    </row>
    <row r="5135" spans="1:16" x14ac:dyDescent="0.3">
      <c r="A5135" s="5">
        <v>88</v>
      </c>
      <c r="B5135" s="5" t="s">
        <v>168</v>
      </c>
      <c r="C5135" s="5">
        <v>8</v>
      </c>
      <c r="D5135" s="5" t="s">
        <v>82</v>
      </c>
      <c r="E5135" s="5">
        <v>2023</v>
      </c>
      <c r="F5135" s="5">
        <v>7</v>
      </c>
      <c r="G5135" s="5" t="s">
        <v>52</v>
      </c>
      <c r="H5135" s="5">
        <v>936893</v>
      </c>
      <c r="I5135" s="5">
        <v>783599.95</v>
      </c>
      <c r="J5135" s="5">
        <v>24</v>
      </c>
      <c r="K5135" s="5">
        <v>71622</v>
      </c>
      <c r="L5135" s="5">
        <v>1002380</v>
      </c>
      <c r="M5135" s="5">
        <v>153293.04999999999</v>
      </c>
      <c r="N5135" s="5">
        <v>0.1636</v>
      </c>
      <c r="O5135" s="5">
        <v>2</v>
      </c>
      <c r="P5135" s="5">
        <v>32517</v>
      </c>
    </row>
    <row r="5136" spans="1:16" x14ac:dyDescent="0.3">
      <c r="A5136" s="5">
        <v>104</v>
      </c>
      <c r="B5136" s="5" t="s">
        <v>168</v>
      </c>
      <c r="C5136" s="5">
        <v>8</v>
      </c>
      <c r="D5136" s="5" t="s">
        <v>82</v>
      </c>
      <c r="E5136" s="5">
        <v>2023</v>
      </c>
      <c r="F5136" s="5">
        <v>7</v>
      </c>
      <c r="G5136" s="5" t="s">
        <v>52</v>
      </c>
      <c r="H5136" s="5">
        <v>3370897</v>
      </c>
      <c r="I5136" s="5">
        <v>3001739.2</v>
      </c>
      <c r="J5136" s="5">
        <v>55</v>
      </c>
      <c r="K5136" s="5">
        <v>572257</v>
      </c>
      <c r="L5136" s="5">
        <v>3935500</v>
      </c>
      <c r="M5136" s="5">
        <v>369157.8</v>
      </c>
      <c r="N5136" s="5">
        <v>0.1095</v>
      </c>
      <c r="O5136" s="5">
        <v>5</v>
      </c>
      <c r="P5136" s="5">
        <v>139468</v>
      </c>
    </row>
    <row r="5137" spans="1:16" x14ac:dyDescent="0.3">
      <c r="A5137" s="5">
        <v>39</v>
      </c>
      <c r="B5137" s="5" t="s">
        <v>168</v>
      </c>
      <c r="C5137" s="5">
        <v>8</v>
      </c>
      <c r="D5137" s="5" t="s">
        <v>82</v>
      </c>
      <c r="E5137" s="5">
        <v>2023</v>
      </c>
      <c r="F5137" s="5">
        <v>8</v>
      </c>
      <c r="G5137" s="5" t="s">
        <v>53</v>
      </c>
      <c r="H5137" s="5">
        <v>2403101</v>
      </c>
      <c r="I5137" s="5">
        <v>2091841.53</v>
      </c>
      <c r="J5137" s="5">
        <v>31</v>
      </c>
      <c r="K5137" s="5">
        <v>340609</v>
      </c>
      <c r="L5137" s="5">
        <v>2737630</v>
      </c>
      <c r="M5137" s="5">
        <v>311259.46999999997</v>
      </c>
      <c r="N5137" s="5">
        <v>0.1295</v>
      </c>
      <c r="O5137" s="5">
        <v>3</v>
      </c>
      <c r="P5137" s="5">
        <v>176784</v>
      </c>
    </row>
    <row r="5138" spans="1:16" x14ac:dyDescent="0.3">
      <c r="A5138" s="5">
        <v>88</v>
      </c>
      <c r="B5138" s="5" t="s">
        <v>168</v>
      </c>
      <c r="C5138" s="5">
        <v>8</v>
      </c>
      <c r="D5138" s="5" t="s">
        <v>82</v>
      </c>
      <c r="E5138" s="5">
        <v>2023</v>
      </c>
      <c r="F5138" s="5">
        <v>8</v>
      </c>
      <c r="G5138" s="5" t="s">
        <v>53</v>
      </c>
      <c r="H5138" s="5">
        <v>853363</v>
      </c>
      <c r="I5138" s="5">
        <v>706446.12</v>
      </c>
      <c r="J5138" s="5">
        <v>25</v>
      </c>
      <c r="K5138" s="5">
        <v>138049</v>
      </c>
      <c r="L5138" s="5">
        <v>988890</v>
      </c>
      <c r="M5138" s="5">
        <v>146916.88</v>
      </c>
      <c r="N5138" s="5">
        <v>0.17219999999999999</v>
      </c>
      <c r="O5138" s="5">
        <v>0</v>
      </c>
      <c r="P5138" s="5">
        <v>0</v>
      </c>
    </row>
    <row r="5139" spans="1:16" x14ac:dyDescent="0.3">
      <c r="A5139" s="5">
        <v>104</v>
      </c>
      <c r="B5139" s="5" t="s">
        <v>168</v>
      </c>
      <c r="C5139" s="5">
        <v>8</v>
      </c>
      <c r="D5139" s="5" t="s">
        <v>82</v>
      </c>
      <c r="E5139" s="5">
        <v>2023</v>
      </c>
      <c r="F5139" s="5">
        <v>8</v>
      </c>
      <c r="G5139" s="5" t="s">
        <v>53</v>
      </c>
      <c r="H5139" s="5">
        <v>4566652</v>
      </c>
      <c r="I5139" s="5">
        <v>4024441.68</v>
      </c>
      <c r="J5139" s="5">
        <v>75</v>
      </c>
      <c r="K5139" s="5">
        <v>629068</v>
      </c>
      <c r="L5139" s="5">
        <v>5178730</v>
      </c>
      <c r="M5139" s="5">
        <v>542210.31999999995</v>
      </c>
      <c r="N5139" s="5">
        <v>0.1187</v>
      </c>
      <c r="O5139" s="5">
        <v>6</v>
      </c>
      <c r="P5139" s="5">
        <v>203693</v>
      </c>
    </row>
    <row r="5140" spans="1:16" x14ac:dyDescent="0.3">
      <c r="A5140" s="5">
        <v>39</v>
      </c>
      <c r="B5140" s="5" t="s">
        <v>168</v>
      </c>
      <c r="C5140" s="5">
        <v>8</v>
      </c>
      <c r="D5140" s="5" t="s">
        <v>82</v>
      </c>
      <c r="E5140" s="5">
        <v>2023</v>
      </c>
      <c r="F5140" s="5">
        <v>9</v>
      </c>
      <c r="G5140" s="5" t="s">
        <v>54</v>
      </c>
      <c r="H5140" s="5">
        <v>2356458</v>
      </c>
      <c r="I5140" s="5">
        <v>2133037.4900000002</v>
      </c>
      <c r="J5140" s="5">
        <v>37</v>
      </c>
      <c r="K5140" s="5">
        <v>354066</v>
      </c>
      <c r="L5140" s="5">
        <v>2699310</v>
      </c>
      <c r="M5140" s="5">
        <v>223420.51</v>
      </c>
      <c r="N5140" s="5">
        <v>9.4799999999999995E-2</v>
      </c>
      <c r="O5140" s="5">
        <v>2</v>
      </c>
      <c r="P5140" s="5">
        <v>8579</v>
      </c>
    </row>
    <row r="5141" spans="1:16" x14ac:dyDescent="0.3">
      <c r="A5141" s="5">
        <v>88</v>
      </c>
      <c r="B5141" s="5" t="s">
        <v>168</v>
      </c>
      <c r="C5141" s="5">
        <v>8</v>
      </c>
      <c r="D5141" s="5" t="s">
        <v>82</v>
      </c>
      <c r="E5141" s="5">
        <v>2023</v>
      </c>
      <c r="F5141" s="5">
        <v>9</v>
      </c>
      <c r="G5141" s="5" t="s">
        <v>54</v>
      </c>
      <c r="H5141" s="5">
        <v>2103574</v>
      </c>
      <c r="I5141" s="5">
        <v>1798393.28</v>
      </c>
      <c r="J5141" s="5">
        <v>27</v>
      </c>
      <c r="K5141" s="5">
        <v>185052</v>
      </c>
      <c r="L5141" s="5">
        <v>2286680</v>
      </c>
      <c r="M5141" s="5">
        <v>305180.71999999997</v>
      </c>
      <c r="N5141" s="5">
        <v>0.14510000000000001</v>
      </c>
      <c r="O5141" s="5">
        <v>1</v>
      </c>
      <c r="P5141" s="5">
        <v>5374</v>
      </c>
    </row>
    <row r="5142" spans="1:16" x14ac:dyDescent="0.3">
      <c r="A5142" s="5">
        <v>104</v>
      </c>
      <c r="B5142" s="5" t="s">
        <v>168</v>
      </c>
      <c r="C5142" s="5">
        <v>8</v>
      </c>
      <c r="D5142" s="5" t="s">
        <v>82</v>
      </c>
      <c r="E5142" s="5">
        <v>2023</v>
      </c>
      <c r="F5142" s="5">
        <v>9</v>
      </c>
      <c r="G5142" s="5" t="s">
        <v>54</v>
      </c>
      <c r="H5142" s="5">
        <v>5206053</v>
      </c>
      <c r="I5142" s="5">
        <v>4595150.7699999996</v>
      </c>
      <c r="J5142" s="5">
        <v>88</v>
      </c>
      <c r="K5142" s="5">
        <v>720434</v>
      </c>
      <c r="L5142" s="5">
        <v>5908380</v>
      </c>
      <c r="M5142" s="5">
        <v>610902.23</v>
      </c>
      <c r="N5142" s="5">
        <v>0.1173</v>
      </c>
      <c r="O5142" s="5">
        <v>11</v>
      </c>
      <c r="P5142" s="5">
        <v>191870</v>
      </c>
    </row>
    <row r="5143" spans="1:16" x14ac:dyDescent="0.3">
      <c r="A5143" s="5">
        <v>39</v>
      </c>
      <c r="B5143" s="5" t="s">
        <v>168</v>
      </c>
      <c r="C5143" s="5">
        <v>8</v>
      </c>
      <c r="D5143" s="5" t="s">
        <v>82</v>
      </c>
      <c r="E5143" s="5">
        <v>2023</v>
      </c>
      <c r="F5143" s="5">
        <v>10</v>
      </c>
      <c r="G5143" s="5" t="s">
        <v>55</v>
      </c>
      <c r="H5143" s="5">
        <v>2632638</v>
      </c>
      <c r="I5143" s="5">
        <v>2180121.16</v>
      </c>
      <c r="J5143" s="5">
        <v>41</v>
      </c>
      <c r="K5143" s="5">
        <v>220867</v>
      </c>
      <c r="L5143" s="5">
        <v>2843380</v>
      </c>
      <c r="M5143" s="5">
        <v>452516.84</v>
      </c>
      <c r="N5143" s="5">
        <v>0.1719</v>
      </c>
      <c r="O5143" s="5">
        <v>2</v>
      </c>
      <c r="P5143" s="5">
        <v>15232</v>
      </c>
    </row>
    <row r="5144" spans="1:16" x14ac:dyDescent="0.3">
      <c r="A5144" s="5">
        <v>88</v>
      </c>
      <c r="B5144" s="5" t="s">
        <v>168</v>
      </c>
      <c r="C5144" s="5">
        <v>8</v>
      </c>
      <c r="D5144" s="5" t="s">
        <v>82</v>
      </c>
      <c r="E5144" s="5">
        <v>2023</v>
      </c>
      <c r="F5144" s="5">
        <v>10</v>
      </c>
      <c r="G5144" s="5" t="s">
        <v>55</v>
      </c>
      <c r="H5144" s="5">
        <v>2008158</v>
      </c>
      <c r="I5144" s="5">
        <v>1790136.47</v>
      </c>
      <c r="J5144" s="5">
        <v>27</v>
      </c>
      <c r="K5144" s="5">
        <v>250560</v>
      </c>
      <c r="L5144" s="5">
        <v>2253080</v>
      </c>
      <c r="M5144" s="5">
        <v>218021.53</v>
      </c>
      <c r="N5144" s="5">
        <v>0.1086</v>
      </c>
      <c r="O5144" s="5">
        <v>3</v>
      </c>
      <c r="P5144" s="5">
        <v>112748</v>
      </c>
    </row>
    <row r="5145" spans="1:16" x14ac:dyDescent="0.3">
      <c r="A5145" s="5">
        <v>104</v>
      </c>
      <c r="B5145" s="5" t="s">
        <v>168</v>
      </c>
      <c r="C5145" s="5">
        <v>8</v>
      </c>
      <c r="D5145" s="5" t="s">
        <v>82</v>
      </c>
      <c r="E5145" s="5">
        <v>2023</v>
      </c>
      <c r="F5145" s="5">
        <v>10</v>
      </c>
      <c r="G5145" s="5" t="s">
        <v>55</v>
      </c>
      <c r="H5145" s="5">
        <v>4781189</v>
      </c>
      <c r="I5145" s="5">
        <v>4042786.91</v>
      </c>
      <c r="J5145" s="5">
        <v>83</v>
      </c>
      <c r="K5145" s="5">
        <v>418892</v>
      </c>
      <c r="L5145" s="5">
        <v>5176030</v>
      </c>
      <c r="M5145" s="5">
        <v>738402.09</v>
      </c>
      <c r="N5145" s="5">
        <v>0.15440000000000001</v>
      </c>
      <c r="O5145" s="5">
        <v>5</v>
      </c>
      <c r="P5145" s="5">
        <v>9834</v>
      </c>
    </row>
    <row r="5146" spans="1:16" x14ac:dyDescent="0.3">
      <c r="A5146" s="5">
        <v>39</v>
      </c>
      <c r="B5146" s="5" t="s">
        <v>168</v>
      </c>
      <c r="C5146" s="5">
        <v>8</v>
      </c>
      <c r="D5146" s="5" t="s">
        <v>82</v>
      </c>
      <c r="E5146" s="5">
        <v>2023</v>
      </c>
      <c r="F5146" s="5">
        <v>11</v>
      </c>
      <c r="G5146" s="5" t="s">
        <v>56</v>
      </c>
      <c r="H5146" s="5">
        <v>2573163</v>
      </c>
      <c r="I5146" s="5">
        <v>2360237.13</v>
      </c>
      <c r="J5146" s="5">
        <v>38</v>
      </c>
      <c r="K5146" s="5">
        <v>436363</v>
      </c>
      <c r="L5146" s="5">
        <v>3001980</v>
      </c>
      <c r="M5146" s="5">
        <v>212925.87</v>
      </c>
      <c r="N5146" s="5">
        <v>8.2699999999999996E-2</v>
      </c>
      <c r="O5146" s="5">
        <v>6</v>
      </c>
      <c r="P5146" s="5">
        <v>213880</v>
      </c>
    </row>
    <row r="5147" spans="1:16" x14ac:dyDescent="0.3">
      <c r="A5147" s="5">
        <v>88</v>
      </c>
      <c r="B5147" s="5" t="s">
        <v>168</v>
      </c>
      <c r="C5147" s="5">
        <v>8</v>
      </c>
      <c r="D5147" s="5" t="s">
        <v>82</v>
      </c>
      <c r="E5147" s="5">
        <v>2023</v>
      </c>
      <c r="F5147" s="5">
        <v>11</v>
      </c>
      <c r="G5147" s="5" t="s">
        <v>56</v>
      </c>
      <c r="H5147" s="5">
        <v>2195940</v>
      </c>
      <c r="I5147" s="5">
        <v>2063371.76</v>
      </c>
      <c r="J5147" s="5">
        <v>31</v>
      </c>
      <c r="K5147" s="5">
        <v>415868</v>
      </c>
      <c r="L5147" s="5">
        <v>2609510</v>
      </c>
      <c r="M5147" s="5">
        <v>132568.24</v>
      </c>
      <c r="N5147" s="5">
        <v>6.0400000000000002E-2</v>
      </c>
      <c r="O5147" s="5">
        <v>4</v>
      </c>
      <c r="P5147" s="5">
        <v>13748</v>
      </c>
    </row>
    <row r="5148" spans="1:16" x14ac:dyDescent="0.3">
      <c r="A5148" s="5">
        <v>104</v>
      </c>
      <c r="B5148" s="5" t="s">
        <v>168</v>
      </c>
      <c r="C5148" s="5">
        <v>8</v>
      </c>
      <c r="D5148" s="5" t="s">
        <v>82</v>
      </c>
      <c r="E5148" s="5">
        <v>2023</v>
      </c>
      <c r="F5148" s="5">
        <v>11</v>
      </c>
      <c r="G5148" s="5" t="s">
        <v>56</v>
      </c>
      <c r="H5148" s="5">
        <v>5697897</v>
      </c>
      <c r="I5148" s="5">
        <v>4904125.92</v>
      </c>
      <c r="J5148" s="5">
        <v>107</v>
      </c>
      <c r="K5148" s="5">
        <v>688064</v>
      </c>
      <c r="L5148" s="5">
        <v>6363580</v>
      </c>
      <c r="M5148" s="5">
        <v>793771.08</v>
      </c>
      <c r="N5148" s="5">
        <v>0.13930000000000001</v>
      </c>
      <c r="O5148" s="5">
        <v>15</v>
      </c>
      <c r="P5148" s="5">
        <v>270976</v>
      </c>
    </row>
    <row r="5149" spans="1:16" x14ac:dyDescent="0.3">
      <c r="A5149" s="5">
        <v>39</v>
      </c>
      <c r="B5149" s="5" t="s">
        <v>168</v>
      </c>
      <c r="C5149" s="5">
        <v>8</v>
      </c>
      <c r="D5149" s="5" t="s">
        <v>82</v>
      </c>
      <c r="E5149" s="5">
        <v>2023</v>
      </c>
      <c r="F5149" s="5">
        <v>12</v>
      </c>
      <c r="G5149" s="5" t="s">
        <v>57</v>
      </c>
      <c r="H5149" s="5">
        <v>2130411</v>
      </c>
      <c r="I5149" s="5">
        <v>2079797.77</v>
      </c>
      <c r="J5149" s="5">
        <v>38</v>
      </c>
      <c r="K5149" s="5">
        <v>504202</v>
      </c>
      <c r="L5149" s="5">
        <v>2632620</v>
      </c>
      <c r="M5149" s="5">
        <v>50613.23</v>
      </c>
      <c r="N5149" s="5">
        <v>2.3800000000000002E-2</v>
      </c>
      <c r="O5149" s="5">
        <v>3</v>
      </c>
      <c r="P5149" s="5">
        <v>154146</v>
      </c>
    </row>
    <row r="5150" spans="1:16" x14ac:dyDescent="0.3">
      <c r="A5150" s="5">
        <v>88</v>
      </c>
      <c r="B5150" s="5" t="s">
        <v>168</v>
      </c>
      <c r="C5150" s="5">
        <v>8</v>
      </c>
      <c r="D5150" s="5" t="s">
        <v>82</v>
      </c>
      <c r="E5150" s="5">
        <v>2023</v>
      </c>
      <c r="F5150" s="5">
        <v>12</v>
      </c>
      <c r="G5150" s="5" t="s">
        <v>57</v>
      </c>
      <c r="H5150" s="5">
        <v>1628263</v>
      </c>
      <c r="I5150" s="5">
        <v>1430589.73</v>
      </c>
      <c r="J5150" s="5">
        <v>34</v>
      </c>
      <c r="K5150" s="5">
        <v>251865</v>
      </c>
      <c r="L5150" s="5">
        <v>1877990</v>
      </c>
      <c r="M5150" s="5">
        <v>197673.27</v>
      </c>
      <c r="N5150" s="5">
        <v>0.12139999999999999</v>
      </c>
      <c r="O5150" s="5">
        <v>2</v>
      </c>
      <c r="P5150" s="5">
        <v>12745</v>
      </c>
    </row>
    <row r="5151" spans="1:16" x14ac:dyDescent="0.3">
      <c r="A5151" s="5">
        <v>104</v>
      </c>
      <c r="B5151" s="5" t="s">
        <v>168</v>
      </c>
      <c r="C5151" s="5">
        <v>8</v>
      </c>
      <c r="D5151" s="5" t="s">
        <v>82</v>
      </c>
      <c r="E5151" s="5">
        <v>2023</v>
      </c>
      <c r="F5151" s="5">
        <v>12</v>
      </c>
      <c r="G5151" s="5" t="s">
        <v>57</v>
      </c>
      <c r="H5151" s="5">
        <v>5830353</v>
      </c>
      <c r="I5151" s="5">
        <v>5324953.6500000004</v>
      </c>
      <c r="J5151" s="5">
        <v>94</v>
      </c>
      <c r="K5151" s="5">
        <v>966593</v>
      </c>
      <c r="L5151" s="5">
        <v>6772280</v>
      </c>
      <c r="M5151" s="5">
        <v>505399.35</v>
      </c>
      <c r="N5151" s="5">
        <v>8.6699999999999999E-2</v>
      </c>
      <c r="O5151" s="5">
        <v>8</v>
      </c>
      <c r="P5151" s="5">
        <v>148279</v>
      </c>
    </row>
    <row r="5152" spans="1:16" x14ac:dyDescent="0.3">
      <c r="A5152" s="5">
        <v>39</v>
      </c>
      <c r="B5152" s="5" t="s">
        <v>168</v>
      </c>
      <c r="C5152" s="5">
        <v>8</v>
      </c>
      <c r="D5152" s="5" t="s">
        <v>82</v>
      </c>
      <c r="E5152" s="5">
        <v>2024</v>
      </c>
      <c r="F5152" s="5">
        <v>1</v>
      </c>
      <c r="G5152" s="5" t="s">
        <v>58</v>
      </c>
      <c r="H5152" s="5">
        <v>2159403</v>
      </c>
      <c r="I5152" s="5">
        <v>1897945.44</v>
      </c>
      <c r="J5152" s="5">
        <v>29</v>
      </c>
      <c r="K5152" s="5">
        <v>254278</v>
      </c>
      <c r="L5152" s="5">
        <v>2404890</v>
      </c>
      <c r="M5152" s="5">
        <v>261457.56</v>
      </c>
      <c r="N5152" s="5">
        <v>0.1211</v>
      </c>
      <c r="O5152" s="5">
        <v>2</v>
      </c>
      <c r="P5152" s="5">
        <v>60091</v>
      </c>
    </row>
    <row r="5153" spans="1:16" x14ac:dyDescent="0.3">
      <c r="A5153" s="5">
        <v>88</v>
      </c>
      <c r="B5153" s="5" t="s">
        <v>168</v>
      </c>
      <c r="C5153" s="5">
        <v>8</v>
      </c>
      <c r="D5153" s="5" t="s">
        <v>82</v>
      </c>
      <c r="E5153" s="5">
        <v>2024</v>
      </c>
      <c r="F5153" s="5">
        <v>1</v>
      </c>
      <c r="G5153" s="5" t="s">
        <v>58</v>
      </c>
      <c r="H5153" s="5">
        <v>1082079</v>
      </c>
      <c r="I5153" s="5">
        <v>949799.41</v>
      </c>
      <c r="J5153" s="5">
        <v>21</v>
      </c>
      <c r="K5153" s="5">
        <v>160284</v>
      </c>
      <c r="L5153" s="5">
        <v>1238650</v>
      </c>
      <c r="M5153" s="5">
        <v>132279.59</v>
      </c>
      <c r="N5153" s="5">
        <v>0.1222</v>
      </c>
      <c r="O5153" s="5">
        <v>1</v>
      </c>
      <c r="P5153" s="5">
        <v>2703</v>
      </c>
    </row>
    <row r="5154" spans="1:16" x14ac:dyDescent="0.3">
      <c r="A5154" s="5">
        <v>104</v>
      </c>
      <c r="B5154" s="5" t="s">
        <v>168</v>
      </c>
      <c r="C5154" s="5">
        <v>8</v>
      </c>
      <c r="D5154" s="5" t="s">
        <v>82</v>
      </c>
      <c r="E5154" s="5">
        <v>2024</v>
      </c>
      <c r="F5154" s="5">
        <v>1</v>
      </c>
      <c r="G5154" s="5" t="s">
        <v>58</v>
      </c>
      <c r="H5154" s="5">
        <v>5070130</v>
      </c>
      <c r="I5154" s="5">
        <v>4605297.3099999996</v>
      </c>
      <c r="J5154" s="5">
        <v>66</v>
      </c>
      <c r="K5154" s="5">
        <v>758457</v>
      </c>
      <c r="L5154" s="5">
        <v>5811760</v>
      </c>
      <c r="M5154" s="5">
        <v>464832.69</v>
      </c>
      <c r="N5154" s="5">
        <v>9.1700000000000004E-2</v>
      </c>
      <c r="O5154" s="5">
        <v>8</v>
      </c>
      <c r="P5154" s="5">
        <v>314650</v>
      </c>
    </row>
    <row r="5155" spans="1:16" x14ac:dyDescent="0.3">
      <c r="A5155" s="5">
        <v>39</v>
      </c>
      <c r="B5155" s="5" t="s">
        <v>168</v>
      </c>
      <c r="C5155" s="5">
        <v>8</v>
      </c>
      <c r="D5155" s="5" t="s">
        <v>82</v>
      </c>
      <c r="E5155" s="5">
        <v>2024</v>
      </c>
      <c r="F5155" s="5">
        <v>2</v>
      </c>
      <c r="G5155" s="5" t="s">
        <v>59</v>
      </c>
      <c r="H5155" s="5">
        <v>2298859</v>
      </c>
      <c r="I5155" s="5">
        <v>2116918.39</v>
      </c>
      <c r="J5155" s="5">
        <v>25</v>
      </c>
      <c r="K5155" s="5">
        <v>361140</v>
      </c>
      <c r="L5155" s="5">
        <v>2655270</v>
      </c>
      <c r="M5155" s="5">
        <v>181940.61</v>
      </c>
      <c r="N5155" s="5">
        <v>7.9100000000000004E-2</v>
      </c>
      <c r="O5155" s="5">
        <v>2</v>
      </c>
      <c r="P5155" s="5">
        <v>120843</v>
      </c>
    </row>
    <row r="5156" spans="1:16" x14ac:dyDescent="0.3">
      <c r="A5156" s="5">
        <v>88</v>
      </c>
      <c r="B5156" s="5" t="s">
        <v>168</v>
      </c>
      <c r="C5156" s="5">
        <v>8</v>
      </c>
      <c r="D5156" s="5" t="s">
        <v>82</v>
      </c>
      <c r="E5156" s="5">
        <v>2024</v>
      </c>
      <c r="F5156" s="5">
        <v>2</v>
      </c>
      <c r="G5156" s="5" t="s">
        <v>59</v>
      </c>
      <c r="H5156" s="5">
        <v>969901</v>
      </c>
      <c r="I5156" s="5">
        <v>803203.17</v>
      </c>
      <c r="J5156" s="5">
        <v>18</v>
      </c>
      <c r="K5156" s="5">
        <v>79607</v>
      </c>
      <c r="L5156" s="5">
        <v>1046840</v>
      </c>
      <c r="M5156" s="5">
        <v>166697.82999999999</v>
      </c>
      <c r="N5156" s="5">
        <v>0.1719</v>
      </c>
      <c r="O5156" s="5">
        <v>0</v>
      </c>
      <c r="P5156" s="5">
        <v>0</v>
      </c>
    </row>
    <row r="5157" spans="1:16" x14ac:dyDescent="0.3">
      <c r="A5157" s="5">
        <v>104</v>
      </c>
      <c r="B5157" s="5" t="s">
        <v>168</v>
      </c>
      <c r="C5157" s="5">
        <v>8</v>
      </c>
      <c r="D5157" s="5" t="s">
        <v>82</v>
      </c>
      <c r="E5157" s="5">
        <v>2024</v>
      </c>
      <c r="F5157" s="5">
        <v>2</v>
      </c>
      <c r="G5157" s="5" t="s">
        <v>59</v>
      </c>
      <c r="H5157" s="5">
        <v>2936489</v>
      </c>
      <c r="I5157" s="5">
        <v>2448132.85</v>
      </c>
      <c r="J5157" s="5">
        <v>57</v>
      </c>
      <c r="K5157" s="5">
        <v>227963</v>
      </c>
      <c r="L5157" s="5">
        <v>3152750</v>
      </c>
      <c r="M5157" s="5">
        <v>488356.15</v>
      </c>
      <c r="N5157" s="5">
        <v>0.1663</v>
      </c>
      <c r="O5157" s="5">
        <v>8</v>
      </c>
      <c r="P5157" s="5">
        <v>93659</v>
      </c>
    </row>
    <row r="5158" spans="1:16" x14ac:dyDescent="0.3">
      <c r="A5158" s="5">
        <v>39</v>
      </c>
      <c r="B5158" s="5" t="s">
        <v>168</v>
      </c>
      <c r="C5158" s="5">
        <v>8</v>
      </c>
      <c r="D5158" s="5" t="s">
        <v>82</v>
      </c>
      <c r="E5158" s="5">
        <v>2024</v>
      </c>
      <c r="F5158" s="5">
        <v>3</v>
      </c>
      <c r="G5158" s="5" t="s">
        <v>60</v>
      </c>
      <c r="H5158" s="5">
        <v>3355625</v>
      </c>
      <c r="I5158" s="5">
        <v>2970198.81</v>
      </c>
      <c r="J5158" s="5">
        <v>34</v>
      </c>
      <c r="K5158" s="5">
        <v>456661</v>
      </c>
      <c r="L5158" s="5">
        <v>3805670</v>
      </c>
      <c r="M5158" s="5">
        <v>385426.19</v>
      </c>
      <c r="N5158" s="5">
        <v>0.1149</v>
      </c>
      <c r="O5158" s="5">
        <v>5</v>
      </c>
      <c r="P5158" s="5">
        <v>172659</v>
      </c>
    </row>
    <row r="5159" spans="1:16" x14ac:dyDescent="0.3">
      <c r="A5159" s="5">
        <v>88</v>
      </c>
      <c r="B5159" s="5" t="s">
        <v>168</v>
      </c>
      <c r="C5159" s="5">
        <v>8</v>
      </c>
      <c r="D5159" s="5" t="s">
        <v>82</v>
      </c>
      <c r="E5159" s="5">
        <v>2024</v>
      </c>
      <c r="F5159" s="5">
        <v>3</v>
      </c>
      <c r="G5159" s="5" t="s">
        <v>60</v>
      </c>
      <c r="H5159" s="5">
        <v>1649906</v>
      </c>
      <c r="I5159" s="5">
        <v>1374792.26</v>
      </c>
      <c r="J5159" s="5">
        <v>20</v>
      </c>
      <c r="K5159" s="5">
        <v>69302</v>
      </c>
      <c r="L5159" s="5">
        <v>1708460</v>
      </c>
      <c r="M5159" s="5">
        <v>275113.74</v>
      </c>
      <c r="N5159" s="5">
        <v>0.16669999999999999</v>
      </c>
      <c r="O5159" s="5">
        <v>3</v>
      </c>
      <c r="P5159" s="5">
        <v>25935</v>
      </c>
    </row>
    <row r="5160" spans="1:16" x14ac:dyDescent="0.3">
      <c r="A5160" s="5">
        <v>104</v>
      </c>
      <c r="B5160" s="5" t="s">
        <v>168</v>
      </c>
      <c r="C5160" s="5">
        <v>8</v>
      </c>
      <c r="D5160" s="5" t="s">
        <v>82</v>
      </c>
      <c r="E5160" s="5">
        <v>2024</v>
      </c>
      <c r="F5160" s="5">
        <v>3</v>
      </c>
      <c r="G5160" s="5" t="s">
        <v>60</v>
      </c>
      <c r="H5160" s="5">
        <v>4096713</v>
      </c>
      <c r="I5160" s="5">
        <v>3411111.34</v>
      </c>
      <c r="J5160" s="5">
        <v>60</v>
      </c>
      <c r="K5160" s="5">
        <v>341550</v>
      </c>
      <c r="L5160" s="5">
        <v>4423750</v>
      </c>
      <c r="M5160" s="5">
        <v>685601.66</v>
      </c>
      <c r="N5160" s="5">
        <v>0.16739999999999999</v>
      </c>
      <c r="O5160" s="5">
        <v>6</v>
      </c>
      <c r="P5160" s="5">
        <v>275176</v>
      </c>
    </row>
    <row r="5161" spans="1:16" x14ac:dyDescent="0.3">
      <c r="A5161" s="5">
        <v>39</v>
      </c>
      <c r="B5161" s="5" t="s">
        <v>168</v>
      </c>
      <c r="C5161" s="5">
        <v>8</v>
      </c>
      <c r="D5161" s="5" t="s">
        <v>82</v>
      </c>
      <c r="E5161" s="5">
        <v>2024</v>
      </c>
      <c r="F5161" s="5">
        <v>4</v>
      </c>
      <c r="G5161" s="5" t="s">
        <v>61</v>
      </c>
      <c r="H5161" s="5">
        <v>3905532</v>
      </c>
      <c r="I5161" s="5">
        <v>3364758.46</v>
      </c>
      <c r="J5161" s="5">
        <v>35</v>
      </c>
      <c r="K5161" s="5">
        <v>389883</v>
      </c>
      <c r="L5161" s="5">
        <v>4288210</v>
      </c>
      <c r="M5161" s="5">
        <v>540773.54</v>
      </c>
      <c r="N5161" s="5">
        <v>0.13850000000000001</v>
      </c>
      <c r="O5161" s="5">
        <v>3</v>
      </c>
      <c r="P5161" s="5">
        <v>185680</v>
      </c>
    </row>
    <row r="5162" spans="1:16" x14ac:dyDescent="0.3">
      <c r="A5162" s="5">
        <v>88</v>
      </c>
      <c r="B5162" s="5" t="s">
        <v>168</v>
      </c>
      <c r="C5162" s="5">
        <v>8</v>
      </c>
      <c r="D5162" s="5" t="s">
        <v>82</v>
      </c>
      <c r="E5162" s="5">
        <v>2024</v>
      </c>
      <c r="F5162" s="5">
        <v>4</v>
      </c>
      <c r="G5162" s="5" t="s">
        <v>61</v>
      </c>
      <c r="H5162" s="5">
        <v>1502070</v>
      </c>
      <c r="I5162" s="5">
        <v>1292867.6200000001</v>
      </c>
      <c r="J5162" s="5">
        <v>19</v>
      </c>
      <c r="K5162" s="5">
        <v>148873</v>
      </c>
      <c r="L5162" s="5">
        <v>1644860</v>
      </c>
      <c r="M5162" s="5">
        <v>209202.38</v>
      </c>
      <c r="N5162" s="5">
        <v>0.13930000000000001</v>
      </c>
      <c r="O5162" s="5">
        <v>1</v>
      </c>
      <c r="P5162" s="5">
        <v>172175</v>
      </c>
    </row>
    <row r="5163" spans="1:16" x14ac:dyDescent="0.3">
      <c r="A5163" s="5">
        <v>104</v>
      </c>
      <c r="B5163" s="5" t="s">
        <v>168</v>
      </c>
      <c r="C5163" s="5">
        <v>8</v>
      </c>
      <c r="D5163" s="5" t="s">
        <v>82</v>
      </c>
      <c r="E5163" s="5">
        <v>2024</v>
      </c>
      <c r="F5163" s="5">
        <v>4</v>
      </c>
      <c r="G5163" s="5" t="s">
        <v>61</v>
      </c>
      <c r="H5163" s="5">
        <v>4474088</v>
      </c>
      <c r="I5163" s="5">
        <v>3842060.9</v>
      </c>
      <c r="J5163" s="5">
        <v>70</v>
      </c>
      <c r="K5163" s="5">
        <v>414574</v>
      </c>
      <c r="L5163" s="5">
        <v>4864340</v>
      </c>
      <c r="M5163" s="5">
        <v>632027.1</v>
      </c>
      <c r="N5163" s="5">
        <v>0.14130000000000001</v>
      </c>
      <c r="O5163" s="5">
        <v>4</v>
      </c>
      <c r="P5163" s="5">
        <v>213723</v>
      </c>
    </row>
    <row r="5164" spans="1:16" x14ac:dyDescent="0.3">
      <c r="A5164" s="5">
        <v>39</v>
      </c>
      <c r="B5164" s="5" t="s">
        <v>168</v>
      </c>
      <c r="C5164" s="5">
        <v>8</v>
      </c>
      <c r="D5164" s="5" t="s">
        <v>82</v>
      </c>
      <c r="E5164" s="5">
        <v>2024</v>
      </c>
      <c r="F5164" s="5">
        <v>5</v>
      </c>
      <c r="G5164" s="5" t="s">
        <v>62</v>
      </c>
      <c r="H5164" s="5">
        <v>2222090</v>
      </c>
      <c r="I5164" s="5">
        <v>2002665.36</v>
      </c>
      <c r="J5164" s="5">
        <v>37</v>
      </c>
      <c r="K5164" s="5">
        <v>345807</v>
      </c>
      <c r="L5164" s="5">
        <v>2559540</v>
      </c>
      <c r="M5164" s="5">
        <v>219424.64000000001</v>
      </c>
      <c r="N5164" s="5">
        <v>9.8699999999999996E-2</v>
      </c>
      <c r="O5164" s="5">
        <v>2</v>
      </c>
      <c r="P5164" s="5">
        <v>34879</v>
      </c>
    </row>
    <row r="5165" spans="1:16" x14ac:dyDescent="0.3">
      <c r="A5165" s="5">
        <v>88</v>
      </c>
      <c r="B5165" s="5" t="s">
        <v>168</v>
      </c>
      <c r="C5165" s="5">
        <v>8</v>
      </c>
      <c r="D5165" s="5" t="s">
        <v>82</v>
      </c>
      <c r="E5165" s="5">
        <v>2024</v>
      </c>
      <c r="F5165" s="5">
        <v>5</v>
      </c>
      <c r="G5165" s="5" t="s">
        <v>62</v>
      </c>
      <c r="H5165" s="5">
        <v>1809920</v>
      </c>
      <c r="I5165" s="5">
        <v>1504164.46</v>
      </c>
      <c r="J5165" s="5">
        <v>27</v>
      </c>
      <c r="K5165" s="5">
        <v>149232</v>
      </c>
      <c r="L5165" s="5">
        <v>1954310</v>
      </c>
      <c r="M5165" s="5">
        <v>305755.53999999998</v>
      </c>
      <c r="N5165" s="5">
        <v>0.16889999999999999</v>
      </c>
      <c r="O5165" s="5">
        <v>3</v>
      </c>
      <c r="P5165" s="5">
        <v>91628</v>
      </c>
    </row>
    <row r="5166" spans="1:16" x14ac:dyDescent="0.3">
      <c r="A5166" s="5">
        <v>104</v>
      </c>
      <c r="B5166" s="5" t="s">
        <v>168</v>
      </c>
      <c r="C5166" s="5">
        <v>8</v>
      </c>
      <c r="D5166" s="5" t="s">
        <v>82</v>
      </c>
      <c r="E5166" s="5">
        <v>2024</v>
      </c>
      <c r="F5166" s="5">
        <v>5</v>
      </c>
      <c r="G5166" s="5" t="s">
        <v>62</v>
      </c>
      <c r="H5166" s="5">
        <v>4948948</v>
      </c>
      <c r="I5166" s="5">
        <v>4141800.11</v>
      </c>
      <c r="J5166" s="5">
        <v>76</v>
      </c>
      <c r="K5166" s="5">
        <v>473011</v>
      </c>
      <c r="L5166" s="5">
        <v>5400480</v>
      </c>
      <c r="M5166" s="5">
        <v>807147.89</v>
      </c>
      <c r="N5166" s="5">
        <v>0.16309999999999999</v>
      </c>
      <c r="O5166" s="5">
        <v>4</v>
      </c>
      <c r="P5166" s="5">
        <v>107386</v>
      </c>
    </row>
    <row r="5167" spans="1:16" x14ac:dyDescent="0.3">
      <c r="A5167" s="5">
        <v>39</v>
      </c>
      <c r="B5167" s="5" t="s">
        <v>168</v>
      </c>
      <c r="C5167" s="5">
        <v>8</v>
      </c>
      <c r="D5167" s="5" t="s">
        <v>82</v>
      </c>
      <c r="E5167" s="5">
        <v>2024</v>
      </c>
      <c r="F5167" s="5">
        <v>6</v>
      </c>
      <c r="G5167" s="5" t="s">
        <v>63</v>
      </c>
      <c r="H5167" s="5">
        <v>2225593</v>
      </c>
      <c r="I5167" s="5">
        <v>1846610.49</v>
      </c>
      <c r="J5167" s="5">
        <v>32</v>
      </c>
      <c r="K5167" s="5">
        <v>147116</v>
      </c>
      <c r="L5167" s="5">
        <v>2364710</v>
      </c>
      <c r="M5167" s="5">
        <v>378982.51</v>
      </c>
      <c r="N5167" s="5">
        <v>0.17030000000000001</v>
      </c>
      <c r="O5167" s="5">
        <v>1</v>
      </c>
      <c r="P5167" s="5">
        <v>49717</v>
      </c>
    </row>
    <row r="5168" spans="1:16" x14ac:dyDescent="0.3">
      <c r="A5168" s="5">
        <v>88</v>
      </c>
      <c r="B5168" s="5" t="s">
        <v>168</v>
      </c>
      <c r="C5168" s="5">
        <v>8</v>
      </c>
      <c r="D5168" s="5" t="s">
        <v>82</v>
      </c>
      <c r="E5168" s="5">
        <v>2024</v>
      </c>
      <c r="F5168" s="5">
        <v>6</v>
      </c>
      <c r="G5168" s="5" t="s">
        <v>63</v>
      </c>
      <c r="H5168" s="5">
        <v>2050255</v>
      </c>
      <c r="I5168" s="5">
        <v>1646724.75</v>
      </c>
      <c r="J5168" s="5">
        <v>24</v>
      </c>
      <c r="K5168" s="5">
        <v>172570</v>
      </c>
      <c r="L5168" s="5">
        <v>2220720</v>
      </c>
      <c r="M5168" s="5">
        <v>403530.25</v>
      </c>
      <c r="N5168" s="5">
        <v>0.1968</v>
      </c>
      <c r="O5168" s="5">
        <v>4</v>
      </c>
      <c r="P5168" s="5">
        <v>21781</v>
      </c>
    </row>
    <row r="5169" spans="1:16" x14ac:dyDescent="0.3">
      <c r="A5169" s="5">
        <v>104</v>
      </c>
      <c r="B5169" s="5" t="s">
        <v>168</v>
      </c>
      <c r="C5169" s="5">
        <v>8</v>
      </c>
      <c r="D5169" s="5" t="s">
        <v>82</v>
      </c>
      <c r="E5169" s="5">
        <v>2024</v>
      </c>
      <c r="F5169" s="5">
        <v>6</v>
      </c>
      <c r="G5169" s="5" t="s">
        <v>63</v>
      </c>
      <c r="H5169" s="5">
        <v>4467938</v>
      </c>
      <c r="I5169" s="5">
        <v>3699125.68</v>
      </c>
      <c r="J5169" s="5">
        <v>75</v>
      </c>
      <c r="K5169" s="5">
        <v>328008</v>
      </c>
      <c r="L5169" s="5">
        <v>4776220</v>
      </c>
      <c r="M5169" s="5">
        <v>768812.32</v>
      </c>
      <c r="N5169" s="5">
        <v>0.1721</v>
      </c>
      <c r="O5169" s="5">
        <v>6</v>
      </c>
      <c r="P5169" s="5">
        <v>81168</v>
      </c>
    </row>
    <row r="5170" spans="1:16" x14ac:dyDescent="0.3">
      <c r="A5170" s="5">
        <v>39</v>
      </c>
      <c r="B5170" s="5" t="s">
        <v>168</v>
      </c>
      <c r="C5170" s="5">
        <v>8</v>
      </c>
      <c r="D5170" s="5" t="s">
        <v>82</v>
      </c>
      <c r="E5170" s="5">
        <v>2024</v>
      </c>
      <c r="F5170" s="5">
        <v>7</v>
      </c>
      <c r="G5170" s="5" t="s">
        <v>64</v>
      </c>
      <c r="H5170" s="5">
        <v>1991044</v>
      </c>
      <c r="I5170" s="5">
        <v>1699016.51</v>
      </c>
      <c r="J5170" s="5">
        <v>29</v>
      </c>
      <c r="K5170" s="5">
        <v>172025</v>
      </c>
      <c r="L5170" s="5">
        <v>2155330</v>
      </c>
      <c r="M5170" s="5">
        <v>292027.49</v>
      </c>
      <c r="N5170" s="5">
        <v>0.1467</v>
      </c>
      <c r="O5170" s="5">
        <v>1</v>
      </c>
      <c r="P5170" s="5">
        <v>521</v>
      </c>
    </row>
    <row r="5171" spans="1:16" x14ac:dyDescent="0.3">
      <c r="A5171" s="5">
        <v>88</v>
      </c>
      <c r="B5171" s="5" t="s">
        <v>168</v>
      </c>
      <c r="C5171" s="5">
        <v>8</v>
      </c>
      <c r="D5171" s="5" t="s">
        <v>82</v>
      </c>
      <c r="E5171" s="5">
        <v>2024</v>
      </c>
      <c r="F5171" s="5">
        <v>7</v>
      </c>
      <c r="G5171" s="5" t="s">
        <v>64</v>
      </c>
      <c r="H5171" s="5">
        <v>2371150</v>
      </c>
      <c r="I5171" s="5">
        <v>2021707.61</v>
      </c>
      <c r="J5171" s="5">
        <v>29</v>
      </c>
      <c r="K5171" s="5">
        <v>267767</v>
      </c>
      <c r="L5171" s="5">
        <v>2630780</v>
      </c>
      <c r="M5171" s="5">
        <v>349442.39</v>
      </c>
      <c r="N5171" s="5">
        <v>0.1474</v>
      </c>
      <c r="O5171" s="5">
        <v>3</v>
      </c>
      <c r="P5171" s="5">
        <v>156002</v>
      </c>
    </row>
    <row r="5172" spans="1:16" x14ac:dyDescent="0.3">
      <c r="A5172" s="5">
        <v>104</v>
      </c>
      <c r="B5172" s="5" t="s">
        <v>168</v>
      </c>
      <c r="C5172" s="5">
        <v>8</v>
      </c>
      <c r="D5172" s="5" t="s">
        <v>82</v>
      </c>
      <c r="E5172" s="5">
        <v>2024</v>
      </c>
      <c r="F5172" s="5">
        <v>7</v>
      </c>
      <c r="G5172" s="5" t="s">
        <v>64</v>
      </c>
      <c r="H5172" s="5">
        <v>5697415</v>
      </c>
      <c r="I5172" s="5">
        <v>4952211.8099999996</v>
      </c>
      <c r="J5172" s="5">
        <v>79</v>
      </c>
      <c r="K5172" s="5">
        <v>614130</v>
      </c>
      <c r="L5172" s="5">
        <v>6300810</v>
      </c>
      <c r="M5172" s="5">
        <v>745203.19</v>
      </c>
      <c r="N5172" s="5">
        <v>0.1308</v>
      </c>
      <c r="O5172" s="5">
        <v>10</v>
      </c>
      <c r="P5172" s="5">
        <v>284789</v>
      </c>
    </row>
    <row r="5173" spans="1:16" x14ac:dyDescent="0.3">
      <c r="A5173" s="5">
        <v>39</v>
      </c>
      <c r="B5173" s="5" t="s">
        <v>168</v>
      </c>
      <c r="C5173" s="5">
        <v>8</v>
      </c>
      <c r="D5173" s="5" t="s">
        <v>82</v>
      </c>
      <c r="E5173" s="5">
        <v>2024</v>
      </c>
      <c r="F5173" s="5">
        <v>8</v>
      </c>
      <c r="G5173" s="5" t="s">
        <v>65</v>
      </c>
      <c r="H5173" s="5">
        <v>2505528</v>
      </c>
      <c r="I5173" s="5">
        <v>2142025.33</v>
      </c>
      <c r="J5173" s="5">
        <v>37</v>
      </c>
      <c r="K5173" s="5">
        <v>246788</v>
      </c>
      <c r="L5173" s="5">
        <v>2745480</v>
      </c>
      <c r="M5173" s="5">
        <v>363502.67</v>
      </c>
      <c r="N5173" s="5">
        <v>0.14510000000000001</v>
      </c>
      <c r="O5173" s="5">
        <v>3</v>
      </c>
      <c r="P5173" s="5">
        <v>202701</v>
      </c>
    </row>
    <row r="5174" spans="1:16" x14ac:dyDescent="0.3">
      <c r="A5174" s="5">
        <v>88</v>
      </c>
      <c r="B5174" s="5" t="s">
        <v>168</v>
      </c>
      <c r="C5174" s="5">
        <v>8</v>
      </c>
      <c r="D5174" s="5" t="s">
        <v>82</v>
      </c>
      <c r="E5174" s="5">
        <v>2024</v>
      </c>
      <c r="F5174" s="5">
        <v>8</v>
      </c>
      <c r="G5174" s="5" t="s">
        <v>65</v>
      </c>
      <c r="H5174" s="5">
        <v>1310805</v>
      </c>
      <c r="I5174" s="5">
        <v>1095646.83</v>
      </c>
      <c r="J5174" s="5">
        <v>18</v>
      </c>
      <c r="K5174" s="5">
        <v>139373</v>
      </c>
      <c r="L5174" s="5">
        <v>1449250</v>
      </c>
      <c r="M5174" s="5">
        <v>215158.17</v>
      </c>
      <c r="N5174" s="5">
        <v>0.1641</v>
      </c>
      <c r="O5174" s="5">
        <v>1</v>
      </c>
      <c r="P5174" s="5">
        <v>3679</v>
      </c>
    </row>
    <row r="5175" spans="1:16" x14ac:dyDescent="0.3">
      <c r="A5175" s="5">
        <v>104</v>
      </c>
      <c r="B5175" s="5" t="s">
        <v>168</v>
      </c>
      <c r="C5175" s="5">
        <v>8</v>
      </c>
      <c r="D5175" s="5" t="s">
        <v>82</v>
      </c>
      <c r="E5175" s="5">
        <v>2024</v>
      </c>
      <c r="F5175" s="5">
        <v>8</v>
      </c>
      <c r="G5175" s="5" t="s">
        <v>65</v>
      </c>
      <c r="H5175" s="5">
        <v>3141584</v>
      </c>
      <c r="I5175" s="5">
        <v>2654740.39</v>
      </c>
      <c r="J5175" s="5">
        <v>73</v>
      </c>
      <c r="K5175" s="5">
        <v>340399</v>
      </c>
      <c r="L5175" s="5">
        <v>3470100</v>
      </c>
      <c r="M5175" s="5">
        <v>486843.61</v>
      </c>
      <c r="N5175" s="5">
        <v>0.155</v>
      </c>
      <c r="O5175" s="5">
        <v>4</v>
      </c>
      <c r="P5175" s="5">
        <v>97414</v>
      </c>
    </row>
    <row r="5176" spans="1:16" x14ac:dyDescent="0.3">
      <c r="A5176" s="5">
        <v>39</v>
      </c>
      <c r="B5176" s="5" t="s">
        <v>168</v>
      </c>
      <c r="C5176" s="5">
        <v>8</v>
      </c>
      <c r="D5176" s="5" t="s">
        <v>82</v>
      </c>
      <c r="E5176" s="5">
        <v>2024</v>
      </c>
      <c r="F5176" s="5">
        <v>9</v>
      </c>
      <c r="G5176" s="5" t="s">
        <v>66</v>
      </c>
      <c r="H5176" s="5">
        <v>1817216</v>
      </c>
      <c r="I5176" s="5">
        <v>1468017.93</v>
      </c>
      <c r="J5176" s="5">
        <v>33</v>
      </c>
      <c r="K5176" s="5">
        <v>103693</v>
      </c>
      <c r="L5176" s="5">
        <v>1913120</v>
      </c>
      <c r="M5176" s="5">
        <v>349198.07</v>
      </c>
      <c r="N5176" s="5">
        <v>0.19220000000000001</v>
      </c>
      <c r="O5176" s="5">
        <v>2</v>
      </c>
      <c r="P5176" s="5">
        <v>115212</v>
      </c>
    </row>
    <row r="5177" spans="1:16" x14ac:dyDescent="0.3">
      <c r="A5177" s="5">
        <v>88</v>
      </c>
      <c r="B5177" s="5" t="s">
        <v>168</v>
      </c>
      <c r="C5177" s="5">
        <v>8</v>
      </c>
      <c r="D5177" s="5" t="s">
        <v>82</v>
      </c>
      <c r="E5177" s="5">
        <v>2024</v>
      </c>
      <c r="F5177" s="5">
        <v>9</v>
      </c>
      <c r="G5177" s="5" t="s">
        <v>66</v>
      </c>
      <c r="H5177" s="5">
        <v>1152575</v>
      </c>
      <c r="I5177" s="5">
        <v>944729.71</v>
      </c>
      <c r="J5177" s="5">
        <v>19</v>
      </c>
      <c r="K5177" s="5">
        <v>70415</v>
      </c>
      <c r="L5177" s="5">
        <v>1220150</v>
      </c>
      <c r="M5177" s="5">
        <v>207845.29</v>
      </c>
      <c r="N5177" s="5">
        <v>0.18029999999999999</v>
      </c>
      <c r="O5177" s="5">
        <v>1</v>
      </c>
      <c r="P5177" s="5">
        <v>3248</v>
      </c>
    </row>
    <row r="5178" spans="1:16" x14ac:dyDescent="0.3">
      <c r="A5178" s="5">
        <v>104</v>
      </c>
      <c r="B5178" s="5" t="s">
        <v>168</v>
      </c>
      <c r="C5178" s="5">
        <v>8</v>
      </c>
      <c r="D5178" s="5" t="s">
        <v>82</v>
      </c>
      <c r="E5178" s="5">
        <v>2024</v>
      </c>
      <c r="F5178" s="5">
        <v>9</v>
      </c>
      <c r="G5178" s="5" t="s">
        <v>66</v>
      </c>
      <c r="H5178" s="5">
        <v>5939477</v>
      </c>
      <c r="I5178" s="5">
        <v>4996392.5</v>
      </c>
      <c r="J5178" s="5">
        <v>85</v>
      </c>
      <c r="K5178" s="5">
        <v>482225</v>
      </c>
      <c r="L5178" s="5">
        <v>6411460</v>
      </c>
      <c r="M5178" s="5">
        <v>943084.5</v>
      </c>
      <c r="N5178" s="5">
        <v>0.1588</v>
      </c>
      <c r="O5178" s="5">
        <v>9</v>
      </c>
      <c r="P5178" s="5">
        <v>237867</v>
      </c>
    </row>
    <row r="5179" spans="1:16" x14ac:dyDescent="0.3">
      <c r="A5179" s="5">
        <v>39</v>
      </c>
      <c r="B5179" s="5" t="s">
        <v>168</v>
      </c>
      <c r="C5179" s="5">
        <v>8</v>
      </c>
      <c r="D5179" s="5" t="s">
        <v>82</v>
      </c>
      <c r="E5179" s="5">
        <v>2024</v>
      </c>
      <c r="F5179" s="5">
        <v>10</v>
      </c>
      <c r="G5179" s="5" t="s">
        <v>67</v>
      </c>
      <c r="H5179" s="5">
        <v>3120125</v>
      </c>
      <c r="I5179" s="5">
        <v>2477486.48</v>
      </c>
      <c r="J5179" s="5">
        <v>47</v>
      </c>
      <c r="K5179" s="5">
        <v>108353</v>
      </c>
      <c r="L5179" s="5">
        <v>3217900</v>
      </c>
      <c r="M5179" s="5">
        <v>642638.52</v>
      </c>
      <c r="N5179" s="5">
        <v>0.20599999999999999</v>
      </c>
      <c r="O5179" s="5">
        <v>6</v>
      </c>
      <c r="P5179" s="5">
        <v>64561</v>
      </c>
    </row>
    <row r="5180" spans="1:16" x14ac:dyDescent="0.3">
      <c r="A5180" s="5">
        <v>88</v>
      </c>
      <c r="B5180" s="5" t="s">
        <v>168</v>
      </c>
      <c r="C5180" s="5">
        <v>8</v>
      </c>
      <c r="D5180" s="5" t="s">
        <v>82</v>
      </c>
      <c r="E5180" s="5">
        <v>2024</v>
      </c>
      <c r="F5180" s="5">
        <v>10</v>
      </c>
      <c r="G5180" s="5" t="s">
        <v>67</v>
      </c>
      <c r="H5180" s="5">
        <v>2086647</v>
      </c>
      <c r="I5180" s="5">
        <v>1682528.47</v>
      </c>
      <c r="J5180" s="5">
        <v>28</v>
      </c>
      <c r="K5180" s="5">
        <v>62395</v>
      </c>
      <c r="L5180" s="5">
        <v>2138970</v>
      </c>
      <c r="M5180" s="5">
        <v>404118.53</v>
      </c>
      <c r="N5180" s="5">
        <v>0.19370000000000001</v>
      </c>
      <c r="O5180" s="5">
        <v>3</v>
      </c>
      <c r="P5180" s="5">
        <v>29786</v>
      </c>
    </row>
    <row r="5181" spans="1:16" x14ac:dyDescent="0.3">
      <c r="A5181" s="5">
        <v>104</v>
      </c>
      <c r="B5181" s="5" t="s">
        <v>168</v>
      </c>
      <c r="C5181" s="5">
        <v>8</v>
      </c>
      <c r="D5181" s="5" t="s">
        <v>82</v>
      </c>
      <c r="E5181" s="5">
        <v>2024</v>
      </c>
      <c r="F5181" s="5">
        <v>10</v>
      </c>
      <c r="G5181" s="5" t="s">
        <v>67</v>
      </c>
      <c r="H5181" s="5">
        <v>8112188</v>
      </c>
      <c r="I5181" s="5">
        <v>6631098.0099999998</v>
      </c>
      <c r="J5181" s="5">
        <v>92</v>
      </c>
      <c r="K5181" s="5">
        <v>271648</v>
      </c>
      <c r="L5181" s="5">
        <v>8345700</v>
      </c>
      <c r="M5181" s="5">
        <v>1481089.99</v>
      </c>
      <c r="N5181" s="5">
        <v>0.18260000000000001</v>
      </c>
      <c r="O5181" s="5">
        <v>7</v>
      </c>
      <c r="P5181" s="5">
        <v>541052</v>
      </c>
    </row>
    <row r="5182" spans="1:16" x14ac:dyDescent="0.3">
      <c r="A5182" s="5">
        <v>39</v>
      </c>
      <c r="B5182" s="5" t="s">
        <v>168</v>
      </c>
      <c r="C5182" s="5">
        <v>8</v>
      </c>
      <c r="D5182" s="5" t="s">
        <v>82</v>
      </c>
      <c r="E5182" s="5">
        <v>2024</v>
      </c>
      <c r="F5182" s="5">
        <v>11</v>
      </c>
      <c r="G5182" s="5" t="s">
        <v>68</v>
      </c>
      <c r="H5182" s="5">
        <v>2591177</v>
      </c>
      <c r="I5182" s="5">
        <v>2071163.14</v>
      </c>
      <c r="J5182" s="5">
        <v>51</v>
      </c>
      <c r="K5182" s="5">
        <v>143596</v>
      </c>
      <c r="L5182" s="5">
        <v>2729080</v>
      </c>
      <c r="M5182" s="5">
        <v>520013.86</v>
      </c>
      <c r="N5182" s="5">
        <v>0.20069999999999999</v>
      </c>
      <c r="O5182" s="5">
        <v>8</v>
      </c>
      <c r="P5182" s="5">
        <v>253597</v>
      </c>
    </row>
    <row r="5183" spans="1:16" x14ac:dyDescent="0.3">
      <c r="A5183" s="5">
        <v>88</v>
      </c>
      <c r="B5183" s="5" t="s">
        <v>168</v>
      </c>
      <c r="C5183" s="5">
        <v>8</v>
      </c>
      <c r="D5183" s="5" t="s">
        <v>82</v>
      </c>
      <c r="E5183" s="5">
        <v>2024</v>
      </c>
      <c r="F5183" s="5">
        <v>11</v>
      </c>
      <c r="G5183" s="5" t="s">
        <v>68</v>
      </c>
      <c r="H5183" s="5">
        <v>3005960</v>
      </c>
      <c r="I5183" s="5">
        <v>2568893.2200000002</v>
      </c>
      <c r="J5183" s="5">
        <v>40</v>
      </c>
      <c r="K5183" s="5">
        <v>300165</v>
      </c>
      <c r="L5183" s="5">
        <v>3296750</v>
      </c>
      <c r="M5183" s="5">
        <v>437066.78</v>
      </c>
      <c r="N5183" s="5">
        <v>0.1454</v>
      </c>
      <c r="O5183" s="5">
        <v>6</v>
      </c>
      <c r="P5183" s="5">
        <v>448084</v>
      </c>
    </row>
    <row r="5184" spans="1:16" x14ac:dyDescent="0.3">
      <c r="A5184" s="5">
        <v>104</v>
      </c>
      <c r="B5184" s="5" t="s">
        <v>168</v>
      </c>
      <c r="C5184" s="5">
        <v>8</v>
      </c>
      <c r="D5184" s="5" t="s">
        <v>82</v>
      </c>
      <c r="E5184" s="5">
        <v>2024</v>
      </c>
      <c r="F5184" s="5">
        <v>11</v>
      </c>
      <c r="G5184" s="5" t="s">
        <v>68</v>
      </c>
      <c r="H5184" s="5">
        <v>6162251</v>
      </c>
      <c r="I5184" s="5">
        <v>5168271.83</v>
      </c>
      <c r="J5184" s="5">
        <v>92</v>
      </c>
      <c r="K5184" s="5">
        <v>522337</v>
      </c>
      <c r="L5184" s="5">
        <v>6659410</v>
      </c>
      <c r="M5184" s="5">
        <v>993979.17</v>
      </c>
      <c r="N5184" s="5">
        <v>0.1613</v>
      </c>
      <c r="O5184" s="5">
        <v>6</v>
      </c>
      <c r="P5184" s="5">
        <v>172077</v>
      </c>
    </row>
    <row r="5185" spans="1:16" x14ac:dyDescent="0.3">
      <c r="A5185" s="5">
        <v>39</v>
      </c>
      <c r="B5185" s="5" t="s">
        <v>168</v>
      </c>
      <c r="C5185" s="5">
        <v>8</v>
      </c>
      <c r="D5185" s="5" t="s">
        <v>82</v>
      </c>
      <c r="E5185" s="5">
        <v>2024</v>
      </c>
      <c r="F5185" s="5">
        <v>12</v>
      </c>
      <c r="G5185" s="5" t="s">
        <v>69</v>
      </c>
      <c r="H5185" s="5">
        <v>4261921</v>
      </c>
      <c r="I5185" s="5">
        <v>3405087.15</v>
      </c>
      <c r="J5185" s="5">
        <v>50</v>
      </c>
      <c r="K5185" s="5">
        <v>129477</v>
      </c>
      <c r="L5185" s="5">
        <v>4366640</v>
      </c>
      <c r="M5185" s="5">
        <v>856833.85</v>
      </c>
      <c r="N5185" s="5">
        <v>0.20100000000000001</v>
      </c>
      <c r="O5185" s="5">
        <v>4</v>
      </c>
      <c r="P5185" s="5">
        <v>275664</v>
      </c>
    </row>
    <row r="5186" spans="1:16" x14ac:dyDescent="0.3">
      <c r="A5186" s="5">
        <v>88</v>
      </c>
      <c r="B5186" s="5" t="s">
        <v>168</v>
      </c>
      <c r="C5186" s="5">
        <v>8</v>
      </c>
      <c r="D5186" s="5" t="s">
        <v>82</v>
      </c>
      <c r="E5186" s="5">
        <v>2024</v>
      </c>
      <c r="F5186" s="5">
        <v>12</v>
      </c>
      <c r="G5186" s="5" t="s">
        <v>69</v>
      </c>
      <c r="H5186" s="5">
        <v>3286428</v>
      </c>
      <c r="I5186" s="5">
        <v>2622523.2200000002</v>
      </c>
      <c r="J5186" s="5">
        <v>48</v>
      </c>
      <c r="K5186" s="5">
        <v>96374</v>
      </c>
      <c r="L5186" s="5">
        <v>3362960</v>
      </c>
      <c r="M5186" s="5">
        <v>663904.78</v>
      </c>
      <c r="N5186" s="5">
        <v>0.20200000000000001</v>
      </c>
      <c r="O5186" s="5">
        <v>1</v>
      </c>
      <c r="P5186" s="5">
        <v>5681</v>
      </c>
    </row>
    <row r="5187" spans="1:16" x14ac:dyDescent="0.3">
      <c r="A5187" s="5">
        <v>104</v>
      </c>
      <c r="B5187" s="5" t="s">
        <v>168</v>
      </c>
      <c r="C5187" s="5">
        <v>8</v>
      </c>
      <c r="D5187" s="5" t="s">
        <v>82</v>
      </c>
      <c r="E5187" s="5">
        <v>2024</v>
      </c>
      <c r="F5187" s="5">
        <v>12</v>
      </c>
      <c r="G5187" s="5" t="s">
        <v>69</v>
      </c>
      <c r="H5187" s="5">
        <v>9697938</v>
      </c>
      <c r="I5187" s="5">
        <v>7876803.9900000002</v>
      </c>
      <c r="J5187" s="5">
        <v>107</v>
      </c>
      <c r="K5187" s="5">
        <v>317065</v>
      </c>
      <c r="L5187" s="5">
        <v>9974030</v>
      </c>
      <c r="M5187" s="5">
        <v>1821134.01</v>
      </c>
      <c r="N5187" s="5">
        <v>0.18779999999999999</v>
      </c>
      <c r="O5187" s="5">
        <v>5</v>
      </c>
      <c r="P5187" s="5">
        <v>269762</v>
      </c>
    </row>
    <row r="5188" spans="1:16" x14ac:dyDescent="0.3">
      <c r="A5188" s="5">
        <v>74</v>
      </c>
      <c r="B5188" s="5" t="s">
        <v>169</v>
      </c>
      <c r="C5188" s="5">
        <v>12</v>
      </c>
      <c r="D5188" s="5" t="s">
        <v>89</v>
      </c>
      <c r="E5188" s="5">
        <v>2021</v>
      </c>
      <c r="F5188" s="5">
        <v>1</v>
      </c>
      <c r="G5188" s="5" t="s">
        <v>22</v>
      </c>
      <c r="H5188" s="5">
        <v>2145873</v>
      </c>
      <c r="I5188" s="5">
        <v>1896311.38</v>
      </c>
      <c r="J5188" s="5">
        <v>23</v>
      </c>
      <c r="K5188" s="5">
        <v>340953</v>
      </c>
      <c r="L5188" s="5">
        <v>2477680</v>
      </c>
      <c r="M5188" s="5">
        <v>249561.62</v>
      </c>
      <c r="N5188" s="5">
        <v>0.1163</v>
      </c>
      <c r="O5188" s="5">
        <v>1</v>
      </c>
      <c r="P5188" s="5">
        <v>10546</v>
      </c>
    </row>
    <row r="5189" spans="1:16" x14ac:dyDescent="0.3">
      <c r="A5189" s="5">
        <v>74</v>
      </c>
      <c r="B5189" s="5" t="s">
        <v>169</v>
      </c>
      <c r="C5189" s="5">
        <v>12</v>
      </c>
      <c r="D5189" s="5" t="s">
        <v>89</v>
      </c>
      <c r="E5189" s="5">
        <v>2021</v>
      </c>
      <c r="F5189" s="5">
        <v>2</v>
      </c>
      <c r="G5189" s="5" t="s">
        <v>23</v>
      </c>
      <c r="H5189" s="5">
        <v>3127715</v>
      </c>
      <c r="I5189" s="5">
        <v>2731520.57</v>
      </c>
      <c r="J5189" s="5">
        <v>32</v>
      </c>
      <c r="K5189" s="5">
        <v>467820</v>
      </c>
      <c r="L5189" s="5">
        <v>3587060</v>
      </c>
      <c r="M5189" s="5">
        <v>396194.43</v>
      </c>
      <c r="N5189" s="5">
        <v>0.12670000000000001</v>
      </c>
      <c r="O5189" s="5">
        <v>2</v>
      </c>
      <c r="P5189" s="5">
        <v>11949</v>
      </c>
    </row>
    <row r="5190" spans="1:16" x14ac:dyDescent="0.3">
      <c r="A5190" s="5">
        <v>74</v>
      </c>
      <c r="B5190" s="5" t="s">
        <v>169</v>
      </c>
      <c r="C5190" s="5">
        <v>12</v>
      </c>
      <c r="D5190" s="5" t="s">
        <v>89</v>
      </c>
      <c r="E5190" s="5">
        <v>2021</v>
      </c>
      <c r="F5190" s="5">
        <v>3</v>
      </c>
      <c r="G5190" s="5" t="s">
        <v>24</v>
      </c>
      <c r="H5190" s="5">
        <v>2774677</v>
      </c>
      <c r="I5190" s="5">
        <v>2359161.89</v>
      </c>
      <c r="J5190" s="5">
        <v>33</v>
      </c>
      <c r="K5190" s="5">
        <v>249183</v>
      </c>
      <c r="L5190" s="5">
        <v>3014610</v>
      </c>
      <c r="M5190" s="5">
        <v>415515.11</v>
      </c>
      <c r="N5190" s="5">
        <v>0.14979999999999999</v>
      </c>
      <c r="O5190" s="5">
        <v>1</v>
      </c>
      <c r="P5190" s="5">
        <v>16118</v>
      </c>
    </row>
    <row r="5191" spans="1:16" x14ac:dyDescent="0.3">
      <c r="A5191" s="5">
        <v>74</v>
      </c>
      <c r="B5191" s="5" t="s">
        <v>169</v>
      </c>
      <c r="C5191" s="5">
        <v>12</v>
      </c>
      <c r="D5191" s="5" t="s">
        <v>89</v>
      </c>
      <c r="E5191" s="5">
        <v>2021</v>
      </c>
      <c r="F5191" s="5">
        <v>4</v>
      </c>
      <c r="G5191" s="5" t="s">
        <v>25</v>
      </c>
      <c r="H5191" s="5">
        <v>2049679</v>
      </c>
      <c r="I5191" s="5">
        <v>1972681.24</v>
      </c>
      <c r="J5191" s="5">
        <v>37</v>
      </c>
      <c r="K5191" s="5">
        <v>509329</v>
      </c>
      <c r="L5191" s="5">
        <v>2556870</v>
      </c>
      <c r="M5191" s="5">
        <v>76997.759999999995</v>
      </c>
      <c r="N5191" s="5">
        <v>3.7600000000000001E-2</v>
      </c>
      <c r="O5191" s="5">
        <v>4</v>
      </c>
      <c r="P5191" s="5">
        <v>138200</v>
      </c>
    </row>
    <row r="5192" spans="1:16" x14ac:dyDescent="0.3">
      <c r="A5192" s="5">
        <v>74</v>
      </c>
      <c r="B5192" s="5" t="s">
        <v>169</v>
      </c>
      <c r="C5192" s="5">
        <v>12</v>
      </c>
      <c r="D5192" s="5" t="s">
        <v>89</v>
      </c>
      <c r="E5192" s="5">
        <v>2021</v>
      </c>
      <c r="F5192" s="5">
        <v>5</v>
      </c>
      <c r="G5192" s="5" t="s">
        <v>26</v>
      </c>
      <c r="H5192" s="5">
        <v>3103267</v>
      </c>
      <c r="I5192" s="5">
        <v>2592567.1800000002</v>
      </c>
      <c r="J5192" s="5">
        <v>38</v>
      </c>
      <c r="K5192" s="5">
        <v>235594</v>
      </c>
      <c r="L5192" s="5">
        <v>3323490</v>
      </c>
      <c r="M5192" s="5">
        <v>510699.82</v>
      </c>
      <c r="N5192" s="5">
        <v>0.1646</v>
      </c>
      <c r="O5192" s="5">
        <v>0</v>
      </c>
      <c r="P5192" s="5">
        <v>0</v>
      </c>
    </row>
    <row r="5193" spans="1:16" x14ac:dyDescent="0.3">
      <c r="A5193" s="5">
        <v>74</v>
      </c>
      <c r="B5193" s="5" t="s">
        <v>169</v>
      </c>
      <c r="C5193" s="5">
        <v>12</v>
      </c>
      <c r="D5193" s="5" t="s">
        <v>89</v>
      </c>
      <c r="E5193" s="5">
        <v>2021</v>
      </c>
      <c r="F5193" s="5">
        <v>6</v>
      </c>
      <c r="G5193" s="5" t="s">
        <v>27</v>
      </c>
      <c r="H5193" s="5">
        <v>1341985</v>
      </c>
      <c r="I5193" s="5">
        <v>1226224.51</v>
      </c>
      <c r="J5193" s="5">
        <v>27</v>
      </c>
      <c r="K5193" s="5">
        <v>240524</v>
      </c>
      <c r="L5193" s="5">
        <v>1578050</v>
      </c>
      <c r="M5193" s="5">
        <v>115760.49</v>
      </c>
      <c r="N5193" s="5">
        <v>8.6300000000000002E-2</v>
      </c>
      <c r="O5193" s="5">
        <v>3</v>
      </c>
      <c r="P5193" s="5">
        <v>100574</v>
      </c>
    </row>
    <row r="5194" spans="1:16" x14ac:dyDescent="0.3">
      <c r="A5194" s="5">
        <v>74</v>
      </c>
      <c r="B5194" s="5" t="s">
        <v>169</v>
      </c>
      <c r="C5194" s="5">
        <v>12</v>
      </c>
      <c r="D5194" s="5" t="s">
        <v>89</v>
      </c>
      <c r="E5194" s="5">
        <v>2021</v>
      </c>
      <c r="F5194" s="5">
        <v>7</v>
      </c>
      <c r="G5194" s="5" t="s">
        <v>28</v>
      </c>
      <c r="H5194" s="5">
        <v>1825371</v>
      </c>
      <c r="I5194" s="5">
        <v>1599063.02</v>
      </c>
      <c r="J5194" s="5">
        <v>29</v>
      </c>
      <c r="K5194" s="5">
        <v>270630</v>
      </c>
      <c r="L5194" s="5">
        <v>2084330</v>
      </c>
      <c r="M5194" s="5">
        <v>226307.98</v>
      </c>
      <c r="N5194" s="5">
        <v>0.124</v>
      </c>
      <c r="O5194" s="5">
        <v>0</v>
      </c>
      <c r="P5194" s="5">
        <v>0</v>
      </c>
    </row>
    <row r="5195" spans="1:16" x14ac:dyDescent="0.3">
      <c r="A5195" s="5">
        <v>74</v>
      </c>
      <c r="B5195" s="5" t="s">
        <v>169</v>
      </c>
      <c r="C5195" s="5">
        <v>12</v>
      </c>
      <c r="D5195" s="5" t="s">
        <v>89</v>
      </c>
      <c r="E5195" s="5">
        <v>2021</v>
      </c>
      <c r="F5195" s="5">
        <v>8</v>
      </c>
      <c r="G5195" s="5" t="s">
        <v>29</v>
      </c>
      <c r="H5195" s="5">
        <v>1348551</v>
      </c>
      <c r="I5195" s="5">
        <v>1139124.4099999999</v>
      </c>
      <c r="J5195" s="5">
        <v>23</v>
      </c>
      <c r="K5195" s="5">
        <v>119240</v>
      </c>
      <c r="L5195" s="5">
        <v>1461300</v>
      </c>
      <c r="M5195" s="5">
        <v>209426.59</v>
      </c>
      <c r="N5195" s="5">
        <v>0.15529999999999999</v>
      </c>
      <c r="O5195" s="5">
        <v>1</v>
      </c>
      <c r="P5195" s="5">
        <v>1407</v>
      </c>
    </row>
    <row r="5196" spans="1:16" x14ac:dyDescent="0.3">
      <c r="A5196" s="5">
        <v>74</v>
      </c>
      <c r="B5196" s="5" t="s">
        <v>169</v>
      </c>
      <c r="C5196" s="5">
        <v>12</v>
      </c>
      <c r="D5196" s="5" t="s">
        <v>89</v>
      </c>
      <c r="E5196" s="5">
        <v>2021</v>
      </c>
      <c r="F5196" s="5">
        <v>9</v>
      </c>
      <c r="G5196" s="5" t="s">
        <v>30</v>
      </c>
      <c r="H5196" s="5">
        <v>1848647</v>
      </c>
      <c r="I5196" s="5">
        <v>1701941.8</v>
      </c>
      <c r="J5196" s="5">
        <v>34</v>
      </c>
      <c r="K5196" s="5">
        <v>288797</v>
      </c>
      <c r="L5196" s="5">
        <v>2136210</v>
      </c>
      <c r="M5196" s="5">
        <v>146705.20000000001</v>
      </c>
      <c r="N5196" s="5">
        <v>7.9399999999999998E-2</v>
      </c>
      <c r="O5196" s="5">
        <v>0</v>
      </c>
      <c r="P5196" s="5">
        <v>0</v>
      </c>
    </row>
    <row r="5197" spans="1:16" x14ac:dyDescent="0.3">
      <c r="A5197" s="5">
        <v>74</v>
      </c>
      <c r="B5197" s="5" t="s">
        <v>169</v>
      </c>
      <c r="C5197" s="5">
        <v>12</v>
      </c>
      <c r="D5197" s="5" t="s">
        <v>89</v>
      </c>
      <c r="E5197" s="5">
        <v>2021</v>
      </c>
      <c r="F5197" s="5">
        <v>10</v>
      </c>
      <c r="G5197" s="5" t="s">
        <v>31</v>
      </c>
      <c r="H5197" s="5">
        <v>4520685</v>
      </c>
      <c r="I5197" s="5">
        <v>3810103.14</v>
      </c>
      <c r="J5197" s="5">
        <v>54</v>
      </c>
      <c r="K5197" s="5">
        <v>344811</v>
      </c>
      <c r="L5197" s="5">
        <v>4856320</v>
      </c>
      <c r="M5197" s="5">
        <v>710581.86</v>
      </c>
      <c r="N5197" s="5">
        <v>0.15720000000000001</v>
      </c>
      <c r="O5197" s="5">
        <v>4</v>
      </c>
      <c r="P5197" s="5">
        <v>245444</v>
      </c>
    </row>
    <row r="5198" spans="1:16" x14ac:dyDescent="0.3">
      <c r="A5198" s="5">
        <v>74</v>
      </c>
      <c r="B5198" s="5" t="s">
        <v>169</v>
      </c>
      <c r="C5198" s="5">
        <v>12</v>
      </c>
      <c r="D5198" s="5" t="s">
        <v>89</v>
      </c>
      <c r="E5198" s="5">
        <v>2021</v>
      </c>
      <c r="F5198" s="5">
        <v>11</v>
      </c>
      <c r="G5198" s="5" t="s">
        <v>32</v>
      </c>
      <c r="H5198" s="5">
        <v>3852479</v>
      </c>
      <c r="I5198" s="5">
        <v>3183417.48</v>
      </c>
      <c r="J5198" s="5">
        <v>45</v>
      </c>
      <c r="K5198" s="5">
        <v>302456</v>
      </c>
      <c r="L5198" s="5">
        <v>4147540</v>
      </c>
      <c r="M5198" s="5">
        <v>669061.52</v>
      </c>
      <c r="N5198" s="5">
        <v>0.17369999999999999</v>
      </c>
      <c r="O5198" s="5">
        <v>3</v>
      </c>
      <c r="P5198" s="5">
        <v>153556</v>
      </c>
    </row>
    <row r="5199" spans="1:16" x14ac:dyDescent="0.3">
      <c r="A5199" s="5">
        <v>74</v>
      </c>
      <c r="B5199" s="5" t="s">
        <v>169</v>
      </c>
      <c r="C5199" s="5">
        <v>12</v>
      </c>
      <c r="D5199" s="5" t="s">
        <v>89</v>
      </c>
      <c r="E5199" s="5">
        <v>2021</v>
      </c>
      <c r="F5199" s="5">
        <v>12</v>
      </c>
      <c r="G5199" s="5" t="s">
        <v>33</v>
      </c>
      <c r="H5199" s="5">
        <v>2953683</v>
      </c>
      <c r="I5199" s="5">
        <v>2558300.0499999998</v>
      </c>
      <c r="J5199" s="5">
        <v>46</v>
      </c>
      <c r="K5199" s="5">
        <v>353796</v>
      </c>
      <c r="L5199" s="5">
        <v>3298950</v>
      </c>
      <c r="M5199" s="5">
        <v>395382.95</v>
      </c>
      <c r="N5199" s="5">
        <v>0.13389999999999999</v>
      </c>
      <c r="O5199" s="5">
        <v>1</v>
      </c>
      <c r="P5199" s="5">
        <v>4466</v>
      </c>
    </row>
    <row r="5200" spans="1:16" x14ac:dyDescent="0.3">
      <c r="A5200" s="5">
        <v>74</v>
      </c>
      <c r="B5200" s="5" t="s">
        <v>169</v>
      </c>
      <c r="C5200" s="5">
        <v>12</v>
      </c>
      <c r="D5200" s="5" t="s">
        <v>89</v>
      </c>
      <c r="E5200" s="5">
        <v>2022</v>
      </c>
      <c r="F5200" s="5">
        <v>1</v>
      </c>
      <c r="G5200" s="5" t="s">
        <v>34</v>
      </c>
      <c r="H5200" s="5">
        <v>3928711</v>
      </c>
      <c r="I5200" s="5">
        <v>3197956.45</v>
      </c>
      <c r="J5200" s="5">
        <v>48</v>
      </c>
      <c r="K5200" s="5">
        <v>192668</v>
      </c>
      <c r="L5200" s="5">
        <v>4113440</v>
      </c>
      <c r="M5200" s="5">
        <v>730754.55</v>
      </c>
      <c r="N5200" s="5">
        <v>0.186</v>
      </c>
      <c r="O5200" s="5">
        <v>3</v>
      </c>
      <c r="P5200" s="5">
        <v>72360</v>
      </c>
    </row>
    <row r="5201" spans="1:16" x14ac:dyDescent="0.3">
      <c r="A5201" s="5">
        <v>74</v>
      </c>
      <c r="B5201" s="5" t="s">
        <v>169</v>
      </c>
      <c r="C5201" s="5">
        <v>12</v>
      </c>
      <c r="D5201" s="5" t="s">
        <v>89</v>
      </c>
      <c r="E5201" s="5">
        <v>2022</v>
      </c>
      <c r="F5201" s="5">
        <v>2</v>
      </c>
      <c r="G5201" s="5" t="s">
        <v>35</v>
      </c>
      <c r="H5201" s="5">
        <v>2900776</v>
      </c>
      <c r="I5201" s="5">
        <v>2385944.37</v>
      </c>
      <c r="J5201" s="5">
        <v>37</v>
      </c>
      <c r="K5201" s="5">
        <v>155824</v>
      </c>
      <c r="L5201" s="5">
        <v>3046850</v>
      </c>
      <c r="M5201" s="5">
        <v>514831.63</v>
      </c>
      <c r="N5201" s="5">
        <v>0.17749999999999999</v>
      </c>
      <c r="O5201" s="5">
        <v>1</v>
      </c>
      <c r="P5201" s="5">
        <v>11289</v>
      </c>
    </row>
    <row r="5202" spans="1:16" x14ac:dyDescent="0.3">
      <c r="A5202" s="5">
        <v>74</v>
      </c>
      <c r="B5202" s="5" t="s">
        <v>169</v>
      </c>
      <c r="C5202" s="5">
        <v>12</v>
      </c>
      <c r="D5202" s="5" t="s">
        <v>89</v>
      </c>
      <c r="E5202" s="5">
        <v>2022</v>
      </c>
      <c r="F5202" s="5">
        <v>3</v>
      </c>
      <c r="G5202" s="5" t="s">
        <v>36</v>
      </c>
      <c r="H5202" s="5">
        <v>3521354</v>
      </c>
      <c r="I5202" s="5">
        <v>2966672.91</v>
      </c>
      <c r="J5202" s="5">
        <v>48</v>
      </c>
      <c r="K5202" s="5">
        <v>360325</v>
      </c>
      <c r="L5202" s="5">
        <v>3866890</v>
      </c>
      <c r="M5202" s="5">
        <v>554681.09</v>
      </c>
      <c r="N5202" s="5">
        <v>0.1575</v>
      </c>
      <c r="O5202" s="5">
        <v>3</v>
      </c>
      <c r="P5202" s="5">
        <v>183455</v>
      </c>
    </row>
    <row r="5203" spans="1:16" x14ac:dyDescent="0.3">
      <c r="A5203" s="5">
        <v>74</v>
      </c>
      <c r="B5203" s="5" t="s">
        <v>169</v>
      </c>
      <c r="C5203" s="5">
        <v>12</v>
      </c>
      <c r="D5203" s="5" t="s">
        <v>89</v>
      </c>
      <c r="E5203" s="5">
        <v>2022</v>
      </c>
      <c r="F5203" s="5">
        <v>4</v>
      </c>
      <c r="G5203" s="5" t="s">
        <v>37</v>
      </c>
      <c r="H5203" s="5">
        <v>2123553</v>
      </c>
      <c r="I5203" s="5">
        <v>1876207.17</v>
      </c>
      <c r="J5203" s="5">
        <v>37</v>
      </c>
      <c r="K5203" s="5">
        <v>272839</v>
      </c>
      <c r="L5203" s="5">
        <v>2391840</v>
      </c>
      <c r="M5203" s="5">
        <v>247345.83</v>
      </c>
      <c r="N5203" s="5">
        <v>0.11650000000000001</v>
      </c>
      <c r="O5203" s="5">
        <v>2</v>
      </c>
      <c r="P5203" s="5">
        <v>58519</v>
      </c>
    </row>
    <row r="5204" spans="1:16" x14ac:dyDescent="0.3">
      <c r="A5204" s="5">
        <v>74</v>
      </c>
      <c r="B5204" s="5" t="s">
        <v>169</v>
      </c>
      <c r="C5204" s="5">
        <v>12</v>
      </c>
      <c r="D5204" s="5" t="s">
        <v>89</v>
      </c>
      <c r="E5204" s="5">
        <v>2022</v>
      </c>
      <c r="F5204" s="5">
        <v>5</v>
      </c>
      <c r="G5204" s="5" t="s">
        <v>38</v>
      </c>
      <c r="H5204" s="5">
        <v>3687237</v>
      </c>
      <c r="I5204" s="5">
        <v>3190835.31</v>
      </c>
      <c r="J5204" s="5">
        <v>48</v>
      </c>
      <c r="K5204" s="5">
        <v>465586</v>
      </c>
      <c r="L5204" s="5">
        <v>4140410</v>
      </c>
      <c r="M5204" s="5">
        <v>496401.69</v>
      </c>
      <c r="N5204" s="5">
        <v>0.1346</v>
      </c>
      <c r="O5204" s="5">
        <v>5</v>
      </c>
      <c r="P5204" s="5">
        <v>147807</v>
      </c>
    </row>
    <row r="5205" spans="1:16" x14ac:dyDescent="0.3">
      <c r="A5205" s="5">
        <v>74</v>
      </c>
      <c r="B5205" s="5" t="s">
        <v>169</v>
      </c>
      <c r="C5205" s="5">
        <v>12</v>
      </c>
      <c r="D5205" s="5" t="s">
        <v>89</v>
      </c>
      <c r="E5205" s="5">
        <v>2022</v>
      </c>
      <c r="F5205" s="5">
        <v>6</v>
      </c>
      <c r="G5205" s="5" t="s">
        <v>39</v>
      </c>
      <c r="H5205" s="5">
        <v>2160068</v>
      </c>
      <c r="I5205" s="5">
        <v>1815368.23</v>
      </c>
      <c r="J5205" s="5">
        <v>43</v>
      </c>
      <c r="K5205" s="5">
        <v>213538</v>
      </c>
      <c r="L5205" s="5">
        <v>2369520</v>
      </c>
      <c r="M5205" s="5">
        <v>344699.77</v>
      </c>
      <c r="N5205" s="5">
        <v>0.15959999999999999</v>
      </c>
      <c r="O5205" s="5">
        <v>3</v>
      </c>
      <c r="P5205" s="5">
        <v>97168</v>
      </c>
    </row>
    <row r="5206" spans="1:16" x14ac:dyDescent="0.3">
      <c r="A5206" s="5">
        <v>74</v>
      </c>
      <c r="B5206" s="5" t="s">
        <v>169</v>
      </c>
      <c r="C5206" s="5">
        <v>12</v>
      </c>
      <c r="D5206" s="5" t="s">
        <v>89</v>
      </c>
      <c r="E5206" s="5">
        <v>2022</v>
      </c>
      <c r="F5206" s="5">
        <v>7</v>
      </c>
      <c r="G5206" s="5" t="s">
        <v>40</v>
      </c>
      <c r="H5206" s="5">
        <v>3013329</v>
      </c>
      <c r="I5206" s="5">
        <v>2646394.67</v>
      </c>
      <c r="J5206" s="5">
        <v>45</v>
      </c>
      <c r="K5206" s="5">
        <v>459102</v>
      </c>
      <c r="L5206" s="5">
        <v>3465150</v>
      </c>
      <c r="M5206" s="5">
        <v>366934.33</v>
      </c>
      <c r="N5206" s="5">
        <v>0.12180000000000001</v>
      </c>
      <c r="O5206" s="5">
        <v>2</v>
      </c>
      <c r="P5206" s="5">
        <v>34214</v>
      </c>
    </row>
    <row r="5207" spans="1:16" x14ac:dyDescent="0.3">
      <c r="A5207" s="5">
        <v>74</v>
      </c>
      <c r="B5207" s="5" t="s">
        <v>169</v>
      </c>
      <c r="C5207" s="5">
        <v>12</v>
      </c>
      <c r="D5207" s="5" t="s">
        <v>89</v>
      </c>
      <c r="E5207" s="5">
        <v>2022</v>
      </c>
      <c r="F5207" s="5">
        <v>8</v>
      </c>
      <c r="G5207" s="5" t="s">
        <v>41</v>
      </c>
      <c r="H5207" s="5">
        <v>3072612</v>
      </c>
      <c r="I5207" s="5">
        <v>2940498.44</v>
      </c>
      <c r="J5207" s="5">
        <v>50</v>
      </c>
      <c r="K5207" s="5">
        <v>707727</v>
      </c>
      <c r="L5207" s="5">
        <v>3774490</v>
      </c>
      <c r="M5207" s="5">
        <v>132113.56</v>
      </c>
      <c r="N5207" s="5">
        <v>4.2999999999999997E-2</v>
      </c>
      <c r="O5207" s="5">
        <v>3</v>
      </c>
      <c r="P5207" s="5">
        <v>90667</v>
      </c>
    </row>
    <row r="5208" spans="1:16" x14ac:dyDescent="0.3">
      <c r="A5208" s="5">
        <v>74</v>
      </c>
      <c r="B5208" s="5" t="s">
        <v>169</v>
      </c>
      <c r="C5208" s="5">
        <v>12</v>
      </c>
      <c r="D5208" s="5" t="s">
        <v>89</v>
      </c>
      <c r="E5208" s="5">
        <v>2022</v>
      </c>
      <c r="F5208" s="5">
        <v>9</v>
      </c>
      <c r="G5208" s="5" t="s">
        <v>42</v>
      </c>
      <c r="H5208" s="5">
        <v>4611606</v>
      </c>
      <c r="I5208" s="5">
        <v>4104972.72</v>
      </c>
      <c r="J5208" s="5">
        <v>65</v>
      </c>
      <c r="K5208" s="5">
        <v>527187</v>
      </c>
      <c r="L5208" s="5">
        <v>5126290</v>
      </c>
      <c r="M5208" s="5">
        <v>506633.28</v>
      </c>
      <c r="N5208" s="5">
        <v>0.1099</v>
      </c>
      <c r="O5208" s="5">
        <v>9</v>
      </c>
      <c r="P5208" s="5">
        <v>71348</v>
      </c>
    </row>
    <row r="5209" spans="1:16" x14ac:dyDescent="0.3">
      <c r="A5209" s="5">
        <v>74</v>
      </c>
      <c r="B5209" s="5" t="s">
        <v>169</v>
      </c>
      <c r="C5209" s="5">
        <v>12</v>
      </c>
      <c r="D5209" s="5" t="s">
        <v>89</v>
      </c>
      <c r="E5209" s="5">
        <v>2022</v>
      </c>
      <c r="F5209" s="5">
        <v>10</v>
      </c>
      <c r="G5209" s="5" t="s">
        <v>43</v>
      </c>
      <c r="H5209" s="5">
        <v>4431425</v>
      </c>
      <c r="I5209" s="5">
        <v>3971637.75</v>
      </c>
      <c r="J5209" s="5">
        <v>71</v>
      </c>
      <c r="K5209" s="5">
        <v>808705</v>
      </c>
      <c r="L5209" s="5">
        <v>5225820</v>
      </c>
      <c r="M5209" s="5">
        <v>459787.25</v>
      </c>
      <c r="N5209" s="5">
        <v>0.1038</v>
      </c>
      <c r="O5209" s="5">
        <v>4</v>
      </c>
      <c r="P5209" s="5">
        <v>81043</v>
      </c>
    </row>
    <row r="5210" spans="1:16" x14ac:dyDescent="0.3">
      <c r="A5210" s="5">
        <v>74</v>
      </c>
      <c r="B5210" s="5" t="s">
        <v>169</v>
      </c>
      <c r="C5210" s="5">
        <v>12</v>
      </c>
      <c r="D5210" s="5" t="s">
        <v>89</v>
      </c>
      <c r="E5210" s="5">
        <v>2022</v>
      </c>
      <c r="F5210" s="5">
        <v>11</v>
      </c>
      <c r="G5210" s="5" t="s">
        <v>44</v>
      </c>
      <c r="H5210" s="5">
        <v>3617799</v>
      </c>
      <c r="I5210" s="5">
        <v>3322607.33</v>
      </c>
      <c r="J5210" s="5">
        <v>58</v>
      </c>
      <c r="K5210" s="5">
        <v>558429</v>
      </c>
      <c r="L5210" s="5">
        <v>4162730</v>
      </c>
      <c r="M5210" s="5">
        <v>295191.67</v>
      </c>
      <c r="N5210" s="5">
        <v>8.1600000000000006E-2</v>
      </c>
      <c r="O5210" s="5">
        <v>5</v>
      </c>
      <c r="P5210" s="5">
        <v>238832</v>
      </c>
    </row>
    <row r="5211" spans="1:16" x14ac:dyDescent="0.3">
      <c r="A5211" s="5">
        <v>74</v>
      </c>
      <c r="B5211" s="5" t="s">
        <v>169</v>
      </c>
      <c r="C5211" s="5">
        <v>12</v>
      </c>
      <c r="D5211" s="5" t="s">
        <v>89</v>
      </c>
      <c r="E5211" s="5">
        <v>2022</v>
      </c>
      <c r="F5211" s="5">
        <v>12</v>
      </c>
      <c r="G5211" s="5" t="s">
        <v>45</v>
      </c>
      <c r="H5211" s="5">
        <v>4785073</v>
      </c>
      <c r="I5211" s="5">
        <v>3992350.5</v>
      </c>
      <c r="J5211" s="5">
        <v>64</v>
      </c>
      <c r="K5211" s="5">
        <v>358038</v>
      </c>
      <c r="L5211" s="5">
        <v>5133500</v>
      </c>
      <c r="M5211" s="5">
        <v>792722.5</v>
      </c>
      <c r="N5211" s="5">
        <v>0.16569999999999999</v>
      </c>
      <c r="O5211" s="5">
        <v>8</v>
      </c>
      <c r="P5211" s="5">
        <v>122491</v>
      </c>
    </row>
    <row r="5212" spans="1:16" x14ac:dyDescent="0.3">
      <c r="A5212" s="5">
        <v>74</v>
      </c>
      <c r="B5212" s="5" t="s">
        <v>169</v>
      </c>
      <c r="C5212" s="5">
        <v>12</v>
      </c>
      <c r="D5212" s="5" t="s">
        <v>89</v>
      </c>
      <c r="E5212" s="5">
        <v>2023</v>
      </c>
      <c r="F5212" s="5">
        <v>1</v>
      </c>
      <c r="G5212" s="5" t="s">
        <v>46</v>
      </c>
      <c r="H5212" s="5">
        <v>5263060</v>
      </c>
      <c r="I5212" s="5">
        <v>4541672.62</v>
      </c>
      <c r="J5212" s="5">
        <v>65</v>
      </c>
      <c r="K5212" s="5">
        <v>569118</v>
      </c>
      <c r="L5212" s="5">
        <v>5821270</v>
      </c>
      <c r="M5212" s="5">
        <v>721387.38</v>
      </c>
      <c r="N5212" s="5">
        <v>0.1371</v>
      </c>
      <c r="O5212" s="5">
        <v>7</v>
      </c>
      <c r="P5212" s="5">
        <v>93489</v>
      </c>
    </row>
    <row r="5213" spans="1:16" x14ac:dyDescent="0.3">
      <c r="A5213" s="5">
        <v>74</v>
      </c>
      <c r="B5213" s="5" t="s">
        <v>169</v>
      </c>
      <c r="C5213" s="5">
        <v>12</v>
      </c>
      <c r="D5213" s="5" t="s">
        <v>89</v>
      </c>
      <c r="E5213" s="5">
        <v>2023</v>
      </c>
      <c r="F5213" s="5">
        <v>2</v>
      </c>
      <c r="G5213" s="5" t="s">
        <v>47</v>
      </c>
      <c r="H5213" s="5">
        <v>2921247</v>
      </c>
      <c r="I5213" s="5">
        <v>2537567.33</v>
      </c>
      <c r="J5213" s="5">
        <v>40</v>
      </c>
      <c r="K5213" s="5">
        <v>370174</v>
      </c>
      <c r="L5213" s="5">
        <v>3280900</v>
      </c>
      <c r="M5213" s="5">
        <v>383679.67</v>
      </c>
      <c r="N5213" s="5">
        <v>0.1313</v>
      </c>
      <c r="O5213" s="5">
        <v>3</v>
      </c>
      <c r="P5213" s="5">
        <v>268244</v>
      </c>
    </row>
    <row r="5214" spans="1:16" x14ac:dyDescent="0.3">
      <c r="A5214" s="5">
        <v>74</v>
      </c>
      <c r="B5214" s="5" t="s">
        <v>169</v>
      </c>
      <c r="C5214" s="5">
        <v>12</v>
      </c>
      <c r="D5214" s="5" t="s">
        <v>89</v>
      </c>
      <c r="E5214" s="5">
        <v>2023</v>
      </c>
      <c r="F5214" s="5">
        <v>3</v>
      </c>
      <c r="G5214" s="5" t="s">
        <v>48</v>
      </c>
      <c r="H5214" s="5">
        <v>2950352</v>
      </c>
      <c r="I5214" s="5">
        <v>2657033.4900000002</v>
      </c>
      <c r="J5214" s="5">
        <v>59</v>
      </c>
      <c r="K5214" s="5">
        <v>444150</v>
      </c>
      <c r="L5214" s="5">
        <v>3390650</v>
      </c>
      <c r="M5214" s="5">
        <v>293318.51</v>
      </c>
      <c r="N5214" s="5">
        <v>9.9400000000000002E-2</v>
      </c>
      <c r="O5214" s="5">
        <v>4</v>
      </c>
      <c r="P5214" s="5">
        <v>63246</v>
      </c>
    </row>
    <row r="5215" spans="1:16" x14ac:dyDescent="0.3">
      <c r="A5215" s="5">
        <v>74</v>
      </c>
      <c r="B5215" s="5" t="s">
        <v>169</v>
      </c>
      <c r="C5215" s="5">
        <v>12</v>
      </c>
      <c r="D5215" s="5" t="s">
        <v>89</v>
      </c>
      <c r="E5215" s="5">
        <v>2023</v>
      </c>
      <c r="F5215" s="5">
        <v>4</v>
      </c>
      <c r="G5215" s="5" t="s">
        <v>49</v>
      </c>
      <c r="H5215" s="5">
        <v>3000038</v>
      </c>
      <c r="I5215" s="5">
        <v>2695720.01</v>
      </c>
      <c r="J5215" s="5">
        <v>50</v>
      </c>
      <c r="K5215" s="5">
        <v>455694</v>
      </c>
      <c r="L5215" s="5">
        <v>3445850</v>
      </c>
      <c r="M5215" s="5">
        <v>304317.99</v>
      </c>
      <c r="N5215" s="5">
        <v>0.1014</v>
      </c>
      <c r="O5215" s="5">
        <v>4</v>
      </c>
      <c r="P5215" s="5">
        <v>161230</v>
      </c>
    </row>
    <row r="5216" spans="1:16" x14ac:dyDescent="0.3">
      <c r="A5216" s="5">
        <v>74</v>
      </c>
      <c r="B5216" s="5" t="s">
        <v>169</v>
      </c>
      <c r="C5216" s="5">
        <v>12</v>
      </c>
      <c r="D5216" s="5" t="s">
        <v>89</v>
      </c>
      <c r="E5216" s="5">
        <v>2023</v>
      </c>
      <c r="F5216" s="5">
        <v>5</v>
      </c>
      <c r="G5216" s="5" t="s">
        <v>50</v>
      </c>
      <c r="H5216" s="5">
        <v>4299545</v>
      </c>
      <c r="I5216" s="5">
        <v>3813833.07</v>
      </c>
      <c r="J5216" s="5">
        <v>66</v>
      </c>
      <c r="K5216" s="5">
        <v>623494</v>
      </c>
      <c r="L5216" s="5">
        <v>4909040</v>
      </c>
      <c r="M5216" s="5">
        <v>485711.93</v>
      </c>
      <c r="N5216" s="5">
        <v>0.113</v>
      </c>
      <c r="O5216" s="5">
        <v>6</v>
      </c>
      <c r="P5216" s="5">
        <v>144028</v>
      </c>
    </row>
    <row r="5217" spans="1:16" x14ac:dyDescent="0.3">
      <c r="A5217" s="5">
        <v>74</v>
      </c>
      <c r="B5217" s="5" t="s">
        <v>169</v>
      </c>
      <c r="C5217" s="5">
        <v>12</v>
      </c>
      <c r="D5217" s="5" t="s">
        <v>89</v>
      </c>
      <c r="E5217" s="5">
        <v>2023</v>
      </c>
      <c r="F5217" s="5">
        <v>6</v>
      </c>
      <c r="G5217" s="5" t="s">
        <v>51</v>
      </c>
      <c r="H5217" s="5">
        <v>4444425</v>
      </c>
      <c r="I5217" s="5">
        <v>3710797.93</v>
      </c>
      <c r="J5217" s="5">
        <v>81</v>
      </c>
      <c r="K5217" s="5">
        <v>448068</v>
      </c>
      <c r="L5217" s="5">
        <v>4882790</v>
      </c>
      <c r="M5217" s="5">
        <v>733627.07</v>
      </c>
      <c r="N5217" s="5">
        <v>0.1651</v>
      </c>
      <c r="O5217" s="5">
        <v>9</v>
      </c>
      <c r="P5217" s="5">
        <v>134385</v>
      </c>
    </row>
    <row r="5218" spans="1:16" x14ac:dyDescent="0.3">
      <c r="A5218" s="5">
        <v>74</v>
      </c>
      <c r="B5218" s="5" t="s">
        <v>169</v>
      </c>
      <c r="C5218" s="5">
        <v>12</v>
      </c>
      <c r="D5218" s="5" t="s">
        <v>89</v>
      </c>
      <c r="E5218" s="5">
        <v>2023</v>
      </c>
      <c r="F5218" s="5">
        <v>7</v>
      </c>
      <c r="G5218" s="5" t="s">
        <v>52</v>
      </c>
      <c r="H5218" s="5">
        <v>3904461</v>
      </c>
      <c r="I5218" s="5">
        <v>3397130.02</v>
      </c>
      <c r="J5218" s="5">
        <v>60</v>
      </c>
      <c r="K5218" s="5">
        <v>521798</v>
      </c>
      <c r="L5218" s="5">
        <v>4399400</v>
      </c>
      <c r="M5218" s="5">
        <v>507330.98</v>
      </c>
      <c r="N5218" s="5">
        <v>0.12989999999999999</v>
      </c>
      <c r="O5218" s="5">
        <v>7</v>
      </c>
      <c r="P5218" s="5">
        <v>178490</v>
      </c>
    </row>
    <row r="5219" spans="1:16" x14ac:dyDescent="0.3">
      <c r="A5219" s="5">
        <v>74</v>
      </c>
      <c r="B5219" s="5" t="s">
        <v>169</v>
      </c>
      <c r="C5219" s="5">
        <v>12</v>
      </c>
      <c r="D5219" s="5" t="s">
        <v>89</v>
      </c>
      <c r="E5219" s="5">
        <v>2023</v>
      </c>
      <c r="F5219" s="5">
        <v>8</v>
      </c>
      <c r="G5219" s="5" t="s">
        <v>53</v>
      </c>
      <c r="H5219" s="5">
        <v>4132739</v>
      </c>
      <c r="I5219" s="5">
        <v>3810257.39</v>
      </c>
      <c r="J5219" s="5">
        <v>55</v>
      </c>
      <c r="K5219" s="5">
        <v>644276</v>
      </c>
      <c r="L5219" s="5">
        <v>4767210</v>
      </c>
      <c r="M5219" s="5">
        <v>322481.61</v>
      </c>
      <c r="N5219" s="5">
        <v>7.8E-2</v>
      </c>
      <c r="O5219" s="5">
        <v>5</v>
      </c>
      <c r="P5219" s="5">
        <v>14326</v>
      </c>
    </row>
    <row r="5220" spans="1:16" x14ac:dyDescent="0.3">
      <c r="A5220" s="5">
        <v>74</v>
      </c>
      <c r="B5220" s="5" t="s">
        <v>169</v>
      </c>
      <c r="C5220" s="5">
        <v>12</v>
      </c>
      <c r="D5220" s="5" t="s">
        <v>89</v>
      </c>
      <c r="E5220" s="5">
        <v>2023</v>
      </c>
      <c r="F5220" s="5">
        <v>9</v>
      </c>
      <c r="G5220" s="5" t="s">
        <v>54</v>
      </c>
      <c r="H5220" s="5">
        <v>3844115</v>
      </c>
      <c r="I5220" s="5">
        <v>3522506.17</v>
      </c>
      <c r="J5220" s="5">
        <v>70</v>
      </c>
      <c r="K5220" s="5">
        <v>761842</v>
      </c>
      <c r="L5220" s="5">
        <v>4592330</v>
      </c>
      <c r="M5220" s="5">
        <v>321608.83</v>
      </c>
      <c r="N5220" s="5">
        <v>8.3699999999999997E-2</v>
      </c>
      <c r="O5220" s="5">
        <v>4</v>
      </c>
      <c r="P5220" s="5">
        <v>339992</v>
      </c>
    </row>
    <row r="5221" spans="1:16" x14ac:dyDescent="0.3">
      <c r="A5221" s="5">
        <v>74</v>
      </c>
      <c r="B5221" s="5" t="s">
        <v>169</v>
      </c>
      <c r="C5221" s="5">
        <v>12</v>
      </c>
      <c r="D5221" s="5" t="s">
        <v>89</v>
      </c>
      <c r="E5221" s="5">
        <v>2023</v>
      </c>
      <c r="F5221" s="5">
        <v>10</v>
      </c>
      <c r="G5221" s="5" t="s">
        <v>55</v>
      </c>
      <c r="H5221" s="5">
        <v>5546710</v>
      </c>
      <c r="I5221" s="5">
        <v>4799585.79</v>
      </c>
      <c r="J5221" s="5">
        <v>67</v>
      </c>
      <c r="K5221" s="5">
        <v>539519</v>
      </c>
      <c r="L5221" s="5">
        <v>6061030</v>
      </c>
      <c r="M5221" s="5">
        <v>747124.21</v>
      </c>
      <c r="N5221" s="5">
        <v>0.13469999999999999</v>
      </c>
      <c r="O5221" s="5">
        <v>5</v>
      </c>
      <c r="P5221" s="5">
        <v>34516</v>
      </c>
    </row>
    <row r="5222" spans="1:16" x14ac:dyDescent="0.3">
      <c r="A5222" s="5">
        <v>74</v>
      </c>
      <c r="B5222" s="5" t="s">
        <v>169</v>
      </c>
      <c r="C5222" s="5">
        <v>12</v>
      </c>
      <c r="D5222" s="5" t="s">
        <v>89</v>
      </c>
      <c r="E5222" s="5">
        <v>2023</v>
      </c>
      <c r="F5222" s="5">
        <v>11</v>
      </c>
      <c r="G5222" s="5" t="s">
        <v>56</v>
      </c>
      <c r="H5222" s="5">
        <v>5718344</v>
      </c>
      <c r="I5222" s="5">
        <v>5195190.38</v>
      </c>
      <c r="J5222" s="5">
        <v>87</v>
      </c>
      <c r="K5222" s="5">
        <v>911433</v>
      </c>
      <c r="L5222" s="5">
        <v>6613450</v>
      </c>
      <c r="M5222" s="5">
        <v>523153.62</v>
      </c>
      <c r="N5222" s="5">
        <v>9.1499999999999998E-2</v>
      </c>
      <c r="O5222" s="5">
        <v>6</v>
      </c>
      <c r="P5222" s="5">
        <v>95107</v>
      </c>
    </row>
    <row r="5223" spans="1:16" x14ac:dyDescent="0.3">
      <c r="A5223" s="5">
        <v>74</v>
      </c>
      <c r="B5223" s="5" t="s">
        <v>169</v>
      </c>
      <c r="C5223" s="5">
        <v>12</v>
      </c>
      <c r="D5223" s="5" t="s">
        <v>89</v>
      </c>
      <c r="E5223" s="5">
        <v>2023</v>
      </c>
      <c r="F5223" s="5">
        <v>12</v>
      </c>
      <c r="G5223" s="5" t="s">
        <v>57</v>
      </c>
      <c r="H5223" s="5">
        <v>4356662</v>
      </c>
      <c r="I5223" s="5">
        <v>3895048.07</v>
      </c>
      <c r="J5223" s="5">
        <v>77</v>
      </c>
      <c r="K5223" s="5">
        <v>667482</v>
      </c>
      <c r="L5223" s="5">
        <v>5010570</v>
      </c>
      <c r="M5223" s="5">
        <v>461613.93</v>
      </c>
      <c r="N5223" s="5">
        <v>0.106</v>
      </c>
      <c r="O5223" s="5">
        <v>4</v>
      </c>
      <c r="P5223" s="5">
        <v>79270</v>
      </c>
    </row>
    <row r="5224" spans="1:16" x14ac:dyDescent="0.3">
      <c r="A5224" s="5">
        <v>74</v>
      </c>
      <c r="B5224" s="5" t="s">
        <v>169</v>
      </c>
      <c r="C5224" s="5">
        <v>12</v>
      </c>
      <c r="D5224" s="5" t="s">
        <v>89</v>
      </c>
      <c r="E5224" s="5">
        <v>2024</v>
      </c>
      <c r="F5224" s="5">
        <v>1</v>
      </c>
      <c r="G5224" s="5" t="s">
        <v>58</v>
      </c>
      <c r="H5224" s="5">
        <v>4137196</v>
      </c>
      <c r="I5224" s="5">
        <v>3785096.58</v>
      </c>
      <c r="J5224" s="5">
        <v>64</v>
      </c>
      <c r="K5224" s="5">
        <v>695805</v>
      </c>
      <c r="L5224" s="5">
        <v>4826160</v>
      </c>
      <c r="M5224" s="5">
        <v>352099.42</v>
      </c>
      <c r="N5224" s="5">
        <v>8.5099999999999995E-2</v>
      </c>
      <c r="O5224" s="5">
        <v>2</v>
      </c>
      <c r="P5224" s="5">
        <v>89687</v>
      </c>
    </row>
    <row r="5225" spans="1:16" x14ac:dyDescent="0.3">
      <c r="A5225" s="5">
        <v>74</v>
      </c>
      <c r="B5225" s="5" t="s">
        <v>169</v>
      </c>
      <c r="C5225" s="5">
        <v>12</v>
      </c>
      <c r="D5225" s="5" t="s">
        <v>89</v>
      </c>
      <c r="E5225" s="5">
        <v>2024</v>
      </c>
      <c r="F5225" s="5">
        <v>2</v>
      </c>
      <c r="G5225" s="5" t="s">
        <v>59</v>
      </c>
      <c r="H5225" s="5">
        <v>2644853</v>
      </c>
      <c r="I5225" s="5">
        <v>2202512.21</v>
      </c>
      <c r="J5225" s="5">
        <v>51</v>
      </c>
      <c r="K5225" s="5">
        <v>248007</v>
      </c>
      <c r="L5225" s="5">
        <v>2882430</v>
      </c>
      <c r="M5225" s="5">
        <v>442340.79</v>
      </c>
      <c r="N5225" s="5">
        <v>0.16719999999999999</v>
      </c>
      <c r="O5225" s="5">
        <v>3</v>
      </c>
      <c r="P5225" s="5">
        <v>64124</v>
      </c>
    </row>
    <row r="5226" spans="1:16" x14ac:dyDescent="0.3">
      <c r="A5226" s="5">
        <v>74</v>
      </c>
      <c r="B5226" s="5" t="s">
        <v>169</v>
      </c>
      <c r="C5226" s="5">
        <v>12</v>
      </c>
      <c r="D5226" s="5" t="s">
        <v>89</v>
      </c>
      <c r="E5226" s="5">
        <v>2024</v>
      </c>
      <c r="F5226" s="5">
        <v>3</v>
      </c>
      <c r="G5226" s="5" t="s">
        <v>60</v>
      </c>
      <c r="H5226" s="5">
        <v>4327011</v>
      </c>
      <c r="I5226" s="5">
        <v>3690861.04</v>
      </c>
      <c r="J5226" s="5">
        <v>65</v>
      </c>
      <c r="K5226" s="5">
        <v>419142</v>
      </c>
      <c r="L5226" s="5">
        <v>4730860</v>
      </c>
      <c r="M5226" s="5">
        <v>636149.96</v>
      </c>
      <c r="N5226" s="5">
        <v>0.14699999999999999</v>
      </c>
      <c r="O5226" s="5">
        <v>5</v>
      </c>
      <c r="P5226" s="5">
        <v>58929</v>
      </c>
    </row>
    <row r="5227" spans="1:16" x14ac:dyDescent="0.3">
      <c r="A5227" s="5">
        <v>74</v>
      </c>
      <c r="B5227" s="5" t="s">
        <v>169</v>
      </c>
      <c r="C5227" s="5">
        <v>12</v>
      </c>
      <c r="D5227" s="5" t="s">
        <v>89</v>
      </c>
      <c r="E5227" s="5">
        <v>2024</v>
      </c>
      <c r="F5227" s="5">
        <v>4</v>
      </c>
      <c r="G5227" s="5" t="s">
        <v>61</v>
      </c>
      <c r="H5227" s="5">
        <v>3012357</v>
      </c>
      <c r="I5227" s="5">
        <v>2690061.39</v>
      </c>
      <c r="J5227" s="5">
        <v>49</v>
      </c>
      <c r="K5227" s="5">
        <v>486312</v>
      </c>
      <c r="L5227" s="5">
        <v>3495210</v>
      </c>
      <c r="M5227" s="5">
        <v>322295.61</v>
      </c>
      <c r="N5227" s="5">
        <v>0.107</v>
      </c>
      <c r="O5227" s="5">
        <v>1</v>
      </c>
      <c r="P5227" s="5">
        <v>6237</v>
      </c>
    </row>
    <row r="5228" spans="1:16" x14ac:dyDescent="0.3">
      <c r="A5228" s="5">
        <v>74</v>
      </c>
      <c r="B5228" s="5" t="s">
        <v>169</v>
      </c>
      <c r="C5228" s="5">
        <v>12</v>
      </c>
      <c r="D5228" s="5" t="s">
        <v>89</v>
      </c>
      <c r="E5228" s="5">
        <v>2024</v>
      </c>
      <c r="F5228" s="5">
        <v>5</v>
      </c>
      <c r="G5228" s="5" t="s">
        <v>62</v>
      </c>
      <c r="H5228" s="5">
        <v>5140576</v>
      </c>
      <c r="I5228" s="5">
        <v>4588097.83</v>
      </c>
      <c r="J5228" s="5">
        <v>80</v>
      </c>
      <c r="K5228" s="5">
        <v>793463</v>
      </c>
      <c r="L5228" s="5">
        <v>5911920</v>
      </c>
      <c r="M5228" s="5">
        <v>552478.17000000004</v>
      </c>
      <c r="N5228" s="5">
        <v>0.1075</v>
      </c>
      <c r="O5228" s="5">
        <v>4</v>
      </c>
      <c r="P5228" s="5">
        <v>69331</v>
      </c>
    </row>
    <row r="5229" spans="1:16" x14ac:dyDescent="0.3">
      <c r="A5229" s="5">
        <v>74</v>
      </c>
      <c r="B5229" s="5" t="s">
        <v>169</v>
      </c>
      <c r="C5229" s="5">
        <v>12</v>
      </c>
      <c r="D5229" s="5" t="s">
        <v>89</v>
      </c>
      <c r="E5229" s="5">
        <v>2024</v>
      </c>
      <c r="F5229" s="5">
        <v>6</v>
      </c>
      <c r="G5229" s="5" t="s">
        <v>63</v>
      </c>
      <c r="H5229" s="5">
        <v>5199406</v>
      </c>
      <c r="I5229" s="5">
        <v>4309898.62</v>
      </c>
      <c r="J5229" s="5">
        <v>67</v>
      </c>
      <c r="K5229" s="5">
        <v>357890</v>
      </c>
      <c r="L5229" s="5">
        <v>5533380</v>
      </c>
      <c r="M5229" s="5">
        <v>889507.38</v>
      </c>
      <c r="N5229" s="5">
        <v>0.1711</v>
      </c>
      <c r="O5229" s="5">
        <v>6</v>
      </c>
      <c r="P5229" s="5">
        <v>216088</v>
      </c>
    </row>
    <row r="5230" spans="1:16" x14ac:dyDescent="0.3">
      <c r="A5230" s="5">
        <v>74</v>
      </c>
      <c r="B5230" s="5" t="s">
        <v>169</v>
      </c>
      <c r="C5230" s="5">
        <v>12</v>
      </c>
      <c r="D5230" s="5" t="s">
        <v>89</v>
      </c>
      <c r="E5230" s="5">
        <v>2024</v>
      </c>
      <c r="F5230" s="5">
        <v>7</v>
      </c>
      <c r="G5230" s="5" t="s">
        <v>64</v>
      </c>
      <c r="H5230" s="5">
        <v>3413587</v>
      </c>
      <c r="I5230" s="5">
        <v>2907363.47</v>
      </c>
      <c r="J5230" s="5">
        <v>63</v>
      </c>
      <c r="K5230" s="5">
        <v>355134</v>
      </c>
      <c r="L5230" s="5">
        <v>3751100</v>
      </c>
      <c r="M5230" s="5">
        <v>506223.53</v>
      </c>
      <c r="N5230" s="5">
        <v>0.14829999999999999</v>
      </c>
      <c r="O5230" s="5">
        <v>6</v>
      </c>
      <c r="P5230" s="5">
        <v>102045</v>
      </c>
    </row>
    <row r="5231" spans="1:16" x14ac:dyDescent="0.3">
      <c r="A5231" s="5">
        <v>74</v>
      </c>
      <c r="B5231" s="5" t="s">
        <v>169</v>
      </c>
      <c r="C5231" s="5">
        <v>12</v>
      </c>
      <c r="D5231" s="5" t="s">
        <v>89</v>
      </c>
      <c r="E5231" s="5">
        <v>2024</v>
      </c>
      <c r="F5231" s="5">
        <v>8</v>
      </c>
      <c r="G5231" s="5" t="s">
        <v>65</v>
      </c>
      <c r="H5231" s="5">
        <v>3019579</v>
      </c>
      <c r="I5231" s="5">
        <v>2551914.2999999998</v>
      </c>
      <c r="J5231" s="5">
        <v>58</v>
      </c>
      <c r="K5231" s="5">
        <v>270252</v>
      </c>
      <c r="L5231" s="5">
        <v>3280260</v>
      </c>
      <c r="M5231" s="5">
        <v>467664.7</v>
      </c>
      <c r="N5231" s="5">
        <v>0.15490000000000001</v>
      </c>
      <c r="O5231" s="5">
        <v>8</v>
      </c>
      <c r="P5231" s="5">
        <v>123131</v>
      </c>
    </row>
    <row r="5232" spans="1:16" x14ac:dyDescent="0.3">
      <c r="A5232" s="5">
        <v>74</v>
      </c>
      <c r="B5232" s="5" t="s">
        <v>169</v>
      </c>
      <c r="C5232" s="5">
        <v>12</v>
      </c>
      <c r="D5232" s="5" t="s">
        <v>89</v>
      </c>
      <c r="E5232" s="5">
        <v>2024</v>
      </c>
      <c r="F5232" s="5">
        <v>9</v>
      </c>
      <c r="G5232" s="5" t="s">
        <v>66</v>
      </c>
      <c r="H5232" s="5">
        <v>5013182</v>
      </c>
      <c r="I5232" s="5">
        <v>4069534.3</v>
      </c>
      <c r="J5232" s="5">
        <v>69</v>
      </c>
      <c r="K5232" s="5">
        <v>236014</v>
      </c>
      <c r="L5232" s="5">
        <v>5223490</v>
      </c>
      <c r="M5232" s="5">
        <v>943647.7</v>
      </c>
      <c r="N5232" s="5">
        <v>0.18820000000000001</v>
      </c>
      <c r="O5232" s="5">
        <v>9</v>
      </c>
      <c r="P5232" s="5">
        <v>349612</v>
      </c>
    </row>
    <row r="5233" spans="1:16" x14ac:dyDescent="0.3">
      <c r="A5233" s="5">
        <v>74</v>
      </c>
      <c r="B5233" s="5" t="s">
        <v>169</v>
      </c>
      <c r="C5233" s="5">
        <v>12</v>
      </c>
      <c r="D5233" s="5" t="s">
        <v>89</v>
      </c>
      <c r="E5233" s="5">
        <v>2024</v>
      </c>
      <c r="F5233" s="5">
        <v>10</v>
      </c>
      <c r="G5233" s="5" t="s">
        <v>67</v>
      </c>
      <c r="H5233" s="5">
        <v>8295660</v>
      </c>
      <c r="I5233" s="5">
        <v>6643034.8799999999</v>
      </c>
      <c r="J5233" s="5">
        <v>119</v>
      </c>
      <c r="K5233" s="5">
        <v>278555</v>
      </c>
      <c r="L5233" s="5">
        <v>8550160</v>
      </c>
      <c r="M5233" s="5">
        <v>1652625.12</v>
      </c>
      <c r="N5233" s="5">
        <v>0.19919999999999999</v>
      </c>
      <c r="O5233" s="5">
        <v>8</v>
      </c>
      <c r="P5233" s="5">
        <v>272631</v>
      </c>
    </row>
    <row r="5234" spans="1:16" x14ac:dyDescent="0.3">
      <c r="A5234" s="5">
        <v>74</v>
      </c>
      <c r="B5234" s="5" t="s">
        <v>169</v>
      </c>
      <c r="C5234" s="5">
        <v>12</v>
      </c>
      <c r="D5234" s="5" t="s">
        <v>89</v>
      </c>
      <c r="E5234" s="5">
        <v>2024</v>
      </c>
      <c r="F5234" s="5">
        <v>11</v>
      </c>
      <c r="G5234" s="5" t="s">
        <v>68</v>
      </c>
      <c r="H5234" s="5">
        <v>5678231</v>
      </c>
      <c r="I5234" s="5">
        <v>4742019.93</v>
      </c>
      <c r="J5234" s="5">
        <v>78</v>
      </c>
      <c r="K5234" s="5">
        <v>405072</v>
      </c>
      <c r="L5234" s="5">
        <v>6060530</v>
      </c>
      <c r="M5234" s="5">
        <v>936211.07</v>
      </c>
      <c r="N5234" s="5">
        <v>0.16489999999999999</v>
      </c>
      <c r="O5234" s="5">
        <v>6</v>
      </c>
      <c r="P5234" s="5">
        <v>154160</v>
      </c>
    </row>
    <row r="5235" spans="1:16" x14ac:dyDescent="0.3">
      <c r="A5235" s="5">
        <v>74</v>
      </c>
      <c r="B5235" s="5" t="s">
        <v>169</v>
      </c>
      <c r="C5235" s="5">
        <v>12</v>
      </c>
      <c r="D5235" s="5" t="s">
        <v>89</v>
      </c>
      <c r="E5235" s="5">
        <v>2024</v>
      </c>
      <c r="F5235" s="5">
        <v>12</v>
      </c>
      <c r="G5235" s="5" t="s">
        <v>69</v>
      </c>
      <c r="H5235" s="5">
        <v>5339527</v>
      </c>
      <c r="I5235" s="5">
        <v>4285910.54</v>
      </c>
      <c r="J5235" s="5">
        <v>90</v>
      </c>
      <c r="K5235" s="5">
        <v>195337</v>
      </c>
      <c r="L5235" s="5">
        <v>5515570</v>
      </c>
      <c r="M5235" s="5">
        <v>1053616.46</v>
      </c>
      <c r="N5235" s="5">
        <v>0.1973</v>
      </c>
      <c r="O5235" s="5">
        <v>3</v>
      </c>
      <c r="P5235" s="5">
        <v>24654</v>
      </c>
    </row>
    <row r="5236" spans="1:16" x14ac:dyDescent="0.3">
      <c r="A5236" s="5">
        <v>77</v>
      </c>
      <c r="B5236" s="5" t="s">
        <v>170</v>
      </c>
      <c r="C5236" s="5">
        <v>4</v>
      </c>
      <c r="D5236" s="5" t="s">
        <v>78</v>
      </c>
      <c r="E5236" s="5">
        <v>2021</v>
      </c>
      <c r="F5236" s="5">
        <v>1</v>
      </c>
      <c r="G5236" s="5" t="s">
        <v>22</v>
      </c>
      <c r="H5236" s="5">
        <v>207428</v>
      </c>
      <c r="I5236" s="5">
        <v>200979.82</v>
      </c>
      <c r="J5236" s="5">
        <v>6</v>
      </c>
      <c r="K5236" s="5">
        <v>51543</v>
      </c>
      <c r="L5236" s="5">
        <v>258390</v>
      </c>
      <c r="M5236" s="5">
        <v>6448.18</v>
      </c>
      <c r="N5236" s="5">
        <v>3.1099999999999999E-2</v>
      </c>
      <c r="O5236" s="5">
        <v>0</v>
      </c>
      <c r="P5236" s="5">
        <v>0</v>
      </c>
    </row>
    <row r="5237" spans="1:16" x14ac:dyDescent="0.3">
      <c r="A5237" s="5">
        <v>87</v>
      </c>
      <c r="B5237" s="5" t="s">
        <v>170</v>
      </c>
      <c r="C5237" s="5">
        <v>4</v>
      </c>
      <c r="D5237" s="5" t="s">
        <v>78</v>
      </c>
      <c r="E5237" s="5">
        <v>2021</v>
      </c>
      <c r="F5237" s="5">
        <v>1</v>
      </c>
      <c r="G5237" s="5" t="s">
        <v>22</v>
      </c>
      <c r="H5237" s="5">
        <v>1502658</v>
      </c>
      <c r="I5237" s="5">
        <v>1384975.07</v>
      </c>
      <c r="J5237" s="5">
        <v>16</v>
      </c>
      <c r="K5237" s="5">
        <v>249871</v>
      </c>
      <c r="L5237" s="5">
        <v>1742980</v>
      </c>
      <c r="M5237" s="5">
        <v>117682.93</v>
      </c>
      <c r="N5237" s="5">
        <v>7.8299999999999995E-2</v>
      </c>
      <c r="O5237" s="5">
        <v>2</v>
      </c>
      <c r="P5237" s="5">
        <v>6553</v>
      </c>
    </row>
    <row r="5238" spans="1:16" x14ac:dyDescent="0.3">
      <c r="A5238" s="5">
        <v>77</v>
      </c>
      <c r="B5238" s="5" t="s">
        <v>170</v>
      </c>
      <c r="C5238" s="5">
        <v>4</v>
      </c>
      <c r="D5238" s="5" t="s">
        <v>78</v>
      </c>
      <c r="E5238" s="5">
        <v>2021</v>
      </c>
      <c r="F5238" s="5">
        <v>2</v>
      </c>
      <c r="G5238" s="5" t="s">
        <v>23</v>
      </c>
      <c r="H5238" s="5">
        <v>409569</v>
      </c>
      <c r="I5238" s="5">
        <v>349555.34</v>
      </c>
      <c r="J5238" s="5">
        <v>3</v>
      </c>
      <c r="K5238" s="5">
        <v>37727</v>
      </c>
      <c r="L5238" s="5">
        <v>447230</v>
      </c>
      <c r="M5238" s="5">
        <v>60013.66</v>
      </c>
      <c r="N5238" s="5">
        <v>0.14649999999999999</v>
      </c>
      <c r="O5238" s="5">
        <v>0</v>
      </c>
      <c r="P5238" s="5">
        <v>0</v>
      </c>
    </row>
    <row r="5239" spans="1:16" x14ac:dyDescent="0.3">
      <c r="A5239" s="5">
        <v>87</v>
      </c>
      <c r="B5239" s="5" t="s">
        <v>170</v>
      </c>
      <c r="C5239" s="5">
        <v>4</v>
      </c>
      <c r="D5239" s="5" t="s">
        <v>78</v>
      </c>
      <c r="E5239" s="5">
        <v>2021</v>
      </c>
      <c r="F5239" s="5">
        <v>2</v>
      </c>
      <c r="G5239" s="5" t="s">
        <v>23</v>
      </c>
      <c r="H5239" s="5">
        <v>324929</v>
      </c>
      <c r="I5239" s="5">
        <v>280341.09999999998</v>
      </c>
      <c r="J5239" s="5">
        <v>8</v>
      </c>
      <c r="K5239" s="5">
        <v>41801</v>
      </c>
      <c r="L5239" s="5">
        <v>366710</v>
      </c>
      <c r="M5239" s="5">
        <v>44587.9</v>
      </c>
      <c r="N5239" s="5">
        <v>0.13719999999999999</v>
      </c>
      <c r="O5239" s="5">
        <v>1</v>
      </c>
      <c r="P5239" s="5">
        <v>8982</v>
      </c>
    </row>
    <row r="5240" spans="1:16" x14ac:dyDescent="0.3">
      <c r="A5240" s="5">
        <v>77</v>
      </c>
      <c r="B5240" s="5" t="s">
        <v>170</v>
      </c>
      <c r="C5240" s="5">
        <v>4</v>
      </c>
      <c r="D5240" s="5" t="s">
        <v>78</v>
      </c>
      <c r="E5240" s="5">
        <v>2021</v>
      </c>
      <c r="F5240" s="5">
        <v>3</v>
      </c>
      <c r="G5240" s="5" t="s">
        <v>24</v>
      </c>
      <c r="H5240" s="5">
        <v>222393</v>
      </c>
      <c r="I5240" s="5">
        <v>182650.7</v>
      </c>
      <c r="J5240" s="5">
        <v>4</v>
      </c>
      <c r="K5240" s="5">
        <v>30245</v>
      </c>
      <c r="L5240" s="5">
        <v>252140</v>
      </c>
      <c r="M5240" s="5">
        <v>39742.300000000003</v>
      </c>
      <c r="N5240" s="5">
        <v>0.1787</v>
      </c>
      <c r="O5240" s="5">
        <v>0</v>
      </c>
      <c r="P5240" s="5">
        <v>0</v>
      </c>
    </row>
    <row r="5241" spans="1:16" x14ac:dyDescent="0.3">
      <c r="A5241" s="5">
        <v>87</v>
      </c>
      <c r="B5241" s="5" t="s">
        <v>170</v>
      </c>
      <c r="C5241" s="5">
        <v>4</v>
      </c>
      <c r="D5241" s="5" t="s">
        <v>78</v>
      </c>
      <c r="E5241" s="5">
        <v>2021</v>
      </c>
      <c r="F5241" s="5">
        <v>3</v>
      </c>
      <c r="G5241" s="5" t="s">
        <v>24</v>
      </c>
      <c r="H5241" s="5">
        <v>1059074</v>
      </c>
      <c r="I5241" s="5">
        <v>854876.12</v>
      </c>
      <c r="J5241" s="5">
        <v>21</v>
      </c>
      <c r="K5241" s="5">
        <v>77969</v>
      </c>
      <c r="L5241" s="5">
        <v>1133460</v>
      </c>
      <c r="M5241" s="5">
        <v>204197.88</v>
      </c>
      <c r="N5241" s="5">
        <v>0.1928</v>
      </c>
      <c r="O5241" s="5">
        <v>1</v>
      </c>
      <c r="P5241" s="5">
        <v>4219</v>
      </c>
    </row>
    <row r="5242" spans="1:16" x14ac:dyDescent="0.3">
      <c r="A5242" s="5">
        <v>77</v>
      </c>
      <c r="B5242" s="5" t="s">
        <v>170</v>
      </c>
      <c r="C5242" s="5">
        <v>4</v>
      </c>
      <c r="D5242" s="5" t="s">
        <v>78</v>
      </c>
      <c r="E5242" s="5">
        <v>2021</v>
      </c>
      <c r="F5242" s="5">
        <v>4</v>
      </c>
      <c r="G5242" s="5" t="s">
        <v>25</v>
      </c>
      <c r="H5242" s="5">
        <v>86032</v>
      </c>
      <c r="I5242" s="5">
        <v>66551.19</v>
      </c>
      <c r="J5242" s="5">
        <v>3</v>
      </c>
      <c r="K5242" s="5">
        <v>2090</v>
      </c>
      <c r="L5242" s="5">
        <v>87630</v>
      </c>
      <c r="M5242" s="5">
        <v>19480.810000000001</v>
      </c>
      <c r="N5242" s="5">
        <v>0.22639999999999999</v>
      </c>
      <c r="O5242" s="5">
        <v>1</v>
      </c>
      <c r="P5242" s="5">
        <v>674</v>
      </c>
    </row>
    <row r="5243" spans="1:16" x14ac:dyDescent="0.3">
      <c r="A5243" s="5">
        <v>87</v>
      </c>
      <c r="B5243" s="5" t="s">
        <v>170</v>
      </c>
      <c r="C5243" s="5">
        <v>4</v>
      </c>
      <c r="D5243" s="5" t="s">
        <v>78</v>
      </c>
      <c r="E5243" s="5">
        <v>2021</v>
      </c>
      <c r="F5243" s="5">
        <v>4</v>
      </c>
      <c r="G5243" s="5" t="s">
        <v>25</v>
      </c>
      <c r="H5243" s="5">
        <v>501687</v>
      </c>
      <c r="I5243" s="5">
        <v>419856.13</v>
      </c>
      <c r="J5243" s="5">
        <v>12</v>
      </c>
      <c r="K5243" s="5">
        <v>46769</v>
      </c>
      <c r="L5243" s="5">
        <v>548120</v>
      </c>
      <c r="M5243" s="5">
        <v>81830.87</v>
      </c>
      <c r="N5243" s="5">
        <v>0.16309999999999999</v>
      </c>
      <c r="O5243" s="5">
        <v>0</v>
      </c>
      <c r="P5243" s="5">
        <v>0</v>
      </c>
    </row>
    <row r="5244" spans="1:16" x14ac:dyDescent="0.3">
      <c r="A5244" s="5">
        <v>77</v>
      </c>
      <c r="B5244" s="5" t="s">
        <v>170</v>
      </c>
      <c r="C5244" s="5">
        <v>4</v>
      </c>
      <c r="D5244" s="5" t="s">
        <v>78</v>
      </c>
      <c r="E5244" s="5">
        <v>2021</v>
      </c>
      <c r="F5244" s="5">
        <v>5</v>
      </c>
      <c r="G5244" s="5" t="s">
        <v>26</v>
      </c>
      <c r="H5244" s="5">
        <v>863581</v>
      </c>
      <c r="I5244" s="5">
        <v>750847.26</v>
      </c>
      <c r="J5244" s="5">
        <v>10</v>
      </c>
      <c r="K5244" s="5">
        <v>133327</v>
      </c>
      <c r="L5244" s="5">
        <v>995850</v>
      </c>
      <c r="M5244" s="5">
        <v>112733.74</v>
      </c>
      <c r="N5244" s="5">
        <v>0.1305</v>
      </c>
      <c r="O5244" s="5">
        <v>1</v>
      </c>
      <c r="P5244" s="5">
        <v>31266</v>
      </c>
    </row>
    <row r="5245" spans="1:16" x14ac:dyDescent="0.3">
      <c r="A5245" s="5">
        <v>87</v>
      </c>
      <c r="B5245" s="5" t="s">
        <v>170</v>
      </c>
      <c r="C5245" s="5">
        <v>4</v>
      </c>
      <c r="D5245" s="5" t="s">
        <v>78</v>
      </c>
      <c r="E5245" s="5">
        <v>2021</v>
      </c>
      <c r="F5245" s="5">
        <v>5</v>
      </c>
      <c r="G5245" s="5" t="s">
        <v>26</v>
      </c>
      <c r="H5245" s="5">
        <v>1186612</v>
      </c>
      <c r="I5245" s="5">
        <v>1032466.17</v>
      </c>
      <c r="J5245" s="5">
        <v>21</v>
      </c>
      <c r="K5245" s="5">
        <v>161345</v>
      </c>
      <c r="L5245" s="5">
        <v>1345510</v>
      </c>
      <c r="M5245" s="5">
        <v>154145.82999999999</v>
      </c>
      <c r="N5245" s="5">
        <v>0.12989999999999999</v>
      </c>
      <c r="O5245" s="5">
        <v>0</v>
      </c>
      <c r="P5245" s="5">
        <v>0</v>
      </c>
    </row>
    <row r="5246" spans="1:16" x14ac:dyDescent="0.3">
      <c r="A5246" s="5">
        <v>77</v>
      </c>
      <c r="B5246" s="5" t="s">
        <v>170</v>
      </c>
      <c r="C5246" s="5">
        <v>4</v>
      </c>
      <c r="D5246" s="5" t="s">
        <v>78</v>
      </c>
      <c r="E5246" s="5">
        <v>2021</v>
      </c>
      <c r="F5246" s="5">
        <v>6</v>
      </c>
      <c r="G5246" s="5" t="s">
        <v>27</v>
      </c>
      <c r="H5246" s="5">
        <v>498467</v>
      </c>
      <c r="I5246" s="5">
        <v>448271.9</v>
      </c>
      <c r="J5246" s="5">
        <v>6</v>
      </c>
      <c r="K5246" s="5">
        <v>74153</v>
      </c>
      <c r="L5246" s="5">
        <v>572620</v>
      </c>
      <c r="M5246" s="5">
        <v>50195.1</v>
      </c>
      <c r="N5246" s="5">
        <v>0.1007</v>
      </c>
      <c r="O5246" s="5">
        <v>1</v>
      </c>
      <c r="P5246" s="5">
        <v>169070</v>
      </c>
    </row>
    <row r="5247" spans="1:16" x14ac:dyDescent="0.3">
      <c r="A5247" s="5">
        <v>87</v>
      </c>
      <c r="B5247" s="5" t="s">
        <v>170</v>
      </c>
      <c r="C5247" s="5">
        <v>4</v>
      </c>
      <c r="D5247" s="5" t="s">
        <v>78</v>
      </c>
      <c r="E5247" s="5">
        <v>2021</v>
      </c>
      <c r="F5247" s="5">
        <v>6</v>
      </c>
      <c r="G5247" s="5" t="s">
        <v>27</v>
      </c>
      <c r="H5247" s="5">
        <v>914336</v>
      </c>
      <c r="I5247" s="5">
        <v>798596.5</v>
      </c>
      <c r="J5247" s="5">
        <v>13</v>
      </c>
      <c r="K5247" s="5">
        <v>92617</v>
      </c>
      <c r="L5247" s="5">
        <v>1000520</v>
      </c>
      <c r="M5247" s="5">
        <v>115739.5</v>
      </c>
      <c r="N5247" s="5">
        <v>0.12659999999999999</v>
      </c>
      <c r="O5247" s="5">
        <v>1</v>
      </c>
      <c r="P5247" s="5">
        <v>7425</v>
      </c>
    </row>
    <row r="5248" spans="1:16" x14ac:dyDescent="0.3">
      <c r="A5248" s="5">
        <v>77</v>
      </c>
      <c r="B5248" s="5" t="s">
        <v>170</v>
      </c>
      <c r="C5248" s="5">
        <v>4</v>
      </c>
      <c r="D5248" s="5" t="s">
        <v>78</v>
      </c>
      <c r="E5248" s="5">
        <v>2021</v>
      </c>
      <c r="F5248" s="5">
        <v>7</v>
      </c>
      <c r="G5248" s="5" t="s">
        <v>28</v>
      </c>
      <c r="H5248" s="5">
        <v>509464</v>
      </c>
      <c r="I5248" s="5">
        <v>415146.1</v>
      </c>
      <c r="J5248" s="5">
        <v>6</v>
      </c>
      <c r="K5248" s="5">
        <v>30822</v>
      </c>
      <c r="L5248" s="5">
        <v>536990</v>
      </c>
      <c r="M5248" s="5">
        <v>94317.9</v>
      </c>
      <c r="N5248" s="5">
        <v>0.18509999999999999</v>
      </c>
      <c r="O5248" s="5">
        <v>0</v>
      </c>
      <c r="P5248" s="5">
        <v>0</v>
      </c>
    </row>
    <row r="5249" spans="1:16" x14ac:dyDescent="0.3">
      <c r="A5249" s="5">
        <v>87</v>
      </c>
      <c r="B5249" s="5" t="s">
        <v>170</v>
      </c>
      <c r="C5249" s="5">
        <v>4</v>
      </c>
      <c r="D5249" s="5" t="s">
        <v>78</v>
      </c>
      <c r="E5249" s="5">
        <v>2021</v>
      </c>
      <c r="F5249" s="5">
        <v>7</v>
      </c>
      <c r="G5249" s="5" t="s">
        <v>28</v>
      </c>
      <c r="H5249" s="5">
        <v>624447</v>
      </c>
      <c r="I5249" s="5">
        <v>561828.43999999994</v>
      </c>
      <c r="J5249" s="5">
        <v>19</v>
      </c>
      <c r="K5249" s="5">
        <v>137769</v>
      </c>
      <c r="L5249" s="5">
        <v>758200</v>
      </c>
      <c r="M5249" s="5">
        <v>62618.559999999998</v>
      </c>
      <c r="N5249" s="5">
        <v>0.1003</v>
      </c>
      <c r="O5249" s="5">
        <v>1</v>
      </c>
      <c r="P5249" s="5">
        <v>44121</v>
      </c>
    </row>
    <row r="5250" spans="1:16" x14ac:dyDescent="0.3">
      <c r="A5250" s="5">
        <v>87</v>
      </c>
      <c r="B5250" s="5" t="s">
        <v>170</v>
      </c>
      <c r="C5250" s="5">
        <v>4</v>
      </c>
      <c r="D5250" s="5" t="s">
        <v>78</v>
      </c>
      <c r="E5250" s="5">
        <v>2021</v>
      </c>
      <c r="F5250" s="5">
        <v>8</v>
      </c>
      <c r="G5250" s="5" t="s">
        <v>29</v>
      </c>
      <c r="H5250" s="5">
        <v>679897</v>
      </c>
      <c r="I5250" s="5">
        <v>562368.55000000005</v>
      </c>
      <c r="J5250" s="5">
        <v>16</v>
      </c>
      <c r="K5250" s="5">
        <v>74395</v>
      </c>
      <c r="L5250" s="5">
        <v>752980</v>
      </c>
      <c r="M5250" s="5">
        <v>117528.45</v>
      </c>
      <c r="N5250" s="5">
        <v>0.1729</v>
      </c>
      <c r="O5250" s="5">
        <v>4</v>
      </c>
      <c r="P5250" s="5">
        <v>123083</v>
      </c>
    </row>
    <row r="5251" spans="1:16" x14ac:dyDescent="0.3">
      <c r="A5251" s="5">
        <v>77</v>
      </c>
      <c r="B5251" s="5" t="s">
        <v>170</v>
      </c>
      <c r="C5251" s="5">
        <v>4</v>
      </c>
      <c r="D5251" s="5" t="s">
        <v>78</v>
      </c>
      <c r="E5251" s="5">
        <v>2021</v>
      </c>
      <c r="F5251" s="5">
        <v>9</v>
      </c>
      <c r="G5251" s="5" t="s">
        <v>30</v>
      </c>
      <c r="H5251" s="5">
        <v>607441</v>
      </c>
      <c r="I5251" s="5">
        <v>617824.14</v>
      </c>
      <c r="J5251" s="5">
        <v>3</v>
      </c>
      <c r="K5251" s="5">
        <v>94629</v>
      </c>
      <c r="L5251" s="5">
        <v>702070</v>
      </c>
      <c r="M5251" s="5">
        <v>-10383.14</v>
      </c>
      <c r="N5251" s="5">
        <v>-1.7100000000000001E-2</v>
      </c>
      <c r="O5251" s="5">
        <v>0</v>
      </c>
      <c r="P5251" s="5">
        <v>0</v>
      </c>
    </row>
    <row r="5252" spans="1:16" x14ac:dyDescent="0.3">
      <c r="A5252" s="5">
        <v>87</v>
      </c>
      <c r="B5252" s="5" t="s">
        <v>170</v>
      </c>
      <c r="C5252" s="5">
        <v>4</v>
      </c>
      <c r="D5252" s="5" t="s">
        <v>78</v>
      </c>
      <c r="E5252" s="5">
        <v>2021</v>
      </c>
      <c r="F5252" s="5">
        <v>9</v>
      </c>
      <c r="G5252" s="5" t="s">
        <v>30</v>
      </c>
      <c r="H5252" s="5">
        <v>650094</v>
      </c>
      <c r="I5252" s="5">
        <v>534085.80000000005</v>
      </c>
      <c r="J5252" s="5">
        <v>9</v>
      </c>
      <c r="K5252" s="5">
        <v>32745</v>
      </c>
      <c r="L5252" s="5">
        <v>680770</v>
      </c>
      <c r="M5252" s="5">
        <v>116008.2</v>
      </c>
      <c r="N5252" s="5">
        <v>0.1784</v>
      </c>
      <c r="O5252" s="5">
        <v>2</v>
      </c>
      <c r="P5252" s="5">
        <v>11070</v>
      </c>
    </row>
    <row r="5253" spans="1:16" x14ac:dyDescent="0.3">
      <c r="A5253" s="5">
        <v>77</v>
      </c>
      <c r="B5253" s="5" t="s">
        <v>170</v>
      </c>
      <c r="C5253" s="5">
        <v>4</v>
      </c>
      <c r="D5253" s="5" t="s">
        <v>78</v>
      </c>
      <c r="E5253" s="5">
        <v>2021</v>
      </c>
      <c r="F5253" s="5">
        <v>10</v>
      </c>
      <c r="G5253" s="5" t="s">
        <v>31</v>
      </c>
      <c r="H5253" s="5">
        <v>167366</v>
      </c>
      <c r="I5253" s="5">
        <v>134404.68</v>
      </c>
      <c r="J5253" s="5">
        <v>6</v>
      </c>
      <c r="K5253" s="5">
        <v>17553</v>
      </c>
      <c r="L5253" s="5">
        <v>184730</v>
      </c>
      <c r="M5253" s="5">
        <v>32961.32</v>
      </c>
      <c r="N5253" s="5">
        <v>0.19689999999999999</v>
      </c>
      <c r="O5253" s="5">
        <v>0</v>
      </c>
      <c r="P5253" s="5">
        <v>0</v>
      </c>
    </row>
    <row r="5254" spans="1:16" x14ac:dyDescent="0.3">
      <c r="A5254" s="5">
        <v>87</v>
      </c>
      <c r="B5254" s="5" t="s">
        <v>170</v>
      </c>
      <c r="C5254" s="5">
        <v>4</v>
      </c>
      <c r="D5254" s="5" t="s">
        <v>78</v>
      </c>
      <c r="E5254" s="5">
        <v>2021</v>
      </c>
      <c r="F5254" s="5">
        <v>10</v>
      </c>
      <c r="G5254" s="5" t="s">
        <v>31</v>
      </c>
      <c r="H5254" s="5">
        <v>1924289</v>
      </c>
      <c r="I5254" s="5">
        <v>1626067.78</v>
      </c>
      <c r="J5254" s="5">
        <v>25</v>
      </c>
      <c r="K5254" s="5">
        <v>195250</v>
      </c>
      <c r="L5254" s="5">
        <v>2107280</v>
      </c>
      <c r="M5254" s="5">
        <v>298221.21999999997</v>
      </c>
      <c r="N5254" s="5">
        <v>0.155</v>
      </c>
      <c r="O5254" s="5">
        <v>1</v>
      </c>
      <c r="P5254" s="5">
        <v>19641</v>
      </c>
    </row>
    <row r="5255" spans="1:16" x14ac:dyDescent="0.3">
      <c r="A5255" s="5">
        <v>77</v>
      </c>
      <c r="B5255" s="5" t="s">
        <v>170</v>
      </c>
      <c r="C5255" s="5">
        <v>4</v>
      </c>
      <c r="D5255" s="5" t="s">
        <v>78</v>
      </c>
      <c r="E5255" s="5">
        <v>2021</v>
      </c>
      <c r="F5255" s="5">
        <v>11</v>
      </c>
      <c r="G5255" s="5" t="s">
        <v>32</v>
      </c>
      <c r="H5255" s="5">
        <v>245474</v>
      </c>
      <c r="I5255" s="5">
        <v>204397.74</v>
      </c>
      <c r="J5255" s="5">
        <v>5</v>
      </c>
      <c r="K5255" s="5">
        <v>7644</v>
      </c>
      <c r="L5255" s="5">
        <v>252860</v>
      </c>
      <c r="M5255" s="5">
        <v>41076.26</v>
      </c>
      <c r="N5255" s="5">
        <v>0.1673</v>
      </c>
      <c r="O5255" s="5">
        <v>0</v>
      </c>
      <c r="P5255" s="5">
        <v>0</v>
      </c>
    </row>
    <row r="5256" spans="1:16" x14ac:dyDescent="0.3">
      <c r="A5256" s="5">
        <v>87</v>
      </c>
      <c r="B5256" s="5" t="s">
        <v>170</v>
      </c>
      <c r="C5256" s="5">
        <v>4</v>
      </c>
      <c r="D5256" s="5" t="s">
        <v>78</v>
      </c>
      <c r="E5256" s="5">
        <v>2021</v>
      </c>
      <c r="F5256" s="5">
        <v>11</v>
      </c>
      <c r="G5256" s="5" t="s">
        <v>32</v>
      </c>
      <c r="H5256" s="5">
        <v>1037142</v>
      </c>
      <c r="I5256" s="5">
        <v>892628.07</v>
      </c>
      <c r="J5256" s="5">
        <v>13</v>
      </c>
      <c r="K5256" s="5">
        <v>95552</v>
      </c>
      <c r="L5256" s="5">
        <v>1127320</v>
      </c>
      <c r="M5256" s="5">
        <v>144513.93</v>
      </c>
      <c r="N5256" s="5">
        <v>0.13930000000000001</v>
      </c>
      <c r="O5256" s="5">
        <v>0</v>
      </c>
      <c r="P5256" s="5">
        <v>0</v>
      </c>
    </row>
    <row r="5257" spans="1:16" x14ac:dyDescent="0.3">
      <c r="A5257" s="5">
        <v>77</v>
      </c>
      <c r="B5257" s="5" t="s">
        <v>170</v>
      </c>
      <c r="C5257" s="5">
        <v>4</v>
      </c>
      <c r="D5257" s="5" t="s">
        <v>78</v>
      </c>
      <c r="E5257" s="5">
        <v>2021</v>
      </c>
      <c r="F5257" s="5">
        <v>12</v>
      </c>
      <c r="G5257" s="5" t="s">
        <v>33</v>
      </c>
      <c r="H5257" s="5">
        <v>555607</v>
      </c>
      <c r="I5257" s="5">
        <v>440595.97</v>
      </c>
      <c r="J5257" s="5">
        <v>7</v>
      </c>
      <c r="K5257" s="5">
        <v>32295</v>
      </c>
      <c r="L5257" s="5">
        <v>586930</v>
      </c>
      <c r="M5257" s="5">
        <v>115011.03</v>
      </c>
      <c r="N5257" s="5">
        <v>0.20699999999999999</v>
      </c>
      <c r="O5257" s="5">
        <v>0</v>
      </c>
      <c r="P5257" s="5">
        <v>0</v>
      </c>
    </row>
    <row r="5258" spans="1:16" x14ac:dyDescent="0.3">
      <c r="A5258" s="5">
        <v>87</v>
      </c>
      <c r="B5258" s="5" t="s">
        <v>170</v>
      </c>
      <c r="C5258" s="5">
        <v>4</v>
      </c>
      <c r="D5258" s="5" t="s">
        <v>78</v>
      </c>
      <c r="E5258" s="5">
        <v>2021</v>
      </c>
      <c r="F5258" s="5">
        <v>12</v>
      </c>
      <c r="G5258" s="5" t="s">
        <v>33</v>
      </c>
      <c r="H5258" s="5">
        <v>1883780</v>
      </c>
      <c r="I5258" s="5">
        <v>1542488.3</v>
      </c>
      <c r="J5258" s="5">
        <v>19</v>
      </c>
      <c r="K5258" s="5">
        <v>77914</v>
      </c>
      <c r="L5258" s="5">
        <v>1955880</v>
      </c>
      <c r="M5258" s="5">
        <v>341291.7</v>
      </c>
      <c r="N5258" s="5">
        <v>0.1812</v>
      </c>
      <c r="O5258" s="5">
        <v>2</v>
      </c>
      <c r="P5258" s="5">
        <v>132152</v>
      </c>
    </row>
    <row r="5259" spans="1:16" x14ac:dyDescent="0.3">
      <c r="A5259" s="5">
        <v>77</v>
      </c>
      <c r="B5259" s="5" t="s">
        <v>170</v>
      </c>
      <c r="C5259" s="5">
        <v>4</v>
      </c>
      <c r="D5259" s="5" t="s">
        <v>78</v>
      </c>
      <c r="E5259" s="5">
        <v>2022</v>
      </c>
      <c r="F5259" s="5">
        <v>1</v>
      </c>
      <c r="G5259" s="5" t="s">
        <v>34</v>
      </c>
      <c r="H5259" s="5">
        <v>375425</v>
      </c>
      <c r="I5259" s="5">
        <v>327726.8</v>
      </c>
      <c r="J5259" s="5">
        <v>9</v>
      </c>
      <c r="K5259" s="5">
        <v>70434</v>
      </c>
      <c r="L5259" s="5">
        <v>444880</v>
      </c>
      <c r="M5259" s="5">
        <v>47698.2</v>
      </c>
      <c r="N5259" s="5">
        <v>0.12709999999999999</v>
      </c>
      <c r="O5259" s="5">
        <v>1</v>
      </c>
      <c r="P5259" s="5">
        <v>9037</v>
      </c>
    </row>
    <row r="5260" spans="1:16" x14ac:dyDescent="0.3">
      <c r="A5260" s="5">
        <v>87</v>
      </c>
      <c r="B5260" s="5" t="s">
        <v>170</v>
      </c>
      <c r="C5260" s="5">
        <v>4</v>
      </c>
      <c r="D5260" s="5" t="s">
        <v>78</v>
      </c>
      <c r="E5260" s="5">
        <v>2022</v>
      </c>
      <c r="F5260" s="5">
        <v>1</v>
      </c>
      <c r="G5260" s="5" t="s">
        <v>34</v>
      </c>
      <c r="H5260" s="5">
        <v>1132748</v>
      </c>
      <c r="I5260" s="5">
        <v>950984.85</v>
      </c>
      <c r="J5260" s="5">
        <v>19</v>
      </c>
      <c r="K5260" s="5">
        <v>78161</v>
      </c>
      <c r="L5260" s="5">
        <v>1204640</v>
      </c>
      <c r="M5260" s="5">
        <v>181763.15</v>
      </c>
      <c r="N5260" s="5">
        <v>0.1605</v>
      </c>
      <c r="O5260" s="5">
        <v>1</v>
      </c>
      <c r="P5260" s="5">
        <v>4342</v>
      </c>
    </row>
    <row r="5261" spans="1:16" x14ac:dyDescent="0.3">
      <c r="A5261" s="5">
        <v>77</v>
      </c>
      <c r="B5261" s="5" t="s">
        <v>170</v>
      </c>
      <c r="C5261" s="5">
        <v>4</v>
      </c>
      <c r="D5261" s="5" t="s">
        <v>78</v>
      </c>
      <c r="E5261" s="5">
        <v>2022</v>
      </c>
      <c r="F5261" s="5">
        <v>2</v>
      </c>
      <c r="G5261" s="5" t="s">
        <v>35</v>
      </c>
      <c r="H5261" s="5">
        <v>166558</v>
      </c>
      <c r="I5261" s="5">
        <v>133629.57</v>
      </c>
      <c r="J5261" s="5">
        <v>6</v>
      </c>
      <c r="K5261" s="5">
        <v>28660</v>
      </c>
      <c r="L5261" s="5">
        <v>195150</v>
      </c>
      <c r="M5261" s="5">
        <v>32928.43</v>
      </c>
      <c r="N5261" s="5">
        <v>0.19769999999999999</v>
      </c>
      <c r="O5261" s="5">
        <v>1</v>
      </c>
      <c r="P5261" s="5">
        <v>3205</v>
      </c>
    </row>
    <row r="5262" spans="1:16" x14ac:dyDescent="0.3">
      <c r="A5262" s="5">
        <v>87</v>
      </c>
      <c r="B5262" s="5" t="s">
        <v>170</v>
      </c>
      <c r="C5262" s="5">
        <v>4</v>
      </c>
      <c r="D5262" s="5" t="s">
        <v>78</v>
      </c>
      <c r="E5262" s="5">
        <v>2022</v>
      </c>
      <c r="F5262" s="5">
        <v>2</v>
      </c>
      <c r="G5262" s="5" t="s">
        <v>35</v>
      </c>
      <c r="H5262" s="5">
        <v>1023743</v>
      </c>
      <c r="I5262" s="5">
        <v>849427.19</v>
      </c>
      <c r="J5262" s="5">
        <v>13</v>
      </c>
      <c r="K5262" s="5">
        <v>76653</v>
      </c>
      <c r="L5262" s="5">
        <v>1097750</v>
      </c>
      <c r="M5262" s="5">
        <v>174315.81</v>
      </c>
      <c r="N5262" s="5">
        <v>0.17030000000000001</v>
      </c>
      <c r="O5262" s="5">
        <v>0</v>
      </c>
      <c r="P5262" s="5">
        <v>0</v>
      </c>
    </row>
    <row r="5263" spans="1:16" x14ac:dyDescent="0.3">
      <c r="A5263" s="5">
        <v>77</v>
      </c>
      <c r="B5263" s="5" t="s">
        <v>170</v>
      </c>
      <c r="C5263" s="5">
        <v>4</v>
      </c>
      <c r="D5263" s="5" t="s">
        <v>78</v>
      </c>
      <c r="E5263" s="5">
        <v>2022</v>
      </c>
      <c r="F5263" s="5">
        <v>3</v>
      </c>
      <c r="G5263" s="5" t="s">
        <v>36</v>
      </c>
      <c r="H5263" s="5">
        <v>417308</v>
      </c>
      <c r="I5263" s="5">
        <v>348146.94</v>
      </c>
      <c r="J5263" s="5">
        <v>8</v>
      </c>
      <c r="K5263" s="5">
        <v>55229</v>
      </c>
      <c r="L5263" s="5">
        <v>469860</v>
      </c>
      <c r="M5263" s="5">
        <v>69161.06</v>
      </c>
      <c r="N5263" s="5">
        <v>0.16569999999999999</v>
      </c>
      <c r="O5263" s="5">
        <v>0</v>
      </c>
      <c r="P5263" s="5">
        <v>0</v>
      </c>
    </row>
    <row r="5264" spans="1:16" x14ac:dyDescent="0.3">
      <c r="A5264" s="5">
        <v>87</v>
      </c>
      <c r="B5264" s="5" t="s">
        <v>170</v>
      </c>
      <c r="C5264" s="5">
        <v>4</v>
      </c>
      <c r="D5264" s="5" t="s">
        <v>78</v>
      </c>
      <c r="E5264" s="5">
        <v>2022</v>
      </c>
      <c r="F5264" s="5">
        <v>3</v>
      </c>
      <c r="G5264" s="5" t="s">
        <v>36</v>
      </c>
      <c r="H5264" s="5">
        <v>1708643</v>
      </c>
      <c r="I5264" s="5">
        <v>1733745.75</v>
      </c>
      <c r="J5264" s="5">
        <v>18</v>
      </c>
      <c r="K5264" s="5">
        <v>432149</v>
      </c>
      <c r="L5264" s="5">
        <v>2140690</v>
      </c>
      <c r="M5264" s="5">
        <v>-25102.75</v>
      </c>
      <c r="N5264" s="5">
        <v>-1.47E-2</v>
      </c>
      <c r="O5264" s="5">
        <v>1</v>
      </c>
      <c r="P5264" s="5">
        <v>100752</v>
      </c>
    </row>
    <row r="5265" spans="1:16" x14ac:dyDescent="0.3">
      <c r="A5265" s="5">
        <v>77</v>
      </c>
      <c r="B5265" s="5" t="s">
        <v>170</v>
      </c>
      <c r="C5265" s="5">
        <v>4</v>
      </c>
      <c r="D5265" s="5" t="s">
        <v>78</v>
      </c>
      <c r="E5265" s="5">
        <v>2022</v>
      </c>
      <c r="F5265" s="5">
        <v>4</v>
      </c>
      <c r="G5265" s="5" t="s">
        <v>37</v>
      </c>
      <c r="H5265" s="5">
        <v>997241</v>
      </c>
      <c r="I5265" s="5">
        <v>838420.78</v>
      </c>
      <c r="J5265" s="5">
        <v>12</v>
      </c>
      <c r="K5265" s="5">
        <v>119066</v>
      </c>
      <c r="L5265" s="5">
        <v>1114920</v>
      </c>
      <c r="M5265" s="5">
        <v>158820.22</v>
      </c>
      <c r="N5265" s="5">
        <v>0.1593</v>
      </c>
      <c r="O5265" s="5">
        <v>0</v>
      </c>
      <c r="P5265" s="5">
        <v>0</v>
      </c>
    </row>
    <row r="5266" spans="1:16" x14ac:dyDescent="0.3">
      <c r="A5266" s="5">
        <v>87</v>
      </c>
      <c r="B5266" s="5" t="s">
        <v>170</v>
      </c>
      <c r="C5266" s="5">
        <v>4</v>
      </c>
      <c r="D5266" s="5" t="s">
        <v>78</v>
      </c>
      <c r="E5266" s="5">
        <v>2022</v>
      </c>
      <c r="F5266" s="5">
        <v>4</v>
      </c>
      <c r="G5266" s="5" t="s">
        <v>37</v>
      </c>
      <c r="H5266" s="5">
        <v>1315525</v>
      </c>
      <c r="I5266" s="5">
        <v>1147644.8700000001</v>
      </c>
      <c r="J5266" s="5">
        <v>20</v>
      </c>
      <c r="K5266" s="5">
        <v>133976</v>
      </c>
      <c r="L5266" s="5">
        <v>1444940</v>
      </c>
      <c r="M5266" s="5">
        <v>167880.13</v>
      </c>
      <c r="N5266" s="5">
        <v>0.12759999999999999</v>
      </c>
      <c r="O5266" s="5">
        <v>2</v>
      </c>
      <c r="P5266" s="5">
        <v>17129</v>
      </c>
    </row>
    <row r="5267" spans="1:16" x14ac:dyDescent="0.3">
      <c r="A5267" s="5">
        <v>77</v>
      </c>
      <c r="B5267" s="5" t="s">
        <v>170</v>
      </c>
      <c r="C5267" s="5">
        <v>4</v>
      </c>
      <c r="D5267" s="5" t="s">
        <v>78</v>
      </c>
      <c r="E5267" s="5">
        <v>2022</v>
      </c>
      <c r="F5267" s="5">
        <v>5</v>
      </c>
      <c r="G5267" s="5" t="s">
        <v>38</v>
      </c>
      <c r="H5267" s="5">
        <v>596923</v>
      </c>
      <c r="I5267" s="5">
        <v>536573.05000000005</v>
      </c>
      <c r="J5267" s="5">
        <v>6</v>
      </c>
      <c r="K5267" s="5">
        <v>92314</v>
      </c>
      <c r="L5267" s="5">
        <v>686570</v>
      </c>
      <c r="M5267" s="5">
        <v>60349.95</v>
      </c>
      <c r="N5267" s="5">
        <v>0.1011</v>
      </c>
      <c r="O5267" s="5">
        <v>0</v>
      </c>
      <c r="P5267" s="5">
        <v>0</v>
      </c>
    </row>
    <row r="5268" spans="1:16" x14ac:dyDescent="0.3">
      <c r="A5268" s="5">
        <v>87</v>
      </c>
      <c r="B5268" s="5" t="s">
        <v>170</v>
      </c>
      <c r="C5268" s="5">
        <v>4</v>
      </c>
      <c r="D5268" s="5" t="s">
        <v>78</v>
      </c>
      <c r="E5268" s="5">
        <v>2022</v>
      </c>
      <c r="F5268" s="5">
        <v>5</v>
      </c>
      <c r="G5268" s="5" t="s">
        <v>38</v>
      </c>
      <c r="H5268" s="5">
        <v>1331075</v>
      </c>
      <c r="I5268" s="5">
        <v>1149086.69</v>
      </c>
      <c r="J5268" s="5">
        <v>22</v>
      </c>
      <c r="K5268" s="5">
        <v>124698</v>
      </c>
      <c r="L5268" s="5">
        <v>1452780</v>
      </c>
      <c r="M5268" s="5">
        <v>181988.31</v>
      </c>
      <c r="N5268" s="5">
        <v>0.13669999999999999</v>
      </c>
      <c r="O5268" s="5">
        <v>2</v>
      </c>
      <c r="P5268" s="5">
        <v>49000</v>
      </c>
    </row>
    <row r="5269" spans="1:16" x14ac:dyDescent="0.3">
      <c r="A5269" s="5">
        <v>77</v>
      </c>
      <c r="B5269" s="5" t="s">
        <v>170</v>
      </c>
      <c r="C5269" s="5">
        <v>4</v>
      </c>
      <c r="D5269" s="5" t="s">
        <v>78</v>
      </c>
      <c r="E5269" s="5">
        <v>2022</v>
      </c>
      <c r="F5269" s="5">
        <v>6</v>
      </c>
      <c r="G5269" s="5" t="s">
        <v>39</v>
      </c>
      <c r="H5269" s="5">
        <v>500580</v>
      </c>
      <c r="I5269" s="5">
        <v>392887.54</v>
      </c>
      <c r="J5269" s="5">
        <v>12</v>
      </c>
      <c r="K5269" s="5">
        <v>26548</v>
      </c>
      <c r="L5269" s="5">
        <v>525980</v>
      </c>
      <c r="M5269" s="5">
        <v>107692.46</v>
      </c>
      <c r="N5269" s="5">
        <v>0.21510000000000001</v>
      </c>
      <c r="O5269" s="5">
        <v>1</v>
      </c>
      <c r="P5269" s="5">
        <v>29496</v>
      </c>
    </row>
    <row r="5270" spans="1:16" x14ac:dyDescent="0.3">
      <c r="A5270" s="5">
        <v>87</v>
      </c>
      <c r="B5270" s="5" t="s">
        <v>170</v>
      </c>
      <c r="C5270" s="5">
        <v>4</v>
      </c>
      <c r="D5270" s="5" t="s">
        <v>78</v>
      </c>
      <c r="E5270" s="5">
        <v>2022</v>
      </c>
      <c r="F5270" s="5">
        <v>6</v>
      </c>
      <c r="G5270" s="5" t="s">
        <v>39</v>
      </c>
      <c r="H5270" s="5">
        <v>1537939</v>
      </c>
      <c r="I5270" s="5">
        <v>1360238.82</v>
      </c>
      <c r="J5270" s="5">
        <v>21</v>
      </c>
      <c r="K5270" s="5">
        <v>173030</v>
      </c>
      <c r="L5270" s="5">
        <v>1707500</v>
      </c>
      <c r="M5270" s="5">
        <v>177700.18</v>
      </c>
      <c r="N5270" s="5">
        <v>0.11550000000000001</v>
      </c>
      <c r="O5270" s="5">
        <v>0</v>
      </c>
      <c r="P5270" s="5">
        <v>0</v>
      </c>
    </row>
    <row r="5271" spans="1:16" x14ac:dyDescent="0.3">
      <c r="A5271" s="5">
        <v>77</v>
      </c>
      <c r="B5271" s="5" t="s">
        <v>170</v>
      </c>
      <c r="C5271" s="5">
        <v>4</v>
      </c>
      <c r="D5271" s="5" t="s">
        <v>78</v>
      </c>
      <c r="E5271" s="5">
        <v>2022</v>
      </c>
      <c r="F5271" s="5">
        <v>7</v>
      </c>
      <c r="G5271" s="5" t="s">
        <v>40</v>
      </c>
      <c r="H5271" s="5">
        <v>249382</v>
      </c>
      <c r="I5271" s="5">
        <v>197760.36</v>
      </c>
      <c r="J5271" s="5">
        <v>8</v>
      </c>
      <c r="K5271" s="5">
        <v>16776</v>
      </c>
      <c r="L5271" s="5">
        <v>262910</v>
      </c>
      <c r="M5271" s="5">
        <v>51621.64</v>
      </c>
      <c r="N5271" s="5">
        <v>0.20699999999999999</v>
      </c>
      <c r="O5271" s="5">
        <v>0</v>
      </c>
      <c r="P5271" s="5">
        <v>0</v>
      </c>
    </row>
    <row r="5272" spans="1:16" x14ac:dyDescent="0.3">
      <c r="A5272" s="5">
        <v>87</v>
      </c>
      <c r="B5272" s="5" t="s">
        <v>170</v>
      </c>
      <c r="C5272" s="5">
        <v>4</v>
      </c>
      <c r="D5272" s="5" t="s">
        <v>78</v>
      </c>
      <c r="E5272" s="5">
        <v>2022</v>
      </c>
      <c r="F5272" s="5">
        <v>7</v>
      </c>
      <c r="G5272" s="5" t="s">
        <v>40</v>
      </c>
      <c r="H5272" s="5">
        <v>1154276</v>
      </c>
      <c r="I5272" s="5">
        <v>970891.83</v>
      </c>
      <c r="J5272" s="5">
        <v>23</v>
      </c>
      <c r="K5272" s="5">
        <v>114734</v>
      </c>
      <c r="L5272" s="5">
        <v>1266570</v>
      </c>
      <c r="M5272" s="5">
        <v>183384.17</v>
      </c>
      <c r="N5272" s="5">
        <v>0.15890000000000001</v>
      </c>
      <c r="O5272" s="5">
        <v>4</v>
      </c>
      <c r="P5272" s="5">
        <v>71734</v>
      </c>
    </row>
    <row r="5273" spans="1:16" x14ac:dyDescent="0.3">
      <c r="A5273" s="5">
        <v>77</v>
      </c>
      <c r="B5273" s="5" t="s">
        <v>170</v>
      </c>
      <c r="C5273" s="5">
        <v>4</v>
      </c>
      <c r="D5273" s="5" t="s">
        <v>78</v>
      </c>
      <c r="E5273" s="5">
        <v>2022</v>
      </c>
      <c r="F5273" s="5">
        <v>8</v>
      </c>
      <c r="G5273" s="5" t="s">
        <v>41</v>
      </c>
      <c r="H5273" s="5">
        <v>627136</v>
      </c>
      <c r="I5273" s="5">
        <v>610371.18000000005</v>
      </c>
      <c r="J5273" s="5">
        <v>13</v>
      </c>
      <c r="K5273" s="5">
        <v>193081</v>
      </c>
      <c r="L5273" s="5">
        <v>819530</v>
      </c>
      <c r="M5273" s="5">
        <v>16764.82</v>
      </c>
      <c r="N5273" s="5">
        <v>2.6700000000000002E-2</v>
      </c>
      <c r="O5273" s="5">
        <v>1</v>
      </c>
      <c r="P5273" s="5">
        <v>3216</v>
      </c>
    </row>
    <row r="5274" spans="1:16" x14ac:dyDescent="0.3">
      <c r="A5274" s="5">
        <v>87</v>
      </c>
      <c r="B5274" s="5" t="s">
        <v>170</v>
      </c>
      <c r="C5274" s="5">
        <v>4</v>
      </c>
      <c r="D5274" s="5" t="s">
        <v>78</v>
      </c>
      <c r="E5274" s="5">
        <v>2022</v>
      </c>
      <c r="F5274" s="5">
        <v>8</v>
      </c>
      <c r="G5274" s="5" t="s">
        <v>41</v>
      </c>
      <c r="H5274" s="5">
        <v>750290</v>
      </c>
      <c r="I5274" s="5">
        <v>623610.31000000006</v>
      </c>
      <c r="J5274" s="5">
        <v>19</v>
      </c>
      <c r="K5274" s="5">
        <v>80540</v>
      </c>
      <c r="L5274" s="5">
        <v>827820</v>
      </c>
      <c r="M5274" s="5">
        <v>126679.69</v>
      </c>
      <c r="N5274" s="5">
        <v>0.16880000000000001</v>
      </c>
      <c r="O5274" s="5">
        <v>1</v>
      </c>
      <c r="P5274" s="5">
        <v>123381</v>
      </c>
    </row>
    <row r="5275" spans="1:16" x14ac:dyDescent="0.3">
      <c r="A5275" s="5">
        <v>77</v>
      </c>
      <c r="B5275" s="5" t="s">
        <v>170</v>
      </c>
      <c r="C5275" s="5">
        <v>4</v>
      </c>
      <c r="D5275" s="5" t="s">
        <v>78</v>
      </c>
      <c r="E5275" s="5">
        <v>2022</v>
      </c>
      <c r="F5275" s="5">
        <v>9</v>
      </c>
      <c r="G5275" s="5" t="s">
        <v>42</v>
      </c>
      <c r="H5275" s="5">
        <v>1002654</v>
      </c>
      <c r="I5275" s="5">
        <v>832805.98</v>
      </c>
      <c r="J5275" s="5">
        <v>14</v>
      </c>
      <c r="K5275" s="5">
        <v>128051</v>
      </c>
      <c r="L5275" s="5">
        <v>1124200</v>
      </c>
      <c r="M5275" s="5">
        <v>169848.02</v>
      </c>
      <c r="N5275" s="5">
        <v>0.1694</v>
      </c>
      <c r="O5275" s="5">
        <v>1</v>
      </c>
      <c r="P5275" s="5">
        <v>22611</v>
      </c>
    </row>
    <row r="5276" spans="1:16" x14ac:dyDescent="0.3">
      <c r="A5276" s="5">
        <v>87</v>
      </c>
      <c r="B5276" s="5" t="s">
        <v>170</v>
      </c>
      <c r="C5276" s="5">
        <v>4</v>
      </c>
      <c r="D5276" s="5" t="s">
        <v>78</v>
      </c>
      <c r="E5276" s="5">
        <v>2022</v>
      </c>
      <c r="F5276" s="5">
        <v>9</v>
      </c>
      <c r="G5276" s="5" t="s">
        <v>42</v>
      </c>
      <c r="H5276" s="5">
        <v>2323433</v>
      </c>
      <c r="I5276" s="5">
        <v>1958882.2</v>
      </c>
      <c r="J5276" s="5">
        <v>28</v>
      </c>
      <c r="K5276" s="5">
        <v>215399</v>
      </c>
      <c r="L5276" s="5">
        <v>2527560</v>
      </c>
      <c r="M5276" s="5">
        <v>364550.8</v>
      </c>
      <c r="N5276" s="5">
        <v>0.15690000000000001</v>
      </c>
      <c r="O5276" s="5">
        <v>0</v>
      </c>
      <c r="P5276" s="5">
        <v>0</v>
      </c>
    </row>
    <row r="5277" spans="1:16" x14ac:dyDescent="0.3">
      <c r="A5277" s="5">
        <v>77</v>
      </c>
      <c r="B5277" s="5" t="s">
        <v>170</v>
      </c>
      <c r="C5277" s="5">
        <v>4</v>
      </c>
      <c r="D5277" s="5" t="s">
        <v>78</v>
      </c>
      <c r="E5277" s="5">
        <v>2022</v>
      </c>
      <c r="F5277" s="5">
        <v>10</v>
      </c>
      <c r="G5277" s="5" t="s">
        <v>43</v>
      </c>
      <c r="H5277" s="5">
        <v>424344</v>
      </c>
      <c r="I5277" s="5">
        <v>351535.09</v>
      </c>
      <c r="J5277" s="5">
        <v>6</v>
      </c>
      <c r="K5277" s="5">
        <v>51236</v>
      </c>
      <c r="L5277" s="5">
        <v>472850</v>
      </c>
      <c r="M5277" s="5">
        <v>72808.91</v>
      </c>
      <c r="N5277" s="5">
        <v>0.1716</v>
      </c>
      <c r="O5277" s="5">
        <v>1</v>
      </c>
      <c r="P5277" s="5">
        <v>4318</v>
      </c>
    </row>
    <row r="5278" spans="1:16" x14ac:dyDescent="0.3">
      <c r="A5278" s="5">
        <v>87</v>
      </c>
      <c r="B5278" s="5" t="s">
        <v>170</v>
      </c>
      <c r="C5278" s="5">
        <v>4</v>
      </c>
      <c r="D5278" s="5" t="s">
        <v>78</v>
      </c>
      <c r="E5278" s="5">
        <v>2022</v>
      </c>
      <c r="F5278" s="5">
        <v>10</v>
      </c>
      <c r="G5278" s="5" t="s">
        <v>43</v>
      </c>
      <c r="H5278" s="5">
        <v>1765625</v>
      </c>
      <c r="I5278" s="5">
        <v>1571940.73</v>
      </c>
      <c r="J5278" s="5">
        <v>32</v>
      </c>
      <c r="K5278" s="5">
        <v>312425</v>
      </c>
      <c r="L5278" s="5">
        <v>2071360</v>
      </c>
      <c r="M5278" s="5">
        <v>193684.27</v>
      </c>
      <c r="N5278" s="5">
        <v>0.10970000000000001</v>
      </c>
      <c r="O5278" s="5">
        <v>2</v>
      </c>
      <c r="P5278" s="5">
        <v>27444</v>
      </c>
    </row>
    <row r="5279" spans="1:16" x14ac:dyDescent="0.3">
      <c r="A5279" s="5">
        <v>77</v>
      </c>
      <c r="B5279" s="5" t="s">
        <v>170</v>
      </c>
      <c r="C5279" s="5">
        <v>4</v>
      </c>
      <c r="D5279" s="5" t="s">
        <v>78</v>
      </c>
      <c r="E5279" s="5">
        <v>2022</v>
      </c>
      <c r="F5279" s="5">
        <v>11</v>
      </c>
      <c r="G5279" s="5" t="s">
        <v>44</v>
      </c>
      <c r="H5279" s="5">
        <v>371113</v>
      </c>
      <c r="I5279" s="5">
        <v>310162.09999999998</v>
      </c>
      <c r="J5279" s="5">
        <v>8</v>
      </c>
      <c r="K5279" s="5">
        <v>24764</v>
      </c>
      <c r="L5279" s="5">
        <v>393790</v>
      </c>
      <c r="M5279" s="5">
        <v>60950.9</v>
      </c>
      <c r="N5279" s="5">
        <v>0.16420000000000001</v>
      </c>
      <c r="O5279" s="5">
        <v>0</v>
      </c>
      <c r="P5279" s="5">
        <v>0</v>
      </c>
    </row>
    <row r="5280" spans="1:16" x14ac:dyDescent="0.3">
      <c r="A5280" s="5">
        <v>87</v>
      </c>
      <c r="B5280" s="5" t="s">
        <v>170</v>
      </c>
      <c r="C5280" s="5">
        <v>4</v>
      </c>
      <c r="D5280" s="5" t="s">
        <v>78</v>
      </c>
      <c r="E5280" s="5">
        <v>2022</v>
      </c>
      <c r="F5280" s="5">
        <v>11</v>
      </c>
      <c r="G5280" s="5" t="s">
        <v>44</v>
      </c>
      <c r="H5280" s="5">
        <v>1494767</v>
      </c>
      <c r="I5280" s="5">
        <v>1312299.8500000001</v>
      </c>
      <c r="J5280" s="5">
        <v>32</v>
      </c>
      <c r="K5280" s="5">
        <v>210803</v>
      </c>
      <c r="L5280" s="5">
        <v>1699280</v>
      </c>
      <c r="M5280" s="5">
        <v>182467.15</v>
      </c>
      <c r="N5280" s="5">
        <v>0.1221</v>
      </c>
      <c r="O5280" s="5">
        <v>1</v>
      </c>
      <c r="P5280" s="5">
        <v>1669</v>
      </c>
    </row>
    <row r="5281" spans="1:16" x14ac:dyDescent="0.3">
      <c r="A5281" s="5">
        <v>77</v>
      </c>
      <c r="B5281" s="5" t="s">
        <v>170</v>
      </c>
      <c r="C5281" s="5">
        <v>4</v>
      </c>
      <c r="D5281" s="5" t="s">
        <v>78</v>
      </c>
      <c r="E5281" s="5">
        <v>2022</v>
      </c>
      <c r="F5281" s="5">
        <v>12</v>
      </c>
      <c r="G5281" s="5" t="s">
        <v>45</v>
      </c>
      <c r="H5281" s="5">
        <v>1002541</v>
      </c>
      <c r="I5281" s="5">
        <v>831447.12</v>
      </c>
      <c r="J5281" s="5">
        <v>11</v>
      </c>
      <c r="K5281" s="5">
        <v>90222</v>
      </c>
      <c r="L5281" s="5">
        <v>1090720</v>
      </c>
      <c r="M5281" s="5">
        <v>171093.88</v>
      </c>
      <c r="N5281" s="5">
        <v>0.17069999999999999</v>
      </c>
      <c r="O5281" s="5">
        <v>4</v>
      </c>
      <c r="P5281" s="5">
        <v>85611</v>
      </c>
    </row>
    <row r="5282" spans="1:16" x14ac:dyDescent="0.3">
      <c r="A5282" s="5">
        <v>87</v>
      </c>
      <c r="B5282" s="5" t="s">
        <v>170</v>
      </c>
      <c r="C5282" s="5">
        <v>4</v>
      </c>
      <c r="D5282" s="5" t="s">
        <v>78</v>
      </c>
      <c r="E5282" s="5">
        <v>2022</v>
      </c>
      <c r="F5282" s="5">
        <v>12</v>
      </c>
      <c r="G5282" s="5" t="s">
        <v>45</v>
      </c>
      <c r="H5282" s="5">
        <v>2260941</v>
      </c>
      <c r="I5282" s="5">
        <v>1962705.07</v>
      </c>
      <c r="J5282" s="5">
        <v>27</v>
      </c>
      <c r="K5282" s="5">
        <v>206733</v>
      </c>
      <c r="L5282" s="5">
        <v>2460750</v>
      </c>
      <c r="M5282" s="5">
        <v>298235.93</v>
      </c>
      <c r="N5282" s="5">
        <v>0.13189999999999999</v>
      </c>
      <c r="O5282" s="5">
        <v>3</v>
      </c>
      <c r="P5282" s="5">
        <v>67435</v>
      </c>
    </row>
    <row r="5283" spans="1:16" x14ac:dyDescent="0.3">
      <c r="A5283" s="5">
        <v>77</v>
      </c>
      <c r="B5283" s="5" t="s">
        <v>170</v>
      </c>
      <c r="C5283" s="5">
        <v>4</v>
      </c>
      <c r="D5283" s="5" t="s">
        <v>78</v>
      </c>
      <c r="E5283" s="5">
        <v>2023</v>
      </c>
      <c r="F5283" s="5">
        <v>1</v>
      </c>
      <c r="G5283" s="5" t="s">
        <v>46</v>
      </c>
      <c r="H5283" s="5">
        <v>854793</v>
      </c>
      <c r="I5283" s="5">
        <v>715162.75</v>
      </c>
      <c r="J5283" s="5">
        <v>11</v>
      </c>
      <c r="K5283" s="5">
        <v>79836</v>
      </c>
      <c r="L5283" s="5">
        <v>931550</v>
      </c>
      <c r="M5283" s="5">
        <v>139630.25</v>
      </c>
      <c r="N5283" s="5">
        <v>0.1633</v>
      </c>
      <c r="O5283" s="5">
        <v>4</v>
      </c>
      <c r="P5283" s="5">
        <v>80202</v>
      </c>
    </row>
    <row r="5284" spans="1:16" x14ac:dyDescent="0.3">
      <c r="A5284" s="5">
        <v>87</v>
      </c>
      <c r="B5284" s="5" t="s">
        <v>170</v>
      </c>
      <c r="C5284" s="5">
        <v>4</v>
      </c>
      <c r="D5284" s="5" t="s">
        <v>78</v>
      </c>
      <c r="E5284" s="5">
        <v>2023</v>
      </c>
      <c r="F5284" s="5">
        <v>1</v>
      </c>
      <c r="G5284" s="5" t="s">
        <v>46</v>
      </c>
      <c r="H5284" s="5">
        <v>1659673</v>
      </c>
      <c r="I5284" s="5">
        <v>1356583.84</v>
      </c>
      <c r="J5284" s="5">
        <v>22</v>
      </c>
      <c r="K5284" s="5">
        <v>128105</v>
      </c>
      <c r="L5284" s="5">
        <v>1782460</v>
      </c>
      <c r="M5284" s="5">
        <v>303089.15999999997</v>
      </c>
      <c r="N5284" s="5">
        <v>0.18260000000000001</v>
      </c>
      <c r="O5284" s="5">
        <v>4</v>
      </c>
      <c r="P5284" s="5">
        <v>104875</v>
      </c>
    </row>
    <row r="5285" spans="1:16" x14ac:dyDescent="0.3">
      <c r="A5285" s="5">
        <v>77</v>
      </c>
      <c r="B5285" s="5" t="s">
        <v>170</v>
      </c>
      <c r="C5285" s="5">
        <v>4</v>
      </c>
      <c r="D5285" s="5" t="s">
        <v>78</v>
      </c>
      <c r="E5285" s="5">
        <v>2023</v>
      </c>
      <c r="F5285" s="5">
        <v>2</v>
      </c>
      <c r="G5285" s="5" t="s">
        <v>47</v>
      </c>
      <c r="H5285" s="5">
        <v>555514</v>
      </c>
      <c r="I5285" s="5">
        <v>508655.93</v>
      </c>
      <c r="J5285" s="5">
        <v>7</v>
      </c>
      <c r="K5285" s="5">
        <v>83785</v>
      </c>
      <c r="L5285" s="5">
        <v>638630</v>
      </c>
      <c r="M5285" s="5">
        <v>46858.07</v>
      </c>
      <c r="N5285" s="5">
        <v>8.4400000000000003E-2</v>
      </c>
      <c r="O5285" s="5">
        <v>1</v>
      </c>
      <c r="P5285" s="5">
        <v>52721</v>
      </c>
    </row>
    <row r="5286" spans="1:16" x14ac:dyDescent="0.3">
      <c r="A5286" s="5">
        <v>87</v>
      </c>
      <c r="B5286" s="5" t="s">
        <v>170</v>
      </c>
      <c r="C5286" s="5">
        <v>4</v>
      </c>
      <c r="D5286" s="5" t="s">
        <v>78</v>
      </c>
      <c r="E5286" s="5">
        <v>2023</v>
      </c>
      <c r="F5286" s="5">
        <v>2</v>
      </c>
      <c r="G5286" s="5" t="s">
        <v>47</v>
      </c>
      <c r="H5286" s="5">
        <v>866802</v>
      </c>
      <c r="I5286" s="5">
        <v>710000.86</v>
      </c>
      <c r="J5286" s="5">
        <v>19</v>
      </c>
      <c r="K5286" s="5">
        <v>87749</v>
      </c>
      <c r="L5286" s="5">
        <v>947960</v>
      </c>
      <c r="M5286" s="5">
        <v>156801.14000000001</v>
      </c>
      <c r="N5286" s="5">
        <v>0.18090000000000001</v>
      </c>
      <c r="O5286" s="5">
        <v>3</v>
      </c>
      <c r="P5286" s="5">
        <v>48892</v>
      </c>
    </row>
    <row r="5287" spans="1:16" x14ac:dyDescent="0.3">
      <c r="A5287" s="5">
        <v>77</v>
      </c>
      <c r="B5287" s="5" t="s">
        <v>170</v>
      </c>
      <c r="C5287" s="5">
        <v>4</v>
      </c>
      <c r="D5287" s="5" t="s">
        <v>78</v>
      </c>
      <c r="E5287" s="5">
        <v>2023</v>
      </c>
      <c r="F5287" s="5">
        <v>3</v>
      </c>
      <c r="G5287" s="5" t="s">
        <v>48</v>
      </c>
      <c r="H5287" s="5">
        <v>1039297</v>
      </c>
      <c r="I5287" s="5">
        <v>903186.88</v>
      </c>
      <c r="J5287" s="5">
        <v>9</v>
      </c>
      <c r="K5287" s="5">
        <v>99396</v>
      </c>
      <c r="L5287" s="5">
        <v>1137510</v>
      </c>
      <c r="M5287" s="5">
        <v>136110.12</v>
      </c>
      <c r="N5287" s="5">
        <v>0.13100000000000001</v>
      </c>
      <c r="O5287" s="5">
        <v>2</v>
      </c>
      <c r="P5287" s="5">
        <v>107198</v>
      </c>
    </row>
    <row r="5288" spans="1:16" x14ac:dyDescent="0.3">
      <c r="A5288" s="5">
        <v>87</v>
      </c>
      <c r="B5288" s="5" t="s">
        <v>170</v>
      </c>
      <c r="C5288" s="5">
        <v>4</v>
      </c>
      <c r="D5288" s="5" t="s">
        <v>78</v>
      </c>
      <c r="E5288" s="5">
        <v>2023</v>
      </c>
      <c r="F5288" s="5">
        <v>3</v>
      </c>
      <c r="G5288" s="5" t="s">
        <v>48</v>
      </c>
      <c r="H5288" s="5">
        <v>1972733</v>
      </c>
      <c r="I5288" s="5">
        <v>1793305.87</v>
      </c>
      <c r="J5288" s="5">
        <v>28</v>
      </c>
      <c r="K5288" s="5">
        <v>332800</v>
      </c>
      <c r="L5288" s="5">
        <v>2301360</v>
      </c>
      <c r="M5288" s="5">
        <v>179427.13</v>
      </c>
      <c r="N5288" s="5">
        <v>9.0999999999999998E-2</v>
      </c>
      <c r="O5288" s="5">
        <v>7</v>
      </c>
      <c r="P5288" s="5">
        <v>108283</v>
      </c>
    </row>
    <row r="5289" spans="1:16" x14ac:dyDescent="0.3">
      <c r="A5289" s="5">
        <v>77</v>
      </c>
      <c r="B5289" s="5" t="s">
        <v>170</v>
      </c>
      <c r="C5289" s="5">
        <v>4</v>
      </c>
      <c r="D5289" s="5" t="s">
        <v>78</v>
      </c>
      <c r="E5289" s="5">
        <v>2023</v>
      </c>
      <c r="F5289" s="5">
        <v>4</v>
      </c>
      <c r="G5289" s="5" t="s">
        <v>49</v>
      </c>
      <c r="H5289" s="5">
        <v>355509</v>
      </c>
      <c r="I5289" s="5">
        <v>382839.53</v>
      </c>
      <c r="J5289" s="5">
        <v>6</v>
      </c>
      <c r="K5289" s="5">
        <v>112663</v>
      </c>
      <c r="L5289" s="5">
        <v>468100</v>
      </c>
      <c r="M5289" s="5">
        <v>-27330.53</v>
      </c>
      <c r="N5289" s="5">
        <v>-7.6899999999999996E-2</v>
      </c>
      <c r="O5289" s="5">
        <v>0</v>
      </c>
      <c r="P5289" s="5">
        <v>0</v>
      </c>
    </row>
    <row r="5290" spans="1:16" x14ac:dyDescent="0.3">
      <c r="A5290" s="5">
        <v>87</v>
      </c>
      <c r="B5290" s="5" t="s">
        <v>170</v>
      </c>
      <c r="C5290" s="5">
        <v>4</v>
      </c>
      <c r="D5290" s="5" t="s">
        <v>78</v>
      </c>
      <c r="E5290" s="5">
        <v>2023</v>
      </c>
      <c r="F5290" s="5">
        <v>4</v>
      </c>
      <c r="G5290" s="5" t="s">
        <v>49</v>
      </c>
      <c r="H5290" s="5">
        <v>1557318</v>
      </c>
      <c r="I5290" s="5">
        <v>1368939.91</v>
      </c>
      <c r="J5290" s="5">
        <v>29</v>
      </c>
      <c r="K5290" s="5">
        <v>188628</v>
      </c>
      <c r="L5290" s="5">
        <v>1737370</v>
      </c>
      <c r="M5290" s="5">
        <v>188378.09</v>
      </c>
      <c r="N5290" s="5">
        <v>0.121</v>
      </c>
      <c r="O5290" s="5">
        <v>2</v>
      </c>
      <c r="P5290" s="5">
        <v>41606</v>
      </c>
    </row>
    <row r="5291" spans="1:16" x14ac:dyDescent="0.3">
      <c r="A5291" s="5">
        <v>77</v>
      </c>
      <c r="B5291" s="5" t="s">
        <v>170</v>
      </c>
      <c r="C5291" s="5">
        <v>4</v>
      </c>
      <c r="D5291" s="5" t="s">
        <v>78</v>
      </c>
      <c r="E5291" s="5">
        <v>2023</v>
      </c>
      <c r="F5291" s="5">
        <v>5</v>
      </c>
      <c r="G5291" s="5" t="s">
        <v>50</v>
      </c>
      <c r="H5291" s="5">
        <v>296569</v>
      </c>
      <c r="I5291" s="5">
        <v>264012.08</v>
      </c>
      <c r="J5291" s="5">
        <v>7</v>
      </c>
      <c r="K5291" s="5">
        <v>32210</v>
      </c>
      <c r="L5291" s="5">
        <v>328750</v>
      </c>
      <c r="M5291" s="5">
        <v>32556.92</v>
      </c>
      <c r="N5291" s="5">
        <v>0.10979999999999999</v>
      </c>
      <c r="O5291" s="5">
        <v>0</v>
      </c>
      <c r="P5291" s="5">
        <v>0</v>
      </c>
    </row>
    <row r="5292" spans="1:16" x14ac:dyDescent="0.3">
      <c r="A5292" s="5">
        <v>87</v>
      </c>
      <c r="B5292" s="5" t="s">
        <v>170</v>
      </c>
      <c r="C5292" s="5">
        <v>4</v>
      </c>
      <c r="D5292" s="5" t="s">
        <v>78</v>
      </c>
      <c r="E5292" s="5">
        <v>2023</v>
      </c>
      <c r="F5292" s="5">
        <v>5</v>
      </c>
      <c r="G5292" s="5" t="s">
        <v>50</v>
      </c>
      <c r="H5292" s="5">
        <v>1946285</v>
      </c>
      <c r="I5292" s="5">
        <v>1809706.12</v>
      </c>
      <c r="J5292" s="5">
        <v>25</v>
      </c>
      <c r="K5292" s="5">
        <v>335024</v>
      </c>
      <c r="L5292" s="5">
        <v>2280590</v>
      </c>
      <c r="M5292" s="5">
        <v>136578.88</v>
      </c>
      <c r="N5292" s="5">
        <v>7.0199999999999999E-2</v>
      </c>
      <c r="O5292" s="5">
        <v>4</v>
      </c>
      <c r="P5292" s="5">
        <v>270051</v>
      </c>
    </row>
    <row r="5293" spans="1:16" x14ac:dyDescent="0.3">
      <c r="A5293" s="5">
        <v>77</v>
      </c>
      <c r="B5293" s="5" t="s">
        <v>170</v>
      </c>
      <c r="C5293" s="5">
        <v>4</v>
      </c>
      <c r="D5293" s="5" t="s">
        <v>78</v>
      </c>
      <c r="E5293" s="5">
        <v>2023</v>
      </c>
      <c r="F5293" s="5">
        <v>6</v>
      </c>
      <c r="G5293" s="5" t="s">
        <v>51</v>
      </c>
      <c r="H5293" s="5">
        <v>898530</v>
      </c>
      <c r="I5293" s="5">
        <v>790417.15</v>
      </c>
      <c r="J5293" s="5">
        <v>11</v>
      </c>
      <c r="K5293" s="5">
        <v>114874</v>
      </c>
      <c r="L5293" s="5">
        <v>1010840</v>
      </c>
      <c r="M5293" s="5">
        <v>108112.85</v>
      </c>
      <c r="N5293" s="5">
        <v>0.1203</v>
      </c>
      <c r="O5293" s="5">
        <v>2</v>
      </c>
      <c r="P5293" s="5">
        <v>33000</v>
      </c>
    </row>
    <row r="5294" spans="1:16" x14ac:dyDescent="0.3">
      <c r="A5294" s="5">
        <v>87</v>
      </c>
      <c r="B5294" s="5" t="s">
        <v>170</v>
      </c>
      <c r="C5294" s="5">
        <v>4</v>
      </c>
      <c r="D5294" s="5" t="s">
        <v>78</v>
      </c>
      <c r="E5294" s="5">
        <v>2023</v>
      </c>
      <c r="F5294" s="5">
        <v>6</v>
      </c>
      <c r="G5294" s="5" t="s">
        <v>51</v>
      </c>
      <c r="H5294" s="5">
        <v>1926002</v>
      </c>
      <c r="I5294" s="5">
        <v>1667086.48</v>
      </c>
      <c r="J5294" s="5">
        <v>25</v>
      </c>
      <c r="K5294" s="5">
        <v>262288</v>
      </c>
      <c r="L5294" s="5">
        <v>2185310</v>
      </c>
      <c r="M5294" s="5">
        <v>258915.52</v>
      </c>
      <c r="N5294" s="5">
        <v>0.13439999999999999</v>
      </c>
      <c r="O5294" s="5">
        <v>6</v>
      </c>
      <c r="P5294" s="5">
        <v>221328</v>
      </c>
    </row>
    <row r="5295" spans="1:16" x14ac:dyDescent="0.3">
      <c r="A5295" s="5">
        <v>77</v>
      </c>
      <c r="B5295" s="5" t="s">
        <v>170</v>
      </c>
      <c r="C5295" s="5">
        <v>4</v>
      </c>
      <c r="D5295" s="5" t="s">
        <v>78</v>
      </c>
      <c r="E5295" s="5">
        <v>2023</v>
      </c>
      <c r="F5295" s="5">
        <v>7</v>
      </c>
      <c r="G5295" s="5" t="s">
        <v>52</v>
      </c>
      <c r="H5295" s="5">
        <v>1575328</v>
      </c>
      <c r="I5295" s="5">
        <v>1371765.74</v>
      </c>
      <c r="J5295" s="5">
        <v>18</v>
      </c>
      <c r="K5295" s="5">
        <v>152268</v>
      </c>
      <c r="L5295" s="5">
        <v>1716070</v>
      </c>
      <c r="M5295" s="5">
        <v>203562.26</v>
      </c>
      <c r="N5295" s="5">
        <v>0.12920000000000001</v>
      </c>
      <c r="O5295" s="5">
        <v>1</v>
      </c>
      <c r="P5295" s="5">
        <v>63789</v>
      </c>
    </row>
    <row r="5296" spans="1:16" x14ac:dyDescent="0.3">
      <c r="A5296" s="5">
        <v>87</v>
      </c>
      <c r="B5296" s="5" t="s">
        <v>170</v>
      </c>
      <c r="C5296" s="5">
        <v>4</v>
      </c>
      <c r="D5296" s="5" t="s">
        <v>78</v>
      </c>
      <c r="E5296" s="5">
        <v>2023</v>
      </c>
      <c r="F5296" s="5">
        <v>7</v>
      </c>
      <c r="G5296" s="5" t="s">
        <v>52</v>
      </c>
      <c r="H5296" s="5">
        <v>2146978</v>
      </c>
      <c r="I5296" s="5">
        <v>1845175.58</v>
      </c>
      <c r="J5296" s="5">
        <v>25</v>
      </c>
      <c r="K5296" s="5">
        <v>228878</v>
      </c>
      <c r="L5296" s="5">
        <v>2366230</v>
      </c>
      <c r="M5296" s="5">
        <v>301802.42</v>
      </c>
      <c r="N5296" s="5">
        <v>0.1406</v>
      </c>
      <c r="O5296" s="5">
        <v>7</v>
      </c>
      <c r="P5296" s="5">
        <v>167879</v>
      </c>
    </row>
    <row r="5297" spans="1:16" x14ac:dyDescent="0.3">
      <c r="A5297" s="5">
        <v>77</v>
      </c>
      <c r="B5297" s="5" t="s">
        <v>170</v>
      </c>
      <c r="C5297" s="5">
        <v>4</v>
      </c>
      <c r="D5297" s="5" t="s">
        <v>78</v>
      </c>
      <c r="E5297" s="5">
        <v>2023</v>
      </c>
      <c r="F5297" s="5">
        <v>8</v>
      </c>
      <c r="G5297" s="5" t="s">
        <v>53</v>
      </c>
      <c r="H5297" s="5">
        <v>1008364</v>
      </c>
      <c r="I5297" s="5">
        <v>853931.48</v>
      </c>
      <c r="J5297" s="5">
        <v>18</v>
      </c>
      <c r="K5297" s="5">
        <v>73212</v>
      </c>
      <c r="L5297" s="5">
        <v>1071650</v>
      </c>
      <c r="M5297" s="5">
        <v>154432.51999999999</v>
      </c>
      <c r="N5297" s="5">
        <v>0.1532</v>
      </c>
      <c r="O5297" s="5">
        <v>1</v>
      </c>
      <c r="P5297" s="5">
        <v>31806</v>
      </c>
    </row>
    <row r="5298" spans="1:16" x14ac:dyDescent="0.3">
      <c r="A5298" s="5">
        <v>87</v>
      </c>
      <c r="B5298" s="5" t="s">
        <v>170</v>
      </c>
      <c r="C5298" s="5">
        <v>4</v>
      </c>
      <c r="D5298" s="5" t="s">
        <v>78</v>
      </c>
      <c r="E5298" s="5">
        <v>2023</v>
      </c>
      <c r="F5298" s="5">
        <v>8</v>
      </c>
      <c r="G5298" s="5" t="s">
        <v>53</v>
      </c>
      <c r="H5298" s="5">
        <v>2408146</v>
      </c>
      <c r="I5298" s="5">
        <v>2129013.7999999998</v>
      </c>
      <c r="J5298" s="5">
        <v>27</v>
      </c>
      <c r="K5298" s="5">
        <v>301579</v>
      </c>
      <c r="L5298" s="5">
        <v>2698980</v>
      </c>
      <c r="M5298" s="5">
        <v>279132.2</v>
      </c>
      <c r="N5298" s="5">
        <v>0.1159</v>
      </c>
      <c r="O5298" s="5">
        <v>2</v>
      </c>
      <c r="P5298" s="5">
        <v>340891</v>
      </c>
    </row>
    <row r="5299" spans="1:16" x14ac:dyDescent="0.3">
      <c r="A5299" s="5">
        <v>77</v>
      </c>
      <c r="B5299" s="5" t="s">
        <v>170</v>
      </c>
      <c r="C5299" s="5">
        <v>4</v>
      </c>
      <c r="D5299" s="5" t="s">
        <v>78</v>
      </c>
      <c r="E5299" s="5">
        <v>2023</v>
      </c>
      <c r="F5299" s="5">
        <v>9</v>
      </c>
      <c r="G5299" s="5" t="s">
        <v>54</v>
      </c>
      <c r="H5299" s="5">
        <v>435823</v>
      </c>
      <c r="I5299" s="5">
        <v>369509.01</v>
      </c>
      <c r="J5299" s="5">
        <v>5</v>
      </c>
      <c r="K5299" s="5">
        <v>41489</v>
      </c>
      <c r="L5299" s="5">
        <v>474540</v>
      </c>
      <c r="M5299" s="5">
        <v>66313.990000000005</v>
      </c>
      <c r="N5299" s="5">
        <v>0.1522</v>
      </c>
      <c r="O5299" s="5">
        <v>0</v>
      </c>
      <c r="P5299" s="5">
        <v>0</v>
      </c>
    </row>
    <row r="5300" spans="1:16" x14ac:dyDescent="0.3">
      <c r="A5300" s="5">
        <v>87</v>
      </c>
      <c r="B5300" s="5" t="s">
        <v>170</v>
      </c>
      <c r="C5300" s="5">
        <v>4</v>
      </c>
      <c r="D5300" s="5" t="s">
        <v>78</v>
      </c>
      <c r="E5300" s="5">
        <v>2023</v>
      </c>
      <c r="F5300" s="5">
        <v>9</v>
      </c>
      <c r="G5300" s="5" t="s">
        <v>54</v>
      </c>
      <c r="H5300" s="5">
        <v>1947879</v>
      </c>
      <c r="I5300" s="5">
        <v>1846330.6</v>
      </c>
      <c r="J5300" s="5">
        <v>34</v>
      </c>
      <c r="K5300" s="5">
        <v>405661</v>
      </c>
      <c r="L5300" s="5">
        <v>2350510</v>
      </c>
      <c r="M5300" s="5">
        <v>101548.4</v>
      </c>
      <c r="N5300" s="5">
        <v>5.21E-2</v>
      </c>
      <c r="O5300" s="5">
        <v>1</v>
      </c>
      <c r="P5300" s="5">
        <v>57441</v>
      </c>
    </row>
    <row r="5301" spans="1:16" x14ac:dyDescent="0.3">
      <c r="A5301" s="5">
        <v>77</v>
      </c>
      <c r="B5301" s="5" t="s">
        <v>170</v>
      </c>
      <c r="C5301" s="5">
        <v>4</v>
      </c>
      <c r="D5301" s="5" t="s">
        <v>78</v>
      </c>
      <c r="E5301" s="5">
        <v>2023</v>
      </c>
      <c r="F5301" s="5">
        <v>10</v>
      </c>
      <c r="G5301" s="5" t="s">
        <v>55</v>
      </c>
      <c r="H5301" s="5">
        <v>577967</v>
      </c>
      <c r="I5301" s="5">
        <v>549856.94999999995</v>
      </c>
      <c r="J5301" s="5">
        <v>11</v>
      </c>
      <c r="K5301" s="5">
        <v>78818</v>
      </c>
      <c r="L5301" s="5">
        <v>656150</v>
      </c>
      <c r="M5301" s="5">
        <v>28110.05</v>
      </c>
      <c r="N5301" s="5">
        <v>4.8599999999999997E-2</v>
      </c>
      <c r="O5301" s="5">
        <v>0</v>
      </c>
      <c r="P5301" s="5">
        <v>0</v>
      </c>
    </row>
    <row r="5302" spans="1:16" x14ac:dyDescent="0.3">
      <c r="A5302" s="5">
        <v>87</v>
      </c>
      <c r="B5302" s="5" t="s">
        <v>170</v>
      </c>
      <c r="C5302" s="5">
        <v>4</v>
      </c>
      <c r="D5302" s="5" t="s">
        <v>78</v>
      </c>
      <c r="E5302" s="5">
        <v>2023</v>
      </c>
      <c r="F5302" s="5">
        <v>10</v>
      </c>
      <c r="G5302" s="5" t="s">
        <v>55</v>
      </c>
      <c r="H5302" s="5">
        <v>2861220</v>
      </c>
      <c r="I5302" s="5">
        <v>2436843.6</v>
      </c>
      <c r="J5302" s="5">
        <v>36</v>
      </c>
      <c r="K5302" s="5">
        <v>231973</v>
      </c>
      <c r="L5302" s="5">
        <v>3074880</v>
      </c>
      <c r="M5302" s="5">
        <v>424376.4</v>
      </c>
      <c r="N5302" s="5">
        <v>0.14829999999999999</v>
      </c>
      <c r="O5302" s="5">
        <v>4</v>
      </c>
      <c r="P5302" s="5">
        <v>79998</v>
      </c>
    </row>
    <row r="5303" spans="1:16" x14ac:dyDescent="0.3">
      <c r="A5303" s="5">
        <v>77</v>
      </c>
      <c r="B5303" s="5" t="s">
        <v>170</v>
      </c>
      <c r="C5303" s="5">
        <v>4</v>
      </c>
      <c r="D5303" s="5" t="s">
        <v>78</v>
      </c>
      <c r="E5303" s="5">
        <v>2023</v>
      </c>
      <c r="F5303" s="5">
        <v>11</v>
      </c>
      <c r="G5303" s="5" t="s">
        <v>56</v>
      </c>
      <c r="H5303" s="5">
        <v>1474833</v>
      </c>
      <c r="I5303" s="5">
        <v>1259938.81</v>
      </c>
      <c r="J5303" s="5">
        <v>22</v>
      </c>
      <c r="K5303" s="5">
        <v>148148</v>
      </c>
      <c r="L5303" s="5">
        <v>1618330</v>
      </c>
      <c r="M5303" s="5">
        <v>214894.19</v>
      </c>
      <c r="N5303" s="5">
        <v>0.1457</v>
      </c>
      <c r="O5303" s="5">
        <v>1</v>
      </c>
      <c r="P5303" s="5">
        <v>80418</v>
      </c>
    </row>
    <row r="5304" spans="1:16" x14ac:dyDescent="0.3">
      <c r="A5304" s="5">
        <v>87</v>
      </c>
      <c r="B5304" s="5" t="s">
        <v>170</v>
      </c>
      <c r="C5304" s="5">
        <v>4</v>
      </c>
      <c r="D5304" s="5" t="s">
        <v>78</v>
      </c>
      <c r="E5304" s="5">
        <v>2023</v>
      </c>
      <c r="F5304" s="5">
        <v>11</v>
      </c>
      <c r="G5304" s="5" t="s">
        <v>56</v>
      </c>
      <c r="H5304" s="5">
        <v>1620957</v>
      </c>
      <c r="I5304" s="5">
        <v>1377621.81</v>
      </c>
      <c r="J5304" s="5">
        <v>30</v>
      </c>
      <c r="K5304" s="5">
        <v>198795</v>
      </c>
      <c r="L5304" s="5">
        <v>1816030</v>
      </c>
      <c r="M5304" s="5">
        <v>243335.19</v>
      </c>
      <c r="N5304" s="5">
        <v>0.15010000000000001</v>
      </c>
      <c r="O5304" s="5">
        <v>4</v>
      </c>
      <c r="P5304" s="5">
        <v>121417</v>
      </c>
    </row>
    <row r="5305" spans="1:16" x14ac:dyDescent="0.3">
      <c r="A5305" s="5">
        <v>77</v>
      </c>
      <c r="B5305" s="5" t="s">
        <v>170</v>
      </c>
      <c r="C5305" s="5">
        <v>4</v>
      </c>
      <c r="D5305" s="5" t="s">
        <v>78</v>
      </c>
      <c r="E5305" s="5">
        <v>2023</v>
      </c>
      <c r="F5305" s="5">
        <v>12</v>
      </c>
      <c r="G5305" s="5" t="s">
        <v>57</v>
      </c>
      <c r="H5305" s="5">
        <v>1450403</v>
      </c>
      <c r="I5305" s="5">
        <v>1431901.33</v>
      </c>
      <c r="J5305" s="5">
        <v>16</v>
      </c>
      <c r="K5305" s="5">
        <v>277623</v>
      </c>
      <c r="L5305" s="5">
        <v>1718340</v>
      </c>
      <c r="M5305" s="5">
        <v>18501.669999999998</v>
      </c>
      <c r="N5305" s="5">
        <v>1.2800000000000001E-2</v>
      </c>
      <c r="O5305" s="5">
        <v>5</v>
      </c>
      <c r="P5305" s="5">
        <v>102791</v>
      </c>
    </row>
    <row r="5306" spans="1:16" x14ac:dyDescent="0.3">
      <c r="A5306" s="5">
        <v>87</v>
      </c>
      <c r="B5306" s="5" t="s">
        <v>170</v>
      </c>
      <c r="C5306" s="5">
        <v>4</v>
      </c>
      <c r="D5306" s="5" t="s">
        <v>78</v>
      </c>
      <c r="E5306" s="5">
        <v>2023</v>
      </c>
      <c r="F5306" s="5">
        <v>12</v>
      </c>
      <c r="G5306" s="5" t="s">
        <v>57</v>
      </c>
      <c r="H5306" s="5">
        <v>3196014</v>
      </c>
      <c r="I5306" s="5">
        <v>2769389.14</v>
      </c>
      <c r="J5306" s="5">
        <v>49</v>
      </c>
      <c r="K5306" s="5">
        <v>457325</v>
      </c>
      <c r="L5306" s="5">
        <v>3639920</v>
      </c>
      <c r="M5306" s="5">
        <v>426624.86</v>
      </c>
      <c r="N5306" s="5">
        <v>0.13350000000000001</v>
      </c>
      <c r="O5306" s="5">
        <v>3</v>
      </c>
      <c r="P5306" s="5">
        <v>36698</v>
      </c>
    </row>
    <row r="5307" spans="1:16" x14ac:dyDescent="0.3">
      <c r="A5307" s="5">
        <v>77</v>
      </c>
      <c r="B5307" s="5" t="s">
        <v>170</v>
      </c>
      <c r="C5307" s="5">
        <v>4</v>
      </c>
      <c r="D5307" s="5" t="s">
        <v>78</v>
      </c>
      <c r="E5307" s="5">
        <v>2024</v>
      </c>
      <c r="F5307" s="5">
        <v>1</v>
      </c>
      <c r="G5307" s="5" t="s">
        <v>58</v>
      </c>
      <c r="H5307" s="5">
        <v>966188</v>
      </c>
      <c r="I5307" s="5">
        <v>893700.01</v>
      </c>
      <c r="J5307" s="5">
        <v>11</v>
      </c>
      <c r="K5307" s="5">
        <v>157090</v>
      </c>
      <c r="L5307" s="5">
        <v>1122760</v>
      </c>
      <c r="M5307" s="5">
        <v>72487.990000000005</v>
      </c>
      <c r="N5307" s="5">
        <v>7.4999999999999997E-2</v>
      </c>
      <c r="O5307" s="5">
        <v>1</v>
      </c>
      <c r="P5307" s="5">
        <v>2287</v>
      </c>
    </row>
    <row r="5308" spans="1:16" x14ac:dyDescent="0.3">
      <c r="A5308" s="5">
        <v>87</v>
      </c>
      <c r="B5308" s="5" t="s">
        <v>170</v>
      </c>
      <c r="C5308" s="5">
        <v>4</v>
      </c>
      <c r="D5308" s="5" t="s">
        <v>78</v>
      </c>
      <c r="E5308" s="5">
        <v>2024</v>
      </c>
      <c r="F5308" s="5">
        <v>1</v>
      </c>
      <c r="G5308" s="5" t="s">
        <v>58</v>
      </c>
      <c r="H5308" s="5">
        <v>1413197</v>
      </c>
      <c r="I5308" s="5">
        <v>1148215.17</v>
      </c>
      <c r="J5308" s="5">
        <v>30</v>
      </c>
      <c r="K5308" s="5">
        <v>123553</v>
      </c>
      <c r="L5308" s="5">
        <v>1525810</v>
      </c>
      <c r="M5308" s="5">
        <v>264981.83</v>
      </c>
      <c r="N5308" s="5">
        <v>0.1875</v>
      </c>
      <c r="O5308" s="5">
        <v>4</v>
      </c>
      <c r="P5308" s="5">
        <v>113281</v>
      </c>
    </row>
    <row r="5309" spans="1:16" x14ac:dyDescent="0.3">
      <c r="A5309" s="5">
        <v>77</v>
      </c>
      <c r="B5309" s="5" t="s">
        <v>170</v>
      </c>
      <c r="C5309" s="5">
        <v>4</v>
      </c>
      <c r="D5309" s="5" t="s">
        <v>78</v>
      </c>
      <c r="E5309" s="5">
        <v>2024</v>
      </c>
      <c r="F5309" s="5">
        <v>2</v>
      </c>
      <c r="G5309" s="5" t="s">
        <v>59</v>
      </c>
      <c r="H5309" s="5">
        <v>1243746</v>
      </c>
      <c r="I5309" s="5">
        <v>1062357.81</v>
      </c>
      <c r="J5309" s="5">
        <v>13</v>
      </c>
      <c r="K5309" s="5">
        <v>117549</v>
      </c>
      <c r="L5309" s="5">
        <v>1352090</v>
      </c>
      <c r="M5309" s="5">
        <v>181388.19</v>
      </c>
      <c r="N5309" s="5">
        <v>0.14580000000000001</v>
      </c>
      <c r="O5309" s="5">
        <v>0</v>
      </c>
      <c r="P5309" s="5">
        <v>0</v>
      </c>
    </row>
    <row r="5310" spans="1:16" x14ac:dyDescent="0.3">
      <c r="A5310" s="5">
        <v>87</v>
      </c>
      <c r="B5310" s="5" t="s">
        <v>170</v>
      </c>
      <c r="C5310" s="5">
        <v>4</v>
      </c>
      <c r="D5310" s="5" t="s">
        <v>78</v>
      </c>
      <c r="E5310" s="5">
        <v>2024</v>
      </c>
      <c r="F5310" s="5">
        <v>2</v>
      </c>
      <c r="G5310" s="5" t="s">
        <v>59</v>
      </c>
      <c r="H5310" s="5">
        <v>1504269</v>
      </c>
      <c r="I5310" s="5">
        <v>1301633.3500000001</v>
      </c>
      <c r="J5310" s="5">
        <v>33</v>
      </c>
      <c r="K5310" s="5">
        <v>192712</v>
      </c>
      <c r="L5310" s="5">
        <v>1691950</v>
      </c>
      <c r="M5310" s="5">
        <v>202635.65</v>
      </c>
      <c r="N5310" s="5">
        <v>0.13469999999999999</v>
      </c>
      <c r="O5310" s="5">
        <v>3</v>
      </c>
      <c r="P5310" s="5">
        <v>38049</v>
      </c>
    </row>
    <row r="5311" spans="1:16" x14ac:dyDescent="0.3">
      <c r="A5311" s="5">
        <v>77</v>
      </c>
      <c r="B5311" s="5" t="s">
        <v>170</v>
      </c>
      <c r="C5311" s="5">
        <v>4</v>
      </c>
      <c r="D5311" s="5" t="s">
        <v>78</v>
      </c>
      <c r="E5311" s="5">
        <v>2024</v>
      </c>
      <c r="F5311" s="5">
        <v>3</v>
      </c>
      <c r="G5311" s="5" t="s">
        <v>60</v>
      </c>
      <c r="H5311" s="5">
        <v>1058175</v>
      </c>
      <c r="I5311" s="5">
        <v>826259.07</v>
      </c>
      <c r="J5311" s="5">
        <v>12</v>
      </c>
      <c r="K5311" s="5">
        <v>41829</v>
      </c>
      <c r="L5311" s="5">
        <v>1096270</v>
      </c>
      <c r="M5311" s="5">
        <v>231915.93</v>
      </c>
      <c r="N5311" s="5">
        <v>0.21920000000000001</v>
      </c>
      <c r="O5311" s="5">
        <v>0</v>
      </c>
      <c r="P5311" s="5">
        <v>0</v>
      </c>
    </row>
    <row r="5312" spans="1:16" x14ac:dyDescent="0.3">
      <c r="A5312" s="5">
        <v>87</v>
      </c>
      <c r="B5312" s="5" t="s">
        <v>170</v>
      </c>
      <c r="C5312" s="5">
        <v>4</v>
      </c>
      <c r="D5312" s="5" t="s">
        <v>78</v>
      </c>
      <c r="E5312" s="5">
        <v>2024</v>
      </c>
      <c r="F5312" s="5">
        <v>3</v>
      </c>
      <c r="G5312" s="5" t="s">
        <v>60</v>
      </c>
      <c r="H5312" s="5">
        <v>2755102</v>
      </c>
      <c r="I5312" s="5">
        <v>2461327.16</v>
      </c>
      <c r="J5312" s="5">
        <v>32</v>
      </c>
      <c r="K5312" s="5">
        <v>367308</v>
      </c>
      <c r="L5312" s="5">
        <v>3116430</v>
      </c>
      <c r="M5312" s="5">
        <v>293774.84000000003</v>
      </c>
      <c r="N5312" s="5">
        <v>0.1066</v>
      </c>
      <c r="O5312" s="5">
        <v>1</v>
      </c>
      <c r="P5312" s="5">
        <v>816</v>
      </c>
    </row>
    <row r="5313" spans="1:16" x14ac:dyDescent="0.3">
      <c r="A5313" s="5">
        <v>77</v>
      </c>
      <c r="B5313" s="5" t="s">
        <v>170</v>
      </c>
      <c r="C5313" s="5">
        <v>4</v>
      </c>
      <c r="D5313" s="5" t="s">
        <v>78</v>
      </c>
      <c r="E5313" s="5">
        <v>2024</v>
      </c>
      <c r="F5313" s="5">
        <v>4</v>
      </c>
      <c r="G5313" s="5" t="s">
        <v>61</v>
      </c>
      <c r="H5313" s="5">
        <v>744686</v>
      </c>
      <c r="I5313" s="5">
        <v>679647.28</v>
      </c>
      <c r="J5313" s="5">
        <v>11</v>
      </c>
      <c r="K5313" s="5">
        <v>124731</v>
      </c>
      <c r="L5313" s="5">
        <v>868980</v>
      </c>
      <c r="M5313" s="5">
        <v>65038.720000000001</v>
      </c>
      <c r="N5313" s="5">
        <v>8.7300000000000003E-2</v>
      </c>
      <c r="O5313" s="5">
        <v>1</v>
      </c>
      <c r="P5313" s="5">
        <v>1858</v>
      </c>
    </row>
    <row r="5314" spans="1:16" x14ac:dyDescent="0.3">
      <c r="A5314" s="5">
        <v>87</v>
      </c>
      <c r="B5314" s="5" t="s">
        <v>170</v>
      </c>
      <c r="C5314" s="5">
        <v>4</v>
      </c>
      <c r="D5314" s="5" t="s">
        <v>78</v>
      </c>
      <c r="E5314" s="5">
        <v>2024</v>
      </c>
      <c r="F5314" s="5">
        <v>4</v>
      </c>
      <c r="G5314" s="5" t="s">
        <v>61</v>
      </c>
      <c r="H5314" s="5">
        <v>1160688</v>
      </c>
      <c r="I5314" s="5">
        <v>1071600.6000000001</v>
      </c>
      <c r="J5314" s="5">
        <v>20</v>
      </c>
      <c r="K5314" s="5">
        <v>254109</v>
      </c>
      <c r="L5314" s="5">
        <v>1414750</v>
      </c>
      <c r="M5314" s="5">
        <v>89087.4</v>
      </c>
      <c r="N5314" s="5">
        <v>7.6799999999999993E-2</v>
      </c>
      <c r="O5314" s="5">
        <v>2</v>
      </c>
      <c r="P5314" s="5">
        <v>127283</v>
      </c>
    </row>
    <row r="5315" spans="1:16" x14ac:dyDescent="0.3">
      <c r="A5315" s="5">
        <v>77</v>
      </c>
      <c r="B5315" s="5" t="s">
        <v>170</v>
      </c>
      <c r="C5315" s="5">
        <v>4</v>
      </c>
      <c r="D5315" s="5" t="s">
        <v>78</v>
      </c>
      <c r="E5315" s="5">
        <v>2024</v>
      </c>
      <c r="F5315" s="5">
        <v>5</v>
      </c>
      <c r="G5315" s="5" t="s">
        <v>62</v>
      </c>
      <c r="H5315" s="5">
        <v>764887</v>
      </c>
      <c r="I5315" s="5">
        <v>774074.32</v>
      </c>
      <c r="J5315" s="5">
        <v>10</v>
      </c>
      <c r="K5315" s="5">
        <v>211678</v>
      </c>
      <c r="L5315" s="5">
        <v>972190</v>
      </c>
      <c r="M5315" s="5">
        <v>-9187.32</v>
      </c>
      <c r="N5315" s="5">
        <v>-1.2E-2</v>
      </c>
      <c r="O5315" s="5">
        <v>0</v>
      </c>
      <c r="P5315" s="5">
        <v>0</v>
      </c>
    </row>
    <row r="5316" spans="1:16" x14ac:dyDescent="0.3">
      <c r="A5316" s="5">
        <v>87</v>
      </c>
      <c r="B5316" s="5" t="s">
        <v>170</v>
      </c>
      <c r="C5316" s="5">
        <v>4</v>
      </c>
      <c r="D5316" s="5" t="s">
        <v>78</v>
      </c>
      <c r="E5316" s="5">
        <v>2024</v>
      </c>
      <c r="F5316" s="5">
        <v>5</v>
      </c>
      <c r="G5316" s="5" t="s">
        <v>62</v>
      </c>
      <c r="H5316" s="5">
        <v>1229183</v>
      </c>
      <c r="I5316" s="5">
        <v>953524.16</v>
      </c>
      <c r="J5316" s="5">
        <v>31</v>
      </c>
      <c r="K5316" s="5">
        <v>44872</v>
      </c>
      <c r="L5316" s="5">
        <v>1267040</v>
      </c>
      <c r="M5316" s="5">
        <v>275658.84000000003</v>
      </c>
      <c r="N5316" s="5">
        <v>0.2243</v>
      </c>
      <c r="O5316" s="5">
        <v>1</v>
      </c>
      <c r="P5316" s="5">
        <v>2333</v>
      </c>
    </row>
    <row r="5317" spans="1:16" x14ac:dyDescent="0.3">
      <c r="A5317" s="5">
        <v>77</v>
      </c>
      <c r="B5317" s="5" t="s">
        <v>170</v>
      </c>
      <c r="C5317" s="5">
        <v>4</v>
      </c>
      <c r="D5317" s="5" t="s">
        <v>78</v>
      </c>
      <c r="E5317" s="5">
        <v>2024</v>
      </c>
      <c r="F5317" s="5">
        <v>6</v>
      </c>
      <c r="G5317" s="5" t="s">
        <v>63</v>
      </c>
      <c r="H5317" s="5">
        <v>1591721</v>
      </c>
      <c r="I5317" s="5">
        <v>1255313.28</v>
      </c>
      <c r="J5317" s="5">
        <v>20</v>
      </c>
      <c r="K5317" s="5">
        <v>57533</v>
      </c>
      <c r="L5317" s="5">
        <v>1642640</v>
      </c>
      <c r="M5317" s="5">
        <v>336407.72</v>
      </c>
      <c r="N5317" s="5">
        <v>0.21129999999999999</v>
      </c>
      <c r="O5317" s="5">
        <v>2</v>
      </c>
      <c r="P5317" s="5">
        <v>26995</v>
      </c>
    </row>
    <row r="5318" spans="1:16" x14ac:dyDescent="0.3">
      <c r="A5318" s="5">
        <v>87</v>
      </c>
      <c r="B5318" s="5" t="s">
        <v>170</v>
      </c>
      <c r="C5318" s="5">
        <v>4</v>
      </c>
      <c r="D5318" s="5" t="s">
        <v>78</v>
      </c>
      <c r="E5318" s="5">
        <v>2024</v>
      </c>
      <c r="F5318" s="5">
        <v>6</v>
      </c>
      <c r="G5318" s="5" t="s">
        <v>63</v>
      </c>
      <c r="H5318" s="5">
        <v>2963551</v>
      </c>
      <c r="I5318" s="5">
        <v>2596949.89</v>
      </c>
      <c r="J5318" s="5">
        <v>30</v>
      </c>
      <c r="K5318" s="5">
        <v>294629</v>
      </c>
      <c r="L5318" s="5">
        <v>3253580</v>
      </c>
      <c r="M5318" s="5">
        <v>366601.11</v>
      </c>
      <c r="N5318" s="5">
        <v>0.1237</v>
      </c>
      <c r="O5318" s="5">
        <v>0</v>
      </c>
      <c r="P5318" s="5">
        <v>0</v>
      </c>
    </row>
    <row r="5319" spans="1:16" x14ac:dyDescent="0.3">
      <c r="A5319" s="5">
        <v>77</v>
      </c>
      <c r="B5319" s="5" t="s">
        <v>170</v>
      </c>
      <c r="C5319" s="5">
        <v>4</v>
      </c>
      <c r="D5319" s="5" t="s">
        <v>78</v>
      </c>
      <c r="E5319" s="5">
        <v>2024</v>
      </c>
      <c r="F5319" s="5">
        <v>7</v>
      </c>
      <c r="G5319" s="5" t="s">
        <v>64</v>
      </c>
      <c r="H5319" s="5">
        <v>480028</v>
      </c>
      <c r="I5319" s="5">
        <v>386414.4</v>
      </c>
      <c r="J5319" s="5">
        <v>9</v>
      </c>
      <c r="K5319" s="5">
        <v>48260</v>
      </c>
      <c r="L5319" s="5">
        <v>526650</v>
      </c>
      <c r="M5319" s="5">
        <v>93613.6</v>
      </c>
      <c r="N5319" s="5">
        <v>0.19500000000000001</v>
      </c>
      <c r="O5319" s="5">
        <v>0</v>
      </c>
      <c r="P5319" s="5">
        <v>0</v>
      </c>
    </row>
    <row r="5320" spans="1:16" x14ac:dyDescent="0.3">
      <c r="A5320" s="5">
        <v>87</v>
      </c>
      <c r="B5320" s="5" t="s">
        <v>170</v>
      </c>
      <c r="C5320" s="5">
        <v>4</v>
      </c>
      <c r="D5320" s="5" t="s">
        <v>78</v>
      </c>
      <c r="E5320" s="5">
        <v>2024</v>
      </c>
      <c r="F5320" s="5">
        <v>7</v>
      </c>
      <c r="G5320" s="5" t="s">
        <v>64</v>
      </c>
      <c r="H5320" s="5">
        <v>1637068</v>
      </c>
      <c r="I5320" s="5">
        <v>1465788.75</v>
      </c>
      <c r="J5320" s="5">
        <v>30</v>
      </c>
      <c r="K5320" s="5">
        <v>276450</v>
      </c>
      <c r="L5320" s="5">
        <v>1906900</v>
      </c>
      <c r="M5320" s="5">
        <v>171279.25</v>
      </c>
      <c r="N5320" s="5">
        <v>0.1046</v>
      </c>
      <c r="O5320" s="5">
        <v>3</v>
      </c>
      <c r="P5320" s="5">
        <v>19107</v>
      </c>
    </row>
    <row r="5321" spans="1:16" x14ac:dyDescent="0.3">
      <c r="A5321" s="5">
        <v>77</v>
      </c>
      <c r="B5321" s="5" t="s">
        <v>170</v>
      </c>
      <c r="C5321" s="5">
        <v>4</v>
      </c>
      <c r="D5321" s="5" t="s">
        <v>78</v>
      </c>
      <c r="E5321" s="5">
        <v>2024</v>
      </c>
      <c r="F5321" s="5">
        <v>8</v>
      </c>
      <c r="G5321" s="5" t="s">
        <v>65</v>
      </c>
      <c r="H5321" s="5">
        <v>948930</v>
      </c>
      <c r="I5321" s="5">
        <v>808508.34</v>
      </c>
      <c r="J5321" s="5">
        <v>10</v>
      </c>
      <c r="K5321" s="5">
        <v>79820</v>
      </c>
      <c r="L5321" s="5">
        <v>1028750</v>
      </c>
      <c r="M5321" s="5">
        <v>140421.66</v>
      </c>
      <c r="N5321" s="5">
        <v>0.14799999999999999</v>
      </c>
      <c r="O5321" s="5">
        <v>1</v>
      </c>
      <c r="P5321" s="5">
        <v>83696</v>
      </c>
    </row>
    <row r="5322" spans="1:16" x14ac:dyDescent="0.3">
      <c r="A5322" s="5">
        <v>87</v>
      </c>
      <c r="B5322" s="5" t="s">
        <v>170</v>
      </c>
      <c r="C5322" s="5">
        <v>4</v>
      </c>
      <c r="D5322" s="5" t="s">
        <v>78</v>
      </c>
      <c r="E5322" s="5">
        <v>2024</v>
      </c>
      <c r="F5322" s="5">
        <v>8</v>
      </c>
      <c r="G5322" s="5" t="s">
        <v>65</v>
      </c>
      <c r="H5322" s="5">
        <v>2179294</v>
      </c>
      <c r="I5322" s="5">
        <v>1938639.63</v>
      </c>
      <c r="J5322" s="5">
        <v>35</v>
      </c>
      <c r="K5322" s="5">
        <v>276266</v>
      </c>
      <c r="L5322" s="5">
        <v>2451840</v>
      </c>
      <c r="M5322" s="5">
        <v>240654.37</v>
      </c>
      <c r="N5322" s="5">
        <v>0.1104</v>
      </c>
      <c r="O5322" s="5">
        <v>2</v>
      </c>
      <c r="P5322" s="5">
        <v>18488</v>
      </c>
    </row>
    <row r="5323" spans="1:16" x14ac:dyDescent="0.3">
      <c r="A5323" s="5">
        <v>77</v>
      </c>
      <c r="B5323" s="5" t="s">
        <v>170</v>
      </c>
      <c r="C5323" s="5">
        <v>4</v>
      </c>
      <c r="D5323" s="5" t="s">
        <v>78</v>
      </c>
      <c r="E5323" s="5">
        <v>2024</v>
      </c>
      <c r="F5323" s="5">
        <v>9</v>
      </c>
      <c r="G5323" s="5" t="s">
        <v>66</v>
      </c>
      <c r="H5323" s="5">
        <v>401623</v>
      </c>
      <c r="I5323" s="5">
        <v>327944.32000000001</v>
      </c>
      <c r="J5323" s="5">
        <v>10</v>
      </c>
      <c r="K5323" s="5">
        <v>20736</v>
      </c>
      <c r="L5323" s="5">
        <v>419890</v>
      </c>
      <c r="M5323" s="5">
        <v>73678.679999999993</v>
      </c>
      <c r="N5323" s="5">
        <v>0.1835</v>
      </c>
      <c r="O5323" s="5">
        <v>1</v>
      </c>
      <c r="P5323" s="5">
        <v>5164</v>
      </c>
    </row>
    <row r="5324" spans="1:16" x14ac:dyDescent="0.3">
      <c r="A5324" s="5">
        <v>87</v>
      </c>
      <c r="B5324" s="5" t="s">
        <v>170</v>
      </c>
      <c r="C5324" s="5">
        <v>4</v>
      </c>
      <c r="D5324" s="5" t="s">
        <v>78</v>
      </c>
      <c r="E5324" s="5">
        <v>2024</v>
      </c>
      <c r="F5324" s="5">
        <v>9</v>
      </c>
      <c r="G5324" s="5" t="s">
        <v>66</v>
      </c>
      <c r="H5324" s="5">
        <v>3208629</v>
      </c>
      <c r="I5324" s="5">
        <v>2623282.2000000002</v>
      </c>
      <c r="J5324" s="5">
        <v>40</v>
      </c>
      <c r="K5324" s="5">
        <v>219736</v>
      </c>
      <c r="L5324" s="5">
        <v>3417470</v>
      </c>
      <c r="M5324" s="5">
        <v>585346.80000000005</v>
      </c>
      <c r="N5324" s="5">
        <v>0.18240000000000001</v>
      </c>
      <c r="O5324" s="5">
        <v>2</v>
      </c>
      <c r="P5324" s="5">
        <v>20617</v>
      </c>
    </row>
    <row r="5325" spans="1:16" x14ac:dyDescent="0.3">
      <c r="A5325" s="5">
        <v>77</v>
      </c>
      <c r="B5325" s="5" t="s">
        <v>170</v>
      </c>
      <c r="C5325" s="5">
        <v>4</v>
      </c>
      <c r="D5325" s="5" t="s">
        <v>78</v>
      </c>
      <c r="E5325" s="5">
        <v>2024</v>
      </c>
      <c r="F5325" s="5">
        <v>10</v>
      </c>
      <c r="G5325" s="5" t="s">
        <v>67</v>
      </c>
      <c r="H5325" s="5">
        <v>597604</v>
      </c>
      <c r="I5325" s="5">
        <v>479983.48</v>
      </c>
      <c r="J5325" s="5">
        <v>12</v>
      </c>
      <c r="K5325" s="5">
        <v>20728</v>
      </c>
      <c r="L5325" s="5">
        <v>616060</v>
      </c>
      <c r="M5325" s="5">
        <v>117620.52</v>
      </c>
      <c r="N5325" s="5">
        <v>0.1968</v>
      </c>
      <c r="O5325" s="5">
        <v>1</v>
      </c>
      <c r="P5325" s="5">
        <v>2182</v>
      </c>
    </row>
    <row r="5326" spans="1:16" x14ac:dyDescent="0.3">
      <c r="A5326" s="5">
        <v>87</v>
      </c>
      <c r="B5326" s="5" t="s">
        <v>170</v>
      </c>
      <c r="C5326" s="5">
        <v>4</v>
      </c>
      <c r="D5326" s="5" t="s">
        <v>78</v>
      </c>
      <c r="E5326" s="5">
        <v>2024</v>
      </c>
      <c r="F5326" s="5">
        <v>10</v>
      </c>
      <c r="G5326" s="5" t="s">
        <v>67</v>
      </c>
      <c r="H5326" s="5">
        <v>3280874</v>
      </c>
      <c r="I5326" s="5">
        <v>2599625.9</v>
      </c>
      <c r="J5326" s="5">
        <v>45</v>
      </c>
      <c r="K5326" s="5">
        <v>93175</v>
      </c>
      <c r="L5326" s="5">
        <v>3360480</v>
      </c>
      <c r="M5326" s="5">
        <v>681248.1</v>
      </c>
      <c r="N5326" s="5">
        <v>0.20760000000000001</v>
      </c>
      <c r="O5326" s="5">
        <v>3</v>
      </c>
      <c r="P5326" s="5">
        <v>65967</v>
      </c>
    </row>
    <row r="5327" spans="1:16" x14ac:dyDescent="0.3">
      <c r="A5327" s="5">
        <v>77</v>
      </c>
      <c r="B5327" s="5" t="s">
        <v>170</v>
      </c>
      <c r="C5327" s="5">
        <v>4</v>
      </c>
      <c r="D5327" s="5" t="s">
        <v>78</v>
      </c>
      <c r="E5327" s="5">
        <v>2024</v>
      </c>
      <c r="F5327" s="5">
        <v>11</v>
      </c>
      <c r="G5327" s="5" t="s">
        <v>68</v>
      </c>
      <c r="H5327" s="5">
        <v>906842</v>
      </c>
      <c r="I5327" s="5">
        <v>787797.85</v>
      </c>
      <c r="J5327" s="5">
        <v>19</v>
      </c>
      <c r="K5327" s="5">
        <v>113757</v>
      </c>
      <c r="L5327" s="5">
        <v>1019720</v>
      </c>
      <c r="M5327" s="5">
        <v>119044.15</v>
      </c>
      <c r="N5327" s="5">
        <v>0.1313</v>
      </c>
      <c r="O5327" s="5">
        <v>2</v>
      </c>
      <c r="P5327" s="5">
        <v>77746</v>
      </c>
    </row>
    <row r="5328" spans="1:16" x14ac:dyDescent="0.3">
      <c r="A5328" s="5">
        <v>87</v>
      </c>
      <c r="B5328" s="5" t="s">
        <v>170</v>
      </c>
      <c r="C5328" s="5">
        <v>4</v>
      </c>
      <c r="D5328" s="5" t="s">
        <v>78</v>
      </c>
      <c r="E5328" s="5">
        <v>2024</v>
      </c>
      <c r="F5328" s="5">
        <v>11</v>
      </c>
      <c r="G5328" s="5" t="s">
        <v>68</v>
      </c>
      <c r="H5328" s="5">
        <v>2176925</v>
      </c>
      <c r="I5328" s="5">
        <v>1758836.67</v>
      </c>
      <c r="J5328" s="5">
        <v>41</v>
      </c>
      <c r="K5328" s="5">
        <v>148345</v>
      </c>
      <c r="L5328" s="5">
        <v>2315840</v>
      </c>
      <c r="M5328" s="5">
        <v>418088.33</v>
      </c>
      <c r="N5328" s="5">
        <v>0.19209999999999999</v>
      </c>
      <c r="O5328" s="5">
        <v>3</v>
      </c>
      <c r="P5328" s="5">
        <v>30023</v>
      </c>
    </row>
    <row r="5329" spans="1:16" x14ac:dyDescent="0.3">
      <c r="A5329" s="5">
        <v>77</v>
      </c>
      <c r="B5329" s="5" t="s">
        <v>170</v>
      </c>
      <c r="C5329" s="5">
        <v>4</v>
      </c>
      <c r="D5329" s="5" t="s">
        <v>78</v>
      </c>
      <c r="E5329" s="5">
        <v>2024</v>
      </c>
      <c r="F5329" s="5">
        <v>12</v>
      </c>
      <c r="G5329" s="5" t="s">
        <v>69</v>
      </c>
      <c r="H5329" s="5">
        <v>1735490</v>
      </c>
      <c r="I5329" s="5">
        <v>1377765.86</v>
      </c>
      <c r="J5329" s="5">
        <v>19</v>
      </c>
      <c r="K5329" s="5">
        <v>55367</v>
      </c>
      <c r="L5329" s="5">
        <v>1784730</v>
      </c>
      <c r="M5329" s="5">
        <v>357724.14</v>
      </c>
      <c r="N5329" s="5">
        <v>0.20610000000000001</v>
      </c>
      <c r="O5329" s="5">
        <v>4</v>
      </c>
      <c r="P5329" s="5">
        <v>146191</v>
      </c>
    </row>
    <row r="5330" spans="1:16" x14ac:dyDescent="0.3">
      <c r="A5330" s="5">
        <v>87</v>
      </c>
      <c r="B5330" s="5" t="s">
        <v>170</v>
      </c>
      <c r="C5330" s="5">
        <v>4</v>
      </c>
      <c r="D5330" s="5" t="s">
        <v>78</v>
      </c>
      <c r="E5330" s="5">
        <v>2024</v>
      </c>
      <c r="F5330" s="5">
        <v>12</v>
      </c>
      <c r="G5330" s="5" t="s">
        <v>69</v>
      </c>
      <c r="H5330" s="5">
        <v>3512441</v>
      </c>
      <c r="I5330" s="5">
        <v>2757135.12</v>
      </c>
      <c r="J5330" s="5">
        <v>45</v>
      </c>
      <c r="K5330" s="5">
        <v>112791</v>
      </c>
      <c r="L5330" s="5">
        <v>3621360</v>
      </c>
      <c r="M5330" s="5">
        <v>755305.88</v>
      </c>
      <c r="N5330" s="5">
        <v>0.215</v>
      </c>
      <c r="O5330" s="5">
        <v>1</v>
      </c>
      <c r="P5330" s="5">
        <v>13776</v>
      </c>
    </row>
    <row r="5331" spans="1:16" x14ac:dyDescent="0.3">
      <c r="A5331" s="5">
        <v>51</v>
      </c>
      <c r="B5331" s="5" t="s">
        <v>171</v>
      </c>
      <c r="C5331" s="5">
        <v>4</v>
      </c>
      <c r="D5331" s="5" t="s">
        <v>78</v>
      </c>
      <c r="E5331" s="5">
        <v>2021</v>
      </c>
      <c r="F5331" s="5">
        <v>1</v>
      </c>
      <c r="G5331" s="5" t="s">
        <v>22</v>
      </c>
      <c r="H5331" s="5">
        <v>2024950</v>
      </c>
      <c r="I5331" s="5">
        <v>1845907.14</v>
      </c>
      <c r="J5331" s="5">
        <v>27</v>
      </c>
      <c r="K5331" s="5">
        <v>290390</v>
      </c>
      <c r="L5331" s="5">
        <v>2311240</v>
      </c>
      <c r="M5331" s="5">
        <v>179042.86</v>
      </c>
      <c r="N5331" s="5">
        <v>8.8400000000000006E-2</v>
      </c>
      <c r="O5331" s="5">
        <v>3</v>
      </c>
      <c r="P5331" s="5">
        <v>50652</v>
      </c>
    </row>
    <row r="5332" spans="1:16" x14ac:dyDescent="0.3">
      <c r="A5332" s="5">
        <v>69</v>
      </c>
      <c r="B5332" s="5" t="s">
        <v>171</v>
      </c>
      <c r="C5332" s="5">
        <v>4</v>
      </c>
      <c r="D5332" s="5" t="s">
        <v>78</v>
      </c>
      <c r="E5332" s="5">
        <v>2021</v>
      </c>
      <c r="F5332" s="5">
        <v>1</v>
      </c>
      <c r="G5332" s="5" t="s">
        <v>22</v>
      </c>
      <c r="H5332" s="5">
        <v>2623875</v>
      </c>
      <c r="I5332" s="5">
        <v>2318552.35</v>
      </c>
      <c r="J5332" s="5">
        <v>37</v>
      </c>
      <c r="K5332" s="5">
        <v>437526</v>
      </c>
      <c r="L5332" s="5">
        <v>3055580</v>
      </c>
      <c r="M5332" s="5">
        <v>305322.65000000002</v>
      </c>
      <c r="N5332" s="5">
        <v>0.1164</v>
      </c>
      <c r="O5332" s="5">
        <v>5</v>
      </c>
      <c r="P5332" s="5">
        <v>118613</v>
      </c>
    </row>
    <row r="5333" spans="1:16" x14ac:dyDescent="0.3">
      <c r="A5333" s="5">
        <v>51</v>
      </c>
      <c r="B5333" s="5" t="s">
        <v>171</v>
      </c>
      <c r="C5333" s="5">
        <v>4</v>
      </c>
      <c r="D5333" s="5" t="s">
        <v>78</v>
      </c>
      <c r="E5333" s="5">
        <v>2021</v>
      </c>
      <c r="F5333" s="5">
        <v>2</v>
      </c>
      <c r="G5333" s="5" t="s">
        <v>23</v>
      </c>
      <c r="H5333" s="5">
        <v>693705</v>
      </c>
      <c r="I5333" s="5">
        <v>585814.73</v>
      </c>
      <c r="J5333" s="5">
        <v>14</v>
      </c>
      <c r="K5333" s="5">
        <v>57165</v>
      </c>
      <c r="L5333" s="5">
        <v>750710</v>
      </c>
      <c r="M5333" s="5">
        <v>107890.27</v>
      </c>
      <c r="N5333" s="5">
        <v>0.1555</v>
      </c>
      <c r="O5333" s="5">
        <v>0</v>
      </c>
      <c r="P5333" s="5">
        <v>0</v>
      </c>
    </row>
    <row r="5334" spans="1:16" x14ac:dyDescent="0.3">
      <c r="A5334" s="5">
        <v>69</v>
      </c>
      <c r="B5334" s="5" t="s">
        <v>171</v>
      </c>
      <c r="C5334" s="5">
        <v>4</v>
      </c>
      <c r="D5334" s="5" t="s">
        <v>78</v>
      </c>
      <c r="E5334" s="5">
        <v>2021</v>
      </c>
      <c r="F5334" s="5">
        <v>2</v>
      </c>
      <c r="G5334" s="5" t="s">
        <v>23</v>
      </c>
      <c r="H5334" s="5">
        <v>1085181</v>
      </c>
      <c r="I5334" s="5">
        <v>886968.56</v>
      </c>
      <c r="J5334" s="5">
        <v>23</v>
      </c>
      <c r="K5334" s="5">
        <v>91501</v>
      </c>
      <c r="L5334" s="5">
        <v>1171180</v>
      </c>
      <c r="M5334" s="5">
        <v>198212.44</v>
      </c>
      <c r="N5334" s="5">
        <v>0.1827</v>
      </c>
      <c r="O5334" s="5">
        <v>2</v>
      </c>
      <c r="P5334" s="5">
        <v>23645</v>
      </c>
    </row>
    <row r="5335" spans="1:16" x14ac:dyDescent="0.3">
      <c r="A5335" s="5">
        <v>51</v>
      </c>
      <c r="B5335" s="5" t="s">
        <v>171</v>
      </c>
      <c r="C5335" s="5">
        <v>4</v>
      </c>
      <c r="D5335" s="5" t="s">
        <v>78</v>
      </c>
      <c r="E5335" s="5">
        <v>2021</v>
      </c>
      <c r="F5335" s="5">
        <v>3</v>
      </c>
      <c r="G5335" s="5" t="s">
        <v>24</v>
      </c>
      <c r="H5335" s="5">
        <v>2703964</v>
      </c>
      <c r="I5335" s="5">
        <v>2278684.44</v>
      </c>
      <c r="J5335" s="5">
        <v>35</v>
      </c>
      <c r="K5335" s="5">
        <v>207385</v>
      </c>
      <c r="L5335" s="5">
        <v>2906280</v>
      </c>
      <c r="M5335" s="5">
        <v>425279.56</v>
      </c>
      <c r="N5335" s="5">
        <v>0.1573</v>
      </c>
      <c r="O5335" s="5">
        <v>2</v>
      </c>
      <c r="P5335" s="5">
        <v>28766</v>
      </c>
    </row>
    <row r="5336" spans="1:16" x14ac:dyDescent="0.3">
      <c r="A5336" s="5">
        <v>69</v>
      </c>
      <c r="B5336" s="5" t="s">
        <v>171</v>
      </c>
      <c r="C5336" s="5">
        <v>4</v>
      </c>
      <c r="D5336" s="5" t="s">
        <v>78</v>
      </c>
      <c r="E5336" s="5">
        <v>2021</v>
      </c>
      <c r="F5336" s="5">
        <v>3</v>
      </c>
      <c r="G5336" s="5" t="s">
        <v>24</v>
      </c>
      <c r="H5336" s="5">
        <v>1385441</v>
      </c>
      <c r="I5336" s="5">
        <v>1128557.27</v>
      </c>
      <c r="J5336" s="5">
        <v>24</v>
      </c>
      <c r="K5336" s="5">
        <v>112591</v>
      </c>
      <c r="L5336" s="5">
        <v>1490410</v>
      </c>
      <c r="M5336" s="5">
        <v>256883.73</v>
      </c>
      <c r="N5336" s="5">
        <v>0.18540000000000001</v>
      </c>
      <c r="O5336" s="5">
        <v>1</v>
      </c>
      <c r="P5336" s="5">
        <v>2110</v>
      </c>
    </row>
    <row r="5337" spans="1:16" x14ac:dyDescent="0.3">
      <c r="A5337" s="5">
        <v>51</v>
      </c>
      <c r="B5337" s="5" t="s">
        <v>171</v>
      </c>
      <c r="C5337" s="5">
        <v>4</v>
      </c>
      <c r="D5337" s="5" t="s">
        <v>78</v>
      </c>
      <c r="E5337" s="5">
        <v>2021</v>
      </c>
      <c r="F5337" s="5">
        <v>4</v>
      </c>
      <c r="G5337" s="5" t="s">
        <v>25</v>
      </c>
      <c r="H5337" s="5">
        <v>1078940</v>
      </c>
      <c r="I5337" s="5">
        <v>910634.26</v>
      </c>
      <c r="J5337" s="5">
        <v>19</v>
      </c>
      <c r="K5337" s="5">
        <v>93277</v>
      </c>
      <c r="L5337" s="5">
        <v>1162790</v>
      </c>
      <c r="M5337" s="5">
        <v>168305.74</v>
      </c>
      <c r="N5337" s="5">
        <v>0.156</v>
      </c>
      <c r="O5337" s="5">
        <v>1</v>
      </c>
      <c r="P5337" s="5">
        <v>1482</v>
      </c>
    </row>
    <row r="5338" spans="1:16" x14ac:dyDescent="0.3">
      <c r="A5338" s="5">
        <v>69</v>
      </c>
      <c r="B5338" s="5" t="s">
        <v>171</v>
      </c>
      <c r="C5338" s="5">
        <v>4</v>
      </c>
      <c r="D5338" s="5" t="s">
        <v>78</v>
      </c>
      <c r="E5338" s="5">
        <v>2021</v>
      </c>
      <c r="F5338" s="5">
        <v>4</v>
      </c>
      <c r="G5338" s="5" t="s">
        <v>25</v>
      </c>
      <c r="H5338" s="5">
        <v>3354851</v>
      </c>
      <c r="I5338" s="5">
        <v>2939840.41</v>
      </c>
      <c r="J5338" s="5">
        <v>47</v>
      </c>
      <c r="K5338" s="5">
        <v>466341</v>
      </c>
      <c r="L5338" s="5">
        <v>3801060</v>
      </c>
      <c r="M5338" s="5">
        <v>415010.59</v>
      </c>
      <c r="N5338" s="5">
        <v>0.1237</v>
      </c>
      <c r="O5338" s="5">
        <v>7</v>
      </c>
      <c r="P5338" s="5">
        <v>150162</v>
      </c>
    </row>
    <row r="5339" spans="1:16" x14ac:dyDescent="0.3">
      <c r="A5339" s="5">
        <v>51</v>
      </c>
      <c r="B5339" s="5" t="s">
        <v>171</v>
      </c>
      <c r="C5339" s="5">
        <v>4</v>
      </c>
      <c r="D5339" s="5" t="s">
        <v>78</v>
      </c>
      <c r="E5339" s="5">
        <v>2021</v>
      </c>
      <c r="F5339" s="5">
        <v>5</v>
      </c>
      <c r="G5339" s="5" t="s">
        <v>26</v>
      </c>
      <c r="H5339" s="5">
        <v>1434890</v>
      </c>
      <c r="I5339" s="5">
        <v>1198690.46</v>
      </c>
      <c r="J5339" s="5">
        <v>27</v>
      </c>
      <c r="K5339" s="5">
        <v>122571</v>
      </c>
      <c r="L5339" s="5">
        <v>1552490</v>
      </c>
      <c r="M5339" s="5">
        <v>236199.54</v>
      </c>
      <c r="N5339" s="5">
        <v>0.1646</v>
      </c>
      <c r="O5339" s="5">
        <v>2</v>
      </c>
      <c r="P5339" s="5">
        <v>10330</v>
      </c>
    </row>
    <row r="5340" spans="1:16" x14ac:dyDescent="0.3">
      <c r="A5340" s="5">
        <v>69</v>
      </c>
      <c r="B5340" s="5" t="s">
        <v>171</v>
      </c>
      <c r="C5340" s="5">
        <v>4</v>
      </c>
      <c r="D5340" s="5" t="s">
        <v>78</v>
      </c>
      <c r="E5340" s="5">
        <v>2021</v>
      </c>
      <c r="F5340" s="5">
        <v>5</v>
      </c>
      <c r="G5340" s="5" t="s">
        <v>26</v>
      </c>
      <c r="H5340" s="5">
        <v>2882952</v>
      </c>
      <c r="I5340" s="5">
        <v>2561205.77</v>
      </c>
      <c r="J5340" s="5">
        <v>46</v>
      </c>
      <c r="K5340" s="5">
        <v>390587</v>
      </c>
      <c r="L5340" s="5">
        <v>3268600</v>
      </c>
      <c r="M5340" s="5">
        <v>321746.23</v>
      </c>
      <c r="N5340" s="5">
        <v>0.1116</v>
      </c>
      <c r="O5340" s="5">
        <v>0</v>
      </c>
      <c r="P5340" s="5">
        <v>0</v>
      </c>
    </row>
    <row r="5341" spans="1:16" x14ac:dyDescent="0.3">
      <c r="A5341" s="5">
        <v>51</v>
      </c>
      <c r="B5341" s="5" t="s">
        <v>171</v>
      </c>
      <c r="C5341" s="5">
        <v>4</v>
      </c>
      <c r="D5341" s="5" t="s">
        <v>78</v>
      </c>
      <c r="E5341" s="5">
        <v>2021</v>
      </c>
      <c r="F5341" s="5">
        <v>6</v>
      </c>
      <c r="G5341" s="5" t="s">
        <v>27</v>
      </c>
      <c r="H5341" s="5">
        <v>2836616</v>
      </c>
      <c r="I5341" s="5">
        <v>2412030.69</v>
      </c>
      <c r="J5341" s="5">
        <v>29</v>
      </c>
      <c r="K5341" s="5">
        <v>216525</v>
      </c>
      <c r="L5341" s="5">
        <v>3035200</v>
      </c>
      <c r="M5341" s="5">
        <v>424585.31</v>
      </c>
      <c r="N5341" s="5">
        <v>0.1497</v>
      </c>
      <c r="O5341" s="5">
        <v>1</v>
      </c>
      <c r="P5341" s="5">
        <v>3688</v>
      </c>
    </row>
    <row r="5342" spans="1:16" x14ac:dyDescent="0.3">
      <c r="A5342" s="5">
        <v>69</v>
      </c>
      <c r="B5342" s="5" t="s">
        <v>171</v>
      </c>
      <c r="C5342" s="5">
        <v>4</v>
      </c>
      <c r="D5342" s="5" t="s">
        <v>78</v>
      </c>
      <c r="E5342" s="5">
        <v>2021</v>
      </c>
      <c r="F5342" s="5">
        <v>6</v>
      </c>
      <c r="G5342" s="5" t="s">
        <v>27</v>
      </c>
      <c r="H5342" s="5">
        <v>1587235</v>
      </c>
      <c r="I5342" s="5">
        <v>1407058.26</v>
      </c>
      <c r="J5342" s="5">
        <v>43</v>
      </c>
      <c r="K5342" s="5">
        <v>254025</v>
      </c>
      <c r="L5342" s="5">
        <v>1838120</v>
      </c>
      <c r="M5342" s="5">
        <v>180176.74</v>
      </c>
      <c r="N5342" s="5">
        <v>0.1135</v>
      </c>
      <c r="O5342" s="5">
        <v>3</v>
      </c>
      <c r="P5342" s="5">
        <v>30024</v>
      </c>
    </row>
    <row r="5343" spans="1:16" x14ac:dyDescent="0.3">
      <c r="A5343" s="5">
        <v>51</v>
      </c>
      <c r="B5343" s="5" t="s">
        <v>171</v>
      </c>
      <c r="C5343" s="5">
        <v>4</v>
      </c>
      <c r="D5343" s="5" t="s">
        <v>78</v>
      </c>
      <c r="E5343" s="5">
        <v>2021</v>
      </c>
      <c r="F5343" s="5">
        <v>7</v>
      </c>
      <c r="G5343" s="5" t="s">
        <v>28</v>
      </c>
      <c r="H5343" s="5">
        <v>1943954</v>
      </c>
      <c r="I5343" s="5">
        <v>1683111.52</v>
      </c>
      <c r="J5343" s="5">
        <v>36</v>
      </c>
      <c r="K5343" s="5">
        <v>221834</v>
      </c>
      <c r="L5343" s="5">
        <v>2163930</v>
      </c>
      <c r="M5343" s="5">
        <v>260842.48</v>
      </c>
      <c r="N5343" s="5">
        <v>0.13420000000000001</v>
      </c>
      <c r="O5343" s="5">
        <v>6</v>
      </c>
      <c r="P5343" s="5">
        <v>87662</v>
      </c>
    </row>
    <row r="5344" spans="1:16" x14ac:dyDescent="0.3">
      <c r="A5344" s="5">
        <v>69</v>
      </c>
      <c r="B5344" s="5" t="s">
        <v>171</v>
      </c>
      <c r="C5344" s="5">
        <v>4</v>
      </c>
      <c r="D5344" s="5" t="s">
        <v>78</v>
      </c>
      <c r="E5344" s="5">
        <v>2021</v>
      </c>
      <c r="F5344" s="5">
        <v>7</v>
      </c>
      <c r="G5344" s="5" t="s">
        <v>28</v>
      </c>
      <c r="H5344" s="5">
        <v>2893783</v>
      </c>
      <c r="I5344" s="5">
        <v>2535869.14</v>
      </c>
      <c r="J5344" s="5">
        <v>46</v>
      </c>
      <c r="K5344" s="5">
        <v>360222</v>
      </c>
      <c r="L5344" s="5">
        <v>3236860</v>
      </c>
      <c r="M5344" s="5">
        <v>357913.86</v>
      </c>
      <c r="N5344" s="5">
        <v>0.1237</v>
      </c>
      <c r="O5344" s="5">
        <v>4</v>
      </c>
      <c r="P5344" s="5">
        <v>13315</v>
      </c>
    </row>
    <row r="5345" spans="1:16" x14ac:dyDescent="0.3">
      <c r="A5345" s="5">
        <v>51</v>
      </c>
      <c r="B5345" s="5" t="s">
        <v>171</v>
      </c>
      <c r="C5345" s="5">
        <v>4</v>
      </c>
      <c r="D5345" s="5" t="s">
        <v>78</v>
      </c>
      <c r="E5345" s="5">
        <v>2021</v>
      </c>
      <c r="F5345" s="5">
        <v>8</v>
      </c>
      <c r="G5345" s="5" t="s">
        <v>29</v>
      </c>
      <c r="H5345" s="5">
        <v>1750841</v>
      </c>
      <c r="I5345" s="5">
        <v>1555977.54</v>
      </c>
      <c r="J5345" s="5">
        <v>25</v>
      </c>
      <c r="K5345" s="5">
        <v>188283</v>
      </c>
      <c r="L5345" s="5">
        <v>1934420</v>
      </c>
      <c r="M5345" s="5">
        <v>194863.46</v>
      </c>
      <c r="N5345" s="5">
        <v>0.1113</v>
      </c>
      <c r="O5345" s="5">
        <v>2</v>
      </c>
      <c r="P5345" s="5">
        <v>72673</v>
      </c>
    </row>
    <row r="5346" spans="1:16" x14ac:dyDescent="0.3">
      <c r="A5346" s="5">
        <v>69</v>
      </c>
      <c r="B5346" s="5" t="s">
        <v>171</v>
      </c>
      <c r="C5346" s="5">
        <v>4</v>
      </c>
      <c r="D5346" s="5" t="s">
        <v>78</v>
      </c>
      <c r="E5346" s="5">
        <v>2021</v>
      </c>
      <c r="F5346" s="5">
        <v>8</v>
      </c>
      <c r="G5346" s="5" t="s">
        <v>29</v>
      </c>
      <c r="H5346" s="5">
        <v>3893786</v>
      </c>
      <c r="I5346" s="5">
        <v>3260283.17</v>
      </c>
      <c r="J5346" s="5">
        <v>49</v>
      </c>
      <c r="K5346" s="5">
        <v>374402</v>
      </c>
      <c r="L5346" s="5">
        <v>4261340</v>
      </c>
      <c r="M5346" s="5">
        <v>633502.82999999996</v>
      </c>
      <c r="N5346" s="5">
        <v>0.16270000000000001</v>
      </c>
      <c r="O5346" s="5">
        <v>8</v>
      </c>
      <c r="P5346" s="5">
        <v>237087</v>
      </c>
    </row>
    <row r="5347" spans="1:16" x14ac:dyDescent="0.3">
      <c r="A5347" s="5">
        <v>51</v>
      </c>
      <c r="B5347" s="5" t="s">
        <v>171</v>
      </c>
      <c r="C5347" s="5">
        <v>4</v>
      </c>
      <c r="D5347" s="5" t="s">
        <v>78</v>
      </c>
      <c r="E5347" s="5">
        <v>2021</v>
      </c>
      <c r="F5347" s="5">
        <v>9</v>
      </c>
      <c r="G5347" s="5" t="s">
        <v>30</v>
      </c>
      <c r="H5347" s="5">
        <v>1805132</v>
      </c>
      <c r="I5347" s="5">
        <v>1511163.2</v>
      </c>
      <c r="J5347" s="5">
        <v>34</v>
      </c>
      <c r="K5347" s="5">
        <v>179509</v>
      </c>
      <c r="L5347" s="5">
        <v>1975240</v>
      </c>
      <c r="M5347" s="5">
        <v>293968.8</v>
      </c>
      <c r="N5347" s="5">
        <v>0.16289999999999999</v>
      </c>
      <c r="O5347" s="5">
        <v>4</v>
      </c>
      <c r="P5347" s="5">
        <v>36232</v>
      </c>
    </row>
    <row r="5348" spans="1:16" x14ac:dyDescent="0.3">
      <c r="A5348" s="5">
        <v>69</v>
      </c>
      <c r="B5348" s="5" t="s">
        <v>171</v>
      </c>
      <c r="C5348" s="5">
        <v>4</v>
      </c>
      <c r="D5348" s="5" t="s">
        <v>78</v>
      </c>
      <c r="E5348" s="5">
        <v>2021</v>
      </c>
      <c r="F5348" s="5">
        <v>9</v>
      </c>
      <c r="G5348" s="5" t="s">
        <v>30</v>
      </c>
      <c r="H5348" s="5">
        <v>2253242</v>
      </c>
      <c r="I5348" s="5">
        <v>1909177.57</v>
      </c>
      <c r="J5348" s="5">
        <v>38</v>
      </c>
      <c r="K5348" s="5">
        <v>252886</v>
      </c>
      <c r="L5348" s="5">
        <v>2500440</v>
      </c>
      <c r="M5348" s="5">
        <v>344064.43</v>
      </c>
      <c r="N5348" s="5">
        <v>0.1527</v>
      </c>
      <c r="O5348" s="5">
        <v>3</v>
      </c>
      <c r="P5348" s="5">
        <v>6077</v>
      </c>
    </row>
    <row r="5349" spans="1:16" x14ac:dyDescent="0.3">
      <c r="A5349" s="5">
        <v>51</v>
      </c>
      <c r="B5349" s="5" t="s">
        <v>171</v>
      </c>
      <c r="C5349" s="5">
        <v>4</v>
      </c>
      <c r="D5349" s="5" t="s">
        <v>78</v>
      </c>
      <c r="E5349" s="5">
        <v>2021</v>
      </c>
      <c r="F5349" s="5">
        <v>10</v>
      </c>
      <c r="G5349" s="5" t="s">
        <v>31</v>
      </c>
      <c r="H5349" s="5">
        <v>2292185</v>
      </c>
      <c r="I5349" s="5">
        <v>1948623.27</v>
      </c>
      <c r="J5349" s="5">
        <v>41</v>
      </c>
      <c r="K5349" s="5">
        <v>218831</v>
      </c>
      <c r="L5349" s="5">
        <v>2502700</v>
      </c>
      <c r="M5349" s="5">
        <v>343561.73</v>
      </c>
      <c r="N5349" s="5">
        <v>0.14990000000000001</v>
      </c>
      <c r="O5349" s="5">
        <v>2</v>
      </c>
      <c r="P5349" s="5">
        <v>19552</v>
      </c>
    </row>
    <row r="5350" spans="1:16" x14ac:dyDescent="0.3">
      <c r="A5350" s="5">
        <v>69</v>
      </c>
      <c r="B5350" s="5" t="s">
        <v>171</v>
      </c>
      <c r="C5350" s="5">
        <v>4</v>
      </c>
      <c r="D5350" s="5" t="s">
        <v>78</v>
      </c>
      <c r="E5350" s="5">
        <v>2021</v>
      </c>
      <c r="F5350" s="5">
        <v>10</v>
      </c>
      <c r="G5350" s="5" t="s">
        <v>31</v>
      </c>
      <c r="H5350" s="5">
        <v>2976043</v>
      </c>
      <c r="I5350" s="5">
        <v>2487493.52</v>
      </c>
      <c r="J5350" s="5">
        <v>59</v>
      </c>
      <c r="K5350" s="5">
        <v>281985</v>
      </c>
      <c r="L5350" s="5">
        <v>3250390</v>
      </c>
      <c r="M5350" s="5">
        <v>488549.48</v>
      </c>
      <c r="N5350" s="5">
        <v>0.16420000000000001</v>
      </c>
      <c r="O5350" s="5">
        <v>3</v>
      </c>
      <c r="P5350" s="5">
        <v>135653</v>
      </c>
    </row>
    <row r="5351" spans="1:16" x14ac:dyDescent="0.3">
      <c r="A5351" s="5">
        <v>51</v>
      </c>
      <c r="B5351" s="5" t="s">
        <v>171</v>
      </c>
      <c r="C5351" s="5">
        <v>4</v>
      </c>
      <c r="D5351" s="5" t="s">
        <v>78</v>
      </c>
      <c r="E5351" s="5">
        <v>2021</v>
      </c>
      <c r="F5351" s="5">
        <v>11</v>
      </c>
      <c r="G5351" s="5" t="s">
        <v>32</v>
      </c>
      <c r="H5351" s="5">
        <v>1801559</v>
      </c>
      <c r="I5351" s="5">
        <v>1473846.08</v>
      </c>
      <c r="J5351" s="5">
        <v>44</v>
      </c>
      <c r="K5351" s="5">
        <v>146748</v>
      </c>
      <c r="L5351" s="5">
        <v>1947310</v>
      </c>
      <c r="M5351" s="5">
        <v>327712.92</v>
      </c>
      <c r="N5351" s="5">
        <v>0.18190000000000001</v>
      </c>
      <c r="O5351" s="5">
        <v>3</v>
      </c>
      <c r="P5351" s="5">
        <v>3605</v>
      </c>
    </row>
    <row r="5352" spans="1:16" x14ac:dyDescent="0.3">
      <c r="A5352" s="5">
        <v>69</v>
      </c>
      <c r="B5352" s="5" t="s">
        <v>171</v>
      </c>
      <c r="C5352" s="5">
        <v>4</v>
      </c>
      <c r="D5352" s="5" t="s">
        <v>78</v>
      </c>
      <c r="E5352" s="5">
        <v>2021</v>
      </c>
      <c r="F5352" s="5">
        <v>11</v>
      </c>
      <c r="G5352" s="5" t="s">
        <v>32</v>
      </c>
      <c r="H5352" s="5">
        <v>2475216</v>
      </c>
      <c r="I5352" s="5">
        <v>1975080</v>
      </c>
      <c r="J5352" s="5">
        <v>49</v>
      </c>
      <c r="K5352" s="5">
        <v>119181</v>
      </c>
      <c r="L5352" s="5">
        <v>2589540</v>
      </c>
      <c r="M5352" s="5">
        <v>500136</v>
      </c>
      <c r="N5352" s="5">
        <v>0.2021</v>
      </c>
      <c r="O5352" s="5">
        <v>9</v>
      </c>
      <c r="P5352" s="5">
        <v>88467</v>
      </c>
    </row>
    <row r="5353" spans="1:16" x14ac:dyDescent="0.3">
      <c r="A5353" s="5">
        <v>51</v>
      </c>
      <c r="B5353" s="5" t="s">
        <v>171</v>
      </c>
      <c r="C5353" s="5">
        <v>4</v>
      </c>
      <c r="D5353" s="5" t="s">
        <v>78</v>
      </c>
      <c r="E5353" s="5">
        <v>2021</v>
      </c>
      <c r="F5353" s="5">
        <v>12</v>
      </c>
      <c r="G5353" s="5" t="s">
        <v>33</v>
      </c>
      <c r="H5353" s="5">
        <v>3487140</v>
      </c>
      <c r="I5353" s="5">
        <v>2863773.52</v>
      </c>
      <c r="J5353" s="5">
        <v>43</v>
      </c>
      <c r="K5353" s="5">
        <v>256235</v>
      </c>
      <c r="L5353" s="5">
        <v>3729480</v>
      </c>
      <c r="M5353" s="5">
        <v>623366.48</v>
      </c>
      <c r="N5353" s="5">
        <v>0.17879999999999999</v>
      </c>
      <c r="O5353" s="5">
        <v>3</v>
      </c>
      <c r="P5353" s="5">
        <v>22574</v>
      </c>
    </row>
    <row r="5354" spans="1:16" x14ac:dyDescent="0.3">
      <c r="A5354" s="5">
        <v>69</v>
      </c>
      <c r="B5354" s="5" t="s">
        <v>171</v>
      </c>
      <c r="C5354" s="5">
        <v>4</v>
      </c>
      <c r="D5354" s="5" t="s">
        <v>78</v>
      </c>
      <c r="E5354" s="5">
        <v>2021</v>
      </c>
      <c r="F5354" s="5">
        <v>12</v>
      </c>
      <c r="G5354" s="5" t="s">
        <v>33</v>
      </c>
      <c r="H5354" s="5">
        <v>4498523</v>
      </c>
      <c r="I5354" s="5">
        <v>3757714.5</v>
      </c>
      <c r="J5354" s="5">
        <v>48</v>
      </c>
      <c r="K5354" s="5">
        <v>350148</v>
      </c>
      <c r="L5354" s="5">
        <v>4840970</v>
      </c>
      <c r="M5354" s="5">
        <v>740808.5</v>
      </c>
      <c r="N5354" s="5">
        <v>0.16470000000000001</v>
      </c>
      <c r="O5354" s="5">
        <v>2</v>
      </c>
      <c r="P5354" s="5">
        <v>56520</v>
      </c>
    </row>
    <row r="5355" spans="1:16" x14ac:dyDescent="0.3">
      <c r="A5355" s="5">
        <v>51</v>
      </c>
      <c r="B5355" s="5" t="s">
        <v>171</v>
      </c>
      <c r="C5355" s="5">
        <v>4</v>
      </c>
      <c r="D5355" s="5" t="s">
        <v>78</v>
      </c>
      <c r="E5355" s="5">
        <v>2022</v>
      </c>
      <c r="F5355" s="5">
        <v>1</v>
      </c>
      <c r="G5355" s="5" t="s">
        <v>34</v>
      </c>
      <c r="H5355" s="5">
        <v>3115978</v>
      </c>
      <c r="I5355" s="5">
        <v>2565169.39</v>
      </c>
      <c r="J5355" s="5">
        <v>41</v>
      </c>
      <c r="K5355" s="5">
        <v>223836</v>
      </c>
      <c r="L5355" s="5">
        <v>3336500</v>
      </c>
      <c r="M5355" s="5">
        <v>550808.61</v>
      </c>
      <c r="N5355" s="5">
        <v>0.17680000000000001</v>
      </c>
      <c r="O5355" s="5">
        <v>11</v>
      </c>
      <c r="P5355" s="5">
        <v>230620</v>
      </c>
    </row>
    <row r="5356" spans="1:16" x14ac:dyDescent="0.3">
      <c r="A5356" s="5">
        <v>69</v>
      </c>
      <c r="B5356" s="5" t="s">
        <v>171</v>
      </c>
      <c r="C5356" s="5">
        <v>4</v>
      </c>
      <c r="D5356" s="5" t="s">
        <v>78</v>
      </c>
      <c r="E5356" s="5">
        <v>2022</v>
      </c>
      <c r="F5356" s="5">
        <v>1</v>
      </c>
      <c r="G5356" s="5" t="s">
        <v>34</v>
      </c>
      <c r="H5356" s="5">
        <v>3046417</v>
      </c>
      <c r="I5356" s="5">
        <v>2611901.62</v>
      </c>
      <c r="J5356" s="5">
        <v>39</v>
      </c>
      <c r="K5356" s="5">
        <v>275929</v>
      </c>
      <c r="L5356" s="5">
        <v>3312780</v>
      </c>
      <c r="M5356" s="5">
        <v>434515.38</v>
      </c>
      <c r="N5356" s="5">
        <v>0.1426</v>
      </c>
      <c r="O5356" s="5">
        <v>4</v>
      </c>
      <c r="P5356" s="5">
        <v>128316</v>
      </c>
    </row>
    <row r="5357" spans="1:16" x14ac:dyDescent="0.3">
      <c r="A5357" s="5">
        <v>51</v>
      </c>
      <c r="B5357" s="5" t="s">
        <v>171</v>
      </c>
      <c r="C5357" s="5">
        <v>4</v>
      </c>
      <c r="D5357" s="5" t="s">
        <v>78</v>
      </c>
      <c r="E5357" s="5">
        <v>2022</v>
      </c>
      <c r="F5357" s="5">
        <v>2</v>
      </c>
      <c r="G5357" s="5" t="s">
        <v>35</v>
      </c>
      <c r="H5357" s="5">
        <v>1558173</v>
      </c>
      <c r="I5357" s="5">
        <v>1297165.7</v>
      </c>
      <c r="J5357" s="5">
        <v>31</v>
      </c>
      <c r="K5357" s="5">
        <v>86614</v>
      </c>
      <c r="L5357" s="5">
        <v>1642440</v>
      </c>
      <c r="M5357" s="5">
        <v>261007.3</v>
      </c>
      <c r="N5357" s="5">
        <v>0.16750000000000001</v>
      </c>
      <c r="O5357" s="5">
        <v>1</v>
      </c>
      <c r="P5357" s="5">
        <v>64725</v>
      </c>
    </row>
    <row r="5358" spans="1:16" x14ac:dyDescent="0.3">
      <c r="A5358" s="5">
        <v>69</v>
      </c>
      <c r="B5358" s="5" t="s">
        <v>171</v>
      </c>
      <c r="C5358" s="5">
        <v>4</v>
      </c>
      <c r="D5358" s="5" t="s">
        <v>78</v>
      </c>
      <c r="E5358" s="5">
        <v>2022</v>
      </c>
      <c r="F5358" s="5">
        <v>2</v>
      </c>
      <c r="G5358" s="5" t="s">
        <v>35</v>
      </c>
      <c r="H5358" s="5">
        <v>2382643</v>
      </c>
      <c r="I5358" s="5">
        <v>1989820.14</v>
      </c>
      <c r="J5358" s="5">
        <v>39</v>
      </c>
      <c r="K5358" s="5">
        <v>139185</v>
      </c>
      <c r="L5358" s="5">
        <v>2517840</v>
      </c>
      <c r="M5358" s="5">
        <v>392822.86</v>
      </c>
      <c r="N5358" s="5">
        <v>0.16489999999999999</v>
      </c>
      <c r="O5358" s="5">
        <v>1</v>
      </c>
      <c r="P5358" s="5">
        <v>3382</v>
      </c>
    </row>
    <row r="5359" spans="1:16" x14ac:dyDescent="0.3">
      <c r="A5359" s="5">
        <v>51</v>
      </c>
      <c r="B5359" s="5" t="s">
        <v>171</v>
      </c>
      <c r="C5359" s="5">
        <v>4</v>
      </c>
      <c r="D5359" s="5" t="s">
        <v>78</v>
      </c>
      <c r="E5359" s="5">
        <v>2022</v>
      </c>
      <c r="F5359" s="5">
        <v>3</v>
      </c>
      <c r="G5359" s="5" t="s">
        <v>36</v>
      </c>
      <c r="H5359" s="5">
        <v>2601133</v>
      </c>
      <c r="I5359" s="5">
        <v>2163166.12</v>
      </c>
      <c r="J5359" s="5">
        <v>35</v>
      </c>
      <c r="K5359" s="5">
        <v>128844</v>
      </c>
      <c r="L5359" s="5">
        <v>2715850</v>
      </c>
      <c r="M5359" s="5">
        <v>437966.88</v>
      </c>
      <c r="N5359" s="5">
        <v>0.16839999999999999</v>
      </c>
      <c r="O5359" s="5">
        <v>4</v>
      </c>
      <c r="P5359" s="5">
        <v>91298</v>
      </c>
    </row>
    <row r="5360" spans="1:16" x14ac:dyDescent="0.3">
      <c r="A5360" s="5">
        <v>69</v>
      </c>
      <c r="B5360" s="5" t="s">
        <v>171</v>
      </c>
      <c r="C5360" s="5">
        <v>4</v>
      </c>
      <c r="D5360" s="5" t="s">
        <v>78</v>
      </c>
      <c r="E5360" s="5">
        <v>2022</v>
      </c>
      <c r="F5360" s="5">
        <v>3</v>
      </c>
      <c r="G5360" s="5" t="s">
        <v>36</v>
      </c>
      <c r="H5360" s="5">
        <v>2409702</v>
      </c>
      <c r="I5360" s="5">
        <v>1963375.32</v>
      </c>
      <c r="J5360" s="5">
        <v>42</v>
      </c>
      <c r="K5360" s="5">
        <v>146605</v>
      </c>
      <c r="L5360" s="5">
        <v>2540830</v>
      </c>
      <c r="M5360" s="5">
        <v>446326.68</v>
      </c>
      <c r="N5360" s="5">
        <v>0.1852</v>
      </c>
      <c r="O5360" s="5">
        <v>1</v>
      </c>
      <c r="P5360" s="5">
        <v>22086</v>
      </c>
    </row>
    <row r="5361" spans="1:16" x14ac:dyDescent="0.3">
      <c r="A5361" s="5">
        <v>51</v>
      </c>
      <c r="B5361" s="5" t="s">
        <v>171</v>
      </c>
      <c r="C5361" s="5">
        <v>4</v>
      </c>
      <c r="D5361" s="5" t="s">
        <v>78</v>
      </c>
      <c r="E5361" s="5">
        <v>2022</v>
      </c>
      <c r="F5361" s="5">
        <v>4</v>
      </c>
      <c r="G5361" s="5" t="s">
        <v>37</v>
      </c>
      <c r="H5361" s="5">
        <v>2296564</v>
      </c>
      <c r="I5361" s="5">
        <v>1977679.95</v>
      </c>
      <c r="J5361" s="5">
        <v>45</v>
      </c>
      <c r="K5361" s="5">
        <v>342161</v>
      </c>
      <c r="L5361" s="5">
        <v>2635060</v>
      </c>
      <c r="M5361" s="5">
        <v>318884.05</v>
      </c>
      <c r="N5361" s="5">
        <v>0.1389</v>
      </c>
      <c r="O5361" s="5">
        <v>5</v>
      </c>
      <c r="P5361" s="5">
        <v>54092</v>
      </c>
    </row>
    <row r="5362" spans="1:16" x14ac:dyDescent="0.3">
      <c r="A5362" s="5">
        <v>69</v>
      </c>
      <c r="B5362" s="5" t="s">
        <v>171</v>
      </c>
      <c r="C5362" s="5">
        <v>4</v>
      </c>
      <c r="D5362" s="5" t="s">
        <v>78</v>
      </c>
      <c r="E5362" s="5">
        <v>2022</v>
      </c>
      <c r="F5362" s="5">
        <v>4</v>
      </c>
      <c r="G5362" s="5" t="s">
        <v>37</v>
      </c>
      <c r="H5362" s="5">
        <v>3464196</v>
      </c>
      <c r="I5362" s="5">
        <v>2943443.74</v>
      </c>
      <c r="J5362" s="5">
        <v>49</v>
      </c>
      <c r="K5362" s="5">
        <v>351222</v>
      </c>
      <c r="L5362" s="5">
        <v>3804310</v>
      </c>
      <c r="M5362" s="5">
        <v>520752.26</v>
      </c>
      <c r="N5362" s="5">
        <v>0.15029999999999999</v>
      </c>
      <c r="O5362" s="5">
        <v>7</v>
      </c>
      <c r="P5362" s="5">
        <v>142709</v>
      </c>
    </row>
    <row r="5363" spans="1:16" x14ac:dyDescent="0.3">
      <c r="A5363" s="5">
        <v>51</v>
      </c>
      <c r="B5363" s="5" t="s">
        <v>171</v>
      </c>
      <c r="C5363" s="5">
        <v>4</v>
      </c>
      <c r="D5363" s="5" t="s">
        <v>78</v>
      </c>
      <c r="E5363" s="5">
        <v>2022</v>
      </c>
      <c r="F5363" s="5">
        <v>5</v>
      </c>
      <c r="G5363" s="5" t="s">
        <v>38</v>
      </c>
      <c r="H5363" s="5">
        <v>3075270</v>
      </c>
      <c r="I5363" s="5">
        <v>2595911.31</v>
      </c>
      <c r="J5363" s="5">
        <v>47</v>
      </c>
      <c r="K5363" s="5">
        <v>336809</v>
      </c>
      <c r="L5363" s="5">
        <v>3403220</v>
      </c>
      <c r="M5363" s="5">
        <v>479358.69</v>
      </c>
      <c r="N5363" s="5">
        <v>0.15590000000000001</v>
      </c>
      <c r="O5363" s="5">
        <v>3</v>
      </c>
      <c r="P5363" s="5">
        <v>69239</v>
      </c>
    </row>
    <row r="5364" spans="1:16" x14ac:dyDescent="0.3">
      <c r="A5364" s="5">
        <v>69</v>
      </c>
      <c r="B5364" s="5" t="s">
        <v>171</v>
      </c>
      <c r="C5364" s="5">
        <v>4</v>
      </c>
      <c r="D5364" s="5" t="s">
        <v>78</v>
      </c>
      <c r="E5364" s="5">
        <v>2022</v>
      </c>
      <c r="F5364" s="5">
        <v>5</v>
      </c>
      <c r="G5364" s="5" t="s">
        <v>38</v>
      </c>
      <c r="H5364" s="5">
        <v>2971217</v>
      </c>
      <c r="I5364" s="5">
        <v>2636939.25</v>
      </c>
      <c r="J5364" s="5">
        <v>64</v>
      </c>
      <c r="K5364" s="5">
        <v>387029</v>
      </c>
      <c r="L5364" s="5">
        <v>3348530</v>
      </c>
      <c r="M5364" s="5">
        <v>334277.75</v>
      </c>
      <c r="N5364" s="5">
        <v>0.1125</v>
      </c>
      <c r="O5364" s="5">
        <v>5</v>
      </c>
      <c r="P5364" s="5">
        <v>113085</v>
      </c>
    </row>
    <row r="5365" spans="1:16" x14ac:dyDescent="0.3">
      <c r="A5365" s="5">
        <v>51</v>
      </c>
      <c r="B5365" s="5" t="s">
        <v>171</v>
      </c>
      <c r="C5365" s="5">
        <v>4</v>
      </c>
      <c r="D5365" s="5" t="s">
        <v>78</v>
      </c>
      <c r="E5365" s="5">
        <v>2022</v>
      </c>
      <c r="F5365" s="5">
        <v>6</v>
      </c>
      <c r="G5365" s="5" t="s">
        <v>39</v>
      </c>
      <c r="H5365" s="5">
        <v>2148330</v>
      </c>
      <c r="I5365" s="5">
        <v>1840865.96</v>
      </c>
      <c r="J5365" s="5">
        <v>40</v>
      </c>
      <c r="K5365" s="5">
        <v>259854</v>
      </c>
      <c r="L5365" s="5">
        <v>2401930</v>
      </c>
      <c r="M5365" s="5">
        <v>307464.03999999998</v>
      </c>
      <c r="N5365" s="5">
        <v>0.1431</v>
      </c>
      <c r="O5365" s="5">
        <v>3</v>
      </c>
      <c r="P5365" s="5">
        <v>131400</v>
      </c>
    </row>
    <row r="5366" spans="1:16" x14ac:dyDescent="0.3">
      <c r="A5366" s="5">
        <v>69</v>
      </c>
      <c r="B5366" s="5" t="s">
        <v>171</v>
      </c>
      <c r="C5366" s="5">
        <v>4</v>
      </c>
      <c r="D5366" s="5" t="s">
        <v>78</v>
      </c>
      <c r="E5366" s="5">
        <v>2022</v>
      </c>
      <c r="F5366" s="5">
        <v>6</v>
      </c>
      <c r="G5366" s="5" t="s">
        <v>39</v>
      </c>
      <c r="H5366" s="5">
        <v>4041649</v>
      </c>
      <c r="I5366" s="5">
        <v>3535092.88</v>
      </c>
      <c r="J5366" s="5">
        <v>60</v>
      </c>
      <c r="K5366" s="5">
        <v>528383</v>
      </c>
      <c r="L5366" s="5">
        <v>4554220</v>
      </c>
      <c r="M5366" s="5">
        <v>506556.12</v>
      </c>
      <c r="N5366" s="5">
        <v>0.12529999999999999</v>
      </c>
      <c r="O5366" s="5">
        <v>8</v>
      </c>
      <c r="P5366" s="5">
        <v>113054</v>
      </c>
    </row>
    <row r="5367" spans="1:16" x14ac:dyDescent="0.3">
      <c r="A5367" s="5">
        <v>51</v>
      </c>
      <c r="B5367" s="5" t="s">
        <v>171</v>
      </c>
      <c r="C5367" s="5">
        <v>4</v>
      </c>
      <c r="D5367" s="5" t="s">
        <v>78</v>
      </c>
      <c r="E5367" s="5">
        <v>2022</v>
      </c>
      <c r="F5367" s="5">
        <v>7</v>
      </c>
      <c r="G5367" s="5" t="s">
        <v>40</v>
      </c>
      <c r="H5367" s="5">
        <v>3286368</v>
      </c>
      <c r="I5367" s="5">
        <v>3079833.29</v>
      </c>
      <c r="J5367" s="5">
        <v>48</v>
      </c>
      <c r="K5367" s="5">
        <v>703346</v>
      </c>
      <c r="L5367" s="5">
        <v>3982680</v>
      </c>
      <c r="M5367" s="5">
        <v>206534.71</v>
      </c>
      <c r="N5367" s="5">
        <v>6.2799999999999995E-2</v>
      </c>
      <c r="O5367" s="5">
        <v>5</v>
      </c>
      <c r="P5367" s="5">
        <v>121629</v>
      </c>
    </row>
    <row r="5368" spans="1:16" x14ac:dyDescent="0.3">
      <c r="A5368" s="5">
        <v>69</v>
      </c>
      <c r="B5368" s="5" t="s">
        <v>171</v>
      </c>
      <c r="C5368" s="5">
        <v>4</v>
      </c>
      <c r="D5368" s="5" t="s">
        <v>78</v>
      </c>
      <c r="E5368" s="5">
        <v>2022</v>
      </c>
      <c r="F5368" s="5">
        <v>7</v>
      </c>
      <c r="G5368" s="5" t="s">
        <v>40</v>
      </c>
      <c r="H5368" s="5">
        <v>4210945</v>
      </c>
      <c r="I5368" s="5">
        <v>3603972.07</v>
      </c>
      <c r="J5368" s="5">
        <v>58</v>
      </c>
      <c r="K5368" s="5">
        <v>493277</v>
      </c>
      <c r="L5368" s="5">
        <v>4690400</v>
      </c>
      <c r="M5368" s="5">
        <v>606972.93000000005</v>
      </c>
      <c r="N5368" s="5">
        <v>0.14410000000000001</v>
      </c>
      <c r="O5368" s="5">
        <v>5</v>
      </c>
      <c r="P5368" s="5">
        <v>23407</v>
      </c>
    </row>
    <row r="5369" spans="1:16" x14ac:dyDescent="0.3">
      <c r="A5369" s="5">
        <v>51</v>
      </c>
      <c r="B5369" s="5" t="s">
        <v>171</v>
      </c>
      <c r="C5369" s="5">
        <v>4</v>
      </c>
      <c r="D5369" s="5" t="s">
        <v>78</v>
      </c>
      <c r="E5369" s="5">
        <v>2022</v>
      </c>
      <c r="F5369" s="5">
        <v>8</v>
      </c>
      <c r="G5369" s="5" t="s">
        <v>41</v>
      </c>
      <c r="H5369" s="5">
        <v>2598762</v>
      </c>
      <c r="I5369" s="5">
        <v>2458303.17</v>
      </c>
      <c r="J5369" s="5">
        <v>41</v>
      </c>
      <c r="K5369" s="5">
        <v>553312</v>
      </c>
      <c r="L5369" s="5">
        <v>3145260</v>
      </c>
      <c r="M5369" s="5">
        <v>140458.82999999999</v>
      </c>
      <c r="N5369" s="5">
        <v>5.3999999999999999E-2</v>
      </c>
      <c r="O5369" s="5">
        <v>2</v>
      </c>
      <c r="P5369" s="5">
        <v>37553</v>
      </c>
    </row>
    <row r="5370" spans="1:16" x14ac:dyDescent="0.3">
      <c r="A5370" s="5">
        <v>69</v>
      </c>
      <c r="B5370" s="5" t="s">
        <v>171</v>
      </c>
      <c r="C5370" s="5">
        <v>4</v>
      </c>
      <c r="D5370" s="5" t="s">
        <v>78</v>
      </c>
      <c r="E5370" s="5">
        <v>2022</v>
      </c>
      <c r="F5370" s="5">
        <v>8</v>
      </c>
      <c r="G5370" s="5" t="s">
        <v>41</v>
      </c>
      <c r="H5370" s="5">
        <v>3205060</v>
      </c>
      <c r="I5370" s="5">
        <v>3110014.06</v>
      </c>
      <c r="J5370" s="5">
        <v>48</v>
      </c>
      <c r="K5370" s="5">
        <v>853174</v>
      </c>
      <c r="L5370" s="5">
        <v>4048650</v>
      </c>
      <c r="M5370" s="5">
        <v>95045.94</v>
      </c>
      <c r="N5370" s="5">
        <v>2.9700000000000001E-2</v>
      </c>
      <c r="O5370" s="5">
        <v>6</v>
      </c>
      <c r="P5370" s="5">
        <v>20344</v>
      </c>
    </row>
    <row r="5371" spans="1:16" x14ac:dyDescent="0.3">
      <c r="A5371" s="5">
        <v>51</v>
      </c>
      <c r="B5371" s="5" t="s">
        <v>171</v>
      </c>
      <c r="C5371" s="5">
        <v>4</v>
      </c>
      <c r="D5371" s="5" t="s">
        <v>78</v>
      </c>
      <c r="E5371" s="5">
        <v>2022</v>
      </c>
      <c r="F5371" s="5">
        <v>9</v>
      </c>
      <c r="G5371" s="5" t="s">
        <v>42</v>
      </c>
      <c r="H5371" s="5">
        <v>3339402</v>
      </c>
      <c r="I5371" s="5">
        <v>2930486.56</v>
      </c>
      <c r="J5371" s="5">
        <v>41</v>
      </c>
      <c r="K5371" s="5">
        <v>359986</v>
      </c>
      <c r="L5371" s="5">
        <v>3691140</v>
      </c>
      <c r="M5371" s="5">
        <v>408915.44</v>
      </c>
      <c r="N5371" s="5">
        <v>0.1225</v>
      </c>
      <c r="O5371" s="5">
        <v>6</v>
      </c>
      <c r="P5371" s="5">
        <v>251329</v>
      </c>
    </row>
    <row r="5372" spans="1:16" x14ac:dyDescent="0.3">
      <c r="A5372" s="5">
        <v>69</v>
      </c>
      <c r="B5372" s="5" t="s">
        <v>171</v>
      </c>
      <c r="C5372" s="5">
        <v>4</v>
      </c>
      <c r="D5372" s="5" t="s">
        <v>78</v>
      </c>
      <c r="E5372" s="5">
        <v>2022</v>
      </c>
      <c r="F5372" s="5">
        <v>9</v>
      </c>
      <c r="G5372" s="5" t="s">
        <v>42</v>
      </c>
      <c r="H5372" s="5">
        <v>4118242</v>
      </c>
      <c r="I5372" s="5">
        <v>3541133.62</v>
      </c>
      <c r="J5372" s="5">
        <v>53</v>
      </c>
      <c r="K5372" s="5">
        <v>426339</v>
      </c>
      <c r="L5372" s="5">
        <v>4525390</v>
      </c>
      <c r="M5372" s="5">
        <v>577108.38</v>
      </c>
      <c r="N5372" s="5">
        <v>0.1401</v>
      </c>
      <c r="O5372" s="5">
        <v>0</v>
      </c>
      <c r="P5372" s="5">
        <v>0</v>
      </c>
    </row>
    <row r="5373" spans="1:16" x14ac:dyDescent="0.3">
      <c r="A5373" s="5">
        <v>51</v>
      </c>
      <c r="B5373" s="5" t="s">
        <v>171</v>
      </c>
      <c r="C5373" s="5">
        <v>4</v>
      </c>
      <c r="D5373" s="5" t="s">
        <v>78</v>
      </c>
      <c r="E5373" s="5">
        <v>2022</v>
      </c>
      <c r="F5373" s="5">
        <v>10</v>
      </c>
      <c r="G5373" s="5" t="s">
        <v>43</v>
      </c>
      <c r="H5373" s="5">
        <v>3442246</v>
      </c>
      <c r="I5373" s="5">
        <v>2968320.84</v>
      </c>
      <c r="J5373" s="5">
        <v>63</v>
      </c>
      <c r="K5373" s="5">
        <v>453062</v>
      </c>
      <c r="L5373" s="5">
        <v>3873740</v>
      </c>
      <c r="M5373" s="5">
        <v>473925.16</v>
      </c>
      <c r="N5373" s="5">
        <v>0.13769999999999999</v>
      </c>
      <c r="O5373" s="5">
        <v>3</v>
      </c>
      <c r="P5373" s="5">
        <v>55717</v>
      </c>
    </row>
    <row r="5374" spans="1:16" x14ac:dyDescent="0.3">
      <c r="A5374" s="5">
        <v>69</v>
      </c>
      <c r="B5374" s="5" t="s">
        <v>171</v>
      </c>
      <c r="C5374" s="5">
        <v>4</v>
      </c>
      <c r="D5374" s="5" t="s">
        <v>78</v>
      </c>
      <c r="E5374" s="5">
        <v>2022</v>
      </c>
      <c r="F5374" s="5">
        <v>10</v>
      </c>
      <c r="G5374" s="5" t="s">
        <v>43</v>
      </c>
      <c r="H5374" s="5">
        <v>3873764</v>
      </c>
      <c r="I5374" s="5">
        <v>3533198.25</v>
      </c>
      <c r="J5374" s="5">
        <v>75</v>
      </c>
      <c r="K5374" s="5">
        <v>729760</v>
      </c>
      <c r="L5374" s="5">
        <v>4591730</v>
      </c>
      <c r="M5374" s="5">
        <v>340565.75</v>
      </c>
      <c r="N5374" s="5">
        <v>8.7900000000000006E-2</v>
      </c>
      <c r="O5374" s="5">
        <v>7</v>
      </c>
      <c r="P5374" s="5">
        <v>116472</v>
      </c>
    </row>
    <row r="5375" spans="1:16" x14ac:dyDescent="0.3">
      <c r="A5375" s="5">
        <v>51</v>
      </c>
      <c r="B5375" s="5" t="s">
        <v>171</v>
      </c>
      <c r="C5375" s="5">
        <v>4</v>
      </c>
      <c r="D5375" s="5" t="s">
        <v>78</v>
      </c>
      <c r="E5375" s="5">
        <v>2022</v>
      </c>
      <c r="F5375" s="5">
        <v>11</v>
      </c>
      <c r="G5375" s="5" t="s">
        <v>44</v>
      </c>
      <c r="H5375" s="5">
        <v>3361868</v>
      </c>
      <c r="I5375" s="5">
        <v>2815755.86</v>
      </c>
      <c r="J5375" s="5">
        <v>60</v>
      </c>
      <c r="K5375" s="5">
        <v>431930</v>
      </c>
      <c r="L5375" s="5">
        <v>3789380</v>
      </c>
      <c r="M5375" s="5">
        <v>546112.14</v>
      </c>
      <c r="N5375" s="5">
        <v>0.16239999999999999</v>
      </c>
      <c r="O5375" s="5">
        <v>9</v>
      </c>
      <c r="P5375" s="5">
        <v>97778</v>
      </c>
    </row>
    <row r="5376" spans="1:16" x14ac:dyDescent="0.3">
      <c r="A5376" s="5">
        <v>69</v>
      </c>
      <c r="B5376" s="5" t="s">
        <v>171</v>
      </c>
      <c r="C5376" s="5">
        <v>4</v>
      </c>
      <c r="D5376" s="5" t="s">
        <v>78</v>
      </c>
      <c r="E5376" s="5">
        <v>2022</v>
      </c>
      <c r="F5376" s="5">
        <v>11</v>
      </c>
      <c r="G5376" s="5" t="s">
        <v>44</v>
      </c>
      <c r="H5376" s="5">
        <v>3663043</v>
      </c>
      <c r="I5376" s="5">
        <v>3182574.19</v>
      </c>
      <c r="J5376" s="5">
        <v>73</v>
      </c>
      <c r="K5376" s="5">
        <v>464843</v>
      </c>
      <c r="L5376" s="5">
        <v>4119110</v>
      </c>
      <c r="M5376" s="5">
        <v>480468.81</v>
      </c>
      <c r="N5376" s="5">
        <v>0.13120000000000001</v>
      </c>
      <c r="O5376" s="5">
        <v>3</v>
      </c>
      <c r="P5376" s="5">
        <v>17708</v>
      </c>
    </row>
    <row r="5377" spans="1:16" x14ac:dyDescent="0.3">
      <c r="A5377" s="5">
        <v>51</v>
      </c>
      <c r="B5377" s="5" t="s">
        <v>171</v>
      </c>
      <c r="C5377" s="5">
        <v>4</v>
      </c>
      <c r="D5377" s="5" t="s">
        <v>78</v>
      </c>
      <c r="E5377" s="5">
        <v>2022</v>
      </c>
      <c r="F5377" s="5">
        <v>12</v>
      </c>
      <c r="G5377" s="5" t="s">
        <v>45</v>
      </c>
      <c r="H5377" s="5">
        <v>3359969</v>
      </c>
      <c r="I5377" s="5">
        <v>2714610.02</v>
      </c>
      <c r="J5377" s="5">
        <v>52</v>
      </c>
      <c r="K5377" s="5">
        <v>201865</v>
      </c>
      <c r="L5377" s="5">
        <v>3543070</v>
      </c>
      <c r="M5377" s="5">
        <v>645358.98</v>
      </c>
      <c r="N5377" s="5">
        <v>0.19209999999999999</v>
      </c>
      <c r="O5377" s="5">
        <v>1</v>
      </c>
      <c r="P5377" s="5">
        <v>3058</v>
      </c>
    </row>
    <row r="5378" spans="1:16" x14ac:dyDescent="0.3">
      <c r="A5378" s="5">
        <v>69</v>
      </c>
      <c r="B5378" s="5" t="s">
        <v>171</v>
      </c>
      <c r="C5378" s="5">
        <v>4</v>
      </c>
      <c r="D5378" s="5" t="s">
        <v>78</v>
      </c>
      <c r="E5378" s="5">
        <v>2022</v>
      </c>
      <c r="F5378" s="5">
        <v>12</v>
      </c>
      <c r="G5378" s="5" t="s">
        <v>45</v>
      </c>
      <c r="H5378" s="5">
        <v>4441719</v>
      </c>
      <c r="I5378" s="5">
        <v>3722319.85</v>
      </c>
      <c r="J5378" s="5">
        <v>73</v>
      </c>
      <c r="K5378" s="5">
        <v>348324</v>
      </c>
      <c r="L5378" s="5">
        <v>4771430</v>
      </c>
      <c r="M5378" s="5">
        <v>719399.15</v>
      </c>
      <c r="N5378" s="5">
        <v>0.16200000000000001</v>
      </c>
      <c r="O5378" s="5">
        <v>5</v>
      </c>
      <c r="P5378" s="5">
        <v>29235</v>
      </c>
    </row>
    <row r="5379" spans="1:16" x14ac:dyDescent="0.3">
      <c r="A5379" s="5">
        <v>51</v>
      </c>
      <c r="B5379" s="5" t="s">
        <v>171</v>
      </c>
      <c r="C5379" s="5">
        <v>4</v>
      </c>
      <c r="D5379" s="5" t="s">
        <v>78</v>
      </c>
      <c r="E5379" s="5">
        <v>2023</v>
      </c>
      <c r="F5379" s="5">
        <v>1</v>
      </c>
      <c r="G5379" s="5" t="s">
        <v>46</v>
      </c>
      <c r="H5379" s="5">
        <v>2075706</v>
      </c>
      <c r="I5379" s="5">
        <v>1850520.89</v>
      </c>
      <c r="J5379" s="5">
        <v>44</v>
      </c>
      <c r="K5379" s="5">
        <v>338171</v>
      </c>
      <c r="L5379" s="5">
        <v>2411850</v>
      </c>
      <c r="M5379" s="5">
        <v>225185.11</v>
      </c>
      <c r="N5379" s="5">
        <v>0.1085</v>
      </c>
      <c r="O5379" s="5">
        <v>4</v>
      </c>
      <c r="P5379" s="5">
        <v>270681</v>
      </c>
    </row>
    <row r="5380" spans="1:16" x14ac:dyDescent="0.3">
      <c r="A5380" s="5">
        <v>69</v>
      </c>
      <c r="B5380" s="5" t="s">
        <v>171</v>
      </c>
      <c r="C5380" s="5">
        <v>4</v>
      </c>
      <c r="D5380" s="5" t="s">
        <v>78</v>
      </c>
      <c r="E5380" s="5">
        <v>2023</v>
      </c>
      <c r="F5380" s="5">
        <v>1</v>
      </c>
      <c r="G5380" s="5" t="s">
        <v>46</v>
      </c>
      <c r="H5380" s="5">
        <v>3689033</v>
      </c>
      <c r="I5380" s="5">
        <v>3257020.61</v>
      </c>
      <c r="J5380" s="5">
        <v>65</v>
      </c>
      <c r="K5380" s="5">
        <v>541579</v>
      </c>
      <c r="L5380" s="5">
        <v>4215270</v>
      </c>
      <c r="M5380" s="5">
        <v>432012.39</v>
      </c>
      <c r="N5380" s="5">
        <v>0.1171</v>
      </c>
      <c r="O5380" s="5">
        <v>9</v>
      </c>
      <c r="P5380" s="5">
        <v>541709</v>
      </c>
    </row>
    <row r="5381" spans="1:16" x14ac:dyDescent="0.3">
      <c r="A5381" s="5">
        <v>51</v>
      </c>
      <c r="B5381" s="5" t="s">
        <v>171</v>
      </c>
      <c r="C5381" s="5">
        <v>4</v>
      </c>
      <c r="D5381" s="5" t="s">
        <v>78</v>
      </c>
      <c r="E5381" s="5">
        <v>2023</v>
      </c>
      <c r="F5381" s="5">
        <v>2</v>
      </c>
      <c r="G5381" s="5" t="s">
        <v>47</v>
      </c>
      <c r="H5381" s="5">
        <v>2661789</v>
      </c>
      <c r="I5381" s="5">
        <v>2311866.9500000002</v>
      </c>
      <c r="J5381" s="5">
        <v>45</v>
      </c>
      <c r="K5381" s="5">
        <v>357841</v>
      </c>
      <c r="L5381" s="5">
        <v>3010270</v>
      </c>
      <c r="M5381" s="5">
        <v>349922.05</v>
      </c>
      <c r="N5381" s="5">
        <v>0.13150000000000001</v>
      </c>
      <c r="O5381" s="5">
        <v>6</v>
      </c>
      <c r="P5381" s="5">
        <v>312649</v>
      </c>
    </row>
    <row r="5382" spans="1:16" x14ac:dyDescent="0.3">
      <c r="A5382" s="5">
        <v>69</v>
      </c>
      <c r="B5382" s="5" t="s">
        <v>171</v>
      </c>
      <c r="C5382" s="5">
        <v>4</v>
      </c>
      <c r="D5382" s="5" t="s">
        <v>78</v>
      </c>
      <c r="E5382" s="5">
        <v>2023</v>
      </c>
      <c r="F5382" s="5">
        <v>2</v>
      </c>
      <c r="G5382" s="5" t="s">
        <v>47</v>
      </c>
      <c r="H5382" s="5">
        <v>4165795</v>
      </c>
      <c r="I5382" s="5">
        <v>3665260.25</v>
      </c>
      <c r="J5382" s="5">
        <v>55</v>
      </c>
      <c r="K5382" s="5">
        <v>506757</v>
      </c>
      <c r="L5382" s="5">
        <v>4660010</v>
      </c>
      <c r="M5382" s="5">
        <v>500534.75</v>
      </c>
      <c r="N5382" s="5">
        <v>0.1202</v>
      </c>
      <c r="O5382" s="5">
        <v>6</v>
      </c>
      <c r="P5382" s="5">
        <v>636305</v>
      </c>
    </row>
    <row r="5383" spans="1:16" x14ac:dyDescent="0.3">
      <c r="A5383" s="5">
        <v>51</v>
      </c>
      <c r="B5383" s="5" t="s">
        <v>171</v>
      </c>
      <c r="C5383" s="5">
        <v>4</v>
      </c>
      <c r="D5383" s="5" t="s">
        <v>78</v>
      </c>
      <c r="E5383" s="5">
        <v>2023</v>
      </c>
      <c r="F5383" s="5">
        <v>3</v>
      </c>
      <c r="G5383" s="5" t="s">
        <v>48</v>
      </c>
      <c r="H5383" s="5">
        <v>4091992</v>
      </c>
      <c r="I5383" s="5">
        <v>3660291.68</v>
      </c>
      <c r="J5383" s="5">
        <v>52</v>
      </c>
      <c r="K5383" s="5">
        <v>612648</v>
      </c>
      <c r="L5383" s="5">
        <v>4693470</v>
      </c>
      <c r="M5383" s="5">
        <v>431700.32</v>
      </c>
      <c r="N5383" s="5">
        <v>0.1055</v>
      </c>
      <c r="O5383" s="5">
        <v>4</v>
      </c>
      <c r="P5383" s="5">
        <v>39957</v>
      </c>
    </row>
    <row r="5384" spans="1:16" x14ac:dyDescent="0.3">
      <c r="A5384" s="5">
        <v>69</v>
      </c>
      <c r="B5384" s="5" t="s">
        <v>171</v>
      </c>
      <c r="C5384" s="5">
        <v>4</v>
      </c>
      <c r="D5384" s="5" t="s">
        <v>78</v>
      </c>
      <c r="E5384" s="5">
        <v>2023</v>
      </c>
      <c r="F5384" s="5">
        <v>3</v>
      </c>
      <c r="G5384" s="5" t="s">
        <v>48</v>
      </c>
      <c r="H5384" s="5">
        <v>1966927</v>
      </c>
      <c r="I5384" s="5">
        <v>1672623.78</v>
      </c>
      <c r="J5384" s="5">
        <v>47</v>
      </c>
      <c r="K5384" s="5">
        <v>269367</v>
      </c>
      <c r="L5384" s="5">
        <v>2226770</v>
      </c>
      <c r="M5384" s="5">
        <v>294303.21999999997</v>
      </c>
      <c r="N5384" s="5">
        <v>0.14960000000000001</v>
      </c>
      <c r="O5384" s="5">
        <v>0</v>
      </c>
      <c r="P5384" s="5">
        <v>0</v>
      </c>
    </row>
    <row r="5385" spans="1:16" x14ac:dyDescent="0.3">
      <c r="A5385" s="5">
        <v>51</v>
      </c>
      <c r="B5385" s="5" t="s">
        <v>171</v>
      </c>
      <c r="C5385" s="5">
        <v>4</v>
      </c>
      <c r="D5385" s="5" t="s">
        <v>78</v>
      </c>
      <c r="E5385" s="5">
        <v>2023</v>
      </c>
      <c r="F5385" s="5">
        <v>4</v>
      </c>
      <c r="G5385" s="5" t="s">
        <v>49</v>
      </c>
      <c r="H5385" s="5">
        <v>2369461</v>
      </c>
      <c r="I5385" s="5">
        <v>2151846.4300000002</v>
      </c>
      <c r="J5385" s="5">
        <v>46</v>
      </c>
      <c r="K5385" s="5">
        <v>369441</v>
      </c>
      <c r="L5385" s="5">
        <v>2735420</v>
      </c>
      <c r="M5385" s="5">
        <v>217614.57</v>
      </c>
      <c r="N5385" s="5">
        <v>9.1800000000000007E-2</v>
      </c>
      <c r="O5385" s="5">
        <v>3</v>
      </c>
      <c r="P5385" s="5">
        <v>33947</v>
      </c>
    </row>
    <row r="5386" spans="1:16" x14ac:dyDescent="0.3">
      <c r="A5386" s="5">
        <v>69</v>
      </c>
      <c r="B5386" s="5" t="s">
        <v>171</v>
      </c>
      <c r="C5386" s="5">
        <v>4</v>
      </c>
      <c r="D5386" s="5" t="s">
        <v>78</v>
      </c>
      <c r="E5386" s="5">
        <v>2023</v>
      </c>
      <c r="F5386" s="5">
        <v>4</v>
      </c>
      <c r="G5386" s="5" t="s">
        <v>49</v>
      </c>
      <c r="H5386" s="5">
        <v>3883917</v>
      </c>
      <c r="I5386" s="5">
        <v>3462609.37</v>
      </c>
      <c r="J5386" s="5">
        <v>66</v>
      </c>
      <c r="K5386" s="5">
        <v>523536</v>
      </c>
      <c r="L5386" s="5">
        <v>4398760</v>
      </c>
      <c r="M5386" s="5">
        <v>421307.63</v>
      </c>
      <c r="N5386" s="5">
        <v>0.1085</v>
      </c>
      <c r="O5386" s="5">
        <v>4</v>
      </c>
      <c r="P5386" s="5">
        <v>17170</v>
      </c>
    </row>
    <row r="5387" spans="1:16" x14ac:dyDescent="0.3">
      <c r="A5387" s="5">
        <v>51</v>
      </c>
      <c r="B5387" s="5" t="s">
        <v>171</v>
      </c>
      <c r="C5387" s="5">
        <v>4</v>
      </c>
      <c r="D5387" s="5" t="s">
        <v>78</v>
      </c>
      <c r="E5387" s="5">
        <v>2023</v>
      </c>
      <c r="F5387" s="5">
        <v>5</v>
      </c>
      <c r="G5387" s="5" t="s">
        <v>50</v>
      </c>
      <c r="H5387" s="5">
        <v>4081347</v>
      </c>
      <c r="I5387" s="5">
        <v>3478703.87</v>
      </c>
      <c r="J5387" s="5">
        <v>60</v>
      </c>
      <c r="K5387" s="5">
        <v>459711</v>
      </c>
      <c r="L5387" s="5">
        <v>4532440</v>
      </c>
      <c r="M5387" s="5">
        <v>602643.13</v>
      </c>
      <c r="N5387" s="5">
        <v>0.1477</v>
      </c>
      <c r="O5387" s="5">
        <v>7</v>
      </c>
      <c r="P5387" s="5">
        <v>72214</v>
      </c>
    </row>
    <row r="5388" spans="1:16" x14ac:dyDescent="0.3">
      <c r="A5388" s="5">
        <v>69</v>
      </c>
      <c r="B5388" s="5" t="s">
        <v>171</v>
      </c>
      <c r="C5388" s="5">
        <v>4</v>
      </c>
      <c r="D5388" s="5" t="s">
        <v>78</v>
      </c>
      <c r="E5388" s="5">
        <v>2023</v>
      </c>
      <c r="F5388" s="5">
        <v>5</v>
      </c>
      <c r="G5388" s="5" t="s">
        <v>50</v>
      </c>
      <c r="H5388" s="5">
        <v>5164926</v>
      </c>
      <c r="I5388" s="5">
        <v>4438634.91</v>
      </c>
      <c r="J5388" s="5">
        <v>67</v>
      </c>
      <c r="K5388" s="5">
        <v>520453</v>
      </c>
      <c r="L5388" s="5">
        <v>5651380</v>
      </c>
      <c r="M5388" s="5">
        <v>726291.09</v>
      </c>
      <c r="N5388" s="5">
        <v>0.1406</v>
      </c>
      <c r="O5388" s="5">
        <v>5</v>
      </c>
      <c r="P5388" s="5">
        <v>216817</v>
      </c>
    </row>
    <row r="5389" spans="1:16" x14ac:dyDescent="0.3">
      <c r="A5389" s="5">
        <v>51</v>
      </c>
      <c r="B5389" s="5" t="s">
        <v>171</v>
      </c>
      <c r="C5389" s="5">
        <v>4</v>
      </c>
      <c r="D5389" s="5" t="s">
        <v>78</v>
      </c>
      <c r="E5389" s="5">
        <v>2023</v>
      </c>
      <c r="F5389" s="5">
        <v>6</v>
      </c>
      <c r="G5389" s="5" t="s">
        <v>51</v>
      </c>
      <c r="H5389" s="5">
        <v>4300927</v>
      </c>
      <c r="I5389" s="5">
        <v>3541211.21</v>
      </c>
      <c r="J5389" s="5">
        <v>57</v>
      </c>
      <c r="K5389" s="5">
        <v>310627</v>
      </c>
      <c r="L5389" s="5">
        <v>4580920</v>
      </c>
      <c r="M5389" s="5">
        <v>759715.79</v>
      </c>
      <c r="N5389" s="5">
        <v>0.17660000000000001</v>
      </c>
      <c r="O5389" s="5">
        <v>2</v>
      </c>
      <c r="P5389" s="5">
        <v>14277</v>
      </c>
    </row>
    <row r="5390" spans="1:16" x14ac:dyDescent="0.3">
      <c r="A5390" s="5">
        <v>69</v>
      </c>
      <c r="B5390" s="5" t="s">
        <v>171</v>
      </c>
      <c r="C5390" s="5">
        <v>4</v>
      </c>
      <c r="D5390" s="5" t="s">
        <v>78</v>
      </c>
      <c r="E5390" s="5">
        <v>2023</v>
      </c>
      <c r="F5390" s="5">
        <v>6</v>
      </c>
      <c r="G5390" s="5" t="s">
        <v>51</v>
      </c>
      <c r="H5390" s="5">
        <v>5699853</v>
      </c>
      <c r="I5390" s="5">
        <v>5038335.58</v>
      </c>
      <c r="J5390" s="5">
        <v>71</v>
      </c>
      <c r="K5390" s="5">
        <v>735858</v>
      </c>
      <c r="L5390" s="5">
        <v>6416700</v>
      </c>
      <c r="M5390" s="5">
        <v>661517.42000000004</v>
      </c>
      <c r="N5390" s="5">
        <v>0.11609999999999999</v>
      </c>
      <c r="O5390" s="5">
        <v>6</v>
      </c>
      <c r="P5390" s="5">
        <v>391080</v>
      </c>
    </row>
    <row r="5391" spans="1:16" x14ac:dyDescent="0.3">
      <c r="A5391" s="5">
        <v>51</v>
      </c>
      <c r="B5391" s="5" t="s">
        <v>171</v>
      </c>
      <c r="C5391" s="5">
        <v>4</v>
      </c>
      <c r="D5391" s="5" t="s">
        <v>78</v>
      </c>
      <c r="E5391" s="5">
        <v>2023</v>
      </c>
      <c r="F5391" s="5">
        <v>7</v>
      </c>
      <c r="G5391" s="5" t="s">
        <v>52</v>
      </c>
      <c r="H5391" s="5">
        <v>2818688</v>
      </c>
      <c r="I5391" s="5">
        <v>2698818.6</v>
      </c>
      <c r="J5391" s="5">
        <v>39</v>
      </c>
      <c r="K5391" s="5">
        <v>631779</v>
      </c>
      <c r="L5391" s="5">
        <v>3441950</v>
      </c>
      <c r="M5391" s="5">
        <v>119869.4</v>
      </c>
      <c r="N5391" s="5">
        <v>4.2500000000000003E-2</v>
      </c>
      <c r="O5391" s="5">
        <v>1</v>
      </c>
      <c r="P5391" s="5">
        <v>57138</v>
      </c>
    </row>
    <row r="5392" spans="1:16" x14ac:dyDescent="0.3">
      <c r="A5392" s="5">
        <v>69</v>
      </c>
      <c r="B5392" s="5" t="s">
        <v>171</v>
      </c>
      <c r="C5392" s="5">
        <v>4</v>
      </c>
      <c r="D5392" s="5" t="s">
        <v>78</v>
      </c>
      <c r="E5392" s="5">
        <v>2023</v>
      </c>
      <c r="F5392" s="5">
        <v>7</v>
      </c>
      <c r="G5392" s="5" t="s">
        <v>52</v>
      </c>
      <c r="H5392" s="5">
        <v>3973224</v>
      </c>
      <c r="I5392" s="5">
        <v>3587993.63</v>
      </c>
      <c r="J5392" s="5">
        <v>63</v>
      </c>
      <c r="K5392" s="5">
        <v>586483</v>
      </c>
      <c r="L5392" s="5">
        <v>4546130</v>
      </c>
      <c r="M5392" s="5">
        <v>385230.37</v>
      </c>
      <c r="N5392" s="5">
        <v>9.7000000000000003E-2</v>
      </c>
      <c r="O5392" s="5">
        <v>6</v>
      </c>
      <c r="P5392" s="5">
        <v>116982</v>
      </c>
    </row>
    <row r="5393" spans="1:16" x14ac:dyDescent="0.3">
      <c r="A5393" s="5">
        <v>51</v>
      </c>
      <c r="B5393" s="5" t="s">
        <v>171</v>
      </c>
      <c r="C5393" s="5">
        <v>4</v>
      </c>
      <c r="D5393" s="5" t="s">
        <v>78</v>
      </c>
      <c r="E5393" s="5">
        <v>2023</v>
      </c>
      <c r="F5393" s="5">
        <v>8</v>
      </c>
      <c r="G5393" s="5" t="s">
        <v>53</v>
      </c>
      <c r="H5393" s="5">
        <v>3439695</v>
      </c>
      <c r="I5393" s="5">
        <v>3021518.27</v>
      </c>
      <c r="J5393" s="5">
        <v>54</v>
      </c>
      <c r="K5393" s="5">
        <v>497720</v>
      </c>
      <c r="L5393" s="5">
        <v>3926530</v>
      </c>
      <c r="M5393" s="5">
        <v>418176.73</v>
      </c>
      <c r="N5393" s="5">
        <v>0.1216</v>
      </c>
      <c r="O5393" s="5">
        <v>6</v>
      </c>
      <c r="P5393" s="5">
        <v>106661</v>
      </c>
    </row>
    <row r="5394" spans="1:16" x14ac:dyDescent="0.3">
      <c r="A5394" s="5">
        <v>69</v>
      </c>
      <c r="B5394" s="5" t="s">
        <v>171</v>
      </c>
      <c r="C5394" s="5">
        <v>4</v>
      </c>
      <c r="D5394" s="5" t="s">
        <v>78</v>
      </c>
      <c r="E5394" s="5">
        <v>2023</v>
      </c>
      <c r="F5394" s="5">
        <v>8</v>
      </c>
      <c r="G5394" s="5" t="s">
        <v>53</v>
      </c>
      <c r="H5394" s="5">
        <v>3758207</v>
      </c>
      <c r="I5394" s="5">
        <v>3261499.04</v>
      </c>
      <c r="J5394" s="5">
        <v>58</v>
      </c>
      <c r="K5394" s="5">
        <v>402812</v>
      </c>
      <c r="L5394" s="5">
        <v>4147570</v>
      </c>
      <c r="M5394" s="5">
        <v>496707.96</v>
      </c>
      <c r="N5394" s="5">
        <v>0.13220000000000001</v>
      </c>
      <c r="O5394" s="5">
        <v>7</v>
      </c>
      <c r="P5394" s="5">
        <v>181800</v>
      </c>
    </row>
    <row r="5395" spans="1:16" x14ac:dyDescent="0.3">
      <c r="A5395" s="5">
        <v>51</v>
      </c>
      <c r="B5395" s="5" t="s">
        <v>171</v>
      </c>
      <c r="C5395" s="5">
        <v>4</v>
      </c>
      <c r="D5395" s="5" t="s">
        <v>78</v>
      </c>
      <c r="E5395" s="5">
        <v>2023</v>
      </c>
      <c r="F5395" s="5">
        <v>9</v>
      </c>
      <c r="G5395" s="5" t="s">
        <v>54</v>
      </c>
      <c r="H5395" s="5">
        <v>4460204</v>
      </c>
      <c r="I5395" s="5">
        <v>3784624.33</v>
      </c>
      <c r="J5395" s="5">
        <v>68</v>
      </c>
      <c r="K5395" s="5">
        <v>419854</v>
      </c>
      <c r="L5395" s="5">
        <v>4853670</v>
      </c>
      <c r="M5395" s="5">
        <v>675579.67</v>
      </c>
      <c r="N5395" s="5">
        <v>0.1515</v>
      </c>
      <c r="O5395" s="5">
        <v>6</v>
      </c>
      <c r="P5395" s="5">
        <v>273542</v>
      </c>
    </row>
    <row r="5396" spans="1:16" x14ac:dyDescent="0.3">
      <c r="A5396" s="5">
        <v>69</v>
      </c>
      <c r="B5396" s="5" t="s">
        <v>171</v>
      </c>
      <c r="C5396" s="5">
        <v>4</v>
      </c>
      <c r="D5396" s="5" t="s">
        <v>78</v>
      </c>
      <c r="E5396" s="5">
        <v>2023</v>
      </c>
      <c r="F5396" s="5">
        <v>9</v>
      </c>
      <c r="G5396" s="5" t="s">
        <v>54</v>
      </c>
      <c r="H5396" s="5">
        <v>4539156</v>
      </c>
      <c r="I5396" s="5">
        <v>3987053.92</v>
      </c>
      <c r="J5396" s="5">
        <v>75</v>
      </c>
      <c r="K5396" s="5">
        <v>607817</v>
      </c>
      <c r="L5396" s="5">
        <v>5131230</v>
      </c>
      <c r="M5396" s="5">
        <v>552102.07999999996</v>
      </c>
      <c r="N5396" s="5">
        <v>0.1216</v>
      </c>
      <c r="O5396" s="5">
        <v>11</v>
      </c>
      <c r="P5396" s="5">
        <v>110800</v>
      </c>
    </row>
    <row r="5397" spans="1:16" x14ac:dyDescent="0.3">
      <c r="A5397" s="5">
        <v>51</v>
      </c>
      <c r="B5397" s="5" t="s">
        <v>171</v>
      </c>
      <c r="C5397" s="5">
        <v>4</v>
      </c>
      <c r="D5397" s="5" t="s">
        <v>78</v>
      </c>
      <c r="E5397" s="5">
        <v>2023</v>
      </c>
      <c r="F5397" s="5">
        <v>10</v>
      </c>
      <c r="G5397" s="5" t="s">
        <v>55</v>
      </c>
      <c r="H5397" s="5">
        <v>4503907</v>
      </c>
      <c r="I5397" s="5">
        <v>3938651.04</v>
      </c>
      <c r="J5397" s="5">
        <v>72</v>
      </c>
      <c r="K5397" s="5">
        <v>569731</v>
      </c>
      <c r="L5397" s="5">
        <v>5062770</v>
      </c>
      <c r="M5397" s="5">
        <v>565255.96</v>
      </c>
      <c r="N5397" s="5">
        <v>0.1255</v>
      </c>
      <c r="O5397" s="5">
        <v>5</v>
      </c>
      <c r="P5397" s="5">
        <v>181852</v>
      </c>
    </row>
    <row r="5398" spans="1:16" x14ac:dyDescent="0.3">
      <c r="A5398" s="5">
        <v>69</v>
      </c>
      <c r="B5398" s="5" t="s">
        <v>171</v>
      </c>
      <c r="C5398" s="5">
        <v>4</v>
      </c>
      <c r="D5398" s="5" t="s">
        <v>78</v>
      </c>
      <c r="E5398" s="5">
        <v>2023</v>
      </c>
      <c r="F5398" s="5">
        <v>10</v>
      </c>
      <c r="G5398" s="5" t="s">
        <v>55</v>
      </c>
      <c r="H5398" s="5">
        <v>6090690</v>
      </c>
      <c r="I5398" s="5">
        <v>5284641.04</v>
      </c>
      <c r="J5398" s="5">
        <v>101</v>
      </c>
      <c r="K5398" s="5">
        <v>666266</v>
      </c>
      <c r="L5398" s="5">
        <v>6742590</v>
      </c>
      <c r="M5398" s="5">
        <v>806048.96</v>
      </c>
      <c r="N5398" s="5">
        <v>0.1323</v>
      </c>
      <c r="O5398" s="5">
        <v>10</v>
      </c>
      <c r="P5398" s="5">
        <v>429208</v>
      </c>
    </row>
    <row r="5399" spans="1:16" x14ac:dyDescent="0.3">
      <c r="A5399" s="5">
        <v>51</v>
      </c>
      <c r="B5399" s="5" t="s">
        <v>171</v>
      </c>
      <c r="C5399" s="5">
        <v>4</v>
      </c>
      <c r="D5399" s="5" t="s">
        <v>78</v>
      </c>
      <c r="E5399" s="5">
        <v>2023</v>
      </c>
      <c r="F5399" s="5">
        <v>11</v>
      </c>
      <c r="G5399" s="5" t="s">
        <v>56</v>
      </c>
      <c r="H5399" s="5">
        <v>4672634</v>
      </c>
      <c r="I5399" s="5">
        <v>3975538.69</v>
      </c>
      <c r="J5399" s="5">
        <v>74</v>
      </c>
      <c r="K5399" s="5">
        <v>524305</v>
      </c>
      <c r="L5399" s="5">
        <v>5175220</v>
      </c>
      <c r="M5399" s="5">
        <v>697095.31</v>
      </c>
      <c r="N5399" s="5">
        <v>0.1492</v>
      </c>
      <c r="O5399" s="5">
        <v>3</v>
      </c>
      <c r="P5399" s="5">
        <v>137763</v>
      </c>
    </row>
    <row r="5400" spans="1:16" x14ac:dyDescent="0.3">
      <c r="A5400" s="5">
        <v>69</v>
      </c>
      <c r="B5400" s="5" t="s">
        <v>171</v>
      </c>
      <c r="C5400" s="5">
        <v>4</v>
      </c>
      <c r="D5400" s="5" t="s">
        <v>78</v>
      </c>
      <c r="E5400" s="5">
        <v>2023</v>
      </c>
      <c r="F5400" s="5">
        <v>11</v>
      </c>
      <c r="G5400" s="5" t="s">
        <v>56</v>
      </c>
      <c r="H5400" s="5">
        <v>4615219</v>
      </c>
      <c r="I5400" s="5">
        <v>4136149.28</v>
      </c>
      <c r="J5400" s="5">
        <v>78</v>
      </c>
      <c r="K5400" s="5">
        <v>797908</v>
      </c>
      <c r="L5400" s="5">
        <v>5394220</v>
      </c>
      <c r="M5400" s="5">
        <v>479069.72</v>
      </c>
      <c r="N5400" s="5">
        <v>0.1038</v>
      </c>
      <c r="O5400" s="5">
        <v>5</v>
      </c>
      <c r="P5400" s="5">
        <v>93731</v>
      </c>
    </row>
    <row r="5401" spans="1:16" x14ac:dyDescent="0.3">
      <c r="A5401" s="5">
        <v>51</v>
      </c>
      <c r="B5401" s="5" t="s">
        <v>171</v>
      </c>
      <c r="C5401" s="5">
        <v>4</v>
      </c>
      <c r="D5401" s="5" t="s">
        <v>78</v>
      </c>
      <c r="E5401" s="5">
        <v>2023</v>
      </c>
      <c r="F5401" s="5">
        <v>12</v>
      </c>
      <c r="G5401" s="5" t="s">
        <v>57</v>
      </c>
      <c r="H5401" s="5">
        <v>5016417</v>
      </c>
      <c r="I5401" s="5">
        <v>4523355.71</v>
      </c>
      <c r="J5401" s="5">
        <v>93</v>
      </c>
      <c r="K5401" s="5">
        <v>861121</v>
      </c>
      <c r="L5401" s="5">
        <v>5860420</v>
      </c>
      <c r="M5401" s="5">
        <v>493061.29</v>
      </c>
      <c r="N5401" s="5">
        <v>9.8299999999999998E-2</v>
      </c>
      <c r="O5401" s="5">
        <v>8</v>
      </c>
      <c r="P5401" s="5">
        <v>159460</v>
      </c>
    </row>
    <row r="5402" spans="1:16" x14ac:dyDescent="0.3">
      <c r="A5402" s="5">
        <v>69</v>
      </c>
      <c r="B5402" s="5" t="s">
        <v>171</v>
      </c>
      <c r="C5402" s="5">
        <v>4</v>
      </c>
      <c r="D5402" s="5" t="s">
        <v>78</v>
      </c>
      <c r="E5402" s="5">
        <v>2023</v>
      </c>
      <c r="F5402" s="5">
        <v>12</v>
      </c>
      <c r="G5402" s="5" t="s">
        <v>57</v>
      </c>
      <c r="H5402" s="5">
        <v>5772853</v>
      </c>
      <c r="I5402" s="5">
        <v>5258311.6799999997</v>
      </c>
      <c r="J5402" s="5">
        <v>96</v>
      </c>
      <c r="K5402" s="5">
        <v>987612</v>
      </c>
      <c r="L5402" s="5">
        <v>6745460</v>
      </c>
      <c r="M5402" s="5">
        <v>514541.32</v>
      </c>
      <c r="N5402" s="5">
        <v>8.9099999999999999E-2</v>
      </c>
      <c r="O5402" s="5">
        <v>5</v>
      </c>
      <c r="P5402" s="5">
        <v>65318</v>
      </c>
    </row>
    <row r="5403" spans="1:16" x14ac:dyDescent="0.3">
      <c r="A5403" s="5">
        <v>51</v>
      </c>
      <c r="B5403" s="5" t="s">
        <v>171</v>
      </c>
      <c r="C5403" s="5">
        <v>4</v>
      </c>
      <c r="D5403" s="5" t="s">
        <v>78</v>
      </c>
      <c r="E5403" s="5">
        <v>2024</v>
      </c>
      <c r="F5403" s="5">
        <v>1</v>
      </c>
      <c r="G5403" s="5" t="s">
        <v>58</v>
      </c>
      <c r="H5403" s="5">
        <v>2775813</v>
      </c>
      <c r="I5403" s="5">
        <v>2410464.2599999998</v>
      </c>
      <c r="J5403" s="5">
        <v>51</v>
      </c>
      <c r="K5403" s="5">
        <v>356651</v>
      </c>
      <c r="L5403" s="5">
        <v>3121340</v>
      </c>
      <c r="M5403" s="5">
        <v>365348.74</v>
      </c>
      <c r="N5403" s="5">
        <v>0.13159999999999999</v>
      </c>
      <c r="O5403" s="5">
        <v>2</v>
      </c>
      <c r="P5403" s="5">
        <v>64619</v>
      </c>
    </row>
    <row r="5404" spans="1:16" x14ac:dyDescent="0.3">
      <c r="A5404" s="5">
        <v>69</v>
      </c>
      <c r="B5404" s="5" t="s">
        <v>171</v>
      </c>
      <c r="C5404" s="5">
        <v>4</v>
      </c>
      <c r="D5404" s="5" t="s">
        <v>78</v>
      </c>
      <c r="E5404" s="5">
        <v>2024</v>
      </c>
      <c r="F5404" s="5">
        <v>1</v>
      </c>
      <c r="G5404" s="5" t="s">
        <v>58</v>
      </c>
      <c r="H5404" s="5">
        <v>6802687</v>
      </c>
      <c r="I5404" s="5">
        <v>6086042.25</v>
      </c>
      <c r="J5404" s="5">
        <v>66</v>
      </c>
      <c r="K5404" s="5">
        <v>860632</v>
      </c>
      <c r="L5404" s="5">
        <v>7632760</v>
      </c>
      <c r="M5404" s="5">
        <v>716644.75</v>
      </c>
      <c r="N5404" s="5">
        <v>0.1053</v>
      </c>
      <c r="O5404" s="5">
        <v>7</v>
      </c>
      <c r="P5404" s="5">
        <v>466529</v>
      </c>
    </row>
    <row r="5405" spans="1:16" x14ac:dyDescent="0.3">
      <c r="A5405" s="5">
        <v>51</v>
      </c>
      <c r="B5405" s="5" t="s">
        <v>171</v>
      </c>
      <c r="C5405" s="5">
        <v>4</v>
      </c>
      <c r="D5405" s="5" t="s">
        <v>78</v>
      </c>
      <c r="E5405" s="5">
        <v>2024</v>
      </c>
      <c r="F5405" s="5">
        <v>2</v>
      </c>
      <c r="G5405" s="5" t="s">
        <v>59</v>
      </c>
      <c r="H5405" s="5">
        <v>2654155</v>
      </c>
      <c r="I5405" s="5">
        <v>2276921.85</v>
      </c>
      <c r="J5405" s="5">
        <v>43</v>
      </c>
      <c r="K5405" s="5">
        <v>295229</v>
      </c>
      <c r="L5405" s="5">
        <v>2937520</v>
      </c>
      <c r="M5405" s="5">
        <v>377233.15</v>
      </c>
      <c r="N5405" s="5">
        <v>0.1421</v>
      </c>
      <c r="O5405" s="5">
        <v>2</v>
      </c>
      <c r="P5405" s="5">
        <v>16023</v>
      </c>
    </row>
    <row r="5406" spans="1:16" x14ac:dyDescent="0.3">
      <c r="A5406" s="5">
        <v>69</v>
      </c>
      <c r="B5406" s="5" t="s">
        <v>171</v>
      </c>
      <c r="C5406" s="5">
        <v>4</v>
      </c>
      <c r="D5406" s="5" t="s">
        <v>78</v>
      </c>
      <c r="E5406" s="5">
        <v>2024</v>
      </c>
      <c r="F5406" s="5">
        <v>2</v>
      </c>
      <c r="G5406" s="5" t="s">
        <v>59</v>
      </c>
      <c r="H5406" s="5">
        <v>5039324</v>
      </c>
      <c r="I5406" s="5">
        <v>4480786.37</v>
      </c>
      <c r="J5406" s="5">
        <v>64</v>
      </c>
      <c r="K5406" s="5">
        <v>572982</v>
      </c>
      <c r="L5406" s="5">
        <v>5603220</v>
      </c>
      <c r="M5406" s="5">
        <v>558537.63</v>
      </c>
      <c r="N5406" s="5">
        <v>0.1108</v>
      </c>
      <c r="O5406" s="5">
        <v>8</v>
      </c>
      <c r="P5406" s="5">
        <v>86453</v>
      </c>
    </row>
    <row r="5407" spans="1:16" x14ac:dyDescent="0.3">
      <c r="A5407" s="5">
        <v>51</v>
      </c>
      <c r="B5407" s="5" t="s">
        <v>171</v>
      </c>
      <c r="C5407" s="5">
        <v>4</v>
      </c>
      <c r="D5407" s="5" t="s">
        <v>78</v>
      </c>
      <c r="E5407" s="5">
        <v>2024</v>
      </c>
      <c r="F5407" s="5">
        <v>3</v>
      </c>
      <c r="G5407" s="5" t="s">
        <v>60</v>
      </c>
      <c r="H5407" s="5">
        <v>3132628</v>
      </c>
      <c r="I5407" s="5">
        <v>2885625.83</v>
      </c>
      <c r="J5407" s="5">
        <v>45</v>
      </c>
      <c r="K5407" s="5">
        <v>484937</v>
      </c>
      <c r="L5407" s="5">
        <v>3611620</v>
      </c>
      <c r="M5407" s="5">
        <v>247002.17</v>
      </c>
      <c r="N5407" s="5">
        <v>7.8799999999999995E-2</v>
      </c>
      <c r="O5407" s="5">
        <v>3</v>
      </c>
      <c r="P5407" s="5">
        <v>117086</v>
      </c>
    </row>
    <row r="5408" spans="1:16" x14ac:dyDescent="0.3">
      <c r="A5408" s="5">
        <v>69</v>
      </c>
      <c r="B5408" s="5" t="s">
        <v>171</v>
      </c>
      <c r="C5408" s="5">
        <v>4</v>
      </c>
      <c r="D5408" s="5" t="s">
        <v>78</v>
      </c>
      <c r="E5408" s="5">
        <v>2024</v>
      </c>
      <c r="F5408" s="5">
        <v>3</v>
      </c>
      <c r="G5408" s="5" t="s">
        <v>60</v>
      </c>
      <c r="H5408" s="5">
        <v>5522478</v>
      </c>
      <c r="I5408" s="5">
        <v>4680569.4800000004</v>
      </c>
      <c r="J5408" s="5">
        <v>87</v>
      </c>
      <c r="K5408" s="5">
        <v>546942</v>
      </c>
      <c r="L5408" s="5">
        <v>6056910</v>
      </c>
      <c r="M5408" s="5">
        <v>841908.52</v>
      </c>
      <c r="N5408" s="5">
        <v>0.1525</v>
      </c>
      <c r="O5408" s="5">
        <v>10</v>
      </c>
      <c r="P5408" s="5">
        <v>406200</v>
      </c>
    </row>
    <row r="5409" spans="1:16" x14ac:dyDescent="0.3">
      <c r="A5409" s="5">
        <v>51</v>
      </c>
      <c r="B5409" s="5" t="s">
        <v>171</v>
      </c>
      <c r="C5409" s="5">
        <v>4</v>
      </c>
      <c r="D5409" s="5" t="s">
        <v>78</v>
      </c>
      <c r="E5409" s="5">
        <v>2024</v>
      </c>
      <c r="F5409" s="5">
        <v>4</v>
      </c>
      <c r="G5409" s="5" t="s">
        <v>61</v>
      </c>
      <c r="H5409" s="5">
        <v>3514112</v>
      </c>
      <c r="I5409" s="5">
        <v>3008752.05</v>
      </c>
      <c r="J5409" s="5">
        <v>56</v>
      </c>
      <c r="K5409" s="5">
        <v>363193</v>
      </c>
      <c r="L5409" s="5">
        <v>3856900</v>
      </c>
      <c r="M5409" s="5">
        <v>505359.95</v>
      </c>
      <c r="N5409" s="5">
        <v>0.14380000000000001</v>
      </c>
      <c r="O5409" s="5">
        <v>2</v>
      </c>
      <c r="P5409" s="5">
        <v>12376</v>
      </c>
    </row>
    <row r="5410" spans="1:16" x14ac:dyDescent="0.3">
      <c r="A5410" s="5">
        <v>69</v>
      </c>
      <c r="B5410" s="5" t="s">
        <v>171</v>
      </c>
      <c r="C5410" s="5">
        <v>4</v>
      </c>
      <c r="D5410" s="5" t="s">
        <v>78</v>
      </c>
      <c r="E5410" s="5">
        <v>2024</v>
      </c>
      <c r="F5410" s="5">
        <v>4</v>
      </c>
      <c r="G5410" s="5" t="s">
        <v>61</v>
      </c>
      <c r="H5410" s="5">
        <v>5179646</v>
      </c>
      <c r="I5410" s="5">
        <v>4434396.75</v>
      </c>
      <c r="J5410" s="5">
        <v>74</v>
      </c>
      <c r="K5410" s="5">
        <v>555930</v>
      </c>
      <c r="L5410" s="5">
        <v>5721840</v>
      </c>
      <c r="M5410" s="5">
        <v>745249.25</v>
      </c>
      <c r="N5410" s="5">
        <v>0.1439</v>
      </c>
      <c r="O5410" s="5">
        <v>5</v>
      </c>
      <c r="P5410" s="5">
        <v>189042</v>
      </c>
    </row>
    <row r="5411" spans="1:16" x14ac:dyDescent="0.3">
      <c r="A5411" s="5">
        <v>51</v>
      </c>
      <c r="B5411" s="5" t="s">
        <v>171</v>
      </c>
      <c r="C5411" s="5">
        <v>4</v>
      </c>
      <c r="D5411" s="5" t="s">
        <v>78</v>
      </c>
      <c r="E5411" s="5">
        <v>2024</v>
      </c>
      <c r="F5411" s="5">
        <v>5</v>
      </c>
      <c r="G5411" s="5" t="s">
        <v>62</v>
      </c>
      <c r="H5411" s="5">
        <v>2532895</v>
      </c>
      <c r="I5411" s="5">
        <v>2151488.41</v>
      </c>
      <c r="J5411" s="5">
        <v>51</v>
      </c>
      <c r="K5411" s="5">
        <v>289240</v>
      </c>
      <c r="L5411" s="5">
        <v>2815150</v>
      </c>
      <c r="M5411" s="5">
        <v>381406.59</v>
      </c>
      <c r="N5411" s="5">
        <v>0.15060000000000001</v>
      </c>
      <c r="O5411" s="5">
        <v>5</v>
      </c>
      <c r="P5411" s="5">
        <v>155714</v>
      </c>
    </row>
    <row r="5412" spans="1:16" x14ac:dyDescent="0.3">
      <c r="A5412" s="5">
        <v>69</v>
      </c>
      <c r="B5412" s="5" t="s">
        <v>171</v>
      </c>
      <c r="C5412" s="5">
        <v>4</v>
      </c>
      <c r="D5412" s="5" t="s">
        <v>78</v>
      </c>
      <c r="E5412" s="5">
        <v>2024</v>
      </c>
      <c r="F5412" s="5">
        <v>5</v>
      </c>
      <c r="G5412" s="5" t="s">
        <v>62</v>
      </c>
      <c r="H5412" s="5">
        <v>6114539</v>
      </c>
      <c r="I5412" s="5">
        <v>5680285.9699999997</v>
      </c>
      <c r="J5412" s="5">
        <v>92</v>
      </c>
      <c r="K5412" s="5">
        <v>1223620</v>
      </c>
      <c r="L5412" s="5">
        <v>7319850</v>
      </c>
      <c r="M5412" s="5">
        <v>434253.03</v>
      </c>
      <c r="N5412" s="5">
        <v>7.0999999999999994E-2</v>
      </c>
      <c r="O5412" s="5">
        <v>7</v>
      </c>
      <c r="P5412" s="5">
        <v>157578</v>
      </c>
    </row>
    <row r="5413" spans="1:16" x14ac:dyDescent="0.3">
      <c r="A5413" s="5">
        <v>51</v>
      </c>
      <c r="B5413" s="5" t="s">
        <v>171</v>
      </c>
      <c r="C5413" s="5">
        <v>4</v>
      </c>
      <c r="D5413" s="5" t="s">
        <v>78</v>
      </c>
      <c r="E5413" s="5">
        <v>2024</v>
      </c>
      <c r="F5413" s="5">
        <v>6</v>
      </c>
      <c r="G5413" s="5" t="s">
        <v>63</v>
      </c>
      <c r="H5413" s="5">
        <v>3531601</v>
      </c>
      <c r="I5413" s="5">
        <v>2827848.86</v>
      </c>
      <c r="J5413" s="5">
        <v>66</v>
      </c>
      <c r="K5413" s="5">
        <v>203196</v>
      </c>
      <c r="L5413" s="5">
        <v>3728910</v>
      </c>
      <c r="M5413" s="5">
        <v>703752.14</v>
      </c>
      <c r="N5413" s="5">
        <v>0.1993</v>
      </c>
      <c r="O5413" s="5">
        <v>8</v>
      </c>
      <c r="P5413" s="5">
        <v>360168</v>
      </c>
    </row>
    <row r="5414" spans="1:16" x14ac:dyDescent="0.3">
      <c r="A5414" s="5">
        <v>69</v>
      </c>
      <c r="B5414" s="5" t="s">
        <v>171</v>
      </c>
      <c r="C5414" s="5">
        <v>4</v>
      </c>
      <c r="D5414" s="5" t="s">
        <v>78</v>
      </c>
      <c r="E5414" s="5">
        <v>2024</v>
      </c>
      <c r="F5414" s="5">
        <v>6</v>
      </c>
      <c r="G5414" s="5" t="s">
        <v>63</v>
      </c>
      <c r="H5414" s="5">
        <v>7327126</v>
      </c>
      <c r="I5414" s="5">
        <v>6113940.6399999997</v>
      </c>
      <c r="J5414" s="5">
        <v>73</v>
      </c>
      <c r="K5414" s="5">
        <v>477849</v>
      </c>
      <c r="L5414" s="5">
        <v>7768300</v>
      </c>
      <c r="M5414" s="5">
        <v>1213185.3600000001</v>
      </c>
      <c r="N5414" s="5">
        <v>0.1656</v>
      </c>
      <c r="O5414" s="5">
        <v>6</v>
      </c>
      <c r="P5414" s="5">
        <v>180808</v>
      </c>
    </row>
    <row r="5415" spans="1:16" x14ac:dyDescent="0.3">
      <c r="A5415" s="5">
        <v>51</v>
      </c>
      <c r="B5415" s="5" t="s">
        <v>171</v>
      </c>
      <c r="C5415" s="5">
        <v>4</v>
      </c>
      <c r="D5415" s="5" t="s">
        <v>78</v>
      </c>
      <c r="E5415" s="5">
        <v>2024</v>
      </c>
      <c r="F5415" s="5">
        <v>7</v>
      </c>
      <c r="G5415" s="5" t="s">
        <v>64</v>
      </c>
      <c r="H5415" s="5">
        <v>3389842</v>
      </c>
      <c r="I5415" s="5">
        <v>2702559.77</v>
      </c>
      <c r="J5415" s="5">
        <v>54</v>
      </c>
      <c r="K5415" s="5">
        <v>200507</v>
      </c>
      <c r="L5415" s="5">
        <v>3579480</v>
      </c>
      <c r="M5415" s="5">
        <v>687282.23</v>
      </c>
      <c r="N5415" s="5">
        <v>0.20269999999999999</v>
      </c>
      <c r="O5415" s="5">
        <v>1</v>
      </c>
      <c r="P5415" s="5">
        <v>8720</v>
      </c>
    </row>
    <row r="5416" spans="1:16" x14ac:dyDescent="0.3">
      <c r="A5416" s="5">
        <v>69</v>
      </c>
      <c r="B5416" s="5" t="s">
        <v>171</v>
      </c>
      <c r="C5416" s="5">
        <v>4</v>
      </c>
      <c r="D5416" s="5" t="s">
        <v>78</v>
      </c>
      <c r="E5416" s="5">
        <v>2024</v>
      </c>
      <c r="F5416" s="5">
        <v>7</v>
      </c>
      <c r="G5416" s="5" t="s">
        <v>64</v>
      </c>
      <c r="H5416" s="5">
        <v>4760327</v>
      </c>
      <c r="I5416" s="5">
        <v>4090811.77</v>
      </c>
      <c r="J5416" s="5">
        <v>68</v>
      </c>
      <c r="K5416" s="5">
        <v>450352</v>
      </c>
      <c r="L5416" s="5">
        <v>5191480</v>
      </c>
      <c r="M5416" s="5">
        <v>669515.23</v>
      </c>
      <c r="N5416" s="5">
        <v>0.1406</v>
      </c>
      <c r="O5416" s="5">
        <v>15</v>
      </c>
      <c r="P5416" s="5">
        <v>210042</v>
      </c>
    </row>
    <row r="5417" spans="1:16" x14ac:dyDescent="0.3">
      <c r="A5417" s="5">
        <v>51</v>
      </c>
      <c r="B5417" s="5" t="s">
        <v>171</v>
      </c>
      <c r="C5417" s="5">
        <v>4</v>
      </c>
      <c r="D5417" s="5" t="s">
        <v>78</v>
      </c>
      <c r="E5417" s="5">
        <v>2024</v>
      </c>
      <c r="F5417" s="5">
        <v>8</v>
      </c>
      <c r="G5417" s="5" t="s">
        <v>65</v>
      </c>
      <c r="H5417" s="5">
        <v>4429202</v>
      </c>
      <c r="I5417" s="5">
        <v>3843254.3</v>
      </c>
      <c r="J5417" s="5">
        <v>64</v>
      </c>
      <c r="K5417" s="5">
        <v>452271</v>
      </c>
      <c r="L5417" s="5">
        <v>4871330</v>
      </c>
      <c r="M5417" s="5">
        <v>585947.69999999995</v>
      </c>
      <c r="N5417" s="5">
        <v>0.1323</v>
      </c>
      <c r="O5417" s="5">
        <v>8</v>
      </c>
      <c r="P5417" s="5">
        <v>445621</v>
      </c>
    </row>
    <row r="5418" spans="1:16" x14ac:dyDescent="0.3">
      <c r="A5418" s="5">
        <v>69</v>
      </c>
      <c r="B5418" s="5" t="s">
        <v>171</v>
      </c>
      <c r="C5418" s="5">
        <v>4</v>
      </c>
      <c r="D5418" s="5" t="s">
        <v>78</v>
      </c>
      <c r="E5418" s="5">
        <v>2024</v>
      </c>
      <c r="F5418" s="5">
        <v>8</v>
      </c>
      <c r="G5418" s="5" t="s">
        <v>65</v>
      </c>
      <c r="H5418" s="5">
        <v>3971127</v>
      </c>
      <c r="I5418" s="5">
        <v>3367307.35</v>
      </c>
      <c r="J5418" s="5">
        <v>72</v>
      </c>
      <c r="K5418" s="5">
        <v>417892</v>
      </c>
      <c r="L5418" s="5">
        <v>4369550</v>
      </c>
      <c r="M5418" s="5">
        <v>603819.65</v>
      </c>
      <c r="N5418" s="5">
        <v>0.15210000000000001</v>
      </c>
      <c r="O5418" s="5">
        <v>5</v>
      </c>
      <c r="P5418" s="5">
        <v>69151</v>
      </c>
    </row>
    <row r="5419" spans="1:16" x14ac:dyDescent="0.3">
      <c r="A5419" s="5">
        <v>51</v>
      </c>
      <c r="B5419" s="5" t="s">
        <v>171</v>
      </c>
      <c r="C5419" s="5">
        <v>4</v>
      </c>
      <c r="D5419" s="5" t="s">
        <v>78</v>
      </c>
      <c r="E5419" s="5">
        <v>2024</v>
      </c>
      <c r="F5419" s="5">
        <v>9</v>
      </c>
      <c r="G5419" s="5" t="s">
        <v>66</v>
      </c>
      <c r="H5419" s="5">
        <v>5134180</v>
      </c>
      <c r="I5419" s="5">
        <v>4144920.82</v>
      </c>
      <c r="J5419" s="5">
        <v>64</v>
      </c>
      <c r="K5419" s="5">
        <v>292224</v>
      </c>
      <c r="L5419" s="5">
        <v>5418720</v>
      </c>
      <c r="M5419" s="5">
        <v>989259.18</v>
      </c>
      <c r="N5419" s="5">
        <v>0.19270000000000001</v>
      </c>
      <c r="O5419" s="5">
        <v>6</v>
      </c>
      <c r="P5419" s="5">
        <v>353571</v>
      </c>
    </row>
    <row r="5420" spans="1:16" x14ac:dyDescent="0.3">
      <c r="A5420" s="5">
        <v>69</v>
      </c>
      <c r="B5420" s="5" t="s">
        <v>171</v>
      </c>
      <c r="C5420" s="5">
        <v>4</v>
      </c>
      <c r="D5420" s="5" t="s">
        <v>78</v>
      </c>
      <c r="E5420" s="5">
        <v>2024</v>
      </c>
      <c r="F5420" s="5">
        <v>9</v>
      </c>
      <c r="G5420" s="5" t="s">
        <v>66</v>
      </c>
      <c r="H5420" s="5">
        <v>6621635</v>
      </c>
      <c r="I5420" s="5">
        <v>5563387.8799999999</v>
      </c>
      <c r="J5420" s="5">
        <v>83</v>
      </c>
      <c r="K5420" s="5">
        <v>483052</v>
      </c>
      <c r="L5420" s="5">
        <v>7087970</v>
      </c>
      <c r="M5420" s="5">
        <v>1058247.1200000001</v>
      </c>
      <c r="N5420" s="5">
        <v>0.1598</v>
      </c>
      <c r="O5420" s="5">
        <v>5</v>
      </c>
      <c r="P5420" s="5">
        <v>97677</v>
      </c>
    </row>
    <row r="5421" spans="1:16" x14ac:dyDescent="0.3">
      <c r="A5421" s="5">
        <v>51</v>
      </c>
      <c r="B5421" s="5" t="s">
        <v>171</v>
      </c>
      <c r="C5421" s="5">
        <v>4</v>
      </c>
      <c r="D5421" s="5" t="s">
        <v>78</v>
      </c>
      <c r="E5421" s="5">
        <v>2024</v>
      </c>
      <c r="F5421" s="5">
        <v>10</v>
      </c>
      <c r="G5421" s="5" t="s">
        <v>67</v>
      </c>
      <c r="H5421" s="5">
        <v>4612586</v>
      </c>
      <c r="I5421" s="5">
        <v>3673285.4</v>
      </c>
      <c r="J5421" s="5">
        <v>66</v>
      </c>
      <c r="K5421" s="5">
        <v>195339</v>
      </c>
      <c r="L5421" s="5">
        <v>4799680</v>
      </c>
      <c r="M5421" s="5">
        <v>939300.6</v>
      </c>
      <c r="N5421" s="5">
        <v>0.2036</v>
      </c>
      <c r="O5421" s="5">
        <v>4</v>
      </c>
      <c r="P5421" s="5">
        <v>56843</v>
      </c>
    </row>
    <row r="5422" spans="1:16" x14ac:dyDescent="0.3">
      <c r="A5422" s="5">
        <v>69</v>
      </c>
      <c r="B5422" s="5" t="s">
        <v>171</v>
      </c>
      <c r="C5422" s="5">
        <v>4</v>
      </c>
      <c r="D5422" s="5" t="s">
        <v>78</v>
      </c>
      <c r="E5422" s="5">
        <v>2024</v>
      </c>
      <c r="F5422" s="5">
        <v>10</v>
      </c>
      <c r="G5422" s="5" t="s">
        <v>67</v>
      </c>
      <c r="H5422" s="5">
        <v>7070946</v>
      </c>
      <c r="I5422" s="5">
        <v>5719930.2599999998</v>
      </c>
      <c r="J5422" s="5">
        <v>96</v>
      </c>
      <c r="K5422" s="5">
        <v>230609</v>
      </c>
      <c r="L5422" s="5">
        <v>7272260</v>
      </c>
      <c r="M5422" s="5">
        <v>1351015.74</v>
      </c>
      <c r="N5422" s="5">
        <v>0.19109999999999999</v>
      </c>
      <c r="O5422" s="5">
        <v>3</v>
      </c>
      <c r="P5422" s="5">
        <v>86689</v>
      </c>
    </row>
    <row r="5423" spans="1:16" x14ac:dyDescent="0.3">
      <c r="A5423" s="5">
        <v>51</v>
      </c>
      <c r="B5423" s="5" t="s">
        <v>171</v>
      </c>
      <c r="C5423" s="5">
        <v>4</v>
      </c>
      <c r="D5423" s="5" t="s">
        <v>78</v>
      </c>
      <c r="E5423" s="5">
        <v>2024</v>
      </c>
      <c r="F5423" s="5">
        <v>11</v>
      </c>
      <c r="G5423" s="5" t="s">
        <v>68</v>
      </c>
      <c r="H5423" s="5">
        <v>6372611</v>
      </c>
      <c r="I5423" s="5">
        <v>5330647.13</v>
      </c>
      <c r="J5423" s="5">
        <v>77</v>
      </c>
      <c r="K5423" s="5">
        <v>591857</v>
      </c>
      <c r="L5423" s="5">
        <v>6953110</v>
      </c>
      <c r="M5423" s="5">
        <v>1041963.87</v>
      </c>
      <c r="N5423" s="5">
        <v>0.16350000000000001</v>
      </c>
      <c r="O5423" s="5">
        <v>7</v>
      </c>
      <c r="P5423" s="5">
        <v>148581</v>
      </c>
    </row>
    <row r="5424" spans="1:16" x14ac:dyDescent="0.3">
      <c r="A5424" s="5">
        <v>69</v>
      </c>
      <c r="B5424" s="5" t="s">
        <v>171</v>
      </c>
      <c r="C5424" s="5">
        <v>4</v>
      </c>
      <c r="D5424" s="5" t="s">
        <v>78</v>
      </c>
      <c r="E5424" s="5">
        <v>2024</v>
      </c>
      <c r="F5424" s="5">
        <v>11</v>
      </c>
      <c r="G5424" s="5" t="s">
        <v>68</v>
      </c>
      <c r="H5424" s="5">
        <v>7860463</v>
      </c>
      <c r="I5424" s="5">
        <v>6737698.5099999998</v>
      </c>
      <c r="J5424" s="5">
        <v>120</v>
      </c>
      <c r="K5424" s="5">
        <v>884784</v>
      </c>
      <c r="L5424" s="5">
        <v>8736590</v>
      </c>
      <c r="M5424" s="5">
        <v>1122764.49</v>
      </c>
      <c r="N5424" s="5">
        <v>0.14280000000000001</v>
      </c>
      <c r="O5424" s="5">
        <v>12</v>
      </c>
      <c r="P5424" s="5">
        <v>348141</v>
      </c>
    </row>
    <row r="5425" spans="1:16" x14ac:dyDescent="0.3">
      <c r="A5425" s="5">
        <v>51</v>
      </c>
      <c r="B5425" s="5" t="s">
        <v>171</v>
      </c>
      <c r="C5425" s="5">
        <v>4</v>
      </c>
      <c r="D5425" s="5" t="s">
        <v>78</v>
      </c>
      <c r="E5425" s="5">
        <v>2024</v>
      </c>
      <c r="F5425" s="5">
        <v>12</v>
      </c>
      <c r="G5425" s="5" t="s">
        <v>69</v>
      </c>
      <c r="H5425" s="5">
        <v>4848076</v>
      </c>
      <c r="I5425" s="5">
        <v>3880708.1</v>
      </c>
      <c r="J5425" s="5">
        <v>77</v>
      </c>
      <c r="K5425" s="5">
        <v>173864</v>
      </c>
      <c r="L5425" s="5">
        <v>5006710</v>
      </c>
      <c r="M5425" s="5">
        <v>967367.9</v>
      </c>
      <c r="N5425" s="5">
        <v>0.19950000000000001</v>
      </c>
      <c r="O5425" s="5">
        <v>5</v>
      </c>
      <c r="P5425" s="5">
        <v>281099</v>
      </c>
    </row>
    <row r="5426" spans="1:16" x14ac:dyDescent="0.3">
      <c r="A5426" s="5">
        <v>69</v>
      </c>
      <c r="B5426" s="5" t="s">
        <v>171</v>
      </c>
      <c r="C5426" s="5">
        <v>4</v>
      </c>
      <c r="D5426" s="5" t="s">
        <v>78</v>
      </c>
      <c r="E5426" s="5">
        <v>2024</v>
      </c>
      <c r="F5426" s="5">
        <v>12</v>
      </c>
      <c r="G5426" s="5" t="s">
        <v>69</v>
      </c>
      <c r="H5426" s="5">
        <v>8029299</v>
      </c>
      <c r="I5426" s="5">
        <v>6423888.5999999996</v>
      </c>
      <c r="J5426" s="5">
        <v>114</v>
      </c>
      <c r="K5426" s="5">
        <v>304514</v>
      </c>
      <c r="L5426" s="5">
        <v>8317200</v>
      </c>
      <c r="M5426" s="5">
        <v>1605410.4</v>
      </c>
      <c r="N5426" s="5">
        <v>0.19989999999999999</v>
      </c>
      <c r="O5426" s="5">
        <v>8</v>
      </c>
      <c r="P5426" s="5">
        <v>147789</v>
      </c>
    </row>
    <row r="5427" spans="1:16" x14ac:dyDescent="0.3">
      <c r="A5427" s="5">
        <v>53</v>
      </c>
      <c r="B5427" s="5" t="s">
        <v>172</v>
      </c>
      <c r="C5427" s="5">
        <v>7</v>
      </c>
      <c r="D5427" s="5" t="s">
        <v>91</v>
      </c>
      <c r="E5427" s="5">
        <v>2021</v>
      </c>
      <c r="F5427" s="5">
        <v>1</v>
      </c>
      <c r="G5427" s="5" t="s">
        <v>22</v>
      </c>
      <c r="H5427" s="5">
        <v>2775200</v>
      </c>
      <c r="I5427" s="5">
        <v>2572757</v>
      </c>
      <c r="J5427" s="5">
        <v>38</v>
      </c>
      <c r="K5427" s="5">
        <v>594060</v>
      </c>
      <c r="L5427" s="5">
        <v>3364780</v>
      </c>
      <c r="M5427" s="5">
        <v>202443</v>
      </c>
      <c r="N5427" s="5">
        <v>7.2900000000000006E-2</v>
      </c>
      <c r="O5427" s="5">
        <v>3</v>
      </c>
      <c r="P5427" s="5">
        <v>164759</v>
      </c>
    </row>
    <row r="5428" spans="1:16" x14ac:dyDescent="0.3">
      <c r="A5428" s="5">
        <v>53</v>
      </c>
      <c r="B5428" s="5" t="s">
        <v>172</v>
      </c>
      <c r="C5428" s="5">
        <v>7</v>
      </c>
      <c r="D5428" s="5" t="s">
        <v>91</v>
      </c>
      <c r="E5428" s="5">
        <v>2021</v>
      </c>
      <c r="F5428" s="5">
        <v>2</v>
      </c>
      <c r="G5428" s="5" t="s">
        <v>23</v>
      </c>
      <c r="H5428" s="5">
        <v>2426642</v>
      </c>
      <c r="I5428" s="5">
        <v>2045436.96</v>
      </c>
      <c r="J5428" s="5">
        <v>30</v>
      </c>
      <c r="K5428" s="5">
        <v>157224</v>
      </c>
      <c r="L5428" s="5">
        <v>2570750</v>
      </c>
      <c r="M5428" s="5">
        <v>381205.04</v>
      </c>
      <c r="N5428" s="5">
        <v>0.15709999999999999</v>
      </c>
      <c r="O5428" s="5">
        <v>2</v>
      </c>
      <c r="P5428" s="5">
        <v>10425</v>
      </c>
    </row>
    <row r="5429" spans="1:16" x14ac:dyDescent="0.3">
      <c r="A5429" s="5">
        <v>53</v>
      </c>
      <c r="B5429" s="5" t="s">
        <v>172</v>
      </c>
      <c r="C5429" s="5">
        <v>7</v>
      </c>
      <c r="D5429" s="5" t="s">
        <v>91</v>
      </c>
      <c r="E5429" s="5">
        <v>2021</v>
      </c>
      <c r="F5429" s="5">
        <v>3</v>
      </c>
      <c r="G5429" s="5" t="s">
        <v>24</v>
      </c>
      <c r="H5429" s="5">
        <v>2058010</v>
      </c>
      <c r="I5429" s="5">
        <v>1629529.27</v>
      </c>
      <c r="J5429" s="5">
        <v>34</v>
      </c>
      <c r="K5429" s="5">
        <v>81780</v>
      </c>
      <c r="L5429" s="5">
        <v>2134010</v>
      </c>
      <c r="M5429" s="5">
        <v>428480.73</v>
      </c>
      <c r="N5429" s="5">
        <v>0.2082</v>
      </c>
      <c r="O5429" s="5">
        <v>1</v>
      </c>
      <c r="P5429" s="5">
        <v>5046</v>
      </c>
    </row>
    <row r="5430" spans="1:16" x14ac:dyDescent="0.3">
      <c r="A5430" s="5">
        <v>53</v>
      </c>
      <c r="B5430" s="5" t="s">
        <v>172</v>
      </c>
      <c r="C5430" s="5">
        <v>7</v>
      </c>
      <c r="D5430" s="5" t="s">
        <v>91</v>
      </c>
      <c r="E5430" s="5">
        <v>2021</v>
      </c>
      <c r="F5430" s="5">
        <v>4</v>
      </c>
      <c r="G5430" s="5" t="s">
        <v>25</v>
      </c>
      <c r="H5430" s="5">
        <v>2805862</v>
      </c>
      <c r="I5430" s="5">
        <v>2461016.2200000002</v>
      </c>
      <c r="J5430" s="5">
        <v>34</v>
      </c>
      <c r="K5430" s="5">
        <v>303672</v>
      </c>
      <c r="L5430" s="5">
        <v>3102920</v>
      </c>
      <c r="M5430" s="5">
        <v>344845.78</v>
      </c>
      <c r="N5430" s="5">
        <v>0.1229</v>
      </c>
      <c r="O5430" s="5">
        <v>6</v>
      </c>
      <c r="P5430" s="5">
        <v>437863</v>
      </c>
    </row>
    <row r="5431" spans="1:16" x14ac:dyDescent="0.3">
      <c r="A5431" s="5">
        <v>53</v>
      </c>
      <c r="B5431" s="5" t="s">
        <v>172</v>
      </c>
      <c r="C5431" s="5">
        <v>7</v>
      </c>
      <c r="D5431" s="5" t="s">
        <v>91</v>
      </c>
      <c r="E5431" s="5">
        <v>2021</v>
      </c>
      <c r="F5431" s="5">
        <v>5</v>
      </c>
      <c r="G5431" s="5" t="s">
        <v>26</v>
      </c>
      <c r="H5431" s="5">
        <v>2917879</v>
      </c>
      <c r="I5431" s="5">
        <v>2550875.54</v>
      </c>
      <c r="J5431" s="5">
        <v>37</v>
      </c>
      <c r="K5431" s="5">
        <v>348679</v>
      </c>
      <c r="L5431" s="5">
        <v>3255130</v>
      </c>
      <c r="M5431" s="5">
        <v>367003.46</v>
      </c>
      <c r="N5431" s="5">
        <v>0.1258</v>
      </c>
      <c r="O5431" s="5">
        <v>6</v>
      </c>
      <c r="P5431" s="5">
        <v>178101</v>
      </c>
    </row>
    <row r="5432" spans="1:16" x14ac:dyDescent="0.3">
      <c r="A5432" s="5">
        <v>53</v>
      </c>
      <c r="B5432" s="5" t="s">
        <v>172</v>
      </c>
      <c r="C5432" s="5">
        <v>7</v>
      </c>
      <c r="D5432" s="5" t="s">
        <v>91</v>
      </c>
      <c r="E5432" s="5">
        <v>2021</v>
      </c>
      <c r="F5432" s="5">
        <v>6</v>
      </c>
      <c r="G5432" s="5" t="s">
        <v>27</v>
      </c>
      <c r="H5432" s="5">
        <v>2669573</v>
      </c>
      <c r="I5432" s="5">
        <v>2114981.65</v>
      </c>
      <c r="J5432" s="5">
        <v>46</v>
      </c>
      <c r="K5432" s="5">
        <v>147319</v>
      </c>
      <c r="L5432" s="5">
        <v>2809530</v>
      </c>
      <c r="M5432" s="5">
        <v>554591.35</v>
      </c>
      <c r="N5432" s="5">
        <v>0.2077</v>
      </c>
      <c r="O5432" s="5">
        <v>1</v>
      </c>
      <c r="P5432" s="5">
        <v>10332</v>
      </c>
    </row>
    <row r="5433" spans="1:16" x14ac:dyDescent="0.3">
      <c r="A5433" s="5">
        <v>53</v>
      </c>
      <c r="B5433" s="5" t="s">
        <v>172</v>
      </c>
      <c r="C5433" s="5">
        <v>7</v>
      </c>
      <c r="D5433" s="5" t="s">
        <v>91</v>
      </c>
      <c r="E5433" s="5">
        <v>2021</v>
      </c>
      <c r="F5433" s="5">
        <v>7</v>
      </c>
      <c r="G5433" s="5" t="s">
        <v>28</v>
      </c>
      <c r="H5433" s="5">
        <v>2507842</v>
      </c>
      <c r="I5433" s="5">
        <v>2213388.37</v>
      </c>
      <c r="J5433" s="5">
        <v>42</v>
      </c>
      <c r="K5433" s="5">
        <v>443943</v>
      </c>
      <c r="L5433" s="5">
        <v>2946340</v>
      </c>
      <c r="M5433" s="5">
        <v>294453.63</v>
      </c>
      <c r="N5433" s="5">
        <v>0.1174</v>
      </c>
      <c r="O5433" s="5">
        <v>5</v>
      </c>
      <c r="P5433" s="5">
        <v>74556</v>
      </c>
    </row>
    <row r="5434" spans="1:16" x14ac:dyDescent="0.3">
      <c r="A5434" s="5">
        <v>53</v>
      </c>
      <c r="B5434" s="5" t="s">
        <v>172</v>
      </c>
      <c r="C5434" s="5">
        <v>7</v>
      </c>
      <c r="D5434" s="5" t="s">
        <v>91</v>
      </c>
      <c r="E5434" s="5">
        <v>2021</v>
      </c>
      <c r="F5434" s="5">
        <v>8</v>
      </c>
      <c r="G5434" s="5" t="s">
        <v>29</v>
      </c>
      <c r="H5434" s="5">
        <v>2632476</v>
      </c>
      <c r="I5434" s="5">
        <v>2194311.7799999998</v>
      </c>
      <c r="J5434" s="5">
        <v>36</v>
      </c>
      <c r="K5434" s="5">
        <v>198165</v>
      </c>
      <c r="L5434" s="5">
        <v>2817040</v>
      </c>
      <c r="M5434" s="5">
        <v>438164.22</v>
      </c>
      <c r="N5434" s="5">
        <v>0.16639999999999999</v>
      </c>
      <c r="O5434" s="5">
        <v>5</v>
      </c>
      <c r="P5434" s="5">
        <v>61386</v>
      </c>
    </row>
    <row r="5435" spans="1:16" x14ac:dyDescent="0.3">
      <c r="A5435" s="5">
        <v>53</v>
      </c>
      <c r="B5435" s="5" t="s">
        <v>172</v>
      </c>
      <c r="C5435" s="5">
        <v>7</v>
      </c>
      <c r="D5435" s="5" t="s">
        <v>91</v>
      </c>
      <c r="E5435" s="5">
        <v>2021</v>
      </c>
      <c r="F5435" s="5">
        <v>9</v>
      </c>
      <c r="G5435" s="5" t="s">
        <v>30</v>
      </c>
      <c r="H5435" s="5">
        <v>2158941</v>
      </c>
      <c r="I5435" s="5">
        <v>1889878.28</v>
      </c>
      <c r="J5435" s="5">
        <v>34</v>
      </c>
      <c r="K5435" s="5">
        <v>306648</v>
      </c>
      <c r="L5435" s="5">
        <v>2459680</v>
      </c>
      <c r="M5435" s="5">
        <v>269062.71999999997</v>
      </c>
      <c r="N5435" s="5">
        <v>0.1246</v>
      </c>
      <c r="O5435" s="5">
        <v>5</v>
      </c>
      <c r="P5435" s="5">
        <v>76536</v>
      </c>
    </row>
    <row r="5436" spans="1:16" x14ac:dyDescent="0.3">
      <c r="A5436" s="5">
        <v>53</v>
      </c>
      <c r="B5436" s="5" t="s">
        <v>172</v>
      </c>
      <c r="C5436" s="5">
        <v>7</v>
      </c>
      <c r="D5436" s="5" t="s">
        <v>91</v>
      </c>
      <c r="E5436" s="5">
        <v>2021</v>
      </c>
      <c r="F5436" s="5">
        <v>10</v>
      </c>
      <c r="G5436" s="5" t="s">
        <v>31</v>
      </c>
      <c r="H5436" s="5">
        <v>4924336</v>
      </c>
      <c r="I5436" s="5">
        <v>4067537.98</v>
      </c>
      <c r="J5436" s="5">
        <v>59</v>
      </c>
      <c r="K5436" s="5">
        <v>329907</v>
      </c>
      <c r="L5436" s="5">
        <v>5221920</v>
      </c>
      <c r="M5436" s="5">
        <v>856798.02</v>
      </c>
      <c r="N5436" s="5">
        <v>0.17399999999999999</v>
      </c>
      <c r="O5436" s="5">
        <v>4</v>
      </c>
      <c r="P5436" s="5">
        <v>236458</v>
      </c>
    </row>
    <row r="5437" spans="1:16" x14ac:dyDescent="0.3">
      <c r="A5437" s="5">
        <v>53</v>
      </c>
      <c r="B5437" s="5" t="s">
        <v>172</v>
      </c>
      <c r="C5437" s="5">
        <v>7</v>
      </c>
      <c r="D5437" s="5" t="s">
        <v>91</v>
      </c>
      <c r="E5437" s="5">
        <v>2021</v>
      </c>
      <c r="F5437" s="5">
        <v>11</v>
      </c>
      <c r="G5437" s="5" t="s">
        <v>32</v>
      </c>
      <c r="H5437" s="5">
        <v>4392225</v>
      </c>
      <c r="I5437" s="5">
        <v>3784866.64</v>
      </c>
      <c r="J5437" s="5">
        <v>60</v>
      </c>
      <c r="K5437" s="5">
        <v>424998</v>
      </c>
      <c r="L5437" s="5">
        <v>4811390</v>
      </c>
      <c r="M5437" s="5">
        <v>607358.36</v>
      </c>
      <c r="N5437" s="5">
        <v>0.13830000000000001</v>
      </c>
      <c r="O5437" s="5">
        <v>3</v>
      </c>
      <c r="P5437" s="5">
        <v>94035</v>
      </c>
    </row>
    <row r="5438" spans="1:16" x14ac:dyDescent="0.3">
      <c r="A5438" s="5">
        <v>53</v>
      </c>
      <c r="B5438" s="5" t="s">
        <v>172</v>
      </c>
      <c r="C5438" s="5">
        <v>7</v>
      </c>
      <c r="D5438" s="5" t="s">
        <v>91</v>
      </c>
      <c r="E5438" s="5">
        <v>2021</v>
      </c>
      <c r="F5438" s="5">
        <v>12</v>
      </c>
      <c r="G5438" s="5" t="s">
        <v>33</v>
      </c>
      <c r="H5438" s="5">
        <v>4080703</v>
      </c>
      <c r="I5438" s="5">
        <v>3285658.16</v>
      </c>
      <c r="J5438" s="5">
        <v>66</v>
      </c>
      <c r="K5438" s="5">
        <v>217429</v>
      </c>
      <c r="L5438" s="5">
        <v>4281640</v>
      </c>
      <c r="M5438" s="5">
        <v>795044.84</v>
      </c>
      <c r="N5438" s="5">
        <v>0.1948</v>
      </c>
      <c r="O5438" s="5">
        <v>6</v>
      </c>
      <c r="P5438" s="5">
        <v>96646</v>
      </c>
    </row>
    <row r="5439" spans="1:16" x14ac:dyDescent="0.3">
      <c r="A5439" s="5">
        <v>53</v>
      </c>
      <c r="B5439" s="5" t="s">
        <v>172</v>
      </c>
      <c r="C5439" s="5">
        <v>7</v>
      </c>
      <c r="D5439" s="5" t="s">
        <v>91</v>
      </c>
      <c r="E5439" s="5">
        <v>2022</v>
      </c>
      <c r="F5439" s="5">
        <v>1</v>
      </c>
      <c r="G5439" s="5" t="s">
        <v>34</v>
      </c>
      <c r="H5439" s="5">
        <v>3069924</v>
      </c>
      <c r="I5439" s="5">
        <v>2659696.54</v>
      </c>
      <c r="J5439" s="5">
        <v>30</v>
      </c>
      <c r="K5439" s="5">
        <v>322623</v>
      </c>
      <c r="L5439" s="5">
        <v>3375710</v>
      </c>
      <c r="M5439" s="5">
        <v>410227.46</v>
      </c>
      <c r="N5439" s="5">
        <v>0.1336</v>
      </c>
      <c r="O5439" s="5">
        <v>2</v>
      </c>
      <c r="P5439" s="5">
        <v>9348</v>
      </c>
    </row>
    <row r="5440" spans="1:16" x14ac:dyDescent="0.3">
      <c r="A5440" s="5">
        <v>53</v>
      </c>
      <c r="B5440" s="5" t="s">
        <v>172</v>
      </c>
      <c r="C5440" s="5">
        <v>7</v>
      </c>
      <c r="D5440" s="5" t="s">
        <v>91</v>
      </c>
      <c r="E5440" s="5">
        <v>2022</v>
      </c>
      <c r="F5440" s="5">
        <v>2</v>
      </c>
      <c r="G5440" s="5" t="s">
        <v>35</v>
      </c>
      <c r="H5440" s="5">
        <v>3201676</v>
      </c>
      <c r="I5440" s="5">
        <v>2763816.02</v>
      </c>
      <c r="J5440" s="5">
        <v>43</v>
      </c>
      <c r="K5440" s="5">
        <v>318635</v>
      </c>
      <c r="L5440" s="5">
        <v>3515550</v>
      </c>
      <c r="M5440" s="5">
        <v>437859.98</v>
      </c>
      <c r="N5440" s="5">
        <v>0.1368</v>
      </c>
      <c r="O5440" s="5">
        <v>1</v>
      </c>
      <c r="P5440" s="5">
        <v>322</v>
      </c>
    </row>
    <row r="5441" spans="1:16" x14ac:dyDescent="0.3">
      <c r="A5441" s="5">
        <v>53</v>
      </c>
      <c r="B5441" s="5" t="s">
        <v>172</v>
      </c>
      <c r="C5441" s="5">
        <v>7</v>
      </c>
      <c r="D5441" s="5" t="s">
        <v>91</v>
      </c>
      <c r="E5441" s="5">
        <v>2022</v>
      </c>
      <c r="F5441" s="5">
        <v>3</v>
      </c>
      <c r="G5441" s="5" t="s">
        <v>36</v>
      </c>
      <c r="H5441" s="5">
        <v>3495586</v>
      </c>
      <c r="I5441" s="5">
        <v>2892023.11</v>
      </c>
      <c r="J5441" s="5">
        <v>60</v>
      </c>
      <c r="K5441" s="5">
        <v>317888</v>
      </c>
      <c r="L5441" s="5">
        <v>3802410</v>
      </c>
      <c r="M5441" s="5">
        <v>603562.89</v>
      </c>
      <c r="N5441" s="5">
        <v>0.17269999999999999</v>
      </c>
      <c r="O5441" s="5">
        <v>3</v>
      </c>
      <c r="P5441" s="5">
        <v>52888</v>
      </c>
    </row>
    <row r="5442" spans="1:16" x14ac:dyDescent="0.3">
      <c r="A5442" s="5">
        <v>53</v>
      </c>
      <c r="B5442" s="5" t="s">
        <v>172</v>
      </c>
      <c r="C5442" s="5">
        <v>7</v>
      </c>
      <c r="D5442" s="5" t="s">
        <v>91</v>
      </c>
      <c r="E5442" s="5">
        <v>2022</v>
      </c>
      <c r="F5442" s="5">
        <v>4</v>
      </c>
      <c r="G5442" s="5" t="s">
        <v>37</v>
      </c>
      <c r="H5442" s="5">
        <v>2475509</v>
      </c>
      <c r="I5442" s="5">
        <v>2108818.9500000002</v>
      </c>
      <c r="J5442" s="5">
        <v>53</v>
      </c>
      <c r="K5442" s="5">
        <v>225026</v>
      </c>
      <c r="L5442" s="5">
        <v>2685320</v>
      </c>
      <c r="M5442" s="5">
        <v>366690.05</v>
      </c>
      <c r="N5442" s="5">
        <v>0.14810000000000001</v>
      </c>
      <c r="O5442" s="5">
        <v>3</v>
      </c>
      <c r="P5442" s="5">
        <v>8797</v>
      </c>
    </row>
    <row r="5443" spans="1:16" x14ac:dyDescent="0.3">
      <c r="A5443" s="5">
        <v>53</v>
      </c>
      <c r="B5443" s="5" t="s">
        <v>172</v>
      </c>
      <c r="C5443" s="5">
        <v>7</v>
      </c>
      <c r="D5443" s="5" t="s">
        <v>91</v>
      </c>
      <c r="E5443" s="5">
        <v>2022</v>
      </c>
      <c r="F5443" s="5">
        <v>5</v>
      </c>
      <c r="G5443" s="5" t="s">
        <v>38</v>
      </c>
      <c r="H5443" s="5">
        <v>4619503</v>
      </c>
      <c r="I5443" s="5">
        <v>3951894.71</v>
      </c>
      <c r="J5443" s="5">
        <v>64</v>
      </c>
      <c r="K5443" s="5">
        <v>525285</v>
      </c>
      <c r="L5443" s="5">
        <v>5120370</v>
      </c>
      <c r="M5443" s="5">
        <v>667608.29</v>
      </c>
      <c r="N5443" s="5">
        <v>0.14449999999999999</v>
      </c>
      <c r="O5443" s="5">
        <v>10</v>
      </c>
      <c r="P5443" s="5">
        <v>506499</v>
      </c>
    </row>
    <row r="5444" spans="1:16" x14ac:dyDescent="0.3">
      <c r="A5444" s="5">
        <v>53</v>
      </c>
      <c r="B5444" s="5" t="s">
        <v>172</v>
      </c>
      <c r="C5444" s="5">
        <v>7</v>
      </c>
      <c r="D5444" s="5" t="s">
        <v>91</v>
      </c>
      <c r="E5444" s="5">
        <v>2022</v>
      </c>
      <c r="F5444" s="5">
        <v>6</v>
      </c>
      <c r="G5444" s="5" t="s">
        <v>39</v>
      </c>
      <c r="H5444" s="5">
        <v>3997484</v>
      </c>
      <c r="I5444" s="5">
        <v>3624829.82</v>
      </c>
      <c r="J5444" s="5">
        <v>64</v>
      </c>
      <c r="K5444" s="5">
        <v>586780</v>
      </c>
      <c r="L5444" s="5">
        <v>4571540</v>
      </c>
      <c r="M5444" s="5">
        <v>372654.18</v>
      </c>
      <c r="N5444" s="5">
        <v>9.3200000000000005E-2</v>
      </c>
      <c r="O5444" s="5">
        <v>3</v>
      </c>
      <c r="P5444" s="5">
        <v>117145</v>
      </c>
    </row>
    <row r="5445" spans="1:16" x14ac:dyDescent="0.3">
      <c r="A5445" s="5">
        <v>53</v>
      </c>
      <c r="B5445" s="5" t="s">
        <v>172</v>
      </c>
      <c r="C5445" s="5">
        <v>7</v>
      </c>
      <c r="D5445" s="5" t="s">
        <v>91</v>
      </c>
      <c r="E5445" s="5">
        <v>2022</v>
      </c>
      <c r="F5445" s="5">
        <v>7</v>
      </c>
      <c r="G5445" s="5" t="s">
        <v>40</v>
      </c>
      <c r="H5445" s="5">
        <v>4038194</v>
      </c>
      <c r="I5445" s="5">
        <v>3683871.09</v>
      </c>
      <c r="J5445" s="5">
        <v>56</v>
      </c>
      <c r="K5445" s="5">
        <v>690084</v>
      </c>
      <c r="L5445" s="5">
        <v>4713570</v>
      </c>
      <c r="M5445" s="5">
        <v>354322.91</v>
      </c>
      <c r="N5445" s="5">
        <v>8.77E-2</v>
      </c>
      <c r="O5445" s="5">
        <v>4</v>
      </c>
      <c r="P5445" s="5">
        <v>90104</v>
      </c>
    </row>
    <row r="5446" spans="1:16" x14ac:dyDescent="0.3">
      <c r="A5446" s="5">
        <v>53</v>
      </c>
      <c r="B5446" s="5" t="s">
        <v>172</v>
      </c>
      <c r="C5446" s="5">
        <v>7</v>
      </c>
      <c r="D5446" s="5" t="s">
        <v>91</v>
      </c>
      <c r="E5446" s="5">
        <v>2022</v>
      </c>
      <c r="F5446" s="5">
        <v>8</v>
      </c>
      <c r="G5446" s="5" t="s">
        <v>41</v>
      </c>
      <c r="H5446" s="5">
        <v>4479171</v>
      </c>
      <c r="I5446" s="5">
        <v>4282415.33</v>
      </c>
      <c r="J5446" s="5">
        <v>63</v>
      </c>
      <c r="K5446" s="5">
        <v>1007304</v>
      </c>
      <c r="L5446" s="5">
        <v>5468390</v>
      </c>
      <c r="M5446" s="5">
        <v>196755.67</v>
      </c>
      <c r="N5446" s="5">
        <v>4.3900000000000002E-2</v>
      </c>
      <c r="O5446" s="5">
        <v>7</v>
      </c>
      <c r="P5446" s="5">
        <v>254955</v>
      </c>
    </row>
    <row r="5447" spans="1:16" x14ac:dyDescent="0.3">
      <c r="A5447" s="5">
        <v>53</v>
      </c>
      <c r="B5447" s="5" t="s">
        <v>172</v>
      </c>
      <c r="C5447" s="5">
        <v>7</v>
      </c>
      <c r="D5447" s="5" t="s">
        <v>91</v>
      </c>
      <c r="E5447" s="5">
        <v>2022</v>
      </c>
      <c r="F5447" s="5">
        <v>9</v>
      </c>
      <c r="G5447" s="5" t="s">
        <v>42</v>
      </c>
      <c r="H5447" s="5">
        <v>5056918</v>
      </c>
      <c r="I5447" s="5">
        <v>4356357.1100000003</v>
      </c>
      <c r="J5447" s="5">
        <v>62</v>
      </c>
      <c r="K5447" s="5">
        <v>640591</v>
      </c>
      <c r="L5447" s="5">
        <v>5666370</v>
      </c>
      <c r="M5447" s="5">
        <v>700560.89</v>
      </c>
      <c r="N5447" s="5">
        <v>0.13850000000000001</v>
      </c>
      <c r="O5447" s="5">
        <v>3</v>
      </c>
      <c r="P5447" s="5">
        <v>237276</v>
      </c>
    </row>
    <row r="5448" spans="1:16" x14ac:dyDescent="0.3">
      <c r="A5448" s="5">
        <v>53</v>
      </c>
      <c r="B5448" s="5" t="s">
        <v>172</v>
      </c>
      <c r="C5448" s="5">
        <v>7</v>
      </c>
      <c r="D5448" s="5" t="s">
        <v>91</v>
      </c>
      <c r="E5448" s="5">
        <v>2022</v>
      </c>
      <c r="F5448" s="5">
        <v>10</v>
      </c>
      <c r="G5448" s="5" t="s">
        <v>43</v>
      </c>
      <c r="H5448" s="5">
        <v>6615836</v>
      </c>
      <c r="I5448" s="5">
        <v>5791615.5999999996</v>
      </c>
      <c r="J5448" s="5">
        <v>90</v>
      </c>
      <c r="K5448" s="5">
        <v>905228</v>
      </c>
      <c r="L5448" s="5">
        <v>7500570</v>
      </c>
      <c r="M5448" s="5">
        <v>824220.4</v>
      </c>
      <c r="N5448" s="5">
        <v>0.1246</v>
      </c>
      <c r="O5448" s="5">
        <v>4</v>
      </c>
      <c r="P5448" s="5">
        <v>173265</v>
      </c>
    </row>
    <row r="5449" spans="1:16" x14ac:dyDescent="0.3">
      <c r="A5449" s="5">
        <v>53</v>
      </c>
      <c r="B5449" s="5" t="s">
        <v>172</v>
      </c>
      <c r="C5449" s="5">
        <v>7</v>
      </c>
      <c r="D5449" s="5" t="s">
        <v>91</v>
      </c>
      <c r="E5449" s="5">
        <v>2022</v>
      </c>
      <c r="F5449" s="5">
        <v>11</v>
      </c>
      <c r="G5449" s="5" t="s">
        <v>44</v>
      </c>
      <c r="H5449" s="5">
        <v>4688201</v>
      </c>
      <c r="I5449" s="5">
        <v>3890874.71</v>
      </c>
      <c r="J5449" s="5">
        <v>77</v>
      </c>
      <c r="K5449" s="5">
        <v>345933</v>
      </c>
      <c r="L5449" s="5">
        <v>5023260</v>
      </c>
      <c r="M5449" s="5">
        <v>797326.29</v>
      </c>
      <c r="N5449" s="5">
        <v>0.1701</v>
      </c>
      <c r="O5449" s="5">
        <v>4</v>
      </c>
      <c r="P5449" s="5">
        <v>132986</v>
      </c>
    </row>
    <row r="5450" spans="1:16" x14ac:dyDescent="0.3">
      <c r="A5450" s="5">
        <v>53</v>
      </c>
      <c r="B5450" s="5" t="s">
        <v>172</v>
      </c>
      <c r="C5450" s="5">
        <v>7</v>
      </c>
      <c r="D5450" s="5" t="s">
        <v>91</v>
      </c>
      <c r="E5450" s="5">
        <v>2022</v>
      </c>
      <c r="F5450" s="5">
        <v>12</v>
      </c>
      <c r="G5450" s="5" t="s">
        <v>45</v>
      </c>
      <c r="H5450" s="5">
        <v>5345854</v>
      </c>
      <c r="I5450" s="5">
        <v>4292198.9000000004</v>
      </c>
      <c r="J5450" s="5">
        <v>88</v>
      </c>
      <c r="K5450" s="5">
        <v>283349</v>
      </c>
      <c r="L5450" s="5">
        <v>5613550</v>
      </c>
      <c r="M5450" s="5">
        <v>1053655.1000000001</v>
      </c>
      <c r="N5450" s="5">
        <v>0.1971</v>
      </c>
      <c r="O5450" s="5">
        <v>10</v>
      </c>
      <c r="P5450" s="5">
        <v>101585</v>
      </c>
    </row>
    <row r="5451" spans="1:16" x14ac:dyDescent="0.3">
      <c r="A5451" s="5">
        <v>53</v>
      </c>
      <c r="B5451" s="5" t="s">
        <v>172</v>
      </c>
      <c r="C5451" s="5">
        <v>7</v>
      </c>
      <c r="D5451" s="5" t="s">
        <v>91</v>
      </c>
      <c r="E5451" s="5">
        <v>2023</v>
      </c>
      <c r="F5451" s="5">
        <v>1</v>
      </c>
      <c r="G5451" s="5" t="s">
        <v>46</v>
      </c>
      <c r="H5451" s="5">
        <v>3792685</v>
      </c>
      <c r="I5451" s="5">
        <v>3262920.89</v>
      </c>
      <c r="J5451" s="5">
        <v>62</v>
      </c>
      <c r="K5451" s="5">
        <v>465374</v>
      </c>
      <c r="L5451" s="5">
        <v>4247710</v>
      </c>
      <c r="M5451" s="5">
        <v>529764.11</v>
      </c>
      <c r="N5451" s="5">
        <v>0.13969999999999999</v>
      </c>
      <c r="O5451" s="5">
        <v>6</v>
      </c>
      <c r="P5451" s="5">
        <v>185977</v>
      </c>
    </row>
    <row r="5452" spans="1:16" x14ac:dyDescent="0.3">
      <c r="A5452" s="5">
        <v>53</v>
      </c>
      <c r="B5452" s="5" t="s">
        <v>172</v>
      </c>
      <c r="C5452" s="5">
        <v>7</v>
      </c>
      <c r="D5452" s="5" t="s">
        <v>91</v>
      </c>
      <c r="E5452" s="5">
        <v>2023</v>
      </c>
      <c r="F5452" s="5">
        <v>2</v>
      </c>
      <c r="G5452" s="5" t="s">
        <v>47</v>
      </c>
      <c r="H5452" s="5">
        <v>4127753</v>
      </c>
      <c r="I5452" s="5">
        <v>3583178.61</v>
      </c>
      <c r="J5452" s="5">
        <v>52</v>
      </c>
      <c r="K5452" s="5">
        <v>473330</v>
      </c>
      <c r="L5452" s="5">
        <v>4590740</v>
      </c>
      <c r="M5452" s="5">
        <v>544574.39</v>
      </c>
      <c r="N5452" s="5">
        <v>0.13189999999999999</v>
      </c>
      <c r="O5452" s="5">
        <v>3</v>
      </c>
      <c r="P5452" s="5">
        <v>55657</v>
      </c>
    </row>
    <row r="5453" spans="1:16" x14ac:dyDescent="0.3">
      <c r="A5453" s="5">
        <v>53</v>
      </c>
      <c r="B5453" s="5" t="s">
        <v>172</v>
      </c>
      <c r="C5453" s="5">
        <v>7</v>
      </c>
      <c r="D5453" s="5" t="s">
        <v>91</v>
      </c>
      <c r="E5453" s="5">
        <v>2023</v>
      </c>
      <c r="F5453" s="5">
        <v>3</v>
      </c>
      <c r="G5453" s="5" t="s">
        <v>48</v>
      </c>
      <c r="H5453" s="5">
        <v>4823102</v>
      </c>
      <c r="I5453" s="5">
        <v>4251057.21</v>
      </c>
      <c r="J5453" s="5">
        <v>70</v>
      </c>
      <c r="K5453" s="5">
        <v>657457</v>
      </c>
      <c r="L5453" s="5">
        <v>5465910</v>
      </c>
      <c r="M5453" s="5">
        <v>572044.79</v>
      </c>
      <c r="N5453" s="5">
        <v>0.1186</v>
      </c>
      <c r="O5453" s="5">
        <v>2</v>
      </c>
      <c r="P5453" s="5">
        <v>42248</v>
      </c>
    </row>
    <row r="5454" spans="1:16" x14ac:dyDescent="0.3">
      <c r="A5454" s="5">
        <v>53</v>
      </c>
      <c r="B5454" s="5" t="s">
        <v>172</v>
      </c>
      <c r="C5454" s="5">
        <v>7</v>
      </c>
      <c r="D5454" s="5" t="s">
        <v>91</v>
      </c>
      <c r="E5454" s="5">
        <v>2023</v>
      </c>
      <c r="F5454" s="5">
        <v>4</v>
      </c>
      <c r="G5454" s="5" t="s">
        <v>49</v>
      </c>
      <c r="H5454" s="5">
        <v>5348819</v>
      </c>
      <c r="I5454" s="5">
        <v>4594346.22</v>
      </c>
      <c r="J5454" s="5">
        <v>77</v>
      </c>
      <c r="K5454" s="5">
        <v>546751</v>
      </c>
      <c r="L5454" s="5">
        <v>5877890</v>
      </c>
      <c r="M5454" s="5">
        <v>754472.78</v>
      </c>
      <c r="N5454" s="5">
        <v>0.1411</v>
      </c>
      <c r="O5454" s="5">
        <v>13</v>
      </c>
      <c r="P5454" s="5">
        <v>381617</v>
      </c>
    </row>
    <row r="5455" spans="1:16" x14ac:dyDescent="0.3">
      <c r="A5455" s="5">
        <v>53</v>
      </c>
      <c r="B5455" s="5" t="s">
        <v>172</v>
      </c>
      <c r="C5455" s="5">
        <v>7</v>
      </c>
      <c r="D5455" s="5" t="s">
        <v>91</v>
      </c>
      <c r="E5455" s="5">
        <v>2023</v>
      </c>
      <c r="F5455" s="5">
        <v>5</v>
      </c>
      <c r="G5455" s="5" t="s">
        <v>50</v>
      </c>
      <c r="H5455" s="5">
        <v>5433955</v>
      </c>
      <c r="I5455" s="5">
        <v>4730751.0599999996</v>
      </c>
      <c r="J5455" s="5">
        <v>77</v>
      </c>
      <c r="K5455" s="5">
        <v>646055</v>
      </c>
      <c r="L5455" s="5">
        <v>6062910</v>
      </c>
      <c r="M5455" s="5">
        <v>703203.94</v>
      </c>
      <c r="N5455" s="5">
        <v>0.12939999999999999</v>
      </c>
      <c r="O5455" s="5">
        <v>8</v>
      </c>
      <c r="P5455" s="5">
        <v>184660</v>
      </c>
    </row>
    <row r="5456" spans="1:16" x14ac:dyDescent="0.3">
      <c r="A5456" s="5">
        <v>53</v>
      </c>
      <c r="B5456" s="5" t="s">
        <v>172</v>
      </c>
      <c r="C5456" s="5">
        <v>7</v>
      </c>
      <c r="D5456" s="5" t="s">
        <v>91</v>
      </c>
      <c r="E5456" s="5">
        <v>2023</v>
      </c>
      <c r="F5456" s="5">
        <v>6</v>
      </c>
      <c r="G5456" s="5" t="s">
        <v>51</v>
      </c>
      <c r="H5456" s="5">
        <v>5683200</v>
      </c>
      <c r="I5456" s="5">
        <v>4936833.8600000003</v>
      </c>
      <c r="J5456" s="5">
        <v>85</v>
      </c>
      <c r="K5456" s="5">
        <v>738821</v>
      </c>
      <c r="L5456" s="5">
        <v>6405190</v>
      </c>
      <c r="M5456" s="5">
        <v>746366.14</v>
      </c>
      <c r="N5456" s="5">
        <v>0.1313</v>
      </c>
      <c r="O5456" s="5">
        <v>10</v>
      </c>
      <c r="P5456" s="5">
        <v>323312</v>
      </c>
    </row>
    <row r="5457" spans="1:16" x14ac:dyDescent="0.3">
      <c r="A5457" s="5">
        <v>53</v>
      </c>
      <c r="B5457" s="5" t="s">
        <v>172</v>
      </c>
      <c r="C5457" s="5">
        <v>7</v>
      </c>
      <c r="D5457" s="5" t="s">
        <v>91</v>
      </c>
      <c r="E5457" s="5">
        <v>2023</v>
      </c>
      <c r="F5457" s="5">
        <v>7</v>
      </c>
      <c r="G5457" s="5" t="s">
        <v>52</v>
      </c>
      <c r="H5457" s="5">
        <v>3612964</v>
      </c>
      <c r="I5457" s="5">
        <v>3294695.3</v>
      </c>
      <c r="J5457" s="5">
        <v>61</v>
      </c>
      <c r="K5457" s="5">
        <v>644056</v>
      </c>
      <c r="L5457" s="5">
        <v>4247630</v>
      </c>
      <c r="M5457" s="5">
        <v>318268.7</v>
      </c>
      <c r="N5457" s="5">
        <v>8.8099999999999998E-2</v>
      </c>
      <c r="O5457" s="5">
        <v>6</v>
      </c>
      <c r="P5457" s="5">
        <v>117484</v>
      </c>
    </row>
    <row r="5458" spans="1:16" x14ac:dyDescent="0.3">
      <c r="A5458" s="5">
        <v>53</v>
      </c>
      <c r="B5458" s="5" t="s">
        <v>172</v>
      </c>
      <c r="C5458" s="5">
        <v>7</v>
      </c>
      <c r="D5458" s="5" t="s">
        <v>91</v>
      </c>
      <c r="E5458" s="5">
        <v>2023</v>
      </c>
      <c r="F5458" s="5">
        <v>8</v>
      </c>
      <c r="G5458" s="5" t="s">
        <v>53</v>
      </c>
      <c r="H5458" s="5">
        <v>5389914</v>
      </c>
      <c r="I5458" s="5">
        <v>4716020.41</v>
      </c>
      <c r="J5458" s="5">
        <v>74</v>
      </c>
      <c r="K5458" s="5">
        <v>707715</v>
      </c>
      <c r="L5458" s="5">
        <v>6069860</v>
      </c>
      <c r="M5458" s="5">
        <v>673893.59</v>
      </c>
      <c r="N5458" s="5">
        <v>0.125</v>
      </c>
      <c r="O5458" s="5">
        <v>4</v>
      </c>
      <c r="P5458" s="5">
        <v>83404</v>
      </c>
    </row>
    <row r="5459" spans="1:16" x14ac:dyDescent="0.3">
      <c r="A5459" s="5">
        <v>53</v>
      </c>
      <c r="B5459" s="5" t="s">
        <v>172</v>
      </c>
      <c r="C5459" s="5">
        <v>7</v>
      </c>
      <c r="D5459" s="5" t="s">
        <v>91</v>
      </c>
      <c r="E5459" s="5">
        <v>2023</v>
      </c>
      <c r="F5459" s="5">
        <v>9</v>
      </c>
      <c r="G5459" s="5" t="s">
        <v>54</v>
      </c>
      <c r="H5459" s="5">
        <v>5566988</v>
      </c>
      <c r="I5459" s="5">
        <v>5155650.47</v>
      </c>
      <c r="J5459" s="5">
        <v>84</v>
      </c>
      <c r="K5459" s="5">
        <v>1028348</v>
      </c>
      <c r="L5459" s="5">
        <v>6574830</v>
      </c>
      <c r="M5459" s="5">
        <v>411337.53</v>
      </c>
      <c r="N5459" s="5">
        <v>7.3899999999999993E-2</v>
      </c>
      <c r="O5459" s="5">
        <v>9</v>
      </c>
      <c r="P5459" s="5">
        <v>616417</v>
      </c>
    </row>
    <row r="5460" spans="1:16" x14ac:dyDescent="0.3">
      <c r="A5460" s="5">
        <v>53</v>
      </c>
      <c r="B5460" s="5" t="s">
        <v>172</v>
      </c>
      <c r="C5460" s="5">
        <v>7</v>
      </c>
      <c r="D5460" s="5" t="s">
        <v>91</v>
      </c>
      <c r="E5460" s="5">
        <v>2023</v>
      </c>
      <c r="F5460" s="5">
        <v>10</v>
      </c>
      <c r="G5460" s="5" t="s">
        <v>55</v>
      </c>
      <c r="H5460" s="5">
        <v>7431269</v>
      </c>
      <c r="I5460" s="5">
        <v>6251450.5</v>
      </c>
      <c r="J5460" s="5">
        <v>110</v>
      </c>
      <c r="K5460" s="5">
        <v>675653</v>
      </c>
      <c r="L5460" s="5">
        <v>8064860</v>
      </c>
      <c r="M5460" s="5">
        <v>1179818.5</v>
      </c>
      <c r="N5460" s="5">
        <v>0.1588</v>
      </c>
      <c r="O5460" s="5">
        <v>10</v>
      </c>
      <c r="P5460" s="5">
        <v>149569</v>
      </c>
    </row>
    <row r="5461" spans="1:16" x14ac:dyDescent="0.3">
      <c r="A5461" s="5">
        <v>53</v>
      </c>
      <c r="B5461" s="5" t="s">
        <v>172</v>
      </c>
      <c r="C5461" s="5">
        <v>7</v>
      </c>
      <c r="D5461" s="5" t="s">
        <v>91</v>
      </c>
      <c r="E5461" s="5">
        <v>2023</v>
      </c>
      <c r="F5461" s="5">
        <v>11</v>
      </c>
      <c r="G5461" s="5" t="s">
        <v>56</v>
      </c>
      <c r="H5461" s="5">
        <v>5929084</v>
      </c>
      <c r="I5461" s="5">
        <v>5005561.5199999996</v>
      </c>
      <c r="J5461" s="5">
        <v>105</v>
      </c>
      <c r="K5461" s="5">
        <v>665036</v>
      </c>
      <c r="L5461" s="5">
        <v>6574110</v>
      </c>
      <c r="M5461" s="5">
        <v>923522.48</v>
      </c>
      <c r="N5461" s="5">
        <v>0.15579999999999999</v>
      </c>
      <c r="O5461" s="5">
        <v>6</v>
      </c>
      <c r="P5461" s="5">
        <v>74911</v>
      </c>
    </row>
    <row r="5462" spans="1:16" x14ac:dyDescent="0.3">
      <c r="A5462" s="5">
        <v>53</v>
      </c>
      <c r="B5462" s="5" t="s">
        <v>172</v>
      </c>
      <c r="C5462" s="5">
        <v>7</v>
      </c>
      <c r="D5462" s="5" t="s">
        <v>91</v>
      </c>
      <c r="E5462" s="5">
        <v>2023</v>
      </c>
      <c r="F5462" s="5">
        <v>12</v>
      </c>
      <c r="G5462" s="5" t="s">
        <v>57</v>
      </c>
      <c r="H5462" s="5">
        <v>7687520</v>
      </c>
      <c r="I5462" s="5">
        <v>7006403.5099999998</v>
      </c>
      <c r="J5462" s="5">
        <v>110</v>
      </c>
      <c r="K5462" s="5">
        <v>1249810</v>
      </c>
      <c r="L5462" s="5">
        <v>8904380</v>
      </c>
      <c r="M5462" s="5">
        <v>681116.49</v>
      </c>
      <c r="N5462" s="5">
        <v>8.8599999999999998E-2</v>
      </c>
      <c r="O5462" s="5">
        <v>6</v>
      </c>
      <c r="P5462" s="5">
        <v>187664</v>
      </c>
    </row>
    <row r="5463" spans="1:16" x14ac:dyDescent="0.3">
      <c r="A5463" s="5">
        <v>53</v>
      </c>
      <c r="B5463" s="5" t="s">
        <v>172</v>
      </c>
      <c r="C5463" s="5">
        <v>7</v>
      </c>
      <c r="D5463" s="5" t="s">
        <v>91</v>
      </c>
      <c r="E5463" s="5">
        <v>2024</v>
      </c>
      <c r="F5463" s="5">
        <v>1</v>
      </c>
      <c r="G5463" s="5" t="s">
        <v>58</v>
      </c>
      <c r="H5463" s="5">
        <v>4529975</v>
      </c>
      <c r="I5463" s="5">
        <v>4065181.63</v>
      </c>
      <c r="J5463" s="5">
        <v>79</v>
      </c>
      <c r="K5463" s="5">
        <v>675546</v>
      </c>
      <c r="L5463" s="5">
        <v>5187390</v>
      </c>
      <c r="M5463" s="5">
        <v>464793.37</v>
      </c>
      <c r="N5463" s="5">
        <v>0.1026</v>
      </c>
      <c r="O5463" s="5">
        <v>7</v>
      </c>
      <c r="P5463" s="5">
        <v>94084</v>
      </c>
    </row>
    <row r="5464" spans="1:16" x14ac:dyDescent="0.3">
      <c r="A5464" s="5">
        <v>53</v>
      </c>
      <c r="B5464" s="5" t="s">
        <v>172</v>
      </c>
      <c r="C5464" s="5">
        <v>7</v>
      </c>
      <c r="D5464" s="5" t="s">
        <v>91</v>
      </c>
      <c r="E5464" s="5">
        <v>2024</v>
      </c>
      <c r="F5464" s="5">
        <v>2</v>
      </c>
      <c r="G5464" s="5" t="s">
        <v>59</v>
      </c>
      <c r="H5464" s="5">
        <v>4322544</v>
      </c>
      <c r="I5464" s="5">
        <v>3577736.52</v>
      </c>
      <c r="J5464" s="5">
        <v>70</v>
      </c>
      <c r="K5464" s="5">
        <v>359680</v>
      </c>
      <c r="L5464" s="5">
        <v>4662580</v>
      </c>
      <c r="M5464" s="5">
        <v>744807.48</v>
      </c>
      <c r="N5464" s="5">
        <v>0.17230000000000001</v>
      </c>
      <c r="O5464" s="5">
        <v>7</v>
      </c>
      <c r="P5464" s="5">
        <v>318014</v>
      </c>
    </row>
    <row r="5465" spans="1:16" x14ac:dyDescent="0.3">
      <c r="A5465" s="5">
        <v>53</v>
      </c>
      <c r="B5465" s="5" t="s">
        <v>172</v>
      </c>
      <c r="C5465" s="5">
        <v>7</v>
      </c>
      <c r="D5465" s="5" t="s">
        <v>91</v>
      </c>
      <c r="E5465" s="5">
        <v>2024</v>
      </c>
      <c r="F5465" s="5">
        <v>3</v>
      </c>
      <c r="G5465" s="5" t="s">
        <v>60</v>
      </c>
      <c r="H5465" s="5">
        <v>5649795</v>
      </c>
      <c r="I5465" s="5">
        <v>4794795.2300000004</v>
      </c>
      <c r="J5465" s="5">
        <v>74</v>
      </c>
      <c r="K5465" s="5">
        <v>520998</v>
      </c>
      <c r="L5465" s="5">
        <v>6142800</v>
      </c>
      <c r="M5465" s="5">
        <v>854999.77</v>
      </c>
      <c r="N5465" s="5">
        <v>0.15129999999999999</v>
      </c>
      <c r="O5465" s="5">
        <v>7</v>
      </c>
      <c r="P5465" s="5">
        <v>110279</v>
      </c>
    </row>
    <row r="5466" spans="1:16" x14ac:dyDescent="0.3">
      <c r="A5466" s="5">
        <v>53</v>
      </c>
      <c r="B5466" s="5" t="s">
        <v>172</v>
      </c>
      <c r="C5466" s="5">
        <v>7</v>
      </c>
      <c r="D5466" s="5" t="s">
        <v>91</v>
      </c>
      <c r="E5466" s="5">
        <v>2024</v>
      </c>
      <c r="F5466" s="5">
        <v>4</v>
      </c>
      <c r="G5466" s="5" t="s">
        <v>61</v>
      </c>
      <c r="H5466" s="5">
        <v>3991171</v>
      </c>
      <c r="I5466" s="5">
        <v>3436775.09</v>
      </c>
      <c r="J5466" s="5">
        <v>72</v>
      </c>
      <c r="K5466" s="5">
        <v>542531</v>
      </c>
      <c r="L5466" s="5">
        <v>4520500</v>
      </c>
      <c r="M5466" s="5">
        <v>554395.91</v>
      </c>
      <c r="N5466" s="5">
        <v>0.1389</v>
      </c>
      <c r="O5466" s="5">
        <v>4</v>
      </c>
      <c r="P5466" s="5">
        <v>48994</v>
      </c>
    </row>
    <row r="5467" spans="1:16" x14ac:dyDescent="0.3">
      <c r="A5467" s="5">
        <v>53</v>
      </c>
      <c r="B5467" s="5" t="s">
        <v>172</v>
      </c>
      <c r="C5467" s="5">
        <v>7</v>
      </c>
      <c r="D5467" s="5" t="s">
        <v>91</v>
      </c>
      <c r="E5467" s="5">
        <v>2024</v>
      </c>
      <c r="F5467" s="5">
        <v>5</v>
      </c>
      <c r="G5467" s="5" t="s">
        <v>62</v>
      </c>
      <c r="H5467" s="5">
        <v>6286805</v>
      </c>
      <c r="I5467" s="5">
        <v>5377856.6399999997</v>
      </c>
      <c r="J5467" s="5">
        <v>85</v>
      </c>
      <c r="K5467" s="5">
        <v>656744</v>
      </c>
      <c r="L5467" s="5">
        <v>6920840</v>
      </c>
      <c r="M5467" s="5">
        <v>908948.36</v>
      </c>
      <c r="N5467" s="5">
        <v>0.14460000000000001</v>
      </c>
      <c r="O5467" s="5">
        <v>10</v>
      </c>
      <c r="P5467" s="5">
        <v>506833</v>
      </c>
    </row>
    <row r="5468" spans="1:16" x14ac:dyDescent="0.3">
      <c r="A5468" s="5">
        <v>53</v>
      </c>
      <c r="B5468" s="5" t="s">
        <v>172</v>
      </c>
      <c r="C5468" s="5">
        <v>7</v>
      </c>
      <c r="D5468" s="5" t="s">
        <v>91</v>
      </c>
      <c r="E5468" s="5">
        <v>2024</v>
      </c>
      <c r="F5468" s="5">
        <v>6</v>
      </c>
      <c r="G5468" s="5" t="s">
        <v>63</v>
      </c>
      <c r="H5468" s="5">
        <v>7390262</v>
      </c>
      <c r="I5468" s="5">
        <v>6186100.71</v>
      </c>
      <c r="J5468" s="5">
        <v>95</v>
      </c>
      <c r="K5468" s="5">
        <v>612447</v>
      </c>
      <c r="L5468" s="5">
        <v>7963050</v>
      </c>
      <c r="M5468" s="5">
        <v>1204161.29</v>
      </c>
      <c r="N5468" s="5">
        <v>0.16289999999999999</v>
      </c>
      <c r="O5468" s="5">
        <v>9</v>
      </c>
      <c r="P5468" s="5">
        <v>294123</v>
      </c>
    </row>
    <row r="5469" spans="1:16" x14ac:dyDescent="0.3">
      <c r="A5469" s="5">
        <v>53</v>
      </c>
      <c r="B5469" s="5" t="s">
        <v>172</v>
      </c>
      <c r="C5469" s="5">
        <v>7</v>
      </c>
      <c r="D5469" s="5" t="s">
        <v>91</v>
      </c>
      <c r="E5469" s="5">
        <v>2024</v>
      </c>
      <c r="F5469" s="5">
        <v>7</v>
      </c>
      <c r="G5469" s="5" t="s">
        <v>64</v>
      </c>
      <c r="H5469" s="5">
        <v>4109267</v>
      </c>
      <c r="I5469" s="5">
        <v>3410391.6</v>
      </c>
      <c r="J5469" s="5">
        <v>67</v>
      </c>
      <c r="K5469" s="5">
        <v>338795</v>
      </c>
      <c r="L5469" s="5">
        <v>4435670</v>
      </c>
      <c r="M5469" s="5">
        <v>698875.4</v>
      </c>
      <c r="N5469" s="5">
        <v>0.1701</v>
      </c>
      <c r="O5469" s="5">
        <v>4</v>
      </c>
      <c r="P5469" s="5">
        <v>65445</v>
      </c>
    </row>
    <row r="5470" spans="1:16" x14ac:dyDescent="0.3">
      <c r="A5470" s="5">
        <v>53</v>
      </c>
      <c r="B5470" s="5" t="s">
        <v>172</v>
      </c>
      <c r="C5470" s="5">
        <v>7</v>
      </c>
      <c r="D5470" s="5" t="s">
        <v>91</v>
      </c>
      <c r="E5470" s="5">
        <v>2024</v>
      </c>
      <c r="F5470" s="5">
        <v>8</v>
      </c>
      <c r="G5470" s="5" t="s">
        <v>65</v>
      </c>
      <c r="H5470" s="5">
        <v>4345690</v>
      </c>
      <c r="I5470" s="5">
        <v>3718083.59</v>
      </c>
      <c r="J5470" s="5">
        <v>74</v>
      </c>
      <c r="K5470" s="5">
        <v>463751</v>
      </c>
      <c r="L5470" s="5">
        <v>4790710</v>
      </c>
      <c r="M5470" s="5">
        <v>627606.41</v>
      </c>
      <c r="N5470" s="5">
        <v>0.1444</v>
      </c>
      <c r="O5470" s="5">
        <v>5</v>
      </c>
      <c r="P5470" s="5">
        <v>30844</v>
      </c>
    </row>
    <row r="5471" spans="1:16" x14ac:dyDescent="0.3">
      <c r="A5471" s="5">
        <v>53</v>
      </c>
      <c r="B5471" s="5" t="s">
        <v>172</v>
      </c>
      <c r="C5471" s="5">
        <v>7</v>
      </c>
      <c r="D5471" s="5" t="s">
        <v>91</v>
      </c>
      <c r="E5471" s="5">
        <v>2024</v>
      </c>
      <c r="F5471" s="5">
        <v>9</v>
      </c>
      <c r="G5471" s="5" t="s">
        <v>66</v>
      </c>
      <c r="H5471" s="5">
        <v>6078345</v>
      </c>
      <c r="I5471" s="5">
        <v>5047707.13</v>
      </c>
      <c r="J5471" s="5">
        <v>85</v>
      </c>
      <c r="K5471" s="5">
        <v>392470</v>
      </c>
      <c r="L5471" s="5">
        <v>6454220</v>
      </c>
      <c r="M5471" s="5">
        <v>1030637.87</v>
      </c>
      <c r="N5471" s="5">
        <v>0.1696</v>
      </c>
      <c r="O5471" s="5">
        <v>12</v>
      </c>
      <c r="P5471" s="5">
        <v>179916</v>
      </c>
    </row>
    <row r="5472" spans="1:16" x14ac:dyDescent="0.3">
      <c r="A5472" s="5">
        <v>53</v>
      </c>
      <c r="B5472" s="5" t="s">
        <v>172</v>
      </c>
      <c r="C5472" s="5">
        <v>7</v>
      </c>
      <c r="D5472" s="5" t="s">
        <v>91</v>
      </c>
      <c r="E5472" s="5">
        <v>2024</v>
      </c>
      <c r="F5472" s="5">
        <v>10</v>
      </c>
      <c r="G5472" s="5" t="s">
        <v>67</v>
      </c>
      <c r="H5472" s="5">
        <v>6785295</v>
      </c>
      <c r="I5472" s="5">
        <v>5407381.54</v>
      </c>
      <c r="J5472" s="5">
        <v>94</v>
      </c>
      <c r="K5472" s="5">
        <v>220847</v>
      </c>
      <c r="L5472" s="5">
        <v>6977220</v>
      </c>
      <c r="M5472" s="5">
        <v>1377913.46</v>
      </c>
      <c r="N5472" s="5">
        <v>0.2031</v>
      </c>
      <c r="O5472" s="5">
        <v>10</v>
      </c>
      <c r="P5472" s="5">
        <v>277595</v>
      </c>
    </row>
    <row r="5473" spans="1:16" x14ac:dyDescent="0.3">
      <c r="A5473" s="5">
        <v>53</v>
      </c>
      <c r="B5473" s="5" t="s">
        <v>172</v>
      </c>
      <c r="C5473" s="5">
        <v>7</v>
      </c>
      <c r="D5473" s="5" t="s">
        <v>91</v>
      </c>
      <c r="E5473" s="5">
        <v>2024</v>
      </c>
      <c r="F5473" s="5">
        <v>11</v>
      </c>
      <c r="G5473" s="5" t="s">
        <v>68</v>
      </c>
      <c r="H5473" s="5">
        <v>7924062</v>
      </c>
      <c r="I5473" s="5">
        <v>6565550.5800000001</v>
      </c>
      <c r="J5473" s="5">
        <v>135</v>
      </c>
      <c r="K5473" s="5">
        <v>559811</v>
      </c>
      <c r="L5473" s="5">
        <v>8442560</v>
      </c>
      <c r="M5473" s="5">
        <v>1358511.42</v>
      </c>
      <c r="N5473" s="5">
        <v>0.1714</v>
      </c>
      <c r="O5473" s="5">
        <v>17</v>
      </c>
      <c r="P5473" s="5">
        <v>509267</v>
      </c>
    </row>
    <row r="5474" spans="1:16" x14ac:dyDescent="0.3">
      <c r="A5474" s="5">
        <v>53</v>
      </c>
      <c r="B5474" s="5" t="s">
        <v>172</v>
      </c>
      <c r="C5474" s="5">
        <v>7</v>
      </c>
      <c r="D5474" s="5" t="s">
        <v>91</v>
      </c>
      <c r="E5474" s="5">
        <v>2024</v>
      </c>
      <c r="F5474" s="5">
        <v>12</v>
      </c>
      <c r="G5474" s="5" t="s">
        <v>69</v>
      </c>
      <c r="H5474" s="5">
        <v>7872239</v>
      </c>
      <c r="I5474" s="5">
        <v>6216627.5599999996</v>
      </c>
      <c r="J5474" s="5">
        <v>124</v>
      </c>
      <c r="K5474" s="5">
        <v>238419</v>
      </c>
      <c r="L5474" s="5">
        <v>8077120</v>
      </c>
      <c r="M5474" s="5">
        <v>1655611.44</v>
      </c>
      <c r="N5474" s="5">
        <v>0.21029999999999999</v>
      </c>
      <c r="O5474" s="5">
        <v>7</v>
      </c>
      <c r="P5474" s="5">
        <v>196811</v>
      </c>
    </row>
    <row r="5475" spans="1:16" x14ac:dyDescent="0.3">
      <c r="A5475" s="5">
        <v>64</v>
      </c>
      <c r="B5475" s="5" t="s">
        <v>173</v>
      </c>
      <c r="C5475" s="5">
        <v>7</v>
      </c>
      <c r="D5475" s="5" t="s">
        <v>91</v>
      </c>
      <c r="E5475" s="5">
        <v>2021</v>
      </c>
      <c r="F5475" s="5">
        <v>1</v>
      </c>
      <c r="G5475" s="5" t="s">
        <v>22</v>
      </c>
      <c r="H5475" s="5">
        <v>82941</v>
      </c>
      <c r="I5475" s="5">
        <v>72530.36</v>
      </c>
      <c r="J5475" s="5">
        <v>3</v>
      </c>
      <c r="K5475" s="5">
        <v>11496</v>
      </c>
      <c r="L5475" s="5">
        <v>94020</v>
      </c>
      <c r="M5475" s="5">
        <v>10410.64</v>
      </c>
      <c r="N5475" s="5">
        <v>0.1255</v>
      </c>
      <c r="O5475" s="5">
        <v>0</v>
      </c>
      <c r="P5475" s="5">
        <v>0</v>
      </c>
    </row>
    <row r="5476" spans="1:16" x14ac:dyDescent="0.3">
      <c r="A5476" s="5">
        <v>118</v>
      </c>
      <c r="B5476" s="5" t="s">
        <v>173</v>
      </c>
      <c r="C5476" s="5">
        <v>7</v>
      </c>
      <c r="D5476" s="5" t="s">
        <v>91</v>
      </c>
      <c r="E5476" s="5">
        <v>2021</v>
      </c>
      <c r="F5476" s="5">
        <v>1</v>
      </c>
      <c r="G5476" s="5" t="s">
        <v>22</v>
      </c>
      <c r="H5476" s="5">
        <v>191244</v>
      </c>
      <c r="I5476" s="5">
        <v>189559.97</v>
      </c>
      <c r="J5476" s="5">
        <v>4</v>
      </c>
      <c r="K5476" s="5">
        <v>36364</v>
      </c>
      <c r="L5476" s="5">
        <v>225880</v>
      </c>
      <c r="M5476" s="5">
        <v>1684.03</v>
      </c>
      <c r="N5476" s="5">
        <v>8.8000000000000005E-3</v>
      </c>
      <c r="O5476" s="5">
        <v>0</v>
      </c>
      <c r="P5476" s="5">
        <v>0</v>
      </c>
    </row>
    <row r="5477" spans="1:16" x14ac:dyDescent="0.3">
      <c r="A5477" s="5">
        <v>64</v>
      </c>
      <c r="B5477" s="5" t="s">
        <v>173</v>
      </c>
      <c r="C5477" s="5">
        <v>7</v>
      </c>
      <c r="D5477" s="5" t="s">
        <v>91</v>
      </c>
      <c r="E5477" s="5">
        <v>2021</v>
      </c>
      <c r="F5477" s="5">
        <v>2</v>
      </c>
      <c r="G5477" s="5" t="s">
        <v>23</v>
      </c>
      <c r="H5477" s="5">
        <v>443973</v>
      </c>
      <c r="I5477" s="5">
        <v>338032.28</v>
      </c>
      <c r="J5477" s="5">
        <v>9</v>
      </c>
      <c r="K5477" s="5">
        <v>17269</v>
      </c>
      <c r="L5477" s="5">
        <v>459230</v>
      </c>
      <c r="M5477" s="5">
        <v>105940.72</v>
      </c>
      <c r="N5477" s="5">
        <v>0.23860000000000001</v>
      </c>
      <c r="O5477" s="5">
        <v>1</v>
      </c>
      <c r="P5477" s="5">
        <v>2246</v>
      </c>
    </row>
    <row r="5478" spans="1:16" x14ac:dyDescent="0.3">
      <c r="A5478" s="5">
        <v>118</v>
      </c>
      <c r="B5478" s="5" t="s">
        <v>173</v>
      </c>
      <c r="C5478" s="5">
        <v>7</v>
      </c>
      <c r="D5478" s="5" t="s">
        <v>91</v>
      </c>
      <c r="E5478" s="5">
        <v>2021</v>
      </c>
      <c r="F5478" s="5">
        <v>2</v>
      </c>
      <c r="G5478" s="5" t="s">
        <v>23</v>
      </c>
      <c r="H5478" s="5">
        <v>367382</v>
      </c>
      <c r="I5478" s="5">
        <v>329091.34999999998</v>
      </c>
      <c r="J5478" s="5">
        <v>7</v>
      </c>
      <c r="K5478" s="5">
        <v>69445</v>
      </c>
      <c r="L5478" s="5">
        <v>435520</v>
      </c>
      <c r="M5478" s="5">
        <v>38290.65</v>
      </c>
      <c r="N5478" s="5">
        <v>0.1042</v>
      </c>
      <c r="O5478" s="5">
        <v>1</v>
      </c>
      <c r="P5478" s="5">
        <v>273</v>
      </c>
    </row>
    <row r="5479" spans="1:16" x14ac:dyDescent="0.3">
      <c r="A5479" s="5">
        <v>64</v>
      </c>
      <c r="B5479" s="5" t="s">
        <v>173</v>
      </c>
      <c r="C5479" s="5">
        <v>7</v>
      </c>
      <c r="D5479" s="5" t="s">
        <v>91</v>
      </c>
      <c r="E5479" s="5">
        <v>2021</v>
      </c>
      <c r="F5479" s="5">
        <v>3</v>
      </c>
      <c r="G5479" s="5" t="s">
        <v>24</v>
      </c>
      <c r="H5479" s="5">
        <v>233831</v>
      </c>
      <c r="I5479" s="5">
        <v>195066.57</v>
      </c>
      <c r="J5479" s="5">
        <v>7</v>
      </c>
      <c r="K5479" s="5">
        <v>20844</v>
      </c>
      <c r="L5479" s="5">
        <v>254450</v>
      </c>
      <c r="M5479" s="5">
        <v>38764.43</v>
      </c>
      <c r="N5479" s="5">
        <v>0.1658</v>
      </c>
      <c r="O5479" s="5">
        <v>1</v>
      </c>
      <c r="P5479" s="5">
        <v>1599</v>
      </c>
    </row>
    <row r="5480" spans="1:16" x14ac:dyDescent="0.3">
      <c r="A5480" s="5">
        <v>118</v>
      </c>
      <c r="B5480" s="5" t="s">
        <v>173</v>
      </c>
      <c r="C5480" s="5">
        <v>7</v>
      </c>
      <c r="D5480" s="5" t="s">
        <v>91</v>
      </c>
      <c r="E5480" s="5">
        <v>2021</v>
      </c>
      <c r="F5480" s="5">
        <v>3</v>
      </c>
      <c r="G5480" s="5" t="s">
        <v>24</v>
      </c>
      <c r="H5480" s="5">
        <v>294884</v>
      </c>
      <c r="I5480" s="5">
        <v>231396.39</v>
      </c>
      <c r="J5480" s="5">
        <v>4</v>
      </c>
      <c r="K5480" s="5">
        <v>15855</v>
      </c>
      <c r="L5480" s="5">
        <v>308740</v>
      </c>
      <c r="M5480" s="5">
        <v>63487.61</v>
      </c>
      <c r="N5480" s="5">
        <v>0.21529999999999999</v>
      </c>
      <c r="O5480" s="5">
        <v>0</v>
      </c>
      <c r="P5480" s="5">
        <v>0</v>
      </c>
    </row>
    <row r="5481" spans="1:16" x14ac:dyDescent="0.3">
      <c r="A5481" s="5">
        <v>64</v>
      </c>
      <c r="B5481" s="5" t="s">
        <v>173</v>
      </c>
      <c r="C5481" s="5">
        <v>7</v>
      </c>
      <c r="D5481" s="5" t="s">
        <v>91</v>
      </c>
      <c r="E5481" s="5">
        <v>2021</v>
      </c>
      <c r="F5481" s="5">
        <v>4</v>
      </c>
      <c r="G5481" s="5" t="s">
        <v>25</v>
      </c>
      <c r="H5481" s="5">
        <v>236127</v>
      </c>
      <c r="I5481" s="5">
        <v>208775.59</v>
      </c>
      <c r="J5481" s="5">
        <v>7</v>
      </c>
      <c r="K5481" s="5">
        <v>40144</v>
      </c>
      <c r="L5481" s="5">
        <v>276190</v>
      </c>
      <c r="M5481" s="5">
        <v>27351.41</v>
      </c>
      <c r="N5481" s="5">
        <v>0.1158</v>
      </c>
      <c r="O5481" s="5">
        <v>0</v>
      </c>
      <c r="P5481" s="5">
        <v>0</v>
      </c>
    </row>
    <row r="5482" spans="1:16" x14ac:dyDescent="0.3">
      <c r="A5482" s="5">
        <v>118</v>
      </c>
      <c r="B5482" s="5" t="s">
        <v>173</v>
      </c>
      <c r="C5482" s="5">
        <v>7</v>
      </c>
      <c r="D5482" s="5" t="s">
        <v>91</v>
      </c>
      <c r="E5482" s="5">
        <v>2021</v>
      </c>
      <c r="F5482" s="5">
        <v>4</v>
      </c>
      <c r="G5482" s="5" t="s">
        <v>25</v>
      </c>
      <c r="H5482" s="5">
        <v>317528</v>
      </c>
      <c r="I5482" s="5">
        <v>334867.8</v>
      </c>
      <c r="J5482" s="5">
        <v>5</v>
      </c>
      <c r="K5482" s="5">
        <v>94670</v>
      </c>
      <c r="L5482" s="5">
        <v>411240</v>
      </c>
      <c r="M5482" s="5">
        <v>-17339.8</v>
      </c>
      <c r="N5482" s="5">
        <v>-5.4600000000000003E-2</v>
      </c>
      <c r="O5482" s="5">
        <v>0</v>
      </c>
      <c r="P5482" s="5">
        <v>0</v>
      </c>
    </row>
    <row r="5483" spans="1:16" x14ac:dyDescent="0.3">
      <c r="A5483" s="5">
        <v>64</v>
      </c>
      <c r="B5483" s="5" t="s">
        <v>173</v>
      </c>
      <c r="C5483" s="5">
        <v>7</v>
      </c>
      <c r="D5483" s="5" t="s">
        <v>91</v>
      </c>
      <c r="E5483" s="5">
        <v>2021</v>
      </c>
      <c r="F5483" s="5">
        <v>5</v>
      </c>
      <c r="G5483" s="5" t="s">
        <v>26</v>
      </c>
      <c r="H5483" s="5">
        <v>422460</v>
      </c>
      <c r="I5483" s="5">
        <v>361659.72</v>
      </c>
      <c r="J5483" s="5">
        <v>14</v>
      </c>
      <c r="K5483" s="5">
        <v>53396</v>
      </c>
      <c r="L5483" s="5">
        <v>475710</v>
      </c>
      <c r="M5483" s="5">
        <v>60800.28</v>
      </c>
      <c r="N5483" s="5">
        <v>0.1439</v>
      </c>
      <c r="O5483" s="5">
        <v>1</v>
      </c>
      <c r="P5483" s="5">
        <v>42939</v>
      </c>
    </row>
    <row r="5484" spans="1:16" x14ac:dyDescent="0.3">
      <c r="A5484" s="5">
        <v>118</v>
      </c>
      <c r="B5484" s="5" t="s">
        <v>173</v>
      </c>
      <c r="C5484" s="5">
        <v>7</v>
      </c>
      <c r="D5484" s="5" t="s">
        <v>91</v>
      </c>
      <c r="E5484" s="5">
        <v>2021</v>
      </c>
      <c r="F5484" s="5">
        <v>5</v>
      </c>
      <c r="G5484" s="5" t="s">
        <v>26</v>
      </c>
      <c r="H5484" s="5">
        <v>604547</v>
      </c>
      <c r="I5484" s="5">
        <v>565781.09</v>
      </c>
      <c r="J5484" s="5">
        <v>6</v>
      </c>
      <c r="K5484" s="5">
        <v>102899</v>
      </c>
      <c r="L5484" s="5">
        <v>707330</v>
      </c>
      <c r="M5484" s="5">
        <v>38765.910000000003</v>
      </c>
      <c r="N5484" s="5">
        <v>6.4100000000000004E-2</v>
      </c>
      <c r="O5484" s="5">
        <v>0</v>
      </c>
      <c r="P5484" s="5">
        <v>0</v>
      </c>
    </row>
    <row r="5485" spans="1:16" x14ac:dyDescent="0.3">
      <c r="A5485" s="5">
        <v>64</v>
      </c>
      <c r="B5485" s="5" t="s">
        <v>173</v>
      </c>
      <c r="C5485" s="5">
        <v>7</v>
      </c>
      <c r="D5485" s="5" t="s">
        <v>91</v>
      </c>
      <c r="E5485" s="5">
        <v>2021</v>
      </c>
      <c r="F5485" s="5">
        <v>6</v>
      </c>
      <c r="G5485" s="5" t="s">
        <v>27</v>
      </c>
      <c r="H5485" s="5">
        <v>195448</v>
      </c>
      <c r="I5485" s="5">
        <v>183057.38</v>
      </c>
      <c r="J5485" s="5">
        <v>4</v>
      </c>
      <c r="K5485" s="5">
        <v>37298</v>
      </c>
      <c r="L5485" s="5">
        <v>232340</v>
      </c>
      <c r="M5485" s="5">
        <v>12390.62</v>
      </c>
      <c r="N5485" s="5">
        <v>6.3399999999999998E-2</v>
      </c>
      <c r="O5485" s="5">
        <v>0</v>
      </c>
      <c r="P5485" s="5">
        <v>0</v>
      </c>
    </row>
    <row r="5486" spans="1:16" x14ac:dyDescent="0.3">
      <c r="A5486" s="5">
        <v>118</v>
      </c>
      <c r="B5486" s="5" t="s">
        <v>173</v>
      </c>
      <c r="C5486" s="5">
        <v>7</v>
      </c>
      <c r="D5486" s="5" t="s">
        <v>91</v>
      </c>
      <c r="E5486" s="5">
        <v>2021</v>
      </c>
      <c r="F5486" s="5">
        <v>6</v>
      </c>
      <c r="G5486" s="5" t="s">
        <v>27</v>
      </c>
      <c r="H5486" s="5">
        <v>924161</v>
      </c>
      <c r="I5486" s="5">
        <v>769933.47</v>
      </c>
      <c r="J5486" s="5">
        <v>8</v>
      </c>
      <c r="K5486" s="5">
        <v>88852</v>
      </c>
      <c r="L5486" s="5">
        <v>1008330</v>
      </c>
      <c r="M5486" s="5">
        <v>154227.53</v>
      </c>
      <c r="N5486" s="5">
        <v>0.16689999999999999</v>
      </c>
      <c r="O5486" s="5">
        <v>2</v>
      </c>
      <c r="P5486" s="5">
        <v>98408</v>
      </c>
    </row>
    <row r="5487" spans="1:16" x14ac:dyDescent="0.3">
      <c r="A5487" s="5">
        <v>64</v>
      </c>
      <c r="B5487" s="5" t="s">
        <v>173</v>
      </c>
      <c r="C5487" s="5">
        <v>7</v>
      </c>
      <c r="D5487" s="5" t="s">
        <v>91</v>
      </c>
      <c r="E5487" s="5">
        <v>2021</v>
      </c>
      <c r="F5487" s="5">
        <v>7</v>
      </c>
      <c r="G5487" s="5" t="s">
        <v>28</v>
      </c>
      <c r="H5487" s="5">
        <v>345732</v>
      </c>
      <c r="I5487" s="5">
        <v>293524.71999999997</v>
      </c>
      <c r="J5487" s="5">
        <v>7</v>
      </c>
      <c r="K5487" s="5">
        <v>37939</v>
      </c>
      <c r="L5487" s="5">
        <v>383330</v>
      </c>
      <c r="M5487" s="5">
        <v>52207.28</v>
      </c>
      <c r="N5487" s="5">
        <v>0.151</v>
      </c>
      <c r="O5487" s="5">
        <v>1</v>
      </c>
      <c r="P5487" s="5">
        <v>41815</v>
      </c>
    </row>
    <row r="5488" spans="1:16" x14ac:dyDescent="0.3">
      <c r="A5488" s="5">
        <v>118</v>
      </c>
      <c r="B5488" s="5" t="s">
        <v>173</v>
      </c>
      <c r="C5488" s="5">
        <v>7</v>
      </c>
      <c r="D5488" s="5" t="s">
        <v>91</v>
      </c>
      <c r="E5488" s="5">
        <v>2021</v>
      </c>
      <c r="F5488" s="5">
        <v>7</v>
      </c>
      <c r="G5488" s="5" t="s">
        <v>28</v>
      </c>
      <c r="H5488" s="5">
        <v>59961</v>
      </c>
      <c r="I5488" s="5">
        <v>42905.94</v>
      </c>
      <c r="J5488" s="5">
        <v>1</v>
      </c>
      <c r="K5488" s="5">
        <v>1269</v>
      </c>
      <c r="L5488" s="5">
        <v>61230</v>
      </c>
      <c r="M5488" s="5">
        <v>17055.060000000001</v>
      </c>
      <c r="N5488" s="5">
        <v>0.28439999999999999</v>
      </c>
      <c r="O5488" s="5">
        <v>0</v>
      </c>
      <c r="P5488" s="5">
        <v>0</v>
      </c>
    </row>
    <row r="5489" spans="1:16" x14ac:dyDescent="0.3">
      <c r="A5489" s="5">
        <v>64</v>
      </c>
      <c r="B5489" s="5" t="s">
        <v>173</v>
      </c>
      <c r="C5489" s="5">
        <v>7</v>
      </c>
      <c r="D5489" s="5" t="s">
        <v>91</v>
      </c>
      <c r="E5489" s="5">
        <v>2021</v>
      </c>
      <c r="F5489" s="5">
        <v>8</v>
      </c>
      <c r="G5489" s="5" t="s">
        <v>29</v>
      </c>
      <c r="H5489" s="5">
        <v>371755</v>
      </c>
      <c r="I5489" s="5">
        <v>293221.28999999998</v>
      </c>
      <c r="J5489" s="5">
        <v>7</v>
      </c>
      <c r="K5489" s="5">
        <v>6268</v>
      </c>
      <c r="L5489" s="5">
        <v>376470</v>
      </c>
      <c r="M5489" s="5">
        <v>78533.710000000006</v>
      </c>
      <c r="N5489" s="5">
        <v>0.21129999999999999</v>
      </c>
      <c r="O5489" s="5">
        <v>0</v>
      </c>
      <c r="P5489" s="5">
        <v>0</v>
      </c>
    </row>
    <row r="5490" spans="1:16" x14ac:dyDescent="0.3">
      <c r="A5490" s="5">
        <v>118</v>
      </c>
      <c r="B5490" s="5" t="s">
        <v>173</v>
      </c>
      <c r="C5490" s="5">
        <v>7</v>
      </c>
      <c r="D5490" s="5" t="s">
        <v>91</v>
      </c>
      <c r="E5490" s="5">
        <v>2021</v>
      </c>
      <c r="F5490" s="5">
        <v>8</v>
      </c>
      <c r="G5490" s="5" t="s">
        <v>29</v>
      </c>
      <c r="H5490" s="5">
        <v>178110</v>
      </c>
      <c r="I5490" s="5">
        <v>154405.57999999999</v>
      </c>
      <c r="J5490" s="5">
        <v>4</v>
      </c>
      <c r="K5490" s="5">
        <v>33084</v>
      </c>
      <c r="L5490" s="5">
        <v>210270</v>
      </c>
      <c r="M5490" s="5">
        <v>23704.42</v>
      </c>
      <c r="N5490" s="5">
        <v>0.1331</v>
      </c>
      <c r="O5490" s="5">
        <v>1</v>
      </c>
      <c r="P5490" s="5">
        <v>34704</v>
      </c>
    </row>
    <row r="5491" spans="1:16" x14ac:dyDescent="0.3">
      <c r="A5491" s="5">
        <v>64</v>
      </c>
      <c r="B5491" s="5" t="s">
        <v>173</v>
      </c>
      <c r="C5491" s="5">
        <v>7</v>
      </c>
      <c r="D5491" s="5" t="s">
        <v>91</v>
      </c>
      <c r="E5491" s="5">
        <v>2021</v>
      </c>
      <c r="F5491" s="5">
        <v>9</v>
      </c>
      <c r="G5491" s="5" t="s">
        <v>30</v>
      </c>
      <c r="H5491" s="5">
        <v>204476</v>
      </c>
      <c r="I5491" s="5">
        <v>175004.36</v>
      </c>
      <c r="J5491" s="5">
        <v>6</v>
      </c>
      <c r="K5491" s="5">
        <v>28001</v>
      </c>
      <c r="L5491" s="5">
        <v>232170</v>
      </c>
      <c r="M5491" s="5">
        <v>29471.64</v>
      </c>
      <c r="N5491" s="5">
        <v>0.14410000000000001</v>
      </c>
      <c r="O5491" s="5">
        <v>1</v>
      </c>
      <c r="P5491" s="5">
        <v>43532</v>
      </c>
    </row>
    <row r="5492" spans="1:16" x14ac:dyDescent="0.3">
      <c r="A5492" s="5">
        <v>118</v>
      </c>
      <c r="B5492" s="5" t="s">
        <v>173</v>
      </c>
      <c r="C5492" s="5">
        <v>7</v>
      </c>
      <c r="D5492" s="5" t="s">
        <v>91</v>
      </c>
      <c r="E5492" s="5">
        <v>2021</v>
      </c>
      <c r="F5492" s="5">
        <v>9</v>
      </c>
      <c r="G5492" s="5" t="s">
        <v>30</v>
      </c>
      <c r="H5492" s="5">
        <v>4463</v>
      </c>
      <c r="I5492" s="5">
        <v>3217.81</v>
      </c>
      <c r="J5492" s="5">
        <v>1</v>
      </c>
      <c r="K5492" s="5">
        <v>517</v>
      </c>
      <c r="L5492" s="5">
        <v>4980</v>
      </c>
      <c r="M5492" s="5">
        <v>1245.19</v>
      </c>
      <c r="N5492" s="5">
        <v>0.27900000000000003</v>
      </c>
      <c r="O5492" s="5">
        <v>0</v>
      </c>
      <c r="P5492" s="5">
        <v>0</v>
      </c>
    </row>
    <row r="5493" spans="1:16" x14ac:dyDescent="0.3">
      <c r="A5493" s="5">
        <v>64</v>
      </c>
      <c r="B5493" s="5" t="s">
        <v>173</v>
      </c>
      <c r="C5493" s="5">
        <v>7</v>
      </c>
      <c r="D5493" s="5" t="s">
        <v>91</v>
      </c>
      <c r="E5493" s="5">
        <v>2021</v>
      </c>
      <c r="F5493" s="5">
        <v>10</v>
      </c>
      <c r="G5493" s="5" t="s">
        <v>31</v>
      </c>
      <c r="H5493" s="5">
        <v>1041866</v>
      </c>
      <c r="I5493" s="5">
        <v>886847.51</v>
      </c>
      <c r="J5493" s="5">
        <v>13</v>
      </c>
      <c r="K5493" s="5">
        <v>76662</v>
      </c>
      <c r="L5493" s="5">
        <v>1115950</v>
      </c>
      <c r="M5493" s="5">
        <v>155018.49</v>
      </c>
      <c r="N5493" s="5">
        <v>0.14879999999999999</v>
      </c>
      <c r="O5493" s="5">
        <v>1</v>
      </c>
      <c r="P5493" s="5">
        <v>10417</v>
      </c>
    </row>
    <row r="5494" spans="1:16" x14ac:dyDescent="0.3">
      <c r="A5494" s="5">
        <v>118</v>
      </c>
      <c r="B5494" s="5" t="s">
        <v>173</v>
      </c>
      <c r="C5494" s="5">
        <v>7</v>
      </c>
      <c r="D5494" s="5" t="s">
        <v>91</v>
      </c>
      <c r="E5494" s="5">
        <v>2021</v>
      </c>
      <c r="F5494" s="5">
        <v>10</v>
      </c>
      <c r="G5494" s="5" t="s">
        <v>31</v>
      </c>
      <c r="H5494" s="5">
        <v>215584</v>
      </c>
      <c r="I5494" s="5">
        <v>156461.4</v>
      </c>
      <c r="J5494" s="5">
        <v>7</v>
      </c>
      <c r="K5494" s="5">
        <v>4261</v>
      </c>
      <c r="L5494" s="5">
        <v>218810</v>
      </c>
      <c r="M5494" s="5">
        <v>59122.6</v>
      </c>
      <c r="N5494" s="5">
        <v>0.2742</v>
      </c>
      <c r="O5494" s="5">
        <v>0</v>
      </c>
      <c r="P5494" s="5">
        <v>0</v>
      </c>
    </row>
    <row r="5495" spans="1:16" x14ac:dyDescent="0.3">
      <c r="A5495" s="5">
        <v>64</v>
      </c>
      <c r="B5495" s="5" t="s">
        <v>173</v>
      </c>
      <c r="C5495" s="5">
        <v>7</v>
      </c>
      <c r="D5495" s="5" t="s">
        <v>91</v>
      </c>
      <c r="E5495" s="5">
        <v>2021</v>
      </c>
      <c r="F5495" s="5">
        <v>11</v>
      </c>
      <c r="G5495" s="5" t="s">
        <v>32</v>
      </c>
      <c r="H5495" s="5">
        <v>638913</v>
      </c>
      <c r="I5495" s="5">
        <v>567638.14</v>
      </c>
      <c r="J5495" s="5">
        <v>14</v>
      </c>
      <c r="K5495" s="5">
        <v>81269</v>
      </c>
      <c r="L5495" s="5">
        <v>719900</v>
      </c>
      <c r="M5495" s="5">
        <v>71274.86</v>
      </c>
      <c r="N5495" s="5">
        <v>0.1116</v>
      </c>
      <c r="O5495" s="5">
        <v>1</v>
      </c>
      <c r="P5495" s="5">
        <v>6805</v>
      </c>
    </row>
    <row r="5496" spans="1:16" x14ac:dyDescent="0.3">
      <c r="A5496" s="5">
        <v>118</v>
      </c>
      <c r="B5496" s="5" t="s">
        <v>173</v>
      </c>
      <c r="C5496" s="5">
        <v>7</v>
      </c>
      <c r="D5496" s="5" t="s">
        <v>91</v>
      </c>
      <c r="E5496" s="5">
        <v>2021</v>
      </c>
      <c r="F5496" s="5">
        <v>11</v>
      </c>
      <c r="G5496" s="5" t="s">
        <v>32</v>
      </c>
      <c r="H5496" s="5">
        <v>189088</v>
      </c>
      <c r="I5496" s="5">
        <v>152329.42000000001</v>
      </c>
      <c r="J5496" s="5">
        <v>5</v>
      </c>
      <c r="K5496" s="5">
        <v>14204</v>
      </c>
      <c r="L5496" s="5">
        <v>203260</v>
      </c>
      <c r="M5496" s="5">
        <v>36758.58</v>
      </c>
      <c r="N5496" s="5">
        <v>0.19439999999999999</v>
      </c>
      <c r="O5496" s="5">
        <v>1</v>
      </c>
      <c r="P5496" s="5">
        <v>1481</v>
      </c>
    </row>
    <row r="5497" spans="1:16" x14ac:dyDescent="0.3">
      <c r="A5497" s="5">
        <v>64</v>
      </c>
      <c r="B5497" s="5" t="s">
        <v>173</v>
      </c>
      <c r="C5497" s="5">
        <v>7</v>
      </c>
      <c r="D5497" s="5" t="s">
        <v>91</v>
      </c>
      <c r="E5497" s="5">
        <v>2021</v>
      </c>
      <c r="F5497" s="5">
        <v>12</v>
      </c>
      <c r="G5497" s="5" t="s">
        <v>33</v>
      </c>
      <c r="H5497" s="5">
        <v>718306</v>
      </c>
      <c r="I5497" s="5">
        <v>571695.02</v>
      </c>
      <c r="J5497" s="5">
        <v>17</v>
      </c>
      <c r="K5497" s="5">
        <v>19267</v>
      </c>
      <c r="L5497" s="5">
        <v>734780</v>
      </c>
      <c r="M5497" s="5">
        <v>146610.98000000001</v>
      </c>
      <c r="N5497" s="5">
        <v>0.2041</v>
      </c>
      <c r="O5497" s="5">
        <v>0</v>
      </c>
      <c r="P5497" s="5">
        <v>0</v>
      </c>
    </row>
    <row r="5498" spans="1:16" x14ac:dyDescent="0.3">
      <c r="A5498" s="5">
        <v>118</v>
      </c>
      <c r="B5498" s="5" t="s">
        <v>173</v>
      </c>
      <c r="C5498" s="5">
        <v>7</v>
      </c>
      <c r="D5498" s="5" t="s">
        <v>91</v>
      </c>
      <c r="E5498" s="5">
        <v>2021</v>
      </c>
      <c r="F5498" s="5">
        <v>12</v>
      </c>
      <c r="G5498" s="5" t="s">
        <v>33</v>
      </c>
      <c r="H5498" s="5">
        <v>764557</v>
      </c>
      <c r="I5498" s="5">
        <v>660531.74</v>
      </c>
      <c r="J5498" s="5">
        <v>9</v>
      </c>
      <c r="K5498" s="5">
        <v>74611</v>
      </c>
      <c r="L5498" s="5">
        <v>837700</v>
      </c>
      <c r="M5498" s="5">
        <v>104025.26</v>
      </c>
      <c r="N5498" s="5">
        <v>0.1361</v>
      </c>
      <c r="O5498" s="5">
        <v>1</v>
      </c>
      <c r="P5498" s="5">
        <v>5223</v>
      </c>
    </row>
    <row r="5499" spans="1:16" x14ac:dyDescent="0.3">
      <c r="A5499" s="5">
        <v>64</v>
      </c>
      <c r="B5499" s="5" t="s">
        <v>173</v>
      </c>
      <c r="C5499" s="5">
        <v>7</v>
      </c>
      <c r="D5499" s="5" t="s">
        <v>91</v>
      </c>
      <c r="E5499" s="5">
        <v>2022</v>
      </c>
      <c r="F5499" s="5">
        <v>1</v>
      </c>
      <c r="G5499" s="5" t="s">
        <v>34</v>
      </c>
      <c r="H5499" s="5">
        <v>912950</v>
      </c>
      <c r="I5499" s="5">
        <v>690968.3</v>
      </c>
      <c r="J5499" s="5">
        <v>16</v>
      </c>
      <c r="K5499" s="5">
        <v>23537</v>
      </c>
      <c r="L5499" s="5">
        <v>932300</v>
      </c>
      <c r="M5499" s="5">
        <v>221981.7</v>
      </c>
      <c r="N5499" s="5">
        <v>0.24310000000000001</v>
      </c>
      <c r="O5499" s="5">
        <v>1</v>
      </c>
      <c r="P5499" s="5">
        <v>1716</v>
      </c>
    </row>
    <row r="5500" spans="1:16" x14ac:dyDescent="0.3">
      <c r="A5500" s="5">
        <v>118</v>
      </c>
      <c r="B5500" s="5" t="s">
        <v>173</v>
      </c>
      <c r="C5500" s="5">
        <v>7</v>
      </c>
      <c r="D5500" s="5" t="s">
        <v>91</v>
      </c>
      <c r="E5500" s="5">
        <v>2022</v>
      </c>
      <c r="F5500" s="5">
        <v>1</v>
      </c>
      <c r="G5500" s="5" t="s">
        <v>34</v>
      </c>
      <c r="H5500" s="5">
        <v>219061</v>
      </c>
      <c r="I5500" s="5">
        <v>185193.14</v>
      </c>
      <c r="J5500" s="5">
        <v>5</v>
      </c>
      <c r="K5500" s="5">
        <v>35671</v>
      </c>
      <c r="L5500" s="5">
        <v>254600</v>
      </c>
      <c r="M5500" s="5">
        <v>33867.86</v>
      </c>
      <c r="N5500" s="5">
        <v>0.15459999999999999</v>
      </c>
      <c r="O5500" s="5">
        <v>0</v>
      </c>
      <c r="P5500" s="5">
        <v>0</v>
      </c>
    </row>
    <row r="5501" spans="1:16" x14ac:dyDescent="0.3">
      <c r="A5501" s="5">
        <v>64</v>
      </c>
      <c r="B5501" s="5" t="s">
        <v>173</v>
      </c>
      <c r="C5501" s="5">
        <v>7</v>
      </c>
      <c r="D5501" s="5" t="s">
        <v>91</v>
      </c>
      <c r="E5501" s="5">
        <v>2022</v>
      </c>
      <c r="F5501" s="5">
        <v>2</v>
      </c>
      <c r="G5501" s="5" t="s">
        <v>35</v>
      </c>
      <c r="H5501" s="5">
        <v>731629</v>
      </c>
      <c r="I5501" s="5">
        <v>600133.78</v>
      </c>
      <c r="J5501" s="5">
        <v>12</v>
      </c>
      <c r="K5501" s="5">
        <v>74911</v>
      </c>
      <c r="L5501" s="5">
        <v>805820</v>
      </c>
      <c r="M5501" s="5">
        <v>131495.22</v>
      </c>
      <c r="N5501" s="5">
        <v>0.1797</v>
      </c>
      <c r="O5501" s="5">
        <v>0</v>
      </c>
      <c r="P5501" s="5">
        <v>0</v>
      </c>
    </row>
    <row r="5502" spans="1:16" x14ac:dyDescent="0.3">
      <c r="A5502" s="5">
        <v>118</v>
      </c>
      <c r="B5502" s="5" t="s">
        <v>173</v>
      </c>
      <c r="C5502" s="5">
        <v>7</v>
      </c>
      <c r="D5502" s="5" t="s">
        <v>91</v>
      </c>
      <c r="E5502" s="5">
        <v>2022</v>
      </c>
      <c r="F5502" s="5">
        <v>2</v>
      </c>
      <c r="G5502" s="5" t="s">
        <v>35</v>
      </c>
      <c r="H5502" s="5">
        <v>641281</v>
      </c>
      <c r="I5502" s="5">
        <v>514062.63</v>
      </c>
      <c r="J5502" s="5">
        <v>8</v>
      </c>
      <c r="K5502" s="5">
        <v>20079</v>
      </c>
      <c r="L5502" s="5">
        <v>659380</v>
      </c>
      <c r="M5502" s="5">
        <v>127218.37</v>
      </c>
      <c r="N5502" s="5">
        <v>0.19839999999999999</v>
      </c>
      <c r="O5502" s="5">
        <v>1</v>
      </c>
      <c r="P5502" s="5">
        <v>35468</v>
      </c>
    </row>
    <row r="5503" spans="1:16" x14ac:dyDescent="0.3">
      <c r="A5503" s="5">
        <v>64</v>
      </c>
      <c r="B5503" s="5" t="s">
        <v>173</v>
      </c>
      <c r="C5503" s="5">
        <v>7</v>
      </c>
      <c r="D5503" s="5" t="s">
        <v>91</v>
      </c>
      <c r="E5503" s="5">
        <v>2022</v>
      </c>
      <c r="F5503" s="5">
        <v>3</v>
      </c>
      <c r="G5503" s="5" t="s">
        <v>36</v>
      </c>
      <c r="H5503" s="5">
        <v>1837080</v>
      </c>
      <c r="I5503" s="5">
        <v>1606454.62</v>
      </c>
      <c r="J5503" s="5">
        <v>19</v>
      </c>
      <c r="K5503" s="5">
        <v>192893</v>
      </c>
      <c r="L5503" s="5">
        <v>2026780</v>
      </c>
      <c r="M5503" s="5">
        <v>230625.38</v>
      </c>
      <c r="N5503" s="5">
        <v>0.1255</v>
      </c>
      <c r="O5503" s="5">
        <v>3</v>
      </c>
      <c r="P5503" s="5">
        <v>162351</v>
      </c>
    </row>
    <row r="5504" spans="1:16" x14ac:dyDescent="0.3">
      <c r="A5504" s="5">
        <v>118</v>
      </c>
      <c r="B5504" s="5" t="s">
        <v>173</v>
      </c>
      <c r="C5504" s="5">
        <v>7</v>
      </c>
      <c r="D5504" s="5" t="s">
        <v>91</v>
      </c>
      <c r="E5504" s="5">
        <v>2022</v>
      </c>
      <c r="F5504" s="5">
        <v>3</v>
      </c>
      <c r="G5504" s="5" t="s">
        <v>36</v>
      </c>
      <c r="H5504" s="5">
        <v>154787</v>
      </c>
      <c r="I5504" s="5">
        <v>147161.74</v>
      </c>
      <c r="J5504" s="5">
        <v>3</v>
      </c>
      <c r="K5504" s="5">
        <v>63676</v>
      </c>
      <c r="L5504" s="5">
        <v>218420</v>
      </c>
      <c r="M5504" s="5">
        <v>7625.26</v>
      </c>
      <c r="N5504" s="5">
        <v>4.9299999999999997E-2</v>
      </c>
      <c r="O5504" s="5">
        <v>0</v>
      </c>
      <c r="P5504" s="5">
        <v>0</v>
      </c>
    </row>
    <row r="5505" spans="1:16" x14ac:dyDescent="0.3">
      <c r="A5505" s="5">
        <v>64</v>
      </c>
      <c r="B5505" s="5" t="s">
        <v>173</v>
      </c>
      <c r="C5505" s="5">
        <v>7</v>
      </c>
      <c r="D5505" s="5" t="s">
        <v>91</v>
      </c>
      <c r="E5505" s="5">
        <v>2022</v>
      </c>
      <c r="F5505" s="5">
        <v>4</v>
      </c>
      <c r="G5505" s="5" t="s">
        <v>37</v>
      </c>
      <c r="H5505" s="5">
        <v>718989</v>
      </c>
      <c r="I5505" s="5">
        <v>632941.99</v>
      </c>
      <c r="J5505" s="5">
        <v>16</v>
      </c>
      <c r="K5505" s="5">
        <v>77509</v>
      </c>
      <c r="L5505" s="5">
        <v>796200</v>
      </c>
      <c r="M5505" s="5">
        <v>86047.01</v>
      </c>
      <c r="N5505" s="5">
        <v>0.1197</v>
      </c>
      <c r="O5505" s="5">
        <v>0</v>
      </c>
      <c r="P5505" s="5">
        <v>0</v>
      </c>
    </row>
    <row r="5506" spans="1:16" x14ac:dyDescent="0.3">
      <c r="A5506" s="5">
        <v>118</v>
      </c>
      <c r="B5506" s="5" t="s">
        <v>173</v>
      </c>
      <c r="C5506" s="5">
        <v>7</v>
      </c>
      <c r="D5506" s="5" t="s">
        <v>91</v>
      </c>
      <c r="E5506" s="5">
        <v>2022</v>
      </c>
      <c r="F5506" s="5">
        <v>4</v>
      </c>
      <c r="G5506" s="5" t="s">
        <v>37</v>
      </c>
      <c r="H5506" s="5">
        <v>718811</v>
      </c>
      <c r="I5506" s="5">
        <v>559190.21</v>
      </c>
      <c r="J5506" s="5">
        <v>9</v>
      </c>
      <c r="K5506" s="5">
        <v>32139</v>
      </c>
      <c r="L5506" s="5">
        <v>747870</v>
      </c>
      <c r="M5506" s="5">
        <v>159620.79</v>
      </c>
      <c r="N5506" s="5">
        <v>0.22209999999999999</v>
      </c>
      <c r="O5506" s="5">
        <v>2</v>
      </c>
      <c r="P5506" s="5">
        <v>9377</v>
      </c>
    </row>
    <row r="5507" spans="1:16" x14ac:dyDescent="0.3">
      <c r="A5507" s="5">
        <v>64</v>
      </c>
      <c r="B5507" s="5" t="s">
        <v>173</v>
      </c>
      <c r="C5507" s="5">
        <v>7</v>
      </c>
      <c r="D5507" s="5" t="s">
        <v>91</v>
      </c>
      <c r="E5507" s="5">
        <v>2022</v>
      </c>
      <c r="F5507" s="5">
        <v>5</v>
      </c>
      <c r="G5507" s="5" t="s">
        <v>38</v>
      </c>
      <c r="H5507" s="5">
        <v>699280</v>
      </c>
      <c r="I5507" s="5">
        <v>637415.54</v>
      </c>
      <c r="J5507" s="5">
        <v>15</v>
      </c>
      <c r="K5507" s="5">
        <v>112586</v>
      </c>
      <c r="L5507" s="5">
        <v>808830</v>
      </c>
      <c r="M5507" s="5">
        <v>61864.46</v>
      </c>
      <c r="N5507" s="5">
        <v>8.8499999999999995E-2</v>
      </c>
      <c r="O5507" s="5">
        <v>1</v>
      </c>
      <c r="P5507" s="5">
        <v>6391</v>
      </c>
    </row>
    <row r="5508" spans="1:16" x14ac:dyDescent="0.3">
      <c r="A5508" s="5">
        <v>118</v>
      </c>
      <c r="B5508" s="5" t="s">
        <v>173</v>
      </c>
      <c r="C5508" s="5">
        <v>7</v>
      </c>
      <c r="D5508" s="5" t="s">
        <v>91</v>
      </c>
      <c r="E5508" s="5">
        <v>2022</v>
      </c>
      <c r="F5508" s="5">
        <v>5</v>
      </c>
      <c r="G5508" s="5" t="s">
        <v>38</v>
      </c>
      <c r="H5508" s="5">
        <v>479164</v>
      </c>
      <c r="I5508" s="5">
        <v>370820.14</v>
      </c>
      <c r="J5508" s="5">
        <v>8</v>
      </c>
      <c r="K5508" s="5">
        <v>19802</v>
      </c>
      <c r="L5508" s="5">
        <v>498790</v>
      </c>
      <c r="M5508" s="5">
        <v>108343.86</v>
      </c>
      <c r="N5508" s="5">
        <v>0.2261</v>
      </c>
      <c r="O5508" s="5">
        <v>0</v>
      </c>
      <c r="P5508" s="5">
        <v>0</v>
      </c>
    </row>
    <row r="5509" spans="1:16" x14ac:dyDescent="0.3">
      <c r="A5509" s="5">
        <v>64</v>
      </c>
      <c r="B5509" s="5" t="s">
        <v>173</v>
      </c>
      <c r="C5509" s="5">
        <v>7</v>
      </c>
      <c r="D5509" s="5" t="s">
        <v>91</v>
      </c>
      <c r="E5509" s="5">
        <v>2022</v>
      </c>
      <c r="F5509" s="5">
        <v>6</v>
      </c>
      <c r="G5509" s="5" t="s">
        <v>39</v>
      </c>
      <c r="H5509" s="5">
        <v>1117387</v>
      </c>
      <c r="I5509" s="5">
        <v>948871.34</v>
      </c>
      <c r="J5509" s="5">
        <v>16</v>
      </c>
      <c r="K5509" s="5">
        <v>73806</v>
      </c>
      <c r="L5509" s="5">
        <v>1188480</v>
      </c>
      <c r="M5509" s="5">
        <v>168515.66</v>
      </c>
      <c r="N5509" s="5">
        <v>0.15079999999999999</v>
      </c>
      <c r="O5509" s="5">
        <v>1</v>
      </c>
      <c r="P5509" s="5">
        <v>4531</v>
      </c>
    </row>
    <row r="5510" spans="1:16" x14ac:dyDescent="0.3">
      <c r="A5510" s="5">
        <v>118</v>
      </c>
      <c r="B5510" s="5" t="s">
        <v>173</v>
      </c>
      <c r="C5510" s="5">
        <v>7</v>
      </c>
      <c r="D5510" s="5" t="s">
        <v>91</v>
      </c>
      <c r="E5510" s="5">
        <v>2022</v>
      </c>
      <c r="F5510" s="5">
        <v>6</v>
      </c>
      <c r="G5510" s="5" t="s">
        <v>39</v>
      </c>
      <c r="H5510" s="5">
        <v>274102</v>
      </c>
      <c r="I5510" s="5">
        <v>219939.55</v>
      </c>
      <c r="J5510" s="5">
        <v>7</v>
      </c>
      <c r="K5510" s="5">
        <v>12427</v>
      </c>
      <c r="L5510" s="5">
        <v>286390</v>
      </c>
      <c r="M5510" s="5">
        <v>54162.45</v>
      </c>
      <c r="N5510" s="5">
        <v>0.1976</v>
      </c>
      <c r="O5510" s="5">
        <v>0</v>
      </c>
      <c r="P5510" s="5">
        <v>0</v>
      </c>
    </row>
    <row r="5511" spans="1:16" x14ac:dyDescent="0.3">
      <c r="A5511" s="5">
        <v>64</v>
      </c>
      <c r="B5511" s="5" t="s">
        <v>173</v>
      </c>
      <c r="C5511" s="5">
        <v>7</v>
      </c>
      <c r="D5511" s="5" t="s">
        <v>91</v>
      </c>
      <c r="E5511" s="5">
        <v>2022</v>
      </c>
      <c r="F5511" s="5">
        <v>7</v>
      </c>
      <c r="G5511" s="5" t="s">
        <v>40</v>
      </c>
      <c r="H5511" s="5">
        <v>988282</v>
      </c>
      <c r="I5511" s="5">
        <v>953379.49</v>
      </c>
      <c r="J5511" s="5">
        <v>15</v>
      </c>
      <c r="K5511" s="5">
        <v>213509</v>
      </c>
      <c r="L5511" s="5">
        <v>1199660</v>
      </c>
      <c r="M5511" s="5">
        <v>34902.51</v>
      </c>
      <c r="N5511" s="5">
        <v>3.5299999999999998E-2</v>
      </c>
      <c r="O5511" s="5">
        <v>1</v>
      </c>
      <c r="P5511" s="5">
        <v>1585</v>
      </c>
    </row>
    <row r="5512" spans="1:16" x14ac:dyDescent="0.3">
      <c r="A5512" s="5">
        <v>118</v>
      </c>
      <c r="B5512" s="5" t="s">
        <v>173</v>
      </c>
      <c r="C5512" s="5">
        <v>7</v>
      </c>
      <c r="D5512" s="5" t="s">
        <v>91</v>
      </c>
      <c r="E5512" s="5">
        <v>2022</v>
      </c>
      <c r="F5512" s="5">
        <v>7</v>
      </c>
      <c r="G5512" s="5" t="s">
        <v>40</v>
      </c>
      <c r="H5512" s="5">
        <v>823919</v>
      </c>
      <c r="I5512" s="5">
        <v>711225.27</v>
      </c>
      <c r="J5512" s="5">
        <v>8</v>
      </c>
      <c r="K5512" s="5">
        <v>52016</v>
      </c>
      <c r="L5512" s="5">
        <v>875600</v>
      </c>
      <c r="M5512" s="5">
        <v>112693.73</v>
      </c>
      <c r="N5512" s="5">
        <v>0.1368</v>
      </c>
      <c r="O5512" s="5">
        <v>0</v>
      </c>
      <c r="P5512" s="5">
        <v>0</v>
      </c>
    </row>
    <row r="5513" spans="1:16" x14ac:dyDescent="0.3">
      <c r="A5513" s="5">
        <v>64</v>
      </c>
      <c r="B5513" s="5" t="s">
        <v>173</v>
      </c>
      <c r="C5513" s="5">
        <v>7</v>
      </c>
      <c r="D5513" s="5" t="s">
        <v>91</v>
      </c>
      <c r="E5513" s="5">
        <v>2022</v>
      </c>
      <c r="F5513" s="5">
        <v>8</v>
      </c>
      <c r="G5513" s="5" t="s">
        <v>41</v>
      </c>
      <c r="H5513" s="5">
        <v>758714</v>
      </c>
      <c r="I5513" s="5">
        <v>816558.17</v>
      </c>
      <c r="J5513" s="5">
        <v>16</v>
      </c>
      <c r="K5513" s="5">
        <v>271754</v>
      </c>
      <c r="L5513" s="5">
        <v>1028290</v>
      </c>
      <c r="M5513" s="5">
        <v>-57844.17</v>
      </c>
      <c r="N5513" s="5">
        <v>-7.6200000000000004E-2</v>
      </c>
      <c r="O5513" s="5">
        <v>2</v>
      </c>
      <c r="P5513" s="5">
        <v>3697</v>
      </c>
    </row>
    <row r="5514" spans="1:16" x14ac:dyDescent="0.3">
      <c r="A5514" s="5">
        <v>118</v>
      </c>
      <c r="B5514" s="5" t="s">
        <v>173</v>
      </c>
      <c r="C5514" s="5">
        <v>7</v>
      </c>
      <c r="D5514" s="5" t="s">
        <v>91</v>
      </c>
      <c r="E5514" s="5">
        <v>2022</v>
      </c>
      <c r="F5514" s="5">
        <v>8</v>
      </c>
      <c r="G5514" s="5" t="s">
        <v>41</v>
      </c>
      <c r="H5514" s="5">
        <v>207775</v>
      </c>
      <c r="I5514" s="5">
        <v>179180.25</v>
      </c>
      <c r="J5514" s="5">
        <v>5</v>
      </c>
      <c r="K5514" s="5">
        <v>16625</v>
      </c>
      <c r="L5514" s="5">
        <v>224150</v>
      </c>
      <c r="M5514" s="5">
        <v>28594.75</v>
      </c>
      <c r="N5514" s="5">
        <v>0.1376</v>
      </c>
      <c r="O5514" s="5">
        <v>0</v>
      </c>
      <c r="P5514" s="5">
        <v>0</v>
      </c>
    </row>
    <row r="5515" spans="1:16" x14ac:dyDescent="0.3">
      <c r="A5515" s="5">
        <v>64</v>
      </c>
      <c r="B5515" s="5" t="s">
        <v>173</v>
      </c>
      <c r="C5515" s="5">
        <v>7</v>
      </c>
      <c r="D5515" s="5" t="s">
        <v>91</v>
      </c>
      <c r="E5515" s="5">
        <v>2022</v>
      </c>
      <c r="F5515" s="5">
        <v>9</v>
      </c>
      <c r="G5515" s="5" t="s">
        <v>42</v>
      </c>
      <c r="H5515" s="5">
        <v>1177529</v>
      </c>
      <c r="I5515" s="5">
        <v>969186.44</v>
      </c>
      <c r="J5515" s="5">
        <v>11</v>
      </c>
      <c r="K5515" s="5">
        <v>75133</v>
      </c>
      <c r="L5515" s="5">
        <v>1246670</v>
      </c>
      <c r="M5515" s="5">
        <v>208342.56</v>
      </c>
      <c r="N5515" s="5">
        <v>0.1769</v>
      </c>
      <c r="O5515" s="5">
        <v>2</v>
      </c>
      <c r="P5515" s="5">
        <v>170714</v>
      </c>
    </row>
    <row r="5516" spans="1:16" x14ac:dyDescent="0.3">
      <c r="A5516" s="5">
        <v>118</v>
      </c>
      <c r="B5516" s="5" t="s">
        <v>173</v>
      </c>
      <c r="C5516" s="5">
        <v>7</v>
      </c>
      <c r="D5516" s="5" t="s">
        <v>91</v>
      </c>
      <c r="E5516" s="5">
        <v>2022</v>
      </c>
      <c r="F5516" s="5">
        <v>9</v>
      </c>
      <c r="G5516" s="5" t="s">
        <v>42</v>
      </c>
      <c r="H5516" s="5">
        <v>534996</v>
      </c>
      <c r="I5516" s="5">
        <v>459156.52</v>
      </c>
      <c r="J5516" s="5">
        <v>7</v>
      </c>
      <c r="K5516" s="5">
        <v>60702</v>
      </c>
      <c r="L5516" s="5">
        <v>595210</v>
      </c>
      <c r="M5516" s="5">
        <v>75839.48</v>
      </c>
      <c r="N5516" s="5">
        <v>0.14180000000000001</v>
      </c>
      <c r="O5516" s="5">
        <v>0</v>
      </c>
      <c r="P5516" s="5">
        <v>0</v>
      </c>
    </row>
    <row r="5517" spans="1:16" x14ac:dyDescent="0.3">
      <c r="A5517" s="5">
        <v>64</v>
      </c>
      <c r="B5517" s="5" t="s">
        <v>173</v>
      </c>
      <c r="C5517" s="5">
        <v>7</v>
      </c>
      <c r="D5517" s="5" t="s">
        <v>91</v>
      </c>
      <c r="E5517" s="5">
        <v>2022</v>
      </c>
      <c r="F5517" s="5">
        <v>10</v>
      </c>
      <c r="G5517" s="5" t="s">
        <v>43</v>
      </c>
      <c r="H5517" s="5">
        <v>1021795</v>
      </c>
      <c r="I5517" s="5">
        <v>974180.7</v>
      </c>
      <c r="J5517" s="5">
        <v>21</v>
      </c>
      <c r="K5517" s="5">
        <v>227933</v>
      </c>
      <c r="L5517" s="5">
        <v>1247000</v>
      </c>
      <c r="M5517" s="5">
        <v>47614.3</v>
      </c>
      <c r="N5517" s="5">
        <v>4.6600000000000003E-2</v>
      </c>
      <c r="O5517" s="5">
        <v>3</v>
      </c>
      <c r="P5517" s="5">
        <v>187545</v>
      </c>
    </row>
    <row r="5518" spans="1:16" x14ac:dyDescent="0.3">
      <c r="A5518" s="5">
        <v>118</v>
      </c>
      <c r="B5518" s="5" t="s">
        <v>173</v>
      </c>
      <c r="C5518" s="5">
        <v>7</v>
      </c>
      <c r="D5518" s="5" t="s">
        <v>91</v>
      </c>
      <c r="E5518" s="5">
        <v>2022</v>
      </c>
      <c r="F5518" s="5">
        <v>10</v>
      </c>
      <c r="G5518" s="5" t="s">
        <v>43</v>
      </c>
      <c r="H5518" s="5">
        <v>440699</v>
      </c>
      <c r="I5518" s="5">
        <v>413256.4</v>
      </c>
      <c r="J5518" s="5">
        <v>9</v>
      </c>
      <c r="K5518" s="5">
        <v>109992</v>
      </c>
      <c r="L5518" s="5">
        <v>550630</v>
      </c>
      <c r="M5518" s="5">
        <v>27442.6</v>
      </c>
      <c r="N5518" s="5">
        <v>6.2300000000000001E-2</v>
      </c>
      <c r="O5518" s="5">
        <v>0</v>
      </c>
      <c r="P5518" s="5">
        <v>0</v>
      </c>
    </row>
    <row r="5519" spans="1:16" x14ac:dyDescent="0.3">
      <c r="A5519" s="5">
        <v>64</v>
      </c>
      <c r="B5519" s="5" t="s">
        <v>173</v>
      </c>
      <c r="C5519" s="5">
        <v>7</v>
      </c>
      <c r="D5519" s="5" t="s">
        <v>91</v>
      </c>
      <c r="E5519" s="5">
        <v>2022</v>
      </c>
      <c r="F5519" s="5">
        <v>11</v>
      </c>
      <c r="G5519" s="5" t="s">
        <v>44</v>
      </c>
      <c r="H5519" s="5">
        <v>1537360</v>
      </c>
      <c r="I5519" s="5">
        <v>1413917.69</v>
      </c>
      <c r="J5519" s="5">
        <v>19</v>
      </c>
      <c r="K5519" s="5">
        <v>227398</v>
      </c>
      <c r="L5519" s="5">
        <v>1760700</v>
      </c>
      <c r="M5519" s="5">
        <v>123442.31</v>
      </c>
      <c r="N5519" s="5">
        <v>8.0299999999999996E-2</v>
      </c>
      <c r="O5519" s="5">
        <v>1</v>
      </c>
      <c r="P5519" s="5">
        <v>3508</v>
      </c>
    </row>
    <row r="5520" spans="1:16" x14ac:dyDescent="0.3">
      <c r="A5520" s="5">
        <v>118</v>
      </c>
      <c r="B5520" s="5" t="s">
        <v>173</v>
      </c>
      <c r="C5520" s="5">
        <v>7</v>
      </c>
      <c r="D5520" s="5" t="s">
        <v>91</v>
      </c>
      <c r="E5520" s="5">
        <v>2022</v>
      </c>
      <c r="F5520" s="5">
        <v>11</v>
      </c>
      <c r="G5520" s="5" t="s">
        <v>44</v>
      </c>
      <c r="H5520" s="5">
        <v>579572</v>
      </c>
      <c r="I5520" s="5">
        <v>459325.9</v>
      </c>
      <c r="J5520" s="5">
        <v>11</v>
      </c>
      <c r="K5520" s="5">
        <v>26073</v>
      </c>
      <c r="L5520" s="5">
        <v>603240</v>
      </c>
      <c r="M5520" s="5">
        <v>120246.1</v>
      </c>
      <c r="N5520" s="5">
        <v>0.20749999999999999</v>
      </c>
      <c r="O5520" s="5">
        <v>0</v>
      </c>
      <c r="P5520" s="5">
        <v>0</v>
      </c>
    </row>
    <row r="5521" spans="1:16" x14ac:dyDescent="0.3">
      <c r="A5521" s="5">
        <v>64</v>
      </c>
      <c r="B5521" s="5" t="s">
        <v>173</v>
      </c>
      <c r="C5521" s="5">
        <v>7</v>
      </c>
      <c r="D5521" s="5" t="s">
        <v>91</v>
      </c>
      <c r="E5521" s="5">
        <v>2022</v>
      </c>
      <c r="F5521" s="5">
        <v>12</v>
      </c>
      <c r="G5521" s="5" t="s">
        <v>45</v>
      </c>
      <c r="H5521" s="5">
        <v>1483225</v>
      </c>
      <c r="I5521" s="5">
        <v>1197880.3700000001</v>
      </c>
      <c r="J5521" s="5">
        <v>21</v>
      </c>
      <c r="K5521" s="5">
        <v>85370</v>
      </c>
      <c r="L5521" s="5">
        <v>1562690</v>
      </c>
      <c r="M5521" s="5">
        <v>285344.63</v>
      </c>
      <c r="N5521" s="5">
        <v>0.19239999999999999</v>
      </c>
      <c r="O5521" s="5">
        <v>1</v>
      </c>
      <c r="P5521" s="5">
        <v>11280</v>
      </c>
    </row>
    <row r="5522" spans="1:16" x14ac:dyDescent="0.3">
      <c r="A5522" s="5">
        <v>118</v>
      </c>
      <c r="B5522" s="5" t="s">
        <v>173</v>
      </c>
      <c r="C5522" s="5">
        <v>7</v>
      </c>
      <c r="D5522" s="5" t="s">
        <v>91</v>
      </c>
      <c r="E5522" s="5">
        <v>2022</v>
      </c>
      <c r="F5522" s="5">
        <v>12</v>
      </c>
      <c r="G5522" s="5" t="s">
        <v>45</v>
      </c>
      <c r="H5522" s="5">
        <v>326577</v>
      </c>
      <c r="I5522" s="5">
        <v>266329.57</v>
      </c>
      <c r="J5522" s="5">
        <v>11</v>
      </c>
      <c r="K5522" s="5">
        <v>18276</v>
      </c>
      <c r="L5522" s="5">
        <v>344480</v>
      </c>
      <c r="M5522" s="5">
        <v>60247.43</v>
      </c>
      <c r="N5522" s="5">
        <v>0.1845</v>
      </c>
      <c r="O5522" s="5">
        <v>0</v>
      </c>
      <c r="P5522" s="5">
        <v>0</v>
      </c>
    </row>
    <row r="5523" spans="1:16" x14ac:dyDescent="0.3">
      <c r="A5523" s="5">
        <v>64</v>
      </c>
      <c r="B5523" s="5" t="s">
        <v>173</v>
      </c>
      <c r="C5523" s="5">
        <v>7</v>
      </c>
      <c r="D5523" s="5" t="s">
        <v>91</v>
      </c>
      <c r="E5523" s="5">
        <v>2023</v>
      </c>
      <c r="F5523" s="5">
        <v>1</v>
      </c>
      <c r="G5523" s="5" t="s">
        <v>46</v>
      </c>
      <c r="H5523" s="5">
        <v>1230221</v>
      </c>
      <c r="I5523" s="5">
        <v>1137671.75</v>
      </c>
      <c r="J5523" s="5">
        <v>18</v>
      </c>
      <c r="K5523" s="5">
        <v>201113</v>
      </c>
      <c r="L5523" s="5">
        <v>1429990</v>
      </c>
      <c r="M5523" s="5">
        <v>92549.25</v>
      </c>
      <c r="N5523" s="5">
        <v>7.5200000000000003E-2</v>
      </c>
      <c r="O5523" s="5">
        <v>1</v>
      </c>
      <c r="P5523" s="5">
        <v>16395</v>
      </c>
    </row>
    <row r="5524" spans="1:16" x14ac:dyDescent="0.3">
      <c r="A5524" s="5">
        <v>118</v>
      </c>
      <c r="B5524" s="5" t="s">
        <v>173</v>
      </c>
      <c r="C5524" s="5">
        <v>7</v>
      </c>
      <c r="D5524" s="5" t="s">
        <v>91</v>
      </c>
      <c r="E5524" s="5">
        <v>2023</v>
      </c>
      <c r="F5524" s="5">
        <v>1</v>
      </c>
      <c r="G5524" s="5" t="s">
        <v>46</v>
      </c>
      <c r="H5524" s="5">
        <v>1057464</v>
      </c>
      <c r="I5524" s="5">
        <v>1033499.86</v>
      </c>
      <c r="J5524" s="5">
        <v>15</v>
      </c>
      <c r="K5524" s="5">
        <v>231751</v>
      </c>
      <c r="L5524" s="5">
        <v>1287590</v>
      </c>
      <c r="M5524" s="5">
        <v>23964.14</v>
      </c>
      <c r="N5524" s="5">
        <v>2.2700000000000001E-2</v>
      </c>
      <c r="O5524" s="5">
        <v>1</v>
      </c>
      <c r="P5524" s="5">
        <v>111964</v>
      </c>
    </row>
    <row r="5525" spans="1:16" x14ac:dyDescent="0.3">
      <c r="A5525" s="5">
        <v>64</v>
      </c>
      <c r="B5525" s="5" t="s">
        <v>173</v>
      </c>
      <c r="C5525" s="5">
        <v>7</v>
      </c>
      <c r="D5525" s="5" t="s">
        <v>91</v>
      </c>
      <c r="E5525" s="5">
        <v>2023</v>
      </c>
      <c r="F5525" s="5">
        <v>2</v>
      </c>
      <c r="G5525" s="5" t="s">
        <v>47</v>
      </c>
      <c r="H5525" s="5">
        <v>1152401</v>
      </c>
      <c r="I5525" s="5">
        <v>1012186.18</v>
      </c>
      <c r="J5525" s="5">
        <v>17</v>
      </c>
      <c r="K5525" s="5">
        <v>189655</v>
      </c>
      <c r="L5525" s="5">
        <v>1339370</v>
      </c>
      <c r="M5525" s="5">
        <v>140214.82</v>
      </c>
      <c r="N5525" s="5">
        <v>0.1217</v>
      </c>
      <c r="O5525" s="5">
        <v>0</v>
      </c>
      <c r="P5525" s="5">
        <v>0</v>
      </c>
    </row>
    <row r="5526" spans="1:16" x14ac:dyDescent="0.3">
      <c r="A5526" s="5">
        <v>118</v>
      </c>
      <c r="B5526" s="5" t="s">
        <v>173</v>
      </c>
      <c r="C5526" s="5">
        <v>7</v>
      </c>
      <c r="D5526" s="5" t="s">
        <v>91</v>
      </c>
      <c r="E5526" s="5">
        <v>2023</v>
      </c>
      <c r="F5526" s="5">
        <v>2</v>
      </c>
      <c r="G5526" s="5" t="s">
        <v>47</v>
      </c>
      <c r="H5526" s="5">
        <v>269552</v>
      </c>
      <c r="I5526" s="5">
        <v>227308.26</v>
      </c>
      <c r="J5526" s="5">
        <v>4</v>
      </c>
      <c r="K5526" s="5">
        <v>17047</v>
      </c>
      <c r="L5526" s="5">
        <v>284840</v>
      </c>
      <c r="M5526" s="5">
        <v>42243.74</v>
      </c>
      <c r="N5526" s="5">
        <v>0.15670000000000001</v>
      </c>
      <c r="O5526" s="5">
        <v>1</v>
      </c>
      <c r="P5526" s="5">
        <v>19989</v>
      </c>
    </row>
    <row r="5527" spans="1:16" x14ac:dyDescent="0.3">
      <c r="A5527" s="5">
        <v>64</v>
      </c>
      <c r="B5527" s="5" t="s">
        <v>173</v>
      </c>
      <c r="C5527" s="5">
        <v>7</v>
      </c>
      <c r="D5527" s="5" t="s">
        <v>91</v>
      </c>
      <c r="E5527" s="5">
        <v>2023</v>
      </c>
      <c r="F5527" s="5">
        <v>3</v>
      </c>
      <c r="G5527" s="5" t="s">
        <v>48</v>
      </c>
      <c r="H5527" s="5">
        <v>1618856</v>
      </c>
      <c r="I5527" s="5">
        <v>1418672.58</v>
      </c>
      <c r="J5527" s="5">
        <v>20</v>
      </c>
      <c r="K5527" s="5">
        <v>200415</v>
      </c>
      <c r="L5527" s="5">
        <v>1815750</v>
      </c>
      <c r="M5527" s="5">
        <v>200183.42</v>
      </c>
      <c r="N5527" s="5">
        <v>0.1237</v>
      </c>
      <c r="O5527" s="5">
        <v>2</v>
      </c>
      <c r="P5527" s="5">
        <v>23840</v>
      </c>
    </row>
    <row r="5528" spans="1:16" x14ac:dyDescent="0.3">
      <c r="A5528" s="5">
        <v>118</v>
      </c>
      <c r="B5528" s="5" t="s">
        <v>173</v>
      </c>
      <c r="C5528" s="5">
        <v>7</v>
      </c>
      <c r="D5528" s="5" t="s">
        <v>91</v>
      </c>
      <c r="E5528" s="5">
        <v>2023</v>
      </c>
      <c r="F5528" s="5">
        <v>3</v>
      </c>
      <c r="G5528" s="5" t="s">
        <v>48</v>
      </c>
      <c r="H5528" s="5">
        <v>588728</v>
      </c>
      <c r="I5528" s="5">
        <v>561360.99</v>
      </c>
      <c r="J5528" s="5">
        <v>10</v>
      </c>
      <c r="K5528" s="5">
        <v>100663</v>
      </c>
      <c r="L5528" s="5">
        <v>687690</v>
      </c>
      <c r="M5528" s="5">
        <v>27367.01</v>
      </c>
      <c r="N5528" s="5">
        <v>4.65E-2</v>
      </c>
      <c r="O5528" s="5">
        <v>2</v>
      </c>
      <c r="P5528" s="5">
        <v>100030</v>
      </c>
    </row>
    <row r="5529" spans="1:16" x14ac:dyDescent="0.3">
      <c r="A5529" s="5">
        <v>64</v>
      </c>
      <c r="B5529" s="5" t="s">
        <v>173</v>
      </c>
      <c r="C5529" s="5">
        <v>7</v>
      </c>
      <c r="D5529" s="5" t="s">
        <v>91</v>
      </c>
      <c r="E5529" s="5">
        <v>2023</v>
      </c>
      <c r="F5529" s="5">
        <v>4</v>
      </c>
      <c r="G5529" s="5" t="s">
        <v>49</v>
      </c>
      <c r="H5529" s="5">
        <v>679625</v>
      </c>
      <c r="I5529" s="5">
        <v>576249.66</v>
      </c>
      <c r="J5529" s="5">
        <v>11</v>
      </c>
      <c r="K5529" s="5">
        <v>76178</v>
      </c>
      <c r="L5529" s="5">
        <v>753470</v>
      </c>
      <c r="M5529" s="5">
        <v>103375.34</v>
      </c>
      <c r="N5529" s="5">
        <v>0.15210000000000001</v>
      </c>
      <c r="O5529" s="5">
        <v>1</v>
      </c>
      <c r="P5529" s="5">
        <v>2071</v>
      </c>
    </row>
    <row r="5530" spans="1:16" x14ac:dyDescent="0.3">
      <c r="A5530" s="5">
        <v>118</v>
      </c>
      <c r="B5530" s="5" t="s">
        <v>173</v>
      </c>
      <c r="C5530" s="5">
        <v>7</v>
      </c>
      <c r="D5530" s="5" t="s">
        <v>91</v>
      </c>
      <c r="E5530" s="5">
        <v>2023</v>
      </c>
      <c r="F5530" s="5">
        <v>4</v>
      </c>
      <c r="G5530" s="5" t="s">
        <v>49</v>
      </c>
      <c r="H5530" s="5">
        <v>691593</v>
      </c>
      <c r="I5530" s="5">
        <v>564192.32999999996</v>
      </c>
      <c r="J5530" s="5">
        <v>11</v>
      </c>
      <c r="K5530" s="5">
        <v>63091</v>
      </c>
      <c r="L5530" s="5">
        <v>751250</v>
      </c>
      <c r="M5530" s="5">
        <v>127400.67</v>
      </c>
      <c r="N5530" s="5">
        <v>0.1842</v>
      </c>
      <c r="O5530" s="5">
        <v>0</v>
      </c>
      <c r="P5530" s="5">
        <v>0</v>
      </c>
    </row>
    <row r="5531" spans="1:16" x14ac:dyDescent="0.3">
      <c r="A5531" s="5">
        <v>64</v>
      </c>
      <c r="B5531" s="5" t="s">
        <v>173</v>
      </c>
      <c r="C5531" s="5">
        <v>7</v>
      </c>
      <c r="D5531" s="5" t="s">
        <v>91</v>
      </c>
      <c r="E5531" s="5">
        <v>2023</v>
      </c>
      <c r="F5531" s="5">
        <v>5</v>
      </c>
      <c r="G5531" s="5" t="s">
        <v>50</v>
      </c>
      <c r="H5531" s="5">
        <v>805963</v>
      </c>
      <c r="I5531" s="5">
        <v>723692.09</v>
      </c>
      <c r="J5531" s="5">
        <v>12</v>
      </c>
      <c r="K5531" s="5">
        <v>155443</v>
      </c>
      <c r="L5531" s="5">
        <v>961320</v>
      </c>
      <c r="M5531" s="5">
        <v>82270.91</v>
      </c>
      <c r="N5531" s="5">
        <v>0.1021</v>
      </c>
      <c r="O5531" s="5">
        <v>1</v>
      </c>
      <c r="P5531" s="5">
        <v>7103</v>
      </c>
    </row>
    <row r="5532" spans="1:16" x14ac:dyDescent="0.3">
      <c r="A5532" s="5">
        <v>118</v>
      </c>
      <c r="B5532" s="5" t="s">
        <v>173</v>
      </c>
      <c r="C5532" s="5">
        <v>7</v>
      </c>
      <c r="D5532" s="5" t="s">
        <v>91</v>
      </c>
      <c r="E5532" s="5">
        <v>2023</v>
      </c>
      <c r="F5532" s="5">
        <v>5</v>
      </c>
      <c r="G5532" s="5" t="s">
        <v>50</v>
      </c>
      <c r="H5532" s="5">
        <v>732112</v>
      </c>
      <c r="I5532" s="5">
        <v>625309.92000000004</v>
      </c>
      <c r="J5532" s="5">
        <v>12</v>
      </c>
      <c r="K5532" s="5">
        <v>85398</v>
      </c>
      <c r="L5532" s="5">
        <v>815630</v>
      </c>
      <c r="M5532" s="5">
        <v>106802.08</v>
      </c>
      <c r="N5532" s="5">
        <v>0.1459</v>
      </c>
      <c r="O5532" s="5">
        <v>0</v>
      </c>
      <c r="P5532" s="5">
        <v>0</v>
      </c>
    </row>
    <row r="5533" spans="1:16" x14ac:dyDescent="0.3">
      <c r="A5533" s="5">
        <v>64</v>
      </c>
      <c r="B5533" s="5" t="s">
        <v>173</v>
      </c>
      <c r="C5533" s="5">
        <v>7</v>
      </c>
      <c r="D5533" s="5" t="s">
        <v>91</v>
      </c>
      <c r="E5533" s="5">
        <v>2023</v>
      </c>
      <c r="F5533" s="5">
        <v>6</v>
      </c>
      <c r="G5533" s="5" t="s">
        <v>51</v>
      </c>
      <c r="H5533" s="5">
        <v>839975</v>
      </c>
      <c r="I5533" s="5">
        <v>720827.43</v>
      </c>
      <c r="J5533" s="5">
        <v>13</v>
      </c>
      <c r="K5533" s="5">
        <v>94103</v>
      </c>
      <c r="L5533" s="5">
        <v>931550</v>
      </c>
      <c r="M5533" s="5">
        <v>119147.57</v>
      </c>
      <c r="N5533" s="5">
        <v>0.14180000000000001</v>
      </c>
      <c r="O5533" s="5">
        <v>1</v>
      </c>
      <c r="P5533" s="5">
        <v>34507</v>
      </c>
    </row>
    <row r="5534" spans="1:16" x14ac:dyDescent="0.3">
      <c r="A5534" s="5">
        <v>118</v>
      </c>
      <c r="B5534" s="5" t="s">
        <v>173</v>
      </c>
      <c r="C5534" s="5">
        <v>7</v>
      </c>
      <c r="D5534" s="5" t="s">
        <v>91</v>
      </c>
      <c r="E5534" s="5">
        <v>2023</v>
      </c>
      <c r="F5534" s="5">
        <v>6</v>
      </c>
      <c r="G5534" s="5" t="s">
        <v>51</v>
      </c>
      <c r="H5534" s="5">
        <v>1342041</v>
      </c>
      <c r="I5534" s="5">
        <v>1149344.6100000001</v>
      </c>
      <c r="J5534" s="5">
        <v>15</v>
      </c>
      <c r="K5534" s="5">
        <v>139891</v>
      </c>
      <c r="L5534" s="5">
        <v>1478810</v>
      </c>
      <c r="M5534" s="5">
        <v>192696.39</v>
      </c>
      <c r="N5534" s="5">
        <v>0.14360000000000001</v>
      </c>
      <c r="O5534" s="5">
        <v>1</v>
      </c>
      <c r="P5534" s="5">
        <v>4538</v>
      </c>
    </row>
    <row r="5535" spans="1:16" x14ac:dyDescent="0.3">
      <c r="A5535" s="5">
        <v>64</v>
      </c>
      <c r="B5535" s="5" t="s">
        <v>173</v>
      </c>
      <c r="C5535" s="5">
        <v>7</v>
      </c>
      <c r="D5535" s="5" t="s">
        <v>91</v>
      </c>
      <c r="E5535" s="5">
        <v>2023</v>
      </c>
      <c r="F5535" s="5">
        <v>7</v>
      </c>
      <c r="G5535" s="5" t="s">
        <v>52</v>
      </c>
      <c r="H5535" s="5">
        <v>840479</v>
      </c>
      <c r="I5535" s="5">
        <v>896524.31</v>
      </c>
      <c r="J5535" s="5">
        <v>18</v>
      </c>
      <c r="K5535" s="5">
        <v>309504</v>
      </c>
      <c r="L5535" s="5">
        <v>1148660</v>
      </c>
      <c r="M5535" s="5">
        <v>-56045.31</v>
      </c>
      <c r="N5535" s="5">
        <v>-6.6699999999999995E-2</v>
      </c>
      <c r="O5535" s="5">
        <v>1</v>
      </c>
      <c r="P5535" s="5">
        <v>10476</v>
      </c>
    </row>
    <row r="5536" spans="1:16" x14ac:dyDescent="0.3">
      <c r="A5536" s="5">
        <v>118</v>
      </c>
      <c r="B5536" s="5" t="s">
        <v>173</v>
      </c>
      <c r="C5536" s="5">
        <v>7</v>
      </c>
      <c r="D5536" s="5" t="s">
        <v>91</v>
      </c>
      <c r="E5536" s="5">
        <v>2023</v>
      </c>
      <c r="F5536" s="5">
        <v>7</v>
      </c>
      <c r="G5536" s="5" t="s">
        <v>52</v>
      </c>
      <c r="H5536" s="5">
        <v>696518</v>
      </c>
      <c r="I5536" s="5">
        <v>652809.31999999995</v>
      </c>
      <c r="J5536" s="5">
        <v>13</v>
      </c>
      <c r="K5536" s="5">
        <v>130347</v>
      </c>
      <c r="L5536" s="5">
        <v>826000</v>
      </c>
      <c r="M5536" s="5">
        <v>43708.68</v>
      </c>
      <c r="N5536" s="5">
        <v>6.2799999999999995E-2</v>
      </c>
      <c r="O5536" s="5">
        <v>2</v>
      </c>
      <c r="P5536" s="5">
        <v>26613</v>
      </c>
    </row>
    <row r="5537" spans="1:16" x14ac:dyDescent="0.3">
      <c r="A5537" s="5">
        <v>64</v>
      </c>
      <c r="B5537" s="5" t="s">
        <v>173</v>
      </c>
      <c r="C5537" s="5">
        <v>7</v>
      </c>
      <c r="D5537" s="5" t="s">
        <v>91</v>
      </c>
      <c r="E5537" s="5">
        <v>2023</v>
      </c>
      <c r="F5537" s="5">
        <v>8</v>
      </c>
      <c r="G5537" s="5" t="s">
        <v>53</v>
      </c>
      <c r="H5537" s="5">
        <v>974335</v>
      </c>
      <c r="I5537" s="5">
        <v>829069.79</v>
      </c>
      <c r="J5537" s="5">
        <v>8</v>
      </c>
      <c r="K5537" s="5">
        <v>67341</v>
      </c>
      <c r="L5537" s="5">
        <v>1040190</v>
      </c>
      <c r="M5537" s="5">
        <v>145265.21</v>
      </c>
      <c r="N5537" s="5">
        <v>0.14910000000000001</v>
      </c>
      <c r="O5537" s="5">
        <v>1</v>
      </c>
      <c r="P5537" s="5">
        <v>88211</v>
      </c>
    </row>
    <row r="5538" spans="1:16" x14ac:dyDescent="0.3">
      <c r="A5538" s="5">
        <v>118</v>
      </c>
      <c r="B5538" s="5" t="s">
        <v>173</v>
      </c>
      <c r="C5538" s="5">
        <v>7</v>
      </c>
      <c r="D5538" s="5" t="s">
        <v>91</v>
      </c>
      <c r="E5538" s="5">
        <v>2023</v>
      </c>
      <c r="F5538" s="5">
        <v>8</v>
      </c>
      <c r="G5538" s="5" t="s">
        <v>53</v>
      </c>
      <c r="H5538" s="5">
        <v>315355</v>
      </c>
      <c r="I5538" s="5">
        <v>310823.63</v>
      </c>
      <c r="J5538" s="5">
        <v>4</v>
      </c>
      <c r="K5538" s="5">
        <v>75097</v>
      </c>
      <c r="L5538" s="5">
        <v>390350</v>
      </c>
      <c r="M5538" s="5">
        <v>4531.37</v>
      </c>
      <c r="N5538" s="5">
        <v>1.44E-2</v>
      </c>
      <c r="O5538" s="5">
        <v>0</v>
      </c>
      <c r="P5538" s="5">
        <v>0</v>
      </c>
    </row>
    <row r="5539" spans="1:16" x14ac:dyDescent="0.3">
      <c r="A5539" s="5">
        <v>64</v>
      </c>
      <c r="B5539" s="5" t="s">
        <v>173</v>
      </c>
      <c r="C5539" s="5">
        <v>7</v>
      </c>
      <c r="D5539" s="5" t="s">
        <v>91</v>
      </c>
      <c r="E5539" s="5">
        <v>2023</v>
      </c>
      <c r="F5539" s="5">
        <v>9</v>
      </c>
      <c r="G5539" s="5" t="s">
        <v>54</v>
      </c>
      <c r="H5539" s="5">
        <v>1503437</v>
      </c>
      <c r="I5539" s="5">
        <v>1285570.6599999999</v>
      </c>
      <c r="J5539" s="5">
        <v>22</v>
      </c>
      <c r="K5539" s="5">
        <v>230435</v>
      </c>
      <c r="L5539" s="5">
        <v>1725770</v>
      </c>
      <c r="M5539" s="5">
        <v>217866.34</v>
      </c>
      <c r="N5539" s="5">
        <v>0.1449</v>
      </c>
      <c r="O5539" s="5">
        <v>1</v>
      </c>
      <c r="P5539" s="5">
        <v>36217</v>
      </c>
    </row>
    <row r="5540" spans="1:16" x14ac:dyDescent="0.3">
      <c r="A5540" s="5">
        <v>118</v>
      </c>
      <c r="B5540" s="5" t="s">
        <v>173</v>
      </c>
      <c r="C5540" s="5">
        <v>7</v>
      </c>
      <c r="D5540" s="5" t="s">
        <v>91</v>
      </c>
      <c r="E5540" s="5">
        <v>2023</v>
      </c>
      <c r="F5540" s="5">
        <v>9</v>
      </c>
      <c r="G5540" s="5" t="s">
        <v>54</v>
      </c>
      <c r="H5540" s="5">
        <v>1031118</v>
      </c>
      <c r="I5540" s="5">
        <v>1004782.89</v>
      </c>
      <c r="J5540" s="5">
        <v>12</v>
      </c>
      <c r="K5540" s="5">
        <v>224108</v>
      </c>
      <c r="L5540" s="5">
        <v>1254210</v>
      </c>
      <c r="M5540" s="5">
        <v>26335.11</v>
      </c>
      <c r="N5540" s="5">
        <v>2.5499999999999998E-2</v>
      </c>
      <c r="O5540" s="5">
        <v>1</v>
      </c>
      <c r="P5540" s="5">
        <v>4584</v>
      </c>
    </row>
    <row r="5541" spans="1:16" x14ac:dyDescent="0.3">
      <c r="A5541" s="5">
        <v>64</v>
      </c>
      <c r="B5541" s="5" t="s">
        <v>173</v>
      </c>
      <c r="C5541" s="5">
        <v>7</v>
      </c>
      <c r="D5541" s="5" t="s">
        <v>91</v>
      </c>
      <c r="E5541" s="5">
        <v>2023</v>
      </c>
      <c r="F5541" s="5">
        <v>10</v>
      </c>
      <c r="G5541" s="5" t="s">
        <v>55</v>
      </c>
      <c r="H5541" s="5">
        <v>894921</v>
      </c>
      <c r="I5541" s="5">
        <v>807582.69</v>
      </c>
      <c r="J5541" s="5">
        <v>10</v>
      </c>
      <c r="K5541" s="5">
        <v>120697</v>
      </c>
      <c r="L5541" s="5">
        <v>1011890</v>
      </c>
      <c r="M5541" s="5">
        <v>87338.31</v>
      </c>
      <c r="N5541" s="5">
        <v>9.7600000000000006E-2</v>
      </c>
      <c r="O5541" s="5">
        <v>1</v>
      </c>
      <c r="P5541" s="5">
        <v>3553</v>
      </c>
    </row>
    <row r="5542" spans="1:16" x14ac:dyDescent="0.3">
      <c r="A5542" s="5">
        <v>118</v>
      </c>
      <c r="B5542" s="5" t="s">
        <v>173</v>
      </c>
      <c r="C5542" s="5">
        <v>7</v>
      </c>
      <c r="D5542" s="5" t="s">
        <v>91</v>
      </c>
      <c r="E5542" s="5">
        <v>2023</v>
      </c>
      <c r="F5542" s="5">
        <v>10</v>
      </c>
      <c r="G5542" s="5" t="s">
        <v>55</v>
      </c>
      <c r="H5542" s="5">
        <v>2235527</v>
      </c>
      <c r="I5542" s="5">
        <v>1870749</v>
      </c>
      <c r="J5542" s="5">
        <v>19</v>
      </c>
      <c r="K5542" s="5">
        <v>150650</v>
      </c>
      <c r="L5542" s="5">
        <v>2374900</v>
      </c>
      <c r="M5542" s="5">
        <v>364778</v>
      </c>
      <c r="N5542" s="5">
        <v>0.16320000000000001</v>
      </c>
      <c r="O5542" s="5">
        <v>0</v>
      </c>
      <c r="P5542" s="5">
        <v>0</v>
      </c>
    </row>
    <row r="5543" spans="1:16" x14ac:dyDescent="0.3">
      <c r="A5543" s="5">
        <v>64</v>
      </c>
      <c r="B5543" s="5" t="s">
        <v>173</v>
      </c>
      <c r="C5543" s="5">
        <v>7</v>
      </c>
      <c r="D5543" s="5" t="s">
        <v>91</v>
      </c>
      <c r="E5543" s="5">
        <v>2023</v>
      </c>
      <c r="F5543" s="5">
        <v>11</v>
      </c>
      <c r="G5543" s="5" t="s">
        <v>56</v>
      </c>
      <c r="H5543" s="5">
        <v>2106277</v>
      </c>
      <c r="I5543" s="5">
        <v>1922555.07</v>
      </c>
      <c r="J5543" s="5">
        <v>40</v>
      </c>
      <c r="K5543" s="5">
        <v>408678</v>
      </c>
      <c r="L5543" s="5">
        <v>2514000</v>
      </c>
      <c r="M5543" s="5">
        <v>183721.93</v>
      </c>
      <c r="N5543" s="5">
        <v>8.72E-2</v>
      </c>
      <c r="O5543" s="5">
        <v>3</v>
      </c>
      <c r="P5543" s="5">
        <v>13542</v>
      </c>
    </row>
    <row r="5544" spans="1:16" x14ac:dyDescent="0.3">
      <c r="A5544" s="5">
        <v>118</v>
      </c>
      <c r="B5544" s="5" t="s">
        <v>173</v>
      </c>
      <c r="C5544" s="5">
        <v>7</v>
      </c>
      <c r="D5544" s="5" t="s">
        <v>91</v>
      </c>
      <c r="E5544" s="5">
        <v>2023</v>
      </c>
      <c r="F5544" s="5">
        <v>11</v>
      </c>
      <c r="G5544" s="5" t="s">
        <v>56</v>
      </c>
      <c r="H5544" s="5">
        <v>1810943</v>
      </c>
      <c r="I5544" s="5">
        <v>1708899.87</v>
      </c>
      <c r="J5544" s="5">
        <v>18</v>
      </c>
      <c r="K5544" s="5">
        <v>314457</v>
      </c>
      <c r="L5544" s="5">
        <v>2122600</v>
      </c>
      <c r="M5544" s="5">
        <v>102043.13</v>
      </c>
      <c r="N5544" s="5">
        <v>5.6300000000000003E-2</v>
      </c>
      <c r="O5544" s="5">
        <v>3</v>
      </c>
      <c r="P5544" s="5">
        <v>129566</v>
      </c>
    </row>
    <row r="5545" spans="1:16" x14ac:dyDescent="0.3">
      <c r="A5545" s="5">
        <v>64</v>
      </c>
      <c r="B5545" s="5" t="s">
        <v>173</v>
      </c>
      <c r="C5545" s="5">
        <v>7</v>
      </c>
      <c r="D5545" s="5" t="s">
        <v>91</v>
      </c>
      <c r="E5545" s="5">
        <v>2023</v>
      </c>
      <c r="F5545" s="5">
        <v>12</v>
      </c>
      <c r="G5545" s="5" t="s">
        <v>57</v>
      </c>
      <c r="H5545" s="5">
        <v>1265187</v>
      </c>
      <c r="I5545" s="5">
        <v>1148084.74</v>
      </c>
      <c r="J5545" s="5">
        <v>22</v>
      </c>
      <c r="K5545" s="5">
        <v>255603</v>
      </c>
      <c r="L5545" s="5">
        <v>1516380</v>
      </c>
      <c r="M5545" s="5">
        <v>117102.26</v>
      </c>
      <c r="N5545" s="5">
        <v>9.2600000000000002E-2</v>
      </c>
      <c r="O5545" s="5">
        <v>1</v>
      </c>
      <c r="P5545" s="5">
        <v>1772</v>
      </c>
    </row>
    <row r="5546" spans="1:16" x14ac:dyDescent="0.3">
      <c r="A5546" s="5">
        <v>118</v>
      </c>
      <c r="B5546" s="5" t="s">
        <v>173</v>
      </c>
      <c r="C5546" s="5">
        <v>7</v>
      </c>
      <c r="D5546" s="5" t="s">
        <v>91</v>
      </c>
      <c r="E5546" s="5">
        <v>2023</v>
      </c>
      <c r="F5546" s="5">
        <v>12</v>
      </c>
      <c r="G5546" s="5" t="s">
        <v>57</v>
      </c>
      <c r="H5546" s="5">
        <v>429042</v>
      </c>
      <c r="I5546" s="5">
        <v>386957.72</v>
      </c>
      <c r="J5546" s="5">
        <v>7</v>
      </c>
      <c r="K5546" s="5">
        <v>63392</v>
      </c>
      <c r="L5546" s="5">
        <v>492060</v>
      </c>
      <c r="M5546" s="5">
        <v>42084.28</v>
      </c>
      <c r="N5546" s="5">
        <v>9.8100000000000007E-2</v>
      </c>
      <c r="O5546" s="5">
        <v>1</v>
      </c>
      <c r="P5546" s="5">
        <v>12603</v>
      </c>
    </row>
    <row r="5547" spans="1:16" x14ac:dyDescent="0.3">
      <c r="A5547" s="5">
        <v>64</v>
      </c>
      <c r="B5547" s="5" t="s">
        <v>173</v>
      </c>
      <c r="C5547" s="5">
        <v>7</v>
      </c>
      <c r="D5547" s="5" t="s">
        <v>91</v>
      </c>
      <c r="E5547" s="5">
        <v>2024</v>
      </c>
      <c r="F5547" s="5">
        <v>1</v>
      </c>
      <c r="G5547" s="5" t="s">
        <v>58</v>
      </c>
      <c r="H5547" s="5">
        <v>1126823</v>
      </c>
      <c r="I5547" s="5">
        <v>911847.68</v>
      </c>
      <c r="J5547" s="5">
        <v>11</v>
      </c>
      <c r="K5547" s="5">
        <v>20182</v>
      </c>
      <c r="L5547" s="5">
        <v>1140640</v>
      </c>
      <c r="M5547" s="5">
        <v>214975.32</v>
      </c>
      <c r="N5547" s="5">
        <v>0.1908</v>
      </c>
      <c r="O5547" s="5">
        <v>1</v>
      </c>
      <c r="P5547" s="5">
        <v>233185</v>
      </c>
    </row>
    <row r="5548" spans="1:16" x14ac:dyDescent="0.3">
      <c r="A5548" s="5">
        <v>118</v>
      </c>
      <c r="B5548" s="5" t="s">
        <v>173</v>
      </c>
      <c r="C5548" s="5">
        <v>7</v>
      </c>
      <c r="D5548" s="5" t="s">
        <v>91</v>
      </c>
      <c r="E5548" s="5">
        <v>2024</v>
      </c>
      <c r="F5548" s="5">
        <v>1</v>
      </c>
      <c r="G5548" s="5" t="s">
        <v>58</v>
      </c>
      <c r="H5548" s="5">
        <v>791330</v>
      </c>
      <c r="I5548" s="5">
        <v>626734.77</v>
      </c>
      <c r="J5548" s="5">
        <v>7</v>
      </c>
      <c r="K5548" s="5">
        <v>27144</v>
      </c>
      <c r="L5548" s="5">
        <v>810940</v>
      </c>
      <c r="M5548" s="5">
        <v>164595.23000000001</v>
      </c>
      <c r="N5548" s="5">
        <v>0.20799999999999999</v>
      </c>
      <c r="O5548" s="5">
        <v>2</v>
      </c>
      <c r="P5548" s="5">
        <v>61317</v>
      </c>
    </row>
    <row r="5549" spans="1:16" x14ac:dyDescent="0.3">
      <c r="A5549" s="5">
        <v>64</v>
      </c>
      <c r="B5549" s="5" t="s">
        <v>173</v>
      </c>
      <c r="C5549" s="5">
        <v>7</v>
      </c>
      <c r="D5549" s="5" t="s">
        <v>91</v>
      </c>
      <c r="E5549" s="5">
        <v>2024</v>
      </c>
      <c r="F5549" s="5">
        <v>2</v>
      </c>
      <c r="G5549" s="5" t="s">
        <v>59</v>
      </c>
      <c r="H5549" s="5">
        <v>883875</v>
      </c>
      <c r="I5549" s="5">
        <v>733007.48</v>
      </c>
      <c r="J5549" s="5">
        <v>17</v>
      </c>
      <c r="K5549" s="5">
        <v>129194</v>
      </c>
      <c r="L5549" s="5">
        <v>1011990</v>
      </c>
      <c r="M5549" s="5">
        <v>150867.51999999999</v>
      </c>
      <c r="N5549" s="5">
        <v>0.17069999999999999</v>
      </c>
      <c r="O5549" s="5">
        <v>0</v>
      </c>
      <c r="P5549" s="5">
        <v>0</v>
      </c>
    </row>
    <row r="5550" spans="1:16" x14ac:dyDescent="0.3">
      <c r="A5550" s="5">
        <v>118</v>
      </c>
      <c r="B5550" s="5" t="s">
        <v>173</v>
      </c>
      <c r="C5550" s="5">
        <v>7</v>
      </c>
      <c r="D5550" s="5" t="s">
        <v>91</v>
      </c>
      <c r="E5550" s="5">
        <v>2024</v>
      </c>
      <c r="F5550" s="5">
        <v>2</v>
      </c>
      <c r="G5550" s="5" t="s">
        <v>59</v>
      </c>
      <c r="H5550" s="5">
        <v>224437</v>
      </c>
      <c r="I5550" s="5">
        <v>182246.95</v>
      </c>
      <c r="J5550" s="5">
        <v>7</v>
      </c>
      <c r="K5550" s="5">
        <v>8062</v>
      </c>
      <c r="L5550" s="5">
        <v>230890</v>
      </c>
      <c r="M5550" s="5">
        <v>42190.05</v>
      </c>
      <c r="N5550" s="5">
        <v>0.188</v>
      </c>
      <c r="O5550" s="5">
        <v>0</v>
      </c>
      <c r="P5550" s="5">
        <v>0</v>
      </c>
    </row>
    <row r="5551" spans="1:16" x14ac:dyDescent="0.3">
      <c r="A5551" s="5">
        <v>64</v>
      </c>
      <c r="B5551" s="5" t="s">
        <v>173</v>
      </c>
      <c r="C5551" s="5">
        <v>7</v>
      </c>
      <c r="D5551" s="5" t="s">
        <v>91</v>
      </c>
      <c r="E5551" s="5">
        <v>2024</v>
      </c>
      <c r="F5551" s="5">
        <v>3</v>
      </c>
      <c r="G5551" s="5" t="s">
        <v>60</v>
      </c>
      <c r="H5551" s="5">
        <v>1262449</v>
      </c>
      <c r="I5551" s="5">
        <v>1032737.22</v>
      </c>
      <c r="J5551" s="5">
        <v>13</v>
      </c>
      <c r="K5551" s="5">
        <v>45175</v>
      </c>
      <c r="L5551" s="5">
        <v>1303150</v>
      </c>
      <c r="M5551" s="5">
        <v>229711.78</v>
      </c>
      <c r="N5551" s="5">
        <v>0.182</v>
      </c>
      <c r="O5551" s="5">
        <v>2</v>
      </c>
      <c r="P5551" s="5">
        <v>8510</v>
      </c>
    </row>
    <row r="5552" spans="1:16" x14ac:dyDescent="0.3">
      <c r="A5552" s="5">
        <v>118</v>
      </c>
      <c r="B5552" s="5" t="s">
        <v>173</v>
      </c>
      <c r="C5552" s="5">
        <v>7</v>
      </c>
      <c r="D5552" s="5" t="s">
        <v>91</v>
      </c>
      <c r="E5552" s="5">
        <v>2024</v>
      </c>
      <c r="F5552" s="5">
        <v>3</v>
      </c>
      <c r="G5552" s="5" t="s">
        <v>60</v>
      </c>
      <c r="H5552" s="5">
        <v>567764</v>
      </c>
      <c r="I5552" s="5">
        <v>496889.45</v>
      </c>
      <c r="J5552" s="5">
        <v>10</v>
      </c>
      <c r="K5552" s="5">
        <v>81709</v>
      </c>
      <c r="L5552" s="5">
        <v>649110</v>
      </c>
      <c r="M5552" s="5">
        <v>70874.55</v>
      </c>
      <c r="N5552" s="5">
        <v>0.12479999999999999</v>
      </c>
      <c r="O5552" s="5">
        <v>0</v>
      </c>
      <c r="P5552" s="5">
        <v>0</v>
      </c>
    </row>
    <row r="5553" spans="1:16" x14ac:dyDescent="0.3">
      <c r="A5553" s="5">
        <v>64</v>
      </c>
      <c r="B5553" s="5" t="s">
        <v>173</v>
      </c>
      <c r="C5553" s="5">
        <v>7</v>
      </c>
      <c r="D5553" s="5" t="s">
        <v>91</v>
      </c>
      <c r="E5553" s="5">
        <v>2024</v>
      </c>
      <c r="F5553" s="5">
        <v>4</v>
      </c>
      <c r="G5553" s="5" t="s">
        <v>61</v>
      </c>
      <c r="H5553" s="5">
        <v>469558</v>
      </c>
      <c r="I5553" s="5">
        <v>370511.41</v>
      </c>
      <c r="J5553" s="5">
        <v>11</v>
      </c>
      <c r="K5553" s="5">
        <v>10472</v>
      </c>
      <c r="L5553" s="5">
        <v>474360</v>
      </c>
      <c r="M5553" s="5">
        <v>99046.59</v>
      </c>
      <c r="N5553" s="5">
        <v>0.2109</v>
      </c>
      <c r="O5553" s="5">
        <v>0</v>
      </c>
      <c r="P5553" s="5">
        <v>0</v>
      </c>
    </row>
    <row r="5554" spans="1:16" x14ac:dyDescent="0.3">
      <c r="A5554" s="5">
        <v>118</v>
      </c>
      <c r="B5554" s="5" t="s">
        <v>173</v>
      </c>
      <c r="C5554" s="5">
        <v>7</v>
      </c>
      <c r="D5554" s="5" t="s">
        <v>91</v>
      </c>
      <c r="E5554" s="5">
        <v>2024</v>
      </c>
      <c r="F5554" s="5">
        <v>4</v>
      </c>
      <c r="G5554" s="5" t="s">
        <v>61</v>
      </c>
      <c r="H5554" s="5">
        <v>762339</v>
      </c>
      <c r="I5554" s="5">
        <v>642989.67000000004</v>
      </c>
      <c r="J5554" s="5">
        <v>9</v>
      </c>
      <c r="K5554" s="5">
        <v>64699</v>
      </c>
      <c r="L5554" s="5">
        <v>826510</v>
      </c>
      <c r="M5554" s="5">
        <v>119349.33</v>
      </c>
      <c r="N5554" s="5">
        <v>0.15659999999999999</v>
      </c>
      <c r="O5554" s="5">
        <v>0</v>
      </c>
      <c r="P5554" s="5">
        <v>0</v>
      </c>
    </row>
    <row r="5555" spans="1:16" x14ac:dyDescent="0.3">
      <c r="A5555" s="5">
        <v>64</v>
      </c>
      <c r="B5555" s="5" t="s">
        <v>173</v>
      </c>
      <c r="C5555" s="5">
        <v>7</v>
      </c>
      <c r="D5555" s="5" t="s">
        <v>91</v>
      </c>
      <c r="E5555" s="5">
        <v>2024</v>
      </c>
      <c r="F5555" s="5">
        <v>5</v>
      </c>
      <c r="G5555" s="5" t="s">
        <v>62</v>
      </c>
      <c r="H5555" s="5">
        <v>972674</v>
      </c>
      <c r="I5555" s="5">
        <v>840927.58</v>
      </c>
      <c r="J5555" s="5">
        <v>20</v>
      </c>
      <c r="K5555" s="5">
        <v>103388</v>
      </c>
      <c r="L5555" s="5">
        <v>1071580</v>
      </c>
      <c r="M5555" s="5">
        <v>131746.42000000001</v>
      </c>
      <c r="N5555" s="5">
        <v>0.13539999999999999</v>
      </c>
      <c r="O5555" s="5">
        <v>2</v>
      </c>
      <c r="P5555" s="5">
        <v>51581</v>
      </c>
    </row>
    <row r="5556" spans="1:16" x14ac:dyDescent="0.3">
      <c r="A5556" s="5">
        <v>118</v>
      </c>
      <c r="B5556" s="5" t="s">
        <v>173</v>
      </c>
      <c r="C5556" s="5">
        <v>7</v>
      </c>
      <c r="D5556" s="5" t="s">
        <v>91</v>
      </c>
      <c r="E5556" s="5">
        <v>2024</v>
      </c>
      <c r="F5556" s="5">
        <v>5</v>
      </c>
      <c r="G5556" s="5" t="s">
        <v>62</v>
      </c>
      <c r="H5556" s="5">
        <v>655575</v>
      </c>
      <c r="I5556" s="5">
        <v>556383.92000000004</v>
      </c>
      <c r="J5556" s="5">
        <v>11</v>
      </c>
      <c r="K5556" s="5">
        <v>77086</v>
      </c>
      <c r="L5556" s="5">
        <v>727720</v>
      </c>
      <c r="M5556" s="5">
        <v>99191.08</v>
      </c>
      <c r="N5556" s="5">
        <v>0.15129999999999999</v>
      </c>
      <c r="O5556" s="5">
        <v>1</v>
      </c>
      <c r="P5556" s="5">
        <v>181003</v>
      </c>
    </row>
    <row r="5557" spans="1:16" x14ac:dyDescent="0.3">
      <c r="A5557" s="5">
        <v>64</v>
      </c>
      <c r="B5557" s="5" t="s">
        <v>173</v>
      </c>
      <c r="C5557" s="5">
        <v>7</v>
      </c>
      <c r="D5557" s="5" t="s">
        <v>91</v>
      </c>
      <c r="E5557" s="5">
        <v>2024</v>
      </c>
      <c r="F5557" s="5">
        <v>6</v>
      </c>
      <c r="G5557" s="5" t="s">
        <v>63</v>
      </c>
      <c r="H5557" s="5">
        <v>2505283</v>
      </c>
      <c r="I5557" s="5">
        <v>2156063.36</v>
      </c>
      <c r="J5557" s="5">
        <v>26</v>
      </c>
      <c r="K5557" s="5">
        <v>219864</v>
      </c>
      <c r="L5557" s="5">
        <v>2719640</v>
      </c>
      <c r="M5557" s="5">
        <v>349219.64</v>
      </c>
      <c r="N5557" s="5">
        <v>0.1394</v>
      </c>
      <c r="O5557" s="5">
        <v>0</v>
      </c>
      <c r="P5557" s="5">
        <v>0</v>
      </c>
    </row>
    <row r="5558" spans="1:16" x14ac:dyDescent="0.3">
      <c r="A5558" s="5">
        <v>118</v>
      </c>
      <c r="B5558" s="5" t="s">
        <v>173</v>
      </c>
      <c r="C5558" s="5">
        <v>7</v>
      </c>
      <c r="D5558" s="5" t="s">
        <v>91</v>
      </c>
      <c r="E5558" s="5">
        <v>2024</v>
      </c>
      <c r="F5558" s="5">
        <v>6</v>
      </c>
      <c r="G5558" s="5" t="s">
        <v>63</v>
      </c>
      <c r="H5558" s="5">
        <v>328978</v>
      </c>
      <c r="I5558" s="5">
        <v>274960.08</v>
      </c>
      <c r="J5558" s="5">
        <v>9</v>
      </c>
      <c r="K5558" s="5">
        <v>37452</v>
      </c>
      <c r="L5558" s="5">
        <v>366430</v>
      </c>
      <c r="M5558" s="5">
        <v>54017.919999999998</v>
      </c>
      <c r="N5558" s="5">
        <v>0.16420000000000001</v>
      </c>
      <c r="O5558" s="5">
        <v>0</v>
      </c>
      <c r="P5558" s="5">
        <v>0</v>
      </c>
    </row>
    <row r="5559" spans="1:16" x14ac:dyDescent="0.3">
      <c r="A5559" s="5">
        <v>64</v>
      </c>
      <c r="B5559" s="5" t="s">
        <v>173</v>
      </c>
      <c r="C5559" s="5">
        <v>7</v>
      </c>
      <c r="D5559" s="5" t="s">
        <v>91</v>
      </c>
      <c r="E5559" s="5">
        <v>2024</v>
      </c>
      <c r="F5559" s="5">
        <v>7</v>
      </c>
      <c r="G5559" s="5" t="s">
        <v>64</v>
      </c>
      <c r="H5559" s="5">
        <v>1251656</v>
      </c>
      <c r="I5559" s="5">
        <v>1037189.07</v>
      </c>
      <c r="J5559" s="5">
        <v>20</v>
      </c>
      <c r="K5559" s="5">
        <v>81387</v>
      </c>
      <c r="L5559" s="5">
        <v>1325220</v>
      </c>
      <c r="M5559" s="5">
        <v>214466.93</v>
      </c>
      <c r="N5559" s="5">
        <v>0.17130000000000001</v>
      </c>
      <c r="O5559" s="5">
        <v>5</v>
      </c>
      <c r="P5559" s="5">
        <v>103776</v>
      </c>
    </row>
    <row r="5560" spans="1:16" x14ac:dyDescent="0.3">
      <c r="A5560" s="5">
        <v>118</v>
      </c>
      <c r="B5560" s="5" t="s">
        <v>173</v>
      </c>
      <c r="C5560" s="5">
        <v>7</v>
      </c>
      <c r="D5560" s="5" t="s">
        <v>91</v>
      </c>
      <c r="E5560" s="5">
        <v>2024</v>
      </c>
      <c r="F5560" s="5">
        <v>7</v>
      </c>
      <c r="G5560" s="5" t="s">
        <v>64</v>
      </c>
      <c r="H5560" s="5">
        <v>699515</v>
      </c>
      <c r="I5560" s="5">
        <v>583521.74</v>
      </c>
      <c r="J5560" s="5">
        <v>12</v>
      </c>
      <c r="K5560" s="5">
        <v>48417</v>
      </c>
      <c r="L5560" s="5">
        <v>744630</v>
      </c>
      <c r="M5560" s="5">
        <v>115993.26</v>
      </c>
      <c r="N5560" s="5">
        <v>0.1658</v>
      </c>
      <c r="O5560" s="5">
        <v>0</v>
      </c>
      <c r="P5560" s="5">
        <v>0</v>
      </c>
    </row>
    <row r="5561" spans="1:16" x14ac:dyDescent="0.3">
      <c r="A5561" s="5">
        <v>64</v>
      </c>
      <c r="B5561" s="5" t="s">
        <v>173</v>
      </c>
      <c r="C5561" s="5">
        <v>7</v>
      </c>
      <c r="D5561" s="5" t="s">
        <v>91</v>
      </c>
      <c r="E5561" s="5">
        <v>2024</v>
      </c>
      <c r="F5561" s="5">
        <v>8</v>
      </c>
      <c r="G5561" s="5" t="s">
        <v>65</v>
      </c>
      <c r="H5561" s="5">
        <v>1525648</v>
      </c>
      <c r="I5561" s="5">
        <v>1344335.76</v>
      </c>
      <c r="J5561" s="5">
        <v>19</v>
      </c>
      <c r="K5561" s="5">
        <v>190593</v>
      </c>
      <c r="L5561" s="5">
        <v>1713630</v>
      </c>
      <c r="M5561" s="5">
        <v>181312.24</v>
      </c>
      <c r="N5561" s="5">
        <v>0.1188</v>
      </c>
      <c r="O5561" s="5">
        <v>1</v>
      </c>
      <c r="P5561" s="5">
        <v>12136</v>
      </c>
    </row>
    <row r="5562" spans="1:16" x14ac:dyDescent="0.3">
      <c r="A5562" s="5">
        <v>118</v>
      </c>
      <c r="B5562" s="5" t="s">
        <v>173</v>
      </c>
      <c r="C5562" s="5">
        <v>7</v>
      </c>
      <c r="D5562" s="5" t="s">
        <v>91</v>
      </c>
      <c r="E5562" s="5">
        <v>2024</v>
      </c>
      <c r="F5562" s="5">
        <v>8</v>
      </c>
      <c r="G5562" s="5" t="s">
        <v>65</v>
      </c>
      <c r="H5562" s="5">
        <v>1283723</v>
      </c>
      <c r="I5562" s="5">
        <v>1051640.26</v>
      </c>
      <c r="J5562" s="5">
        <v>13</v>
      </c>
      <c r="K5562" s="5">
        <v>91065</v>
      </c>
      <c r="L5562" s="5">
        <v>1371040</v>
      </c>
      <c r="M5562" s="5">
        <v>232082.74</v>
      </c>
      <c r="N5562" s="5">
        <v>0.18079999999999999</v>
      </c>
      <c r="O5562" s="5">
        <v>0</v>
      </c>
      <c r="P5562" s="5">
        <v>0</v>
      </c>
    </row>
    <row r="5563" spans="1:16" x14ac:dyDescent="0.3">
      <c r="A5563" s="5">
        <v>64</v>
      </c>
      <c r="B5563" s="5" t="s">
        <v>173</v>
      </c>
      <c r="C5563" s="5">
        <v>7</v>
      </c>
      <c r="D5563" s="5" t="s">
        <v>91</v>
      </c>
      <c r="E5563" s="5">
        <v>2024</v>
      </c>
      <c r="F5563" s="5">
        <v>9</v>
      </c>
      <c r="G5563" s="5" t="s">
        <v>66</v>
      </c>
      <c r="H5563" s="5">
        <v>1592088</v>
      </c>
      <c r="I5563" s="5">
        <v>1292716.5</v>
      </c>
      <c r="J5563" s="5">
        <v>16</v>
      </c>
      <c r="K5563" s="5">
        <v>55661</v>
      </c>
      <c r="L5563" s="5">
        <v>1645200</v>
      </c>
      <c r="M5563" s="5">
        <v>299371.5</v>
      </c>
      <c r="N5563" s="5">
        <v>0.188</v>
      </c>
      <c r="O5563" s="5">
        <v>1</v>
      </c>
      <c r="P5563" s="5">
        <v>18780</v>
      </c>
    </row>
    <row r="5564" spans="1:16" x14ac:dyDescent="0.3">
      <c r="A5564" s="5">
        <v>118</v>
      </c>
      <c r="B5564" s="5" t="s">
        <v>173</v>
      </c>
      <c r="C5564" s="5">
        <v>7</v>
      </c>
      <c r="D5564" s="5" t="s">
        <v>91</v>
      </c>
      <c r="E5564" s="5">
        <v>2024</v>
      </c>
      <c r="F5564" s="5">
        <v>9</v>
      </c>
      <c r="G5564" s="5" t="s">
        <v>66</v>
      </c>
      <c r="H5564" s="5">
        <v>1216004</v>
      </c>
      <c r="I5564" s="5">
        <v>1045859.1</v>
      </c>
      <c r="J5564" s="5">
        <v>10</v>
      </c>
      <c r="K5564" s="5">
        <v>99103</v>
      </c>
      <c r="L5564" s="5">
        <v>1313810</v>
      </c>
      <c r="M5564" s="5">
        <v>170144.9</v>
      </c>
      <c r="N5564" s="5">
        <v>0.1399</v>
      </c>
      <c r="O5564" s="5">
        <v>1</v>
      </c>
      <c r="P5564" s="5">
        <v>32671</v>
      </c>
    </row>
    <row r="5565" spans="1:16" x14ac:dyDescent="0.3">
      <c r="A5565" s="5">
        <v>64</v>
      </c>
      <c r="B5565" s="5" t="s">
        <v>173</v>
      </c>
      <c r="C5565" s="5">
        <v>7</v>
      </c>
      <c r="D5565" s="5" t="s">
        <v>91</v>
      </c>
      <c r="E5565" s="5">
        <v>2024</v>
      </c>
      <c r="F5565" s="5">
        <v>10</v>
      </c>
      <c r="G5565" s="5" t="s">
        <v>67</v>
      </c>
      <c r="H5565" s="5">
        <v>2381404</v>
      </c>
      <c r="I5565" s="5">
        <v>1903380.66</v>
      </c>
      <c r="J5565" s="5">
        <v>27</v>
      </c>
      <c r="K5565" s="5">
        <v>63892</v>
      </c>
      <c r="L5565" s="5">
        <v>2431410</v>
      </c>
      <c r="M5565" s="5">
        <v>478023.34</v>
      </c>
      <c r="N5565" s="5">
        <v>0.20069999999999999</v>
      </c>
      <c r="O5565" s="5">
        <v>1</v>
      </c>
      <c r="P5565" s="5">
        <v>19885</v>
      </c>
    </row>
    <row r="5566" spans="1:16" x14ac:dyDescent="0.3">
      <c r="A5566" s="5">
        <v>118</v>
      </c>
      <c r="B5566" s="5" t="s">
        <v>173</v>
      </c>
      <c r="C5566" s="5">
        <v>7</v>
      </c>
      <c r="D5566" s="5" t="s">
        <v>91</v>
      </c>
      <c r="E5566" s="5">
        <v>2024</v>
      </c>
      <c r="F5566" s="5">
        <v>10</v>
      </c>
      <c r="G5566" s="5" t="s">
        <v>67</v>
      </c>
      <c r="H5566" s="5">
        <v>1303115</v>
      </c>
      <c r="I5566" s="5">
        <v>1055903.7</v>
      </c>
      <c r="J5566" s="5">
        <v>15</v>
      </c>
      <c r="K5566" s="5">
        <v>57537</v>
      </c>
      <c r="L5566" s="5">
        <v>1359040</v>
      </c>
      <c r="M5566" s="5">
        <v>247211.3</v>
      </c>
      <c r="N5566" s="5">
        <v>0.18970000000000001</v>
      </c>
      <c r="O5566" s="5">
        <v>1</v>
      </c>
      <c r="P5566" s="5">
        <v>1314</v>
      </c>
    </row>
    <row r="5567" spans="1:16" x14ac:dyDescent="0.3">
      <c r="A5567" s="5">
        <v>64</v>
      </c>
      <c r="B5567" s="5" t="s">
        <v>173</v>
      </c>
      <c r="C5567" s="5">
        <v>7</v>
      </c>
      <c r="D5567" s="5" t="s">
        <v>91</v>
      </c>
      <c r="E5567" s="5">
        <v>2024</v>
      </c>
      <c r="F5567" s="5">
        <v>11</v>
      </c>
      <c r="G5567" s="5" t="s">
        <v>68</v>
      </c>
      <c r="H5567" s="5">
        <v>861691</v>
      </c>
      <c r="I5567" s="5">
        <v>700681.71</v>
      </c>
      <c r="J5567" s="5">
        <v>27</v>
      </c>
      <c r="K5567" s="5">
        <v>64084</v>
      </c>
      <c r="L5567" s="5">
        <v>925410</v>
      </c>
      <c r="M5567" s="5">
        <v>161009.29</v>
      </c>
      <c r="N5567" s="5">
        <v>0.18690000000000001</v>
      </c>
      <c r="O5567" s="5">
        <v>2</v>
      </c>
      <c r="P5567" s="5">
        <v>88655</v>
      </c>
    </row>
    <row r="5568" spans="1:16" x14ac:dyDescent="0.3">
      <c r="A5568" s="5">
        <v>118</v>
      </c>
      <c r="B5568" s="5" t="s">
        <v>173</v>
      </c>
      <c r="C5568" s="5">
        <v>7</v>
      </c>
      <c r="D5568" s="5" t="s">
        <v>91</v>
      </c>
      <c r="E5568" s="5">
        <v>2024</v>
      </c>
      <c r="F5568" s="5">
        <v>11</v>
      </c>
      <c r="G5568" s="5" t="s">
        <v>68</v>
      </c>
      <c r="H5568" s="5">
        <v>1095077</v>
      </c>
      <c r="I5568" s="5">
        <v>901374.74</v>
      </c>
      <c r="J5568" s="5">
        <v>19</v>
      </c>
      <c r="K5568" s="5">
        <v>104633</v>
      </c>
      <c r="L5568" s="5">
        <v>1192400</v>
      </c>
      <c r="M5568" s="5">
        <v>193702.26</v>
      </c>
      <c r="N5568" s="5">
        <v>0.1769</v>
      </c>
      <c r="O5568" s="5">
        <v>3</v>
      </c>
      <c r="P5568" s="5">
        <v>208217</v>
      </c>
    </row>
    <row r="5569" spans="1:16" x14ac:dyDescent="0.3">
      <c r="A5569" s="5">
        <v>64</v>
      </c>
      <c r="B5569" s="5" t="s">
        <v>173</v>
      </c>
      <c r="C5569" s="5">
        <v>7</v>
      </c>
      <c r="D5569" s="5" t="s">
        <v>91</v>
      </c>
      <c r="E5569" s="5">
        <v>2024</v>
      </c>
      <c r="F5569" s="5">
        <v>12</v>
      </c>
      <c r="G5569" s="5" t="s">
        <v>69</v>
      </c>
      <c r="H5569" s="5">
        <v>1544129</v>
      </c>
      <c r="I5569" s="5">
        <v>1220521.94</v>
      </c>
      <c r="J5569" s="5">
        <v>22</v>
      </c>
      <c r="K5569" s="5">
        <v>68213</v>
      </c>
      <c r="L5569" s="5">
        <v>1607480</v>
      </c>
      <c r="M5569" s="5">
        <v>323607.06</v>
      </c>
      <c r="N5569" s="5">
        <v>0.20960000000000001</v>
      </c>
      <c r="O5569" s="5">
        <v>0</v>
      </c>
      <c r="P5569" s="5">
        <v>0</v>
      </c>
    </row>
    <row r="5570" spans="1:16" x14ac:dyDescent="0.3">
      <c r="A5570" s="5">
        <v>118</v>
      </c>
      <c r="B5570" s="5" t="s">
        <v>173</v>
      </c>
      <c r="C5570" s="5">
        <v>7</v>
      </c>
      <c r="D5570" s="5" t="s">
        <v>91</v>
      </c>
      <c r="E5570" s="5">
        <v>2024</v>
      </c>
      <c r="F5570" s="5">
        <v>12</v>
      </c>
      <c r="G5570" s="5" t="s">
        <v>69</v>
      </c>
      <c r="H5570" s="5">
        <v>1374832</v>
      </c>
      <c r="I5570" s="5">
        <v>1107380.32</v>
      </c>
      <c r="J5570" s="5">
        <v>12</v>
      </c>
      <c r="K5570" s="5">
        <v>34536</v>
      </c>
      <c r="L5570" s="5">
        <v>1405580</v>
      </c>
      <c r="M5570" s="5">
        <v>267451.68</v>
      </c>
      <c r="N5570" s="5">
        <v>0.19450000000000001</v>
      </c>
      <c r="O5570" s="5">
        <v>0</v>
      </c>
      <c r="P5570" s="5">
        <v>0</v>
      </c>
    </row>
    <row r="5571" spans="1:16" x14ac:dyDescent="0.3">
      <c r="A5571" s="5">
        <v>32</v>
      </c>
      <c r="B5571" s="5" t="s">
        <v>174</v>
      </c>
      <c r="C5571" s="5">
        <v>7</v>
      </c>
      <c r="D5571" s="5" t="s">
        <v>91</v>
      </c>
      <c r="E5571" s="5">
        <v>2021</v>
      </c>
      <c r="F5571" s="5">
        <v>1</v>
      </c>
      <c r="G5571" s="5" t="s">
        <v>22</v>
      </c>
      <c r="H5571" s="5">
        <v>1707147</v>
      </c>
      <c r="I5571" s="5">
        <v>1537725.52</v>
      </c>
      <c r="J5571" s="5">
        <v>34</v>
      </c>
      <c r="K5571" s="5">
        <v>218127</v>
      </c>
      <c r="L5571" s="5">
        <v>1919590</v>
      </c>
      <c r="M5571" s="5">
        <v>169421.48</v>
      </c>
      <c r="N5571" s="5">
        <v>9.9199999999999997E-2</v>
      </c>
      <c r="O5571" s="5">
        <v>3</v>
      </c>
      <c r="P5571" s="5">
        <v>67532</v>
      </c>
    </row>
    <row r="5572" spans="1:16" x14ac:dyDescent="0.3">
      <c r="A5572" s="5">
        <v>37</v>
      </c>
      <c r="B5572" s="5" t="s">
        <v>174</v>
      </c>
      <c r="C5572" s="5">
        <v>7</v>
      </c>
      <c r="D5572" s="5" t="s">
        <v>91</v>
      </c>
      <c r="E5572" s="5">
        <v>2021</v>
      </c>
      <c r="F5572" s="5">
        <v>1</v>
      </c>
      <c r="G5572" s="5" t="s">
        <v>22</v>
      </c>
      <c r="H5572" s="5">
        <v>498470</v>
      </c>
      <c r="I5572" s="5">
        <v>400500.37</v>
      </c>
      <c r="J5572" s="5">
        <v>12</v>
      </c>
      <c r="K5572" s="5">
        <v>27594</v>
      </c>
      <c r="L5572" s="5">
        <v>521300</v>
      </c>
      <c r="M5572" s="5">
        <v>97969.63</v>
      </c>
      <c r="N5572" s="5">
        <v>0.19650000000000001</v>
      </c>
      <c r="O5572" s="5">
        <v>0</v>
      </c>
      <c r="P5572" s="5">
        <v>0</v>
      </c>
    </row>
    <row r="5573" spans="1:16" x14ac:dyDescent="0.3">
      <c r="A5573" s="5">
        <v>32</v>
      </c>
      <c r="B5573" s="5" t="s">
        <v>174</v>
      </c>
      <c r="C5573" s="5">
        <v>7</v>
      </c>
      <c r="D5573" s="5" t="s">
        <v>91</v>
      </c>
      <c r="E5573" s="5">
        <v>2021</v>
      </c>
      <c r="F5573" s="5">
        <v>2</v>
      </c>
      <c r="G5573" s="5" t="s">
        <v>23</v>
      </c>
      <c r="H5573" s="5">
        <v>1936975</v>
      </c>
      <c r="I5573" s="5">
        <v>1641397.7</v>
      </c>
      <c r="J5573" s="5">
        <v>26</v>
      </c>
      <c r="K5573" s="5">
        <v>142301</v>
      </c>
      <c r="L5573" s="5">
        <v>2074570</v>
      </c>
      <c r="M5573" s="5">
        <v>295577.3</v>
      </c>
      <c r="N5573" s="5">
        <v>0.15260000000000001</v>
      </c>
      <c r="O5573" s="5">
        <v>0</v>
      </c>
      <c r="P5573" s="5">
        <v>0</v>
      </c>
    </row>
    <row r="5574" spans="1:16" x14ac:dyDescent="0.3">
      <c r="A5574" s="5">
        <v>37</v>
      </c>
      <c r="B5574" s="5" t="s">
        <v>174</v>
      </c>
      <c r="C5574" s="5">
        <v>7</v>
      </c>
      <c r="D5574" s="5" t="s">
        <v>91</v>
      </c>
      <c r="E5574" s="5">
        <v>2021</v>
      </c>
      <c r="F5574" s="5">
        <v>2</v>
      </c>
      <c r="G5574" s="5" t="s">
        <v>23</v>
      </c>
      <c r="H5574" s="5">
        <v>694369</v>
      </c>
      <c r="I5574" s="5">
        <v>609467.26</v>
      </c>
      <c r="J5574" s="5">
        <v>10</v>
      </c>
      <c r="K5574" s="5">
        <v>49916</v>
      </c>
      <c r="L5574" s="5">
        <v>741790</v>
      </c>
      <c r="M5574" s="5">
        <v>84901.74</v>
      </c>
      <c r="N5574" s="5">
        <v>0.12230000000000001</v>
      </c>
      <c r="O5574" s="5">
        <v>1</v>
      </c>
      <c r="P5574" s="5">
        <v>2830</v>
      </c>
    </row>
    <row r="5575" spans="1:16" x14ac:dyDescent="0.3">
      <c r="A5575" s="5">
        <v>32</v>
      </c>
      <c r="B5575" s="5" t="s">
        <v>174</v>
      </c>
      <c r="C5575" s="5">
        <v>7</v>
      </c>
      <c r="D5575" s="5" t="s">
        <v>91</v>
      </c>
      <c r="E5575" s="5">
        <v>2021</v>
      </c>
      <c r="F5575" s="5">
        <v>3</v>
      </c>
      <c r="G5575" s="5" t="s">
        <v>24</v>
      </c>
      <c r="H5575" s="5">
        <v>1032905</v>
      </c>
      <c r="I5575" s="5">
        <v>856548.79</v>
      </c>
      <c r="J5575" s="5">
        <v>26</v>
      </c>
      <c r="K5575" s="5">
        <v>75496</v>
      </c>
      <c r="L5575" s="5">
        <v>1102930</v>
      </c>
      <c r="M5575" s="5">
        <v>176356.21</v>
      </c>
      <c r="N5575" s="5">
        <v>0.17069999999999999</v>
      </c>
      <c r="O5575" s="5">
        <v>0</v>
      </c>
      <c r="P5575" s="5">
        <v>0</v>
      </c>
    </row>
    <row r="5576" spans="1:16" x14ac:dyDescent="0.3">
      <c r="A5576" s="5">
        <v>37</v>
      </c>
      <c r="B5576" s="5" t="s">
        <v>174</v>
      </c>
      <c r="C5576" s="5">
        <v>7</v>
      </c>
      <c r="D5576" s="5" t="s">
        <v>91</v>
      </c>
      <c r="E5576" s="5">
        <v>2021</v>
      </c>
      <c r="F5576" s="5">
        <v>3</v>
      </c>
      <c r="G5576" s="5" t="s">
        <v>24</v>
      </c>
      <c r="H5576" s="5">
        <v>507440</v>
      </c>
      <c r="I5576" s="5">
        <v>436394.06</v>
      </c>
      <c r="J5576" s="5">
        <v>8</v>
      </c>
      <c r="K5576" s="5">
        <v>59519</v>
      </c>
      <c r="L5576" s="5">
        <v>563480</v>
      </c>
      <c r="M5576" s="5">
        <v>71045.94</v>
      </c>
      <c r="N5576" s="5">
        <v>0.14000000000000001</v>
      </c>
      <c r="O5576" s="5">
        <v>3</v>
      </c>
      <c r="P5576" s="5">
        <v>148851</v>
      </c>
    </row>
    <row r="5577" spans="1:16" x14ac:dyDescent="0.3">
      <c r="A5577" s="5">
        <v>32</v>
      </c>
      <c r="B5577" s="5" t="s">
        <v>174</v>
      </c>
      <c r="C5577" s="5">
        <v>7</v>
      </c>
      <c r="D5577" s="5" t="s">
        <v>91</v>
      </c>
      <c r="E5577" s="5">
        <v>2021</v>
      </c>
      <c r="F5577" s="5">
        <v>4</v>
      </c>
      <c r="G5577" s="5" t="s">
        <v>25</v>
      </c>
      <c r="H5577" s="5">
        <v>2172508</v>
      </c>
      <c r="I5577" s="5">
        <v>1935718.68</v>
      </c>
      <c r="J5577" s="5">
        <v>33</v>
      </c>
      <c r="K5577" s="5">
        <v>338856</v>
      </c>
      <c r="L5577" s="5">
        <v>2499960</v>
      </c>
      <c r="M5577" s="5">
        <v>236789.32</v>
      </c>
      <c r="N5577" s="5">
        <v>0.109</v>
      </c>
      <c r="O5577" s="5">
        <v>2</v>
      </c>
      <c r="P5577" s="5">
        <v>48723</v>
      </c>
    </row>
    <row r="5578" spans="1:16" x14ac:dyDescent="0.3">
      <c r="A5578" s="5">
        <v>37</v>
      </c>
      <c r="B5578" s="5" t="s">
        <v>174</v>
      </c>
      <c r="C5578" s="5">
        <v>7</v>
      </c>
      <c r="D5578" s="5" t="s">
        <v>91</v>
      </c>
      <c r="E5578" s="5">
        <v>2021</v>
      </c>
      <c r="F5578" s="5">
        <v>4</v>
      </c>
      <c r="G5578" s="5" t="s">
        <v>25</v>
      </c>
      <c r="H5578" s="5">
        <v>1302284</v>
      </c>
      <c r="I5578" s="5">
        <v>1122956.69</v>
      </c>
      <c r="J5578" s="5">
        <v>13</v>
      </c>
      <c r="K5578" s="5">
        <v>173798</v>
      </c>
      <c r="L5578" s="5">
        <v>1470000</v>
      </c>
      <c r="M5578" s="5">
        <v>179327.31</v>
      </c>
      <c r="N5578" s="5">
        <v>0.13769999999999999</v>
      </c>
      <c r="O5578" s="5">
        <v>0</v>
      </c>
      <c r="P5578" s="5">
        <v>0</v>
      </c>
    </row>
    <row r="5579" spans="1:16" x14ac:dyDescent="0.3">
      <c r="A5579" s="5">
        <v>32</v>
      </c>
      <c r="B5579" s="5" t="s">
        <v>174</v>
      </c>
      <c r="C5579" s="5">
        <v>7</v>
      </c>
      <c r="D5579" s="5" t="s">
        <v>91</v>
      </c>
      <c r="E5579" s="5">
        <v>2021</v>
      </c>
      <c r="F5579" s="5">
        <v>5</v>
      </c>
      <c r="G5579" s="5" t="s">
        <v>26</v>
      </c>
      <c r="H5579" s="5">
        <v>3381173</v>
      </c>
      <c r="I5579" s="5">
        <v>2997663.12</v>
      </c>
      <c r="J5579" s="5">
        <v>41</v>
      </c>
      <c r="K5579" s="5">
        <v>408959</v>
      </c>
      <c r="L5579" s="5">
        <v>3778840</v>
      </c>
      <c r="M5579" s="5">
        <v>383509.88</v>
      </c>
      <c r="N5579" s="5">
        <v>0.1134</v>
      </c>
      <c r="O5579" s="5">
        <v>2</v>
      </c>
      <c r="P5579" s="5">
        <v>3257</v>
      </c>
    </row>
    <row r="5580" spans="1:16" x14ac:dyDescent="0.3">
      <c r="A5580" s="5">
        <v>37</v>
      </c>
      <c r="B5580" s="5" t="s">
        <v>174</v>
      </c>
      <c r="C5580" s="5">
        <v>7</v>
      </c>
      <c r="D5580" s="5" t="s">
        <v>91</v>
      </c>
      <c r="E5580" s="5">
        <v>2021</v>
      </c>
      <c r="F5580" s="5">
        <v>5</v>
      </c>
      <c r="G5580" s="5" t="s">
        <v>26</v>
      </c>
      <c r="H5580" s="5">
        <v>615841</v>
      </c>
      <c r="I5580" s="5">
        <v>497532.36</v>
      </c>
      <c r="J5580" s="5">
        <v>15</v>
      </c>
      <c r="K5580" s="5">
        <v>47146</v>
      </c>
      <c r="L5580" s="5">
        <v>661670</v>
      </c>
      <c r="M5580" s="5">
        <v>118308.64</v>
      </c>
      <c r="N5580" s="5">
        <v>0.19209999999999999</v>
      </c>
      <c r="O5580" s="5">
        <v>1</v>
      </c>
      <c r="P5580" s="5">
        <v>5579</v>
      </c>
    </row>
    <row r="5581" spans="1:16" x14ac:dyDescent="0.3">
      <c r="A5581" s="5">
        <v>32</v>
      </c>
      <c r="B5581" s="5" t="s">
        <v>174</v>
      </c>
      <c r="C5581" s="5">
        <v>7</v>
      </c>
      <c r="D5581" s="5" t="s">
        <v>91</v>
      </c>
      <c r="E5581" s="5">
        <v>2021</v>
      </c>
      <c r="F5581" s="5">
        <v>6</v>
      </c>
      <c r="G5581" s="5" t="s">
        <v>27</v>
      </c>
      <c r="H5581" s="5">
        <v>2136009</v>
      </c>
      <c r="I5581" s="5">
        <v>1760135.09</v>
      </c>
      <c r="J5581" s="5">
        <v>37</v>
      </c>
      <c r="K5581" s="5">
        <v>196755</v>
      </c>
      <c r="L5581" s="5">
        <v>2325360</v>
      </c>
      <c r="M5581" s="5">
        <v>375873.91</v>
      </c>
      <c r="N5581" s="5">
        <v>0.17599999999999999</v>
      </c>
      <c r="O5581" s="5">
        <v>4</v>
      </c>
      <c r="P5581" s="5">
        <v>41538</v>
      </c>
    </row>
    <row r="5582" spans="1:16" x14ac:dyDescent="0.3">
      <c r="A5582" s="5">
        <v>37</v>
      </c>
      <c r="B5582" s="5" t="s">
        <v>174</v>
      </c>
      <c r="C5582" s="5">
        <v>7</v>
      </c>
      <c r="D5582" s="5" t="s">
        <v>91</v>
      </c>
      <c r="E5582" s="5">
        <v>2021</v>
      </c>
      <c r="F5582" s="5">
        <v>6</v>
      </c>
      <c r="G5582" s="5" t="s">
        <v>27</v>
      </c>
      <c r="H5582" s="5">
        <v>975313</v>
      </c>
      <c r="I5582" s="5">
        <v>971212.2</v>
      </c>
      <c r="J5582" s="5">
        <v>8</v>
      </c>
      <c r="K5582" s="5">
        <v>192051</v>
      </c>
      <c r="L5582" s="5">
        <v>1164400</v>
      </c>
      <c r="M5582" s="5">
        <v>4100.8</v>
      </c>
      <c r="N5582" s="5">
        <v>4.1999999999999997E-3</v>
      </c>
      <c r="O5582" s="5">
        <v>2</v>
      </c>
      <c r="P5582" s="5">
        <v>9084</v>
      </c>
    </row>
    <row r="5583" spans="1:16" x14ac:dyDescent="0.3">
      <c r="A5583" s="5">
        <v>32</v>
      </c>
      <c r="B5583" s="5" t="s">
        <v>174</v>
      </c>
      <c r="C5583" s="5">
        <v>7</v>
      </c>
      <c r="D5583" s="5" t="s">
        <v>91</v>
      </c>
      <c r="E5583" s="5">
        <v>2021</v>
      </c>
      <c r="F5583" s="5">
        <v>7</v>
      </c>
      <c r="G5583" s="5" t="s">
        <v>28</v>
      </c>
      <c r="H5583" s="5">
        <v>2149944</v>
      </c>
      <c r="I5583" s="5">
        <v>1781791.9</v>
      </c>
      <c r="J5583" s="5">
        <v>34</v>
      </c>
      <c r="K5583" s="5">
        <v>193453</v>
      </c>
      <c r="L5583" s="5">
        <v>2339350</v>
      </c>
      <c r="M5583" s="5">
        <v>368152.1</v>
      </c>
      <c r="N5583" s="5">
        <v>0.17119999999999999</v>
      </c>
      <c r="O5583" s="5">
        <v>4</v>
      </c>
      <c r="P5583" s="5">
        <v>45898</v>
      </c>
    </row>
    <row r="5584" spans="1:16" x14ac:dyDescent="0.3">
      <c r="A5584" s="5">
        <v>37</v>
      </c>
      <c r="B5584" s="5" t="s">
        <v>174</v>
      </c>
      <c r="C5584" s="5">
        <v>7</v>
      </c>
      <c r="D5584" s="5" t="s">
        <v>91</v>
      </c>
      <c r="E5584" s="5">
        <v>2021</v>
      </c>
      <c r="F5584" s="5">
        <v>7</v>
      </c>
      <c r="G5584" s="5" t="s">
        <v>28</v>
      </c>
      <c r="H5584" s="5">
        <v>827576</v>
      </c>
      <c r="I5584" s="5">
        <v>725550.28</v>
      </c>
      <c r="J5584" s="5">
        <v>14</v>
      </c>
      <c r="K5584" s="5">
        <v>159358</v>
      </c>
      <c r="L5584" s="5">
        <v>982640</v>
      </c>
      <c r="M5584" s="5">
        <v>102025.72</v>
      </c>
      <c r="N5584" s="5">
        <v>0.12330000000000001</v>
      </c>
      <c r="O5584" s="5">
        <v>0</v>
      </c>
      <c r="P5584" s="5">
        <v>0</v>
      </c>
    </row>
    <row r="5585" spans="1:16" x14ac:dyDescent="0.3">
      <c r="A5585" s="5">
        <v>32</v>
      </c>
      <c r="B5585" s="5" t="s">
        <v>174</v>
      </c>
      <c r="C5585" s="5">
        <v>7</v>
      </c>
      <c r="D5585" s="5" t="s">
        <v>91</v>
      </c>
      <c r="E5585" s="5">
        <v>2021</v>
      </c>
      <c r="F5585" s="5">
        <v>8</v>
      </c>
      <c r="G5585" s="5" t="s">
        <v>29</v>
      </c>
      <c r="H5585" s="5">
        <v>2678691</v>
      </c>
      <c r="I5585" s="5">
        <v>2291299.67</v>
      </c>
      <c r="J5585" s="5">
        <v>36</v>
      </c>
      <c r="K5585" s="5">
        <v>236058</v>
      </c>
      <c r="L5585" s="5">
        <v>2909130</v>
      </c>
      <c r="M5585" s="5">
        <v>387391.33</v>
      </c>
      <c r="N5585" s="5">
        <v>0.14460000000000001</v>
      </c>
      <c r="O5585" s="5">
        <v>3</v>
      </c>
      <c r="P5585" s="5">
        <v>100869</v>
      </c>
    </row>
    <row r="5586" spans="1:16" x14ac:dyDescent="0.3">
      <c r="A5586" s="5">
        <v>37</v>
      </c>
      <c r="B5586" s="5" t="s">
        <v>174</v>
      </c>
      <c r="C5586" s="5">
        <v>7</v>
      </c>
      <c r="D5586" s="5" t="s">
        <v>91</v>
      </c>
      <c r="E5586" s="5">
        <v>2021</v>
      </c>
      <c r="F5586" s="5">
        <v>8</v>
      </c>
      <c r="G5586" s="5" t="s">
        <v>29</v>
      </c>
      <c r="H5586" s="5">
        <v>520241</v>
      </c>
      <c r="I5586" s="5">
        <v>422010.58</v>
      </c>
      <c r="J5586" s="5">
        <v>11</v>
      </c>
      <c r="K5586" s="5">
        <v>50878</v>
      </c>
      <c r="L5586" s="5">
        <v>568390</v>
      </c>
      <c r="M5586" s="5">
        <v>98230.42</v>
      </c>
      <c r="N5586" s="5">
        <v>0.1888</v>
      </c>
      <c r="O5586" s="5">
        <v>1</v>
      </c>
      <c r="P5586" s="5">
        <v>7958</v>
      </c>
    </row>
    <row r="5587" spans="1:16" x14ac:dyDescent="0.3">
      <c r="A5587" s="5">
        <v>32</v>
      </c>
      <c r="B5587" s="5" t="s">
        <v>174</v>
      </c>
      <c r="C5587" s="5">
        <v>7</v>
      </c>
      <c r="D5587" s="5" t="s">
        <v>91</v>
      </c>
      <c r="E5587" s="5">
        <v>2021</v>
      </c>
      <c r="F5587" s="5">
        <v>9</v>
      </c>
      <c r="G5587" s="5" t="s">
        <v>30</v>
      </c>
      <c r="H5587" s="5">
        <v>1632237</v>
      </c>
      <c r="I5587" s="5">
        <v>1398843.49</v>
      </c>
      <c r="J5587" s="5">
        <v>33</v>
      </c>
      <c r="K5587" s="5">
        <v>164219</v>
      </c>
      <c r="L5587" s="5">
        <v>1792260</v>
      </c>
      <c r="M5587" s="5">
        <v>233393.51</v>
      </c>
      <c r="N5587" s="5">
        <v>0.14299999999999999</v>
      </c>
      <c r="O5587" s="5">
        <v>3</v>
      </c>
      <c r="P5587" s="5">
        <v>79516</v>
      </c>
    </row>
    <row r="5588" spans="1:16" x14ac:dyDescent="0.3">
      <c r="A5588" s="5">
        <v>37</v>
      </c>
      <c r="B5588" s="5" t="s">
        <v>174</v>
      </c>
      <c r="C5588" s="5">
        <v>7</v>
      </c>
      <c r="D5588" s="5" t="s">
        <v>91</v>
      </c>
      <c r="E5588" s="5">
        <v>2021</v>
      </c>
      <c r="F5588" s="5">
        <v>9</v>
      </c>
      <c r="G5588" s="5" t="s">
        <v>30</v>
      </c>
      <c r="H5588" s="5">
        <v>645859</v>
      </c>
      <c r="I5588" s="5">
        <v>592235.74</v>
      </c>
      <c r="J5588" s="5">
        <v>7</v>
      </c>
      <c r="K5588" s="5">
        <v>110667</v>
      </c>
      <c r="L5588" s="5">
        <v>754950</v>
      </c>
      <c r="M5588" s="5">
        <v>53623.26</v>
      </c>
      <c r="N5588" s="5">
        <v>8.3000000000000004E-2</v>
      </c>
      <c r="O5588" s="5">
        <v>0</v>
      </c>
      <c r="P5588" s="5">
        <v>0</v>
      </c>
    </row>
    <row r="5589" spans="1:16" x14ac:dyDescent="0.3">
      <c r="A5589" s="5">
        <v>32</v>
      </c>
      <c r="B5589" s="5" t="s">
        <v>174</v>
      </c>
      <c r="C5589" s="5">
        <v>7</v>
      </c>
      <c r="D5589" s="5" t="s">
        <v>91</v>
      </c>
      <c r="E5589" s="5">
        <v>2021</v>
      </c>
      <c r="F5589" s="5">
        <v>10</v>
      </c>
      <c r="G5589" s="5" t="s">
        <v>31</v>
      </c>
      <c r="H5589" s="5">
        <v>3953413</v>
      </c>
      <c r="I5589" s="5">
        <v>3367453.03</v>
      </c>
      <c r="J5589" s="5">
        <v>47</v>
      </c>
      <c r="K5589" s="5">
        <v>354654</v>
      </c>
      <c r="L5589" s="5">
        <v>4290650</v>
      </c>
      <c r="M5589" s="5">
        <v>585959.97</v>
      </c>
      <c r="N5589" s="5">
        <v>0.1482</v>
      </c>
      <c r="O5589" s="5">
        <v>7</v>
      </c>
      <c r="P5589" s="5">
        <v>117578</v>
      </c>
    </row>
    <row r="5590" spans="1:16" x14ac:dyDescent="0.3">
      <c r="A5590" s="5">
        <v>37</v>
      </c>
      <c r="B5590" s="5" t="s">
        <v>174</v>
      </c>
      <c r="C5590" s="5">
        <v>7</v>
      </c>
      <c r="D5590" s="5" t="s">
        <v>91</v>
      </c>
      <c r="E5590" s="5">
        <v>2021</v>
      </c>
      <c r="F5590" s="5">
        <v>10</v>
      </c>
      <c r="G5590" s="5" t="s">
        <v>31</v>
      </c>
      <c r="H5590" s="5">
        <v>477292</v>
      </c>
      <c r="I5590" s="5">
        <v>385370.34</v>
      </c>
      <c r="J5590" s="5">
        <v>17</v>
      </c>
      <c r="K5590" s="5">
        <v>38830</v>
      </c>
      <c r="L5590" s="5">
        <v>515930</v>
      </c>
      <c r="M5590" s="5">
        <v>91921.66</v>
      </c>
      <c r="N5590" s="5">
        <v>0.19259999999999999</v>
      </c>
      <c r="O5590" s="5">
        <v>0</v>
      </c>
      <c r="P5590" s="5">
        <v>0</v>
      </c>
    </row>
    <row r="5591" spans="1:16" x14ac:dyDescent="0.3">
      <c r="A5591" s="5">
        <v>32</v>
      </c>
      <c r="B5591" s="5" t="s">
        <v>174</v>
      </c>
      <c r="C5591" s="5">
        <v>7</v>
      </c>
      <c r="D5591" s="5" t="s">
        <v>91</v>
      </c>
      <c r="E5591" s="5">
        <v>2021</v>
      </c>
      <c r="F5591" s="5">
        <v>11</v>
      </c>
      <c r="G5591" s="5" t="s">
        <v>32</v>
      </c>
      <c r="H5591" s="5">
        <v>4327755</v>
      </c>
      <c r="I5591" s="5">
        <v>3657698.88</v>
      </c>
      <c r="J5591" s="5">
        <v>48</v>
      </c>
      <c r="K5591" s="5">
        <v>311704</v>
      </c>
      <c r="L5591" s="5">
        <v>4625290</v>
      </c>
      <c r="M5591" s="5">
        <v>670056.12</v>
      </c>
      <c r="N5591" s="5">
        <v>0.15479999999999999</v>
      </c>
      <c r="O5591" s="5">
        <v>6</v>
      </c>
      <c r="P5591" s="5">
        <v>200107</v>
      </c>
    </row>
    <row r="5592" spans="1:16" x14ac:dyDescent="0.3">
      <c r="A5592" s="5">
        <v>37</v>
      </c>
      <c r="B5592" s="5" t="s">
        <v>174</v>
      </c>
      <c r="C5592" s="5">
        <v>7</v>
      </c>
      <c r="D5592" s="5" t="s">
        <v>91</v>
      </c>
      <c r="E5592" s="5">
        <v>2021</v>
      </c>
      <c r="F5592" s="5">
        <v>11</v>
      </c>
      <c r="G5592" s="5" t="s">
        <v>32</v>
      </c>
      <c r="H5592" s="5">
        <v>1260830</v>
      </c>
      <c r="I5592" s="5">
        <v>1005994.72</v>
      </c>
      <c r="J5592" s="5">
        <v>17</v>
      </c>
      <c r="K5592" s="5">
        <v>50032</v>
      </c>
      <c r="L5592" s="5">
        <v>1308690</v>
      </c>
      <c r="M5592" s="5">
        <v>254835.28</v>
      </c>
      <c r="N5592" s="5">
        <v>0.2021</v>
      </c>
      <c r="O5592" s="5">
        <v>0</v>
      </c>
      <c r="P5592" s="5">
        <v>0</v>
      </c>
    </row>
    <row r="5593" spans="1:16" x14ac:dyDescent="0.3">
      <c r="A5593" s="5">
        <v>32</v>
      </c>
      <c r="B5593" s="5" t="s">
        <v>174</v>
      </c>
      <c r="C5593" s="5">
        <v>7</v>
      </c>
      <c r="D5593" s="5" t="s">
        <v>91</v>
      </c>
      <c r="E5593" s="5">
        <v>2021</v>
      </c>
      <c r="F5593" s="5">
        <v>12</v>
      </c>
      <c r="G5593" s="5" t="s">
        <v>33</v>
      </c>
      <c r="H5593" s="5">
        <v>2691567</v>
      </c>
      <c r="I5593" s="5">
        <v>2240002.91</v>
      </c>
      <c r="J5593" s="5">
        <v>49</v>
      </c>
      <c r="K5593" s="5">
        <v>230193</v>
      </c>
      <c r="L5593" s="5">
        <v>2912540</v>
      </c>
      <c r="M5593" s="5">
        <v>451564.09</v>
      </c>
      <c r="N5593" s="5">
        <v>0.1678</v>
      </c>
      <c r="O5593" s="5">
        <v>8</v>
      </c>
      <c r="P5593" s="5">
        <v>102344</v>
      </c>
    </row>
    <row r="5594" spans="1:16" x14ac:dyDescent="0.3">
      <c r="A5594" s="5">
        <v>37</v>
      </c>
      <c r="B5594" s="5" t="s">
        <v>174</v>
      </c>
      <c r="C5594" s="5">
        <v>7</v>
      </c>
      <c r="D5594" s="5" t="s">
        <v>91</v>
      </c>
      <c r="E5594" s="5">
        <v>2021</v>
      </c>
      <c r="F5594" s="5">
        <v>12</v>
      </c>
      <c r="G5594" s="5" t="s">
        <v>33</v>
      </c>
      <c r="H5594" s="5">
        <v>1150903</v>
      </c>
      <c r="I5594" s="5">
        <v>1036432.64</v>
      </c>
      <c r="J5594" s="5">
        <v>13</v>
      </c>
      <c r="K5594" s="5">
        <v>155335</v>
      </c>
      <c r="L5594" s="5">
        <v>1301420</v>
      </c>
      <c r="M5594" s="5">
        <v>114470.36</v>
      </c>
      <c r="N5594" s="5">
        <v>9.9500000000000005E-2</v>
      </c>
      <c r="O5594" s="5">
        <v>4</v>
      </c>
      <c r="P5594" s="5">
        <v>80372</v>
      </c>
    </row>
    <row r="5595" spans="1:16" x14ac:dyDescent="0.3">
      <c r="A5595" s="5">
        <v>32</v>
      </c>
      <c r="B5595" s="5" t="s">
        <v>174</v>
      </c>
      <c r="C5595" s="5">
        <v>7</v>
      </c>
      <c r="D5595" s="5" t="s">
        <v>91</v>
      </c>
      <c r="E5595" s="5">
        <v>2022</v>
      </c>
      <c r="F5595" s="5">
        <v>1</v>
      </c>
      <c r="G5595" s="5" t="s">
        <v>34</v>
      </c>
      <c r="H5595" s="5">
        <v>3010310</v>
      </c>
      <c r="I5595" s="5">
        <v>2554454.4300000002</v>
      </c>
      <c r="J5595" s="5">
        <v>42</v>
      </c>
      <c r="K5595" s="5">
        <v>317502</v>
      </c>
      <c r="L5595" s="5">
        <v>3319930</v>
      </c>
      <c r="M5595" s="5">
        <v>455855.57</v>
      </c>
      <c r="N5595" s="5">
        <v>0.15140000000000001</v>
      </c>
      <c r="O5595" s="5">
        <v>2</v>
      </c>
      <c r="P5595" s="5">
        <v>17469</v>
      </c>
    </row>
    <row r="5596" spans="1:16" x14ac:dyDescent="0.3">
      <c r="A5596" s="5">
        <v>37</v>
      </c>
      <c r="B5596" s="5" t="s">
        <v>174</v>
      </c>
      <c r="C5596" s="5">
        <v>7</v>
      </c>
      <c r="D5596" s="5" t="s">
        <v>91</v>
      </c>
      <c r="E5596" s="5">
        <v>2022</v>
      </c>
      <c r="F5596" s="5">
        <v>1</v>
      </c>
      <c r="G5596" s="5" t="s">
        <v>34</v>
      </c>
      <c r="H5596" s="5">
        <v>914313</v>
      </c>
      <c r="I5596" s="5">
        <v>723270.32</v>
      </c>
      <c r="J5596" s="5">
        <v>16</v>
      </c>
      <c r="K5596" s="5">
        <v>28517</v>
      </c>
      <c r="L5596" s="5">
        <v>937270</v>
      </c>
      <c r="M5596" s="5">
        <v>191042.68</v>
      </c>
      <c r="N5596" s="5">
        <v>0.2089</v>
      </c>
      <c r="O5596" s="5">
        <v>0</v>
      </c>
      <c r="P5596" s="5">
        <v>0</v>
      </c>
    </row>
    <row r="5597" spans="1:16" x14ac:dyDescent="0.3">
      <c r="A5597" s="5">
        <v>32</v>
      </c>
      <c r="B5597" s="5" t="s">
        <v>174</v>
      </c>
      <c r="C5597" s="5">
        <v>7</v>
      </c>
      <c r="D5597" s="5" t="s">
        <v>91</v>
      </c>
      <c r="E5597" s="5">
        <v>2022</v>
      </c>
      <c r="F5597" s="5">
        <v>2</v>
      </c>
      <c r="G5597" s="5" t="s">
        <v>35</v>
      </c>
      <c r="H5597" s="5">
        <v>2926202</v>
      </c>
      <c r="I5597" s="5">
        <v>2543083.0099999998</v>
      </c>
      <c r="J5597" s="5">
        <v>37</v>
      </c>
      <c r="K5597" s="5">
        <v>292728</v>
      </c>
      <c r="L5597" s="5">
        <v>3204630</v>
      </c>
      <c r="M5597" s="5">
        <v>383118.99</v>
      </c>
      <c r="N5597" s="5">
        <v>0.13089999999999999</v>
      </c>
      <c r="O5597" s="5">
        <v>2</v>
      </c>
      <c r="P5597" s="5">
        <v>35778</v>
      </c>
    </row>
    <row r="5598" spans="1:16" x14ac:dyDescent="0.3">
      <c r="A5598" s="5">
        <v>37</v>
      </c>
      <c r="B5598" s="5" t="s">
        <v>174</v>
      </c>
      <c r="C5598" s="5">
        <v>7</v>
      </c>
      <c r="D5598" s="5" t="s">
        <v>91</v>
      </c>
      <c r="E5598" s="5">
        <v>2022</v>
      </c>
      <c r="F5598" s="5">
        <v>2</v>
      </c>
      <c r="G5598" s="5" t="s">
        <v>35</v>
      </c>
      <c r="H5598" s="5">
        <v>1053903</v>
      </c>
      <c r="I5598" s="5">
        <v>904312.6</v>
      </c>
      <c r="J5598" s="5">
        <v>15</v>
      </c>
      <c r="K5598" s="5">
        <v>80543</v>
      </c>
      <c r="L5598" s="5">
        <v>1132050</v>
      </c>
      <c r="M5598" s="5">
        <v>149590.39999999999</v>
      </c>
      <c r="N5598" s="5">
        <v>0.1419</v>
      </c>
      <c r="O5598" s="5">
        <v>0</v>
      </c>
      <c r="P5598" s="5">
        <v>0</v>
      </c>
    </row>
    <row r="5599" spans="1:16" x14ac:dyDescent="0.3">
      <c r="A5599" s="5">
        <v>32</v>
      </c>
      <c r="B5599" s="5" t="s">
        <v>174</v>
      </c>
      <c r="C5599" s="5">
        <v>7</v>
      </c>
      <c r="D5599" s="5" t="s">
        <v>91</v>
      </c>
      <c r="E5599" s="5">
        <v>2022</v>
      </c>
      <c r="F5599" s="5">
        <v>3</v>
      </c>
      <c r="G5599" s="5" t="s">
        <v>36</v>
      </c>
      <c r="H5599" s="5">
        <v>2222678</v>
      </c>
      <c r="I5599" s="5">
        <v>1817180.65</v>
      </c>
      <c r="J5599" s="5">
        <v>39</v>
      </c>
      <c r="K5599" s="5">
        <v>134190</v>
      </c>
      <c r="L5599" s="5">
        <v>2348890</v>
      </c>
      <c r="M5599" s="5">
        <v>405497.35</v>
      </c>
      <c r="N5599" s="5">
        <v>0.18240000000000001</v>
      </c>
      <c r="O5599" s="5">
        <v>2</v>
      </c>
      <c r="P5599" s="5">
        <v>2522</v>
      </c>
    </row>
    <row r="5600" spans="1:16" x14ac:dyDescent="0.3">
      <c r="A5600" s="5">
        <v>37</v>
      </c>
      <c r="B5600" s="5" t="s">
        <v>174</v>
      </c>
      <c r="C5600" s="5">
        <v>7</v>
      </c>
      <c r="D5600" s="5" t="s">
        <v>91</v>
      </c>
      <c r="E5600" s="5">
        <v>2022</v>
      </c>
      <c r="F5600" s="5">
        <v>3</v>
      </c>
      <c r="G5600" s="5" t="s">
        <v>36</v>
      </c>
      <c r="H5600" s="5">
        <v>423001</v>
      </c>
      <c r="I5600" s="5">
        <v>341402.13</v>
      </c>
      <c r="J5600" s="5">
        <v>15</v>
      </c>
      <c r="K5600" s="5">
        <v>32097</v>
      </c>
      <c r="L5600" s="5">
        <v>454070</v>
      </c>
      <c r="M5600" s="5">
        <v>81598.87</v>
      </c>
      <c r="N5600" s="5">
        <v>0.19289999999999999</v>
      </c>
      <c r="O5600" s="5">
        <v>0</v>
      </c>
      <c r="P5600" s="5">
        <v>0</v>
      </c>
    </row>
    <row r="5601" spans="1:16" x14ac:dyDescent="0.3">
      <c r="A5601" s="5">
        <v>32</v>
      </c>
      <c r="B5601" s="5" t="s">
        <v>174</v>
      </c>
      <c r="C5601" s="5">
        <v>7</v>
      </c>
      <c r="D5601" s="5" t="s">
        <v>91</v>
      </c>
      <c r="E5601" s="5">
        <v>2022</v>
      </c>
      <c r="F5601" s="5">
        <v>4</v>
      </c>
      <c r="G5601" s="5" t="s">
        <v>37</v>
      </c>
      <c r="H5601" s="5">
        <v>3318776</v>
      </c>
      <c r="I5601" s="5">
        <v>2795950.53</v>
      </c>
      <c r="J5601" s="5">
        <v>55</v>
      </c>
      <c r="K5601" s="5">
        <v>340385</v>
      </c>
      <c r="L5601" s="5">
        <v>3645990</v>
      </c>
      <c r="M5601" s="5">
        <v>522825.47</v>
      </c>
      <c r="N5601" s="5">
        <v>0.1575</v>
      </c>
      <c r="O5601" s="5">
        <v>2</v>
      </c>
      <c r="P5601" s="5">
        <v>4082</v>
      </c>
    </row>
    <row r="5602" spans="1:16" x14ac:dyDescent="0.3">
      <c r="A5602" s="5">
        <v>37</v>
      </c>
      <c r="B5602" s="5" t="s">
        <v>174</v>
      </c>
      <c r="C5602" s="5">
        <v>7</v>
      </c>
      <c r="D5602" s="5" t="s">
        <v>91</v>
      </c>
      <c r="E5602" s="5">
        <v>2022</v>
      </c>
      <c r="F5602" s="5">
        <v>4</v>
      </c>
      <c r="G5602" s="5" t="s">
        <v>37</v>
      </c>
      <c r="H5602" s="5">
        <v>1305953</v>
      </c>
      <c r="I5602" s="5">
        <v>1142637.44</v>
      </c>
      <c r="J5602" s="5">
        <v>18</v>
      </c>
      <c r="K5602" s="5">
        <v>127164</v>
      </c>
      <c r="L5602" s="5">
        <v>1425330</v>
      </c>
      <c r="M5602" s="5">
        <v>163315.56</v>
      </c>
      <c r="N5602" s="5">
        <v>0.12509999999999999</v>
      </c>
      <c r="O5602" s="5">
        <v>1</v>
      </c>
      <c r="P5602" s="5">
        <v>3145</v>
      </c>
    </row>
    <row r="5603" spans="1:16" x14ac:dyDescent="0.3">
      <c r="A5603" s="5">
        <v>32</v>
      </c>
      <c r="B5603" s="5" t="s">
        <v>174</v>
      </c>
      <c r="C5603" s="5">
        <v>7</v>
      </c>
      <c r="D5603" s="5" t="s">
        <v>91</v>
      </c>
      <c r="E5603" s="5">
        <v>2022</v>
      </c>
      <c r="F5603" s="5">
        <v>5</v>
      </c>
      <c r="G5603" s="5" t="s">
        <v>38</v>
      </c>
      <c r="H5603" s="5">
        <v>6267657</v>
      </c>
      <c r="I5603" s="5">
        <v>5553828.6699999999</v>
      </c>
      <c r="J5603" s="5">
        <v>62</v>
      </c>
      <c r="K5603" s="5">
        <v>811627</v>
      </c>
      <c r="L5603" s="5">
        <v>7055270</v>
      </c>
      <c r="M5603" s="5">
        <v>713828.33</v>
      </c>
      <c r="N5603" s="5">
        <v>0.1139</v>
      </c>
      <c r="O5603" s="5">
        <v>7</v>
      </c>
      <c r="P5603" s="5">
        <v>372580</v>
      </c>
    </row>
    <row r="5604" spans="1:16" x14ac:dyDescent="0.3">
      <c r="A5604" s="5">
        <v>37</v>
      </c>
      <c r="B5604" s="5" t="s">
        <v>174</v>
      </c>
      <c r="C5604" s="5">
        <v>7</v>
      </c>
      <c r="D5604" s="5" t="s">
        <v>91</v>
      </c>
      <c r="E5604" s="5">
        <v>2022</v>
      </c>
      <c r="F5604" s="5">
        <v>5</v>
      </c>
      <c r="G5604" s="5" t="s">
        <v>38</v>
      </c>
      <c r="H5604" s="5">
        <v>1169162</v>
      </c>
      <c r="I5604" s="5">
        <v>990158.83</v>
      </c>
      <c r="J5604" s="5">
        <v>20</v>
      </c>
      <c r="K5604" s="5">
        <v>103177</v>
      </c>
      <c r="L5604" s="5">
        <v>1262560</v>
      </c>
      <c r="M5604" s="5">
        <v>179003.17</v>
      </c>
      <c r="N5604" s="5">
        <v>0.15310000000000001</v>
      </c>
      <c r="O5604" s="5">
        <v>1</v>
      </c>
      <c r="P5604" s="5">
        <v>3650</v>
      </c>
    </row>
    <row r="5605" spans="1:16" x14ac:dyDescent="0.3">
      <c r="A5605" s="5">
        <v>32</v>
      </c>
      <c r="B5605" s="5" t="s">
        <v>174</v>
      </c>
      <c r="C5605" s="5">
        <v>7</v>
      </c>
      <c r="D5605" s="5" t="s">
        <v>91</v>
      </c>
      <c r="E5605" s="5">
        <v>2022</v>
      </c>
      <c r="F5605" s="5">
        <v>6</v>
      </c>
      <c r="G5605" s="5" t="s">
        <v>39</v>
      </c>
      <c r="H5605" s="5">
        <v>3366796</v>
      </c>
      <c r="I5605" s="5">
        <v>2804521.21</v>
      </c>
      <c r="J5605" s="5">
        <v>48</v>
      </c>
      <c r="K5605" s="5">
        <v>256071</v>
      </c>
      <c r="L5605" s="5">
        <v>3612660</v>
      </c>
      <c r="M5605" s="5">
        <v>562274.79</v>
      </c>
      <c r="N5605" s="5">
        <v>0.16700000000000001</v>
      </c>
      <c r="O5605" s="5">
        <v>3</v>
      </c>
      <c r="P5605" s="5">
        <v>31993</v>
      </c>
    </row>
    <row r="5606" spans="1:16" x14ac:dyDescent="0.3">
      <c r="A5606" s="5">
        <v>37</v>
      </c>
      <c r="B5606" s="5" t="s">
        <v>174</v>
      </c>
      <c r="C5606" s="5">
        <v>7</v>
      </c>
      <c r="D5606" s="5" t="s">
        <v>91</v>
      </c>
      <c r="E5606" s="5">
        <v>2022</v>
      </c>
      <c r="F5606" s="5">
        <v>6</v>
      </c>
      <c r="G5606" s="5" t="s">
        <v>39</v>
      </c>
      <c r="H5606" s="5">
        <v>678222</v>
      </c>
      <c r="I5606" s="5">
        <v>625360.39</v>
      </c>
      <c r="J5606" s="5">
        <v>16</v>
      </c>
      <c r="K5606" s="5">
        <v>101650</v>
      </c>
      <c r="L5606" s="5">
        <v>777260</v>
      </c>
      <c r="M5606" s="5">
        <v>52861.61</v>
      </c>
      <c r="N5606" s="5">
        <v>7.7899999999999997E-2</v>
      </c>
      <c r="O5606" s="5">
        <v>1</v>
      </c>
      <c r="P5606" s="5">
        <v>6198</v>
      </c>
    </row>
    <row r="5607" spans="1:16" x14ac:dyDescent="0.3">
      <c r="A5607" s="5">
        <v>32</v>
      </c>
      <c r="B5607" s="5" t="s">
        <v>174</v>
      </c>
      <c r="C5607" s="5">
        <v>7</v>
      </c>
      <c r="D5607" s="5" t="s">
        <v>91</v>
      </c>
      <c r="E5607" s="5">
        <v>2022</v>
      </c>
      <c r="F5607" s="5">
        <v>7</v>
      </c>
      <c r="G5607" s="5" t="s">
        <v>40</v>
      </c>
      <c r="H5607" s="5">
        <v>2557199</v>
      </c>
      <c r="I5607" s="5">
        <v>2238815.4</v>
      </c>
      <c r="J5607" s="5">
        <v>40</v>
      </c>
      <c r="K5607" s="5">
        <v>387662</v>
      </c>
      <c r="L5607" s="5">
        <v>2938650</v>
      </c>
      <c r="M5607" s="5">
        <v>318383.59999999998</v>
      </c>
      <c r="N5607" s="5">
        <v>0.1245</v>
      </c>
      <c r="O5607" s="5">
        <v>3</v>
      </c>
      <c r="P5607" s="5">
        <v>312586</v>
      </c>
    </row>
    <row r="5608" spans="1:16" x14ac:dyDescent="0.3">
      <c r="A5608" s="5">
        <v>37</v>
      </c>
      <c r="B5608" s="5" t="s">
        <v>174</v>
      </c>
      <c r="C5608" s="5">
        <v>7</v>
      </c>
      <c r="D5608" s="5" t="s">
        <v>91</v>
      </c>
      <c r="E5608" s="5">
        <v>2022</v>
      </c>
      <c r="F5608" s="5">
        <v>7</v>
      </c>
      <c r="G5608" s="5" t="s">
        <v>40</v>
      </c>
      <c r="H5608" s="5">
        <v>1427715</v>
      </c>
      <c r="I5608" s="5">
        <v>1146487.93</v>
      </c>
      <c r="J5608" s="5">
        <v>16</v>
      </c>
      <c r="K5608" s="5">
        <v>76533</v>
      </c>
      <c r="L5608" s="5">
        <v>1494230</v>
      </c>
      <c r="M5608" s="5">
        <v>281227.07</v>
      </c>
      <c r="N5608" s="5">
        <v>0.19700000000000001</v>
      </c>
      <c r="O5608" s="5">
        <v>3</v>
      </c>
      <c r="P5608" s="5">
        <v>108910</v>
      </c>
    </row>
    <row r="5609" spans="1:16" x14ac:dyDescent="0.3">
      <c r="A5609" s="5">
        <v>32</v>
      </c>
      <c r="B5609" s="5" t="s">
        <v>174</v>
      </c>
      <c r="C5609" s="5">
        <v>7</v>
      </c>
      <c r="D5609" s="5" t="s">
        <v>91</v>
      </c>
      <c r="E5609" s="5">
        <v>2022</v>
      </c>
      <c r="F5609" s="5">
        <v>8</v>
      </c>
      <c r="G5609" s="5" t="s">
        <v>41</v>
      </c>
      <c r="H5609" s="5">
        <v>2894163</v>
      </c>
      <c r="I5609" s="5">
        <v>2819044.48</v>
      </c>
      <c r="J5609" s="5">
        <v>48</v>
      </c>
      <c r="K5609" s="5">
        <v>718509</v>
      </c>
      <c r="L5609" s="5">
        <v>3602740</v>
      </c>
      <c r="M5609" s="5">
        <v>75118.52</v>
      </c>
      <c r="N5609" s="5">
        <v>2.5999999999999999E-2</v>
      </c>
      <c r="O5609" s="5">
        <v>2</v>
      </c>
      <c r="P5609" s="5">
        <v>38306</v>
      </c>
    </row>
    <row r="5610" spans="1:16" x14ac:dyDescent="0.3">
      <c r="A5610" s="5">
        <v>37</v>
      </c>
      <c r="B5610" s="5" t="s">
        <v>174</v>
      </c>
      <c r="C5610" s="5">
        <v>7</v>
      </c>
      <c r="D5610" s="5" t="s">
        <v>91</v>
      </c>
      <c r="E5610" s="5">
        <v>2022</v>
      </c>
      <c r="F5610" s="5">
        <v>8</v>
      </c>
      <c r="G5610" s="5" t="s">
        <v>41</v>
      </c>
      <c r="H5610" s="5">
        <v>1633966</v>
      </c>
      <c r="I5610" s="5">
        <v>1602833.09</v>
      </c>
      <c r="J5610" s="5">
        <v>26</v>
      </c>
      <c r="K5610" s="5">
        <v>381603</v>
      </c>
      <c r="L5610" s="5">
        <v>2012220</v>
      </c>
      <c r="M5610" s="5">
        <v>31132.91</v>
      </c>
      <c r="N5610" s="5">
        <v>1.9099999999999999E-2</v>
      </c>
      <c r="O5610" s="5">
        <v>1</v>
      </c>
      <c r="P5610" s="5">
        <v>23035</v>
      </c>
    </row>
    <row r="5611" spans="1:16" x14ac:dyDescent="0.3">
      <c r="A5611" s="5">
        <v>32</v>
      </c>
      <c r="B5611" s="5" t="s">
        <v>174</v>
      </c>
      <c r="C5611" s="5">
        <v>7</v>
      </c>
      <c r="D5611" s="5" t="s">
        <v>91</v>
      </c>
      <c r="E5611" s="5">
        <v>2022</v>
      </c>
      <c r="F5611" s="5">
        <v>9</v>
      </c>
      <c r="G5611" s="5" t="s">
        <v>42</v>
      </c>
      <c r="H5611" s="5">
        <v>4002950</v>
      </c>
      <c r="I5611" s="5">
        <v>3460860.6</v>
      </c>
      <c r="J5611" s="5">
        <v>58</v>
      </c>
      <c r="K5611" s="5">
        <v>402367</v>
      </c>
      <c r="L5611" s="5">
        <v>4385490</v>
      </c>
      <c r="M5611" s="5">
        <v>542089.4</v>
      </c>
      <c r="N5611" s="5">
        <v>0.13539999999999999</v>
      </c>
      <c r="O5611" s="5">
        <v>8</v>
      </c>
      <c r="P5611" s="5">
        <v>338565</v>
      </c>
    </row>
    <row r="5612" spans="1:16" x14ac:dyDescent="0.3">
      <c r="A5612" s="5">
        <v>37</v>
      </c>
      <c r="B5612" s="5" t="s">
        <v>174</v>
      </c>
      <c r="C5612" s="5">
        <v>7</v>
      </c>
      <c r="D5612" s="5" t="s">
        <v>91</v>
      </c>
      <c r="E5612" s="5">
        <v>2022</v>
      </c>
      <c r="F5612" s="5">
        <v>9</v>
      </c>
      <c r="G5612" s="5" t="s">
        <v>42</v>
      </c>
      <c r="H5612" s="5">
        <v>1830663</v>
      </c>
      <c r="I5612" s="5">
        <v>1568914.24</v>
      </c>
      <c r="J5612" s="5">
        <v>30</v>
      </c>
      <c r="K5612" s="5">
        <v>196143</v>
      </c>
      <c r="L5612" s="5">
        <v>2020310</v>
      </c>
      <c r="M5612" s="5">
        <v>261748.76</v>
      </c>
      <c r="N5612" s="5">
        <v>0.14299999999999999</v>
      </c>
      <c r="O5612" s="5">
        <v>4</v>
      </c>
      <c r="P5612" s="5">
        <v>129007</v>
      </c>
    </row>
    <row r="5613" spans="1:16" x14ac:dyDescent="0.3">
      <c r="A5613" s="5">
        <v>32</v>
      </c>
      <c r="B5613" s="5" t="s">
        <v>174</v>
      </c>
      <c r="C5613" s="5">
        <v>7</v>
      </c>
      <c r="D5613" s="5" t="s">
        <v>91</v>
      </c>
      <c r="E5613" s="5">
        <v>2022</v>
      </c>
      <c r="F5613" s="5">
        <v>10</v>
      </c>
      <c r="G5613" s="5" t="s">
        <v>43</v>
      </c>
      <c r="H5613" s="5">
        <v>2321202</v>
      </c>
      <c r="I5613" s="5">
        <v>2075980.53</v>
      </c>
      <c r="J5613" s="5">
        <v>49</v>
      </c>
      <c r="K5613" s="5">
        <v>341290</v>
      </c>
      <c r="L5613" s="5">
        <v>2652340</v>
      </c>
      <c r="M5613" s="5">
        <v>245221.47</v>
      </c>
      <c r="N5613" s="5">
        <v>0.1056</v>
      </c>
      <c r="O5613" s="5">
        <v>4</v>
      </c>
      <c r="P5613" s="5">
        <v>78530</v>
      </c>
    </row>
    <row r="5614" spans="1:16" x14ac:dyDescent="0.3">
      <c r="A5614" s="5">
        <v>37</v>
      </c>
      <c r="B5614" s="5" t="s">
        <v>174</v>
      </c>
      <c r="C5614" s="5">
        <v>7</v>
      </c>
      <c r="D5614" s="5" t="s">
        <v>91</v>
      </c>
      <c r="E5614" s="5">
        <v>2022</v>
      </c>
      <c r="F5614" s="5">
        <v>10</v>
      </c>
      <c r="G5614" s="5" t="s">
        <v>43</v>
      </c>
      <c r="H5614" s="5">
        <v>1594163</v>
      </c>
      <c r="I5614" s="5">
        <v>1555677.01</v>
      </c>
      <c r="J5614" s="5">
        <v>25</v>
      </c>
      <c r="K5614" s="5">
        <v>429923</v>
      </c>
      <c r="L5614" s="5">
        <v>2023060</v>
      </c>
      <c r="M5614" s="5">
        <v>38485.99</v>
      </c>
      <c r="N5614" s="5">
        <v>2.41E-2</v>
      </c>
      <c r="O5614" s="5">
        <v>1</v>
      </c>
      <c r="P5614" s="5">
        <v>22209</v>
      </c>
    </row>
    <row r="5615" spans="1:16" x14ac:dyDescent="0.3">
      <c r="A5615" s="5">
        <v>32</v>
      </c>
      <c r="B5615" s="5" t="s">
        <v>174</v>
      </c>
      <c r="C5615" s="5">
        <v>7</v>
      </c>
      <c r="D5615" s="5" t="s">
        <v>91</v>
      </c>
      <c r="E5615" s="5">
        <v>2022</v>
      </c>
      <c r="F5615" s="5">
        <v>11</v>
      </c>
      <c r="G5615" s="5" t="s">
        <v>44</v>
      </c>
      <c r="H5615" s="5">
        <v>4059332</v>
      </c>
      <c r="I5615" s="5">
        <v>3526635.39</v>
      </c>
      <c r="J5615" s="5">
        <v>70</v>
      </c>
      <c r="K5615" s="5">
        <v>504131</v>
      </c>
      <c r="L5615" s="5">
        <v>4551910</v>
      </c>
      <c r="M5615" s="5">
        <v>532696.61</v>
      </c>
      <c r="N5615" s="5">
        <v>0.13120000000000001</v>
      </c>
      <c r="O5615" s="5">
        <v>4</v>
      </c>
      <c r="P5615" s="5">
        <v>40579</v>
      </c>
    </row>
    <row r="5616" spans="1:16" x14ac:dyDescent="0.3">
      <c r="A5616" s="5">
        <v>37</v>
      </c>
      <c r="B5616" s="5" t="s">
        <v>174</v>
      </c>
      <c r="C5616" s="5">
        <v>7</v>
      </c>
      <c r="D5616" s="5" t="s">
        <v>91</v>
      </c>
      <c r="E5616" s="5">
        <v>2022</v>
      </c>
      <c r="F5616" s="5">
        <v>11</v>
      </c>
      <c r="G5616" s="5" t="s">
        <v>44</v>
      </c>
      <c r="H5616" s="5">
        <v>1021769</v>
      </c>
      <c r="I5616" s="5">
        <v>905144.81</v>
      </c>
      <c r="J5616" s="5">
        <v>19</v>
      </c>
      <c r="K5616" s="5">
        <v>176440</v>
      </c>
      <c r="L5616" s="5">
        <v>1194630</v>
      </c>
      <c r="M5616" s="5">
        <v>116624.19</v>
      </c>
      <c r="N5616" s="5">
        <v>0.11409999999999999</v>
      </c>
      <c r="O5616" s="5">
        <v>3</v>
      </c>
      <c r="P5616" s="5">
        <v>13886</v>
      </c>
    </row>
    <row r="5617" spans="1:16" x14ac:dyDescent="0.3">
      <c r="A5617" s="5">
        <v>32</v>
      </c>
      <c r="B5617" s="5" t="s">
        <v>174</v>
      </c>
      <c r="C5617" s="5">
        <v>7</v>
      </c>
      <c r="D5617" s="5" t="s">
        <v>91</v>
      </c>
      <c r="E5617" s="5">
        <v>2022</v>
      </c>
      <c r="F5617" s="5">
        <v>12</v>
      </c>
      <c r="G5617" s="5" t="s">
        <v>45</v>
      </c>
      <c r="H5617" s="5">
        <v>4512862</v>
      </c>
      <c r="I5617" s="5">
        <v>3716490.66</v>
      </c>
      <c r="J5617" s="5">
        <v>65</v>
      </c>
      <c r="K5617" s="5">
        <v>295472</v>
      </c>
      <c r="L5617" s="5">
        <v>4786750</v>
      </c>
      <c r="M5617" s="5">
        <v>796371.34</v>
      </c>
      <c r="N5617" s="5">
        <v>0.17649999999999999</v>
      </c>
      <c r="O5617" s="5">
        <v>8</v>
      </c>
      <c r="P5617" s="5">
        <v>76018</v>
      </c>
    </row>
    <row r="5618" spans="1:16" x14ac:dyDescent="0.3">
      <c r="A5618" s="5">
        <v>37</v>
      </c>
      <c r="B5618" s="5" t="s">
        <v>174</v>
      </c>
      <c r="C5618" s="5">
        <v>7</v>
      </c>
      <c r="D5618" s="5" t="s">
        <v>91</v>
      </c>
      <c r="E5618" s="5">
        <v>2022</v>
      </c>
      <c r="F5618" s="5">
        <v>12</v>
      </c>
      <c r="G5618" s="5" t="s">
        <v>45</v>
      </c>
      <c r="H5618" s="5">
        <v>1461417</v>
      </c>
      <c r="I5618" s="5">
        <v>1208325.79</v>
      </c>
      <c r="J5618" s="5">
        <v>24</v>
      </c>
      <c r="K5618" s="5">
        <v>108209</v>
      </c>
      <c r="L5618" s="5">
        <v>1564900</v>
      </c>
      <c r="M5618" s="5">
        <v>253091.21</v>
      </c>
      <c r="N5618" s="5">
        <v>0.17319999999999999</v>
      </c>
      <c r="O5618" s="5">
        <v>0</v>
      </c>
      <c r="P5618" s="5">
        <v>0</v>
      </c>
    </row>
    <row r="5619" spans="1:16" x14ac:dyDescent="0.3">
      <c r="A5619" s="5">
        <v>32</v>
      </c>
      <c r="B5619" s="5" t="s">
        <v>174</v>
      </c>
      <c r="C5619" s="5">
        <v>7</v>
      </c>
      <c r="D5619" s="5" t="s">
        <v>91</v>
      </c>
      <c r="E5619" s="5">
        <v>2023</v>
      </c>
      <c r="F5619" s="5">
        <v>1</v>
      </c>
      <c r="G5619" s="5" t="s">
        <v>46</v>
      </c>
      <c r="H5619" s="5">
        <v>3196628</v>
      </c>
      <c r="I5619" s="5">
        <v>2980181.41</v>
      </c>
      <c r="J5619" s="5">
        <v>44</v>
      </c>
      <c r="K5619" s="5">
        <v>607342</v>
      </c>
      <c r="L5619" s="5">
        <v>3795150</v>
      </c>
      <c r="M5619" s="5">
        <v>216446.59</v>
      </c>
      <c r="N5619" s="5">
        <v>6.7699999999999996E-2</v>
      </c>
      <c r="O5619" s="5">
        <v>3</v>
      </c>
      <c r="P5619" s="5">
        <v>267604</v>
      </c>
    </row>
    <row r="5620" spans="1:16" x14ac:dyDescent="0.3">
      <c r="A5620" s="5">
        <v>37</v>
      </c>
      <c r="B5620" s="5" t="s">
        <v>174</v>
      </c>
      <c r="C5620" s="5">
        <v>7</v>
      </c>
      <c r="D5620" s="5" t="s">
        <v>91</v>
      </c>
      <c r="E5620" s="5">
        <v>2023</v>
      </c>
      <c r="F5620" s="5">
        <v>1</v>
      </c>
      <c r="G5620" s="5" t="s">
        <v>46</v>
      </c>
      <c r="H5620" s="5">
        <v>2201229</v>
      </c>
      <c r="I5620" s="5">
        <v>1885729.93</v>
      </c>
      <c r="J5620" s="5">
        <v>29</v>
      </c>
      <c r="K5620" s="5">
        <v>222272</v>
      </c>
      <c r="L5620" s="5">
        <v>2408680</v>
      </c>
      <c r="M5620" s="5">
        <v>315499.07</v>
      </c>
      <c r="N5620" s="5">
        <v>0.14330000000000001</v>
      </c>
      <c r="O5620" s="5">
        <v>0</v>
      </c>
      <c r="P5620" s="5">
        <v>0</v>
      </c>
    </row>
    <row r="5621" spans="1:16" x14ac:dyDescent="0.3">
      <c r="A5621" s="5">
        <v>32</v>
      </c>
      <c r="B5621" s="5" t="s">
        <v>174</v>
      </c>
      <c r="C5621" s="5">
        <v>7</v>
      </c>
      <c r="D5621" s="5" t="s">
        <v>91</v>
      </c>
      <c r="E5621" s="5">
        <v>2023</v>
      </c>
      <c r="F5621" s="5">
        <v>2</v>
      </c>
      <c r="G5621" s="5" t="s">
        <v>47</v>
      </c>
      <c r="H5621" s="5">
        <v>3077263</v>
      </c>
      <c r="I5621" s="5">
        <v>2572118.27</v>
      </c>
      <c r="J5621" s="5">
        <v>35</v>
      </c>
      <c r="K5621" s="5">
        <v>201361</v>
      </c>
      <c r="L5621" s="5">
        <v>3268870</v>
      </c>
      <c r="M5621" s="5">
        <v>505144.73</v>
      </c>
      <c r="N5621" s="5">
        <v>0.16420000000000001</v>
      </c>
      <c r="O5621" s="5">
        <v>3</v>
      </c>
      <c r="P5621" s="5">
        <v>60970</v>
      </c>
    </row>
    <row r="5622" spans="1:16" x14ac:dyDescent="0.3">
      <c r="A5622" s="5">
        <v>37</v>
      </c>
      <c r="B5622" s="5" t="s">
        <v>174</v>
      </c>
      <c r="C5622" s="5">
        <v>7</v>
      </c>
      <c r="D5622" s="5" t="s">
        <v>91</v>
      </c>
      <c r="E5622" s="5">
        <v>2023</v>
      </c>
      <c r="F5622" s="5">
        <v>2</v>
      </c>
      <c r="G5622" s="5" t="s">
        <v>47</v>
      </c>
      <c r="H5622" s="5">
        <v>1684425</v>
      </c>
      <c r="I5622" s="5">
        <v>1448583.39</v>
      </c>
      <c r="J5622" s="5">
        <v>22</v>
      </c>
      <c r="K5622" s="5">
        <v>176457</v>
      </c>
      <c r="L5622" s="5">
        <v>1854910</v>
      </c>
      <c r="M5622" s="5">
        <v>235841.61</v>
      </c>
      <c r="N5622" s="5">
        <v>0.14000000000000001</v>
      </c>
      <c r="O5622" s="5">
        <v>2</v>
      </c>
      <c r="P5622" s="5">
        <v>46242</v>
      </c>
    </row>
    <row r="5623" spans="1:16" x14ac:dyDescent="0.3">
      <c r="A5623" s="5">
        <v>32</v>
      </c>
      <c r="B5623" s="5" t="s">
        <v>174</v>
      </c>
      <c r="C5623" s="5">
        <v>7</v>
      </c>
      <c r="D5623" s="5" t="s">
        <v>91</v>
      </c>
      <c r="E5623" s="5">
        <v>2023</v>
      </c>
      <c r="F5623" s="5">
        <v>3</v>
      </c>
      <c r="G5623" s="5" t="s">
        <v>48</v>
      </c>
      <c r="H5623" s="5">
        <v>4291323</v>
      </c>
      <c r="I5623" s="5">
        <v>3699760.97</v>
      </c>
      <c r="J5623" s="5">
        <v>56</v>
      </c>
      <c r="K5623" s="5">
        <v>493234</v>
      </c>
      <c r="L5623" s="5">
        <v>4767820</v>
      </c>
      <c r="M5623" s="5">
        <v>591562.03</v>
      </c>
      <c r="N5623" s="5">
        <v>0.13789999999999999</v>
      </c>
      <c r="O5623" s="5">
        <v>5</v>
      </c>
      <c r="P5623" s="5">
        <v>436517</v>
      </c>
    </row>
    <row r="5624" spans="1:16" x14ac:dyDescent="0.3">
      <c r="A5624" s="5">
        <v>37</v>
      </c>
      <c r="B5624" s="5" t="s">
        <v>174</v>
      </c>
      <c r="C5624" s="5">
        <v>7</v>
      </c>
      <c r="D5624" s="5" t="s">
        <v>91</v>
      </c>
      <c r="E5624" s="5">
        <v>2023</v>
      </c>
      <c r="F5624" s="5">
        <v>3</v>
      </c>
      <c r="G5624" s="5" t="s">
        <v>48</v>
      </c>
      <c r="H5624" s="5">
        <v>1293174</v>
      </c>
      <c r="I5624" s="5">
        <v>1081106.48</v>
      </c>
      <c r="J5624" s="5">
        <v>21</v>
      </c>
      <c r="K5624" s="5">
        <v>115685</v>
      </c>
      <c r="L5624" s="5">
        <v>1405340</v>
      </c>
      <c r="M5624" s="5">
        <v>212067.52</v>
      </c>
      <c r="N5624" s="5">
        <v>0.16400000000000001</v>
      </c>
      <c r="O5624" s="5">
        <v>0</v>
      </c>
      <c r="P5624" s="5">
        <v>0</v>
      </c>
    </row>
    <row r="5625" spans="1:16" x14ac:dyDescent="0.3">
      <c r="A5625" s="5">
        <v>32</v>
      </c>
      <c r="B5625" s="5" t="s">
        <v>174</v>
      </c>
      <c r="C5625" s="5">
        <v>7</v>
      </c>
      <c r="D5625" s="5" t="s">
        <v>91</v>
      </c>
      <c r="E5625" s="5">
        <v>2023</v>
      </c>
      <c r="F5625" s="5">
        <v>4</v>
      </c>
      <c r="G5625" s="5" t="s">
        <v>49</v>
      </c>
      <c r="H5625" s="5">
        <v>3955769</v>
      </c>
      <c r="I5625" s="5">
        <v>3229134.51</v>
      </c>
      <c r="J5625" s="5">
        <v>54</v>
      </c>
      <c r="K5625" s="5">
        <v>350291</v>
      </c>
      <c r="L5625" s="5">
        <v>4283450</v>
      </c>
      <c r="M5625" s="5">
        <v>726634.49</v>
      </c>
      <c r="N5625" s="5">
        <v>0.1837</v>
      </c>
      <c r="O5625" s="5">
        <v>5</v>
      </c>
      <c r="P5625" s="5">
        <v>245337</v>
      </c>
    </row>
    <row r="5626" spans="1:16" x14ac:dyDescent="0.3">
      <c r="A5626" s="5">
        <v>37</v>
      </c>
      <c r="B5626" s="5" t="s">
        <v>174</v>
      </c>
      <c r="C5626" s="5">
        <v>7</v>
      </c>
      <c r="D5626" s="5" t="s">
        <v>91</v>
      </c>
      <c r="E5626" s="5">
        <v>2023</v>
      </c>
      <c r="F5626" s="5">
        <v>4</v>
      </c>
      <c r="G5626" s="5" t="s">
        <v>49</v>
      </c>
      <c r="H5626" s="5">
        <v>1361929</v>
      </c>
      <c r="I5626" s="5">
        <v>1169938.78</v>
      </c>
      <c r="J5626" s="5">
        <v>22</v>
      </c>
      <c r="K5626" s="5">
        <v>196933</v>
      </c>
      <c r="L5626" s="5">
        <v>1553950</v>
      </c>
      <c r="M5626" s="5">
        <v>191990.22</v>
      </c>
      <c r="N5626" s="5">
        <v>0.14099999999999999</v>
      </c>
      <c r="O5626" s="5">
        <v>2</v>
      </c>
      <c r="P5626" s="5">
        <v>75665</v>
      </c>
    </row>
    <row r="5627" spans="1:16" x14ac:dyDescent="0.3">
      <c r="A5627" s="5">
        <v>32</v>
      </c>
      <c r="B5627" s="5" t="s">
        <v>174</v>
      </c>
      <c r="C5627" s="5">
        <v>7</v>
      </c>
      <c r="D5627" s="5" t="s">
        <v>91</v>
      </c>
      <c r="E5627" s="5">
        <v>2023</v>
      </c>
      <c r="F5627" s="5">
        <v>5</v>
      </c>
      <c r="G5627" s="5" t="s">
        <v>50</v>
      </c>
      <c r="H5627" s="5">
        <v>4961105</v>
      </c>
      <c r="I5627" s="5">
        <v>4189014.05</v>
      </c>
      <c r="J5627" s="5">
        <v>72</v>
      </c>
      <c r="K5627" s="5">
        <v>448276</v>
      </c>
      <c r="L5627" s="5">
        <v>5393870</v>
      </c>
      <c r="M5627" s="5">
        <v>772090.95</v>
      </c>
      <c r="N5627" s="5">
        <v>0.15559999999999999</v>
      </c>
      <c r="O5627" s="5">
        <v>6</v>
      </c>
      <c r="P5627" s="5">
        <v>249396</v>
      </c>
    </row>
    <row r="5628" spans="1:16" x14ac:dyDescent="0.3">
      <c r="A5628" s="5">
        <v>37</v>
      </c>
      <c r="B5628" s="5" t="s">
        <v>174</v>
      </c>
      <c r="C5628" s="5">
        <v>7</v>
      </c>
      <c r="D5628" s="5" t="s">
        <v>91</v>
      </c>
      <c r="E5628" s="5">
        <v>2023</v>
      </c>
      <c r="F5628" s="5">
        <v>5</v>
      </c>
      <c r="G5628" s="5" t="s">
        <v>50</v>
      </c>
      <c r="H5628" s="5">
        <v>2180500</v>
      </c>
      <c r="I5628" s="5">
        <v>1873106.52</v>
      </c>
      <c r="J5628" s="5">
        <v>29</v>
      </c>
      <c r="K5628" s="5">
        <v>248036</v>
      </c>
      <c r="L5628" s="5">
        <v>2423890</v>
      </c>
      <c r="M5628" s="5">
        <v>307393.48</v>
      </c>
      <c r="N5628" s="5">
        <v>0.14099999999999999</v>
      </c>
      <c r="O5628" s="5">
        <v>0</v>
      </c>
      <c r="P5628" s="5">
        <v>0</v>
      </c>
    </row>
    <row r="5629" spans="1:16" x14ac:dyDescent="0.3">
      <c r="A5629" s="5">
        <v>32</v>
      </c>
      <c r="B5629" s="5" t="s">
        <v>174</v>
      </c>
      <c r="C5629" s="5">
        <v>7</v>
      </c>
      <c r="D5629" s="5" t="s">
        <v>91</v>
      </c>
      <c r="E5629" s="5">
        <v>2023</v>
      </c>
      <c r="F5629" s="5">
        <v>6</v>
      </c>
      <c r="G5629" s="5" t="s">
        <v>51</v>
      </c>
      <c r="H5629" s="5">
        <v>4501129</v>
      </c>
      <c r="I5629" s="5">
        <v>3939086.38</v>
      </c>
      <c r="J5629" s="5">
        <v>63</v>
      </c>
      <c r="K5629" s="5">
        <v>558825</v>
      </c>
      <c r="L5629" s="5">
        <v>5045860</v>
      </c>
      <c r="M5629" s="5">
        <v>562042.62</v>
      </c>
      <c r="N5629" s="5">
        <v>0.1249</v>
      </c>
      <c r="O5629" s="5">
        <v>5</v>
      </c>
      <c r="P5629" s="5">
        <v>194852</v>
      </c>
    </row>
    <row r="5630" spans="1:16" x14ac:dyDescent="0.3">
      <c r="A5630" s="5">
        <v>37</v>
      </c>
      <c r="B5630" s="5" t="s">
        <v>174</v>
      </c>
      <c r="C5630" s="5">
        <v>7</v>
      </c>
      <c r="D5630" s="5" t="s">
        <v>91</v>
      </c>
      <c r="E5630" s="5">
        <v>2023</v>
      </c>
      <c r="F5630" s="5">
        <v>6</v>
      </c>
      <c r="G5630" s="5" t="s">
        <v>51</v>
      </c>
      <c r="H5630" s="5">
        <v>1981034</v>
      </c>
      <c r="I5630" s="5">
        <v>1744030.27</v>
      </c>
      <c r="J5630" s="5">
        <v>31</v>
      </c>
      <c r="K5630" s="5">
        <v>213587</v>
      </c>
      <c r="L5630" s="5">
        <v>2193760</v>
      </c>
      <c r="M5630" s="5">
        <v>237003.73</v>
      </c>
      <c r="N5630" s="5">
        <v>0.1196</v>
      </c>
      <c r="O5630" s="5">
        <v>3</v>
      </c>
      <c r="P5630" s="5">
        <v>49736</v>
      </c>
    </row>
    <row r="5631" spans="1:16" x14ac:dyDescent="0.3">
      <c r="A5631" s="5">
        <v>32</v>
      </c>
      <c r="B5631" s="5" t="s">
        <v>174</v>
      </c>
      <c r="C5631" s="5">
        <v>7</v>
      </c>
      <c r="D5631" s="5" t="s">
        <v>91</v>
      </c>
      <c r="E5631" s="5">
        <v>2023</v>
      </c>
      <c r="F5631" s="5">
        <v>7</v>
      </c>
      <c r="G5631" s="5" t="s">
        <v>52</v>
      </c>
      <c r="H5631" s="5">
        <v>4031379</v>
      </c>
      <c r="I5631" s="5">
        <v>3709057.03</v>
      </c>
      <c r="J5631" s="5">
        <v>59</v>
      </c>
      <c r="K5631" s="5">
        <v>735299</v>
      </c>
      <c r="L5631" s="5">
        <v>4750780</v>
      </c>
      <c r="M5631" s="5">
        <v>322321.96999999997</v>
      </c>
      <c r="N5631" s="5">
        <v>0.08</v>
      </c>
      <c r="O5631" s="5">
        <v>4</v>
      </c>
      <c r="P5631" s="5">
        <v>73318</v>
      </c>
    </row>
    <row r="5632" spans="1:16" x14ac:dyDescent="0.3">
      <c r="A5632" s="5">
        <v>37</v>
      </c>
      <c r="B5632" s="5" t="s">
        <v>174</v>
      </c>
      <c r="C5632" s="5">
        <v>7</v>
      </c>
      <c r="D5632" s="5" t="s">
        <v>91</v>
      </c>
      <c r="E5632" s="5">
        <v>2023</v>
      </c>
      <c r="F5632" s="5">
        <v>7</v>
      </c>
      <c r="G5632" s="5" t="s">
        <v>52</v>
      </c>
      <c r="H5632" s="5">
        <v>1785153</v>
      </c>
      <c r="I5632" s="5">
        <v>1634200.93</v>
      </c>
      <c r="J5632" s="5">
        <v>24</v>
      </c>
      <c r="K5632" s="5">
        <v>359242</v>
      </c>
      <c r="L5632" s="5">
        <v>2137990</v>
      </c>
      <c r="M5632" s="5">
        <v>150952.07</v>
      </c>
      <c r="N5632" s="5">
        <v>8.4599999999999995E-2</v>
      </c>
      <c r="O5632" s="5">
        <v>3</v>
      </c>
      <c r="P5632" s="5">
        <v>141573</v>
      </c>
    </row>
    <row r="5633" spans="1:16" x14ac:dyDescent="0.3">
      <c r="A5633" s="5">
        <v>32</v>
      </c>
      <c r="B5633" s="5" t="s">
        <v>174</v>
      </c>
      <c r="C5633" s="5">
        <v>7</v>
      </c>
      <c r="D5633" s="5" t="s">
        <v>91</v>
      </c>
      <c r="E5633" s="5">
        <v>2023</v>
      </c>
      <c r="F5633" s="5">
        <v>8</v>
      </c>
      <c r="G5633" s="5" t="s">
        <v>53</v>
      </c>
      <c r="H5633" s="5">
        <v>3883101</v>
      </c>
      <c r="I5633" s="5">
        <v>3582432.11</v>
      </c>
      <c r="J5633" s="5">
        <v>65</v>
      </c>
      <c r="K5633" s="5">
        <v>746854</v>
      </c>
      <c r="L5633" s="5">
        <v>4622820</v>
      </c>
      <c r="M5633" s="5">
        <v>300668.89</v>
      </c>
      <c r="N5633" s="5">
        <v>7.7399999999999997E-2</v>
      </c>
      <c r="O5633" s="5">
        <v>6</v>
      </c>
      <c r="P5633" s="5">
        <v>209898</v>
      </c>
    </row>
    <row r="5634" spans="1:16" x14ac:dyDescent="0.3">
      <c r="A5634" s="5">
        <v>37</v>
      </c>
      <c r="B5634" s="5" t="s">
        <v>174</v>
      </c>
      <c r="C5634" s="5">
        <v>7</v>
      </c>
      <c r="D5634" s="5" t="s">
        <v>91</v>
      </c>
      <c r="E5634" s="5">
        <v>2023</v>
      </c>
      <c r="F5634" s="5">
        <v>8</v>
      </c>
      <c r="G5634" s="5" t="s">
        <v>53</v>
      </c>
      <c r="H5634" s="5">
        <v>1313579</v>
      </c>
      <c r="I5634" s="5">
        <v>1062728.31</v>
      </c>
      <c r="J5634" s="5">
        <v>21</v>
      </c>
      <c r="K5634" s="5">
        <v>68458</v>
      </c>
      <c r="L5634" s="5">
        <v>1378450</v>
      </c>
      <c r="M5634" s="5">
        <v>250850.69</v>
      </c>
      <c r="N5634" s="5">
        <v>0.191</v>
      </c>
      <c r="O5634" s="5">
        <v>0</v>
      </c>
      <c r="P5634" s="5">
        <v>0</v>
      </c>
    </row>
    <row r="5635" spans="1:16" x14ac:dyDescent="0.3">
      <c r="A5635" s="5">
        <v>32</v>
      </c>
      <c r="B5635" s="5" t="s">
        <v>174</v>
      </c>
      <c r="C5635" s="5">
        <v>7</v>
      </c>
      <c r="D5635" s="5" t="s">
        <v>91</v>
      </c>
      <c r="E5635" s="5">
        <v>2023</v>
      </c>
      <c r="F5635" s="5">
        <v>9</v>
      </c>
      <c r="G5635" s="5" t="s">
        <v>54</v>
      </c>
      <c r="H5635" s="5">
        <v>3006174</v>
      </c>
      <c r="I5635" s="5">
        <v>2802587.25</v>
      </c>
      <c r="J5635" s="5">
        <v>63</v>
      </c>
      <c r="K5635" s="5">
        <v>631374</v>
      </c>
      <c r="L5635" s="5">
        <v>3628330</v>
      </c>
      <c r="M5635" s="5">
        <v>203586.75</v>
      </c>
      <c r="N5635" s="5">
        <v>6.7699999999999996E-2</v>
      </c>
      <c r="O5635" s="5">
        <v>6</v>
      </c>
      <c r="P5635" s="5">
        <v>274593</v>
      </c>
    </row>
    <row r="5636" spans="1:16" x14ac:dyDescent="0.3">
      <c r="A5636" s="5">
        <v>37</v>
      </c>
      <c r="B5636" s="5" t="s">
        <v>174</v>
      </c>
      <c r="C5636" s="5">
        <v>7</v>
      </c>
      <c r="D5636" s="5" t="s">
        <v>91</v>
      </c>
      <c r="E5636" s="5">
        <v>2023</v>
      </c>
      <c r="F5636" s="5">
        <v>9</v>
      </c>
      <c r="G5636" s="5" t="s">
        <v>54</v>
      </c>
      <c r="H5636" s="5">
        <v>1214446</v>
      </c>
      <c r="I5636" s="5">
        <v>1018140.98</v>
      </c>
      <c r="J5636" s="5">
        <v>22</v>
      </c>
      <c r="K5636" s="5">
        <v>121837</v>
      </c>
      <c r="L5636" s="5">
        <v>1331020</v>
      </c>
      <c r="M5636" s="5">
        <v>196305.02</v>
      </c>
      <c r="N5636" s="5">
        <v>0.16159999999999999</v>
      </c>
      <c r="O5636" s="5">
        <v>1</v>
      </c>
      <c r="P5636" s="5">
        <v>661</v>
      </c>
    </row>
    <row r="5637" spans="1:16" x14ac:dyDescent="0.3">
      <c r="A5637" s="5">
        <v>32</v>
      </c>
      <c r="B5637" s="5" t="s">
        <v>174</v>
      </c>
      <c r="C5637" s="5">
        <v>7</v>
      </c>
      <c r="D5637" s="5" t="s">
        <v>91</v>
      </c>
      <c r="E5637" s="5">
        <v>2023</v>
      </c>
      <c r="F5637" s="5">
        <v>10</v>
      </c>
      <c r="G5637" s="5" t="s">
        <v>55</v>
      </c>
      <c r="H5637" s="5">
        <v>5568782</v>
      </c>
      <c r="I5637" s="5">
        <v>4668555.63</v>
      </c>
      <c r="J5637" s="5">
        <v>74</v>
      </c>
      <c r="K5637" s="5">
        <v>519888</v>
      </c>
      <c r="L5637" s="5">
        <v>6079140</v>
      </c>
      <c r="M5637" s="5">
        <v>900226.37</v>
      </c>
      <c r="N5637" s="5">
        <v>0.16170000000000001</v>
      </c>
      <c r="O5637" s="5">
        <v>3</v>
      </c>
      <c r="P5637" s="5">
        <v>12632</v>
      </c>
    </row>
    <row r="5638" spans="1:16" x14ac:dyDescent="0.3">
      <c r="A5638" s="5">
        <v>37</v>
      </c>
      <c r="B5638" s="5" t="s">
        <v>174</v>
      </c>
      <c r="C5638" s="5">
        <v>7</v>
      </c>
      <c r="D5638" s="5" t="s">
        <v>91</v>
      </c>
      <c r="E5638" s="5">
        <v>2023</v>
      </c>
      <c r="F5638" s="5">
        <v>10</v>
      </c>
      <c r="G5638" s="5" t="s">
        <v>55</v>
      </c>
      <c r="H5638" s="5">
        <v>2725323</v>
      </c>
      <c r="I5638" s="5">
        <v>2213126.0299999998</v>
      </c>
      <c r="J5638" s="5">
        <v>36</v>
      </c>
      <c r="K5638" s="5">
        <v>170168</v>
      </c>
      <c r="L5638" s="5">
        <v>2882980</v>
      </c>
      <c r="M5638" s="5">
        <v>512196.97</v>
      </c>
      <c r="N5638" s="5">
        <v>0.18790000000000001</v>
      </c>
      <c r="O5638" s="5">
        <v>3</v>
      </c>
      <c r="P5638" s="5">
        <v>33469</v>
      </c>
    </row>
    <row r="5639" spans="1:16" x14ac:dyDescent="0.3">
      <c r="A5639" s="5">
        <v>32</v>
      </c>
      <c r="B5639" s="5" t="s">
        <v>174</v>
      </c>
      <c r="C5639" s="5">
        <v>7</v>
      </c>
      <c r="D5639" s="5" t="s">
        <v>91</v>
      </c>
      <c r="E5639" s="5">
        <v>2023</v>
      </c>
      <c r="F5639" s="5">
        <v>11</v>
      </c>
      <c r="G5639" s="5" t="s">
        <v>56</v>
      </c>
      <c r="H5639" s="5">
        <v>5788145</v>
      </c>
      <c r="I5639" s="5">
        <v>5108709.22</v>
      </c>
      <c r="J5639" s="5">
        <v>88</v>
      </c>
      <c r="K5639" s="5">
        <v>836451</v>
      </c>
      <c r="L5639" s="5">
        <v>6608050</v>
      </c>
      <c r="M5639" s="5">
        <v>679435.78</v>
      </c>
      <c r="N5639" s="5">
        <v>0.1174</v>
      </c>
      <c r="O5639" s="5">
        <v>5</v>
      </c>
      <c r="P5639" s="5">
        <v>73529</v>
      </c>
    </row>
    <row r="5640" spans="1:16" x14ac:dyDescent="0.3">
      <c r="A5640" s="5">
        <v>37</v>
      </c>
      <c r="B5640" s="5" t="s">
        <v>174</v>
      </c>
      <c r="C5640" s="5">
        <v>7</v>
      </c>
      <c r="D5640" s="5" t="s">
        <v>91</v>
      </c>
      <c r="E5640" s="5">
        <v>2023</v>
      </c>
      <c r="F5640" s="5">
        <v>11</v>
      </c>
      <c r="G5640" s="5" t="s">
        <v>56</v>
      </c>
      <c r="H5640" s="5">
        <v>2121577</v>
      </c>
      <c r="I5640" s="5">
        <v>1839393.06</v>
      </c>
      <c r="J5640" s="5">
        <v>31</v>
      </c>
      <c r="K5640" s="5">
        <v>251430</v>
      </c>
      <c r="L5640" s="5">
        <v>2365520</v>
      </c>
      <c r="M5640" s="5">
        <v>282183.94</v>
      </c>
      <c r="N5640" s="5">
        <v>0.13300000000000001</v>
      </c>
      <c r="O5640" s="5">
        <v>4</v>
      </c>
      <c r="P5640" s="5">
        <v>18145</v>
      </c>
    </row>
    <row r="5641" spans="1:16" x14ac:dyDescent="0.3">
      <c r="A5641" s="5">
        <v>32</v>
      </c>
      <c r="B5641" s="5" t="s">
        <v>174</v>
      </c>
      <c r="C5641" s="5">
        <v>7</v>
      </c>
      <c r="D5641" s="5" t="s">
        <v>91</v>
      </c>
      <c r="E5641" s="5">
        <v>2023</v>
      </c>
      <c r="F5641" s="5">
        <v>12</v>
      </c>
      <c r="G5641" s="5" t="s">
        <v>57</v>
      </c>
      <c r="H5641" s="5">
        <v>5607457</v>
      </c>
      <c r="I5641" s="5">
        <v>4873272.0999999996</v>
      </c>
      <c r="J5641" s="5">
        <v>96</v>
      </c>
      <c r="K5641" s="5">
        <v>816803</v>
      </c>
      <c r="L5641" s="5">
        <v>6400710</v>
      </c>
      <c r="M5641" s="5">
        <v>734184.9</v>
      </c>
      <c r="N5641" s="5">
        <v>0.13089999999999999</v>
      </c>
      <c r="O5641" s="5">
        <v>10</v>
      </c>
      <c r="P5641" s="5">
        <v>212347</v>
      </c>
    </row>
    <row r="5642" spans="1:16" x14ac:dyDescent="0.3">
      <c r="A5642" s="5">
        <v>37</v>
      </c>
      <c r="B5642" s="5" t="s">
        <v>174</v>
      </c>
      <c r="C5642" s="5">
        <v>7</v>
      </c>
      <c r="D5642" s="5" t="s">
        <v>91</v>
      </c>
      <c r="E5642" s="5">
        <v>2023</v>
      </c>
      <c r="F5642" s="5">
        <v>12</v>
      </c>
      <c r="G5642" s="5" t="s">
        <v>57</v>
      </c>
      <c r="H5642" s="5">
        <v>2988035</v>
      </c>
      <c r="I5642" s="5">
        <v>2635642.66</v>
      </c>
      <c r="J5642" s="5">
        <v>43</v>
      </c>
      <c r="K5642" s="5">
        <v>473617</v>
      </c>
      <c r="L5642" s="5">
        <v>3452820</v>
      </c>
      <c r="M5642" s="5">
        <v>352392.34</v>
      </c>
      <c r="N5642" s="5">
        <v>0.1179</v>
      </c>
      <c r="O5642" s="5">
        <v>7</v>
      </c>
      <c r="P5642" s="5">
        <v>197265</v>
      </c>
    </row>
    <row r="5643" spans="1:16" x14ac:dyDescent="0.3">
      <c r="A5643" s="5">
        <v>32</v>
      </c>
      <c r="B5643" s="5" t="s">
        <v>174</v>
      </c>
      <c r="C5643" s="5">
        <v>7</v>
      </c>
      <c r="D5643" s="5" t="s">
        <v>91</v>
      </c>
      <c r="E5643" s="5">
        <v>2024</v>
      </c>
      <c r="F5643" s="5">
        <v>1</v>
      </c>
      <c r="G5643" s="5" t="s">
        <v>58</v>
      </c>
      <c r="H5643" s="5">
        <v>4109757</v>
      </c>
      <c r="I5643" s="5">
        <v>3697784.35</v>
      </c>
      <c r="J5643" s="5">
        <v>55</v>
      </c>
      <c r="K5643" s="5">
        <v>617611</v>
      </c>
      <c r="L5643" s="5">
        <v>4718850</v>
      </c>
      <c r="M5643" s="5">
        <v>411972.65</v>
      </c>
      <c r="N5643" s="5">
        <v>0.1002</v>
      </c>
      <c r="O5643" s="5">
        <v>2</v>
      </c>
      <c r="P5643" s="5">
        <v>62329</v>
      </c>
    </row>
    <row r="5644" spans="1:16" x14ac:dyDescent="0.3">
      <c r="A5644" s="5">
        <v>37</v>
      </c>
      <c r="B5644" s="5" t="s">
        <v>174</v>
      </c>
      <c r="C5644" s="5">
        <v>7</v>
      </c>
      <c r="D5644" s="5" t="s">
        <v>91</v>
      </c>
      <c r="E5644" s="5">
        <v>2024</v>
      </c>
      <c r="F5644" s="5">
        <v>1</v>
      </c>
      <c r="G5644" s="5" t="s">
        <v>58</v>
      </c>
      <c r="H5644" s="5">
        <v>1143005</v>
      </c>
      <c r="I5644" s="5">
        <v>1000047.25</v>
      </c>
      <c r="J5644" s="5">
        <v>17</v>
      </c>
      <c r="K5644" s="5">
        <v>122216</v>
      </c>
      <c r="L5644" s="5">
        <v>1260300</v>
      </c>
      <c r="M5644" s="5">
        <v>142957.75</v>
      </c>
      <c r="N5644" s="5">
        <v>0.12509999999999999</v>
      </c>
      <c r="O5644" s="5">
        <v>3</v>
      </c>
      <c r="P5644" s="5">
        <v>17228</v>
      </c>
    </row>
    <row r="5645" spans="1:16" x14ac:dyDescent="0.3">
      <c r="A5645" s="5">
        <v>32</v>
      </c>
      <c r="B5645" s="5" t="s">
        <v>174</v>
      </c>
      <c r="C5645" s="5">
        <v>7</v>
      </c>
      <c r="D5645" s="5" t="s">
        <v>91</v>
      </c>
      <c r="E5645" s="5">
        <v>2024</v>
      </c>
      <c r="F5645" s="5">
        <v>2</v>
      </c>
      <c r="G5645" s="5" t="s">
        <v>59</v>
      </c>
      <c r="H5645" s="5">
        <v>4092144</v>
      </c>
      <c r="I5645" s="5">
        <v>3486634.54</v>
      </c>
      <c r="J5645" s="5">
        <v>53</v>
      </c>
      <c r="K5645" s="5">
        <v>447632</v>
      </c>
      <c r="L5645" s="5">
        <v>4511710</v>
      </c>
      <c r="M5645" s="5">
        <v>605509.46</v>
      </c>
      <c r="N5645" s="5">
        <v>0.14799999999999999</v>
      </c>
      <c r="O5645" s="5">
        <v>4</v>
      </c>
      <c r="P5645" s="5">
        <v>87993</v>
      </c>
    </row>
    <row r="5646" spans="1:16" x14ac:dyDescent="0.3">
      <c r="A5646" s="5">
        <v>37</v>
      </c>
      <c r="B5646" s="5" t="s">
        <v>174</v>
      </c>
      <c r="C5646" s="5">
        <v>7</v>
      </c>
      <c r="D5646" s="5" t="s">
        <v>91</v>
      </c>
      <c r="E5646" s="5">
        <v>2024</v>
      </c>
      <c r="F5646" s="5">
        <v>2</v>
      </c>
      <c r="G5646" s="5" t="s">
        <v>59</v>
      </c>
      <c r="H5646" s="5">
        <v>1134108</v>
      </c>
      <c r="I5646" s="5">
        <v>943652.46</v>
      </c>
      <c r="J5646" s="5">
        <v>22</v>
      </c>
      <c r="K5646" s="5">
        <v>69950</v>
      </c>
      <c r="L5646" s="5">
        <v>1202130</v>
      </c>
      <c r="M5646" s="5">
        <v>190455.54</v>
      </c>
      <c r="N5646" s="5">
        <v>0.16789999999999999</v>
      </c>
      <c r="O5646" s="5">
        <v>1</v>
      </c>
      <c r="P5646" s="5">
        <v>5277</v>
      </c>
    </row>
    <row r="5647" spans="1:16" x14ac:dyDescent="0.3">
      <c r="A5647" s="5">
        <v>32</v>
      </c>
      <c r="B5647" s="5" t="s">
        <v>174</v>
      </c>
      <c r="C5647" s="5">
        <v>7</v>
      </c>
      <c r="D5647" s="5" t="s">
        <v>91</v>
      </c>
      <c r="E5647" s="5">
        <v>2024</v>
      </c>
      <c r="F5647" s="5">
        <v>3</v>
      </c>
      <c r="G5647" s="5" t="s">
        <v>60</v>
      </c>
      <c r="H5647" s="5">
        <v>3633293</v>
      </c>
      <c r="I5647" s="5">
        <v>3361550.37</v>
      </c>
      <c r="J5647" s="5">
        <v>55</v>
      </c>
      <c r="K5647" s="5">
        <v>688198</v>
      </c>
      <c r="L5647" s="5">
        <v>4305820</v>
      </c>
      <c r="M5647" s="5">
        <v>271742.63</v>
      </c>
      <c r="N5647" s="5">
        <v>7.4800000000000005E-2</v>
      </c>
      <c r="O5647" s="5">
        <v>4</v>
      </c>
      <c r="P5647" s="5">
        <v>88122</v>
      </c>
    </row>
    <row r="5648" spans="1:16" x14ac:dyDescent="0.3">
      <c r="A5648" s="5">
        <v>37</v>
      </c>
      <c r="B5648" s="5" t="s">
        <v>174</v>
      </c>
      <c r="C5648" s="5">
        <v>7</v>
      </c>
      <c r="D5648" s="5" t="s">
        <v>91</v>
      </c>
      <c r="E5648" s="5">
        <v>2024</v>
      </c>
      <c r="F5648" s="5">
        <v>3</v>
      </c>
      <c r="G5648" s="5" t="s">
        <v>60</v>
      </c>
      <c r="H5648" s="5">
        <v>1838475</v>
      </c>
      <c r="I5648" s="5">
        <v>1604966.37</v>
      </c>
      <c r="J5648" s="5">
        <v>22</v>
      </c>
      <c r="K5648" s="5">
        <v>196981</v>
      </c>
      <c r="L5648" s="5">
        <v>2028750</v>
      </c>
      <c r="M5648" s="5">
        <v>233508.63</v>
      </c>
      <c r="N5648" s="5">
        <v>0.127</v>
      </c>
      <c r="O5648" s="5">
        <v>0</v>
      </c>
      <c r="P5648" s="5">
        <v>0</v>
      </c>
    </row>
    <row r="5649" spans="1:16" x14ac:dyDescent="0.3">
      <c r="A5649" s="5">
        <v>32</v>
      </c>
      <c r="B5649" s="5" t="s">
        <v>174</v>
      </c>
      <c r="C5649" s="5">
        <v>7</v>
      </c>
      <c r="D5649" s="5" t="s">
        <v>91</v>
      </c>
      <c r="E5649" s="5">
        <v>2024</v>
      </c>
      <c r="F5649" s="5">
        <v>4</v>
      </c>
      <c r="G5649" s="5" t="s">
        <v>61</v>
      </c>
      <c r="H5649" s="5">
        <v>3664374</v>
      </c>
      <c r="I5649" s="5">
        <v>3103193.46</v>
      </c>
      <c r="J5649" s="5">
        <v>66</v>
      </c>
      <c r="K5649" s="5">
        <v>353529</v>
      </c>
      <c r="L5649" s="5">
        <v>4006160</v>
      </c>
      <c r="M5649" s="5">
        <v>561180.54</v>
      </c>
      <c r="N5649" s="5">
        <v>0.15310000000000001</v>
      </c>
      <c r="O5649" s="5">
        <v>3</v>
      </c>
      <c r="P5649" s="5">
        <v>26541</v>
      </c>
    </row>
    <row r="5650" spans="1:16" x14ac:dyDescent="0.3">
      <c r="A5650" s="5">
        <v>37</v>
      </c>
      <c r="B5650" s="5" t="s">
        <v>174</v>
      </c>
      <c r="C5650" s="5">
        <v>7</v>
      </c>
      <c r="D5650" s="5" t="s">
        <v>91</v>
      </c>
      <c r="E5650" s="5">
        <v>2024</v>
      </c>
      <c r="F5650" s="5">
        <v>4</v>
      </c>
      <c r="G5650" s="5" t="s">
        <v>61</v>
      </c>
      <c r="H5650" s="5">
        <v>1841461</v>
      </c>
      <c r="I5650" s="5">
        <v>1457418.59</v>
      </c>
      <c r="J5650" s="5">
        <v>20</v>
      </c>
      <c r="K5650" s="5">
        <v>60206</v>
      </c>
      <c r="L5650" s="5">
        <v>1883600</v>
      </c>
      <c r="M5650" s="5">
        <v>384042.41</v>
      </c>
      <c r="N5650" s="5">
        <v>0.20860000000000001</v>
      </c>
      <c r="O5650" s="5">
        <v>1</v>
      </c>
      <c r="P5650" s="5">
        <v>2925</v>
      </c>
    </row>
    <row r="5651" spans="1:16" x14ac:dyDescent="0.3">
      <c r="A5651" s="5">
        <v>32</v>
      </c>
      <c r="B5651" s="5" t="s">
        <v>174</v>
      </c>
      <c r="C5651" s="5">
        <v>7</v>
      </c>
      <c r="D5651" s="5" t="s">
        <v>91</v>
      </c>
      <c r="E5651" s="5">
        <v>2024</v>
      </c>
      <c r="F5651" s="5">
        <v>5</v>
      </c>
      <c r="G5651" s="5" t="s">
        <v>62</v>
      </c>
      <c r="H5651" s="5">
        <v>3701748</v>
      </c>
      <c r="I5651" s="5">
        <v>3275174.98</v>
      </c>
      <c r="J5651" s="5">
        <v>75</v>
      </c>
      <c r="K5651" s="5">
        <v>504812</v>
      </c>
      <c r="L5651" s="5">
        <v>4185470</v>
      </c>
      <c r="M5651" s="5">
        <v>426573.02</v>
      </c>
      <c r="N5651" s="5">
        <v>0.1152</v>
      </c>
      <c r="O5651" s="5">
        <v>4</v>
      </c>
      <c r="P5651" s="5">
        <v>105922</v>
      </c>
    </row>
    <row r="5652" spans="1:16" x14ac:dyDescent="0.3">
      <c r="A5652" s="5">
        <v>37</v>
      </c>
      <c r="B5652" s="5" t="s">
        <v>174</v>
      </c>
      <c r="C5652" s="5">
        <v>7</v>
      </c>
      <c r="D5652" s="5" t="s">
        <v>91</v>
      </c>
      <c r="E5652" s="5">
        <v>2024</v>
      </c>
      <c r="F5652" s="5">
        <v>5</v>
      </c>
      <c r="G5652" s="5" t="s">
        <v>62</v>
      </c>
      <c r="H5652" s="5">
        <v>2068498</v>
      </c>
      <c r="I5652" s="5">
        <v>1811937.99</v>
      </c>
      <c r="J5652" s="5">
        <v>32</v>
      </c>
      <c r="K5652" s="5">
        <v>256995</v>
      </c>
      <c r="L5652" s="5">
        <v>2325060</v>
      </c>
      <c r="M5652" s="5">
        <v>256560.01</v>
      </c>
      <c r="N5652" s="5">
        <v>0.124</v>
      </c>
      <c r="O5652" s="5">
        <v>1</v>
      </c>
      <c r="P5652" s="5">
        <v>7776</v>
      </c>
    </row>
    <row r="5653" spans="1:16" x14ac:dyDescent="0.3">
      <c r="A5653" s="5">
        <v>32</v>
      </c>
      <c r="B5653" s="5" t="s">
        <v>174</v>
      </c>
      <c r="C5653" s="5">
        <v>7</v>
      </c>
      <c r="D5653" s="5" t="s">
        <v>91</v>
      </c>
      <c r="E5653" s="5">
        <v>2024</v>
      </c>
      <c r="F5653" s="5">
        <v>6</v>
      </c>
      <c r="G5653" s="5" t="s">
        <v>63</v>
      </c>
      <c r="H5653" s="5">
        <v>5712983</v>
      </c>
      <c r="I5653" s="5">
        <v>4881485.8899999997</v>
      </c>
      <c r="J5653" s="5">
        <v>77</v>
      </c>
      <c r="K5653" s="5">
        <v>596120</v>
      </c>
      <c r="L5653" s="5">
        <v>6281160</v>
      </c>
      <c r="M5653" s="5">
        <v>831497.11</v>
      </c>
      <c r="N5653" s="5">
        <v>0.14549999999999999</v>
      </c>
      <c r="O5653" s="5">
        <v>4</v>
      </c>
      <c r="P5653" s="5">
        <v>37812</v>
      </c>
    </row>
    <row r="5654" spans="1:16" x14ac:dyDescent="0.3">
      <c r="A5654" s="5">
        <v>37</v>
      </c>
      <c r="B5654" s="5" t="s">
        <v>174</v>
      </c>
      <c r="C5654" s="5">
        <v>7</v>
      </c>
      <c r="D5654" s="5" t="s">
        <v>91</v>
      </c>
      <c r="E5654" s="5">
        <v>2024</v>
      </c>
      <c r="F5654" s="5">
        <v>6</v>
      </c>
      <c r="G5654" s="5" t="s">
        <v>63</v>
      </c>
      <c r="H5654" s="5">
        <v>1974225</v>
      </c>
      <c r="I5654" s="5">
        <v>1617411.75</v>
      </c>
      <c r="J5654" s="5">
        <v>32</v>
      </c>
      <c r="K5654" s="5">
        <v>182205</v>
      </c>
      <c r="L5654" s="5">
        <v>2146030</v>
      </c>
      <c r="M5654" s="5">
        <v>356813.25</v>
      </c>
      <c r="N5654" s="5">
        <v>0.1807</v>
      </c>
      <c r="O5654" s="5">
        <v>2</v>
      </c>
      <c r="P5654" s="5">
        <v>17373</v>
      </c>
    </row>
    <row r="5655" spans="1:16" x14ac:dyDescent="0.3">
      <c r="A5655" s="5">
        <v>32</v>
      </c>
      <c r="B5655" s="5" t="s">
        <v>174</v>
      </c>
      <c r="C5655" s="5">
        <v>7</v>
      </c>
      <c r="D5655" s="5" t="s">
        <v>91</v>
      </c>
      <c r="E5655" s="5">
        <v>2024</v>
      </c>
      <c r="F5655" s="5">
        <v>7</v>
      </c>
      <c r="G5655" s="5" t="s">
        <v>64</v>
      </c>
      <c r="H5655" s="5">
        <v>3807736</v>
      </c>
      <c r="I5655" s="5">
        <v>3259394.2</v>
      </c>
      <c r="J5655" s="5">
        <v>55</v>
      </c>
      <c r="K5655" s="5">
        <v>422376</v>
      </c>
      <c r="L5655" s="5">
        <v>4218280</v>
      </c>
      <c r="M5655" s="5">
        <v>548341.80000000005</v>
      </c>
      <c r="N5655" s="5">
        <v>0.14399999999999999</v>
      </c>
      <c r="O5655" s="5">
        <v>3</v>
      </c>
      <c r="P5655" s="5">
        <v>122671</v>
      </c>
    </row>
    <row r="5656" spans="1:16" x14ac:dyDescent="0.3">
      <c r="A5656" s="5">
        <v>37</v>
      </c>
      <c r="B5656" s="5" t="s">
        <v>174</v>
      </c>
      <c r="C5656" s="5">
        <v>7</v>
      </c>
      <c r="D5656" s="5" t="s">
        <v>91</v>
      </c>
      <c r="E5656" s="5">
        <v>2024</v>
      </c>
      <c r="F5656" s="5">
        <v>7</v>
      </c>
      <c r="G5656" s="5" t="s">
        <v>64</v>
      </c>
      <c r="H5656" s="5">
        <v>1797812</v>
      </c>
      <c r="I5656" s="5">
        <v>1539816.4</v>
      </c>
      <c r="J5656" s="5">
        <v>22</v>
      </c>
      <c r="K5656" s="5">
        <v>149990</v>
      </c>
      <c r="L5656" s="5">
        <v>1943280</v>
      </c>
      <c r="M5656" s="5">
        <v>257995.6</v>
      </c>
      <c r="N5656" s="5">
        <v>0.14349999999999999</v>
      </c>
      <c r="O5656" s="5">
        <v>1</v>
      </c>
      <c r="P5656" s="5">
        <v>27985</v>
      </c>
    </row>
    <row r="5657" spans="1:16" x14ac:dyDescent="0.3">
      <c r="A5657" s="5">
        <v>32</v>
      </c>
      <c r="B5657" s="5" t="s">
        <v>174</v>
      </c>
      <c r="C5657" s="5">
        <v>7</v>
      </c>
      <c r="D5657" s="5" t="s">
        <v>91</v>
      </c>
      <c r="E5657" s="5">
        <v>2024</v>
      </c>
      <c r="F5657" s="5">
        <v>8</v>
      </c>
      <c r="G5657" s="5" t="s">
        <v>65</v>
      </c>
      <c r="H5657" s="5">
        <v>3180072</v>
      </c>
      <c r="I5657" s="5">
        <v>2755293.56</v>
      </c>
      <c r="J5657" s="5">
        <v>56</v>
      </c>
      <c r="K5657" s="5">
        <v>390739</v>
      </c>
      <c r="L5657" s="5">
        <v>3562650</v>
      </c>
      <c r="M5657" s="5">
        <v>424778.44</v>
      </c>
      <c r="N5657" s="5">
        <v>0.1336</v>
      </c>
      <c r="O5657" s="5">
        <v>6</v>
      </c>
      <c r="P5657" s="5">
        <v>58608</v>
      </c>
    </row>
    <row r="5658" spans="1:16" x14ac:dyDescent="0.3">
      <c r="A5658" s="5">
        <v>37</v>
      </c>
      <c r="B5658" s="5" t="s">
        <v>174</v>
      </c>
      <c r="C5658" s="5">
        <v>7</v>
      </c>
      <c r="D5658" s="5" t="s">
        <v>91</v>
      </c>
      <c r="E5658" s="5">
        <v>2024</v>
      </c>
      <c r="F5658" s="5">
        <v>8</v>
      </c>
      <c r="G5658" s="5" t="s">
        <v>65</v>
      </c>
      <c r="H5658" s="5">
        <v>1238718</v>
      </c>
      <c r="I5658" s="5">
        <v>1106507.67</v>
      </c>
      <c r="J5658" s="5">
        <v>23</v>
      </c>
      <c r="K5658" s="5">
        <v>177643</v>
      </c>
      <c r="L5658" s="5">
        <v>1412580</v>
      </c>
      <c r="M5658" s="5">
        <v>132210.32999999999</v>
      </c>
      <c r="N5658" s="5">
        <v>0.1067</v>
      </c>
      <c r="O5658" s="5">
        <v>2</v>
      </c>
      <c r="P5658" s="5">
        <v>3960</v>
      </c>
    </row>
    <row r="5659" spans="1:16" x14ac:dyDescent="0.3">
      <c r="A5659" s="5">
        <v>32</v>
      </c>
      <c r="B5659" s="5" t="s">
        <v>174</v>
      </c>
      <c r="C5659" s="5">
        <v>7</v>
      </c>
      <c r="D5659" s="5" t="s">
        <v>91</v>
      </c>
      <c r="E5659" s="5">
        <v>2024</v>
      </c>
      <c r="F5659" s="5">
        <v>9</v>
      </c>
      <c r="G5659" s="5" t="s">
        <v>66</v>
      </c>
      <c r="H5659" s="5">
        <v>3383099</v>
      </c>
      <c r="I5659" s="5">
        <v>2753540.12</v>
      </c>
      <c r="J5659" s="5">
        <v>65</v>
      </c>
      <c r="K5659" s="5">
        <v>225981</v>
      </c>
      <c r="L5659" s="5">
        <v>3603720</v>
      </c>
      <c r="M5659" s="5">
        <v>629558.88</v>
      </c>
      <c r="N5659" s="5">
        <v>0.18609999999999999</v>
      </c>
      <c r="O5659" s="5">
        <v>7</v>
      </c>
      <c r="P5659" s="5">
        <v>176026</v>
      </c>
    </row>
    <row r="5660" spans="1:16" x14ac:dyDescent="0.3">
      <c r="A5660" s="5">
        <v>37</v>
      </c>
      <c r="B5660" s="5" t="s">
        <v>174</v>
      </c>
      <c r="C5660" s="5">
        <v>7</v>
      </c>
      <c r="D5660" s="5" t="s">
        <v>91</v>
      </c>
      <c r="E5660" s="5">
        <v>2024</v>
      </c>
      <c r="F5660" s="5">
        <v>9</v>
      </c>
      <c r="G5660" s="5" t="s">
        <v>66</v>
      </c>
      <c r="H5660" s="5">
        <v>2124287</v>
      </c>
      <c r="I5660" s="5">
        <v>1766240.82</v>
      </c>
      <c r="J5660" s="5">
        <v>33</v>
      </c>
      <c r="K5660" s="5">
        <v>143135</v>
      </c>
      <c r="L5660" s="5">
        <v>2263080</v>
      </c>
      <c r="M5660" s="5">
        <v>358046.18</v>
      </c>
      <c r="N5660" s="5">
        <v>0.16850000000000001</v>
      </c>
      <c r="O5660" s="5">
        <v>3</v>
      </c>
      <c r="P5660" s="5">
        <v>187433</v>
      </c>
    </row>
    <row r="5661" spans="1:16" x14ac:dyDescent="0.3">
      <c r="A5661" s="5">
        <v>32</v>
      </c>
      <c r="B5661" s="5" t="s">
        <v>174</v>
      </c>
      <c r="C5661" s="5">
        <v>7</v>
      </c>
      <c r="D5661" s="5" t="s">
        <v>91</v>
      </c>
      <c r="E5661" s="5">
        <v>2024</v>
      </c>
      <c r="F5661" s="5">
        <v>10</v>
      </c>
      <c r="G5661" s="5" t="s">
        <v>67</v>
      </c>
      <c r="H5661" s="5">
        <v>6068377</v>
      </c>
      <c r="I5661" s="5">
        <v>4861623.1900000004</v>
      </c>
      <c r="J5661" s="5">
        <v>83</v>
      </c>
      <c r="K5661" s="5">
        <v>192062</v>
      </c>
      <c r="L5661" s="5">
        <v>6236090</v>
      </c>
      <c r="M5661" s="5">
        <v>1206753.81</v>
      </c>
      <c r="N5661" s="5">
        <v>0.19889999999999999</v>
      </c>
      <c r="O5661" s="5">
        <v>8</v>
      </c>
      <c r="P5661" s="5">
        <v>239832</v>
      </c>
    </row>
    <row r="5662" spans="1:16" x14ac:dyDescent="0.3">
      <c r="A5662" s="5">
        <v>37</v>
      </c>
      <c r="B5662" s="5" t="s">
        <v>174</v>
      </c>
      <c r="C5662" s="5">
        <v>7</v>
      </c>
      <c r="D5662" s="5" t="s">
        <v>91</v>
      </c>
      <c r="E5662" s="5">
        <v>2024</v>
      </c>
      <c r="F5662" s="5">
        <v>10</v>
      </c>
      <c r="G5662" s="5" t="s">
        <v>67</v>
      </c>
      <c r="H5662" s="5">
        <v>2285528</v>
      </c>
      <c r="I5662" s="5">
        <v>1836083.64</v>
      </c>
      <c r="J5662" s="5">
        <v>38</v>
      </c>
      <c r="K5662" s="5">
        <v>83400</v>
      </c>
      <c r="L5662" s="5">
        <v>2366060</v>
      </c>
      <c r="M5662" s="5">
        <v>449444.36</v>
      </c>
      <c r="N5662" s="5">
        <v>0.1966</v>
      </c>
      <c r="O5662" s="5">
        <v>2</v>
      </c>
      <c r="P5662" s="5">
        <v>187798</v>
      </c>
    </row>
    <row r="5663" spans="1:16" x14ac:dyDescent="0.3">
      <c r="A5663" s="5">
        <v>32</v>
      </c>
      <c r="B5663" s="5" t="s">
        <v>174</v>
      </c>
      <c r="C5663" s="5">
        <v>7</v>
      </c>
      <c r="D5663" s="5" t="s">
        <v>91</v>
      </c>
      <c r="E5663" s="5">
        <v>2024</v>
      </c>
      <c r="F5663" s="5">
        <v>11</v>
      </c>
      <c r="G5663" s="5" t="s">
        <v>68</v>
      </c>
      <c r="H5663" s="5">
        <v>7664933</v>
      </c>
      <c r="I5663" s="5">
        <v>6590084.2699999996</v>
      </c>
      <c r="J5663" s="5">
        <v>97</v>
      </c>
      <c r="K5663" s="5">
        <v>628085</v>
      </c>
      <c r="L5663" s="5">
        <v>8268110</v>
      </c>
      <c r="M5663" s="5">
        <v>1074848.73</v>
      </c>
      <c r="N5663" s="5">
        <v>0.14019999999999999</v>
      </c>
      <c r="O5663" s="5">
        <v>12</v>
      </c>
      <c r="P5663" s="5">
        <v>544688</v>
      </c>
    </row>
    <row r="5664" spans="1:16" x14ac:dyDescent="0.3">
      <c r="A5664" s="5">
        <v>37</v>
      </c>
      <c r="B5664" s="5" t="s">
        <v>174</v>
      </c>
      <c r="C5664" s="5">
        <v>7</v>
      </c>
      <c r="D5664" s="5" t="s">
        <v>91</v>
      </c>
      <c r="E5664" s="5">
        <v>2024</v>
      </c>
      <c r="F5664" s="5">
        <v>11</v>
      </c>
      <c r="G5664" s="5" t="s">
        <v>68</v>
      </c>
      <c r="H5664" s="5">
        <v>2289331</v>
      </c>
      <c r="I5664" s="5">
        <v>1827176.18</v>
      </c>
      <c r="J5664" s="5">
        <v>30</v>
      </c>
      <c r="K5664" s="5">
        <v>104809</v>
      </c>
      <c r="L5664" s="5">
        <v>2384150</v>
      </c>
      <c r="M5664" s="5">
        <v>462154.82</v>
      </c>
      <c r="N5664" s="5">
        <v>0.2019</v>
      </c>
      <c r="O5664" s="5">
        <v>0</v>
      </c>
      <c r="P5664" s="5">
        <v>0</v>
      </c>
    </row>
    <row r="5665" spans="1:16" x14ac:dyDescent="0.3">
      <c r="A5665" s="5">
        <v>32</v>
      </c>
      <c r="B5665" s="5" t="s">
        <v>174</v>
      </c>
      <c r="C5665" s="5">
        <v>7</v>
      </c>
      <c r="D5665" s="5" t="s">
        <v>91</v>
      </c>
      <c r="E5665" s="5">
        <v>2024</v>
      </c>
      <c r="F5665" s="5">
        <v>12</v>
      </c>
      <c r="G5665" s="5" t="s">
        <v>69</v>
      </c>
      <c r="H5665" s="5">
        <v>8487662</v>
      </c>
      <c r="I5665" s="5">
        <v>6857017.1900000004</v>
      </c>
      <c r="J5665" s="5">
        <v>90</v>
      </c>
      <c r="K5665" s="5">
        <v>295345</v>
      </c>
      <c r="L5665" s="5">
        <v>8755000</v>
      </c>
      <c r="M5665" s="5">
        <v>1630644.81</v>
      </c>
      <c r="N5665" s="5">
        <v>0.19209999999999999</v>
      </c>
      <c r="O5665" s="5">
        <v>4</v>
      </c>
      <c r="P5665" s="5">
        <v>157123</v>
      </c>
    </row>
    <row r="5666" spans="1:16" x14ac:dyDescent="0.3">
      <c r="A5666" s="5">
        <v>37</v>
      </c>
      <c r="B5666" s="5" t="s">
        <v>174</v>
      </c>
      <c r="C5666" s="5">
        <v>7</v>
      </c>
      <c r="D5666" s="5" t="s">
        <v>91</v>
      </c>
      <c r="E5666" s="5">
        <v>2024</v>
      </c>
      <c r="F5666" s="5">
        <v>12</v>
      </c>
      <c r="G5666" s="5" t="s">
        <v>69</v>
      </c>
      <c r="H5666" s="5">
        <v>2550139</v>
      </c>
      <c r="I5666" s="5">
        <v>2063257.94</v>
      </c>
      <c r="J5666" s="5">
        <v>31</v>
      </c>
      <c r="K5666" s="5">
        <v>86411</v>
      </c>
      <c r="L5666" s="5">
        <v>2628940</v>
      </c>
      <c r="M5666" s="5">
        <v>486881.06</v>
      </c>
      <c r="N5666" s="5">
        <v>0.19089999999999999</v>
      </c>
      <c r="O5666" s="5">
        <v>2</v>
      </c>
      <c r="P5666" s="5">
        <v>3985</v>
      </c>
    </row>
    <row r="5667" spans="1:16" x14ac:dyDescent="0.3">
      <c r="A5667" s="5">
        <v>41</v>
      </c>
      <c r="B5667" s="5" t="s">
        <v>175</v>
      </c>
      <c r="C5667" s="5">
        <v>7</v>
      </c>
      <c r="D5667" s="5" t="s">
        <v>91</v>
      </c>
      <c r="E5667" s="5">
        <v>2021</v>
      </c>
      <c r="F5667" s="5">
        <v>1</v>
      </c>
      <c r="G5667" s="5" t="s">
        <v>22</v>
      </c>
      <c r="H5667" s="5">
        <v>533953</v>
      </c>
      <c r="I5667" s="5">
        <v>448886.25</v>
      </c>
      <c r="J5667" s="5">
        <v>11</v>
      </c>
      <c r="K5667" s="5">
        <v>58156</v>
      </c>
      <c r="L5667" s="5">
        <v>588960</v>
      </c>
      <c r="M5667" s="5">
        <v>85066.75</v>
      </c>
      <c r="N5667" s="5">
        <v>0.1593</v>
      </c>
      <c r="O5667" s="5">
        <v>1</v>
      </c>
      <c r="P5667" s="5">
        <v>3236</v>
      </c>
    </row>
    <row r="5668" spans="1:16" x14ac:dyDescent="0.3">
      <c r="A5668" s="5">
        <v>41</v>
      </c>
      <c r="B5668" s="5" t="s">
        <v>175</v>
      </c>
      <c r="C5668" s="5">
        <v>7</v>
      </c>
      <c r="D5668" s="5" t="s">
        <v>91</v>
      </c>
      <c r="E5668" s="5">
        <v>2021</v>
      </c>
      <c r="F5668" s="5">
        <v>2</v>
      </c>
      <c r="G5668" s="5" t="s">
        <v>23</v>
      </c>
      <c r="H5668" s="5">
        <v>384731</v>
      </c>
      <c r="I5668" s="5">
        <v>355190.04</v>
      </c>
      <c r="J5668" s="5">
        <v>9</v>
      </c>
      <c r="K5668" s="5">
        <v>72050</v>
      </c>
      <c r="L5668" s="5">
        <v>456760</v>
      </c>
      <c r="M5668" s="5">
        <v>29540.959999999999</v>
      </c>
      <c r="N5668" s="5">
        <v>7.6799999999999993E-2</v>
      </c>
      <c r="O5668" s="5">
        <v>0</v>
      </c>
      <c r="P5668" s="5">
        <v>0</v>
      </c>
    </row>
    <row r="5669" spans="1:16" x14ac:dyDescent="0.3">
      <c r="A5669" s="5">
        <v>41</v>
      </c>
      <c r="B5669" s="5" t="s">
        <v>175</v>
      </c>
      <c r="C5669" s="5">
        <v>7</v>
      </c>
      <c r="D5669" s="5" t="s">
        <v>91</v>
      </c>
      <c r="E5669" s="5">
        <v>2021</v>
      </c>
      <c r="F5669" s="5">
        <v>3</v>
      </c>
      <c r="G5669" s="5" t="s">
        <v>24</v>
      </c>
      <c r="H5669" s="5">
        <v>729623</v>
      </c>
      <c r="I5669" s="5">
        <v>590749.64</v>
      </c>
      <c r="J5669" s="5">
        <v>12</v>
      </c>
      <c r="K5669" s="5">
        <v>23893</v>
      </c>
      <c r="L5669" s="5">
        <v>748770</v>
      </c>
      <c r="M5669" s="5">
        <v>138873.35999999999</v>
      </c>
      <c r="N5669" s="5">
        <v>0.1903</v>
      </c>
      <c r="O5669" s="5">
        <v>2</v>
      </c>
      <c r="P5669" s="5">
        <v>17548</v>
      </c>
    </row>
    <row r="5670" spans="1:16" x14ac:dyDescent="0.3">
      <c r="A5670" s="5">
        <v>41</v>
      </c>
      <c r="B5670" s="5" t="s">
        <v>175</v>
      </c>
      <c r="C5670" s="5">
        <v>7</v>
      </c>
      <c r="D5670" s="5" t="s">
        <v>91</v>
      </c>
      <c r="E5670" s="5">
        <v>2021</v>
      </c>
      <c r="F5670" s="5">
        <v>4</v>
      </c>
      <c r="G5670" s="5" t="s">
        <v>25</v>
      </c>
      <c r="H5670" s="5">
        <v>1000567</v>
      </c>
      <c r="I5670" s="5">
        <v>878577.23</v>
      </c>
      <c r="J5670" s="5">
        <v>13</v>
      </c>
      <c r="K5670" s="5">
        <v>171753</v>
      </c>
      <c r="L5670" s="5">
        <v>1166620</v>
      </c>
      <c r="M5670" s="5">
        <v>121989.77</v>
      </c>
      <c r="N5670" s="5">
        <v>0.12189999999999999</v>
      </c>
      <c r="O5670" s="5">
        <v>2</v>
      </c>
      <c r="P5670" s="5">
        <v>84194</v>
      </c>
    </row>
    <row r="5671" spans="1:16" x14ac:dyDescent="0.3">
      <c r="A5671" s="5">
        <v>41</v>
      </c>
      <c r="B5671" s="5" t="s">
        <v>175</v>
      </c>
      <c r="C5671" s="5">
        <v>7</v>
      </c>
      <c r="D5671" s="5" t="s">
        <v>91</v>
      </c>
      <c r="E5671" s="5">
        <v>2021</v>
      </c>
      <c r="F5671" s="5">
        <v>5</v>
      </c>
      <c r="G5671" s="5" t="s">
        <v>26</v>
      </c>
      <c r="H5671" s="5">
        <v>1695799</v>
      </c>
      <c r="I5671" s="5">
        <v>1546958.35</v>
      </c>
      <c r="J5671" s="5">
        <v>20</v>
      </c>
      <c r="K5671" s="5">
        <v>290967</v>
      </c>
      <c r="L5671" s="5">
        <v>1981120</v>
      </c>
      <c r="M5671" s="5">
        <v>148840.65</v>
      </c>
      <c r="N5671" s="5">
        <v>8.7800000000000003E-2</v>
      </c>
      <c r="O5671" s="5">
        <v>1</v>
      </c>
      <c r="P5671" s="5">
        <v>37188</v>
      </c>
    </row>
    <row r="5672" spans="1:16" x14ac:dyDescent="0.3">
      <c r="A5672" s="5">
        <v>41</v>
      </c>
      <c r="B5672" s="5" t="s">
        <v>175</v>
      </c>
      <c r="C5672" s="5">
        <v>7</v>
      </c>
      <c r="D5672" s="5" t="s">
        <v>91</v>
      </c>
      <c r="E5672" s="5">
        <v>2021</v>
      </c>
      <c r="F5672" s="5">
        <v>6</v>
      </c>
      <c r="G5672" s="5" t="s">
        <v>27</v>
      </c>
      <c r="H5672" s="5">
        <v>751570</v>
      </c>
      <c r="I5672" s="5">
        <v>656111.31999999995</v>
      </c>
      <c r="J5672" s="5">
        <v>14</v>
      </c>
      <c r="K5672" s="5">
        <v>102924</v>
      </c>
      <c r="L5672" s="5">
        <v>852570</v>
      </c>
      <c r="M5672" s="5">
        <v>95458.68</v>
      </c>
      <c r="N5672" s="5">
        <v>0.127</v>
      </c>
      <c r="O5672" s="5">
        <v>1</v>
      </c>
      <c r="P5672" s="5">
        <v>3031</v>
      </c>
    </row>
    <row r="5673" spans="1:16" x14ac:dyDescent="0.3">
      <c r="A5673" s="5">
        <v>41</v>
      </c>
      <c r="B5673" s="5" t="s">
        <v>175</v>
      </c>
      <c r="C5673" s="5">
        <v>7</v>
      </c>
      <c r="D5673" s="5" t="s">
        <v>91</v>
      </c>
      <c r="E5673" s="5">
        <v>2021</v>
      </c>
      <c r="F5673" s="5">
        <v>7</v>
      </c>
      <c r="G5673" s="5" t="s">
        <v>28</v>
      </c>
      <c r="H5673" s="5">
        <v>683067</v>
      </c>
      <c r="I5673" s="5">
        <v>588943.35</v>
      </c>
      <c r="J5673" s="5">
        <v>12</v>
      </c>
      <c r="K5673" s="5">
        <v>80396</v>
      </c>
      <c r="L5673" s="5">
        <v>761690</v>
      </c>
      <c r="M5673" s="5">
        <v>94123.65</v>
      </c>
      <c r="N5673" s="5">
        <v>0.13780000000000001</v>
      </c>
      <c r="O5673" s="5">
        <v>0</v>
      </c>
      <c r="P5673" s="5">
        <v>0</v>
      </c>
    </row>
    <row r="5674" spans="1:16" x14ac:dyDescent="0.3">
      <c r="A5674" s="5">
        <v>41</v>
      </c>
      <c r="B5674" s="5" t="s">
        <v>175</v>
      </c>
      <c r="C5674" s="5">
        <v>7</v>
      </c>
      <c r="D5674" s="5" t="s">
        <v>91</v>
      </c>
      <c r="E5674" s="5">
        <v>2021</v>
      </c>
      <c r="F5674" s="5">
        <v>8</v>
      </c>
      <c r="G5674" s="5" t="s">
        <v>29</v>
      </c>
      <c r="H5674" s="5">
        <v>703013</v>
      </c>
      <c r="I5674" s="5">
        <v>589082.52</v>
      </c>
      <c r="J5674" s="5">
        <v>13</v>
      </c>
      <c r="K5674" s="5">
        <v>66102</v>
      </c>
      <c r="L5674" s="5">
        <v>761170</v>
      </c>
      <c r="M5674" s="5">
        <v>113930.48</v>
      </c>
      <c r="N5674" s="5">
        <v>0.16209999999999999</v>
      </c>
      <c r="O5674" s="5">
        <v>1</v>
      </c>
      <c r="P5674" s="5">
        <v>29065</v>
      </c>
    </row>
    <row r="5675" spans="1:16" x14ac:dyDescent="0.3">
      <c r="A5675" s="5">
        <v>41</v>
      </c>
      <c r="B5675" s="5" t="s">
        <v>175</v>
      </c>
      <c r="C5675" s="5">
        <v>7</v>
      </c>
      <c r="D5675" s="5" t="s">
        <v>91</v>
      </c>
      <c r="E5675" s="5">
        <v>2021</v>
      </c>
      <c r="F5675" s="5">
        <v>9</v>
      </c>
      <c r="G5675" s="5" t="s">
        <v>30</v>
      </c>
      <c r="H5675" s="5">
        <v>517958</v>
      </c>
      <c r="I5675" s="5">
        <v>415156.71</v>
      </c>
      <c r="J5675" s="5">
        <v>10</v>
      </c>
      <c r="K5675" s="5">
        <v>28789</v>
      </c>
      <c r="L5675" s="5">
        <v>543560</v>
      </c>
      <c r="M5675" s="5">
        <v>102801.29</v>
      </c>
      <c r="N5675" s="5">
        <v>0.19850000000000001</v>
      </c>
      <c r="O5675" s="5">
        <v>2</v>
      </c>
      <c r="P5675" s="5">
        <v>6218</v>
      </c>
    </row>
    <row r="5676" spans="1:16" x14ac:dyDescent="0.3">
      <c r="A5676" s="5">
        <v>41</v>
      </c>
      <c r="B5676" s="5" t="s">
        <v>175</v>
      </c>
      <c r="C5676" s="5">
        <v>7</v>
      </c>
      <c r="D5676" s="5" t="s">
        <v>91</v>
      </c>
      <c r="E5676" s="5">
        <v>2021</v>
      </c>
      <c r="F5676" s="5">
        <v>10</v>
      </c>
      <c r="G5676" s="5" t="s">
        <v>31</v>
      </c>
      <c r="H5676" s="5">
        <v>1276690</v>
      </c>
      <c r="I5676" s="5">
        <v>1191210.24</v>
      </c>
      <c r="J5676" s="5">
        <v>18</v>
      </c>
      <c r="K5676" s="5">
        <v>178696</v>
      </c>
      <c r="L5676" s="5">
        <v>1455190</v>
      </c>
      <c r="M5676" s="5">
        <v>85479.76</v>
      </c>
      <c r="N5676" s="5">
        <v>6.7000000000000004E-2</v>
      </c>
      <c r="O5676" s="5">
        <v>1</v>
      </c>
      <c r="P5676" s="5">
        <v>3085</v>
      </c>
    </row>
    <row r="5677" spans="1:16" x14ac:dyDescent="0.3">
      <c r="A5677" s="5">
        <v>41</v>
      </c>
      <c r="B5677" s="5" t="s">
        <v>175</v>
      </c>
      <c r="C5677" s="5">
        <v>7</v>
      </c>
      <c r="D5677" s="5" t="s">
        <v>91</v>
      </c>
      <c r="E5677" s="5">
        <v>2021</v>
      </c>
      <c r="F5677" s="5">
        <v>11</v>
      </c>
      <c r="G5677" s="5" t="s">
        <v>32</v>
      </c>
      <c r="H5677" s="5">
        <v>1479798</v>
      </c>
      <c r="I5677" s="5">
        <v>1191543.6100000001</v>
      </c>
      <c r="J5677" s="5">
        <v>20</v>
      </c>
      <c r="K5677" s="5">
        <v>69782</v>
      </c>
      <c r="L5677" s="5">
        <v>1544780</v>
      </c>
      <c r="M5677" s="5">
        <v>288254.39</v>
      </c>
      <c r="N5677" s="5">
        <v>0.1948</v>
      </c>
      <c r="O5677" s="5">
        <v>1</v>
      </c>
      <c r="P5677" s="5">
        <v>32391</v>
      </c>
    </row>
    <row r="5678" spans="1:16" x14ac:dyDescent="0.3">
      <c r="A5678" s="5">
        <v>41</v>
      </c>
      <c r="B5678" s="5" t="s">
        <v>175</v>
      </c>
      <c r="C5678" s="5">
        <v>7</v>
      </c>
      <c r="D5678" s="5" t="s">
        <v>91</v>
      </c>
      <c r="E5678" s="5">
        <v>2021</v>
      </c>
      <c r="F5678" s="5">
        <v>12</v>
      </c>
      <c r="G5678" s="5" t="s">
        <v>33</v>
      </c>
      <c r="H5678" s="5">
        <v>1963576</v>
      </c>
      <c r="I5678" s="5">
        <v>1709059.89</v>
      </c>
      <c r="J5678" s="5">
        <v>22</v>
      </c>
      <c r="K5678" s="5">
        <v>189529</v>
      </c>
      <c r="L5678" s="5">
        <v>2144370</v>
      </c>
      <c r="M5678" s="5">
        <v>254516.11</v>
      </c>
      <c r="N5678" s="5">
        <v>0.12959999999999999</v>
      </c>
      <c r="O5678" s="5">
        <v>3</v>
      </c>
      <c r="P5678" s="5">
        <v>5762</v>
      </c>
    </row>
    <row r="5679" spans="1:16" x14ac:dyDescent="0.3">
      <c r="A5679" s="5">
        <v>41</v>
      </c>
      <c r="B5679" s="5" t="s">
        <v>175</v>
      </c>
      <c r="C5679" s="5">
        <v>7</v>
      </c>
      <c r="D5679" s="5" t="s">
        <v>91</v>
      </c>
      <c r="E5679" s="5">
        <v>2022</v>
      </c>
      <c r="F5679" s="5">
        <v>1</v>
      </c>
      <c r="G5679" s="5" t="s">
        <v>34</v>
      </c>
      <c r="H5679" s="5">
        <v>287663</v>
      </c>
      <c r="I5679" s="5">
        <v>228559.44</v>
      </c>
      <c r="J5679" s="5">
        <v>7</v>
      </c>
      <c r="K5679" s="5">
        <v>12480</v>
      </c>
      <c r="L5679" s="5">
        <v>299850</v>
      </c>
      <c r="M5679" s="5">
        <v>59103.56</v>
      </c>
      <c r="N5679" s="5">
        <v>0.20549999999999999</v>
      </c>
      <c r="O5679" s="5">
        <v>2</v>
      </c>
      <c r="P5679" s="5">
        <v>85651</v>
      </c>
    </row>
    <row r="5680" spans="1:16" x14ac:dyDescent="0.3">
      <c r="A5680" s="5">
        <v>41</v>
      </c>
      <c r="B5680" s="5" t="s">
        <v>175</v>
      </c>
      <c r="C5680" s="5">
        <v>7</v>
      </c>
      <c r="D5680" s="5" t="s">
        <v>91</v>
      </c>
      <c r="E5680" s="5">
        <v>2022</v>
      </c>
      <c r="F5680" s="5">
        <v>2</v>
      </c>
      <c r="G5680" s="5" t="s">
        <v>35</v>
      </c>
      <c r="H5680" s="5">
        <v>1106116</v>
      </c>
      <c r="I5680" s="5">
        <v>903466.01</v>
      </c>
      <c r="J5680" s="5">
        <v>12</v>
      </c>
      <c r="K5680" s="5">
        <v>46124</v>
      </c>
      <c r="L5680" s="5">
        <v>1142940</v>
      </c>
      <c r="M5680" s="5">
        <v>202649.99</v>
      </c>
      <c r="N5680" s="5">
        <v>0.1832</v>
      </c>
      <c r="O5680" s="5">
        <v>2</v>
      </c>
      <c r="P5680" s="5">
        <v>237719</v>
      </c>
    </row>
    <row r="5681" spans="1:16" x14ac:dyDescent="0.3">
      <c r="A5681" s="5">
        <v>41</v>
      </c>
      <c r="B5681" s="5" t="s">
        <v>175</v>
      </c>
      <c r="C5681" s="5">
        <v>7</v>
      </c>
      <c r="D5681" s="5" t="s">
        <v>91</v>
      </c>
      <c r="E5681" s="5">
        <v>2022</v>
      </c>
      <c r="F5681" s="5">
        <v>3</v>
      </c>
      <c r="G5681" s="5" t="s">
        <v>36</v>
      </c>
      <c r="H5681" s="5">
        <v>990883</v>
      </c>
      <c r="I5681" s="5">
        <v>814274.67</v>
      </c>
      <c r="J5681" s="5">
        <v>11</v>
      </c>
      <c r="K5681" s="5">
        <v>86850</v>
      </c>
      <c r="L5681" s="5">
        <v>1075740</v>
      </c>
      <c r="M5681" s="5">
        <v>176608.33</v>
      </c>
      <c r="N5681" s="5">
        <v>0.1782</v>
      </c>
      <c r="O5681" s="5">
        <v>1</v>
      </c>
      <c r="P5681" s="5">
        <v>26145</v>
      </c>
    </row>
    <row r="5682" spans="1:16" x14ac:dyDescent="0.3">
      <c r="A5682" s="5">
        <v>41</v>
      </c>
      <c r="B5682" s="5" t="s">
        <v>175</v>
      </c>
      <c r="C5682" s="5">
        <v>7</v>
      </c>
      <c r="D5682" s="5" t="s">
        <v>91</v>
      </c>
      <c r="E5682" s="5">
        <v>2022</v>
      </c>
      <c r="F5682" s="5">
        <v>4</v>
      </c>
      <c r="G5682" s="5" t="s">
        <v>37</v>
      </c>
      <c r="H5682" s="5">
        <v>1019286</v>
      </c>
      <c r="I5682" s="5">
        <v>956482.68</v>
      </c>
      <c r="J5682" s="5">
        <v>14</v>
      </c>
      <c r="K5682" s="5">
        <v>180612</v>
      </c>
      <c r="L5682" s="5">
        <v>1196490</v>
      </c>
      <c r="M5682" s="5">
        <v>62803.32</v>
      </c>
      <c r="N5682" s="5">
        <v>6.1600000000000002E-2</v>
      </c>
      <c r="O5682" s="5">
        <v>2</v>
      </c>
      <c r="P5682" s="5">
        <v>7435</v>
      </c>
    </row>
    <row r="5683" spans="1:16" x14ac:dyDescent="0.3">
      <c r="A5683" s="5">
        <v>41</v>
      </c>
      <c r="B5683" s="5" t="s">
        <v>175</v>
      </c>
      <c r="C5683" s="5">
        <v>7</v>
      </c>
      <c r="D5683" s="5" t="s">
        <v>91</v>
      </c>
      <c r="E5683" s="5">
        <v>2022</v>
      </c>
      <c r="F5683" s="5">
        <v>5</v>
      </c>
      <c r="G5683" s="5" t="s">
        <v>38</v>
      </c>
      <c r="H5683" s="5">
        <v>714613</v>
      </c>
      <c r="I5683" s="5">
        <v>629753.31999999995</v>
      </c>
      <c r="J5683" s="5">
        <v>18</v>
      </c>
      <c r="K5683" s="5">
        <v>97919</v>
      </c>
      <c r="L5683" s="5">
        <v>810740</v>
      </c>
      <c r="M5683" s="5">
        <v>84859.68</v>
      </c>
      <c r="N5683" s="5">
        <v>0.1187</v>
      </c>
      <c r="O5683" s="5">
        <v>2</v>
      </c>
      <c r="P5683" s="5">
        <v>39428</v>
      </c>
    </row>
    <row r="5684" spans="1:16" x14ac:dyDescent="0.3">
      <c r="A5684" s="5">
        <v>41</v>
      </c>
      <c r="B5684" s="5" t="s">
        <v>175</v>
      </c>
      <c r="C5684" s="5">
        <v>7</v>
      </c>
      <c r="D5684" s="5" t="s">
        <v>91</v>
      </c>
      <c r="E5684" s="5">
        <v>2022</v>
      </c>
      <c r="F5684" s="5">
        <v>6</v>
      </c>
      <c r="G5684" s="5" t="s">
        <v>39</v>
      </c>
      <c r="H5684" s="5">
        <v>653276</v>
      </c>
      <c r="I5684" s="5">
        <v>651409.47</v>
      </c>
      <c r="J5684" s="5">
        <v>10</v>
      </c>
      <c r="K5684" s="5">
        <v>156312</v>
      </c>
      <c r="L5684" s="5">
        <v>808480</v>
      </c>
      <c r="M5684" s="5">
        <v>1866.53</v>
      </c>
      <c r="N5684" s="5">
        <v>2.8999999999999998E-3</v>
      </c>
      <c r="O5684" s="5">
        <v>0</v>
      </c>
      <c r="P5684" s="5">
        <v>0</v>
      </c>
    </row>
    <row r="5685" spans="1:16" x14ac:dyDescent="0.3">
      <c r="A5685" s="5">
        <v>41</v>
      </c>
      <c r="B5685" s="5" t="s">
        <v>175</v>
      </c>
      <c r="C5685" s="5">
        <v>7</v>
      </c>
      <c r="D5685" s="5" t="s">
        <v>91</v>
      </c>
      <c r="E5685" s="5">
        <v>2022</v>
      </c>
      <c r="F5685" s="5">
        <v>7</v>
      </c>
      <c r="G5685" s="5" t="s">
        <v>40</v>
      </c>
      <c r="H5685" s="5">
        <v>1081376</v>
      </c>
      <c r="I5685" s="5">
        <v>916987.74</v>
      </c>
      <c r="J5685" s="5">
        <v>14</v>
      </c>
      <c r="K5685" s="5">
        <v>113295</v>
      </c>
      <c r="L5685" s="5">
        <v>1189870</v>
      </c>
      <c r="M5685" s="5">
        <v>164388.26</v>
      </c>
      <c r="N5685" s="5">
        <v>0.152</v>
      </c>
      <c r="O5685" s="5">
        <v>0</v>
      </c>
      <c r="P5685" s="5">
        <v>0</v>
      </c>
    </row>
    <row r="5686" spans="1:16" x14ac:dyDescent="0.3">
      <c r="A5686" s="5">
        <v>41</v>
      </c>
      <c r="B5686" s="5" t="s">
        <v>175</v>
      </c>
      <c r="C5686" s="5">
        <v>7</v>
      </c>
      <c r="D5686" s="5" t="s">
        <v>91</v>
      </c>
      <c r="E5686" s="5">
        <v>2022</v>
      </c>
      <c r="F5686" s="5">
        <v>8</v>
      </c>
      <c r="G5686" s="5" t="s">
        <v>41</v>
      </c>
      <c r="H5686" s="5">
        <v>417751</v>
      </c>
      <c r="I5686" s="5">
        <v>401139.83</v>
      </c>
      <c r="J5686" s="5">
        <v>14</v>
      </c>
      <c r="K5686" s="5">
        <v>117192</v>
      </c>
      <c r="L5686" s="5">
        <v>534690</v>
      </c>
      <c r="M5686" s="5">
        <v>16611.169999999998</v>
      </c>
      <c r="N5686" s="5">
        <v>3.9800000000000002E-2</v>
      </c>
      <c r="O5686" s="5">
        <v>0</v>
      </c>
      <c r="P5686" s="5">
        <v>0</v>
      </c>
    </row>
    <row r="5687" spans="1:16" x14ac:dyDescent="0.3">
      <c r="A5687" s="5">
        <v>41</v>
      </c>
      <c r="B5687" s="5" t="s">
        <v>175</v>
      </c>
      <c r="C5687" s="5">
        <v>7</v>
      </c>
      <c r="D5687" s="5" t="s">
        <v>91</v>
      </c>
      <c r="E5687" s="5">
        <v>2022</v>
      </c>
      <c r="F5687" s="5">
        <v>9</v>
      </c>
      <c r="G5687" s="5" t="s">
        <v>42</v>
      </c>
      <c r="H5687" s="5">
        <v>947564</v>
      </c>
      <c r="I5687" s="5">
        <v>817150.24</v>
      </c>
      <c r="J5687" s="5">
        <v>16</v>
      </c>
      <c r="K5687" s="5">
        <v>117679</v>
      </c>
      <c r="L5687" s="5">
        <v>1064840</v>
      </c>
      <c r="M5687" s="5">
        <v>130413.75999999999</v>
      </c>
      <c r="N5687" s="5">
        <v>0.1376</v>
      </c>
      <c r="O5687" s="5">
        <v>1</v>
      </c>
      <c r="P5687" s="5">
        <v>128816</v>
      </c>
    </row>
    <row r="5688" spans="1:16" x14ac:dyDescent="0.3">
      <c r="A5688" s="5">
        <v>41</v>
      </c>
      <c r="B5688" s="5" t="s">
        <v>175</v>
      </c>
      <c r="C5688" s="5">
        <v>7</v>
      </c>
      <c r="D5688" s="5" t="s">
        <v>91</v>
      </c>
      <c r="E5688" s="5">
        <v>2022</v>
      </c>
      <c r="F5688" s="5">
        <v>10</v>
      </c>
      <c r="G5688" s="5" t="s">
        <v>43</v>
      </c>
      <c r="H5688" s="5">
        <v>756208</v>
      </c>
      <c r="I5688" s="5">
        <v>617327.64</v>
      </c>
      <c r="J5688" s="5">
        <v>14</v>
      </c>
      <c r="K5688" s="5">
        <v>97559</v>
      </c>
      <c r="L5688" s="5">
        <v>852850</v>
      </c>
      <c r="M5688" s="5">
        <v>138880.35999999999</v>
      </c>
      <c r="N5688" s="5">
        <v>0.1837</v>
      </c>
      <c r="O5688" s="5">
        <v>1</v>
      </c>
      <c r="P5688" s="5">
        <v>4893</v>
      </c>
    </row>
    <row r="5689" spans="1:16" x14ac:dyDescent="0.3">
      <c r="A5689" s="5">
        <v>41</v>
      </c>
      <c r="B5689" s="5" t="s">
        <v>175</v>
      </c>
      <c r="C5689" s="5">
        <v>7</v>
      </c>
      <c r="D5689" s="5" t="s">
        <v>91</v>
      </c>
      <c r="E5689" s="5">
        <v>2022</v>
      </c>
      <c r="F5689" s="5">
        <v>11</v>
      </c>
      <c r="G5689" s="5" t="s">
        <v>44</v>
      </c>
      <c r="H5689" s="5">
        <v>1671834</v>
      </c>
      <c r="I5689" s="5">
        <v>1401844.75</v>
      </c>
      <c r="J5689" s="5">
        <v>21</v>
      </c>
      <c r="K5689" s="5">
        <v>158468</v>
      </c>
      <c r="L5689" s="5">
        <v>1822590</v>
      </c>
      <c r="M5689" s="5">
        <v>269989.25</v>
      </c>
      <c r="N5689" s="5">
        <v>0.1615</v>
      </c>
      <c r="O5689" s="5">
        <v>4</v>
      </c>
      <c r="P5689" s="5">
        <v>314132</v>
      </c>
    </row>
    <row r="5690" spans="1:16" x14ac:dyDescent="0.3">
      <c r="A5690" s="5">
        <v>41</v>
      </c>
      <c r="B5690" s="5" t="s">
        <v>175</v>
      </c>
      <c r="C5690" s="5">
        <v>7</v>
      </c>
      <c r="D5690" s="5" t="s">
        <v>91</v>
      </c>
      <c r="E5690" s="5">
        <v>2022</v>
      </c>
      <c r="F5690" s="5">
        <v>12</v>
      </c>
      <c r="G5690" s="5" t="s">
        <v>45</v>
      </c>
      <c r="H5690" s="5">
        <v>1008813</v>
      </c>
      <c r="I5690" s="5">
        <v>827280.03</v>
      </c>
      <c r="J5690" s="5">
        <v>27</v>
      </c>
      <c r="K5690" s="5">
        <v>92988</v>
      </c>
      <c r="L5690" s="5">
        <v>1098740</v>
      </c>
      <c r="M5690" s="5">
        <v>181532.97</v>
      </c>
      <c r="N5690" s="5">
        <v>0.1799</v>
      </c>
      <c r="O5690" s="5">
        <v>0</v>
      </c>
      <c r="P5690" s="5">
        <v>0</v>
      </c>
    </row>
    <row r="5691" spans="1:16" x14ac:dyDescent="0.3">
      <c r="A5691" s="5">
        <v>41</v>
      </c>
      <c r="B5691" s="5" t="s">
        <v>175</v>
      </c>
      <c r="C5691" s="5">
        <v>7</v>
      </c>
      <c r="D5691" s="5" t="s">
        <v>91</v>
      </c>
      <c r="E5691" s="5">
        <v>2023</v>
      </c>
      <c r="F5691" s="5">
        <v>1</v>
      </c>
      <c r="G5691" s="5" t="s">
        <v>46</v>
      </c>
      <c r="H5691" s="5">
        <v>1313618</v>
      </c>
      <c r="I5691" s="5">
        <v>1212090.1200000001</v>
      </c>
      <c r="J5691" s="5">
        <v>17</v>
      </c>
      <c r="K5691" s="5">
        <v>239794</v>
      </c>
      <c r="L5691" s="5">
        <v>1550090</v>
      </c>
      <c r="M5691" s="5">
        <v>101527.88</v>
      </c>
      <c r="N5691" s="5">
        <v>7.7299999999999994E-2</v>
      </c>
      <c r="O5691" s="5">
        <v>3</v>
      </c>
      <c r="P5691" s="5">
        <v>88429</v>
      </c>
    </row>
    <row r="5692" spans="1:16" x14ac:dyDescent="0.3">
      <c r="A5692" s="5">
        <v>41</v>
      </c>
      <c r="B5692" s="5" t="s">
        <v>175</v>
      </c>
      <c r="C5692" s="5">
        <v>7</v>
      </c>
      <c r="D5692" s="5" t="s">
        <v>91</v>
      </c>
      <c r="E5692" s="5">
        <v>2023</v>
      </c>
      <c r="F5692" s="5">
        <v>2</v>
      </c>
      <c r="G5692" s="5" t="s">
        <v>47</v>
      </c>
      <c r="H5692" s="5">
        <v>1495563</v>
      </c>
      <c r="I5692" s="5">
        <v>1239808</v>
      </c>
      <c r="J5692" s="5">
        <v>10</v>
      </c>
      <c r="K5692" s="5">
        <v>80085</v>
      </c>
      <c r="L5692" s="5">
        <v>1573130</v>
      </c>
      <c r="M5692" s="5">
        <v>255755</v>
      </c>
      <c r="N5692" s="5">
        <v>0.17100000000000001</v>
      </c>
      <c r="O5692" s="5">
        <v>0</v>
      </c>
      <c r="P5692" s="5">
        <v>0</v>
      </c>
    </row>
    <row r="5693" spans="1:16" x14ac:dyDescent="0.3">
      <c r="A5693" s="5">
        <v>41</v>
      </c>
      <c r="B5693" s="5" t="s">
        <v>175</v>
      </c>
      <c r="C5693" s="5">
        <v>7</v>
      </c>
      <c r="D5693" s="5" t="s">
        <v>91</v>
      </c>
      <c r="E5693" s="5">
        <v>2023</v>
      </c>
      <c r="F5693" s="5">
        <v>3</v>
      </c>
      <c r="G5693" s="5" t="s">
        <v>48</v>
      </c>
      <c r="H5693" s="5">
        <v>1872432</v>
      </c>
      <c r="I5693" s="5">
        <v>1627786.05</v>
      </c>
      <c r="J5693" s="5">
        <v>23</v>
      </c>
      <c r="K5693" s="5">
        <v>238658</v>
      </c>
      <c r="L5693" s="5">
        <v>2108140</v>
      </c>
      <c r="M5693" s="5">
        <v>244645.95</v>
      </c>
      <c r="N5693" s="5">
        <v>0.13070000000000001</v>
      </c>
      <c r="O5693" s="5">
        <v>2</v>
      </c>
      <c r="P5693" s="5">
        <v>58807</v>
      </c>
    </row>
    <row r="5694" spans="1:16" x14ac:dyDescent="0.3">
      <c r="A5694" s="5">
        <v>41</v>
      </c>
      <c r="B5694" s="5" t="s">
        <v>175</v>
      </c>
      <c r="C5694" s="5">
        <v>7</v>
      </c>
      <c r="D5694" s="5" t="s">
        <v>91</v>
      </c>
      <c r="E5694" s="5">
        <v>2023</v>
      </c>
      <c r="F5694" s="5">
        <v>4</v>
      </c>
      <c r="G5694" s="5" t="s">
        <v>49</v>
      </c>
      <c r="H5694" s="5">
        <v>932597</v>
      </c>
      <c r="I5694" s="5">
        <v>751096.93</v>
      </c>
      <c r="J5694" s="5">
        <v>15</v>
      </c>
      <c r="K5694" s="5">
        <v>31828</v>
      </c>
      <c r="L5694" s="5">
        <v>960290</v>
      </c>
      <c r="M5694" s="5">
        <v>181500.07</v>
      </c>
      <c r="N5694" s="5">
        <v>0.1946</v>
      </c>
      <c r="O5694" s="5">
        <v>1</v>
      </c>
      <c r="P5694" s="5">
        <v>98616</v>
      </c>
    </row>
    <row r="5695" spans="1:16" x14ac:dyDescent="0.3">
      <c r="A5695" s="5">
        <v>41</v>
      </c>
      <c r="B5695" s="5" t="s">
        <v>175</v>
      </c>
      <c r="C5695" s="5">
        <v>7</v>
      </c>
      <c r="D5695" s="5" t="s">
        <v>91</v>
      </c>
      <c r="E5695" s="5">
        <v>2023</v>
      </c>
      <c r="F5695" s="5">
        <v>5</v>
      </c>
      <c r="G5695" s="5" t="s">
        <v>50</v>
      </c>
      <c r="H5695" s="5">
        <v>684115</v>
      </c>
      <c r="I5695" s="5">
        <v>582804.29</v>
      </c>
      <c r="J5695" s="5">
        <v>18</v>
      </c>
      <c r="K5695" s="5">
        <v>72514</v>
      </c>
      <c r="L5695" s="5">
        <v>753610</v>
      </c>
      <c r="M5695" s="5">
        <v>101310.71</v>
      </c>
      <c r="N5695" s="5">
        <v>0.14810000000000001</v>
      </c>
      <c r="O5695" s="5">
        <v>1</v>
      </c>
      <c r="P5695" s="5">
        <v>12709</v>
      </c>
    </row>
    <row r="5696" spans="1:16" x14ac:dyDescent="0.3">
      <c r="A5696" s="5">
        <v>41</v>
      </c>
      <c r="B5696" s="5" t="s">
        <v>175</v>
      </c>
      <c r="C5696" s="5">
        <v>7</v>
      </c>
      <c r="D5696" s="5" t="s">
        <v>91</v>
      </c>
      <c r="E5696" s="5">
        <v>2023</v>
      </c>
      <c r="F5696" s="5">
        <v>6</v>
      </c>
      <c r="G5696" s="5" t="s">
        <v>51</v>
      </c>
      <c r="H5696" s="5">
        <v>972425</v>
      </c>
      <c r="I5696" s="5">
        <v>830235.14</v>
      </c>
      <c r="J5696" s="5">
        <v>12</v>
      </c>
      <c r="K5696" s="5">
        <v>103063</v>
      </c>
      <c r="L5696" s="5">
        <v>1073410</v>
      </c>
      <c r="M5696" s="5">
        <v>142189.85999999999</v>
      </c>
      <c r="N5696" s="5">
        <v>0.1462</v>
      </c>
      <c r="O5696" s="5">
        <v>2</v>
      </c>
      <c r="P5696" s="5">
        <v>204844</v>
      </c>
    </row>
    <row r="5697" spans="1:16" x14ac:dyDescent="0.3">
      <c r="A5697" s="5">
        <v>41</v>
      </c>
      <c r="B5697" s="5" t="s">
        <v>175</v>
      </c>
      <c r="C5697" s="5">
        <v>7</v>
      </c>
      <c r="D5697" s="5" t="s">
        <v>91</v>
      </c>
      <c r="E5697" s="5">
        <v>2023</v>
      </c>
      <c r="F5697" s="5">
        <v>7</v>
      </c>
      <c r="G5697" s="5" t="s">
        <v>52</v>
      </c>
      <c r="H5697" s="5">
        <v>587778</v>
      </c>
      <c r="I5697" s="5">
        <v>492237.71</v>
      </c>
      <c r="J5697" s="5">
        <v>19</v>
      </c>
      <c r="K5697" s="5">
        <v>76221</v>
      </c>
      <c r="L5697" s="5">
        <v>662260</v>
      </c>
      <c r="M5697" s="5">
        <v>95540.29</v>
      </c>
      <c r="N5697" s="5">
        <v>0.16250000000000001</v>
      </c>
      <c r="O5697" s="5">
        <v>3</v>
      </c>
      <c r="P5697" s="5">
        <v>124187</v>
      </c>
    </row>
    <row r="5698" spans="1:16" x14ac:dyDescent="0.3">
      <c r="A5698" s="5">
        <v>41</v>
      </c>
      <c r="B5698" s="5" t="s">
        <v>175</v>
      </c>
      <c r="C5698" s="5">
        <v>7</v>
      </c>
      <c r="D5698" s="5" t="s">
        <v>91</v>
      </c>
      <c r="E5698" s="5">
        <v>2023</v>
      </c>
      <c r="F5698" s="5">
        <v>8</v>
      </c>
      <c r="G5698" s="5" t="s">
        <v>53</v>
      </c>
      <c r="H5698" s="5">
        <v>1499349</v>
      </c>
      <c r="I5698" s="5">
        <v>1242835.1000000001</v>
      </c>
      <c r="J5698" s="5">
        <v>19</v>
      </c>
      <c r="K5698" s="5">
        <v>147203</v>
      </c>
      <c r="L5698" s="5">
        <v>1637400</v>
      </c>
      <c r="M5698" s="5">
        <v>256513.9</v>
      </c>
      <c r="N5698" s="5">
        <v>0.1711</v>
      </c>
      <c r="O5698" s="5">
        <v>2</v>
      </c>
      <c r="P5698" s="5">
        <v>128522</v>
      </c>
    </row>
    <row r="5699" spans="1:16" x14ac:dyDescent="0.3">
      <c r="A5699" s="5">
        <v>41</v>
      </c>
      <c r="B5699" s="5" t="s">
        <v>175</v>
      </c>
      <c r="C5699" s="5">
        <v>7</v>
      </c>
      <c r="D5699" s="5" t="s">
        <v>91</v>
      </c>
      <c r="E5699" s="5">
        <v>2023</v>
      </c>
      <c r="F5699" s="5">
        <v>9</v>
      </c>
      <c r="G5699" s="5" t="s">
        <v>54</v>
      </c>
      <c r="H5699" s="5">
        <v>1145725</v>
      </c>
      <c r="I5699" s="5">
        <v>1029813.57</v>
      </c>
      <c r="J5699" s="5">
        <v>21</v>
      </c>
      <c r="K5699" s="5">
        <v>225660</v>
      </c>
      <c r="L5699" s="5">
        <v>1365740</v>
      </c>
      <c r="M5699" s="5">
        <v>115911.43</v>
      </c>
      <c r="N5699" s="5">
        <v>0.1012</v>
      </c>
      <c r="O5699" s="5">
        <v>3</v>
      </c>
      <c r="P5699" s="5">
        <v>31792</v>
      </c>
    </row>
    <row r="5700" spans="1:16" x14ac:dyDescent="0.3">
      <c r="A5700" s="5">
        <v>41</v>
      </c>
      <c r="B5700" s="5" t="s">
        <v>175</v>
      </c>
      <c r="C5700" s="5">
        <v>7</v>
      </c>
      <c r="D5700" s="5" t="s">
        <v>91</v>
      </c>
      <c r="E5700" s="5">
        <v>2023</v>
      </c>
      <c r="F5700" s="5">
        <v>10</v>
      </c>
      <c r="G5700" s="5" t="s">
        <v>55</v>
      </c>
      <c r="H5700" s="5">
        <v>2502149</v>
      </c>
      <c r="I5700" s="5">
        <v>2292325.0699999998</v>
      </c>
      <c r="J5700" s="5">
        <v>33</v>
      </c>
      <c r="K5700" s="5">
        <v>401390</v>
      </c>
      <c r="L5700" s="5">
        <v>2897180</v>
      </c>
      <c r="M5700" s="5">
        <v>209823.93</v>
      </c>
      <c r="N5700" s="5">
        <v>8.3900000000000002E-2</v>
      </c>
      <c r="O5700" s="5">
        <v>2</v>
      </c>
      <c r="P5700" s="5">
        <v>12664</v>
      </c>
    </row>
    <row r="5701" spans="1:16" x14ac:dyDescent="0.3">
      <c r="A5701" s="5">
        <v>41</v>
      </c>
      <c r="B5701" s="5" t="s">
        <v>175</v>
      </c>
      <c r="C5701" s="5">
        <v>7</v>
      </c>
      <c r="D5701" s="5" t="s">
        <v>91</v>
      </c>
      <c r="E5701" s="5">
        <v>2023</v>
      </c>
      <c r="F5701" s="5">
        <v>11</v>
      </c>
      <c r="G5701" s="5" t="s">
        <v>56</v>
      </c>
      <c r="H5701" s="5">
        <v>1425672</v>
      </c>
      <c r="I5701" s="5">
        <v>1202795.77</v>
      </c>
      <c r="J5701" s="5">
        <v>30</v>
      </c>
      <c r="K5701" s="5">
        <v>190414</v>
      </c>
      <c r="L5701" s="5">
        <v>1609280</v>
      </c>
      <c r="M5701" s="5">
        <v>222876.23</v>
      </c>
      <c r="N5701" s="5">
        <v>0.15629999999999999</v>
      </c>
      <c r="O5701" s="5">
        <v>4</v>
      </c>
      <c r="P5701" s="5">
        <v>52203</v>
      </c>
    </row>
    <row r="5702" spans="1:16" x14ac:dyDescent="0.3">
      <c r="A5702" s="5">
        <v>41</v>
      </c>
      <c r="B5702" s="5" t="s">
        <v>175</v>
      </c>
      <c r="C5702" s="5">
        <v>7</v>
      </c>
      <c r="D5702" s="5" t="s">
        <v>91</v>
      </c>
      <c r="E5702" s="5">
        <v>2023</v>
      </c>
      <c r="F5702" s="5">
        <v>12</v>
      </c>
      <c r="G5702" s="5" t="s">
        <v>57</v>
      </c>
      <c r="H5702" s="5">
        <v>2975485</v>
      </c>
      <c r="I5702" s="5">
        <v>2828400.25</v>
      </c>
      <c r="J5702" s="5">
        <v>40</v>
      </c>
      <c r="K5702" s="5">
        <v>665636</v>
      </c>
      <c r="L5702" s="5">
        <v>3635940</v>
      </c>
      <c r="M5702" s="5">
        <v>147084.75</v>
      </c>
      <c r="N5702" s="5">
        <v>4.9399999999999999E-2</v>
      </c>
      <c r="O5702" s="5">
        <v>1</v>
      </c>
      <c r="P5702" s="5">
        <v>64769</v>
      </c>
    </row>
    <row r="5703" spans="1:16" x14ac:dyDescent="0.3">
      <c r="A5703" s="5">
        <v>41</v>
      </c>
      <c r="B5703" s="5" t="s">
        <v>175</v>
      </c>
      <c r="C5703" s="5">
        <v>7</v>
      </c>
      <c r="D5703" s="5" t="s">
        <v>91</v>
      </c>
      <c r="E5703" s="5">
        <v>2024</v>
      </c>
      <c r="F5703" s="5">
        <v>1</v>
      </c>
      <c r="G5703" s="5" t="s">
        <v>58</v>
      </c>
      <c r="H5703" s="5">
        <v>1407032</v>
      </c>
      <c r="I5703" s="5">
        <v>1187110.04</v>
      </c>
      <c r="J5703" s="5">
        <v>17</v>
      </c>
      <c r="K5703" s="5">
        <v>107763</v>
      </c>
      <c r="L5703" s="5">
        <v>1509030</v>
      </c>
      <c r="M5703" s="5">
        <v>219921.96</v>
      </c>
      <c r="N5703" s="5">
        <v>0.15629999999999999</v>
      </c>
      <c r="O5703" s="5">
        <v>2</v>
      </c>
      <c r="P5703" s="5">
        <v>93489</v>
      </c>
    </row>
    <row r="5704" spans="1:16" x14ac:dyDescent="0.3">
      <c r="A5704" s="5">
        <v>41</v>
      </c>
      <c r="B5704" s="5" t="s">
        <v>175</v>
      </c>
      <c r="C5704" s="5">
        <v>7</v>
      </c>
      <c r="D5704" s="5" t="s">
        <v>91</v>
      </c>
      <c r="E5704" s="5">
        <v>2024</v>
      </c>
      <c r="F5704" s="5">
        <v>2</v>
      </c>
      <c r="G5704" s="5" t="s">
        <v>59</v>
      </c>
      <c r="H5704" s="5">
        <v>925552</v>
      </c>
      <c r="I5704" s="5">
        <v>827484.44</v>
      </c>
      <c r="J5704" s="5">
        <v>15</v>
      </c>
      <c r="K5704" s="5">
        <v>144486</v>
      </c>
      <c r="L5704" s="5">
        <v>1068690</v>
      </c>
      <c r="M5704" s="5">
        <v>98067.56</v>
      </c>
      <c r="N5704" s="5">
        <v>0.106</v>
      </c>
      <c r="O5704" s="5">
        <v>1</v>
      </c>
      <c r="P5704" s="5">
        <v>57335</v>
      </c>
    </row>
    <row r="5705" spans="1:16" x14ac:dyDescent="0.3">
      <c r="A5705" s="5">
        <v>41</v>
      </c>
      <c r="B5705" s="5" t="s">
        <v>175</v>
      </c>
      <c r="C5705" s="5">
        <v>7</v>
      </c>
      <c r="D5705" s="5" t="s">
        <v>91</v>
      </c>
      <c r="E5705" s="5">
        <v>2024</v>
      </c>
      <c r="F5705" s="5">
        <v>3</v>
      </c>
      <c r="G5705" s="5" t="s">
        <v>60</v>
      </c>
      <c r="H5705" s="5">
        <v>1479255</v>
      </c>
      <c r="I5705" s="5">
        <v>1222790.06</v>
      </c>
      <c r="J5705" s="5">
        <v>18</v>
      </c>
      <c r="K5705" s="5">
        <v>100786</v>
      </c>
      <c r="L5705" s="5">
        <v>1568580</v>
      </c>
      <c r="M5705" s="5">
        <v>256464.94</v>
      </c>
      <c r="N5705" s="5">
        <v>0.1734</v>
      </c>
      <c r="O5705" s="5">
        <v>3</v>
      </c>
      <c r="P5705" s="5">
        <v>81916</v>
      </c>
    </row>
    <row r="5706" spans="1:16" x14ac:dyDescent="0.3">
      <c r="A5706" s="5">
        <v>41</v>
      </c>
      <c r="B5706" s="5" t="s">
        <v>175</v>
      </c>
      <c r="C5706" s="5">
        <v>7</v>
      </c>
      <c r="D5706" s="5" t="s">
        <v>91</v>
      </c>
      <c r="E5706" s="5">
        <v>2024</v>
      </c>
      <c r="F5706" s="5">
        <v>4</v>
      </c>
      <c r="G5706" s="5" t="s">
        <v>61</v>
      </c>
      <c r="H5706" s="5">
        <v>951155</v>
      </c>
      <c r="I5706" s="5">
        <v>817810.84</v>
      </c>
      <c r="J5706" s="5">
        <v>23</v>
      </c>
      <c r="K5706" s="5">
        <v>98137</v>
      </c>
      <c r="L5706" s="5">
        <v>1045610</v>
      </c>
      <c r="M5706" s="5">
        <v>133344.16</v>
      </c>
      <c r="N5706" s="5">
        <v>0.14019999999999999</v>
      </c>
      <c r="O5706" s="5">
        <v>1</v>
      </c>
      <c r="P5706" s="5">
        <v>2170</v>
      </c>
    </row>
    <row r="5707" spans="1:16" x14ac:dyDescent="0.3">
      <c r="A5707" s="5">
        <v>41</v>
      </c>
      <c r="B5707" s="5" t="s">
        <v>175</v>
      </c>
      <c r="C5707" s="5">
        <v>7</v>
      </c>
      <c r="D5707" s="5" t="s">
        <v>91</v>
      </c>
      <c r="E5707" s="5">
        <v>2024</v>
      </c>
      <c r="F5707" s="5">
        <v>5</v>
      </c>
      <c r="G5707" s="5" t="s">
        <v>62</v>
      </c>
      <c r="H5707" s="5">
        <v>1579012</v>
      </c>
      <c r="I5707" s="5">
        <v>1330081.1599999999</v>
      </c>
      <c r="J5707" s="5">
        <v>26</v>
      </c>
      <c r="K5707" s="5">
        <v>126999</v>
      </c>
      <c r="L5707" s="5">
        <v>1697870</v>
      </c>
      <c r="M5707" s="5">
        <v>248930.84</v>
      </c>
      <c r="N5707" s="5">
        <v>0.15759999999999999</v>
      </c>
      <c r="O5707" s="5">
        <v>2</v>
      </c>
      <c r="P5707" s="5">
        <v>65385</v>
      </c>
    </row>
    <row r="5708" spans="1:16" x14ac:dyDescent="0.3">
      <c r="A5708" s="5">
        <v>41</v>
      </c>
      <c r="B5708" s="5" t="s">
        <v>175</v>
      </c>
      <c r="C5708" s="5">
        <v>7</v>
      </c>
      <c r="D5708" s="5" t="s">
        <v>91</v>
      </c>
      <c r="E5708" s="5">
        <v>2024</v>
      </c>
      <c r="F5708" s="5">
        <v>6</v>
      </c>
      <c r="G5708" s="5" t="s">
        <v>63</v>
      </c>
      <c r="H5708" s="5">
        <v>1335235</v>
      </c>
      <c r="I5708" s="5">
        <v>1082330.77</v>
      </c>
      <c r="J5708" s="5">
        <v>13</v>
      </c>
      <c r="K5708" s="5">
        <v>59823</v>
      </c>
      <c r="L5708" s="5">
        <v>1386260</v>
      </c>
      <c r="M5708" s="5">
        <v>252904.23</v>
      </c>
      <c r="N5708" s="5">
        <v>0.18940000000000001</v>
      </c>
      <c r="O5708" s="5">
        <v>2</v>
      </c>
      <c r="P5708" s="5">
        <v>37860</v>
      </c>
    </row>
    <row r="5709" spans="1:16" x14ac:dyDescent="0.3">
      <c r="A5709" s="5">
        <v>41</v>
      </c>
      <c r="B5709" s="5" t="s">
        <v>175</v>
      </c>
      <c r="C5709" s="5">
        <v>7</v>
      </c>
      <c r="D5709" s="5" t="s">
        <v>91</v>
      </c>
      <c r="E5709" s="5">
        <v>2024</v>
      </c>
      <c r="F5709" s="5">
        <v>7</v>
      </c>
      <c r="G5709" s="5" t="s">
        <v>64</v>
      </c>
      <c r="H5709" s="5">
        <v>2226550</v>
      </c>
      <c r="I5709" s="5">
        <v>1874897.89</v>
      </c>
      <c r="J5709" s="5">
        <v>26</v>
      </c>
      <c r="K5709" s="5">
        <v>182204</v>
      </c>
      <c r="L5709" s="5">
        <v>2399010</v>
      </c>
      <c r="M5709" s="5">
        <v>351652.11</v>
      </c>
      <c r="N5709" s="5">
        <v>0.15790000000000001</v>
      </c>
      <c r="O5709" s="5">
        <v>2</v>
      </c>
      <c r="P5709" s="5">
        <v>106205</v>
      </c>
    </row>
    <row r="5710" spans="1:16" x14ac:dyDescent="0.3">
      <c r="A5710" s="5">
        <v>41</v>
      </c>
      <c r="B5710" s="5" t="s">
        <v>175</v>
      </c>
      <c r="C5710" s="5">
        <v>7</v>
      </c>
      <c r="D5710" s="5" t="s">
        <v>91</v>
      </c>
      <c r="E5710" s="5">
        <v>2024</v>
      </c>
      <c r="F5710" s="5">
        <v>8</v>
      </c>
      <c r="G5710" s="5" t="s">
        <v>65</v>
      </c>
      <c r="H5710" s="5">
        <v>1146891</v>
      </c>
      <c r="I5710" s="5">
        <v>976860.77</v>
      </c>
      <c r="J5710" s="5">
        <v>25</v>
      </c>
      <c r="K5710" s="5">
        <v>122053</v>
      </c>
      <c r="L5710" s="5">
        <v>1265970</v>
      </c>
      <c r="M5710" s="5">
        <v>170030.23</v>
      </c>
      <c r="N5710" s="5">
        <v>0.14829999999999999</v>
      </c>
      <c r="O5710" s="5">
        <v>3</v>
      </c>
      <c r="P5710" s="5">
        <v>89892</v>
      </c>
    </row>
    <row r="5711" spans="1:16" x14ac:dyDescent="0.3">
      <c r="A5711" s="5">
        <v>41</v>
      </c>
      <c r="B5711" s="5" t="s">
        <v>175</v>
      </c>
      <c r="C5711" s="5">
        <v>7</v>
      </c>
      <c r="D5711" s="5" t="s">
        <v>91</v>
      </c>
      <c r="E5711" s="5">
        <v>2024</v>
      </c>
      <c r="F5711" s="5">
        <v>9</v>
      </c>
      <c r="G5711" s="5" t="s">
        <v>66</v>
      </c>
      <c r="H5711" s="5">
        <v>1018915</v>
      </c>
      <c r="I5711" s="5">
        <v>817947.31</v>
      </c>
      <c r="J5711" s="5">
        <v>18</v>
      </c>
      <c r="K5711" s="5">
        <v>53133</v>
      </c>
      <c r="L5711" s="5">
        <v>1070370</v>
      </c>
      <c r="M5711" s="5">
        <v>200967.69</v>
      </c>
      <c r="N5711" s="5">
        <v>0.19719999999999999</v>
      </c>
      <c r="O5711" s="5">
        <v>3</v>
      </c>
      <c r="P5711" s="5">
        <v>105744</v>
      </c>
    </row>
    <row r="5712" spans="1:16" x14ac:dyDescent="0.3">
      <c r="A5712" s="5">
        <v>41</v>
      </c>
      <c r="B5712" s="5" t="s">
        <v>175</v>
      </c>
      <c r="C5712" s="5">
        <v>7</v>
      </c>
      <c r="D5712" s="5" t="s">
        <v>91</v>
      </c>
      <c r="E5712" s="5">
        <v>2024</v>
      </c>
      <c r="F5712" s="5">
        <v>10</v>
      </c>
      <c r="G5712" s="5" t="s">
        <v>67</v>
      </c>
      <c r="H5712" s="5">
        <v>2804549</v>
      </c>
      <c r="I5712" s="5">
        <v>2285860.9</v>
      </c>
      <c r="J5712" s="5">
        <v>28</v>
      </c>
      <c r="K5712" s="5">
        <v>102186</v>
      </c>
      <c r="L5712" s="5">
        <v>2892780</v>
      </c>
      <c r="M5712" s="5">
        <v>518688.1</v>
      </c>
      <c r="N5712" s="5">
        <v>0.18490000000000001</v>
      </c>
      <c r="O5712" s="5">
        <v>3</v>
      </c>
      <c r="P5712" s="5">
        <v>133349</v>
      </c>
    </row>
    <row r="5713" spans="1:16" x14ac:dyDescent="0.3">
      <c r="A5713" s="5">
        <v>41</v>
      </c>
      <c r="B5713" s="5" t="s">
        <v>175</v>
      </c>
      <c r="C5713" s="5">
        <v>7</v>
      </c>
      <c r="D5713" s="5" t="s">
        <v>91</v>
      </c>
      <c r="E5713" s="5">
        <v>2024</v>
      </c>
      <c r="F5713" s="5">
        <v>11</v>
      </c>
      <c r="G5713" s="5" t="s">
        <v>68</v>
      </c>
      <c r="H5713" s="5">
        <v>3063719</v>
      </c>
      <c r="I5713" s="5">
        <v>2581669.65</v>
      </c>
      <c r="J5713" s="5">
        <v>43</v>
      </c>
      <c r="K5713" s="5">
        <v>284473</v>
      </c>
      <c r="L5713" s="5">
        <v>3337860</v>
      </c>
      <c r="M5713" s="5">
        <v>482049.35</v>
      </c>
      <c r="N5713" s="5">
        <v>0.1573</v>
      </c>
      <c r="O5713" s="5">
        <v>3</v>
      </c>
      <c r="P5713" s="5">
        <v>59046</v>
      </c>
    </row>
    <row r="5714" spans="1:16" x14ac:dyDescent="0.3">
      <c r="A5714" s="5">
        <v>41</v>
      </c>
      <c r="B5714" s="5" t="s">
        <v>175</v>
      </c>
      <c r="C5714" s="5">
        <v>7</v>
      </c>
      <c r="D5714" s="5" t="s">
        <v>91</v>
      </c>
      <c r="E5714" s="5">
        <v>2024</v>
      </c>
      <c r="F5714" s="5">
        <v>12</v>
      </c>
      <c r="G5714" s="5" t="s">
        <v>69</v>
      </c>
      <c r="H5714" s="5">
        <v>2183825</v>
      </c>
      <c r="I5714" s="5">
        <v>1784543.65</v>
      </c>
      <c r="J5714" s="5">
        <v>35</v>
      </c>
      <c r="K5714" s="5">
        <v>95998</v>
      </c>
      <c r="L5714" s="5">
        <v>2276780</v>
      </c>
      <c r="M5714" s="5">
        <v>399281.35</v>
      </c>
      <c r="N5714" s="5">
        <v>0.18279999999999999</v>
      </c>
      <c r="O5714" s="5">
        <v>2</v>
      </c>
      <c r="P5714" s="5">
        <v>3646</v>
      </c>
    </row>
    <row r="5715" spans="1:16" x14ac:dyDescent="0.3">
      <c r="A5715" s="5">
        <v>40</v>
      </c>
      <c r="B5715" s="5" t="s">
        <v>176</v>
      </c>
      <c r="C5715" s="5">
        <v>7</v>
      </c>
      <c r="D5715" s="5" t="s">
        <v>91</v>
      </c>
      <c r="E5715" s="5">
        <v>2021</v>
      </c>
      <c r="F5715" s="5">
        <v>1</v>
      </c>
      <c r="G5715" s="5" t="s">
        <v>22</v>
      </c>
      <c r="H5715" s="5">
        <v>1239660</v>
      </c>
      <c r="I5715" s="5">
        <v>1138544.8400000001</v>
      </c>
      <c r="J5715" s="5">
        <v>11</v>
      </c>
      <c r="K5715" s="5">
        <v>211653</v>
      </c>
      <c r="L5715" s="5">
        <v>1448500</v>
      </c>
      <c r="M5715" s="5">
        <v>101115.16</v>
      </c>
      <c r="N5715" s="5">
        <v>8.1600000000000006E-2</v>
      </c>
      <c r="O5715" s="5">
        <v>1</v>
      </c>
      <c r="P5715" s="5">
        <v>76239</v>
      </c>
    </row>
    <row r="5716" spans="1:16" x14ac:dyDescent="0.3">
      <c r="A5716" s="5">
        <v>40</v>
      </c>
      <c r="B5716" s="5" t="s">
        <v>176</v>
      </c>
      <c r="C5716" s="5">
        <v>7</v>
      </c>
      <c r="D5716" s="5" t="s">
        <v>91</v>
      </c>
      <c r="E5716" s="5">
        <v>2021</v>
      </c>
      <c r="F5716" s="5">
        <v>2</v>
      </c>
      <c r="G5716" s="5" t="s">
        <v>23</v>
      </c>
      <c r="H5716" s="5">
        <v>829905</v>
      </c>
      <c r="I5716" s="5">
        <v>736370.58</v>
      </c>
      <c r="J5716" s="5">
        <v>11</v>
      </c>
      <c r="K5716" s="5">
        <v>90761</v>
      </c>
      <c r="L5716" s="5">
        <v>920550</v>
      </c>
      <c r="M5716" s="5">
        <v>93534.42</v>
      </c>
      <c r="N5716" s="5">
        <v>0.11269999999999999</v>
      </c>
      <c r="O5716" s="5">
        <v>0</v>
      </c>
      <c r="P5716" s="5">
        <v>0</v>
      </c>
    </row>
    <row r="5717" spans="1:16" x14ac:dyDescent="0.3">
      <c r="A5717" s="5">
        <v>40</v>
      </c>
      <c r="B5717" s="5" t="s">
        <v>176</v>
      </c>
      <c r="C5717" s="5">
        <v>7</v>
      </c>
      <c r="D5717" s="5" t="s">
        <v>91</v>
      </c>
      <c r="E5717" s="5">
        <v>2021</v>
      </c>
      <c r="F5717" s="5">
        <v>3</v>
      </c>
      <c r="G5717" s="5" t="s">
        <v>24</v>
      </c>
      <c r="H5717" s="5">
        <v>620711</v>
      </c>
      <c r="I5717" s="5">
        <v>558025.46</v>
      </c>
      <c r="J5717" s="5">
        <v>15</v>
      </c>
      <c r="K5717" s="5">
        <v>109689</v>
      </c>
      <c r="L5717" s="5">
        <v>729760</v>
      </c>
      <c r="M5717" s="5">
        <v>62685.54</v>
      </c>
      <c r="N5717" s="5">
        <v>0.10100000000000001</v>
      </c>
      <c r="O5717" s="5">
        <v>0</v>
      </c>
      <c r="P5717" s="5">
        <v>0</v>
      </c>
    </row>
    <row r="5718" spans="1:16" x14ac:dyDescent="0.3">
      <c r="A5718" s="5">
        <v>40</v>
      </c>
      <c r="B5718" s="5" t="s">
        <v>176</v>
      </c>
      <c r="C5718" s="5">
        <v>7</v>
      </c>
      <c r="D5718" s="5" t="s">
        <v>91</v>
      </c>
      <c r="E5718" s="5">
        <v>2021</v>
      </c>
      <c r="F5718" s="5">
        <v>4</v>
      </c>
      <c r="G5718" s="5" t="s">
        <v>25</v>
      </c>
      <c r="H5718" s="5">
        <v>1610454</v>
      </c>
      <c r="I5718" s="5">
        <v>1442530.7</v>
      </c>
      <c r="J5718" s="5">
        <v>17</v>
      </c>
      <c r="K5718" s="5">
        <v>234630</v>
      </c>
      <c r="L5718" s="5">
        <v>1837930</v>
      </c>
      <c r="M5718" s="5">
        <v>167923.3</v>
      </c>
      <c r="N5718" s="5">
        <v>0.1043</v>
      </c>
      <c r="O5718" s="5">
        <v>2</v>
      </c>
      <c r="P5718" s="5">
        <v>9425</v>
      </c>
    </row>
    <row r="5719" spans="1:16" x14ac:dyDescent="0.3">
      <c r="A5719" s="5">
        <v>40</v>
      </c>
      <c r="B5719" s="5" t="s">
        <v>176</v>
      </c>
      <c r="C5719" s="5">
        <v>7</v>
      </c>
      <c r="D5719" s="5" t="s">
        <v>91</v>
      </c>
      <c r="E5719" s="5">
        <v>2021</v>
      </c>
      <c r="F5719" s="5">
        <v>5</v>
      </c>
      <c r="G5719" s="5" t="s">
        <v>26</v>
      </c>
      <c r="H5719" s="5">
        <v>1037075</v>
      </c>
      <c r="I5719" s="5">
        <v>878626.17</v>
      </c>
      <c r="J5719" s="5">
        <v>18</v>
      </c>
      <c r="K5719" s="5">
        <v>128154</v>
      </c>
      <c r="L5719" s="5">
        <v>1158960</v>
      </c>
      <c r="M5719" s="5">
        <v>158448.82999999999</v>
      </c>
      <c r="N5719" s="5">
        <v>0.15279999999999999</v>
      </c>
      <c r="O5719" s="5">
        <v>2</v>
      </c>
      <c r="P5719" s="5">
        <v>186660</v>
      </c>
    </row>
    <row r="5720" spans="1:16" x14ac:dyDescent="0.3">
      <c r="A5720" s="5">
        <v>40</v>
      </c>
      <c r="B5720" s="5" t="s">
        <v>176</v>
      </c>
      <c r="C5720" s="5">
        <v>7</v>
      </c>
      <c r="D5720" s="5" t="s">
        <v>91</v>
      </c>
      <c r="E5720" s="5">
        <v>2021</v>
      </c>
      <c r="F5720" s="5">
        <v>6</v>
      </c>
      <c r="G5720" s="5" t="s">
        <v>27</v>
      </c>
      <c r="H5720" s="5">
        <v>1382191</v>
      </c>
      <c r="I5720" s="5">
        <v>1141610.2</v>
      </c>
      <c r="J5720" s="5">
        <v>24</v>
      </c>
      <c r="K5720" s="5">
        <v>98350</v>
      </c>
      <c r="L5720" s="5">
        <v>1470790</v>
      </c>
      <c r="M5720" s="5">
        <v>240580.8</v>
      </c>
      <c r="N5720" s="5">
        <v>0.1741</v>
      </c>
      <c r="O5720" s="5">
        <v>1</v>
      </c>
      <c r="P5720" s="5">
        <v>44144</v>
      </c>
    </row>
    <row r="5721" spans="1:16" x14ac:dyDescent="0.3">
      <c r="A5721" s="5">
        <v>40</v>
      </c>
      <c r="B5721" s="5" t="s">
        <v>176</v>
      </c>
      <c r="C5721" s="5">
        <v>7</v>
      </c>
      <c r="D5721" s="5" t="s">
        <v>91</v>
      </c>
      <c r="E5721" s="5">
        <v>2021</v>
      </c>
      <c r="F5721" s="5">
        <v>7</v>
      </c>
      <c r="G5721" s="5" t="s">
        <v>28</v>
      </c>
      <c r="H5721" s="5">
        <v>885285</v>
      </c>
      <c r="I5721" s="5">
        <v>735618.13</v>
      </c>
      <c r="J5721" s="5">
        <v>16</v>
      </c>
      <c r="K5721" s="5">
        <v>63509</v>
      </c>
      <c r="L5721" s="5">
        <v>945640</v>
      </c>
      <c r="M5721" s="5">
        <v>149666.87</v>
      </c>
      <c r="N5721" s="5">
        <v>0.1691</v>
      </c>
      <c r="O5721" s="5">
        <v>0</v>
      </c>
      <c r="P5721" s="5">
        <v>0</v>
      </c>
    </row>
    <row r="5722" spans="1:16" x14ac:dyDescent="0.3">
      <c r="A5722" s="5">
        <v>40</v>
      </c>
      <c r="B5722" s="5" t="s">
        <v>176</v>
      </c>
      <c r="C5722" s="5">
        <v>7</v>
      </c>
      <c r="D5722" s="5" t="s">
        <v>91</v>
      </c>
      <c r="E5722" s="5">
        <v>2021</v>
      </c>
      <c r="F5722" s="5">
        <v>8</v>
      </c>
      <c r="G5722" s="5" t="s">
        <v>29</v>
      </c>
      <c r="H5722" s="5">
        <v>1285383</v>
      </c>
      <c r="I5722" s="5">
        <v>1025956.91</v>
      </c>
      <c r="J5722" s="5">
        <v>17</v>
      </c>
      <c r="K5722" s="5">
        <v>44009</v>
      </c>
      <c r="L5722" s="5">
        <v>1327680</v>
      </c>
      <c r="M5722" s="5">
        <v>259426.09</v>
      </c>
      <c r="N5722" s="5">
        <v>0.20180000000000001</v>
      </c>
      <c r="O5722" s="5">
        <v>2</v>
      </c>
      <c r="P5722" s="5">
        <v>148222</v>
      </c>
    </row>
    <row r="5723" spans="1:16" x14ac:dyDescent="0.3">
      <c r="A5723" s="5">
        <v>40</v>
      </c>
      <c r="B5723" s="5" t="s">
        <v>176</v>
      </c>
      <c r="C5723" s="5">
        <v>7</v>
      </c>
      <c r="D5723" s="5" t="s">
        <v>91</v>
      </c>
      <c r="E5723" s="5">
        <v>2021</v>
      </c>
      <c r="F5723" s="5">
        <v>9</v>
      </c>
      <c r="G5723" s="5" t="s">
        <v>30</v>
      </c>
      <c r="H5723" s="5">
        <v>1534348</v>
      </c>
      <c r="I5723" s="5">
        <v>1363987.57</v>
      </c>
      <c r="J5723" s="5">
        <v>19</v>
      </c>
      <c r="K5723" s="5">
        <v>204965</v>
      </c>
      <c r="L5723" s="5">
        <v>1734170</v>
      </c>
      <c r="M5723" s="5">
        <v>170360.43</v>
      </c>
      <c r="N5723" s="5">
        <v>0.111</v>
      </c>
      <c r="O5723" s="5">
        <v>4</v>
      </c>
      <c r="P5723" s="5">
        <v>105018</v>
      </c>
    </row>
    <row r="5724" spans="1:16" x14ac:dyDescent="0.3">
      <c r="A5724" s="5">
        <v>40</v>
      </c>
      <c r="B5724" s="5" t="s">
        <v>176</v>
      </c>
      <c r="C5724" s="5">
        <v>7</v>
      </c>
      <c r="D5724" s="5" t="s">
        <v>91</v>
      </c>
      <c r="E5724" s="5">
        <v>2021</v>
      </c>
      <c r="F5724" s="5">
        <v>10</v>
      </c>
      <c r="G5724" s="5" t="s">
        <v>31</v>
      </c>
      <c r="H5724" s="5">
        <v>3524657</v>
      </c>
      <c r="I5724" s="5">
        <v>2969134.74</v>
      </c>
      <c r="J5724" s="5">
        <v>29</v>
      </c>
      <c r="K5724" s="5">
        <v>208871</v>
      </c>
      <c r="L5724" s="5">
        <v>3722410</v>
      </c>
      <c r="M5724" s="5">
        <v>555522.26</v>
      </c>
      <c r="N5724" s="5">
        <v>0.15759999999999999</v>
      </c>
      <c r="O5724" s="5">
        <v>2</v>
      </c>
      <c r="P5724" s="5">
        <v>88412</v>
      </c>
    </row>
    <row r="5725" spans="1:16" x14ac:dyDescent="0.3">
      <c r="A5725" s="5">
        <v>40</v>
      </c>
      <c r="B5725" s="5" t="s">
        <v>176</v>
      </c>
      <c r="C5725" s="5">
        <v>7</v>
      </c>
      <c r="D5725" s="5" t="s">
        <v>91</v>
      </c>
      <c r="E5725" s="5">
        <v>2021</v>
      </c>
      <c r="F5725" s="5">
        <v>11</v>
      </c>
      <c r="G5725" s="5" t="s">
        <v>32</v>
      </c>
      <c r="H5725" s="5">
        <v>2192327</v>
      </c>
      <c r="I5725" s="5">
        <v>1896009.68</v>
      </c>
      <c r="J5725" s="5">
        <v>27</v>
      </c>
      <c r="K5725" s="5">
        <v>203804</v>
      </c>
      <c r="L5725" s="5">
        <v>2393470</v>
      </c>
      <c r="M5725" s="5">
        <v>296317.32</v>
      </c>
      <c r="N5725" s="5">
        <v>0.13519999999999999</v>
      </c>
      <c r="O5725" s="5">
        <v>0</v>
      </c>
      <c r="P5725" s="5">
        <v>0</v>
      </c>
    </row>
    <row r="5726" spans="1:16" x14ac:dyDescent="0.3">
      <c r="A5726" s="5">
        <v>40</v>
      </c>
      <c r="B5726" s="5" t="s">
        <v>176</v>
      </c>
      <c r="C5726" s="5">
        <v>7</v>
      </c>
      <c r="D5726" s="5" t="s">
        <v>91</v>
      </c>
      <c r="E5726" s="5">
        <v>2021</v>
      </c>
      <c r="F5726" s="5">
        <v>12</v>
      </c>
      <c r="G5726" s="5" t="s">
        <v>33</v>
      </c>
      <c r="H5726" s="5">
        <v>2165465</v>
      </c>
      <c r="I5726" s="5">
        <v>1802004.19</v>
      </c>
      <c r="J5726" s="5">
        <v>29</v>
      </c>
      <c r="K5726" s="5">
        <v>155656</v>
      </c>
      <c r="L5726" s="5">
        <v>2317000</v>
      </c>
      <c r="M5726" s="5">
        <v>363460.81</v>
      </c>
      <c r="N5726" s="5">
        <v>0.1678</v>
      </c>
      <c r="O5726" s="5">
        <v>2</v>
      </c>
      <c r="P5726" s="5">
        <v>89233</v>
      </c>
    </row>
    <row r="5727" spans="1:16" x14ac:dyDescent="0.3">
      <c r="A5727" s="5">
        <v>40</v>
      </c>
      <c r="B5727" s="5" t="s">
        <v>176</v>
      </c>
      <c r="C5727" s="5">
        <v>7</v>
      </c>
      <c r="D5727" s="5" t="s">
        <v>91</v>
      </c>
      <c r="E5727" s="5">
        <v>2022</v>
      </c>
      <c r="F5727" s="5">
        <v>1</v>
      </c>
      <c r="G5727" s="5" t="s">
        <v>34</v>
      </c>
      <c r="H5727" s="5">
        <v>806367</v>
      </c>
      <c r="I5727" s="5">
        <v>666228.79</v>
      </c>
      <c r="J5727" s="5">
        <v>11</v>
      </c>
      <c r="K5727" s="5">
        <v>53284</v>
      </c>
      <c r="L5727" s="5">
        <v>853550</v>
      </c>
      <c r="M5727" s="5">
        <v>140138.21</v>
      </c>
      <c r="N5727" s="5">
        <v>0.17380000000000001</v>
      </c>
      <c r="O5727" s="5">
        <v>1</v>
      </c>
      <c r="P5727" s="5">
        <v>139155</v>
      </c>
    </row>
    <row r="5728" spans="1:16" x14ac:dyDescent="0.3">
      <c r="A5728" s="5">
        <v>40</v>
      </c>
      <c r="B5728" s="5" t="s">
        <v>176</v>
      </c>
      <c r="C5728" s="5">
        <v>7</v>
      </c>
      <c r="D5728" s="5" t="s">
        <v>91</v>
      </c>
      <c r="E5728" s="5">
        <v>2022</v>
      </c>
      <c r="F5728" s="5">
        <v>2</v>
      </c>
      <c r="G5728" s="5" t="s">
        <v>35</v>
      </c>
      <c r="H5728" s="5">
        <v>1747939</v>
      </c>
      <c r="I5728" s="5">
        <v>1641264.07</v>
      </c>
      <c r="J5728" s="5">
        <v>18</v>
      </c>
      <c r="K5728" s="5">
        <v>296680</v>
      </c>
      <c r="L5728" s="5">
        <v>2033120</v>
      </c>
      <c r="M5728" s="5">
        <v>106674.93</v>
      </c>
      <c r="N5728" s="5">
        <v>6.0999999999999999E-2</v>
      </c>
      <c r="O5728" s="5">
        <v>0</v>
      </c>
      <c r="P5728" s="5">
        <v>0</v>
      </c>
    </row>
    <row r="5729" spans="1:16" x14ac:dyDescent="0.3">
      <c r="A5729" s="5">
        <v>40</v>
      </c>
      <c r="B5729" s="5" t="s">
        <v>176</v>
      </c>
      <c r="C5729" s="5">
        <v>7</v>
      </c>
      <c r="D5729" s="5" t="s">
        <v>91</v>
      </c>
      <c r="E5729" s="5">
        <v>2022</v>
      </c>
      <c r="F5729" s="5">
        <v>3</v>
      </c>
      <c r="G5729" s="5" t="s">
        <v>36</v>
      </c>
      <c r="H5729" s="5">
        <v>1605962</v>
      </c>
      <c r="I5729" s="5">
        <v>1391257.95</v>
      </c>
      <c r="J5729" s="5">
        <v>22</v>
      </c>
      <c r="K5729" s="5">
        <v>170757</v>
      </c>
      <c r="L5729" s="5">
        <v>1764350</v>
      </c>
      <c r="M5729" s="5">
        <v>214704.05</v>
      </c>
      <c r="N5729" s="5">
        <v>0.13370000000000001</v>
      </c>
      <c r="O5729" s="5">
        <v>3</v>
      </c>
      <c r="P5729" s="5">
        <v>92368</v>
      </c>
    </row>
    <row r="5730" spans="1:16" x14ac:dyDescent="0.3">
      <c r="A5730" s="5">
        <v>40</v>
      </c>
      <c r="B5730" s="5" t="s">
        <v>176</v>
      </c>
      <c r="C5730" s="5">
        <v>7</v>
      </c>
      <c r="D5730" s="5" t="s">
        <v>91</v>
      </c>
      <c r="E5730" s="5">
        <v>2022</v>
      </c>
      <c r="F5730" s="5">
        <v>4</v>
      </c>
      <c r="G5730" s="5" t="s">
        <v>37</v>
      </c>
      <c r="H5730" s="5">
        <v>2364763</v>
      </c>
      <c r="I5730" s="5">
        <v>2044916.98</v>
      </c>
      <c r="J5730" s="5">
        <v>22</v>
      </c>
      <c r="K5730" s="5">
        <v>217569</v>
      </c>
      <c r="L5730" s="5">
        <v>2577470</v>
      </c>
      <c r="M5730" s="5">
        <v>319846.02</v>
      </c>
      <c r="N5730" s="5">
        <v>0.1353</v>
      </c>
      <c r="O5730" s="5">
        <v>4</v>
      </c>
      <c r="P5730" s="5">
        <v>74399</v>
      </c>
    </row>
    <row r="5731" spans="1:16" x14ac:dyDescent="0.3">
      <c r="A5731" s="5">
        <v>40</v>
      </c>
      <c r="B5731" s="5" t="s">
        <v>176</v>
      </c>
      <c r="C5731" s="5">
        <v>7</v>
      </c>
      <c r="D5731" s="5" t="s">
        <v>91</v>
      </c>
      <c r="E5731" s="5">
        <v>2022</v>
      </c>
      <c r="F5731" s="5">
        <v>5</v>
      </c>
      <c r="G5731" s="5" t="s">
        <v>38</v>
      </c>
      <c r="H5731" s="5">
        <v>2223166</v>
      </c>
      <c r="I5731" s="5">
        <v>2022489.11</v>
      </c>
      <c r="J5731" s="5">
        <v>26</v>
      </c>
      <c r="K5731" s="5">
        <v>396229</v>
      </c>
      <c r="L5731" s="5">
        <v>2613680</v>
      </c>
      <c r="M5731" s="5">
        <v>200676.89</v>
      </c>
      <c r="N5731" s="5">
        <v>9.0300000000000005E-2</v>
      </c>
      <c r="O5731" s="5">
        <v>2</v>
      </c>
      <c r="P5731" s="5">
        <v>206296</v>
      </c>
    </row>
    <row r="5732" spans="1:16" x14ac:dyDescent="0.3">
      <c r="A5732" s="5">
        <v>40</v>
      </c>
      <c r="B5732" s="5" t="s">
        <v>176</v>
      </c>
      <c r="C5732" s="5">
        <v>7</v>
      </c>
      <c r="D5732" s="5" t="s">
        <v>91</v>
      </c>
      <c r="E5732" s="5">
        <v>2022</v>
      </c>
      <c r="F5732" s="5">
        <v>6</v>
      </c>
      <c r="G5732" s="5" t="s">
        <v>39</v>
      </c>
      <c r="H5732" s="5">
        <v>1610922</v>
      </c>
      <c r="I5732" s="5">
        <v>1379016.72</v>
      </c>
      <c r="J5732" s="5">
        <v>24</v>
      </c>
      <c r="K5732" s="5">
        <v>104233</v>
      </c>
      <c r="L5732" s="5">
        <v>1712690</v>
      </c>
      <c r="M5732" s="5">
        <v>231905.28</v>
      </c>
      <c r="N5732" s="5">
        <v>0.14399999999999999</v>
      </c>
      <c r="O5732" s="5">
        <v>1</v>
      </c>
      <c r="P5732" s="5">
        <v>3327</v>
      </c>
    </row>
    <row r="5733" spans="1:16" x14ac:dyDescent="0.3">
      <c r="A5733" s="5">
        <v>40</v>
      </c>
      <c r="B5733" s="5" t="s">
        <v>176</v>
      </c>
      <c r="C5733" s="5">
        <v>7</v>
      </c>
      <c r="D5733" s="5" t="s">
        <v>91</v>
      </c>
      <c r="E5733" s="5">
        <v>2022</v>
      </c>
      <c r="F5733" s="5">
        <v>7</v>
      </c>
      <c r="G5733" s="5" t="s">
        <v>40</v>
      </c>
      <c r="H5733" s="5">
        <v>2055729</v>
      </c>
      <c r="I5733" s="5">
        <v>1940301.96</v>
      </c>
      <c r="J5733" s="5">
        <v>28</v>
      </c>
      <c r="K5733" s="5">
        <v>418389</v>
      </c>
      <c r="L5733" s="5">
        <v>2468360</v>
      </c>
      <c r="M5733" s="5">
        <v>115427.04</v>
      </c>
      <c r="N5733" s="5">
        <v>5.6099999999999997E-2</v>
      </c>
      <c r="O5733" s="5">
        <v>6</v>
      </c>
      <c r="P5733" s="5">
        <v>231670</v>
      </c>
    </row>
    <row r="5734" spans="1:16" x14ac:dyDescent="0.3">
      <c r="A5734" s="5">
        <v>40</v>
      </c>
      <c r="B5734" s="5" t="s">
        <v>176</v>
      </c>
      <c r="C5734" s="5">
        <v>7</v>
      </c>
      <c r="D5734" s="5" t="s">
        <v>91</v>
      </c>
      <c r="E5734" s="5">
        <v>2022</v>
      </c>
      <c r="F5734" s="5">
        <v>8</v>
      </c>
      <c r="G5734" s="5" t="s">
        <v>41</v>
      </c>
      <c r="H5734" s="5">
        <v>1198340</v>
      </c>
      <c r="I5734" s="5">
        <v>1054878.3500000001</v>
      </c>
      <c r="J5734" s="5">
        <v>18</v>
      </c>
      <c r="K5734" s="5">
        <v>192926</v>
      </c>
      <c r="L5734" s="5">
        <v>1387180</v>
      </c>
      <c r="M5734" s="5">
        <v>143461.65</v>
      </c>
      <c r="N5734" s="5">
        <v>0.1197</v>
      </c>
      <c r="O5734" s="5">
        <v>3</v>
      </c>
      <c r="P5734" s="5">
        <v>47967</v>
      </c>
    </row>
    <row r="5735" spans="1:16" x14ac:dyDescent="0.3">
      <c r="A5735" s="5">
        <v>40</v>
      </c>
      <c r="B5735" s="5" t="s">
        <v>176</v>
      </c>
      <c r="C5735" s="5">
        <v>7</v>
      </c>
      <c r="D5735" s="5" t="s">
        <v>91</v>
      </c>
      <c r="E5735" s="5">
        <v>2022</v>
      </c>
      <c r="F5735" s="5">
        <v>9</v>
      </c>
      <c r="G5735" s="5" t="s">
        <v>42</v>
      </c>
      <c r="H5735" s="5">
        <v>1195153</v>
      </c>
      <c r="I5735" s="5">
        <v>1061659.18</v>
      </c>
      <c r="J5735" s="5">
        <v>20</v>
      </c>
      <c r="K5735" s="5">
        <v>175318</v>
      </c>
      <c r="L5735" s="5">
        <v>1365970</v>
      </c>
      <c r="M5735" s="5">
        <v>133493.82</v>
      </c>
      <c r="N5735" s="5">
        <v>0.11169999999999999</v>
      </c>
      <c r="O5735" s="5">
        <v>0</v>
      </c>
      <c r="P5735" s="5">
        <v>0</v>
      </c>
    </row>
    <row r="5736" spans="1:16" x14ac:dyDescent="0.3">
      <c r="A5736" s="5">
        <v>40</v>
      </c>
      <c r="B5736" s="5" t="s">
        <v>176</v>
      </c>
      <c r="C5736" s="5">
        <v>7</v>
      </c>
      <c r="D5736" s="5" t="s">
        <v>91</v>
      </c>
      <c r="E5736" s="5">
        <v>2022</v>
      </c>
      <c r="F5736" s="5">
        <v>10</v>
      </c>
      <c r="G5736" s="5" t="s">
        <v>43</v>
      </c>
      <c r="H5736" s="5">
        <v>1921919</v>
      </c>
      <c r="I5736" s="5">
        <v>1774276.88</v>
      </c>
      <c r="J5736" s="5">
        <v>34</v>
      </c>
      <c r="K5736" s="5">
        <v>406795</v>
      </c>
      <c r="L5736" s="5">
        <v>2325760</v>
      </c>
      <c r="M5736" s="5">
        <v>147642.12</v>
      </c>
      <c r="N5736" s="5">
        <v>7.6799999999999993E-2</v>
      </c>
      <c r="O5736" s="5">
        <v>1</v>
      </c>
      <c r="P5736" s="5">
        <v>65354</v>
      </c>
    </row>
    <row r="5737" spans="1:16" x14ac:dyDescent="0.3">
      <c r="A5737" s="5">
        <v>40</v>
      </c>
      <c r="B5737" s="5" t="s">
        <v>176</v>
      </c>
      <c r="C5737" s="5">
        <v>7</v>
      </c>
      <c r="D5737" s="5" t="s">
        <v>91</v>
      </c>
      <c r="E5737" s="5">
        <v>2022</v>
      </c>
      <c r="F5737" s="5">
        <v>11</v>
      </c>
      <c r="G5737" s="5" t="s">
        <v>44</v>
      </c>
      <c r="H5737" s="5">
        <v>1380505</v>
      </c>
      <c r="I5737" s="5">
        <v>1096281.4099999999</v>
      </c>
      <c r="J5737" s="5">
        <v>28</v>
      </c>
      <c r="K5737" s="5">
        <v>60993</v>
      </c>
      <c r="L5737" s="5">
        <v>1429480</v>
      </c>
      <c r="M5737" s="5">
        <v>284223.59000000003</v>
      </c>
      <c r="N5737" s="5">
        <v>0.2059</v>
      </c>
      <c r="O5737" s="5">
        <v>4</v>
      </c>
      <c r="P5737" s="5">
        <v>144392</v>
      </c>
    </row>
    <row r="5738" spans="1:16" x14ac:dyDescent="0.3">
      <c r="A5738" s="5">
        <v>40</v>
      </c>
      <c r="B5738" s="5" t="s">
        <v>176</v>
      </c>
      <c r="C5738" s="5">
        <v>7</v>
      </c>
      <c r="D5738" s="5" t="s">
        <v>91</v>
      </c>
      <c r="E5738" s="5">
        <v>2022</v>
      </c>
      <c r="F5738" s="5">
        <v>12</v>
      </c>
      <c r="G5738" s="5" t="s">
        <v>45</v>
      </c>
      <c r="H5738" s="5">
        <v>2761194</v>
      </c>
      <c r="I5738" s="5">
        <v>2304866.86</v>
      </c>
      <c r="J5738" s="5">
        <v>38</v>
      </c>
      <c r="K5738" s="5">
        <v>178673</v>
      </c>
      <c r="L5738" s="5">
        <v>2926620</v>
      </c>
      <c r="M5738" s="5">
        <v>456327.14</v>
      </c>
      <c r="N5738" s="5">
        <v>0.1653</v>
      </c>
      <c r="O5738" s="5">
        <v>3</v>
      </c>
      <c r="P5738" s="5">
        <v>206280</v>
      </c>
    </row>
    <row r="5739" spans="1:16" x14ac:dyDescent="0.3">
      <c r="A5739" s="5">
        <v>40</v>
      </c>
      <c r="B5739" s="5" t="s">
        <v>176</v>
      </c>
      <c r="C5739" s="5">
        <v>7</v>
      </c>
      <c r="D5739" s="5" t="s">
        <v>91</v>
      </c>
      <c r="E5739" s="5">
        <v>2023</v>
      </c>
      <c r="F5739" s="5">
        <v>1</v>
      </c>
      <c r="G5739" s="5" t="s">
        <v>46</v>
      </c>
      <c r="H5739" s="5">
        <v>1751479</v>
      </c>
      <c r="I5739" s="5">
        <v>1554379.9</v>
      </c>
      <c r="J5739" s="5">
        <v>27</v>
      </c>
      <c r="K5739" s="5">
        <v>218803</v>
      </c>
      <c r="L5739" s="5">
        <v>1962410</v>
      </c>
      <c r="M5739" s="5">
        <v>197099.1</v>
      </c>
      <c r="N5739" s="5">
        <v>0.1125</v>
      </c>
      <c r="O5739" s="5">
        <v>1</v>
      </c>
      <c r="P5739" s="5">
        <v>65572</v>
      </c>
    </row>
    <row r="5740" spans="1:16" x14ac:dyDescent="0.3">
      <c r="A5740" s="5">
        <v>40</v>
      </c>
      <c r="B5740" s="5" t="s">
        <v>176</v>
      </c>
      <c r="C5740" s="5">
        <v>7</v>
      </c>
      <c r="D5740" s="5" t="s">
        <v>91</v>
      </c>
      <c r="E5740" s="5">
        <v>2023</v>
      </c>
      <c r="F5740" s="5">
        <v>2</v>
      </c>
      <c r="G5740" s="5" t="s">
        <v>47</v>
      </c>
      <c r="H5740" s="5">
        <v>1645732</v>
      </c>
      <c r="I5740" s="5">
        <v>1347461.53</v>
      </c>
      <c r="J5740" s="5">
        <v>18</v>
      </c>
      <c r="K5740" s="5">
        <v>57526</v>
      </c>
      <c r="L5740" s="5">
        <v>1695000</v>
      </c>
      <c r="M5740" s="5">
        <v>298270.46999999997</v>
      </c>
      <c r="N5740" s="5">
        <v>0.1812</v>
      </c>
      <c r="O5740" s="5">
        <v>3</v>
      </c>
      <c r="P5740" s="5">
        <v>166878</v>
      </c>
    </row>
    <row r="5741" spans="1:16" x14ac:dyDescent="0.3">
      <c r="A5741" s="5">
        <v>40</v>
      </c>
      <c r="B5741" s="5" t="s">
        <v>176</v>
      </c>
      <c r="C5741" s="5">
        <v>7</v>
      </c>
      <c r="D5741" s="5" t="s">
        <v>91</v>
      </c>
      <c r="E5741" s="5">
        <v>2023</v>
      </c>
      <c r="F5741" s="5">
        <v>3</v>
      </c>
      <c r="G5741" s="5" t="s">
        <v>48</v>
      </c>
      <c r="H5741" s="5">
        <v>2613419</v>
      </c>
      <c r="I5741" s="5">
        <v>2411473.14</v>
      </c>
      <c r="J5741" s="5">
        <v>27</v>
      </c>
      <c r="K5741" s="5">
        <v>431510</v>
      </c>
      <c r="L5741" s="5">
        <v>3027270</v>
      </c>
      <c r="M5741" s="5">
        <v>201945.86</v>
      </c>
      <c r="N5741" s="5">
        <v>7.7299999999999994E-2</v>
      </c>
      <c r="O5741" s="5">
        <v>9</v>
      </c>
      <c r="P5741" s="5">
        <v>235429</v>
      </c>
    </row>
    <row r="5742" spans="1:16" x14ac:dyDescent="0.3">
      <c r="A5742" s="5">
        <v>40</v>
      </c>
      <c r="B5742" s="5" t="s">
        <v>176</v>
      </c>
      <c r="C5742" s="5">
        <v>7</v>
      </c>
      <c r="D5742" s="5" t="s">
        <v>91</v>
      </c>
      <c r="E5742" s="5">
        <v>2023</v>
      </c>
      <c r="F5742" s="5">
        <v>4</v>
      </c>
      <c r="G5742" s="5" t="s">
        <v>49</v>
      </c>
      <c r="H5742" s="5">
        <v>2765295</v>
      </c>
      <c r="I5742" s="5">
        <v>2543955.9</v>
      </c>
      <c r="J5742" s="5">
        <v>32</v>
      </c>
      <c r="K5742" s="5">
        <v>409973</v>
      </c>
      <c r="L5742" s="5">
        <v>3163860</v>
      </c>
      <c r="M5742" s="5">
        <v>221339.1</v>
      </c>
      <c r="N5742" s="5">
        <v>0.08</v>
      </c>
      <c r="O5742" s="5">
        <v>3</v>
      </c>
      <c r="P5742" s="5">
        <v>18280</v>
      </c>
    </row>
    <row r="5743" spans="1:16" x14ac:dyDescent="0.3">
      <c r="A5743" s="5">
        <v>40</v>
      </c>
      <c r="B5743" s="5" t="s">
        <v>176</v>
      </c>
      <c r="C5743" s="5">
        <v>7</v>
      </c>
      <c r="D5743" s="5" t="s">
        <v>91</v>
      </c>
      <c r="E5743" s="5">
        <v>2023</v>
      </c>
      <c r="F5743" s="5">
        <v>5</v>
      </c>
      <c r="G5743" s="5" t="s">
        <v>50</v>
      </c>
      <c r="H5743" s="5">
        <v>1780304</v>
      </c>
      <c r="I5743" s="5">
        <v>1640069.27</v>
      </c>
      <c r="J5743" s="5">
        <v>26</v>
      </c>
      <c r="K5743" s="5">
        <v>296863</v>
      </c>
      <c r="L5743" s="5">
        <v>2074950</v>
      </c>
      <c r="M5743" s="5">
        <v>140234.73000000001</v>
      </c>
      <c r="N5743" s="5">
        <v>7.8799999999999995E-2</v>
      </c>
      <c r="O5743" s="5">
        <v>0</v>
      </c>
      <c r="P5743" s="5">
        <v>0</v>
      </c>
    </row>
    <row r="5744" spans="1:16" x14ac:dyDescent="0.3">
      <c r="A5744" s="5">
        <v>40</v>
      </c>
      <c r="B5744" s="5" t="s">
        <v>176</v>
      </c>
      <c r="C5744" s="5">
        <v>7</v>
      </c>
      <c r="D5744" s="5" t="s">
        <v>91</v>
      </c>
      <c r="E5744" s="5">
        <v>2023</v>
      </c>
      <c r="F5744" s="5">
        <v>6</v>
      </c>
      <c r="G5744" s="5" t="s">
        <v>51</v>
      </c>
      <c r="H5744" s="5">
        <v>2452460</v>
      </c>
      <c r="I5744" s="5">
        <v>2068386.04</v>
      </c>
      <c r="J5744" s="5">
        <v>31</v>
      </c>
      <c r="K5744" s="5">
        <v>188338</v>
      </c>
      <c r="L5744" s="5">
        <v>2637900</v>
      </c>
      <c r="M5744" s="5">
        <v>384073.96</v>
      </c>
      <c r="N5744" s="5">
        <v>0.15659999999999999</v>
      </c>
      <c r="O5744" s="5">
        <v>4</v>
      </c>
      <c r="P5744" s="5">
        <v>74492</v>
      </c>
    </row>
    <row r="5745" spans="1:16" x14ac:dyDescent="0.3">
      <c r="A5745" s="5">
        <v>40</v>
      </c>
      <c r="B5745" s="5" t="s">
        <v>176</v>
      </c>
      <c r="C5745" s="5">
        <v>7</v>
      </c>
      <c r="D5745" s="5" t="s">
        <v>91</v>
      </c>
      <c r="E5745" s="5">
        <v>2023</v>
      </c>
      <c r="F5745" s="5">
        <v>7</v>
      </c>
      <c r="G5745" s="5" t="s">
        <v>52</v>
      </c>
      <c r="H5745" s="5">
        <v>2093882</v>
      </c>
      <c r="I5745" s="5">
        <v>1846094.78</v>
      </c>
      <c r="J5745" s="5">
        <v>23</v>
      </c>
      <c r="K5745" s="5">
        <v>245914</v>
      </c>
      <c r="L5745" s="5">
        <v>2327830</v>
      </c>
      <c r="M5745" s="5">
        <v>247787.22</v>
      </c>
      <c r="N5745" s="5">
        <v>0.1183</v>
      </c>
      <c r="O5745" s="5">
        <v>4</v>
      </c>
      <c r="P5745" s="5">
        <v>154983</v>
      </c>
    </row>
    <row r="5746" spans="1:16" x14ac:dyDescent="0.3">
      <c r="A5746" s="5">
        <v>40</v>
      </c>
      <c r="B5746" s="5" t="s">
        <v>176</v>
      </c>
      <c r="C5746" s="5">
        <v>7</v>
      </c>
      <c r="D5746" s="5" t="s">
        <v>91</v>
      </c>
      <c r="E5746" s="5">
        <v>2023</v>
      </c>
      <c r="F5746" s="5">
        <v>8</v>
      </c>
      <c r="G5746" s="5" t="s">
        <v>53</v>
      </c>
      <c r="H5746" s="5">
        <v>1328803</v>
      </c>
      <c r="I5746" s="5">
        <v>1150879.25</v>
      </c>
      <c r="J5746" s="5">
        <v>28</v>
      </c>
      <c r="K5746" s="5">
        <v>163845</v>
      </c>
      <c r="L5746" s="5">
        <v>1489110</v>
      </c>
      <c r="M5746" s="5">
        <v>177923.75</v>
      </c>
      <c r="N5746" s="5">
        <v>0.13389999999999999</v>
      </c>
      <c r="O5746" s="5">
        <v>1</v>
      </c>
      <c r="P5746" s="5">
        <v>22709</v>
      </c>
    </row>
    <row r="5747" spans="1:16" x14ac:dyDescent="0.3">
      <c r="A5747" s="5">
        <v>40</v>
      </c>
      <c r="B5747" s="5" t="s">
        <v>176</v>
      </c>
      <c r="C5747" s="5">
        <v>7</v>
      </c>
      <c r="D5747" s="5" t="s">
        <v>91</v>
      </c>
      <c r="E5747" s="5">
        <v>2023</v>
      </c>
      <c r="F5747" s="5">
        <v>9</v>
      </c>
      <c r="G5747" s="5" t="s">
        <v>54</v>
      </c>
      <c r="H5747" s="5">
        <v>2666651</v>
      </c>
      <c r="I5747" s="5">
        <v>2461807.86</v>
      </c>
      <c r="J5747" s="5">
        <v>36</v>
      </c>
      <c r="K5747" s="5">
        <v>505345</v>
      </c>
      <c r="L5747" s="5">
        <v>3169000</v>
      </c>
      <c r="M5747" s="5">
        <v>204843.14</v>
      </c>
      <c r="N5747" s="5">
        <v>7.6799999999999993E-2</v>
      </c>
      <c r="O5747" s="5">
        <v>2</v>
      </c>
      <c r="P5747" s="5">
        <v>90222</v>
      </c>
    </row>
    <row r="5748" spans="1:16" x14ac:dyDescent="0.3">
      <c r="A5748" s="5">
        <v>40</v>
      </c>
      <c r="B5748" s="5" t="s">
        <v>176</v>
      </c>
      <c r="C5748" s="5">
        <v>7</v>
      </c>
      <c r="D5748" s="5" t="s">
        <v>91</v>
      </c>
      <c r="E5748" s="5">
        <v>2023</v>
      </c>
      <c r="F5748" s="5">
        <v>10</v>
      </c>
      <c r="G5748" s="5" t="s">
        <v>55</v>
      </c>
      <c r="H5748" s="5">
        <v>3235729</v>
      </c>
      <c r="I5748" s="5">
        <v>2705377.86</v>
      </c>
      <c r="J5748" s="5">
        <v>49</v>
      </c>
      <c r="K5748" s="5">
        <v>256186</v>
      </c>
      <c r="L5748" s="5">
        <v>3480960</v>
      </c>
      <c r="M5748" s="5">
        <v>530351.14</v>
      </c>
      <c r="N5748" s="5">
        <v>0.16389999999999999</v>
      </c>
      <c r="O5748" s="5">
        <v>2</v>
      </c>
      <c r="P5748" s="5">
        <v>10574</v>
      </c>
    </row>
    <row r="5749" spans="1:16" x14ac:dyDescent="0.3">
      <c r="A5749" s="5">
        <v>40</v>
      </c>
      <c r="B5749" s="5" t="s">
        <v>176</v>
      </c>
      <c r="C5749" s="5">
        <v>7</v>
      </c>
      <c r="D5749" s="5" t="s">
        <v>91</v>
      </c>
      <c r="E5749" s="5">
        <v>2023</v>
      </c>
      <c r="F5749" s="5">
        <v>11</v>
      </c>
      <c r="G5749" s="5" t="s">
        <v>56</v>
      </c>
      <c r="H5749" s="5">
        <v>3297605</v>
      </c>
      <c r="I5749" s="5">
        <v>2921965.36</v>
      </c>
      <c r="J5749" s="5">
        <v>45</v>
      </c>
      <c r="K5749" s="5">
        <v>392545</v>
      </c>
      <c r="L5749" s="5">
        <v>3686020</v>
      </c>
      <c r="M5749" s="5">
        <v>375639.64</v>
      </c>
      <c r="N5749" s="5">
        <v>0.1139</v>
      </c>
      <c r="O5749" s="5">
        <v>0</v>
      </c>
      <c r="P5749" s="5">
        <v>0</v>
      </c>
    </row>
    <row r="5750" spans="1:16" x14ac:dyDescent="0.3">
      <c r="A5750" s="5">
        <v>40</v>
      </c>
      <c r="B5750" s="5" t="s">
        <v>176</v>
      </c>
      <c r="C5750" s="5">
        <v>7</v>
      </c>
      <c r="D5750" s="5" t="s">
        <v>91</v>
      </c>
      <c r="E5750" s="5">
        <v>2023</v>
      </c>
      <c r="F5750" s="5">
        <v>12</v>
      </c>
      <c r="G5750" s="5" t="s">
        <v>57</v>
      </c>
      <c r="H5750" s="5">
        <v>2949655</v>
      </c>
      <c r="I5750" s="5">
        <v>2670994.2599999998</v>
      </c>
      <c r="J5750" s="5">
        <v>38</v>
      </c>
      <c r="K5750" s="5">
        <v>457322</v>
      </c>
      <c r="L5750" s="5">
        <v>3398420</v>
      </c>
      <c r="M5750" s="5">
        <v>278660.74</v>
      </c>
      <c r="N5750" s="5">
        <v>9.4500000000000001E-2</v>
      </c>
      <c r="O5750" s="5">
        <v>3</v>
      </c>
      <c r="P5750" s="5">
        <v>74695</v>
      </c>
    </row>
    <row r="5751" spans="1:16" x14ac:dyDescent="0.3">
      <c r="A5751" s="5">
        <v>40</v>
      </c>
      <c r="B5751" s="5" t="s">
        <v>176</v>
      </c>
      <c r="C5751" s="5">
        <v>7</v>
      </c>
      <c r="D5751" s="5" t="s">
        <v>91</v>
      </c>
      <c r="E5751" s="5">
        <v>2024</v>
      </c>
      <c r="F5751" s="5">
        <v>1</v>
      </c>
      <c r="G5751" s="5" t="s">
        <v>58</v>
      </c>
      <c r="H5751" s="5">
        <v>1794314</v>
      </c>
      <c r="I5751" s="5">
        <v>1570136.81</v>
      </c>
      <c r="J5751" s="5">
        <v>32</v>
      </c>
      <c r="K5751" s="5">
        <v>296625</v>
      </c>
      <c r="L5751" s="5">
        <v>2088610</v>
      </c>
      <c r="M5751" s="5">
        <v>224177.19</v>
      </c>
      <c r="N5751" s="5">
        <v>0.1249</v>
      </c>
      <c r="O5751" s="5">
        <v>5</v>
      </c>
      <c r="P5751" s="5">
        <v>50406</v>
      </c>
    </row>
    <row r="5752" spans="1:16" x14ac:dyDescent="0.3">
      <c r="A5752" s="5">
        <v>40</v>
      </c>
      <c r="B5752" s="5" t="s">
        <v>176</v>
      </c>
      <c r="C5752" s="5">
        <v>7</v>
      </c>
      <c r="D5752" s="5" t="s">
        <v>91</v>
      </c>
      <c r="E5752" s="5">
        <v>2024</v>
      </c>
      <c r="F5752" s="5">
        <v>2</v>
      </c>
      <c r="G5752" s="5" t="s">
        <v>59</v>
      </c>
      <c r="H5752" s="5">
        <v>1794606</v>
      </c>
      <c r="I5752" s="5">
        <v>1514843.98</v>
      </c>
      <c r="J5752" s="5">
        <v>33</v>
      </c>
      <c r="K5752" s="5">
        <v>200095</v>
      </c>
      <c r="L5752" s="5">
        <v>1990480</v>
      </c>
      <c r="M5752" s="5">
        <v>279762.02</v>
      </c>
      <c r="N5752" s="5">
        <v>0.15590000000000001</v>
      </c>
      <c r="O5752" s="5">
        <v>3</v>
      </c>
      <c r="P5752" s="5">
        <v>4504</v>
      </c>
    </row>
    <row r="5753" spans="1:16" x14ac:dyDescent="0.3">
      <c r="A5753" s="5">
        <v>40</v>
      </c>
      <c r="B5753" s="5" t="s">
        <v>176</v>
      </c>
      <c r="C5753" s="5">
        <v>7</v>
      </c>
      <c r="D5753" s="5" t="s">
        <v>91</v>
      </c>
      <c r="E5753" s="5">
        <v>2024</v>
      </c>
      <c r="F5753" s="5">
        <v>3</v>
      </c>
      <c r="G5753" s="5" t="s">
        <v>60</v>
      </c>
      <c r="H5753" s="5">
        <v>1058430</v>
      </c>
      <c r="I5753" s="5">
        <v>889946.55</v>
      </c>
      <c r="J5753" s="5">
        <v>23</v>
      </c>
      <c r="K5753" s="5">
        <v>126548</v>
      </c>
      <c r="L5753" s="5">
        <v>1178770</v>
      </c>
      <c r="M5753" s="5">
        <v>168483.45</v>
      </c>
      <c r="N5753" s="5">
        <v>0.15920000000000001</v>
      </c>
      <c r="O5753" s="5">
        <v>3</v>
      </c>
      <c r="P5753" s="5">
        <v>76812</v>
      </c>
    </row>
    <row r="5754" spans="1:16" x14ac:dyDescent="0.3">
      <c r="A5754" s="5">
        <v>40</v>
      </c>
      <c r="B5754" s="5" t="s">
        <v>176</v>
      </c>
      <c r="C5754" s="5">
        <v>7</v>
      </c>
      <c r="D5754" s="5" t="s">
        <v>91</v>
      </c>
      <c r="E5754" s="5">
        <v>2024</v>
      </c>
      <c r="F5754" s="5">
        <v>4</v>
      </c>
      <c r="G5754" s="5" t="s">
        <v>61</v>
      </c>
      <c r="H5754" s="5">
        <v>1650202</v>
      </c>
      <c r="I5754" s="5">
        <v>1428684.84</v>
      </c>
      <c r="J5754" s="5">
        <v>28</v>
      </c>
      <c r="K5754" s="5">
        <v>190724</v>
      </c>
      <c r="L5754" s="5">
        <v>1829540</v>
      </c>
      <c r="M5754" s="5">
        <v>221517.16</v>
      </c>
      <c r="N5754" s="5">
        <v>0.13420000000000001</v>
      </c>
      <c r="O5754" s="5">
        <v>1</v>
      </c>
      <c r="P5754" s="5">
        <v>3078</v>
      </c>
    </row>
    <row r="5755" spans="1:16" x14ac:dyDescent="0.3">
      <c r="A5755" s="5">
        <v>40</v>
      </c>
      <c r="B5755" s="5" t="s">
        <v>176</v>
      </c>
      <c r="C5755" s="5">
        <v>7</v>
      </c>
      <c r="D5755" s="5" t="s">
        <v>91</v>
      </c>
      <c r="E5755" s="5">
        <v>2024</v>
      </c>
      <c r="F5755" s="5">
        <v>5</v>
      </c>
      <c r="G5755" s="5" t="s">
        <v>62</v>
      </c>
      <c r="H5755" s="5">
        <v>1699996</v>
      </c>
      <c r="I5755" s="5">
        <v>1495373.72</v>
      </c>
      <c r="J5755" s="5">
        <v>35</v>
      </c>
      <c r="K5755" s="5">
        <v>238844</v>
      </c>
      <c r="L5755" s="5">
        <v>1935500</v>
      </c>
      <c r="M5755" s="5">
        <v>204622.28</v>
      </c>
      <c r="N5755" s="5">
        <v>0.12039999999999999</v>
      </c>
      <c r="O5755" s="5">
        <v>0</v>
      </c>
      <c r="P5755" s="5">
        <v>0</v>
      </c>
    </row>
    <row r="5756" spans="1:16" x14ac:dyDescent="0.3">
      <c r="A5756" s="5">
        <v>40</v>
      </c>
      <c r="B5756" s="5" t="s">
        <v>176</v>
      </c>
      <c r="C5756" s="5">
        <v>7</v>
      </c>
      <c r="D5756" s="5" t="s">
        <v>91</v>
      </c>
      <c r="E5756" s="5">
        <v>2024</v>
      </c>
      <c r="F5756" s="5">
        <v>6</v>
      </c>
      <c r="G5756" s="5" t="s">
        <v>63</v>
      </c>
      <c r="H5756" s="5">
        <v>1926613</v>
      </c>
      <c r="I5756" s="5">
        <v>1541039.55</v>
      </c>
      <c r="J5756" s="5">
        <v>32</v>
      </c>
      <c r="K5756" s="5">
        <v>81186</v>
      </c>
      <c r="L5756" s="5">
        <v>1998790</v>
      </c>
      <c r="M5756" s="5">
        <v>385573.45</v>
      </c>
      <c r="N5756" s="5">
        <v>0.2001</v>
      </c>
      <c r="O5756" s="5">
        <v>3</v>
      </c>
      <c r="P5756" s="5">
        <v>40072</v>
      </c>
    </row>
    <row r="5757" spans="1:16" x14ac:dyDescent="0.3">
      <c r="A5757" s="5">
        <v>40</v>
      </c>
      <c r="B5757" s="5" t="s">
        <v>176</v>
      </c>
      <c r="C5757" s="5">
        <v>7</v>
      </c>
      <c r="D5757" s="5" t="s">
        <v>91</v>
      </c>
      <c r="E5757" s="5">
        <v>2024</v>
      </c>
      <c r="F5757" s="5">
        <v>7</v>
      </c>
      <c r="G5757" s="5" t="s">
        <v>64</v>
      </c>
      <c r="H5757" s="5">
        <v>1937746</v>
      </c>
      <c r="I5757" s="5">
        <v>1622171.66</v>
      </c>
      <c r="J5757" s="5">
        <v>39</v>
      </c>
      <c r="K5757" s="5">
        <v>177950</v>
      </c>
      <c r="L5757" s="5">
        <v>2110070</v>
      </c>
      <c r="M5757" s="5">
        <v>315574.34000000003</v>
      </c>
      <c r="N5757" s="5">
        <v>0.16289999999999999</v>
      </c>
      <c r="O5757" s="5">
        <v>1</v>
      </c>
      <c r="P5757" s="5">
        <v>9008</v>
      </c>
    </row>
    <row r="5758" spans="1:16" x14ac:dyDescent="0.3">
      <c r="A5758" s="5">
        <v>40</v>
      </c>
      <c r="B5758" s="5" t="s">
        <v>176</v>
      </c>
      <c r="C5758" s="5">
        <v>7</v>
      </c>
      <c r="D5758" s="5" t="s">
        <v>91</v>
      </c>
      <c r="E5758" s="5">
        <v>2024</v>
      </c>
      <c r="F5758" s="5">
        <v>8</v>
      </c>
      <c r="G5758" s="5" t="s">
        <v>65</v>
      </c>
      <c r="H5758" s="5">
        <v>2391544</v>
      </c>
      <c r="I5758" s="5">
        <v>2052355.95</v>
      </c>
      <c r="J5758" s="5">
        <v>39</v>
      </c>
      <c r="K5758" s="5">
        <v>245327</v>
      </c>
      <c r="L5758" s="5">
        <v>2619860</v>
      </c>
      <c r="M5758" s="5">
        <v>339188.05</v>
      </c>
      <c r="N5758" s="5">
        <v>0.14180000000000001</v>
      </c>
      <c r="O5758" s="5">
        <v>4</v>
      </c>
      <c r="P5758" s="5">
        <v>62518</v>
      </c>
    </row>
    <row r="5759" spans="1:16" x14ac:dyDescent="0.3">
      <c r="A5759" s="5">
        <v>40</v>
      </c>
      <c r="B5759" s="5" t="s">
        <v>176</v>
      </c>
      <c r="C5759" s="5">
        <v>7</v>
      </c>
      <c r="D5759" s="5" t="s">
        <v>91</v>
      </c>
      <c r="E5759" s="5">
        <v>2024</v>
      </c>
      <c r="F5759" s="5">
        <v>9</v>
      </c>
      <c r="G5759" s="5" t="s">
        <v>66</v>
      </c>
      <c r="H5759" s="5">
        <v>2913586</v>
      </c>
      <c r="I5759" s="5">
        <v>2397552.92</v>
      </c>
      <c r="J5759" s="5">
        <v>32</v>
      </c>
      <c r="K5759" s="5">
        <v>188209</v>
      </c>
      <c r="L5759" s="5">
        <v>3091040</v>
      </c>
      <c r="M5759" s="5">
        <v>516033.08</v>
      </c>
      <c r="N5759" s="5">
        <v>0.17710000000000001</v>
      </c>
      <c r="O5759" s="5">
        <v>0</v>
      </c>
      <c r="P5759" s="5">
        <v>0</v>
      </c>
    </row>
    <row r="5760" spans="1:16" x14ac:dyDescent="0.3">
      <c r="A5760" s="5">
        <v>40</v>
      </c>
      <c r="B5760" s="5" t="s">
        <v>176</v>
      </c>
      <c r="C5760" s="5">
        <v>7</v>
      </c>
      <c r="D5760" s="5" t="s">
        <v>91</v>
      </c>
      <c r="E5760" s="5">
        <v>2024</v>
      </c>
      <c r="F5760" s="5">
        <v>10</v>
      </c>
      <c r="G5760" s="5" t="s">
        <v>67</v>
      </c>
      <c r="H5760" s="5">
        <v>2158050</v>
      </c>
      <c r="I5760" s="5">
        <v>1711308.35</v>
      </c>
      <c r="J5760" s="5">
        <v>31</v>
      </c>
      <c r="K5760" s="5">
        <v>92631</v>
      </c>
      <c r="L5760" s="5">
        <v>2248840</v>
      </c>
      <c r="M5760" s="5">
        <v>446741.65</v>
      </c>
      <c r="N5760" s="5">
        <v>0.20699999999999999</v>
      </c>
      <c r="O5760" s="5">
        <v>0</v>
      </c>
      <c r="P5760" s="5">
        <v>0</v>
      </c>
    </row>
    <row r="5761" spans="1:16" x14ac:dyDescent="0.3">
      <c r="A5761" s="5">
        <v>40</v>
      </c>
      <c r="B5761" s="5" t="s">
        <v>176</v>
      </c>
      <c r="C5761" s="5">
        <v>7</v>
      </c>
      <c r="D5761" s="5" t="s">
        <v>91</v>
      </c>
      <c r="E5761" s="5">
        <v>2024</v>
      </c>
      <c r="F5761" s="5">
        <v>11</v>
      </c>
      <c r="G5761" s="5" t="s">
        <v>68</v>
      </c>
      <c r="H5761" s="5">
        <v>2908841</v>
      </c>
      <c r="I5761" s="5">
        <v>2619568.0099999998</v>
      </c>
      <c r="J5761" s="5">
        <v>43</v>
      </c>
      <c r="K5761" s="5">
        <v>363838</v>
      </c>
      <c r="L5761" s="5">
        <v>3270820</v>
      </c>
      <c r="M5761" s="5">
        <v>289272.99</v>
      </c>
      <c r="N5761" s="5">
        <v>9.9400000000000002E-2</v>
      </c>
      <c r="O5761" s="5">
        <v>3</v>
      </c>
      <c r="P5761" s="5">
        <v>35872</v>
      </c>
    </row>
    <row r="5762" spans="1:16" x14ac:dyDescent="0.3">
      <c r="A5762" s="5">
        <v>40</v>
      </c>
      <c r="B5762" s="5" t="s">
        <v>176</v>
      </c>
      <c r="C5762" s="5">
        <v>7</v>
      </c>
      <c r="D5762" s="5" t="s">
        <v>91</v>
      </c>
      <c r="E5762" s="5">
        <v>2024</v>
      </c>
      <c r="F5762" s="5">
        <v>12</v>
      </c>
      <c r="G5762" s="5" t="s">
        <v>69</v>
      </c>
      <c r="H5762" s="5">
        <v>3816993</v>
      </c>
      <c r="I5762" s="5">
        <v>3129538.68</v>
      </c>
      <c r="J5762" s="5">
        <v>51</v>
      </c>
      <c r="K5762" s="5">
        <v>119382</v>
      </c>
      <c r="L5762" s="5">
        <v>3926190</v>
      </c>
      <c r="M5762" s="5">
        <v>687454.32</v>
      </c>
      <c r="N5762" s="5">
        <v>0.18010000000000001</v>
      </c>
      <c r="O5762" s="5">
        <v>3</v>
      </c>
      <c r="P5762" s="5">
        <v>13931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Y12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11" customWidth="1"/>
    <col min="4" max="4" width="18" customWidth="1"/>
    <col min="5" max="5" width="15" customWidth="1"/>
    <col min="6" max="6" width="14" customWidth="1"/>
    <col min="7" max="8" width="21" customWidth="1"/>
    <col min="9" max="9" width="19" customWidth="1"/>
    <col min="10" max="10" width="13" customWidth="1"/>
    <col min="11" max="11" width="14" customWidth="1"/>
    <col min="12" max="12" width="18" customWidth="1"/>
    <col min="13" max="13" width="25" customWidth="1"/>
    <col min="14" max="14" width="16" customWidth="1"/>
    <col min="15" max="15" width="14" customWidth="1"/>
    <col min="16" max="17" width="22" customWidth="1"/>
    <col min="18" max="18" width="20" customWidth="1"/>
    <col min="19" max="19" width="14" customWidth="1"/>
    <col min="20" max="20" width="15" customWidth="1"/>
    <col min="21" max="21" width="19" customWidth="1"/>
    <col min="22" max="22" width="26" customWidth="1"/>
    <col min="23" max="23" width="19" customWidth="1"/>
    <col min="24" max="24" width="20" customWidth="1"/>
    <col min="25" max="25" width="17" customWidth="1"/>
  </cols>
  <sheetData>
    <row r="1" spans="1:25" x14ac:dyDescent="0.3">
      <c r="A1" s="8" t="s">
        <v>177</v>
      </c>
    </row>
    <row r="3" spans="1:25" x14ac:dyDescent="0.3">
      <c r="A3" s="9" t="s">
        <v>94</v>
      </c>
      <c r="B3" s="9" t="s">
        <v>95</v>
      </c>
      <c r="C3" s="9" t="s">
        <v>71</v>
      </c>
      <c r="D3" s="9" t="s">
        <v>72</v>
      </c>
      <c r="E3" s="9" t="s">
        <v>178</v>
      </c>
      <c r="F3" s="9" t="s">
        <v>179</v>
      </c>
      <c r="G3" s="9" t="s">
        <v>180</v>
      </c>
      <c r="H3" s="9" t="s">
        <v>181</v>
      </c>
      <c r="I3" s="9" t="s">
        <v>182</v>
      </c>
      <c r="J3" s="9" t="s">
        <v>183</v>
      </c>
      <c r="K3" s="9" t="s">
        <v>184</v>
      </c>
      <c r="L3" s="9" t="s">
        <v>185</v>
      </c>
      <c r="M3" s="9" t="s">
        <v>186</v>
      </c>
      <c r="N3" s="9" t="s">
        <v>187</v>
      </c>
      <c r="O3" s="9" t="s">
        <v>188</v>
      </c>
      <c r="P3" s="9" t="s">
        <v>189</v>
      </c>
      <c r="Q3" s="9" t="s">
        <v>190</v>
      </c>
      <c r="R3" s="9" t="s">
        <v>191</v>
      </c>
      <c r="S3" s="9" t="s">
        <v>192</v>
      </c>
      <c r="T3" s="9" t="s">
        <v>193</v>
      </c>
      <c r="U3" s="9" t="s">
        <v>194</v>
      </c>
      <c r="V3" s="9" t="s">
        <v>195</v>
      </c>
      <c r="W3" s="9" t="s">
        <v>196</v>
      </c>
      <c r="X3" s="9" t="s">
        <v>197</v>
      </c>
      <c r="Y3" s="9" t="s">
        <v>198</v>
      </c>
    </row>
    <row r="4" spans="1:25" x14ac:dyDescent="0.3">
      <c r="A4" s="5">
        <v>82</v>
      </c>
      <c r="B4" s="5" t="s">
        <v>100</v>
      </c>
      <c r="C4" s="5">
        <v>4</v>
      </c>
      <c r="D4" s="5" t="s">
        <v>78</v>
      </c>
      <c r="E4" s="5">
        <v>101854767</v>
      </c>
      <c r="F4" s="5">
        <v>83518149.879999995</v>
      </c>
      <c r="G4" s="5">
        <v>5903840</v>
      </c>
      <c r="H4" s="5">
        <v>107393300</v>
      </c>
      <c r="I4" s="5">
        <v>1433</v>
      </c>
      <c r="J4" s="5">
        <v>3180</v>
      </c>
      <c r="K4" s="5">
        <v>18336617.120000001</v>
      </c>
      <c r="L4" s="5">
        <v>0.18</v>
      </c>
      <c r="M4" s="5">
        <v>5.5E-2</v>
      </c>
      <c r="N4" s="5">
        <v>68384180</v>
      </c>
      <c r="O4" s="5">
        <v>58998120.100000001</v>
      </c>
      <c r="P4" s="5">
        <v>7842824</v>
      </c>
      <c r="Q4" s="5">
        <v>75943640</v>
      </c>
      <c r="R4" s="5">
        <v>1105</v>
      </c>
      <c r="S4" s="5">
        <v>2392</v>
      </c>
      <c r="T4" s="5">
        <v>9386059.9000000004</v>
      </c>
      <c r="U4" s="5">
        <v>0.13730000000000001</v>
      </c>
      <c r="V4" s="5">
        <v>0.1033</v>
      </c>
      <c r="W4" s="5">
        <v>3.4299999999999997E-2</v>
      </c>
      <c r="X4" s="5">
        <v>0.4894</v>
      </c>
      <c r="Y4" s="5">
        <v>0.04</v>
      </c>
    </row>
    <row r="5" spans="1:25" x14ac:dyDescent="0.3">
      <c r="A5" s="5">
        <v>42</v>
      </c>
      <c r="B5" s="5" t="s">
        <v>101</v>
      </c>
      <c r="C5" s="5">
        <v>4</v>
      </c>
      <c r="D5" s="5" t="s">
        <v>78</v>
      </c>
      <c r="E5" s="5">
        <v>23674489</v>
      </c>
      <c r="F5" s="5">
        <v>19305902.66</v>
      </c>
      <c r="G5" s="5">
        <v>1430237</v>
      </c>
      <c r="H5" s="5">
        <v>25027930</v>
      </c>
      <c r="I5" s="5">
        <v>330</v>
      </c>
      <c r="J5" s="5">
        <v>761</v>
      </c>
      <c r="K5" s="5">
        <v>4368586.34</v>
      </c>
      <c r="L5" s="5">
        <v>0.1845</v>
      </c>
      <c r="M5" s="5">
        <v>5.7099999999999998E-2</v>
      </c>
      <c r="N5" s="5">
        <v>17251617</v>
      </c>
      <c r="O5" s="5">
        <v>15170080.550000001</v>
      </c>
      <c r="P5" s="5">
        <v>2132533</v>
      </c>
      <c r="Q5" s="5">
        <v>19324710</v>
      </c>
      <c r="R5" s="5">
        <v>253</v>
      </c>
      <c r="S5" s="5">
        <v>553</v>
      </c>
      <c r="T5" s="5">
        <v>2081536.45</v>
      </c>
      <c r="U5" s="5">
        <v>0.1207</v>
      </c>
      <c r="V5" s="5">
        <v>0.1104</v>
      </c>
      <c r="W5" s="5">
        <v>3.4200000000000001E-2</v>
      </c>
      <c r="X5" s="5">
        <v>0.37230000000000002</v>
      </c>
      <c r="Y5" s="5">
        <v>0.06</v>
      </c>
    </row>
    <row r="6" spans="1:25" x14ac:dyDescent="0.3">
      <c r="A6" s="5">
        <v>33</v>
      </c>
      <c r="B6" s="5" t="s">
        <v>102</v>
      </c>
      <c r="C6" s="5">
        <v>2</v>
      </c>
      <c r="D6" s="5" t="s">
        <v>88</v>
      </c>
      <c r="E6" s="5">
        <v>8773684</v>
      </c>
      <c r="F6" s="5">
        <v>7092388.5599999996</v>
      </c>
      <c r="G6" s="5">
        <v>501149</v>
      </c>
      <c r="H6" s="5">
        <v>9240140</v>
      </c>
      <c r="I6" s="5">
        <v>143</v>
      </c>
      <c r="J6" s="5">
        <v>310</v>
      </c>
      <c r="K6" s="5">
        <v>1681295.44</v>
      </c>
      <c r="L6" s="5">
        <v>0.19159999999999999</v>
      </c>
      <c r="M6" s="5">
        <v>5.4199999999999998E-2</v>
      </c>
      <c r="N6" s="5">
        <v>6958758</v>
      </c>
      <c r="O6" s="5">
        <v>6123577.21</v>
      </c>
      <c r="P6" s="5">
        <v>894536</v>
      </c>
      <c r="Q6" s="5">
        <v>7844010</v>
      </c>
      <c r="R6" s="5">
        <v>106</v>
      </c>
      <c r="S6" s="5">
        <v>247</v>
      </c>
      <c r="T6" s="5">
        <v>835180.79</v>
      </c>
      <c r="U6" s="5">
        <v>0.12</v>
      </c>
      <c r="V6" s="5">
        <v>0.114</v>
      </c>
      <c r="W6" s="5">
        <v>4.8399999999999999E-2</v>
      </c>
      <c r="X6" s="5">
        <v>0.26079999999999998</v>
      </c>
      <c r="Y6" s="5">
        <v>7.0000000000000007E-2</v>
      </c>
    </row>
    <row r="7" spans="1:25" x14ac:dyDescent="0.3">
      <c r="A7" s="5">
        <v>105</v>
      </c>
      <c r="B7" s="5" t="s">
        <v>102</v>
      </c>
      <c r="C7" s="5">
        <v>2</v>
      </c>
      <c r="D7" s="5" t="s">
        <v>88</v>
      </c>
      <c r="E7" s="5">
        <v>18980924</v>
      </c>
      <c r="F7" s="5">
        <v>15405472.35</v>
      </c>
      <c r="G7" s="5">
        <v>906444</v>
      </c>
      <c r="H7" s="5">
        <v>19785650</v>
      </c>
      <c r="I7" s="5">
        <v>297</v>
      </c>
      <c r="J7" s="5">
        <v>644</v>
      </c>
      <c r="K7" s="5">
        <v>3575451.65</v>
      </c>
      <c r="L7" s="5">
        <v>0.18840000000000001</v>
      </c>
      <c r="M7" s="5">
        <v>4.58E-2</v>
      </c>
      <c r="N7" s="5">
        <v>14960019</v>
      </c>
      <c r="O7" s="5">
        <v>12854057.27</v>
      </c>
      <c r="P7" s="5">
        <v>1647468</v>
      </c>
      <c r="Q7" s="5">
        <v>16542910</v>
      </c>
      <c r="R7" s="5">
        <v>225</v>
      </c>
      <c r="S7" s="5">
        <v>494</v>
      </c>
      <c r="T7" s="5">
        <v>2105961.73</v>
      </c>
      <c r="U7" s="5">
        <v>0.14080000000000001</v>
      </c>
      <c r="V7" s="5">
        <v>9.9599999999999994E-2</v>
      </c>
      <c r="W7" s="5">
        <v>2.4799999999999999E-2</v>
      </c>
      <c r="X7" s="5">
        <v>0.26879999999999998</v>
      </c>
      <c r="Y7" s="5">
        <v>0.05</v>
      </c>
    </row>
    <row r="8" spans="1:25" x14ac:dyDescent="0.3">
      <c r="A8" s="5">
        <v>3</v>
      </c>
      <c r="B8" s="5" t="s">
        <v>103</v>
      </c>
      <c r="C8" s="5">
        <v>2</v>
      </c>
      <c r="D8" s="5" t="s">
        <v>88</v>
      </c>
      <c r="E8" s="5">
        <v>34867529</v>
      </c>
      <c r="F8" s="5">
        <v>28562229.670000002</v>
      </c>
      <c r="G8" s="5">
        <v>2192997</v>
      </c>
      <c r="H8" s="5">
        <v>36961930</v>
      </c>
      <c r="I8" s="5">
        <v>482</v>
      </c>
      <c r="J8" s="5">
        <v>1072</v>
      </c>
      <c r="K8" s="5">
        <v>6305299.3300000001</v>
      </c>
      <c r="L8" s="5">
        <v>0.18079999999999999</v>
      </c>
      <c r="M8" s="5">
        <v>5.9299999999999999E-2</v>
      </c>
      <c r="N8" s="5">
        <v>26569033</v>
      </c>
      <c r="O8" s="5">
        <v>22786936.190000001</v>
      </c>
      <c r="P8" s="5">
        <v>2874276</v>
      </c>
      <c r="Q8" s="5">
        <v>29364600</v>
      </c>
      <c r="R8" s="5">
        <v>401</v>
      </c>
      <c r="S8" s="5">
        <v>858</v>
      </c>
      <c r="T8" s="5">
        <v>3782096.81</v>
      </c>
      <c r="U8" s="5">
        <v>0.14230000000000001</v>
      </c>
      <c r="V8" s="5">
        <v>9.7900000000000001E-2</v>
      </c>
      <c r="W8" s="5">
        <v>3.4500000000000003E-2</v>
      </c>
      <c r="X8" s="5">
        <v>0.31230000000000002</v>
      </c>
      <c r="Y8" s="5">
        <v>0.04</v>
      </c>
    </row>
    <row r="9" spans="1:25" x14ac:dyDescent="0.3">
      <c r="A9" s="5">
        <v>60</v>
      </c>
      <c r="B9" s="5" t="s">
        <v>104</v>
      </c>
      <c r="C9" s="5">
        <v>2</v>
      </c>
      <c r="D9" s="5" t="s">
        <v>88</v>
      </c>
      <c r="E9" s="5">
        <v>13824310</v>
      </c>
      <c r="F9" s="5">
        <v>11324838.1</v>
      </c>
      <c r="G9" s="5">
        <v>844619</v>
      </c>
      <c r="H9" s="5">
        <v>14625540</v>
      </c>
      <c r="I9" s="5">
        <v>213</v>
      </c>
      <c r="J9" s="5">
        <v>480</v>
      </c>
      <c r="K9" s="5">
        <v>2499471.9</v>
      </c>
      <c r="L9" s="5">
        <v>0.18079999999999999</v>
      </c>
      <c r="M9" s="5">
        <v>5.7700000000000001E-2</v>
      </c>
      <c r="N9" s="5">
        <v>12195516</v>
      </c>
      <c r="O9" s="5">
        <v>10147356.949999999</v>
      </c>
      <c r="P9" s="5">
        <v>997981</v>
      </c>
      <c r="Q9" s="5">
        <v>13150730</v>
      </c>
      <c r="R9" s="5">
        <v>173</v>
      </c>
      <c r="S9" s="5">
        <v>387</v>
      </c>
      <c r="T9" s="5">
        <v>2048159.05</v>
      </c>
      <c r="U9" s="5">
        <v>0.16789999999999999</v>
      </c>
      <c r="V9" s="5">
        <v>7.5899999999999995E-2</v>
      </c>
      <c r="W9" s="5">
        <v>3.3300000000000003E-2</v>
      </c>
      <c r="X9" s="5">
        <v>0.1336</v>
      </c>
      <c r="Y9" s="5">
        <v>0.01</v>
      </c>
    </row>
    <row r="10" spans="1:25" x14ac:dyDescent="0.3">
      <c r="A10" s="5">
        <v>72</v>
      </c>
      <c r="B10" s="5" t="s">
        <v>104</v>
      </c>
      <c r="C10" s="5">
        <v>2</v>
      </c>
      <c r="D10" s="5" t="s">
        <v>88</v>
      </c>
      <c r="E10" s="5">
        <v>16754805</v>
      </c>
      <c r="F10" s="5">
        <v>13740100.300000001</v>
      </c>
      <c r="G10" s="5">
        <v>1061112</v>
      </c>
      <c r="H10" s="5">
        <v>17747390</v>
      </c>
      <c r="I10" s="5">
        <v>222</v>
      </c>
      <c r="J10" s="5">
        <v>500</v>
      </c>
      <c r="K10" s="5">
        <v>3014704.7</v>
      </c>
      <c r="L10" s="5">
        <v>0.1799</v>
      </c>
      <c r="M10" s="5">
        <v>5.9799999999999999E-2</v>
      </c>
      <c r="N10" s="5">
        <v>11483018</v>
      </c>
      <c r="O10" s="5">
        <v>10050420.720000001</v>
      </c>
      <c r="P10" s="5">
        <v>1409173</v>
      </c>
      <c r="Q10" s="5">
        <v>12861630</v>
      </c>
      <c r="R10" s="5">
        <v>173</v>
      </c>
      <c r="S10" s="5">
        <v>358</v>
      </c>
      <c r="T10" s="5">
        <v>1432597.28</v>
      </c>
      <c r="U10" s="5">
        <v>0.12479999999999999</v>
      </c>
      <c r="V10" s="5">
        <v>0.1096</v>
      </c>
      <c r="W10" s="5">
        <v>3.5999999999999997E-2</v>
      </c>
      <c r="X10" s="5">
        <v>0.45910000000000001</v>
      </c>
      <c r="Y10" s="5">
        <v>0.06</v>
      </c>
    </row>
    <row r="11" spans="1:25" x14ac:dyDescent="0.3">
      <c r="A11" s="5">
        <v>7</v>
      </c>
      <c r="B11" s="5" t="s">
        <v>105</v>
      </c>
      <c r="C11" s="5">
        <v>5</v>
      </c>
      <c r="D11" s="5" t="s">
        <v>80</v>
      </c>
      <c r="E11" s="5">
        <v>19550260</v>
      </c>
      <c r="F11" s="5">
        <v>15947156.76</v>
      </c>
      <c r="G11" s="5">
        <v>1066155</v>
      </c>
      <c r="H11" s="5">
        <v>20556530</v>
      </c>
      <c r="I11" s="5">
        <v>293</v>
      </c>
      <c r="J11" s="5">
        <v>638</v>
      </c>
      <c r="K11" s="5">
        <v>3603103.24</v>
      </c>
      <c r="L11" s="5">
        <v>0.18429999999999999</v>
      </c>
      <c r="M11" s="5">
        <v>5.1900000000000002E-2</v>
      </c>
      <c r="N11" s="5">
        <v>15020882</v>
      </c>
      <c r="O11" s="5">
        <v>12834763.189999999</v>
      </c>
      <c r="P11" s="5">
        <v>1619194</v>
      </c>
      <c r="Q11" s="5">
        <v>16596250</v>
      </c>
      <c r="R11" s="5">
        <v>224</v>
      </c>
      <c r="S11" s="5">
        <v>515</v>
      </c>
      <c r="T11" s="5">
        <v>2186118.81</v>
      </c>
      <c r="U11" s="5">
        <v>0.14549999999999999</v>
      </c>
      <c r="V11" s="5">
        <v>9.7600000000000006E-2</v>
      </c>
      <c r="W11" s="5">
        <v>2.6599999999999999E-2</v>
      </c>
      <c r="X11" s="5">
        <v>0.30149999999999999</v>
      </c>
      <c r="Y11" s="5">
        <v>0.04</v>
      </c>
    </row>
    <row r="12" spans="1:25" x14ac:dyDescent="0.3">
      <c r="A12" s="5">
        <v>68</v>
      </c>
      <c r="B12" s="5" t="s">
        <v>106</v>
      </c>
      <c r="C12" s="5">
        <v>5</v>
      </c>
      <c r="D12" s="5" t="s">
        <v>80</v>
      </c>
      <c r="E12" s="5">
        <v>36935554</v>
      </c>
      <c r="F12" s="5">
        <v>30517359.390000001</v>
      </c>
      <c r="G12" s="5">
        <v>2375158</v>
      </c>
      <c r="H12" s="5">
        <v>39195260</v>
      </c>
      <c r="I12" s="5">
        <v>502</v>
      </c>
      <c r="J12" s="5">
        <v>1083</v>
      </c>
      <c r="K12" s="5">
        <v>6418194.6100000003</v>
      </c>
      <c r="L12" s="5">
        <v>0.17380000000000001</v>
      </c>
      <c r="M12" s="5">
        <v>6.0600000000000001E-2</v>
      </c>
      <c r="N12" s="5">
        <v>27064300</v>
      </c>
      <c r="O12" s="5">
        <v>23247124.91</v>
      </c>
      <c r="P12" s="5">
        <v>3042016</v>
      </c>
      <c r="Q12" s="5">
        <v>30017640</v>
      </c>
      <c r="R12" s="5">
        <v>394</v>
      </c>
      <c r="S12" s="5">
        <v>888</v>
      </c>
      <c r="T12" s="5">
        <v>3817175.09</v>
      </c>
      <c r="U12" s="5">
        <v>0.14099999999999999</v>
      </c>
      <c r="V12" s="5">
        <v>0.1013</v>
      </c>
      <c r="W12" s="5">
        <v>3.0499999999999999E-2</v>
      </c>
      <c r="X12" s="5">
        <v>0.36470000000000002</v>
      </c>
      <c r="Y12" s="5">
        <v>0.03</v>
      </c>
    </row>
    <row r="13" spans="1:25" x14ac:dyDescent="0.3">
      <c r="A13" s="5">
        <v>98</v>
      </c>
      <c r="B13" s="5" t="s">
        <v>106</v>
      </c>
      <c r="C13" s="5">
        <v>5</v>
      </c>
      <c r="D13" s="5" t="s">
        <v>80</v>
      </c>
      <c r="E13" s="5">
        <v>73810081</v>
      </c>
      <c r="F13" s="5">
        <v>60735366.880000003</v>
      </c>
      <c r="G13" s="5">
        <v>4594132</v>
      </c>
      <c r="H13" s="5">
        <v>78187120</v>
      </c>
      <c r="I13" s="5">
        <v>1029</v>
      </c>
      <c r="J13" s="5">
        <v>2283</v>
      </c>
      <c r="K13" s="5">
        <v>13074714.119999999</v>
      </c>
      <c r="L13" s="5">
        <v>0.17710000000000001</v>
      </c>
      <c r="M13" s="5">
        <v>5.8799999999999998E-2</v>
      </c>
      <c r="N13" s="5">
        <v>56795916</v>
      </c>
      <c r="O13" s="5">
        <v>48979435.759999998</v>
      </c>
      <c r="P13" s="5">
        <v>6495680</v>
      </c>
      <c r="Q13" s="5">
        <v>63110730</v>
      </c>
      <c r="R13" s="5">
        <v>794</v>
      </c>
      <c r="S13" s="5">
        <v>1771</v>
      </c>
      <c r="T13" s="5">
        <v>7816480.2400000002</v>
      </c>
      <c r="U13" s="5">
        <v>0.1376</v>
      </c>
      <c r="V13" s="5">
        <v>0.10290000000000001</v>
      </c>
      <c r="W13" s="5">
        <v>3.85E-2</v>
      </c>
      <c r="X13" s="5">
        <v>0.29959999999999998</v>
      </c>
      <c r="Y13" s="5">
        <v>0.04</v>
      </c>
    </row>
    <row r="14" spans="1:25" x14ac:dyDescent="0.3">
      <c r="A14" s="5">
        <v>90</v>
      </c>
      <c r="B14" s="5" t="s">
        <v>107</v>
      </c>
      <c r="C14" s="5">
        <v>11</v>
      </c>
      <c r="D14" s="5" t="s">
        <v>83</v>
      </c>
      <c r="E14" s="5">
        <v>15836198</v>
      </c>
      <c r="F14" s="5">
        <v>13039315.699999999</v>
      </c>
      <c r="G14" s="5">
        <v>895046</v>
      </c>
      <c r="H14" s="5">
        <v>16667180</v>
      </c>
      <c r="I14" s="5">
        <v>217</v>
      </c>
      <c r="J14" s="5">
        <v>486</v>
      </c>
      <c r="K14" s="5">
        <v>2796882.3</v>
      </c>
      <c r="L14" s="5">
        <v>0.17660000000000001</v>
      </c>
      <c r="M14" s="5">
        <v>5.3699999999999998E-2</v>
      </c>
      <c r="N14" s="5">
        <v>8309214</v>
      </c>
      <c r="O14" s="5">
        <v>7084729.6600000001</v>
      </c>
      <c r="P14" s="5">
        <v>861467</v>
      </c>
      <c r="Q14" s="5">
        <v>9136840</v>
      </c>
      <c r="R14" s="5">
        <v>147</v>
      </c>
      <c r="S14" s="5">
        <v>321</v>
      </c>
      <c r="T14" s="5">
        <v>1224484.3400000001</v>
      </c>
      <c r="U14" s="5">
        <v>0.1474</v>
      </c>
      <c r="V14" s="5">
        <v>9.4299999999999995E-2</v>
      </c>
      <c r="W14" s="5">
        <v>2.2599999999999999E-2</v>
      </c>
      <c r="X14" s="5">
        <v>0.90590000000000004</v>
      </c>
      <c r="Y14" s="5">
        <v>0.03</v>
      </c>
    </row>
    <row r="15" spans="1:25" x14ac:dyDescent="0.3">
      <c r="A15" s="5">
        <v>20</v>
      </c>
      <c r="B15" s="5" t="s">
        <v>108</v>
      </c>
      <c r="C15" s="5">
        <v>10</v>
      </c>
      <c r="D15" s="5" t="s">
        <v>86</v>
      </c>
      <c r="E15" s="5">
        <v>36652982</v>
      </c>
      <c r="F15" s="5">
        <v>30274626.989999998</v>
      </c>
      <c r="G15" s="5">
        <v>2341872</v>
      </c>
      <c r="H15" s="5">
        <v>38903040</v>
      </c>
      <c r="I15" s="5">
        <v>481</v>
      </c>
      <c r="J15" s="5">
        <v>1089</v>
      </c>
      <c r="K15" s="5">
        <v>6378355.0099999998</v>
      </c>
      <c r="L15" s="5">
        <v>0.17399999999999999</v>
      </c>
      <c r="M15" s="5">
        <v>6.0199999999999997E-2</v>
      </c>
      <c r="N15" s="5">
        <v>24079752</v>
      </c>
      <c r="O15" s="5">
        <v>20850555.899999999</v>
      </c>
      <c r="P15" s="5">
        <v>2802787</v>
      </c>
      <c r="Q15" s="5">
        <v>26783760</v>
      </c>
      <c r="R15" s="5">
        <v>352</v>
      </c>
      <c r="S15" s="5">
        <v>770</v>
      </c>
      <c r="T15" s="5">
        <v>3229196.1</v>
      </c>
      <c r="U15" s="5">
        <v>0.1341</v>
      </c>
      <c r="V15" s="5">
        <v>0.1046</v>
      </c>
      <c r="W15" s="5">
        <v>3.49E-2</v>
      </c>
      <c r="X15" s="5">
        <v>0.52210000000000001</v>
      </c>
      <c r="Y15" s="5">
        <v>0.04</v>
      </c>
    </row>
    <row r="16" spans="1:25" x14ac:dyDescent="0.3">
      <c r="A16" s="5">
        <v>83</v>
      </c>
      <c r="B16" s="5" t="s">
        <v>109</v>
      </c>
      <c r="C16" s="5">
        <v>2</v>
      </c>
      <c r="D16" s="5" t="s">
        <v>88</v>
      </c>
      <c r="E16" s="5">
        <v>16019523</v>
      </c>
      <c r="F16" s="5">
        <v>13013315.18</v>
      </c>
      <c r="G16" s="5">
        <v>819448</v>
      </c>
      <c r="H16" s="5">
        <v>16773960</v>
      </c>
      <c r="I16" s="5">
        <v>237</v>
      </c>
      <c r="J16" s="5">
        <v>518</v>
      </c>
      <c r="K16" s="5">
        <v>3006207.82</v>
      </c>
      <c r="L16" s="5">
        <v>0.18770000000000001</v>
      </c>
      <c r="M16" s="5">
        <v>4.8899999999999999E-2</v>
      </c>
      <c r="N16" s="5">
        <v>13371066</v>
      </c>
      <c r="O16" s="5">
        <v>11766653.1</v>
      </c>
      <c r="P16" s="5">
        <v>1732700</v>
      </c>
      <c r="Q16" s="5">
        <v>15057980</v>
      </c>
      <c r="R16" s="5">
        <v>190</v>
      </c>
      <c r="S16" s="5">
        <v>412</v>
      </c>
      <c r="T16" s="5">
        <v>1604412.9</v>
      </c>
      <c r="U16" s="5">
        <v>0.12</v>
      </c>
      <c r="V16" s="5">
        <v>0.11509999999999999</v>
      </c>
      <c r="W16" s="5">
        <v>4.2500000000000003E-2</v>
      </c>
      <c r="X16" s="5">
        <v>0.1981</v>
      </c>
      <c r="Y16" s="5">
        <v>7.0000000000000007E-2</v>
      </c>
    </row>
    <row r="17" spans="1:25" x14ac:dyDescent="0.3">
      <c r="A17" s="5">
        <v>11</v>
      </c>
      <c r="B17" s="5" t="s">
        <v>110</v>
      </c>
      <c r="C17" s="5">
        <v>2</v>
      </c>
      <c r="D17" s="5" t="s">
        <v>88</v>
      </c>
      <c r="E17" s="5">
        <v>24716332</v>
      </c>
      <c r="F17" s="5">
        <v>20505322.489999998</v>
      </c>
      <c r="G17" s="5">
        <v>1602067</v>
      </c>
      <c r="H17" s="5">
        <v>26236650</v>
      </c>
      <c r="I17" s="5">
        <v>397</v>
      </c>
      <c r="J17" s="5">
        <v>851</v>
      </c>
      <c r="K17" s="5">
        <v>4211009.51</v>
      </c>
      <c r="L17" s="5">
        <v>0.1704</v>
      </c>
      <c r="M17" s="5">
        <v>6.1100000000000002E-2</v>
      </c>
      <c r="N17" s="5">
        <v>22562051</v>
      </c>
      <c r="O17" s="5">
        <v>19531044.870000001</v>
      </c>
      <c r="P17" s="5">
        <v>2617630</v>
      </c>
      <c r="Q17" s="5">
        <v>25116500</v>
      </c>
      <c r="R17" s="5">
        <v>303</v>
      </c>
      <c r="S17" s="5">
        <v>702</v>
      </c>
      <c r="T17" s="5">
        <v>3031006.13</v>
      </c>
      <c r="U17" s="5">
        <v>0.1343</v>
      </c>
      <c r="V17" s="5">
        <v>0.1042</v>
      </c>
      <c r="W17" s="5">
        <v>3.4099999999999998E-2</v>
      </c>
      <c r="X17" s="5">
        <v>9.5500000000000002E-2</v>
      </c>
      <c r="Y17" s="5">
        <v>0.04</v>
      </c>
    </row>
    <row r="18" spans="1:25" x14ac:dyDescent="0.3">
      <c r="A18" s="5">
        <v>65</v>
      </c>
      <c r="B18" s="5" t="s">
        <v>110</v>
      </c>
      <c r="C18" s="5">
        <v>2</v>
      </c>
      <c r="D18" s="5" t="s">
        <v>88</v>
      </c>
      <c r="E18" s="5">
        <v>33967229</v>
      </c>
      <c r="F18" s="5">
        <v>27972978</v>
      </c>
      <c r="G18" s="5">
        <v>1825721</v>
      </c>
      <c r="H18" s="5">
        <v>35673250</v>
      </c>
      <c r="I18" s="5">
        <v>498</v>
      </c>
      <c r="J18" s="5">
        <v>1051</v>
      </c>
      <c r="K18" s="5">
        <v>5994251</v>
      </c>
      <c r="L18" s="5">
        <v>0.17649999999999999</v>
      </c>
      <c r="M18" s="5">
        <v>5.1200000000000002E-2</v>
      </c>
      <c r="N18" s="5">
        <v>25372275</v>
      </c>
      <c r="O18" s="5">
        <v>21617898.16</v>
      </c>
      <c r="P18" s="5">
        <v>2790128</v>
      </c>
      <c r="Q18" s="5">
        <v>28075090</v>
      </c>
      <c r="R18" s="5">
        <v>378</v>
      </c>
      <c r="S18" s="5">
        <v>834</v>
      </c>
      <c r="T18" s="5">
        <v>3754376.84</v>
      </c>
      <c r="U18" s="5">
        <v>0.14799999999999999</v>
      </c>
      <c r="V18" s="5">
        <v>9.9400000000000002E-2</v>
      </c>
      <c r="W18" s="5">
        <v>3.6200000000000003E-2</v>
      </c>
      <c r="X18" s="5">
        <v>0.33879999999999999</v>
      </c>
      <c r="Y18" s="5">
        <v>0.03</v>
      </c>
    </row>
    <row r="19" spans="1:25" x14ac:dyDescent="0.3">
      <c r="A19" s="5">
        <v>89</v>
      </c>
      <c r="B19" s="5" t="s">
        <v>110</v>
      </c>
      <c r="C19" s="5">
        <v>2</v>
      </c>
      <c r="D19" s="5" t="s">
        <v>88</v>
      </c>
      <c r="E19" s="5">
        <v>23723799</v>
      </c>
      <c r="F19" s="5">
        <v>19788407.170000002</v>
      </c>
      <c r="G19" s="5">
        <v>1742126</v>
      </c>
      <c r="H19" s="5">
        <v>25404170</v>
      </c>
      <c r="I19" s="5">
        <v>346</v>
      </c>
      <c r="J19" s="5">
        <v>769</v>
      </c>
      <c r="K19" s="5">
        <v>3935391.83</v>
      </c>
      <c r="L19" s="5">
        <v>0.16589999999999999</v>
      </c>
      <c r="M19" s="5">
        <v>6.8599999999999994E-2</v>
      </c>
      <c r="N19" s="5">
        <v>19843171</v>
      </c>
      <c r="O19" s="5">
        <v>17067195.690000001</v>
      </c>
      <c r="P19" s="5">
        <v>2167164</v>
      </c>
      <c r="Q19" s="5">
        <v>21953670</v>
      </c>
      <c r="R19" s="5">
        <v>298</v>
      </c>
      <c r="S19" s="5">
        <v>666</v>
      </c>
      <c r="T19" s="5">
        <v>2775975.31</v>
      </c>
      <c r="U19" s="5">
        <v>0.1399</v>
      </c>
      <c r="V19" s="5">
        <v>9.8699999999999996E-2</v>
      </c>
      <c r="W19" s="5">
        <v>3.6400000000000002E-2</v>
      </c>
      <c r="X19" s="5">
        <v>0.1956</v>
      </c>
      <c r="Y19" s="5">
        <v>0.03</v>
      </c>
    </row>
    <row r="20" spans="1:25" x14ac:dyDescent="0.3">
      <c r="A20" s="5">
        <v>103</v>
      </c>
      <c r="B20" s="5" t="s">
        <v>110</v>
      </c>
      <c r="C20" s="5">
        <v>2</v>
      </c>
      <c r="D20" s="5" t="s">
        <v>88</v>
      </c>
      <c r="E20" s="5">
        <v>39794404</v>
      </c>
      <c r="F20" s="5">
        <v>32842634.57</v>
      </c>
      <c r="G20" s="5">
        <v>2713914</v>
      </c>
      <c r="H20" s="5">
        <v>42388700</v>
      </c>
      <c r="I20" s="5">
        <v>577</v>
      </c>
      <c r="J20" s="5">
        <v>1254</v>
      </c>
      <c r="K20" s="5">
        <v>6951769.4299999997</v>
      </c>
      <c r="L20" s="5">
        <v>0.17469999999999999</v>
      </c>
      <c r="M20" s="5">
        <v>6.4000000000000001E-2</v>
      </c>
      <c r="N20" s="5">
        <v>30569746</v>
      </c>
      <c r="O20" s="5">
        <v>26211028.800000001</v>
      </c>
      <c r="P20" s="5">
        <v>3238678</v>
      </c>
      <c r="Q20" s="5">
        <v>33722460</v>
      </c>
      <c r="R20" s="5">
        <v>421</v>
      </c>
      <c r="S20" s="5">
        <v>924</v>
      </c>
      <c r="T20" s="5">
        <v>4358717.2</v>
      </c>
      <c r="U20" s="5">
        <v>0.1426</v>
      </c>
      <c r="V20" s="5">
        <v>9.6000000000000002E-2</v>
      </c>
      <c r="W20" s="5">
        <v>3.0300000000000001E-2</v>
      </c>
      <c r="X20" s="5">
        <v>0.30180000000000001</v>
      </c>
      <c r="Y20" s="5">
        <v>0.03</v>
      </c>
    </row>
    <row r="21" spans="1:25" x14ac:dyDescent="0.3">
      <c r="A21" s="5">
        <v>114</v>
      </c>
      <c r="B21" s="5" t="s">
        <v>110</v>
      </c>
      <c r="C21" s="5">
        <v>2</v>
      </c>
      <c r="D21" s="5" t="s">
        <v>88</v>
      </c>
      <c r="E21" s="5">
        <v>29949652</v>
      </c>
      <c r="F21" s="5">
        <v>24693986.289999999</v>
      </c>
      <c r="G21" s="5">
        <v>1783229</v>
      </c>
      <c r="H21" s="5">
        <v>31622310</v>
      </c>
      <c r="I21" s="5">
        <v>430</v>
      </c>
      <c r="J21" s="5">
        <v>930</v>
      </c>
      <c r="K21" s="5">
        <v>5255665.71</v>
      </c>
      <c r="L21" s="5">
        <v>0.17549999999999999</v>
      </c>
      <c r="M21" s="5">
        <v>5.6399999999999999E-2</v>
      </c>
      <c r="N21" s="5">
        <v>23134897</v>
      </c>
      <c r="O21" s="5">
        <v>20047655.23</v>
      </c>
      <c r="P21" s="5">
        <v>2649932</v>
      </c>
      <c r="Q21" s="5">
        <v>25692550</v>
      </c>
      <c r="R21" s="5">
        <v>312</v>
      </c>
      <c r="S21" s="5">
        <v>704</v>
      </c>
      <c r="T21" s="5">
        <v>3087241.77</v>
      </c>
      <c r="U21" s="5">
        <v>0.13339999999999999</v>
      </c>
      <c r="V21" s="5">
        <v>0.1031</v>
      </c>
      <c r="W21" s="5">
        <v>4.5199999999999997E-2</v>
      </c>
      <c r="X21" s="5">
        <v>0.29459999999999997</v>
      </c>
      <c r="Y21" s="5">
        <v>0.04</v>
      </c>
    </row>
    <row r="22" spans="1:25" x14ac:dyDescent="0.3">
      <c r="A22" s="5">
        <v>44</v>
      </c>
      <c r="B22" s="5" t="s">
        <v>111</v>
      </c>
      <c r="C22" s="5">
        <v>6</v>
      </c>
      <c r="D22" s="5" t="s">
        <v>90</v>
      </c>
      <c r="E22" s="5">
        <v>31787185</v>
      </c>
      <c r="F22" s="5">
        <v>26195797.579999998</v>
      </c>
      <c r="G22" s="5">
        <v>1834012</v>
      </c>
      <c r="H22" s="5">
        <v>33497100</v>
      </c>
      <c r="I22" s="5">
        <v>453</v>
      </c>
      <c r="J22" s="5">
        <v>996</v>
      </c>
      <c r="K22" s="5">
        <v>5591387.4199999999</v>
      </c>
      <c r="L22" s="5">
        <v>0.1759</v>
      </c>
      <c r="M22" s="5">
        <v>5.4800000000000001E-2</v>
      </c>
      <c r="N22" s="5">
        <v>25105938</v>
      </c>
      <c r="O22" s="5">
        <v>22077877.850000001</v>
      </c>
      <c r="P22" s="5">
        <v>3236203</v>
      </c>
      <c r="Q22" s="5">
        <v>28273280</v>
      </c>
      <c r="R22" s="5">
        <v>360</v>
      </c>
      <c r="S22" s="5">
        <v>762</v>
      </c>
      <c r="T22" s="5">
        <v>3028060.15</v>
      </c>
      <c r="U22" s="5">
        <v>0.1206</v>
      </c>
      <c r="V22" s="5">
        <v>0.1145</v>
      </c>
      <c r="W22" s="5">
        <v>3.2099999999999997E-2</v>
      </c>
      <c r="X22" s="5">
        <v>0.2661</v>
      </c>
      <c r="Y22" s="5">
        <v>0.06</v>
      </c>
    </row>
    <row r="23" spans="1:25" x14ac:dyDescent="0.3">
      <c r="A23" s="5">
        <v>62</v>
      </c>
      <c r="B23" s="5" t="s">
        <v>112</v>
      </c>
      <c r="C23" s="5">
        <v>6</v>
      </c>
      <c r="D23" s="5" t="s">
        <v>90</v>
      </c>
      <c r="E23" s="5">
        <v>76594797</v>
      </c>
      <c r="F23" s="5">
        <v>63548459.030000001</v>
      </c>
      <c r="G23" s="5">
        <v>5215248</v>
      </c>
      <c r="H23" s="5">
        <v>81549790</v>
      </c>
      <c r="I23" s="5">
        <v>1078</v>
      </c>
      <c r="J23" s="5">
        <v>2426</v>
      </c>
      <c r="K23" s="5">
        <v>13046337.970000001</v>
      </c>
      <c r="L23" s="5">
        <v>0.17030000000000001</v>
      </c>
      <c r="M23" s="5">
        <v>6.4000000000000001E-2</v>
      </c>
      <c r="N23" s="5">
        <v>50275742</v>
      </c>
      <c r="O23" s="5">
        <v>43596983.609999999</v>
      </c>
      <c r="P23" s="5">
        <v>5679886</v>
      </c>
      <c r="Q23" s="5">
        <v>55790970</v>
      </c>
      <c r="R23" s="5">
        <v>750</v>
      </c>
      <c r="S23" s="5">
        <v>1639</v>
      </c>
      <c r="T23" s="5">
        <v>6678758.3899999997</v>
      </c>
      <c r="U23" s="5">
        <v>0.1328</v>
      </c>
      <c r="V23" s="5">
        <v>0.1018</v>
      </c>
      <c r="W23" s="5">
        <v>3.5900000000000001E-2</v>
      </c>
      <c r="X23" s="5">
        <v>0.52349999999999997</v>
      </c>
      <c r="Y23" s="5">
        <v>0.04</v>
      </c>
    </row>
    <row r="24" spans="1:25" x14ac:dyDescent="0.3">
      <c r="A24" s="5">
        <v>93</v>
      </c>
      <c r="B24" s="5" t="s">
        <v>113</v>
      </c>
      <c r="C24" s="5">
        <v>6</v>
      </c>
      <c r="D24" s="5" t="s">
        <v>90</v>
      </c>
      <c r="E24" s="5">
        <v>12229357</v>
      </c>
      <c r="F24" s="5">
        <v>10189045.390000001</v>
      </c>
      <c r="G24" s="5">
        <v>909246</v>
      </c>
      <c r="H24" s="5">
        <v>13095150</v>
      </c>
      <c r="I24" s="5">
        <v>182</v>
      </c>
      <c r="J24" s="5">
        <v>405</v>
      </c>
      <c r="K24" s="5">
        <v>2040311.61</v>
      </c>
      <c r="L24" s="5">
        <v>0.1668</v>
      </c>
      <c r="M24" s="5">
        <v>6.9400000000000003E-2</v>
      </c>
      <c r="N24" s="5">
        <v>9790358</v>
      </c>
      <c r="O24" s="5">
        <v>8644136.7799999993</v>
      </c>
      <c r="P24" s="5">
        <v>1245735</v>
      </c>
      <c r="Q24" s="5">
        <v>11008070</v>
      </c>
      <c r="R24" s="5">
        <v>135</v>
      </c>
      <c r="S24" s="5">
        <v>297</v>
      </c>
      <c r="T24" s="5">
        <v>1146221.22</v>
      </c>
      <c r="U24" s="5">
        <v>0.1171</v>
      </c>
      <c r="V24" s="5">
        <v>0.1132</v>
      </c>
      <c r="W24" s="5">
        <v>1.9800000000000002E-2</v>
      </c>
      <c r="X24" s="5">
        <v>0.24909999999999999</v>
      </c>
      <c r="Y24" s="5">
        <v>0.05</v>
      </c>
    </row>
    <row r="25" spans="1:25" x14ac:dyDescent="0.3">
      <c r="A25" s="5">
        <v>30</v>
      </c>
      <c r="B25" s="5" t="s">
        <v>114</v>
      </c>
      <c r="C25" s="5">
        <v>10</v>
      </c>
      <c r="D25" s="5" t="s">
        <v>86</v>
      </c>
      <c r="E25" s="5">
        <v>46400399</v>
      </c>
      <c r="F25" s="5">
        <v>38237688.009999998</v>
      </c>
      <c r="G25" s="5">
        <v>2670591</v>
      </c>
      <c r="H25" s="5">
        <v>48916550</v>
      </c>
      <c r="I25" s="5">
        <v>660</v>
      </c>
      <c r="J25" s="5">
        <v>1503</v>
      </c>
      <c r="K25" s="5">
        <v>8162710.9900000002</v>
      </c>
      <c r="L25" s="5">
        <v>0.1759</v>
      </c>
      <c r="M25" s="5">
        <v>5.4600000000000003E-2</v>
      </c>
      <c r="N25" s="5">
        <v>30139548</v>
      </c>
      <c r="O25" s="5">
        <v>25503011.77</v>
      </c>
      <c r="P25" s="5">
        <v>2910563</v>
      </c>
      <c r="Q25" s="5">
        <v>32923110</v>
      </c>
      <c r="R25" s="5">
        <v>490</v>
      </c>
      <c r="S25" s="5">
        <v>1034</v>
      </c>
      <c r="T25" s="5">
        <v>4636536.2300000004</v>
      </c>
      <c r="U25" s="5">
        <v>0.15379999999999999</v>
      </c>
      <c r="V25" s="5">
        <v>8.8400000000000006E-2</v>
      </c>
      <c r="W25" s="5">
        <v>3.39E-2</v>
      </c>
      <c r="X25" s="5">
        <v>0.53949999999999998</v>
      </c>
      <c r="Y25" s="5">
        <v>0.02</v>
      </c>
    </row>
    <row r="26" spans="1:25" x14ac:dyDescent="0.3">
      <c r="A26" s="5">
        <v>79</v>
      </c>
      <c r="B26" s="5" t="s">
        <v>114</v>
      </c>
      <c r="C26" s="5">
        <v>10</v>
      </c>
      <c r="D26" s="5" t="s">
        <v>86</v>
      </c>
      <c r="E26" s="5">
        <v>12106615</v>
      </c>
      <c r="F26" s="5">
        <v>9999428.1999999993</v>
      </c>
      <c r="G26" s="5">
        <v>733279</v>
      </c>
      <c r="H26" s="5">
        <v>12790080</v>
      </c>
      <c r="I26" s="5">
        <v>144</v>
      </c>
      <c r="J26" s="5">
        <v>330</v>
      </c>
      <c r="K26" s="5">
        <v>2107186.7999999998</v>
      </c>
      <c r="L26" s="5">
        <v>0.1741</v>
      </c>
      <c r="M26" s="5">
        <v>5.7299999999999997E-2</v>
      </c>
      <c r="N26" s="5">
        <v>6224395</v>
      </c>
      <c r="O26" s="5">
        <v>5293616.49</v>
      </c>
      <c r="P26" s="5">
        <v>705715</v>
      </c>
      <c r="Q26" s="5">
        <v>6897280</v>
      </c>
      <c r="R26" s="5">
        <v>106</v>
      </c>
      <c r="S26" s="5">
        <v>220</v>
      </c>
      <c r="T26" s="5">
        <v>930778.51</v>
      </c>
      <c r="U26" s="5">
        <v>0.14949999999999999</v>
      </c>
      <c r="V26" s="5">
        <v>0.1023</v>
      </c>
      <c r="W26" s="5">
        <v>2.4199999999999999E-2</v>
      </c>
      <c r="X26" s="5">
        <v>0.94499999999999995</v>
      </c>
      <c r="Y26" s="5">
        <v>0.02</v>
      </c>
    </row>
    <row r="27" spans="1:25" x14ac:dyDescent="0.3">
      <c r="A27" s="5">
        <v>14</v>
      </c>
      <c r="B27" s="5" t="s">
        <v>115</v>
      </c>
      <c r="C27" s="5">
        <v>9</v>
      </c>
      <c r="D27" s="5" t="s">
        <v>92</v>
      </c>
      <c r="E27" s="5">
        <v>31106450</v>
      </c>
      <c r="F27" s="5">
        <v>25775652.23</v>
      </c>
      <c r="G27" s="5">
        <v>2050028</v>
      </c>
      <c r="H27" s="5">
        <v>33056160</v>
      </c>
      <c r="I27" s="5">
        <v>372</v>
      </c>
      <c r="J27" s="5">
        <v>844</v>
      </c>
      <c r="K27" s="5">
        <v>5330797.7699999996</v>
      </c>
      <c r="L27" s="5">
        <v>0.1714</v>
      </c>
      <c r="M27" s="5">
        <v>6.2E-2</v>
      </c>
      <c r="N27" s="5">
        <v>19587592</v>
      </c>
      <c r="O27" s="5">
        <v>16608299.710000001</v>
      </c>
      <c r="P27" s="5">
        <v>1922010</v>
      </c>
      <c r="Q27" s="5">
        <v>21429210</v>
      </c>
      <c r="R27" s="5">
        <v>293</v>
      </c>
      <c r="S27" s="5">
        <v>648</v>
      </c>
      <c r="T27" s="5">
        <v>2979292.29</v>
      </c>
      <c r="U27" s="5">
        <v>0.15210000000000001</v>
      </c>
      <c r="V27" s="5">
        <v>8.9700000000000002E-2</v>
      </c>
      <c r="W27" s="5">
        <v>2.4899999999999999E-2</v>
      </c>
      <c r="X27" s="5">
        <v>0.58809999999999996</v>
      </c>
      <c r="Y27" s="5">
        <v>0.02</v>
      </c>
    </row>
    <row r="28" spans="1:25" x14ac:dyDescent="0.3">
      <c r="A28" s="5">
        <v>23</v>
      </c>
      <c r="B28" s="5" t="s">
        <v>115</v>
      </c>
      <c r="C28" s="5">
        <v>9</v>
      </c>
      <c r="D28" s="5" t="s">
        <v>92</v>
      </c>
      <c r="E28" s="5">
        <v>73800105</v>
      </c>
      <c r="F28" s="5">
        <v>61205101.409999996</v>
      </c>
      <c r="G28" s="5">
        <v>4761362</v>
      </c>
      <c r="H28" s="5">
        <v>78356500</v>
      </c>
      <c r="I28" s="5">
        <v>981</v>
      </c>
      <c r="J28" s="5">
        <v>2135</v>
      </c>
      <c r="K28" s="5">
        <v>12595003.59</v>
      </c>
      <c r="L28" s="5">
        <v>0.17069999999999999</v>
      </c>
      <c r="M28" s="5">
        <v>6.08E-2</v>
      </c>
      <c r="N28" s="5">
        <v>49293837</v>
      </c>
      <c r="O28" s="5">
        <v>42708777.57</v>
      </c>
      <c r="P28" s="5">
        <v>5926226</v>
      </c>
      <c r="Q28" s="5">
        <v>55057710</v>
      </c>
      <c r="R28" s="5">
        <v>768</v>
      </c>
      <c r="S28" s="5">
        <v>1673</v>
      </c>
      <c r="T28" s="5">
        <v>6585059.4299999997</v>
      </c>
      <c r="U28" s="5">
        <v>0.1336</v>
      </c>
      <c r="V28" s="5">
        <v>0.1076</v>
      </c>
      <c r="W28" s="5">
        <v>3.56E-2</v>
      </c>
      <c r="X28" s="5">
        <v>0.49709999999999999</v>
      </c>
      <c r="Y28" s="5">
        <v>0.04</v>
      </c>
    </row>
    <row r="29" spans="1:25" x14ac:dyDescent="0.3">
      <c r="A29" s="5">
        <v>55</v>
      </c>
      <c r="B29" s="5" t="s">
        <v>115</v>
      </c>
      <c r="C29" s="5">
        <v>9</v>
      </c>
      <c r="D29" s="5" t="s">
        <v>92</v>
      </c>
      <c r="E29" s="5">
        <v>27605268</v>
      </c>
      <c r="F29" s="5">
        <v>22578864.420000002</v>
      </c>
      <c r="G29" s="5">
        <v>1680134</v>
      </c>
      <c r="H29" s="5">
        <v>29205700</v>
      </c>
      <c r="I29" s="5">
        <v>383</v>
      </c>
      <c r="J29" s="5">
        <v>820</v>
      </c>
      <c r="K29" s="5">
        <v>5026403.58</v>
      </c>
      <c r="L29" s="5">
        <v>0.18210000000000001</v>
      </c>
      <c r="M29" s="5">
        <v>5.7500000000000002E-2</v>
      </c>
      <c r="N29" s="5">
        <v>16872998</v>
      </c>
      <c r="O29" s="5">
        <v>14380152.4</v>
      </c>
      <c r="P29" s="5">
        <v>1812071</v>
      </c>
      <c r="Q29" s="5">
        <v>18640060</v>
      </c>
      <c r="R29" s="5">
        <v>284</v>
      </c>
      <c r="S29" s="5">
        <v>633</v>
      </c>
      <c r="T29" s="5">
        <v>2492845.6</v>
      </c>
      <c r="U29" s="5">
        <v>0.1477</v>
      </c>
      <c r="V29" s="5">
        <v>9.7199999999999995E-2</v>
      </c>
      <c r="W29" s="5">
        <v>3.1699999999999999E-2</v>
      </c>
      <c r="X29" s="5">
        <v>0.6361</v>
      </c>
      <c r="Y29" s="5">
        <v>0.03</v>
      </c>
    </row>
    <row r="30" spans="1:25" x14ac:dyDescent="0.3">
      <c r="A30" s="5">
        <v>80</v>
      </c>
      <c r="B30" s="5" t="s">
        <v>115</v>
      </c>
      <c r="C30" s="5">
        <v>9</v>
      </c>
      <c r="D30" s="5" t="s">
        <v>92</v>
      </c>
      <c r="E30" s="5">
        <v>8758899</v>
      </c>
      <c r="F30" s="5">
        <v>7362923.4900000002</v>
      </c>
      <c r="G30" s="5">
        <v>741446</v>
      </c>
      <c r="H30" s="5">
        <v>9479890</v>
      </c>
      <c r="I30" s="5">
        <v>132</v>
      </c>
      <c r="J30" s="5">
        <v>285</v>
      </c>
      <c r="K30" s="5">
        <v>1395975.51</v>
      </c>
      <c r="L30" s="5">
        <v>0.15939999999999999</v>
      </c>
      <c r="M30" s="5">
        <v>7.8200000000000006E-2</v>
      </c>
      <c r="N30" s="5">
        <v>8402498</v>
      </c>
      <c r="O30" s="5">
        <v>7438177.54</v>
      </c>
      <c r="P30" s="5">
        <v>1147781</v>
      </c>
      <c r="Q30" s="5">
        <v>9525350</v>
      </c>
      <c r="R30" s="5">
        <v>103</v>
      </c>
      <c r="S30" s="5">
        <v>252</v>
      </c>
      <c r="T30" s="5">
        <v>964320.46</v>
      </c>
      <c r="U30" s="5">
        <v>0.1148</v>
      </c>
      <c r="V30" s="5">
        <v>0.1205</v>
      </c>
      <c r="W30" s="5">
        <v>4.9099999999999998E-2</v>
      </c>
      <c r="X30" s="5">
        <v>4.24E-2</v>
      </c>
      <c r="Y30" s="5">
        <v>0.04</v>
      </c>
    </row>
    <row r="31" spans="1:25" x14ac:dyDescent="0.3">
      <c r="A31" s="5">
        <v>99</v>
      </c>
      <c r="B31" s="5" t="s">
        <v>116</v>
      </c>
      <c r="C31" s="5">
        <v>1</v>
      </c>
      <c r="D31" s="5" t="s">
        <v>76</v>
      </c>
      <c r="E31" s="5">
        <v>26785994</v>
      </c>
      <c r="F31" s="5">
        <v>22045032.210000001</v>
      </c>
      <c r="G31" s="5">
        <v>1684936</v>
      </c>
      <c r="H31" s="5">
        <v>28382370</v>
      </c>
      <c r="I31" s="5">
        <v>404</v>
      </c>
      <c r="J31" s="5">
        <v>857</v>
      </c>
      <c r="K31" s="5">
        <v>4740961.79</v>
      </c>
      <c r="L31" s="5">
        <v>0.17699999999999999</v>
      </c>
      <c r="M31" s="5">
        <v>5.9400000000000001E-2</v>
      </c>
      <c r="N31" s="5">
        <v>19258468</v>
      </c>
      <c r="O31" s="5">
        <v>16421241.460000001</v>
      </c>
      <c r="P31" s="5">
        <v>1905727</v>
      </c>
      <c r="Q31" s="5">
        <v>21095800</v>
      </c>
      <c r="R31" s="5">
        <v>279</v>
      </c>
      <c r="S31" s="5">
        <v>619</v>
      </c>
      <c r="T31" s="5">
        <v>2837226.54</v>
      </c>
      <c r="U31" s="5">
        <v>0.14729999999999999</v>
      </c>
      <c r="V31" s="5">
        <v>9.0300000000000005E-2</v>
      </c>
      <c r="W31" s="5">
        <v>4.3200000000000002E-2</v>
      </c>
      <c r="X31" s="5">
        <v>0.39090000000000003</v>
      </c>
      <c r="Y31" s="5">
        <v>0.03</v>
      </c>
    </row>
    <row r="32" spans="1:25" x14ac:dyDescent="0.3">
      <c r="A32" s="5">
        <v>43</v>
      </c>
      <c r="B32" s="5" t="s">
        <v>117</v>
      </c>
      <c r="C32" s="5">
        <v>1</v>
      </c>
      <c r="D32" s="5" t="s">
        <v>76</v>
      </c>
      <c r="E32" s="5">
        <v>13622511</v>
      </c>
      <c r="F32" s="5">
        <v>11058466.810000001</v>
      </c>
      <c r="G32" s="5">
        <v>822062</v>
      </c>
      <c r="H32" s="5">
        <v>14401770</v>
      </c>
      <c r="I32" s="5">
        <v>191</v>
      </c>
      <c r="J32" s="5">
        <v>427</v>
      </c>
      <c r="K32" s="5">
        <v>2564044.19</v>
      </c>
      <c r="L32" s="5">
        <v>0.18820000000000001</v>
      </c>
      <c r="M32" s="5">
        <v>5.7099999999999998E-2</v>
      </c>
      <c r="N32" s="5">
        <v>8499315</v>
      </c>
      <c r="O32" s="5">
        <v>7273844.25</v>
      </c>
      <c r="P32" s="5">
        <v>944601</v>
      </c>
      <c r="Q32" s="5">
        <v>9430140</v>
      </c>
      <c r="R32" s="5">
        <v>133</v>
      </c>
      <c r="S32" s="5">
        <v>309</v>
      </c>
      <c r="T32" s="5">
        <v>1225470.75</v>
      </c>
      <c r="U32" s="5">
        <v>0.14419999999999999</v>
      </c>
      <c r="V32" s="5">
        <v>0.1002</v>
      </c>
      <c r="W32" s="5">
        <v>3.04E-2</v>
      </c>
      <c r="X32" s="5">
        <v>0.6028</v>
      </c>
      <c r="Y32" s="5">
        <v>0.04</v>
      </c>
    </row>
    <row r="33" spans="1:25" x14ac:dyDescent="0.3">
      <c r="A33" s="5">
        <v>26</v>
      </c>
      <c r="B33" s="5" t="s">
        <v>118</v>
      </c>
      <c r="C33" s="5">
        <v>1</v>
      </c>
      <c r="D33" s="5" t="s">
        <v>76</v>
      </c>
      <c r="E33" s="5">
        <v>15701802</v>
      </c>
      <c r="F33" s="5">
        <v>12920867.58</v>
      </c>
      <c r="G33" s="5">
        <v>1043706</v>
      </c>
      <c r="H33" s="5">
        <v>16676210</v>
      </c>
      <c r="I33" s="5">
        <v>212</v>
      </c>
      <c r="J33" s="5">
        <v>462</v>
      </c>
      <c r="K33" s="5">
        <v>2780934.42</v>
      </c>
      <c r="L33" s="5">
        <v>0.17710000000000001</v>
      </c>
      <c r="M33" s="5">
        <v>6.2600000000000003E-2</v>
      </c>
      <c r="N33" s="5">
        <v>13585952</v>
      </c>
      <c r="O33" s="5">
        <v>11606331.390000001</v>
      </c>
      <c r="P33" s="5">
        <v>1249653</v>
      </c>
      <c r="Q33" s="5">
        <v>14785890</v>
      </c>
      <c r="R33" s="5">
        <v>177</v>
      </c>
      <c r="S33" s="5">
        <v>398</v>
      </c>
      <c r="T33" s="5">
        <v>1979620.61</v>
      </c>
      <c r="U33" s="5">
        <v>0.1457</v>
      </c>
      <c r="V33" s="5">
        <v>8.4500000000000006E-2</v>
      </c>
      <c r="W33" s="5">
        <v>4.1099999999999998E-2</v>
      </c>
      <c r="X33" s="5">
        <v>0.15570000000000001</v>
      </c>
      <c r="Y33" s="5">
        <v>0.03</v>
      </c>
    </row>
    <row r="34" spans="1:25" x14ac:dyDescent="0.3">
      <c r="A34" s="5">
        <v>49</v>
      </c>
      <c r="B34" s="5" t="s">
        <v>118</v>
      </c>
      <c r="C34" s="5">
        <v>1</v>
      </c>
      <c r="D34" s="5" t="s">
        <v>76</v>
      </c>
      <c r="E34" s="5">
        <v>44706475</v>
      </c>
      <c r="F34" s="5">
        <v>36673520.439999998</v>
      </c>
      <c r="G34" s="5">
        <v>2616919</v>
      </c>
      <c r="H34" s="5">
        <v>47168220</v>
      </c>
      <c r="I34" s="5">
        <v>570</v>
      </c>
      <c r="J34" s="5">
        <v>1272</v>
      </c>
      <c r="K34" s="5">
        <v>8032954.5599999996</v>
      </c>
      <c r="L34" s="5">
        <v>0.1797</v>
      </c>
      <c r="M34" s="5">
        <v>5.5500000000000001E-2</v>
      </c>
      <c r="N34" s="5">
        <v>28491642</v>
      </c>
      <c r="O34" s="5">
        <v>24878868.91</v>
      </c>
      <c r="P34" s="5">
        <v>3523402</v>
      </c>
      <c r="Q34" s="5">
        <v>31920620</v>
      </c>
      <c r="R34" s="5">
        <v>438</v>
      </c>
      <c r="S34" s="5">
        <v>942</v>
      </c>
      <c r="T34" s="5">
        <v>3612773.09</v>
      </c>
      <c r="U34" s="5">
        <v>0.1268</v>
      </c>
      <c r="V34" s="5">
        <v>0.1104</v>
      </c>
      <c r="W34" s="5">
        <v>4.3200000000000002E-2</v>
      </c>
      <c r="X34" s="5">
        <v>0.56910000000000005</v>
      </c>
      <c r="Y34" s="5">
        <v>0.05</v>
      </c>
    </row>
    <row r="35" spans="1:25" x14ac:dyDescent="0.3">
      <c r="A35" s="5">
        <v>59</v>
      </c>
      <c r="B35" s="5" t="s">
        <v>118</v>
      </c>
      <c r="C35" s="5">
        <v>1</v>
      </c>
      <c r="D35" s="5" t="s">
        <v>76</v>
      </c>
      <c r="E35" s="5">
        <v>64775119</v>
      </c>
      <c r="F35" s="5">
        <v>53169921.670000002</v>
      </c>
      <c r="G35" s="5">
        <v>3928004</v>
      </c>
      <c r="H35" s="5">
        <v>68476150</v>
      </c>
      <c r="I35" s="5">
        <v>911</v>
      </c>
      <c r="J35" s="5">
        <v>2058</v>
      </c>
      <c r="K35" s="5">
        <v>11605197.33</v>
      </c>
      <c r="L35" s="5">
        <v>0.1792</v>
      </c>
      <c r="M35" s="5">
        <v>5.74E-2</v>
      </c>
      <c r="N35" s="5">
        <v>44254362</v>
      </c>
      <c r="O35" s="5">
        <v>38535479.780000001</v>
      </c>
      <c r="P35" s="5">
        <v>5260108</v>
      </c>
      <c r="Q35" s="5">
        <v>49360500</v>
      </c>
      <c r="R35" s="5">
        <v>700</v>
      </c>
      <c r="S35" s="5">
        <v>1508</v>
      </c>
      <c r="T35" s="5">
        <v>5718882.2199999997</v>
      </c>
      <c r="U35" s="5">
        <v>0.12920000000000001</v>
      </c>
      <c r="V35" s="5">
        <v>0.1066</v>
      </c>
      <c r="W35" s="5">
        <v>3.1600000000000003E-2</v>
      </c>
      <c r="X35" s="5">
        <v>0.4637</v>
      </c>
      <c r="Y35" s="5">
        <v>0.05</v>
      </c>
    </row>
    <row r="36" spans="1:25" x14ac:dyDescent="0.3">
      <c r="A36" s="5">
        <v>106</v>
      </c>
      <c r="B36" s="5" t="s">
        <v>119</v>
      </c>
      <c r="C36" s="5">
        <v>11</v>
      </c>
      <c r="D36" s="5" t="s">
        <v>83</v>
      </c>
      <c r="E36" s="5">
        <v>7764396</v>
      </c>
      <c r="F36" s="5">
        <v>6387208.8300000001</v>
      </c>
      <c r="G36" s="5">
        <v>459612</v>
      </c>
      <c r="H36" s="5">
        <v>8211690</v>
      </c>
      <c r="I36" s="5">
        <v>112</v>
      </c>
      <c r="J36" s="5">
        <v>262</v>
      </c>
      <c r="K36" s="5">
        <v>1377187.17</v>
      </c>
      <c r="L36" s="5">
        <v>0.1774</v>
      </c>
      <c r="M36" s="5">
        <v>5.6000000000000001E-2</v>
      </c>
      <c r="N36" s="5">
        <v>6237146</v>
      </c>
      <c r="O36" s="5">
        <v>5496418.5</v>
      </c>
      <c r="P36" s="5">
        <v>899648</v>
      </c>
      <c r="Q36" s="5">
        <v>7124470</v>
      </c>
      <c r="R36" s="5">
        <v>83</v>
      </c>
      <c r="S36" s="5">
        <v>176</v>
      </c>
      <c r="T36" s="5">
        <v>740727.5</v>
      </c>
      <c r="U36" s="5">
        <v>0.1188</v>
      </c>
      <c r="V36" s="5">
        <v>0.1263</v>
      </c>
      <c r="W36" s="5">
        <v>3.8199999999999998E-2</v>
      </c>
      <c r="X36" s="5">
        <v>0.24490000000000001</v>
      </c>
      <c r="Y36" s="5">
        <v>0.06</v>
      </c>
    </row>
    <row r="37" spans="1:25" x14ac:dyDescent="0.3">
      <c r="A37" s="5">
        <v>19</v>
      </c>
      <c r="B37" s="5" t="s">
        <v>120</v>
      </c>
      <c r="C37" s="5">
        <v>11</v>
      </c>
      <c r="D37" s="5" t="s">
        <v>83</v>
      </c>
      <c r="E37" s="5">
        <v>27030024</v>
      </c>
      <c r="F37" s="5">
        <v>22098072.789999999</v>
      </c>
      <c r="G37" s="5">
        <v>1633542</v>
      </c>
      <c r="H37" s="5">
        <v>28568390</v>
      </c>
      <c r="I37" s="5">
        <v>415</v>
      </c>
      <c r="J37" s="5">
        <v>907</v>
      </c>
      <c r="K37" s="5">
        <v>4931951.21</v>
      </c>
      <c r="L37" s="5">
        <v>0.1825</v>
      </c>
      <c r="M37" s="5">
        <v>5.7200000000000001E-2</v>
      </c>
      <c r="N37" s="5">
        <v>22583203</v>
      </c>
      <c r="O37" s="5">
        <v>19805060.210000001</v>
      </c>
      <c r="P37" s="5">
        <v>2698037</v>
      </c>
      <c r="Q37" s="5">
        <v>25215920</v>
      </c>
      <c r="R37" s="5">
        <v>295</v>
      </c>
      <c r="S37" s="5">
        <v>663</v>
      </c>
      <c r="T37" s="5">
        <v>2778142.79</v>
      </c>
      <c r="U37" s="5">
        <v>0.123</v>
      </c>
      <c r="V37" s="5">
        <v>0.107</v>
      </c>
      <c r="W37" s="5">
        <v>3.3099999999999997E-2</v>
      </c>
      <c r="X37" s="5">
        <v>0.19689999999999999</v>
      </c>
      <c r="Y37" s="5">
        <v>0.06</v>
      </c>
    </row>
    <row r="38" spans="1:25" x14ac:dyDescent="0.3">
      <c r="A38" s="5">
        <v>117</v>
      </c>
      <c r="B38" s="5" t="s">
        <v>121</v>
      </c>
      <c r="C38" s="5">
        <v>11</v>
      </c>
      <c r="D38" s="5" t="s">
        <v>83</v>
      </c>
      <c r="E38" s="5">
        <v>27988690</v>
      </c>
      <c r="F38" s="5">
        <v>23055261.170000002</v>
      </c>
      <c r="G38" s="5">
        <v>1794811</v>
      </c>
      <c r="H38" s="5">
        <v>29715780</v>
      </c>
      <c r="I38" s="5">
        <v>397</v>
      </c>
      <c r="J38" s="5">
        <v>844</v>
      </c>
      <c r="K38" s="5">
        <v>4933428.83</v>
      </c>
      <c r="L38" s="5">
        <v>0.17630000000000001</v>
      </c>
      <c r="M38" s="5">
        <v>6.0400000000000002E-2</v>
      </c>
      <c r="N38" s="5">
        <v>21072277</v>
      </c>
      <c r="O38" s="5">
        <v>17956437.399999999</v>
      </c>
      <c r="P38" s="5">
        <v>2357737</v>
      </c>
      <c r="Q38" s="5">
        <v>23352910</v>
      </c>
      <c r="R38" s="5">
        <v>319</v>
      </c>
      <c r="S38" s="5">
        <v>676</v>
      </c>
      <c r="T38" s="5">
        <v>3115839.6</v>
      </c>
      <c r="U38" s="5">
        <v>0.1479</v>
      </c>
      <c r="V38" s="5">
        <v>0.10100000000000001</v>
      </c>
      <c r="W38" s="5">
        <v>4.3799999999999999E-2</v>
      </c>
      <c r="X38" s="5">
        <v>0.32819999999999999</v>
      </c>
      <c r="Y38" s="5">
        <v>0.03</v>
      </c>
    </row>
    <row r="39" spans="1:25" x14ac:dyDescent="0.3">
      <c r="A39" s="5">
        <v>17</v>
      </c>
      <c r="B39" s="5" t="s">
        <v>122</v>
      </c>
      <c r="C39" s="5">
        <v>9</v>
      </c>
      <c r="D39" s="5" t="s">
        <v>92</v>
      </c>
      <c r="E39" s="5">
        <v>17473842</v>
      </c>
      <c r="F39" s="5">
        <v>14505730.460000001</v>
      </c>
      <c r="G39" s="5">
        <v>1146878</v>
      </c>
      <c r="H39" s="5">
        <v>18578990</v>
      </c>
      <c r="I39" s="5">
        <v>245</v>
      </c>
      <c r="J39" s="5">
        <v>514</v>
      </c>
      <c r="K39" s="5">
        <v>2968111.54</v>
      </c>
      <c r="L39" s="5">
        <v>0.1699</v>
      </c>
      <c r="M39" s="5">
        <v>6.1699999999999998E-2</v>
      </c>
      <c r="N39" s="5">
        <v>12408361</v>
      </c>
      <c r="O39" s="5">
        <v>10735821.74</v>
      </c>
      <c r="P39" s="5">
        <v>1246508</v>
      </c>
      <c r="Q39" s="5">
        <v>13599210</v>
      </c>
      <c r="R39" s="5">
        <v>171</v>
      </c>
      <c r="S39" s="5">
        <v>378</v>
      </c>
      <c r="T39" s="5">
        <v>1672539.26</v>
      </c>
      <c r="U39" s="5">
        <v>0.1348</v>
      </c>
      <c r="V39" s="5">
        <v>9.1700000000000004E-2</v>
      </c>
      <c r="W39" s="5">
        <v>3.1099999999999999E-2</v>
      </c>
      <c r="X39" s="5">
        <v>0.40820000000000001</v>
      </c>
      <c r="Y39" s="5">
        <v>0.04</v>
      </c>
    </row>
    <row r="40" spans="1:25" x14ac:dyDescent="0.3">
      <c r="A40" s="5">
        <v>66</v>
      </c>
      <c r="B40" s="5" t="s">
        <v>122</v>
      </c>
      <c r="C40" s="5">
        <v>9</v>
      </c>
      <c r="D40" s="5" t="s">
        <v>92</v>
      </c>
      <c r="E40" s="5">
        <v>20372322</v>
      </c>
      <c r="F40" s="5">
        <v>16705773.390000001</v>
      </c>
      <c r="G40" s="5">
        <v>1171514</v>
      </c>
      <c r="H40" s="5">
        <v>21474400</v>
      </c>
      <c r="I40" s="5">
        <v>276</v>
      </c>
      <c r="J40" s="5">
        <v>623</v>
      </c>
      <c r="K40" s="5">
        <v>3666548.61</v>
      </c>
      <c r="L40" s="5">
        <v>0.18</v>
      </c>
      <c r="M40" s="5">
        <v>5.4600000000000003E-2</v>
      </c>
      <c r="N40" s="5">
        <v>15600637</v>
      </c>
      <c r="O40" s="5">
        <v>13299922.539999999</v>
      </c>
      <c r="P40" s="5">
        <v>1564919</v>
      </c>
      <c r="Q40" s="5">
        <v>17122620</v>
      </c>
      <c r="R40" s="5">
        <v>251</v>
      </c>
      <c r="S40" s="5">
        <v>503</v>
      </c>
      <c r="T40" s="5">
        <v>2300714.46</v>
      </c>
      <c r="U40" s="5">
        <v>0.14749999999999999</v>
      </c>
      <c r="V40" s="5">
        <v>9.1399999999999995E-2</v>
      </c>
      <c r="W40" s="5">
        <v>3.5299999999999998E-2</v>
      </c>
      <c r="X40" s="5">
        <v>0.30590000000000001</v>
      </c>
      <c r="Y40" s="5">
        <v>0.03</v>
      </c>
    </row>
    <row r="41" spans="1:25" x14ac:dyDescent="0.3">
      <c r="A41" s="5">
        <v>52</v>
      </c>
      <c r="B41" s="5" t="s">
        <v>123</v>
      </c>
      <c r="C41" s="5">
        <v>9</v>
      </c>
      <c r="D41" s="5" t="s">
        <v>92</v>
      </c>
      <c r="E41" s="5">
        <v>18491525</v>
      </c>
      <c r="F41" s="5">
        <v>15122484.17</v>
      </c>
      <c r="G41" s="5">
        <v>1115549</v>
      </c>
      <c r="H41" s="5">
        <v>19550190</v>
      </c>
      <c r="I41" s="5">
        <v>265</v>
      </c>
      <c r="J41" s="5">
        <v>604</v>
      </c>
      <c r="K41" s="5">
        <v>3369040.83</v>
      </c>
      <c r="L41" s="5">
        <v>0.1822</v>
      </c>
      <c r="M41" s="5">
        <v>5.7099999999999998E-2</v>
      </c>
      <c r="N41" s="5">
        <v>12348436</v>
      </c>
      <c r="O41" s="5">
        <v>10788110.99</v>
      </c>
      <c r="P41" s="5">
        <v>1433993</v>
      </c>
      <c r="Q41" s="5">
        <v>13730170</v>
      </c>
      <c r="R41" s="5">
        <v>190</v>
      </c>
      <c r="S41" s="5">
        <v>409</v>
      </c>
      <c r="T41" s="5">
        <v>1560325.01</v>
      </c>
      <c r="U41" s="5">
        <v>0.12640000000000001</v>
      </c>
      <c r="V41" s="5">
        <v>0.10440000000000001</v>
      </c>
      <c r="W41" s="5">
        <v>3.3099999999999997E-2</v>
      </c>
      <c r="X41" s="5">
        <v>0.4975</v>
      </c>
      <c r="Y41" s="5">
        <v>0.06</v>
      </c>
    </row>
    <row r="42" spans="1:25" x14ac:dyDescent="0.3">
      <c r="A42" s="5">
        <v>92</v>
      </c>
      <c r="B42" s="5" t="s">
        <v>123</v>
      </c>
      <c r="C42" s="5">
        <v>9</v>
      </c>
      <c r="D42" s="5" t="s">
        <v>92</v>
      </c>
      <c r="E42" s="5">
        <v>20222373</v>
      </c>
      <c r="F42" s="5">
        <v>16718606.82</v>
      </c>
      <c r="G42" s="5">
        <v>1219748</v>
      </c>
      <c r="H42" s="5">
        <v>21379490</v>
      </c>
      <c r="I42" s="5">
        <v>254</v>
      </c>
      <c r="J42" s="5">
        <v>583</v>
      </c>
      <c r="K42" s="5">
        <v>3503766.18</v>
      </c>
      <c r="L42" s="5">
        <v>0.17330000000000001</v>
      </c>
      <c r="M42" s="5">
        <v>5.7099999999999998E-2</v>
      </c>
      <c r="N42" s="5">
        <v>15460947</v>
      </c>
      <c r="O42" s="5">
        <v>13531255.73</v>
      </c>
      <c r="P42" s="5">
        <v>2020864</v>
      </c>
      <c r="Q42" s="5">
        <v>17433320</v>
      </c>
      <c r="R42" s="5">
        <v>218</v>
      </c>
      <c r="S42" s="5">
        <v>487</v>
      </c>
      <c r="T42" s="5">
        <v>1929691.27</v>
      </c>
      <c r="U42" s="5">
        <v>0.12479999999999999</v>
      </c>
      <c r="V42" s="5">
        <v>0.1159</v>
      </c>
      <c r="W42" s="5">
        <v>3.2599999999999997E-2</v>
      </c>
      <c r="X42" s="5">
        <v>0.308</v>
      </c>
      <c r="Y42" s="5">
        <v>0.05</v>
      </c>
    </row>
    <row r="43" spans="1:25" x14ac:dyDescent="0.3">
      <c r="A43" s="5">
        <v>8</v>
      </c>
      <c r="B43" s="5" t="s">
        <v>124</v>
      </c>
      <c r="C43" s="5">
        <v>5</v>
      </c>
      <c r="D43" s="5" t="s">
        <v>80</v>
      </c>
      <c r="E43" s="5">
        <v>7898205</v>
      </c>
      <c r="F43" s="5">
        <v>6412102.8200000003</v>
      </c>
      <c r="G43" s="5">
        <v>492680</v>
      </c>
      <c r="H43" s="5">
        <v>8358670</v>
      </c>
      <c r="I43" s="5">
        <v>125</v>
      </c>
      <c r="J43" s="5">
        <v>280</v>
      </c>
      <c r="K43" s="5">
        <v>1486102.18</v>
      </c>
      <c r="L43" s="5">
        <v>0.18820000000000001</v>
      </c>
      <c r="M43" s="5">
        <v>5.8900000000000001E-2</v>
      </c>
      <c r="N43" s="5">
        <v>5396548</v>
      </c>
      <c r="O43" s="5">
        <v>4588114.28</v>
      </c>
      <c r="P43" s="5">
        <v>501956</v>
      </c>
      <c r="Q43" s="5">
        <v>5886510</v>
      </c>
      <c r="R43" s="5">
        <v>79</v>
      </c>
      <c r="S43" s="5">
        <v>171</v>
      </c>
      <c r="T43" s="5">
        <v>808433.72</v>
      </c>
      <c r="U43" s="5">
        <v>0.14979999999999999</v>
      </c>
      <c r="V43" s="5">
        <v>8.5300000000000001E-2</v>
      </c>
      <c r="W43" s="5">
        <v>3.2099999999999997E-2</v>
      </c>
      <c r="X43" s="5">
        <v>0.46360000000000001</v>
      </c>
      <c r="Y43" s="5">
        <v>0.04</v>
      </c>
    </row>
    <row r="44" spans="1:25" x14ac:dyDescent="0.3">
      <c r="A44" s="5">
        <v>21</v>
      </c>
      <c r="B44" s="5" t="s">
        <v>125</v>
      </c>
      <c r="C44" s="5">
        <v>5</v>
      </c>
      <c r="D44" s="5" t="s">
        <v>80</v>
      </c>
      <c r="E44" s="5">
        <v>61027898</v>
      </c>
      <c r="F44" s="5">
        <v>50138285.380000003</v>
      </c>
      <c r="G44" s="5">
        <v>4059629</v>
      </c>
      <c r="H44" s="5">
        <v>64909620</v>
      </c>
      <c r="I44" s="5">
        <v>861</v>
      </c>
      <c r="J44" s="5">
        <v>1876</v>
      </c>
      <c r="K44" s="5">
        <v>10889612.619999999</v>
      </c>
      <c r="L44" s="5">
        <v>0.1784</v>
      </c>
      <c r="M44" s="5">
        <v>6.25E-2</v>
      </c>
      <c r="N44" s="5">
        <v>40252561</v>
      </c>
      <c r="O44" s="5">
        <v>34745120.759999998</v>
      </c>
      <c r="P44" s="5">
        <v>4633439</v>
      </c>
      <c r="Q44" s="5">
        <v>44749320</v>
      </c>
      <c r="R44" s="5">
        <v>606</v>
      </c>
      <c r="S44" s="5">
        <v>1278</v>
      </c>
      <c r="T44" s="5">
        <v>5507440.2400000002</v>
      </c>
      <c r="U44" s="5">
        <v>0.1368</v>
      </c>
      <c r="V44" s="5">
        <v>0.10349999999999999</v>
      </c>
      <c r="W44" s="5">
        <v>3.9399999999999998E-2</v>
      </c>
      <c r="X44" s="5">
        <v>0.5161</v>
      </c>
      <c r="Y44" s="5">
        <v>0.04</v>
      </c>
    </row>
    <row r="45" spans="1:25" x14ac:dyDescent="0.3">
      <c r="A45" s="5">
        <v>108</v>
      </c>
      <c r="B45" s="5" t="s">
        <v>125</v>
      </c>
      <c r="C45" s="5">
        <v>5</v>
      </c>
      <c r="D45" s="5" t="s">
        <v>80</v>
      </c>
      <c r="E45" s="5">
        <v>67916035</v>
      </c>
      <c r="F45" s="5">
        <v>55742761.200000003</v>
      </c>
      <c r="G45" s="5">
        <v>4399413</v>
      </c>
      <c r="H45" s="5">
        <v>72076090</v>
      </c>
      <c r="I45" s="5">
        <v>998</v>
      </c>
      <c r="J45" s="5">
        <v>2192</v>
      </c>
      <c r="K45" s="5">
        <v>12173273.800000001</v>
      </c>
      <c r="L45" s="5">
        <v>0.1792</v>
      </c>
      <c r="M45" s="5">
        <v>6.0999999999999999E-2</v>
      </c>
      <c r="N45" s="5">
        <v>55734237</v>
      </c>
      <c r="O45" s="5">
        <v>48128359.140000001</v>
      </c>
      <c r="P45" s="5">
        <v>5894112</v>
      </c>
      <c r="Q45" s="5">
        <v>61433000</v>
      </c>
      <c r="R45" s="5">
        <v>758</v>
      </c>
      <c r="S45" s="5">
        <v>1700</v>
      </c>
      <c r="T45" s="5">
        <v>7605877.8600000003</v>
      </c>
      <c r="U45" s="5">
        <v>0.13650000000000001</v>
      </c>
      <c r="V45" s="5">
        <v>9.5899999999999999E-2</v>
      </c>
      <c r="W45" s="5">
        <v>3.8800000000000001E-2</v>
      </c>
      <c r="X45" s="5">
        <v>0.21859999999999999</v>
      </c>
      <c r="Y45" s="5">
        <v>0.04</v>
      </c>
    </row>
    <row r="46" spans="1:25" x14ac:dyDescent="0.3">
      <c r="A46" s="5">
        <v>71</v>
      </c>
      <c r="B46" s="5" t="s">
        <v>126</v>
      </c>
      <c r="C46" s="5">
        <v>5</v>
      </c>
      <c r="D46" s="5" t="s">
        <v>80</v>
      </c>
      <c r="E46" s="5">
        <v>34108588</v>
      </c>
      <c r="F46" s="5">
        <v>27908467.010000002</v>
      </c>
      <c r="G46" s="5">
        <v>2087472</v>
      </c>
      <c r="H46" s="5">
        <v>36096960</v>
      </c>
      <c r="I46" s="5">
        <v>477</v>
      </c>
      <c r="J46" s="5">
        <v>1047</v>
      </c>
      <c r="K46" s="5">
        <v>6200120.9900000002</v>
      </c>
      <c r="L46" s="5">
        <v>0.18179999999999999</v>
      </c>
      <c r="M46" s="5">
        <v>5.7799999999999997E-2</v>
      </c>
      <c r="N46" s="5">
        <v>21971821</v>
      </c>
      <c r="O46" s="5">
        <v>18745795.670000002</v>
      </c>
      <c r="P46" s="5">
        <v>2373938</v>
      </c>
      <c r="Q46" s="5">
        <v>24278090</v>
      </c>
      <c r="R46" s="5">
        <v>361</v>
      </c>
      <c r="S46" s="5">
        <v>751</v>
      </c>
      <c r="T46" s="5">
        <v>3226025.33</v>
      </c>
      <c r="U46" s="5">
        <v>0.14680000000000001</v>
      </c>
      <c r="V46" s="5">
        <v>9.7799999999999998E-2</v>
      </c>
      <c r="W46" s="5">
        <v>3.7199999999999997E-2</v>
      </c>
      <c r="X46" s="5">
        <v>0.5524</v>
      </c>
      <c r="Y46" s="5">
        <v>0.03</v>
      </c>
    </row>
    <row r="47" spans="1:25" x14ac:dyDescent="0.3">
      <c r="A47" s="5">
        <v>100</v>
      </c>
      <c r="B47" s="5" t="s">
        <v>127</v>
      </c>
      <c r="C47" s="5">
        <v>7</v>
      </c>
      <c r="D47" s="5" t="s">
        <v>91</v>
      </c>
      <c r="E47" s="5">
        <v>32628587</v>
      </c>
      <c r="F47" s="5">
        <v>27116973.539999999</v>
      </c>
      <c r="G47" s="5">
        <v>2208289</v>
      </c>
      <c r="H47" s="5">
        <v>34728570</v>
      </c>
      <c r="I47" s="5">
        <v>435</v>
      </c>
      <c r="J47" s="5">
        <v>943</v>
      </c>
      <c r="K47" s="5">
        <v>5511613.46</v>
      </c>
      <c r="L47" s="5">
        <v>0.16889999999999999</v>
      </c>
      <c r="M47" s="5">
        <v>6.3600000000000004E-2</v>
      </c>
      <c r="N47" s="5">
        <v>21113180</v>
      </c>
      <c r="O47" s="5">
        <v>18546371.649999999</v>
      </c>
      <c r="P47" s="5">
        <v>2511472</v>
      </c>
      <c r="Q47" s="5">
        <v>23573920</v>
      </c>
      <c r="R47" s="5">
        <v>312</v>
      </c>
      <c r="S47" s="5">
        <v>669</v>
      </c>
      <c r="T47" s="5">
        <v>2566808.35</v>
      </c>
      <c r="U47" s="5">
        <v>0.1216</v>
      </c>
      <c r="V47" s="5">
        <v>0.1065</v>
      </c>
      <c r="W47" s="5">
        <v>3.39E-2</v>
      </c>
      <c r="X47" s="5">
        <v>0.5454</v>
      </c>
      <c r="Y47" s="5">
        <v>0.05</v>
      </c>
    </row>
    <row r="48" spans="1:25" x14ac:dyDescent="0.3">
      <c r="A48" s="5">
        <v>47</v>
      </c>
      <c r="B48" s="5" t="s">
        <v>128</v>
      </c>
      <c r="C48" s="5">
        <v>11</v>
      </c>
      <c r="D48" s="5" t="s">
        <v>83</v>
      </c>
      <c r="E48" s="5">
        <v>9485693</v>
      </c>
      <c r="F48" s="5">
        <v>7803614.8600000003</v>
      </c>
      <c r="G48" s="5">
        <v>428133</v>
      </c>
      <c r="H48" s="5">
        <v>9859560</v>
      </c>
      <c r="I48" s="5">
        <v>122</v>
      </c>
      <c r="J48" s="5">
        <v>285</v>
      </c>
      <c r="K48" s="5">
        <v>1682078.14</v>
      </c>
      <c r="L48" s="5">
        <v>0.17730000000000001</v>
      </c>
      <c r="M48" s="5">
        <v>4.3400000000000001E-2</v>
      </c>
      <c r="N48" s="5">
        <v>7373114</v>
      </c>
      <c r="O48" s="5">
        <v>6390053.5499999998</v>
      </c>
      <c r="P48" s="5">
        <v>913875</v>
      </c>
      <c r="Q48" s="5">
        <v>8258400</v>
      </c>
      <c r="R48" s="5">
        <v>121</v>
      </c>
      <c r="S48" s="5">
        <v>248</v>
      </c>
      <c r="T48" s="5">
        <v>983060.45</v>
      </c>
      <c r="U48" s="5">
        <v>0.1333</v>
      </c>
      <c r="V48" s="5">
        <v>0.11070000000000001</v>
      </c>
      <c r="W48" s="5">
        <v>3.8600000000000002E-2</v>
      </c>
      <c r="X48" s="5">
        <v>0.28649999999999998</v>
      </c>
      <c r="Y48" s="5">
        <v>0.04</v>
      </c>
    </row>
    <row r="49" spans="1:25" x14ac:dyDescent="0.3">
      <c r="A49" s="5">
        <v>84</v>
      </c>
      <c r="B49" s="5" t="s">
        <v>129</v>
      </c>
      <c r="C49" s="5">
        <v>11</v>
      </c>
      <c r="D49" s="5" t="s">
        <v>83</v>
      </c>
      <c r="E49" s="5">
        <v>29278968</v>
      </c>
      <c r="F49" s="5">
        <v>24282261.870000001</v>
      </c>
      <c r="G49" s="5">
        <v>1974698</v>
      </c>
      <c r="H49" s="5">
        <v>31156640</v>
      </c>
      <c r="I49" s="5">
        <v>413</v>
      </c>
      <c r="J49" s="5">
        <v>892</v>
      </c>
      <c r="K49" s="5">
        <v>4996706.13</v>
      </c>
      <c r="L49" s="5">
        <v>0.17069999999999999</v>
      </c>
      <c r="M49" s="5">
        <v>6.3399999999999998E-2</v>
      </c>
      <c r="N49" s="5">
        <v>21360051</v>
      </c>
      <c r="O49" s="5">
        <v>18600103.579999998</v>
      </c>
      <c r="P49" s="5">
        <v>2508312</v>
      </c>
      <c r="Q49" s="5">
        <v>23805100</v>
      </c>
      <c r="R49" s="5">
        <v>330</v>
      </c>
      <c r="S49" s="5">
        <v>696</v>
      </c>
      <c r="T49" s="5">
        <v>2759947.42</v>
      </c>
      <c r="U49" s="5">
        <v>0.12920000000000001</v>
      </c>
      <c r="V49" s="5">
        <v>0.10539999999999999</v>
      </c>
      <c r="W49" s="5">
        <v>4.2599999999999999E-2</v>
      </c>
      <c r="X49" s="5">
        <v>0.37069999999999997</v>
      </c>
      <c r="Y49" s="5">
        <v>0.04</v>
      </c>
    </row>
    <row r="50" spans="1:25" x14ac:dyDescent="0.3">
      <c r="A50" s="5">
        <v>16</v>
      </c>
      <c r="B50" s="5" t="s">
        <v>130</v>
      </c>
      <c r="C50" s="5">
        <v>11</v>
      </c>
      <c r="D50" s="5" t="s">
        <v>83</v>
      </c>
      <c r="E50" s="5">
        <v>47172996</v>
      </c>
      <c r="F50" s="5">
        <v>38901112.539999999</v>
      </c>
      <c r="G50" s="5">
        <v>3250130</v>
      </c>
      <c r="H50" s="5">
        <v>50270830</v>
      </c>
      <c r="I50" s="5">
        <v>706</v>
      </c>
      <c r="J50" s="5">
        <v>1545</v>
      </c>
      <c r="K50" s="5">
        <v>8271883.46</v>
      </c>
      <c r="L50" s="5">
        <v>0.1754</v>
      </c>
      <c r="M50" s="5">
        <v>6.4699999999999994E-2</v>
      </c>
      <c r="N50" s="5">
        <v>40203101</v>
      </c>
      <c r="O50" s="5">
        <v>34775922.670000002</v>
      </c>
      <c r="P50" s="5">
        <v>4761334</v>
      </c>
      <c r="Q50" s="5">
        <v>44811740</v>
      </c>
      <c r="R50" s="5">
        <v>578</v>
      </c>
      <c r="S50" s="5">
        <v>1288</v>
      </c>
      <c r="T50" s="5">
        <v>5427178.3300000001</v>
      </c>
      <c r="U50" s="5">
        <v>0.13500000000000001</v>
      </c>
      <c r="V50" s="5">
        <v>0.10630000000000001</v>
      </c>
      <c r="W50" s="5">
        <v>4.3400000000000001E-2</v>
      </c>
      <c r="X50" s="5">
        <v>0.1734</v>
      </c>
      <c r="Y50" s="5">
        <v>0.04</v>
      </c>
    </row>
    <row r="51" spans="1:25" x14ac:dyDescent="0.3">
      <c r="A51" s="5">
        <v>75</v>
      </c>
      <c r="B51" s="5" t="s">
        <v>131</v>
      </c>
      <c r="C51" s="5">
        <v>11</v>
      </c>
      <c r="D51" s="5" t="s">
        <v>83</v>
      </c>
      <c r="E51" s="5">
        <v>25297034</v>
      </c>
      <c r="F51" s="5">
        <v>20746203.109999999</v>
      </c>
      <c r="G51" s="5">
        <v>1486463</v>
      </c>
      <c r="H51" s="5">
        <v>26691050</v>
      </c>
      <c r="I51" s="5">
        <v>375</v>
      </c>
      <c r="J51" s="5">
        <v>800</v>
      </c>
      <c r="K51" s="5">
        <v>4550830.8899999997</v>
      </c>
      <c r="L51" s="5">
        <v>0.1799</v>
      </c>
      <c r="M51" s="5">
        <v>5.57E-2</v>
      </c>
      <c r="N51" s="5">
        <v>17775061</v>
      </c>
      <c r="O51" s="5">
        <v>15275520.9</v>
      </c>
      <c r="P51" s="5">
        <v>1962960</v>
      </c>
      <c r="Q51" s="5">
        <v>19677370</v>
      </c>
      <c r="R51" s="5">
        <v>281</v>
      </c>
      <c r="S51" s="5">
        <v>620</v>
      </c>
      <c r="T51" s="5">
        <v>2499540.1</v>
      </c>
      <c r="U51" s="5">
        <v>0.1406</v>
      </c>
      <c r="V51" s="5">
        <v>9.98E-2</v>
      </c>
      <c r="W51" s="5">
        <v>4.2500000000000003E-2</v>
      </c>
      <c r="X51" s="5">
        <v>0.42320000000000002</v>
      </c>
      <c r="Y51" s="5">
        <v>0.04</v>
      </c>
    </row>
    <row r="52" spans="1:25" x14ac:dyDescent="0.3">
      <c r="A52" s="5">
        <v>111</v>
      </c>
      <c r="B52" s="5" t="s">
        <v>132</v>
      </c>
      <c r="C52" s="5">
        <v>12</v>
      </c>
      <c r="D52" s="5" t="s">
        <v>89</v>
      </c>
      <c r="E52" s="5">
        <v>172586760</v>
      </c>
      <c r="F52" s="5">
        <v>142229613.53999999</v>
      </c>
      <c r="G52" s="5">
        <v>10421809</v>
      </c>
      <c r="H52" s="5">
        <v>182366190</v>
      </c>
      <c r="I52" s="5">
        <v>2409</v>
      </c>
      <c r="J52" s="5">
        <v>5304</v>
      </c>
      <c r="K52" s="5">
        <v>30357146.460000001</v>
      </c>
      <c r="L52" s="5">
        <v>0.1759</v>
      </c>
      <c r="M52" s="5">
        <v>5.7099999999999998E-2</v>
      </c>
      <c r="N52" s="5">
        <v>124970832</v>
      </c>
      <c r="O52" s="5">
        <v>107732473.59999999</v>
      </c>
      <c r="P52" s="5">
        <v>14495559</v>
      </c>
      <c r="Q52" s="5">
        <v>139048670</v>
      </c>
      <c r="R52" s="5">
        <v>1870</v>
      </c>
      <c r="S52" s="5">
        <v>4058</v>
      </c>
      <c r="T52" s="5">
        <v>17238358.399999999</v>
      </c>
      <c r="U52" s="5">
        <v>0.13789999999999999</v>
      </c>
      <c r="V52" s="5">
        <v>0.1042</v>
      </c>
      <c r="W52" s="5">
        <v>3.3000000000000002E-2</v>
      </c>
      <c r="X52" s="5">
        <v>0.38100000000000001</v>
      </c>
      <c r="Y52" s="5">
        <v>0.04</v>
      </c>
    </row>
    <row r="53" spans="1:25" x14ac:dyDescent="0.3">
      <c r="A53" s="5">
        <v>54</v>
      </c>
      <c r="B53" s="5" t="s">
        <v>133</v>
      </c>
      <c r="C53" s="5">
        <v>10</v>
      </c>
      <c r="D53" s="5" t="s">
        <v>86</v>
      </c>
      <c r="E53" s="5">
        <v>9806111</v>
      </c>
      <c r="F53" s="5">
        <v>8072258.21</v>
      </c>
      <c r="G53" s="5">
        <v>598873</v>
      </c>
      <c r="H53" s="5">
        <v>10370940</v>
      </c>
      <c r="I53" s="5">
        <v>128</v>
      </c>
      <c r="J53" s="5">
        <v>291</v>
      </c>
      <c r="K53" s="5">
        <v>1733852.79</v>
      </c>
      <c r="L53" s="5">
        <v>0.17680000000000001</v>
      </c>
      <c r="M53" s="5">
        <v>5.7700000000000001E-2</v>
      </c>
      <c r="N53" s="5">
        <v>7367148</v>
      </c>
      <c r="O53" s="5">
        <v>6484408.4500000002</v>
      </c>
      <c r="P53" s="5">
        <v>1025392</v>
      </c>
      <c r="Q53" s="5">
        <v>8370330</v>
      </c>
      <c r="R53" s="5">
        <v>123</v>
      </c>
      <c r="S53" s="5">
        <v>256</v>
      </c>
      <c r="T53" s="5">
        <v>882739.55</v>
      </c>
      <c r="U53" s="5">
        <v>0.1198</v>
      </c>
      <c r="V53" s="5">
        <v>0.1225</v>
      </c>
      <c r="W53" s="5">
        <v>2.41E-2</v>
      </c>
      <c r="X53" s="5">
        <v>0.33110000000000001</v>
      </c>
      <c r="Y53" s="5">
        <v>0.06</v>
      </c>
    </row>
    <row r="54" spans="1:25" x14ac:dyDescent="0.3">
      <c r="A54" s="5">
        <v>38</v>
      </c>
      <c r="B54" s="5" t="s">
        <v>134</v>
      </c>
      <c r="C54" s="5">
        <v>10</v>
      </c>
      <c r="D54" s="5" t="s">
        <v>86</v>
      </c>
      <c r="E54" s="5">
        <v>14603340</v>
      </c>
      <c r="F54" s="5">
        <v>12158909.119999999</v>
      </c>
      <c r="G54" s="5">
        <v>917887</v>
      </c>
      <c r="H54" s="5">
        <v>15482830</v>
      </c>
      <c r="I54" s="5">
        <v>200</v>
      </c>
      <c r="J54" s="5">
        <v>439</v>
      </c>
      <c r="K54" s="5">
        <v>2444430.88</v>
      </c>
      <c r="L54" s="5">
        <v>0.16739999999999999</v>
      </c>
      <c r="M54" s="5">
        <v>5.9299999999999999E-2</v>
      </c>
      <c r="N54" s="5">
        <v>7648073</v>
      </c>
      <c r="O54" s="5">
        <v>6591389.8499999996</v>
      </c>
      <c r="P54" s="5">
        <v>846629</v>
      </c>
      <c r="Q54" s="5">
        <v>8458010</v>
      </c>
      <c r="R54" s="5">
        <v>125</v>
      </c>
      <c r="S54" s="5">
        <v>269</v>
      </c>
      <c r="T54" s="5">
        <v>1056683.1499999999</v>
      </c>
      <c r="U54" s="5">
        <v>0.13819999999999999</v>
      </c>
      <c r="V54" s="5">
        <v>0.10009999999999999</v>
      </c>
      <c r="W54" s="5">
        <v>4.5600000000000002E-2</v>
      </c>
      <c r="X54" s="5">
        <v>0.90939999999999999</v>
      </c>
      <c r="Y54" s="5">
        <v>0.03</v>
      </c>
    </row>
    <row r="55" spans="1:25" x14ac:dyDescent="0.3">
      <c r="A55" s="5">
        <v>57</v>
      </c>
      <c r="B55" s="5" t="s">
        <v>134</v>
      </c>
      <c r="C55" s="5">
        <v>10</v>
      </c>
      <c r="D55" s="5" t="s">
        <v>86</v>
      </c>
      <c r="E55" s="5">
        <v>53028846</v>
      </c>
      <c r="F55" s="5">
        <v>43811808.380000003</v>
      </c>
      <c r="G55" s="5">
        <v>3702721</v>
      </c>
      <c r="H55" s="5">
        <v>56566100</v>
      </c>
      <c r="I55" s="5">
        <v>755</v>
      </c>
      <c r="J55" s="5">
        <v>1635</v>
      </c>
      <c r="K55" s="5">
        <v>9217037.6199999992</v>
      </c>
      <c r="L55" s="5">
        <v>0.17380000000000001</v>
      </c>
      <c r="M55" s="5">
        <v>6.5500000000000003E-2</v>
      </c>
      <c r="N55" s="5">
        <v>37335486</v>
      </c>
      <c r="O55" s="5">
        <v>31888534.949999999</v>
      </c>
      <c r="P55" s="5">
        <v>3895782</v>
      </c>
      <c r="Q55" s="5">
        <v>41113730</v>
      </c>
      <c r="R55" s="5">
        <v>534</v>
      </c>
      <c r="S55" s="5">
        <v>1194</v>
      </c>
      <c r="T55" s="5">
        <v>5446951.0499999998</v>
      </c>
      <c r="U55" s="5">
        <v>0.1459</v>
      </c>
      <c r="V55" s="5">
        <v>9.4799999999999995E-2</v>
      </c>
      <c r="W55" s="5">
        <v>2.87E-2</v>
      </c>
      <c r="X55" s="5">
        <v>0.42030000000000001</v>
      </c>
      <c r="Y55" s="5">
        <v>0.03</v>
      </c>
    </row>
    <row r="56" spans="1:25" x14ac:dyDescent="0.3">
      <c r="A56" s="5">
        <v>6</v>
      </c>
      <c r="B56" s="5" t="s">
        <v>135</v>
      </c>
      <c r="C56" s="5">
        <v>12</v>
      </c>
      <c r="D56" s="5" t="s">
        <v>89</v>
      </c>
      <c r="E56" s="5">
        <v>13622432</v>
      </c>
      <c r="F56" s="5">
        <v>11215536.24</v>
      </c>
      <c r="G56" s="5">
        <v>964080</v>
      </c>
      <c r="H56" s="5">
        <v>14553980</v>
      </c>
      <c r="I56" s="5">
        <v>201</v>
      </c>
      <c r="J56" s="5">
        <v>420</v>
      </c>
      <c r="K56" s="5">
        <v>2406895.7599999998</v>
      </c>
      <c r="L56" s="5">
        <v>0.1767</v>
      </c>
      <c r="M56" s="5">
        <v>6.6199999999999995E-2</v>
      </c>
      <c r="N56" s="5">
        <v>9784733</v>
      </c>
      <c r="O56" s="5">
        <v>8267522.1100000003</v>
      </c>
      <c r="P56" s="5">
        <v>953012</v>
      </c>
      <c r="Q56" s="5">
        <v>10700520</v>
      </c>
      <c r="R56" s="5">
        <v>142</v>
      </c>
      <c r="S56" s="5">
        <v>334</v>
      </c>
      <c r="T56" s="5">
        <v>1517210.89</v>
      </c>
      <c r="U56" s="5">
        <v>0.15509999999999999</v>
      </c>
      <c r="V56" s="5">
        <v>8.9099999999999999E-2</v>
      </c>
      <c r="W56" s="5">
        <v>4.5199999999999997E-2</v>
      </c>
      <c r="X56" s="5">
        <v>0.39219999999999999</v>
      </c>
      <c r="Y56" s="5">
        <v>0.02</v>
      </c>
    </row>
    <row r="57" spans="1:25" x14ac:dyDescent="0.3">
      <c r="A57" s="5">
        <v>24</v>
      </c>
      <c r="B57" s="5" t="s">
        <v>136</v>
      </c>
      <c r="C57" s="5">
        <v>2</v>
      </c>
      <c r="D57" s="5" t="s">
        <v>88</v>
      </c>
      <c r="E57" s="5">
        <v>27399454</v>
      </c>
      <c r="F57" s="5">
        <v>22591735.289999999</v>
      </c>
      <c r="G57" s="5">
        <v>1838390</v>
      </c>
      <c r="H57" s="5">
        <v>29162530</v>
      </c>
      <c r="I57" s="5">
        <v>413</v>
      </c>
      <c r="J57" s="5">
        <v>939</v>
      </c>
      <c r="K57" s="5">
        <v>4807718.71</v>
      </c>
      <c r="L57" s="5">
        <v>0.17549999999999999</v>
      </c>
      <c r="M57" s="5">
        <v>6.3E-2</v>
      </c>
      <c r="N57" s="5">
        <v>21124367</v>
      </c>
      <c r="O57" s="5">
        <v>18550446.289999999</v>
      </c>
      <c r="P57" s="5">
        <v>2591366</v>
      </c>
      <c r="Q57" s="5">
        <v>23642990</v>
      </c>
      <c r="R57" s="5">
        <v>307</v>
      </c>
      <c r="S57" s="5">
        <v>672</v>
      </c>
      <c r="T57" s="5">
        <v>2573920.71</v>
      </c>
      <c r="U57" s="5">
        <v>0.12180000000000001</v>
      </c>
      <c r="V57" s="5">
        <v>0.1096</v>
      </c>
      <c r="W57" s="5">
        <v>3.09E-2</v>
      </c>
      <c r="X57" s="5">
        <v>0.29709999999999998</v>
      </c>
      <c r="Y57" s="5">
        <v>0.05</v>
      </c>
    </row>
    <row r="58" spans="1:25" x14ac:dyDescent="0.3">
      <c r="A58" s="5">
        <v>34</v>
      </c>
      <c r="B58" s="5" t="s">
        <v>136</v>
      </c>
      <c r="C58" s="5">
        <v>2</v>
      </c>
      <c r="D58" s="5" t="s">
        <v>88</v>
      </c>
      <c r="E58" s="5">
        <v>10293779</v>
      </c>
      <c r="F58" s="5">
        <v>8400447.9299999997</v>
      </c>
      <c r="G58" s="5">
        <v>626699</v>
      </c>
      <c r="H58" s="5">
        <v>10885640</v>
      </c>
      <c r="I58" s="5">
        <v>148</v>
      </c>
      <c r="J58" s="5">
        <v>324</v>
      </c>
      <c r="K58" s="5">
        <v>1893331.07</v>
      </c>
      <c r="L58" s="5">
        <v>0.18390000000000001</v>
      </c>
      <c r="M58" s="5">
        <v>5.7599999999999998E-2</v>
      </c>
      <c r="N58" s="5">
        <v>8606505</v>
      </c>
      <c r="O58" s="5">
        <v>7370720.0300000003</v>
      </c>
      <c r="P58" s="5">
        <v>962717</v>
      </c>
      <c r="Q58" s="5">
        <v>9545050</v>
      </c>
      <c r="R58" s="5">
        <v>129</v>
      </c>
      <c r="S58" s="5">
        <v>296</v>
      </c>
      <c r="T58" s="5">
        <v>1235784.97</v>
      </c>
      <c r="U58" s="5">
        <v>0.14360000000000001</v>
      </c>
      <c r="V58" s="5">
        <v>0.1009</v>
      </c>
      <c r="W58" s="5">
        <v>4.3200000000000002E-2</v>
      </c>
      <c r="X58" s="5">
        <v>0.19600000000000001</v>
      </c>
      <c r="Y58" s="5">
        <v>0.04</v>
      </c>
    </row>
    <row r="59" spans="1:25" x14ac:dyDescent="0.3">
      <c r="A59" s="5">
        <v>107</v>
      </c>
      <c r="B59" s="5" t="s">
        <v>137</v>
      </c>
      <c r="C59" s="5">
        <v>8</v>
      </c>
      <c r="D59" s="5" t="s">
        <v>82</v>
      </c>
      <c r="E59" s="5">
        <v>47769484</v>
      </c>
      <c r="F59" s="5">
        <v>39609600.969999999</v>
      </c>
      <c r="G59" s="5">
        <v>3141358</v>
      </c>
      <c r="H59" s="5">
        <v>50783160</v>
      </c>
      <c r="I59" s="5">
        <v>663</v>
      </c>
      <c r="J59" s="5">
        <v>1464</v>
      </c>
      <c r="K59" s="5">
        <v>8159883.0300000003</v>
      </c>
      <c r="L59" s="5">
        <v>0.17080000000000001</v>
      </c>
      <c r="M59" s="5">
        <v>6.1899999999999997E-2</v>
      </c>
      <c r="N59" s="5">
        <v>37394582</v>
      </c>
      <c r="O59" s="5">
        <v>31917406.91</v>
      </c>
      <c r="P59" s="5">
        <v>3871925</v>
      </c>
      <c r="Q59" s="5">
        <v>41154740</v>
      </c>
      <c r="R59" s="5">
        <v>528</v>
      </c>
      <c r="S59" s="5">
        <v>1192</v>
      </c>
      <c r="T59" s="5">
        <v>5477175.0899999999</v>
      </c>
      <c r="U59" s="5">
        <v>0.14649999999999999</v>
      </c>
      <c r="V59" s="5">
        <v>9.4100000000000003E-2</v>
      </c>
      <c r="W59" s="5">
        <v>4.1700000000000001E-2</v>
      </c>
      <c r="X59" s="5">
        <v>0.27739999999999998</v>
      </c>
      <c r="Y59" s="5">
        <v>0.02</v>
      </c>
    </row>
    <row r="60" spans="1:25" x14ac:dyDescent="0.3">
      <c r="A60" s="5">
        <v>4</v>
      </c>
      <c r="B60" s="5" t="s">
        <v>138</v>
      </c>
      <c r="C60" s="5">
        <v>9</v>
      </c>
      <c r="D60" s="5" t="s">
        <v>92</v>
      </c>
      <c r="E60" s="5">
        <v>33111055</v>
      </c>
      <c r="F60" s="5">
        <v>27504795.539999999</v>
      </c>
      <c r="G60" s="5">
        <v>2145951</v>
      </c>
      <c r="H60" s="5">
        <v>35152950</v>
      </c>
      <c r="I60" s="5">
        <v>437</v>
      </c>
      <c r="J60" s="5">
        <v>988</v>
      </c>
      <c r="K60" s="5">
        <v>5606259.46</v>
      </c>
      <c r="L60" s="5">
        <v>0.16930000000000001</v>
      </c>
      <c r="M60" s="5">
        <v>6.0999999999999999E-2</v>
      </c>
      <c r="N60" s="5">
        <v>23354617</v>
      </c>
      <c r="O60" s="5">
        <v>20511323.960000001</v>
      </c>
      <c r="P60" s="5">
        <v>3030991</v>
      </c>
      <c r="Q60" s="5">
        <v>26324660</v>
      </c>
      <c r="R60" s="5">
        <v>348</v>
      </c>
      <c r="S60" s="5">
        <v>771</v>
      </c>
      <c r="T60" s="5">
        <v>2843293.04</v>
      </c>
      <c r="U60" s="5">
        <v>0.1217</v>
      </c>
      <c r="V60" s="5">
        <v>0.11509999999999999</v>
      </c>
      <c r="W60" s="5">
        <v>3.2399999999999998E-2</v>
      </c>
      <c r="X60" s="5">
        <v>0.4178</v>
      </c>
      <c r="Y60" s="5">
        <v>0.05</v>
      </c>
    </row>
    <row r="61" spans="1:25" x14ac:dyDescent="0.3">
      <c r="A61" s="5">
        <v>28</v>
      </c>
      <c r="B61" s="5" t="s">
        <v>139</v>
      </c>
      <c r="C61" s="5">
        <v>9</v>
      </c>
      <c r="D61" s="5" t="s">
        <v>92</v>
      </c>
      <c r="E61" s="5">
        <v>93228966</v>
      </c>
      <c r="F61" s="5">
        <v>76624785.269999996</v>
      </c>
      <c r="G61" s="5">
        <v>5960648</v>
      </c>
      <c r="H61" s="5">
        <v>98911440</v>
      </c>
      <c r="I61" s="5">
        <v>1322</v>
      </c>
      <c r="J61" s="5">
        <v>2891</v>
      </c>
      <c r="K61" s="5">
        <v>16604180.73</v>
      </c>
      <c r="L61" s="5">
        <v>0.17810000000000001</v>
      </c>
      <c r="M61" s="5">
        <v>6.0299999999999999E-2</v>
      </c>
      <c r="N61" s="5">
        <v>66716922</v>
      </c>
      <c r="O61" s="5">
        <v>57176790.869999997</v>
      </c>
      <c r="P61" s="5">
        <v>7089804</v>
      </c>
      <c r="Q61" s="5">
        <v>73551220</v>
      </c>
      <c r="R61" s="5">
        <v>1014</v>
      </c>
      <c r="S61" s="5">
        <v>2240</v>
      </c>
      <c r="T61" s="5">
        <v>9540131.1300000008</v>
      </c>
      <c r="U61" s="5">
        <v>0.14299999999999999</v>
      </c>
      <c r="V61" s="5">
        <v>9.64E-2</v>
      </c>
      <c r="W61" s="5">
        <v>3.6700000000000003E-2</v>
      </c>
      <c r="X61" s="5">
        <v>0.39739999999999998</v>
      </c>
      <c r="Y61" s="5">
        <v>0.04</v>
      </c>
    </row>
    <row r="62" spans="1:25" x14ac:dyDescent="0.3">
      <c r="A62" s="5">
        <v>35</v>
      </c>
      <c r="B62" s="5" t="s">
        <v>139</v>
      </c>
      <c r="C62" s="5">
        <v>9</v>
      </c>
      <c r="D62" s="5" t="s">
        <v>92</v>
      </c>
      <c r="E62" s="5">
        <v>23027575</v>
      </c>
      <c r="F62" s="5">
        <v>19029110.699999999</v>
      </c>
      <c r="G62" s="5">
        <v>1397114</v>
      </c>
      <c r="H62" s="5">
        <v>24358640</v>
      </c>
      <c r="I62" s="5">
        <v>345</v>
      </c>
      <c r="J62" s="5">
        <v>761</v>
      </c>
      <c r="K62" s="5">
        <v>3998464.3</v>
      </c>
      <c r="L62" s="5">
        <v>0.1736</v>
      </c>
      <c r="M62" s="5">
        <v>5.74E-2</v>
      </c>
      <c r="N62" s="5">
        <v>16725774</v>
      </c>
      <c r="O62" s="5">
        <v>14447817.82</v>
      </c>
      <c r="P62" s="5">
        <v>1848363</v>
      </c>
      <c r="Q62" s="5">
        <v>18517690</v>
      </c>
      <c r="R62" s="5">
        <v>271</v>
      </c>
      <c r="S62" s="5">
        <v>573</v>
      </c>
      <c r="T62" s="5">
        <v>2277956.1800000002</v>
      </c>
      <c r="U62" s="5">
        <v>0.13619999999999999</v>
      </c>
      <c r="V62" s="5">
        <v>9.98E-2</v>
      </c>
      <c r="W62" s="5">
        <v>4.07E-2</v>
      </c>
      <c r="X62" s="5">
        <v>0.37680000000000002</v>
      </c>
      <c r="Y62" s="5">
        <v>0.04</v>
      </c>
    </row>
    <row r="63" spans="1:25" x14ac:dyDescent="0.3">
      <c r="A63" s="5">
        <v>78</v>
      </c>
      <c r="B63" s="5" t="s">
        <v>140</v>
      </c>
      <c r="C63" s="5">
        <v>12</v>
      </c>
      <c r="D63" s="5" t="s">
        <v>89</v>
      </c>
      <c r="E63" s="5">
        <v>45868911</v>
      </c>
      <c r="F63" s="5">
        <v>37995440.340000004</v>
      </c>
      <c r="G63" s="5">
        <v>3068046</v>
      </c>
      <c r="H63" s="5">
        <v>48805370</v>
      </c>
      <c r="I63" s="5">
        <v>648</v>
      </c>
      <c r="J63" s="5">
        <v>1434</v>
      </c>
      <c r="K63" s="5">
        <v>7873470.6600000001</v>
      </c>
      <c r="L63" s="5">
        <v>0.17169999999999999</v>
      </c>
      <c r="M63" s="5">
        <v>6.2899999999999998E-2</v>
      </c>
      <c r="N63" s="5">
        <v>37270488</v>
      </c>
      <c r="O63" s="5">
        <v>32075670.469999999</v>
      </c>
      <c r="P63" s="5">
        <v>4138854</v>
      </c>
      <c r="Q63" s="5">
        <v>41282200</v>
      </c>
      <c r="R63" s="5">
        <v>494</v>
      </c>
      <c r="S63" s="5">
        <v>1100</v>
      </c>
      <c r="T63" s="5">
        <v>5194817.53</v>
      </c>
      <c r="U63" s="5">
        <v>0.1394</v>
      </c>
      <c r="V63" s="5">
        <v>0.1003</v>
      </c>
      <c r="W63" s="5">
        <v>3.56E-2</v>
      </c>
      <c r="X63" s="5">
        <v>0.23069999999999999</v>
      </c>
      <c r="Y63" s="5">
        <v>0.03</v>
      </c>
    </row>
    <row r="64" spans="1:25" x14ac:dyDescent="0.3">
      <c r="A64" s="5">
        <v>109</v>
      </c>
      <c r="B64" s="5" t="s">
        <v>141</v>
      </c>
      <c r="C64" s="5">
        <v>8</v>
      </c>
      <c r="D64" s="5" t="s">
        <v>82</v>
      </c>
      <c r="E64" s="5">
        <v>16831276</v>
      </c>
      <c r="F64" s="5">
        <v>13962129.85</v>
      </c>
      <c r="G64" s="5">
        <v>998353</v>
      </c>
      <c r="H64" s="5">
        <v>17782680</v>
      </c>
      <c r="I64" s="5">
        <v>207</v>
      </c>
      <c r="J64" s="5">
        <v>475</v>
      </c>
      <c r="K64" s="5">
        <v>2869146.15</v>
      </c>
      <c r="L64" s="5">
        <v>0.17050000000000001</v>
      </c>
      <c r="M64" s="5">
        <v>5.6099999999999997E-2</v>
      </c>
      <c r="N64" s="5">
        <v>10936596</v>
      </c>
      <c r="O64" s="5">
        <v>9358479.5399999991</v>
      </c>
      <c r="P64" s="5">
        <v>1135732</v>
      </c>
      <c r="Q64" s="5">
        <v>12015120</v>
      </c>
      <c r="R64" s="5">
        <v>159</v>
      </c>
      <c r="S64" s="5">
        <v>340</v>
      </c>
      <c r="T64" s="5">
        <v>1578116.46</v>
      </c>
      <c r="U64" s="5">
        <v>0.14430000000000001</v>
      </c>
      <c r="V64" s="5">
        <v>9.4500000000000001E-2</v>
      </c>
      <c r="W64" s="5">
        <v>3.5799999999999998E-2</v>
      </c>
      <c r="X64" s="5">
        <v>0.53900000000000003</v>
      </c>
      <c r="Y64" s="5">
        <v>0.03</v>
      </c>
    </row>
    <row r="65" spans="1:25" x14ac:dyDescent="0.3">
      <c r="A65" s="5">
        <v>94</v>
      </c>
      <c r="B65" s="5" t="s">
        <v>142</v>
      </c>
      <c r="C65" s="5">
        <v>8</v>
      </c>
      <c r="D65" s="5" t="s">
        <v>82</v>
      </c>
      <c r="E65" s="5">
        <v>39153262</v>
      </c>
      <c r="F65" s="5">
        <v>32337627.489999998</v>
      </c>
      <c r="G65" s="5">
        <v>2562844</v>
      </c>
      <c r="H65" s="5">
        <v>41570620</v>
      </c>
      <c r="I65" s="5">
        <v>585</v>
      </c>
      <c r="J65" s="5">
        <v>1282</v>
      </c>
      <c r="K65" s="5">
        <v>6815634.5099999998</v>
      </c>
      <c r="L65" s="5">
        <v>0.1741</v>
      </c>
      <c r="M65" s="5">
        <v>6.1699999999999998E-2</v>
      </c>
      <c r="N65" s="5">
        <v>31045982</v>
      </c>
      <c r="O65" s="5">
        <v>26572423.649999999</v>
      </c>
      <c r="P65" s="5">
        <v>3194156</v>
      </c>
      <c r="Q65" s="5">
        <v>34109680</v>
      </c>
      <c r="R65" s="5">
        <v>452</v>
      </c>
      <c r="S65" s="5">
        <v>1014</v>
      </c>
      <c r="T65" s="5">
        <v>4473558.3499999996</v>
      </c>
      <c r="U65" s="5">
        <v>0.14410000000000001</v>
      </c>
      <c r="V65" s="5">
        <v>9.3600000000000003E-2</v>
      </c>
      <c r="W65" s="5">
        <v>3.8199999999999998E-2</v>
      </c>
      <c r="X65" s="5">
        <v>0.2611</v>
      </c>
      <c r="Y65" s="5">
        <v>0.03</v>
      </c>
    </row>
    <row r="66" spans="1:25" x14ac:dyDescent="0.3">
      <c r="A66" s="5">
        <v>95</v>
      </c>
      <c r="B66" s="5" t="s">
        <v>142</v>
      </c>
      <c r="C66" s="5">
        <v>8</v>
      </c>
      <c r="D66" s="5" t="s">
        <v>82</v>
      </c>
      <c r="E66" s="5">
        <v>24668042</v>
      </c>
      <c r="F66" s="5">
        <v>20470411.210000001</v>
      </c>
      <c r="G66" s="5">
        <v>1555348</v>
      </c>
      <c r="H66" s="5">
        <v>26150290</v>
      </c>
      <c r="I66" s="5">
        <v>347</v>
      </c>
      <c r="J66" s="5">
        <v>794</v>
      </c>
      <c r="K66" s="5">
        <v>4197630.79</v>
      </c>
      <c r="L66" s="5">
        <v>0.17019999999999999</v>
      </c>
      <c r="M66" s="5">
        <v>5.9499999999999997E-2</v>
      </c>
      <c r="N66" s="5">
        <v>16141314</v>
      </c>
      <c r="O66" s="5">
        <v>14032865.689999999</v>
      </c>
      <c r="P66" s="5">
        <v>1900840</v>
      </c>
      <c r="Q66" s="5">
        <v>18002300</v>
      </c>
      <c r="R66" s="5">
        <v>239</v>
      </c>
      <c r="S66" s="5">
        <v>527</v>
      </c>
      <c r="T66" s="5">
        <v>2108448.31</v>
      </c>
      <c r="U66" s="5">
        <v>0.13059999999999999</v>
      </c>
      <c r="V66" s="5">
        <v>0.1056</v>
      </c>
      <c r="W66" s="5">
        <v>4.6600000000000003E-2</v>
      </c>
      <c r="X66" s="5">
        <v>0.52829999999999999</v>
      </c>
      <c r="Y66" s="5">
        <v>0.04</v>
      </c>
    </row>
    <row r="67" spans="1:25" x14ac:dyDescent="0.3">
      <c r="A67" s="5">
        <v>102</v>
      </c>
      <c r="B67" s="5" t="s">
        <v>143</v>
      </c>
      <c r="C67" s="5">
        <v>2</v>
      </c>
      <c r="D67" s="5" t="s">
        <v>88</v>
      </c>
      <c r="E67" s="5">
        <v>7602505</v>
      </c>
      <c r="F67" s="5">
        <v>6220343.0199999996</v>
      </c>
      <c r="G67" s="5">
        <v>508157</v>
      </c>
      <c r="H67" s="5">
        <v>8091210</v>
      </c>
      <c r="I67" s="5">
        <v>114</v>
      </c>
      <c r="J67" s="5">
        <v>240</v>
      </c>
      <c r="K67" s="5">
        <v>1382161.98</v>
      </c>
      <c r="L67" s="5">
        <v>0.18179999999999999</v>
      </c>
      <c r="M67" s="5">
        <v>6.2799999999999995E-2</v>
      </c>
      <c r="N67" s="5">
        <v>6572128</v>
      </c>
      <c r="O67" s="5">
        <v>5792896.0499999998</v>
      </c>
      <c r="P67" s="5">
        <v>861656</v>
      </c>
      <c r="Q67" s="5">
        <v>7411620</v>
      </c>
      <c r="R67" s="5">
        <v>85</v>
      </c>
      <c r="S67" s="5">
        <v>187</v>
      </c>
      <c r="T67" s="5">
        <v>779231.95</v>
      </c>
      <c r="U67" s="5">
        <v>0.1186</v>
      </c>
      <c r="V67" s="5">
        <v>0.1163</v>
      </c>
      <c r="W67" s="5">
        <v>2.92E-2</v>
      </c>
      <c r="X67" s="5">
        <v>0.15679999999999999</v>
      </c>
      <c r="Y67" s="5">
        <v>0.06</v>
      </c>
    </row>
    <row r="68" spans="1:25" x14ac:dyDescent="0.3">
      <c r="A68" s="5">
        <v>97</v>
      </c>
      <c r="B68" s="5" t="s">
        <v>144</v>
      </c>
      <c r="C68" s="5">
        <v>2</v>
      </c>
      <c r="D68" s="5" t="s">
        <v>88</v>
      </c>
      <c r="E68" s="5">
        <v>43262407</v>
      </c>
      <c r="F68" s="5">
        <v>35694068.560000002</v>
      </c>
      <c r="G68" s="5">
        <v>2870776</v>
      </c>
      <c r="H68" s="5">
        <v>46017000</v>
      </c>
      <c r="I68" s="5">
        <v>634</v>
      </c>
      <c r="J68" s="5">
        <v>1355</v>
      </c>
      <c r="K68" s="5">
        <v>7568338.4400000004</v>
      </c>
      <c r="L68" s="5">
        <v>0.1749</v>
      </c>
      <c r="M68" s="5">
        <v>6.2399999999999997E-2</v>
      </c>
      <c r="N68" s="5">
        <v>38712727</v>
      </c>
      <c r="O68" s="5">
        <v>33152270.140000001</v>
      </c>
      <c r="P68" s="5">
        <v>4055057</v>
      </c>
      <c r="Q68" s="5">
        <v>42632270</v>
      </c>
      <c r="R68" s="5">
        <v>532</v>
      </c>
      <c r="S68" s="5">
        <v>1164</v>
      </c>
      <c r="T68" s="5">
        <v>5560456.8600000003</v>
      </c>
      <c r="U68" s="5">
        <v>0.14360000000000001</v>
      </c>
      <c r="V68" s="5">
        <v>9.5100000000000004E-2</v>
      </c>
      <c r="W68" s="5">
        <v>3.5400000000000001E-2</v>
      </c>
      <c r="X68" s="5">
        <v>0.11749999999999999</v>
      </c>
      <c r="Y68" s="5">
        <v>0.03</v>
      </c>
    </row>
    <row r="69" spans="1:25" x14ac:dyDescent="0.3">
      <c r="A69" s="5">
        <v>58</v>
      </c>
      <c r="B69" s="5" t="s">
        <v>145</v>
      </c>
      <c r="C69" s="5">
        <v>2</v>
      </c>
      <c r="D69" s="5" t="s">
        <v>88</v>
      </c>
      <c r="E69" s="5">
        <v>18851634</v>
      </c>
      <c r="F69" s="5">
        <v>15424256.75</v>
      </c>
      <c r="G69" s="5">
        <v>1171194</v>
      </c>
      <c r="H69" s="5">
        <v>19965640</v>
      </c>
      <c r="I69" s="5">
        <v>274</v>
      </c>
      <c r="J69" s="5">
        <v>601</v>
      </c>
      <c r="K69" s="5">
        <v>3427377.25</v>
      </c>
      <c r="L69" s="5">
        <v>0.18179999999999999</v>
      </c>
      <c r="M69" s="5">
        <v>5.8700000000000002E-2</v>
      </c>
      <c r="N69" s="5">
        <v>14796366</v>
      </c>
      <c r="O69" s="5">
        <v>12688969.970000001</v>
      </c>
      <c r="P69" s="5">
        <v>1520328</v>
      </c>
      <c r="Q69" s="5">
        <v>16263860</v>
      </c>
      <c r="R69" s="5">
        <v>205</v>
      </c>
      <c r="S69" s="5">
        <v>461</v>
      </c>
      <c r="T69" s="5">
        <v>2107396.0299999998</v>
      </c>
      <c r="U69" s="5">
        <v>0.1424</v>
      </c>
      <c r="V69" s="5">
        <v>9.35E-2</v>
      </c>
      <c r="W69" s="5">
        <v>2.1600000000000001E-2</v>
      </c>
      <c r="X69" s="5">
        <v>0.27410000000000001</v>
      </c>
      <c r="Y69" s="5">
        <v>0.04</v>
      </c>
    </row>
    <row r="70" spans="1:25" x14ac:dyDescent="0.3">
      <c r="A70" s="5">
        <v>63</v>
      </c>
      <c r="B70" s="5" t="s">
        <v>145</v>
      </c>
      <c r="C70" s="5">
        <v>2</v>
      </c>
      <c r="D70" s="5" t="s">
        <v>88</v>
      </c>
      <c r="E70" s="5">
        <v>22606864</v>
      </c>
      <c r="F70" s="5">
        <v>18615035.190000001</v>
      </c>
      <c r="G70" s="5">
        <v>1537840</v>
      </c>
      <c r="H70" s="5">
        <v>24060200</v>
      </c>
      <c r="I70" s="5">
        <v>338</v>
      </c>
      <c r="J70" s="5">
        <v>722</v>
      </c>
      <c r="K70" s="5">
        <v>3991828.81</v>
      </c>
      <c r="L70" s="5">
        <v>0.17660000000000001</v>
      </c>
      <c r="M70" s="5">
        <v>6.3899999999999998E-2</v>
      </c>
      <c r="N70" s="5">
        <v>17862631</v>
      </c>
      <c r="O70" s="5">
        <v>15123687.189999999</v>
      </c>
      <c r="P70" s="5">
        <v>1898857</v>
      </c>
      <c r="Q70" s="5">
        <v>19701880</v>
      </c>
      <c r="R70" s="5">
        <v>251</v>
      </c>
      <c r="S70" s="5">
        <v>546</v>
      </c>
      <c r="T70" s="5">
        <v>2738943.81</v>
      </c>
      <c r="U70" s="5">
        <v>0.15329999999999999</v>
      </c>
      <c r="V70" s="5">
        <v>9.64E-2</v>
      </c>
      <c r="W70" s="5">
        <v>3.1899999999999998E-2</v>
      </c>
      <c r="X70" s="5">
        <v>0.2656</v>
      </c>
      <c r="Y70" s="5">
        <v>0.02</v>
      </c>
    </row>
    <row r="71" spans="1:25" x14ac:dyDescent="0.3">
      <c r="A71" s="5">
        <v>73</v>
      </c>
      <c r="B71" s="5" t="s">
        <v>145</v>
      </c>
      <c r="C71" s="5">
        <v>2</v>
      </c>
      <c r="D71" s="5" t="s">
        <v>88</v>
      </c>
      <c r="E71" s="5">
        <v>21737206</v>
      </c>
      <c r="F71" s="5">
        <v>17985407</v>
      </c>
      <c r="G71" s="5">
        <v>1247408</v>
      </c>
      <c r="H71" s="5">
        <v>22924070</v>
      </c>
      <c r="I71" s="5">
        <v>293</v>
      </c>
      <c r="J71" s="5">
        <v>650</v>
      </c>
      <c r="K71" s="5">
        <v>3751799</v>
      </c>
      <c r="L71" s="5">
        <v>0.1726</v>
      </c>
      <c r="M71" s="5">
        <v>5.4399999999999997E-2</v>
      </c>
      <c r="N71" s="5">
        <v>15512582</v>
      </c>
      <c r="O71" s="5">
        <v>13208835.91</v>
      </c>
      <c r="P71" s="5">
        <v>1475190</v>
      </c>
      <c r="Q71" s="5">
        <v>16945670</v>
      </c>
      <c r="R71" s="5">
        <v>224</v>
      </c>
      <c r="S71" s="5">
        <v>494</v>
      </c>
      <c r="T71" s="5">
        <v>2303746.09</v>
      </c>
      <c r="U71" s="5">
        <v>0.14849999999999999</v>
      </c>
      <c r="V71" s="5">
        <v>8.7099999999999997E-2</v>
      </c>
      <c r="W71" s="5">
        <v>3.2300000000000002E-2</v>
      </c>
      <c r="X71" s="5">
        <v>0.40129999999999999</v>
      </c>
      <c r="Y71" s="5">
        <v>0.02</v>
      </c>
    </row>
    <row r="72" spans="1:25" x14ac:dyDescent="0.3">
      <c r="A72" s="5">
        <v>81</v>
      </c>
      <c r="B72" s="5" t="s">
        <v>146</v>
      </c>
      <c r="C72" s="5">
        <v>6</v>
      </c>
      <c r="D72" s="5" t="s">
        <v>90</v>
      </c>
      <c r="E72" s="5">
        <v>12772092</v>
      </c>
      <c r="F72" s="5">
        <v>10493571.26</v>
      </c>
      <c r="G72" s="5">
        <v>782551</v>
      </c>
      <c r="H72" s="5">
        <v>13519000</v>
      </c>
      <c r="I72" s="5">
        <v>189</v>
      </c>
      <c r="J72" s="5">
        <v>406</v>
      </c>
      <c r="K72" s="5">
        <v>2278520.7400000002</v>
      </c>
      <c r="L72" s="5">
        <v>0.1784</v>
      </c>
      <c r="M72" s="5">
        <v>5.79E-2</v>
      </c>
      <c r="N72" s="5">
        <v>13414052</v>
      </c>
      <c r="O72" s="5">
        <v>11497014.59</v>
      </c>
      <c r="P72" s="5">
        <v>1315853</v>
      </c>
      <c r="Q72" s="5">
        <v>14691380</v>
      </c>
      <c r="R72" s="5">
        <v>167</v>
      </c>
      <c r="S72" s="5">
        <v>387</v>
      </c>
      <c r="T72" s="5">
        <v>1917037.41</v>
      </c>
      <c r="U72" s="5">
        <v>0.1429</v>
      </c>
      <c r="V72" s="5">
        <v>8.9599999999999999E-2</v>
      </c>
      <c r="W72" s="5">
        <v>3.2000000000000001E-2</v>
      </c>
      <c r="X72" s="5">
        <v>-4.7899999999999998E-2</v>
      </c>
      <c r="Y72" s="5">
        <v>0.04</v>
      </c>
    </row>
    <row r="73" spans="1:25" x14ac:dyDescent="0.3">
      <c r="A73" s="5">
        <v>15</v>
      </c>
      <c r="B73" s="5" t="s">
        <v>147</v>
      </c>
      <c r="C73" s="5">
        <v>6</v>
      </c>
      <c r="D73" s="5" t="s">
        <v>90</v>
      </c>
      <c r="E73" s="5">
        <v>12165026</v>
      </c>
      <c r="F73" s="5">
        <v>10098999.189999999</v>
      </c>
      <c r="G73" s="5">
        <v>627902</v>
      </c>
      <c r="H73" s="5">
        <v>12746260</v>
      </c>
      <c r="I73" s="5">
        <v>157</v>
      </c>
      <c r="J73" s="5">
        <v>341</v>
      </c>
      <c r="K73" s="5">
        <v>2066026.81</v>
      </c>
      <c r="L73" s="5">
        <v>0.16980000000000001</v>
      </c>
      <c r="M73" s="5">
        <v>4.9299999999999997E-2</v>
      </c>
      <c r="N73" s="5">
        <v>8402183</v>
      </c>
      <c r="O73" s="5">
        <v>7328612.6900000004</v>
      </c>
      <c r="P73" s="5">
        <v>1059409</v>
      </c>
      <c r="Q73" s="5">
        <v>9440930</v>
      </c>
      <c r="R73" s="5">
        <v>139</v>
      </c>
      <c r="S73" s="5">
        <v>304</v>
      </c>
      <c r="T73" s="5">
        <v>1073570.31</v>
      </c>
      <c r="U73" s="5">
        <v>0.1278</v>
      </c>
      <c r="V73" s="5">
        <v>0.11219999999999999</v>
      </c>
      <c r="W73" s="5">
        <v>3.5200000000000002E-2</v>
      </c>
      <c r="X73" s="5">
        <v>0.44779999999999998</v>
      </c>
      <c r="Y73" s="5">
        <v>0.04</v>
      </c>
    </row>
    <row r="74" spans="1:25" x14ac:dyDescent="0.3">
      <c r="A74" s="5">
        <v>31</v>
      </c>
      <c r="B74" s="5" t="s">
        <v>147</v>
      </c>
      <c r="C74" s="5">
        <v>6</v>
      </c>
      <c r="D74" s="5" t="s">
        <v>90</v>
      </c>
      <c r="E74" s="5">
        <v>21284761</v>
      </c>
      <c r="F74" s="5">
        <v>17331267.32</v>
      </c>
      <c r="G74" s="5">
        <v>1367637</v>
      </c>
      <c r="H74" s="5">
        <v>22581850</v>
      </c>
      <c r="I74" s="5">
        <v>324</v>
      </c>
      <c r="J74" s="5">
        <v>685</v>
      </c>
      <c r="K74" s="5">
        <v>3953493.68</v>
      </c>
      <c r="L74" s="5">
        <v>0.1857</v>
      </c>
      <c r="M74" s="5">
        <v>6.0600000000000001E-2</v>
      </c>
      <c r="N74" s="5">
        <v>20960907</v>
      </c>
      <c r="O74" s="5">
        <v>17961017.899999999</v>
      </c>
      <c r="P74" s="5">
        <v>2304180</v>
      </c>
      <c r="Q74" s="5">
        <v>23172850</v>
      </c>
      <c r="R74" s="5">
        <v>294</v>
      </c>
      <c r="S74" s="5">
        <v>635</v>
      </c>
      <c r="T74" s="5">
        <v>2999889.1</v>
      </c>
      <c r="U74" s="5">
        <v>0.1431</v>
      </c>
      <c r="V74" s="5">
        <v>9.9400000000000002E-2</v>
      </c>
      <c r="W74" s="5">
        <v>3.9399999999999998E-2</v>
      </c>
      <c r="X74" s="5">
        <v>1.55E-2</v>
      </c>
      <c r="Y74" s="5">
        <v>0.04</v>
      </c>
    </row>
    <row r="75" spans="1:25" x14ac:dyDescent="0.3">
      <c r="A75" s="5">
        <v>85</v>
      </c>
      <c r="B75" s="5" t="s">
        <v>147</v>
      </c>
      <c r="C75" s="5">
        <v>6</v>
      </c>
      <c r="D75" s="5" t="s">
        <v>90</v>
      </c>
      <c r="E75" s="5">
        <v>8528308</v>
      </c>
      <c r="F75" s="5">
        <v>7041496.7300000004</v>
      </c>
      <c r="G75" s="5">
        <v>496839</v>
      </c>
      <c r="H75" s="5">
        <v>8990120</v>
      </c>
      <c r="I75" s="5">
        <v>105</v>
      </c>
      <c r="J75" s="5">
        <v>239</v>
      </c>
      <c r="K75" s="5">
        <v>1486811.27</v>
      </c>
      <c r="L75" s="5">
        <v>0.17430000000000001</v>
      </c>
      <c r="M75" s="5">
        <v>5.5300000000000002E-2</v>
      </c>
      <c r="N75" s="5">
        <v>6143061</v>
      </c>
      <c r="O75" s="5">
        <v>5584435.8300000001</v>
      </c>
      <c r="P75" s="5">
        <v>904156</v>
      </c>
      <c r="Q75" s="5">
        <v>7035250</v>
      </c>
      <c r="R75" s="5">
        <v>74</v>
      </c>
      <c r="S75" s="5">
        <v>175</v>
      </c>
      <c r="T75" s="5">
        <v>558625.17000000004</v>
      </c>
      <c r="U75" s="5">
        <v>9.0899999999999995E-2</v>
      </c>
      <c r="V75" s="5">
        <v>0.1285</v>
      </c>
      <c r="W75" s="5">
        <v>2.93E-2</v>
      </c>
      <c r="X75" s="5">
        <v>0.38829999999999998</v>
      </c>
      <c r="Y75" s="5">
        <v>0.08</v>
      </c>
    </row>
    <row r="76" spans="1:25" x14ac:dyDescent="0.3">
      <c r="A76" s="5">
        <v>112</v>
      </c>
      <c r="B76" s="5" t="s">
        <v>147</v>
      </c>
      <c r="C76" s="5">
        <v>6</v>
      </c>
      <c r="D76" s="5" t="s">
        <v>90</v>
      </c>
      <c r="E76" s="5">
        <v>13863301</v>
      </c>
      <c r="F76" s="5">
        <v>11531123.039999999</v>
      </c>
      <c r="G76" s="5">
        <v>915634</v>
      </c>
      <c r="H76" s="5">
        <v>14737810</v>
      </c>
      <c r="I76" s="5">
        <v>184</v>
      </c>
      <c r="J76" s="5">
        <v>420</v>
      </c>
      <c r="K76" s="5">
        <v>2332177.96</v>
      </c>
      <c r="L76" s="5">
        <v>0.16819999999999999</v>
      </c>
      <c r="M76" s="5">
        <v>6.2100000000000002E-2</v>
      </c>
      <c r="N76" s="5">
        <v>8034640</v>
      </c>
      <c r="O76" s="5">
        <v>6898409.2300000004</v>
      </c>
      <c r="P76" s="5">
        <v>901806</v>
      </c>
      <c r="Q76" s="5">
        <v>8920040</v>
      </c>
      <c r="R76" s="5">
        <v>129</v>
      </c>
      <c r="S76" s="5">
        <v>282</v>
      </c>
      <c r="T76" s="5">
        <v>1136230.77</v>
      </c>
      <c r="U76" s="5">
        <v>0.1414</v>
      </c>
      <c r="V76" s="5">
        <v>0.1011</v>
      </c>
      <c r="W76" s="5">
        <v>2.6200000000000001E-2</v>
      </c>
      <c r="X76" s="5">
        <v>0.72540000000000004</v>
      </c>
      <c r="Y76" s="5">
        <v>0.03</v>
      </c>
    </row>
    <row r="77" spans="1:25" x14ac:dyDescent="0.3">
      <c r="A77" s="5">
        <v>119</v>
      </c>
      <c r="B77" s="5" t="s">
        <v>147</v>
      </c>
      <c r="C77" s="5">
        <v>6</v>
      </c>
      <c r="D77" s="5" t="s">
        <v>90</v>
      </c>
      <c r="E77" s="5">
        <v>41240312</v>
      </c>
      <c r="F77" s="5">
        <v>34203868.479999997</v>
      </c>
      <c r="G77" s="5">
        <v>2860662</v>
      </c>
      <c r="H77" s="5">
        <v>43937720</v>
      </c>
      <c r="I77" s="5">
        <v>570</v>
      </c>
      <c r="J77" s="5">
        <v>1284</v>
      </c>
      <c r="K77" s="5">
        <v>7036443.5199999996</v>
      </c>
      <c r="L77" s="5">
        <v>0.1706</v>
      </c>
      <c r="M77" s="5">
        <v>6.5100000000000005E-2</v>
      </c>
      <c r="N77" s="5">
        <v>26755226</v>
      </c>
      <c r="O77" s="5">
        <v>23049446.780000001</v>
      </c>
      <c r="P77" s="5">
        <v>3234720</v>
      </c>
      <c r="Q77" s="5">
        <v>29907300</v>
      </c>
      <c r="R77" s="5">
        <v>436</v>
      </c>
      <c r="S77" s="5">
        <v>953</v>
      </c>
      <c r="T77" s="5">
        <v>3705779.22</v>
      </c>
      <c r="U77" s="5">
        <v>0.13850000000000001</v>
      </c>
      <c r="V77" s="5">
        <v>0.1082</v>
      </c>
      <c r="W77" s="5">
        <v>4.1300000000000003E-2</v>
      </c>
      <c r="X77" s="5">
        <v>0.54139999999999999</v>
      </c>
      <c r="Y77" s="5">
        <v>0.03</v>
      </c>
    </row>
    <row r="78" spans="1:25" x14ac:dyDescent="0.3">
      <c r="A78" s="5">
        <v>46</v>
      </c>
      <c r="B78" s="5" t="s">
        <v>148</v>
      </c>
      <c r="C78" s="5">
        <v>5</v>
      </c>
      <c r="D78" s="5" t="s">
        <v>80</v>
      </c>
      <c r="E78" s="5">
        <v>12237556</v>
      </c>
      <c r="F78" s="5">
        <v>10120267.619999999</v>
      </c>
      <c r="G78" s="5">
        <v>891972</v>
      </c>
      <c r="H78" s="5">
        <v>13087560</v>
      </c>
      <c r="I78" s="5">
        <v>182</v>
      </c>
      <c r="J78" s="5">
        <v>404</v>
      </c>
      <c r="K78" s="5">
        <v>2117288.38</v>
      </c>
      <c r="L78" s="5">
        <v>0.17299999999999999</v>
      </c>
      <c r="M78" s="5">
        <v>6.8199999999999997E-2</v>
      </c>
      <c r="N78" s="5">
        <v>12399491</v>
      </c>
      <c r="O78" s="5">
        <v>11164943.869999999</v>
      </c>
      <c r="P78" s="5">
        <v>1883325</v>
      </c>
      <c r="Q78" s="5">
        <v>14252230</v>
      </c>
      <c r="R78" s="5">
        <v>157</v>
      </c>
      <c r="S78" s="5">
        <v>356</v>
      </c>
      <c r="T78" s="5">
        <v>1234547.1299999999</v>
      </c>
      <c r="U78" s="5">
        <v>9.9599999999999994E-2</v>
      </c>
      <c r="V78" s="5">
        <v>0.1321</v>
      </c>
      <c r="W78" s="5">
        <v>4.2099999999999999E-2</v>
      </c>
      <c r="X78" s="5">
        <v>-1.3100000000000001E-2</v>
      </c>
      <c r="Y78" s="5">
        <v>7.0000000000000007E-2</v>
      </c>
    </row>
    <row r="79" spans="1:25" x14ac:dyDescent="0.3">
      <c r="A79" s="5">
        <v>56</v>
      </c>
      <c r="B79" s="5" t="s">
        <v>149</v>
      </c>
      <c r="C79" s="5">
        <v>5</v>
      </c>
      <c r="D79" s="5" t="s">
        <v>80</v>
      </c>
      <c r="E79" s="5">
        <v>13640033</v>
      </c>
      <c r="F79" s="5">
        <v>11197974.43</v>
      </c>
      <c r="G79" s="5">
        <v>747540</v>
      </c>
      <c r="H79" s="5">
        <v>14321770</v>
      </c>
      <c r="I79" s="5">
        <v>178</v>
      </c>
      <c r="J79" s="5">
        <v>397</v>
      </c>
      <c r="K79" s="5">
        <v>2442058.5699999998</v>
      </c>
      <c r="L79" s="5">
        <v>0.17899999999999999</v>
      </c>
      <c r="M79" s="5">
        <v>5.2200000000000003E-2</v>
      </c>
      <c r="N79" s="5">
        <v>10862173</v>
      </c>
      <c r="O79" s="5">
        <v>9247588.6999999993</v>
      </c>
      <c r="P79" s="5">
        <v>1126031</v>
      </c>
      <c r="Q79" s="5">
        <v>11957120</v>
      </c>
      <c r="R79" s="5">
        <v>155</v>
      </c>
      <c r="S79" s="5">
        <v>352</v>
      </c>
      <c r="T79" s="5">
        <v>1614584.3</v>
      </c>
      <c r="U79" s="5">
        <v>0.14860000000000001</v>
      </c>
      <c r="V79" s="5">
        <v>9.4200000000000006E-2</v>
      </c>
      <c r="W79" s="5">
        <v>2.0199999999999999E-2</v>
      </c>
      <c r="X79" s="5">
        <v>0.25569999999999998</v>
      </c>
      <c r="Y79" s="5">
        <v>0.03</v>
      </c>
    </row>
    <row r="80" spans="1:25" x14ac:dyDescent="0.3">
      <c r="A80" s="5">
        <v>45</v>
      </c>
      <c r="B80" s="5" t="s">
        <v>150</v>
      </c>
      <c r="C80" s="5">
        <v>3</v>
      </c>
      <c r="D80" s="5" t="s">
        <v>85</v>
      </c>
      <c r="E80" s="5">
        <v>28008835</v>
      </c>
      <c r="F80" s="5">
        <v>23100514.48</v>
      </c>
      <c r="G80" s="5">
        <v>1719629</v>
      </c>
      <c r="H80" s="5">
        <v>29628980</v>
      </c>
      <c r="I80" s="5">
        <v>398</v>
      </c>
      <c r="J80" s="5">
        <v>833</v>
      </c>
      <c r="K80" s="5">
        <v>4908320.5199999996</v>
      </c>
      <c r="L80" s="5">
        <v>0.17519999999999999</v>
      </c>
      <c r="M80" s="5">
        <v>5.8000000000000003E-2</v>
      </c>
      <c r="N80" s="5">
        <v>19534402</v>
      </c>
      <c r="O80" s="5">
        <v>17025494.870000001</v>
      </c>
      <c r="P80" s="5">
        <v>2405176</v>
      </c>
      <c r="Q80" s="5">
        <v>21874020</v>
      </c>
      <c r="R80" s="5">
        <v>295</v>
      </c>
      <c r="S80" s="5">
        <v>672</v>
      </c>
      <c r="T80" s="5">
        <v>2508907.13</v>
      </c>
      <c r="U80" s="5">
        <v>0.12839999999999999</v>
      </c>
      <c r="V80" s="5">
        <v>0.11</v>
      </c>
      <c r="W80" s="5">
        <v>3.5999999999999997E-2</v>
      </c>
      <c r="X80" s="5">
        <v>0.43380000000000002</v>
      </c>
      <c r="Y80" s="5">
        <v>0.05</v>
      </c>
    </row>
    <row r="81" spans="1:25" x14ac:dyDescent="0.3">
      <c r="A81" s="5">
        <v>25</v>
      </c>
      <c r="B81" s="5" t="s">
        <v>151</v>
      </c>
      <c r="C81" s="5">
        <v>3</v>
      </c>
      <c r="D81" s="5" t="s">
        <v>85</v>
      </c>
      <c r="E81" s="5">
        <v>174294149</v>
      </c>
      <c r="F81" s="5">
        <v>144192413.84</v>
      </c>
      <c r="G81" s="5">
        <v>11157331</v>
      </c>
      <c r="H81" s="5">
        <v>184889150</v>
      </c>
      <c r="I81" s="5">
        <v>2530</v>
      </c>
      <c r="J81" s="5">
        <v>5533</v>
      </c>
      <c r="K81" s="5">
        <v>30101735.16</v>
      </c>
      <c r="L81" s="5">
        <v>0.17269999999999999</v>
      </c>
      <c r="M81" s="5">
        <v>6.0299999999999999E-2</v>
      </c>
      <c r="N81" s="5">
        <v>134954680</v>
      </c>
      <c r="O81" s="5">
        <v>116403507.33</v>
      </c>
      <c r="P81" s="5">
        <v>15054525</v>
      </c>
      <c r="Q81" s="5">
        <v>149595300</v>
      </c>
      <c r="R81" s="5">
        <v>1959</v>
      </c>
      <c r="S81" s="5">
        <v>4282</v>
      </c>
      <c r="T81" s="5">
        <v>18551172.670000002</v>
      </c>
      <c r="U81" s="5">
        <v>0.13750000000000001</v>
      </c>
      <c r="V81" s="5">
        <v>0.10059999999999999</v>
      </c>
      <c r="W81" s="5">
        <v>3.3399999999999999E-2</v>
      </c>
      <c r="X81" s="5">
        <v>0.29149999999999998</v>
      </c>
      <c r="Y81" s="5">
        <v>0.04</v>
      </c>
    </row>
    <row r="82" spans="1:25" x14ac:dyDescent="0.3">
      <c r="A82" s="5">
        <v>13</v>
      </c>
      <c r="B82" s="5" t="s">
        <v>152</v>
      </c>
      <c r="C82" s="5">
        <v>3</v>
      </c>
      <c r="D82" s="5" t="s">
        <v>85</v>
      </c>
      <c r="E82" s="5">
        <v>62717143</v>
      </c>
      <c r="F82" s="5">
        <v>52100417.399999999</v>
      </c>
      <c r="G82" s="5">
        <v>4506819</v>
      </c>
      <c r="H82" s="5">
        <v>67050830</v>
      </c>
      <c r="I82" s="5">
        <v>854</v>
      </c>
      <c r="J82" s="5">
        <v>1946</v>
      </c>
      <c r="K82" s="5">
        <v>10616725.6</v>
      </c>
      <c r="L82" s="5">
        <v>0.16930000000000001</v>
      </c>
      <c r="M82" s="5">
        <v>6.7199999999999996E-2</v>
      </c>
      <c r="N82" s="5">
        <v>51232437</v>
      </c>
      <c r="O82" s="5">
        <v>44181688.119999997</v>
      </c>
      <c r="P82" s="5">
        <v>5396168</v>
      </c>
      <c r="Q82" s="5">
        <v>56441330</v>
      </c>
      <c r="R82" s="5">
        <v>723</v>
      </c>
      <c r="S82" s="5">
        <v>1577</v>
      </c>
      <c r="T82" s="5">
        <v>7050748.8799999999</v>
      </c>
      <c r="U82" s="5">
        <v>0.1376</v>
      </c>
      <c r="V82" s="5">
        <v>9.5600000000000004E-2</v>
      </c>
      <c r="W82" s="5">
        <v>4.4699999999999997E-2</v>
      </c>
      <c r="X82" s="5">
        <v>0.22420000000000001</v>
      </c>
      <c r="Y82" s="5">
        <v>0.03</v>
      </c>
    </row>
    <row r="83" spans="1:25" x14ac:dyDescent="0.3">
      <c r="A83" s="5">
        <v>101</v>
      </c>
      <c r="B83" s="5" t="s">
        <v>153</v>
      </c>
      <c r="C83" s="5">
        <v>5</v>
      </c>
      <c r="D83" s="5" t="s">
        <v>80</v>
      </c>
      <c r="E83" s="5">
        <v>11014578</v>
      </c>
      <c r="F83" s="5">
        <v>9171585.4199999999</v>
      </c>
      <c r="G83" s="5">
        <v>845464</v>
      </c>
      <c r="H83" s="5">
        <v>11824220</v>
      </c>
      <c r="I83" s="5">
        <v>179</v>
      </c>
      <c r="J83" s="5">
        <v>393</v>
      </c>
      <c r="K83" s="5">
        <v>1842992.58</v>
      </c>
      <c r="L83" s="5">
        <v>0.1673</v>
      </c>
      <c r="M83" s="5">
        <v>7.1499999999999994E-2</v>
      </c>
      <c r="N83" s="5">
        <v>8280611</v>
      </c>
      <c r="O83" s="5">
        <v>7159410.4199999999</v>
      </c>
      <c r="P83" s="5">
        <v>921105</v>
      </c>
      <c r="Q83" s="5">
        <v>9176970</v>
      </c>
      <c r="R83" s="5">
        <v>118</v>
      </c>
      <c r="S83" s="5">
        <v>264</v>
      </c>
      <c r="T83" s="5">
        <v>1121200.58</v>
      </c>
      <c r="U83" s="5">
        <v>0.13539999999999999</v>
      </c>
      <c r="V83" s="5">
        <v>0.1004</v>
      </c>
      <c r="W83" s="5">
        <v>2.0400000000000001E-2</v>
      </c>
      <c r="X83" s="5">
        <v>0.33019999999999999</v>
      </c>
      <c r="Y83" s="5">
        <v>0.03</v>
      </c>
    </row>
    <row r="84" spans="1:25" x14ac:dyDescent="0.3">
      <c r="A84" s="5">
        <v>48</v>
      </c>
      <c r="B84" s="5" t="s">
        <v>154</v>
      </c>
      <c r="C84" s="5">
        <v>3</v>
      </c>
      <c r="D84" s="5" t="s">
        <v>85</v>
      </c>
      <c r="E84" s="5">
        <v>12017800</v>
      </c>
      <c r="F84" s="5">
        <v>9831597.1999999993</v>
      </c>
      <c r="G84" s="5">
        <v>715187</v>
      </c>
      <c r="H84" s="5">
        <v>12702730</v>
      </c>
      <c r="I84" s="5">
        <v>162</v>
      </c>
      <c r="J84" s="5">
        <v>360</v>
      </c>
      <c r="K84" s="5">
        <v>2186202.7999999998</v>
      </c>
      <c r="L84" s="5">
        <v>0.18190000000000001</v>
      </c>
      <c r="M84" s="5">
        <v>5.6300000000000003E-2</v>
      </c>
      <c r="N84" s="5">
        <v>8429108</v>
      </c>
      <c r="O84" s="5">
        <v>7395394.1299999999</v>
      </c>
      <c r="P84" s="5">
        <v>1046018</v>
      </c>
      <c r="Q84" s="5">
        <v>9441030</v>
      </c>
      <c r="R84" s="5">
        <v>126</v>
      </c>
      <c r="S84" s="5">
        <v>282</v>
      </c>
      <c r="T84" s="5">
        <v>1033713.87</v>
      </c>
      <c r="U84" s="5">
        <v>0.1226</v>
      </c>
      <c r="V84" s="5">
        <v>0.1108</v>
      </c>
      <c r="W84" s="5">
        <v>1.67E-2</v>
      </c>
      <c r="X84" s="5">
        <v>0.42570000000000002</v>
      </c>
      <c r="Y84" s="5">
        <v>0.06</v>
      </c>
    </row>
    <row r="85" spans="1:25" x14ac:dyDescent="0.3">
      <c r="A85" s="5">
        <v>86</v>
      </c>
      <c r="B85" s="5" t="s">
        <v>155</v>
      </c>
      <c r="C85" s="5">
        <v>3</v>
      </c>
      <c r="D85" s="5" t="s">
        <v>85</v>
      </c>
      <c r="E85" s="5">
        <v>24906271</v>
      </c>
      <c r="F85" s="5">
        <v>20691449.77</v>
      </c>
      <c r="G85" s="5">
        <v>1639468</v>
      </c>
      <c r="H85" s="5">
        <v>26481200</v>
      </c>
      <c r="I85" s="5">
        <v>351</v>
      </c>
      <c r="J85" s="5">
        <v>772</v>
      </c>
      <c r="K85" s="5">
        <v>4214821.2300000004</v>
      </c>
      <c r="L85" s="5">
        <v>0.16919999999999999</v>
      </c>
      <c r="M85" s="5">
        <v>6.1899999999999997E-2</v>
      </c>
      <c r="N85" s="5">
        <v>19103152</v>
      </c>
      <c r="O85" s="5">
        <v>16517985.26</v>
      </c>
      <c r="P85" s="5">
        <v>2098238</v>
      </c>
      <c r="Q85" s="5">
        <v>21130290</v>
      </c>
      <c r="R85" s="5">
        <v>259</v>
      </c>
      <c r="S85" s="5">
        <v>569</v>
      </c>
      <c r="T85" s="5">
        <v>2585166.7400000002</v>
      </c>
      <c r="U85" s="5">
        <v>0.1353</v>
      </c>
      <c r="V85" s="5">
        <v>9.9299999999999999E-2</v>
      </c>
      <c r="W85" s="5">
        <v>2.1999999999999999E-2</v>
      </c>
      <c r="X85" s="5">
        <v>0.30380000000000001</v>
      </c>
      <c r="Y85" s="5">
        <v>0.03</v>
      </c>
    </row>
    <row r="86" spans="1:25" x14ac:dyDescent="0.3">
      <c r="A86" s="5">
        <v>110</v>
      </c>
      <c r="B86" s="5" t="s">
        <v>156</v>
      </c>
      <c r="C86" s="5">
        <v>1</v>
      </c>
      <c r="D86" s="5" t="s">
        <v>76</v>
      </c>
      <c r="E86" s="5">
        <v>35017677</v>
      </c>
      <c r="F86" s="5">
        <v>28651643.100000001</v>
      </c>
      <c r="G86" s="5">
        <v>1995215</v>
      </c>
      <c r="H86" s="5">
        <v>36879830</v>
      </c>
      <c r="I86" s="5">
        <v>497</v>
      </c>
      <c r="J86" s="5">
        <v>1073</v>
      </c>
      <c r="K86" s="5">
        <v>6366033.9000000004</v>
      </c>
      <c r="L86" s="5">
        <v>0.18179999999999999</v>
      </c>
      <c r="M86" s="5">
        <v>5.4100000000000002E-2</v>
      </c>
      <c r="N86" s="5">
        <v>21451046</v>
      </c>
      <c r="O86" s="5">
        <v>19194818.100000001</v>
      </c>
      <c r="P86" s="5">
        <v>3149838</v>
      </c>
      <c r="Q86" s="5">
        <v>24538660</v>
      </c>
      <c r="R86" s="5">
        <v>337</v>
      </c>
      <c r="S86" s="5">
        <v>766</v>
      </c>
      <c r="T86" s="5">
        <v>2256227.9</v>
      </c>
      <c r="U86" s="5">
        <v>0.1052</v>
      </c>
      <c r="V86" s="5">
        <v>0.12839999999999999</v>
      </c>
      <c r="W86" s="5">
        <v>4.19E-2</v>
      </c>
      <c r="X86" s="5">
        <v>0.63239999999999996</v>
      </c>
      <c r="Y86" s="5">
        <v>0.08</v>
      </c>
    </row>
    <row r="87" spans="1:25" x14ac:dyDescent="0.3">
      <c r="A87" s="5">
        <v>2</v>
      </c>
      <c r="B87" s="5" t="s">
        <v>157</v>
      </c>
      <c r="C87" s="5">
        <v>1</v>
      </c>
      <c r="D87" s="5" t="s">
        <v>76</v>
      </c>
      <c r="E87" s="5">
        <v>51059333</v>
      </c>
      <c r="F87" s="5">
        <v>41964988.439999998</v>
      </c>
      <c r="G87" s="5">
        <v>3205398</v>
      </c>
      <c r="H87" s="5">
        <v>54102610</v>
      </c>
      <c r="I87" s="5">
        <v>751</v>
      </c>
      <c r="J87" s="5">
        <v>1666</v>
      </c>
      <c r="K87" s="5">
        <v>9094344.5600000005</v>
      </c>
      <c r="L87" s="5">
        <v>0.17810000000000001</v>
      </c>
      <c r="M87" s="5">
        <v>5.9200000000000003E-2</v>
      </c>
      <c r="N87" s="5">
        <v>39854481</v>
      </c>
      <c r="O87" s="5">
        <v>33974827.689999998</v>
      </c>
      <c r="P87" s="5">
        <v>4370572</v>
      </c>
      <c r="Q87" s="5">
        <v>44080920</v>
      </c>
      <c r="R87" s="5">
        <v>596</v>
      </c>
      <c r="S87" s="5">
        <v>1328</v>
      </c>
      <c r="T87" s="5">
        <v>5879653.3099999996</v>
      </c>
      <c r="U87" s="5">
        <v>0.14749999999999999</v>
      </c>
      <c r="V87" s="5">
        <v>9.9099999999999994E-2</v>
      </c>
      <c r="W87" s="5">
        <v>4.02E-2</v>
      </c>
      <c r="X87" s="5">
        <v>0.28110000000000002</v>
      </c>
      <c r="Y87" s="5">
        <v>0.03</v>
      </c>
    </row>
    <row r="88" spans="1:25" x14ac:dyDescent="0.3">
      <c r="A88" s="5">
        <v>10</v>
      </c>
      <c r="B88" s="5" t="s">
        <v>158</v>
      </c>
      <c r="C88" s="5">
        <v>3</v>
      </c>
      <c r="D88" s="5" t="s">
        <v>85</v>
      </c>
      <c r="E88" s="5">
        <v>39159406</v>
      </c>
      <c r="F88" s="5">
        <v>32054709.16</v>
      </c>
      <c r="G88" s="5">
        <v>2358351</v>
      </c>
      <c r="H88" s="5">
        <v>41379630</v>
      </c>
      <c r="I88" s="5">
        <v>593</v>
      </c>
      <c r="J88" s="5">
        <v>1274</v>
      </c>
      <c r="K88" s="5">
        <v>7104696.8399999999</v>
      </c>
      <c r="L88" s="5">
        <v>0.18140000000000001</v>
      </c>
      <c r="M88" s="5">
        <v>5.7000000000000002E-2</v>
      </c>
      <c r="N88" s="5">
        <v>32068582</v>
      </c>
      <c r="O88" s="5">
        <v>27594924.32</v>
      </c>
      <c r="P88" s="5">
        <v>3302574</v>
      </c>
      <c r="Q88" s="5">
        <v>35276750</v>
      </c>
      <c r="R88" s="5">
        <v>463</v>
      </c>
      <c r="S88" s="5">
        <v>1013</v>
      </c>
      <c r="T88" s="5">
        <v>4473657.68</v>
      </c>
      <c r="U88" s="5">
        <v>0.13950000000000001</v>
      </c>
      <c r="V88" s="5">
        <v>9.3600000000000003E-2</v>
      </c>
      <c r="W88" s="5">
        <v>3.1399999999999997E-2</v>
      </c>
      <c r="X88" s="5">
        <v>0.22109999999999999</v>
      </c>
      <c r="Y88" s="5">
        <v>0.04</v>
      </c>
    </row>
    <row r="89" spans="1:25" x14ac:dyDescent="0.3">
      <c r="A89" s="5">
        <v>18</v>
      </c>
      <c r="B89" s="5" t="s">
        <v>159</v>
      </c>
      <c r="C89" s="5">
        <v>4</v>
      </c>
      <c r="D89" s="5" t="s">
        <v>78</v>
      </c>
      <c r="E89" s="5">
        <v>4694544</v>
      </c>
      <c r="F89" s="5">
        <v>3791879.59</v>
      </c>
      <c r="G89" s="5">
        <v>212811</v>
      </c>
      <c r="H89" s="5">
        <v>4884910</v>
      </c>
      <c r="I89" s="5">
        <v>72</v>
      </c>
      <c r="J89" s="5">
        <v>156</v>
      </c>
      <c r="K89" s="5">
        <v>902664.41</v>
      </c>
      <c r="L89" s="5">
        <v>0.1923</v>
      </c>
      <c r="M89" s="5">
        <v>4.36E-2</v>
      </c>
      <c r="N89" s="5">
        <v>3785339</v>
      </c>
      <c r="O89" s="5">
        <v>3414603.79</v>
      </c>
      <c r="P89" s="5">
        <v>482868</v>
      </c>
      <c r="Q89" s="5">
        <v>4252270</v>
      </c>
      <c r="R89" s="5">
        <v>44</v>
      </c>
      <c r="S89" s="5">
        <v>87</v>
      </c>
      <c r="T89" s="5">
        <v>370735.21</v>
      </c>
      <c r="U89" s="5">
        <v>9.7900000000000001E-2</v>
      </c>
      <c r="V89" s="5">
        <v>0.11360000000000001</v>
      </c>
      <c r="W89" s="5">
        <v>6.4100000000000004E-2</v>
      </c>
      <c r="X89" s="5">
        <v>0.2402</v>
      </c>
      <c r="Y89" s="5">
        <v>0.09</v>
      </c>
    </row>
    <row r="90" spans="1:25" x14ac:dyDescent="0.3">
      <c r="A90" s="5">
        <v>120</v>
      </c>
      <c r="B90" s="5" t="s">
        <v>159</v>
      </c>
      <c r="C90" s="5">
        <v>4</v>
      </c>
      <c r="D90" s="5" t="s">
        <v>78</v>
      </c>
      <c r="E90" s="5">
        <v>8538368</v>
      </c>
      <c r="F90" s="5">
        <v>6886209.4500000002</v>
      </c>
      <c r="G90" s="5">
        <v>460381</v>
      </c>
      <c r="H90" s="5">
        <v>8970610</v>
      </c>
      <c r="I90" s="5">
        <v>119</v>
      </c>
      <c r="J90" s="5">
        <v>262</v>
      </c>
      <c r="K90" s="5">
        <v>1652158.55</v>
      </c>
      <c r="L90" s="5">
        <v>0.19350000000000001</v>
      </c>
      <c r="M90" s="5">
        <v>5.1299999999999998E-2</v>
      </c>
      <c r="N90" s="5">
        <v>5443933</v>
      </c>
      <c r="O90" s="5">
        <v>4669014.25</v>
      </c>
      <c r="P90" s="5">
        <v>631544</v>
      </c>
      <c r="Q90" s="5">
        <v>6058850</v>
      </c>
      <c r="R90" s="5">
        <v>100</v>
      </c>
      <c r="S90" s="5">
        <v>229</v>
      </c>
      <c r="T90" s="5">
        <v>774918.75</v>
      </c>
      <c r="U90" s="5">
        <v>0.14230000000000001</v>
      </c>
      <c r="V90" s="5">
        <v>0.1042</v>
      </c>
      <c r="W90" s="5">
        <v>3.44E-2</v>
      </c>
      <c r="X90" s="5">
        <v>0.56840000000000002</v>
      </c>
      <c r="Y90" s="5">
        <v>0.05</v>
      </c>
    </row>
    <row r="91" spans="1:25" x14ac:dyDescent="0.3">
      <c r="A91" s="5">
        <v>27</v>
      </c>
      <c r="B91" s="5" t="s">
        <v>160</v>
      </c>
      <c r="C91" s="5">
        <v>10</v>
      </c>
      <c r="D91" s="5" t="s">
        <v>86</v>
      </c>
      <c r="E91" s="5">
        <v>13890988</v>
      </c>
      <c r="F91" s="5">
        <v>11334531.33</v>
      </c>
      <c r="G91" s="5">
        <v>785835</v>
      </c>
      <c r="H91" s="5">
        <v>14631280</v>
      </c>
      <c r="I91" s="5">
        <v>222</v>
      </c>
      <c r="J91" s="5">
        <v>472</v>
      </c>
      <c r="K91" s="5">
        <v>2556456.67</v>
      </c>
      <c r="L91" s="5">
        <v>0.184</v>
      </c>
      <c r="M91" s="5">
        <v>5.3699999999999998E-2</v>
      </c>
      <c r="N91" s="5">
        <v>11429367</v>
      </c>
      <c r="O91" s="5">
        <v>10097226.199999999</v>
      </c>
      <c r="P91" s="5">
        <v>1393686</v>
      </c>
      <c r="Q91" s="5">
        <v>12791280</v>
      </c>
      <c r="R91" s="5">
        <v>150</v>
      </c>
      <c r="S91" s="5">
        <v>316</v>
      </c>
      <c r="T91" s="5">
        <v>1332140.8</v>
      </c>
      <c r="U91" s="5">
        <v>0.1166</v>
      </c>
      <c r="V91" s="5">
        <v>0.109</v>
      </c>
      <c r="W91" s="5">
        <v>3.39E-2</v>
      </c>
      <c r="X91" s="5">
        <v>0.21540000000000001</v>
      </c>
      <c r="Y91" s="5">
        <v>7.0000000000000007E-2</v>
      </c>
    </row>
    <row r="92" spans="1:25" x14ac:dyDescent="0.3">
      <c r="A92" s="5">
        <v>113</v>
      </c>
      <c r="B92" s="5" t="s">
        <v>160</v>
      </c>
      <c r="C92" s="5">
        <v>10</v>
      </c>
      <c r="D92" s="5" t="s">
        <v>86</v>
      </c>
      <c r="E92" s="5">
        <v>12351598</v>
      </c>
      <c r="F92" s="5">
        <v>10246528.34</v>
      </c>
      <c r="G92" s="5">
        <v>805874</v>
      </c>
      <c r="H92" s="5">
        <v>13122180</v>
      </c>
      <c r="I92" s="5">
        <v>203</v>
      </c>
      <c r="J92" s="5">
        <v>431</v>
      </c>
      <c r="K92" s="5">
        <v>2105069.66</v>
      </c>
      <c r="L92" s="5">
        <v>0.1704</v>
      </c>
      <c r="M92" s="5">
        <v>6.1400000000000003E-2</v>
      </c>
      <c r="N92" s="5">
        <v>10479917</v>
      </c>
      <c r="O92" s="5">
        <v>9262642.8599999994</v>
      </c>
      <c r="P92" s="5">
        <v>1521941</v>
      </c>
      <c r="Q92" s="5">
        <v>11977440</v>
      </c>
      <c r="R92" s="5">
        <v>155</v>
      </c>
      <c r="S92" s="5">
        <v>341</v>
      </c>
      <c r="T92" s="5">
        <v>1217274.1399999999</v>
      </c>
      <c r="U92" s="5">
        <v>0.1162</v>
      </c>
      <c r="V92" s="5">
        <v>0.12709999999999999</v>
      </c>
      <c r="W92" s="5">
        <v>1.8599999999999998E-2</v>
      </c>
      <c r="X92" s="5">
        <v>0.17860000000000001</v>
      </c>
      <c r="Y92" s="5">
        <v>0.05</v>
      </c>
    </row>
    <row r="93" spans="1:25" x14ac:dyDescent="0.3">
      <c r="A93" s="5">
        <v>12</v>
      </c>
      <c r="B93" s="5" t="s">
        <v>161</v>
      </c>
      <c r="C93" s="5">
        <v>6</v>
      </c>
      <c r="D93" s="5" t="s">
        <v>90</v>
      </c>
      <c r="E93" s="5">
        <v>6179692</v>
      </c>
      <c r="F93" s="5">
        <v>5094038.29</v>
      </c>
      <c r="G93" s="5">
        <v>406923</v>
      </c>
      <c r="H93" s="5">
        <v>6572200</v>
      </c>
      <c r="I93" s="5">
        <v>92</v>
      </c>
      <c r="J93" s="5">
        <v>195</v>
      </c>
      <c r="K93" s="5">
        <v>1085653.71</v>
      </c>
      <c r="L93" s="5">
        <v>0.1757</v>
      </c>
      <c r="M93" s="5">
        <v>6.1899999999999997E-2</v>
      </c>
      <c r="N93" s="5">
        <v>4840233</v>
      </c>
      <c r="O93" s="5">
        <v>4191771.44</v>
      </c>
      <c r="P93" s="5">
        <v>613580</v>
      </c>
      <c r="Q93" s="5">
        <v>5436000</v>
      </c>
      <c r="R93" s="5">
        <v>78</v>
      </c>
      <c r="S93" s="5">
        <v>164</v>
      </c>
      <c r="T93" s="5">
        <v>648461.56000000006</v>
      </c>
      <c r="U93" s="5">
        <v>0.13400000000000001</v>
      </c>
      <c r="V93" s="5">
        <v>0.1129</v>
      </c>
      <c r="W93" s="5">
        <v>2.0500000000000001E-2</v>
      </c>
      <c r="X93" s="5">
        <v>0.2767</v>
      </c>
      <c r="Y93" s="5">
        <v>0.04</v>
      </c>
    </row>
    <row r="94" spans="1:25" x14ac:dyDescent="0.3">
      <c r="A94" s="5">
        <v>116</v>
      </c>
      <c r="B94" s="5" t="s">
        <v>161</v>
      </c>
      <c r="C94" s="5">
        <v>6</v>
      </c>
      <c r="D94" s="5" t="s">
        <v>90</v>
      </c>
      <c r="E94" s="5">
        <v>11259455</v>
      </c>
      <c r="F94" s="5">
        <v>9326201.8100000005</v>
      </c>
      <c r="G94" s="5">
        <v>804756</v>
      </c>
      <c r="H94" s="5">
        <v>12042730</v>
      </c>
      <c r="I94" s="5">
        <v>170</v>
      </c>
      <c r="J94" s="5">
        <v>382</v>
      </c>
      <c r="K94" s="5">
        <v>1933253.19</v>
      </c>
      <c r="L94" s="5">
        <v>0.17169999999999999</v>
      </c>
      <c r="M94" s="5">
        <v>6.6799999999999998E-2</v>
      </c>
      <c r="N94" s="5">
        <v>11734466</v>
      </c>
      <c r="O94" s="5">
        <v>10257664.74</v>
      </c>
      <c r="P94" s="5">
        <v>1540814</v>
      </c>
      <c r="Q94" s="5">
        <v>13239460</v>
      </c>
      <c r="R94" s="5">
        <v>145</v>
      </c>
      <c r="S94" s="5">
        <v>355</v>
      </c>
      <c r="T94" s="5">
        <v>1476801.26</v>
      </c>
      <c r="U94" s="5">
        <v>0.12590000000000001</v>
      </c>
      <c r="V94" s="5">
        <v>0.1164</v>
      </c>
      <c r="W94" s="5">
        <v>3.6600000000000001E-2</v>
      </c>
      <c r="X94" s="5">
        <v>-4.0500000000000001E-2</v>
      </c>
      <c r="Y94" s="5">
        <v>0.05</v>
      </c>
    </row>
    <row r="95" spans="1:25" x14ac:dyDescent="0.3">
      <c r="A95" s="5">
        <v>1</v>
      </c>
      <c r="B95" s="5" t="s">
        <v>162</v>
      </c>
      <c r="C95" s="5">
        <v>6</v>
      </c>
      <c r="D95" s="5" t="s">
        <v>90</v>
      </c>
      <c r="E95" s="5">
        <v>21632644</v>
      </c>
      <c r="F95" s="5">
        <v>17659434.16</v>
      </c>
      <c r="G95" s="5">
        <v>1326170</v>
      </c>
      <c r="H95" s="5">
        <v>22897520</v>
      </c>
      <c r="I95" s="5">
        <v>329</v>
      </c>
      <c r="J95" s="5">
        <v>715</v>
      </c>
      <c r="K95" s="5">
        <v>3973209.84</v>
      </c>
      <c r="L95" s="5">
        <v>0.1837</v>
      </c>
      <c r="M95" s="5">
        <v>5.79E-2</v>
      </c>
      <c r="N95" s="5">
        <v>20506965</v>
      </c>
      <c r="O95" s="5">
        <v>17770871.359999999</v>
      </c>
      <c r="P95" s="5">
        <v>2305844</v>
      </c>
      <c r="Q95" s="5">
        <v>22762830</v>
      </c>
      <c r="R95" s="5">
        <v>272</v>
      </c>
      <c r="S95" s="5">
        <v>630</v>
      </c>
      <c r="T95" s="5">
        <v>2736093.64</v>
      </c>
      <c r="U95" s="5">
        <v>0.13339999999999999</v>
      </c>
      <c r="V95" s="5">
        <v>0.1013</v>
      </c>
      <c r="W95" s="5">
        <v>4.6199999999999998E-2</v>
      </c>
      <c r="X95" s="5">
        <v>5.4899999999999997E-2</v>
      </c>
      <c r="Y95" s="5">
        <v>0.05</v>
      </c>
    </row>
    <row r="96" spans="1:25" x14ac:dyDescent="0.3">
      <c r="A96" s="5">
        <v>9</v>
      </c>
      <c r="B96" s="5" t="s">
        <v>162</v>
      </c>
      <c r="C96" s="5">
        <v>6</v>
      </c>
      <c r="D96" s="5" t="s">
        <v>90</v>
      </c>
      <c r="E96" s="5">
        <v>19824573</v>
      </c>
      <c r="F96" s="5">
        <v>16318099.140000001</v>
      </c>
      <c r="G96" s="5">
        <v>1186210</v>
      </c>
      <c r="H96" s="5">
        <v>20954390</v>
      </c>
      <c r="I96" s="5">
        <v>260</v>
      </c>
      <c r="J96" s="5">
        <v>560</v>
      </c>
      <c r="K96" s="5">
        <v>3506473.86</v>
      </c>
      <c r="L96" s="5">
        <v>0.1769</v>
      </c>
      <c r="M96" s="5">
        <v>5.6599999999999998E-2</v>
      </c>
      <c r="N96" s="5">
        <v>15437468</v>
      </c>
      <c r="O96" s="5">
        <v>13037124.83</v>
      </c>
      <c r="P96" s="5">
        <v>1559446</v>
      </c>
      <c r="Q96" s="5">
        <v>16924050</v>
      </c>
      <c r="R96" s="5">
        <v>188</v>
      </c>
      <c r="S96" s="5">
        <v>411</v>
      </c>
      <c r="T96" s="5">
        <v>2400343.17</v>
      </c>
      <c r="U96" s="5">
        <v>0.1555</v>
      </c>
      <c r="V96" s="5">
        <v>9.2100000000000001E-2</v>
      </c>
      <c r="W96" s="5">
        <v>4.2900000000000001E-2</v>
      </c>
      <c r="X96" s="5">
        <v>0.28420000000000001</v>
      </c>
      <c r="Y96" s="5">
        <v>0.02</v>
      </c>
    </row>
    <row r="97" spans="1:25" x14ac:dyDescent="0.3">
      <c r="A97" s="5">
        <v>36</v>
      </c>
      <c r="B97" s="5" t="s">
        <v>162</v>
      </c>
      <c r="C97" s="5">
        <v>6</v>
      </c>
      <c r="D97" s="5" t="s">
        <v>90</v>
      </c>
      <c r="E97" s="5">
        <v>18769935</v>
      </c>
      <c r="F97" s="5">
        <v>15467750.6</v>
      </c>
      <c r="G97" s="5">
        <v>1092086</v>
      </c>
      <c r="H97" s="5">
        <v>19796180</v>
      </c>
      <c r="I97" s="5">
        <v>290</v>
      </c>
      <c r="J97" s="5">
        <v>611</v>
      </c>
      <c r="K97" s="5">
        <v>3302184.4</v>
      </c>
      <c r="L97" s="5">
        <v>0.1759</v>
      </c>
      <c r="M97" s="5">
        <v>5.5199999999999999E-2</v>
      </c>
      <c r="N97" s="5">
        <v>15495175</v>
      </c>
      <c r="O97" s="5">
        <v>13304275.890000001</v>
      </c>
      <c r="P97" s="5">
        <v>1627504</v>
      </c>
      <c r="Q97" s="5">
        <v>17069660</v>
      </c>
      <c r="R97" s="5">
        <v>215</v>
      </c>
      <c r="S97" s="5">
        <v>491</v>
      </c>
      <c r="T97" s="5">
        <v>2190899.11</v>
      </c>
      <c r="U97" s="5">
        <v>0.1414</v>
      </c>
      <c r="V97" s="5">
        <v>9.5299999999999996E-2</v>
      </c>
      <c r="W97" s="5">
        <v>3.44E-2</v>
      </c>
      <c r="X97" s="5">
        <v>0.21129999999999999</v>
      </c>
      <c r="Y97" s="5">
        <v>0.03</v>
      </c>
    </row>
    <row r="98" spans="1:25" x14ac:dyDescent="0.3">
      <c r="A98" s="5">
        <v>67</v>
      </c>
      <c r="B98" s="5" t="s">
        <v>162</v>
      </c>
      <c r="C98" s="5">
        <v>6</v>
      </c>
      <c r="D98" s="5" t="s">
        <v>90</v>
      </c>
      <c r="E98" s="5">
        <v>24073607</v>
      </c>
      <c r="F98" s="5">
        <v>19722981.5</v>
      </c>
      <c r="G98" s="5">
        <v>1357920</v>
      </c>
      <c r="H98" s="5">
        <v>25333890</v>
      </c>
      <c r="I98" s="5">
        <v>341</v>
      </c>
      <c r="J98" s="5">
        <v>732</v>
      </c>
      <c r="K98" s="5">
        <v>4350625.5</v>
      </c>
      <c r="L98" s="5">
        <v>0.1807</v>
      </c>
      <c r="M98" s="5">
        <v>5.3600000000000002E-2</v>
      </c>
      <c r="N98" s="5">
        <v>16723542</v>
      </c>
      <c r="O98" s="5">
        <v>14772880.07</v>
      </c>
      <c r="P98" s="5">
        <v>2132563</v>
      </c>
      <c r="Q98" s="5">
        <v>18804350</v>
      </c>
      <c r="R98" s="5">
        <v>237</v>
      </c>
      <c r="S98" s="5">
        <v>526</v>
      </c>
      <c r="T98" s="5">
        <v>1950661.93</v>
      </c>
      <c r="U98" s="5">
        <v>0.1166</v>
      </c>
      <c r="V98" s="5">
        <v>0.1134</v>
      </c>
      <c r="W98" s="5">
        <v>3.5499999999999997E-2</v>
      </c>
      <c r="X98" s="5">
        <v>0.4395</v>
      </c>
      <c r="Y98" s="5">
        <v>0.06</v>
      </c>
    </row>
    <row r="99" spans="1:25" x14ac:dyDescent="0.3">
      <c r="A99" s="5">
        <v>115</v>
      </c>
      <c r="B99" s="5" t="s">
        <v>162</v>
      </c>
      <c r="C99" s="5">
        <v>6</v>
      </c>
      <c r="D99" s="5" t="s">
        <v>90</v>
      </c>
      <c r="E99" s="5">
        <v>16117045</v>
      </c>
      <c r="F99" s="5">
        <v>13322362.199999999</v>
      </c>
      <c r="G99" s="5">
        <v>1095161</v>
      </c>
      <c r="H99" s="5">
        <v>17148280</v>
      </c>
      <c r="I99" s="5">
        <v>213</v>
      </c>
      <c r="J99" s="5">
        <v>480</v>
      </c>
      <c r="K99" s="5">
        <v>2794682.8</v>
      </c>
      <c r="L99" s="5">
        <v>0.1734</v>
      </c>
      <c r="M99" s="5">
        <v>6.3899999999999998E-2</v>
      </c>
      <c r="N99" s="5">
        <v>12395938</v>
      </c>
      <c r="O99" s="5">
        <v>10837789.76</v>
      </c>
      <c r="P99" s="5">
        <v>1654183</v>
      </c>
      <c r="Q99" s="5">
        <v>14020930</v>
      </c>
      <c r="R99" s="5">
        <v>171</v>
      </c>
      <c r="S99" s="5">
        <v>398</v>
      </c>
      <c r="T99" s="5">
        <v>1558148.24</v>
      </c>
      <c r="U99" s="5">
        <v>0.12570000000000001</v>
      </c>
      <c r="V99" s="5">
        <v>0.11799999999999999</v>
      </c>
      <c r="W99" s="5">
        <v>2.5000000000000001E-2</v>
      </c>
      <c r="X99" s="5">
        <v>0.30020000000000002</v>
      </c>
      <c r="Y99" s="5">
        <v>0.05</v>
      </c>
    </row>
    <row r="100" spans="1:25" x14ac:dyDescent="0.3">
      <c r="A100" s="5">
        <v>91</v>
      </c>
      <c r="B100" s="5" t="s">
        <v>163</v>
      </c>
      <c r="C100" s="5">
        <v>9</v>
      </c>
      <c r="D100" s="5" t="s">
        <v>92</v>
      </c>
      <c r="E100" s="5">
        <v>8201606</v>
      </c>
      <c r="F100" s="5">
        <v>6892588.9199999999</v>
      </c>
      <c r="G100" s="5">
        <v>478113</v>
      </c>
      <c r="H100" s="5">
        <v>8656880</v>
      </c>
      <c r="I100" s="5">
        <v>99</v>
      </c>
      <c r="J100" s="5">
        <v>235</v>
      </c>
      <c r="K100" s="5">
        <v>1309017.08</v>
      </c>
      <c r="L100" s="5">
        <v>0.15959999999999999</v>
      </c>
      <c r="M100" s="5">
        <v>5.5199999999999999E-2</v>
      </c>
      <c r="N100" s="5">
        <v>5931769</v>
      </c>
      <c r="O100" s="5">
        <v>5056106.63</v>
      </c>
      <c r="P100" s="5">
        <v>497974</v>
      </c>
      <c r="Q100" s="5">
        <v>6396490</v>
      </c>
      <c r="R100" s="5">
        <v>77</v>
      </c>
      <c r="S100" s="5">
        <v>173</v>
      </c>
      <c r="T100" s="5">
        <v>875662.37</v>
      </c>
      <c r="U100" s="5">
        <v>0.14760000000000001</v>
      </c>
      <c r="V100" s="5">
        <v>7.7899999999999997E-2</v>
      </c>
      <c r="W100" s="5">
        <v>4.6800000000000001E-2</v>
      </c>
      <c r="X100" s="5">
        <v>0.38269999999999998</v>
      </c>
      <c r="Y100" s="5">
        <v>0.01</v>
      </c>
    </row>
    <row r="101" spans="1:25" x14ac:dyDescent="0.3">
      <c r="A101" s="5">
        <v>61</v>
      </c>
      <c r="B101" s="5" t="s">
        <v>164</v>
      </c>
      <c r="C101" s="5">
        <v>9</v>
      </c>
      <c r="D101" s="5" t="s">
        <v>92</v>
      </c>
      <c r="E101" s="5">
        <v>81584756</v>
      </c>
      <c r="F101" s="5">
        <v>67884661.959999993</v>
      </c>
      <c r="G101" s="5">
        <v>5623161</v>
      </c>
      <c r="H101" s="5">
        <v>86982180</v>
      </c>
      <c r="I101" s="5">
        <v>1145</v>
      </c>
      <c r="J101" s="5">
        <v>2542</v>
      </c>
      <c r="K101" s="5">
        <v>13700094.039999999</v>
      </c>
      <c r="L101" s="5">
        <v>0.16789999999999999</v>
      </c>
      <c r="M101" s="5">
        <v>6.4600000000000005E-2</v>
      </c>
      <c r="N101" s="5">
        <v>57613737</v>
      </c>
      <c r="O101" s="5">
        <v>49479092.450000003</v>
      </c>
      <c r="P101" s="5">
        <v>6079127</v>
      </c>
      <c r="Q101" s="5">
        <v>63493710</v>
      </c>
      <c r="R101" s="5">
        <v>852</v>
      </c>
      <c r="S101" s="5">
        <v>1857</v>
      </c>
      <c r="T101" s="5">
        <v>8134644.5499999998</v>
      </c>
      <c r="U101" s="5">
        <v>0.14119999999999999</v>
      </c>
      <c r="V101" s="5">
        <v>9.5699999999999993E-2</v>
      </c>
      <c r="W101" s="5">
        <v>3.3399999999999999E-2</v>
      </c>
      <c r="X101" s="5">
        <v>0.41610000000000003</v>
      </c>
      <c r="Y101" s="5">
        <v>0.03</v>
      </c>
    </row>
    <row r="102" spans="1:25" x14ac:dyDescent="0.3">
      <c r="A102" s="5">
        <v>5</v>
      </c>
      <c r="B102" s="5" t="s">
        <v>165</v>
      </c>
      <c r="C102" s="5">
        <v>9</v>
      </c>
      <c r="D102" s="5" t="s">
        <v>92</v>
      </c>
      <c r="E102" s="5">
        <v>18528803</v>
      </c>
      <c r="F102" s="5">
        <v>15274438.51</v>
      </c>
      <c r="G102" s="5">
        <v>1165507</v>
      </c>
      <c r="H102" s="5">
        <v>19631630</v>
      </c>
      <c r="I102" s="5">
        <v>280</v>
      </c>
      <c r="J102" s="5">
        <v>593</v>
      </c>
      <c r="K102" s="5">
        <v>3254364.49</v>
      </c>
      <c r="L102" s="5">
        <v>0.17560000000000001</v>
      </c>
      <c r="M102" s="5">
        <v>5.9400000000000001E-2</v>
      </c>
      <c r="N102" s="5">
        <v>17416113</v>
      </c>
      <c r="O102" s="5">
        <v>14934248.82</v>
      </c>
      <c r="P102" s="5">
        <v>1859414</v>
      </c>
      <c r="Q102" s="5">
        <v>19231520</v>
      </c>
      <c r="R102" s="5">
        <v>226</v>
      </c>
      <c r="S102" s="5">
        <v>527</v>
      </c>
      <c r="T102" s="5">
        <v>2481864.1800000002</v>
      </c>
      <c r="U102" s="5">
        <v>0.14249999999999999</v>
      </c>
      <c r="V102" s="5">
        <v>9.6699999999999994E-2</v>
      </c>
      <c r="W102" s="5">
        <v>2.3599999999999999E-2</v>
      </c>
      <c r="X102" s="5">
        <v>6.3899999999999998E-2</v>
      </c>
      <c r="Y102" s="5">
        <v>0.03</v>
      </c>
    </row>
    <row r="103" spans="1:25" x14ac:dyDescent="0.3">
      <c r="A103" s="5">
        <v>29</v>
      </c>
      <c r="B103" s="5" t="s">
        <v>165</v>
      </c>
      <c r="C103" s="5">
        <v>9</v>
      </c>
      <c r="D103" s="5" t="s">
        <v>92</v>
      </c>
      <c r="E103" s="5">
        <v>23901214</v>
      </c>
      <c r="F103" s="5">
        <v>19755036.870000001</v>
      </c>
      <c r="G103" s="5">
        <v>1686979</v>
      </c>
      <c r="H103" s="5">
        <v>25507060</v>
      </c>
      <c r="I103" s="5">
        <v>326</v>
      </c>
      <c r="J103" s="5">
        <v>708</v>
      </c>
      <c r="K103" s="5">
        <v>4146177.13</v>
      </c>
      <c r="L103" s="5">
        <v>0.17349999999999999</v>
      </c>
      <c r="M103" s="5">
        <v>6.6100000000000006E-2</v>
      </c>
      <c r="N103" s="5">
        <v>16551171</v>
      </c>
      <c r="O103" s="5">
        <v>14379145.359999999</v>
      </c>
      <c r="P103" s="5">
        <v>1950249</v>
      </c>
      <c r="Q103" s="5">
        <v>18440020</v>
      </c>
      <c r="R103" s="5">
        <v>244</v>
      </c>
      <c r="S103" s="5">
        <v>548</v>
      </c>
      <c r="T103" s="5">
        <v>2172025.64</v>
      </c>
      <c r="U103" s="5">
        <v>0.13120000000000001</v>
      </c>
      <c r="V103" s="5">
        <v>0.10580000000000001</v>
      </c>
      <c r="W103" s="5">
        <v>3.8100000000000002E-2</v>
      </c>
      <c r="X103" s="5">
        <v>0.44409999999999999</v>
      </c>
      <c r="Y103" s="5">
        <v>0.04</v>
      </c>
    </row>
    <row r="104" spans="1:25" x14ac:dyDescent="0.3">
      <c r="A104" s="5">
        <v>76</v>
      </c>
      <c r="B104" s="5" t="s">
        <v>165</v>
      </c>
      <c r="C104" s="5">
        <v>9</v>
      </c>
      <c r="D104" s="5" t="s">
        <v>92</v>
      </c>
      <c r="E104" s="5">
        <v>30108556</v>
      </c>
      <c r="F104" s="5">
        <v>24791667.039999999</v>
      </c>
      <c r="G104" s="5">
        <v>1906919</v>
      </c>
      <c r="H104" s="5">
        <v>31914120</v>
      </c>
      <c r="I104" s="5">
        <v>421</v>
      </c>
      <c r="J104" s="5">
        <v>887</v>
      </c>
      <c r="K104" s="5">
        <v>5316888.96</v>
      </c>
      <c r="L104" s="5">
        <v>0.17660000000000001</v>
      </c>
      <c r="M104" s="5">
        <v>5.9799999999999999E-2</v>
      </c>
      <c r="N104" s="5">
        <v>15864036</v>
      </c>
      <c r="O104" s="5">
        <v>14064446.550000001</v>
      </c>
      <c r="P104" s="5">
        <v>2242215</v>
      </c>
      <c r="Q104" s="5">
        <v>18054750</v>
      </c>
      <c r="R104" s="5">
        <v>265</v>
      </c>
      <c r="S104" s="5">
        <v>569</v>
      </c>
      <c r="T104" s="5">
        <v>1799589.45</v>
      </c>
      <c r="U104" s="5">
        <v>0.1134</v>
      </c>
      <c r="V104" s="5">
        <v>0.1242</v>
      </c>
      <c r="W104" s="5">
        <v>3.3799999999999997E-2</v>
      </c>
      <c r="X104" s="5">
        <v>0.89790000000000003</v>
      </c>
      <c r="Y104" s="5">
        <v>0.06</v>
      </c>
    </row>
    <row r="105" spans="1:25" x14ac:dyDescent="0.3">
      <c r="A105" s="5">
        <v>22</v>
      </c>
      <c r="B105" s="5" t="s">
        <v>166</v>
      </c>
      <c r="C105" s="5">
        <v>4</v>
      </c>
      <c r="D105" s="5" t="s">
        <v>78</v>
      </c>
      <c r="E105" s="5">
        <v>17791002</v>
      </c>
      <c r="F105" s="5">
        <v>14728829.779999999</v>
      </c>
      <c r="G105" s="5">
        <v>1139342</v>
      </c>
      <c r="H105" s="5">
        <v>18882060</v>
      </c>
      <c r="I105" s="5">
        <v>252</v>
      </c>
      <c r="J105" s="5">
        <v>564</v>
      </c>
      <c r="K105" s="5">
        <v>3062172.22</v>
      </c>
      <c r="L105" s="5">
        <v>0.1721</v>
      </c>
      <c r="M105" s="5">
        <v>6.0299999999999999E-2</v>
      </c>
      <c r="N105" s="5">
        <v>14971252</v>
      </c>
      <c r="O105" s="5">
        <v>12827975.029999999</v>
      </c>
      <c r="P105" s="5">
        <v>1665824</v>
      </c>
      <c r="Q105" s="5">
        <v>16579250</v>
      </c>
      <c r="R105" s="5">
        <v>210</v>
      </c>
      <c r="S105" s="5">
        <v>461</v>
      </c>
      <c r="T105" s="5">
        <v>2143276.9700000002</v>
      </c>
      <c r="U105" s="5">
        <v>0.14319999999999999</v>
      </c>
      <c r="V105" s="5">
        <v>0.10050000000000001</v>
      </c>
      <c r="W105" s="5">
        <v>3.9E-2</v>
      </c>
      <c r="X105" s="5">
        <v>0.1883</v>
      </c>
      <c r="Y105" s="5">
        <v>0.03</v>
      </c>
    </row>
    <row r="106" spans="1:25" x14ac:dyDescent="0.3">
      <c r="A106" s="5">
        <v>50</v>
      </c>
      <c r="B106" s="5" t="s">
        <v>166</v>
      </c>
      <c r="C106" s="5">
        <v>4</v>
      </c>
      <c r="D106" s="5" t="s">
        <v>78</v>
      </c>
      <c r="E106" s="5">
        <v>14199846</v>
      </c>
      <c r="F106" s="5">
        <v>11828506.17</v>
      </c>
      <c r="G106" s="5">
        <v>981734</v>
      </c>
      <c r="H106" s="5">
        <v>15134680</v>
      </c>
      <c r="I106" s="5">
        <v>231</v>
      </c>
      <c r="J106" s="5">
        <v>467</v>
      </c>
      <c r="K106" s="5">
        <v>2371339.83</v>
      </c>
      <c r="L106" s="5">
        <v>0.16700000000000001</v>
      </c>
      <c r="M106" s="5">
        <v>6.4899999999999999E-2</v>
      </c>
      <c r="N106" s="5">
        <v>9774990</v>
      </c>
      <c r="O106" s="5">
        <v>8386263.1500000004</v>
      </c>
      <c r="P106" s="5">
        <v>1068683</v>
      </c>
      <c r="Q106" s="5">
        <v>10818250</v>
      </c>
      <c r="R106" s="5">
        <v>148</v>
      </c>
      <c r="S106" s="5">
        <v>333</v>
      </c>
      <c r="T106" s="5">
        <v>1388726.85</v>
      </c>
      <c r="U106" s="5">
        <v>0.1421</v>
      </c>
      <c r="V106" s="5">
        <v>9.8799999999999999E-2</v>
      </c>
      <c r="W106" s="5">
        <v>3.4299999999999997E-2</v>
      </c>
      <c r="X106" s="5">
        <v>0.45269999999999999</v>
      </c>
      <c r="Y106" s="5">
        <v>0.02</v>
      </c>
    </row>
    <row r="107" spans="1:25" x14ac:dyDescent="0.3">
      <c r="A107" s="5">
        <v>70</v>
      </c>
      <c r="B107" s="5" t="s">
        <v>167</v>
      </c>
      <c r="C107" s="5">
        <v>8</v>
      </c>
      <c r="D107" s="5" t="s">
        <v>82</v>
      </c>
      <c r="E107" s="5">
        <v>15771351</v>
      </c>
      <c r="F107" s="5">
        <v>12740533.539999999</v>
      </c>
      <c r="G107" s="5">
        <v>939881</v>
      </c>
      <c r="H107" s="5">
        <v>16651440</v>
      </c>
      <c r="I107" s="5">
        <v>233</v>
      </c>
      <c r="J107" s="5">
        <v>516</v>
      </c>
      <c r="K107" s="5">
        <v>3030817.46</v>
      </c>
      <c r="L107" s="5">
        <v>0.19220000000000001</v>
      </c>
      <c r="M107" s="5">
        <v>5.6399999999999999E-2</v>
      </c>
      <c r="N107" s="5">
        <v>12029167</v>
      </c>
      <c r="O107" s="5">
        <v>10267643.970000001</v>
      </c>
      <c r="P107" s="5">
        <v>1274304</v>
      </c>
      <c r="Q107" s="5">
        <v>13271080</v>
      </c>
      <c r="R107" s="5">
        <v>182</v>
      </c>
      <c r="S107" s="5">
        <v>384</v>
      </c>
      <c r="T107" s="5">
        <v>1761523.03</v>
      </c>
      <c r="U107" s="5">
        <v>0.1464</v>
      </c>
      <c r="V107" s="5">
        <v>9.6000000000000002E-2</v>
      </c>
      <c r="W107" s="5">
        <v>3.8800000000000001E-2</v>
      </c>
      <c r="X107" s="5">
        <v>0.31109999999999999</v>
      </c>
      <c r="Y107" s="5">
        <v>0.05</v>
      </c>
    </row>
    <row r="108" spans="1:25" x14ac:dyDescent="0.3">
      <c r="A108" s="5">
        <v>96</v>
      </c>
      <c r="B108" s="5" t="s">
        <v>167</v>
      </c>
      <c r="C108" s="5">
        <v>8</v>
      </c>
      <c r="D108" s="5" t="s">
        <v>82</v>
      </c>
      <c r="E108" s="5">
        <v>30452300</v>
      </c>
      <c r="F108" s="5">
        <v>25026366.219999999</v>
      </c>
      <c r="G108" s="5">
        <v>2188557</v>
      </c>
      <c r="H108" s="5">
        <v>32535870</v>
      </c>
      <c r="I108" s="5">
        <v>460</v>
      </c>
      <c r="J108" s="5">
        <v>1003</v>
      </c>
      <c r="K108" s="5">
        <v>5425933.7800000003</v>
      </c>
      <c r="L108" s="5">
        <v>0.1782</v>
      </c>
      <c r="M108" s="5">
        <v>6.7299999999999999E-2</v>
      </c>
      <c r="N108" s="5">
        <v>26172621</v>
      </c>
      <c r="O108" s="5">
        <v>22348068.23</v>
      </c>
      <c r="P108" s="5">
        <v>2760458</v>
      </c>
      <c r="Q108" s="5">
        <v>28864850</v>
      </c>
      <c r="R108" s="5">
        <v>387</v>
      </c>
      <c r="S108" s="5">
        <v>852</v>
      </c>
      <c r="T108" s="5">
        <v>3824552.77</v>
      </c>
      <c r="U108" s="5">
        <v>0.14610000000000001</v>
      </c>
      <c r="V108" s="5">
        <v>9.5600000000000004E-2</v>
      </c>
      <c r="W108" s="5">
        <v>3.9899999999999998E-2</v>
      </c>
      <c r="X108" s="5">
        <v>0.16350000000000001</v>
      </c>
      <c r="Y108" s="5">
        <v>0.03</v>
      </c>
    </row>
    <row r="109" spans="1:25" x14ac:dyDescent="0.3">
      <c r="A109" s="5">
        <v>39</v>
      </c>
      <c r="B109" s="5" t="s">
        <v>168</v>
      </c>
      <c r="C109" s="5">
        <v>8</v>
      </c>
      <c r="D109" s="5" t="s">
        <v>82</v>
      </c>
      <c r="E109" s="5">
        <v>16287011</v>
      </c>
      <c r="F109" s="5">
        <v>13262796.539999999</v>
      </c>
      <c r="G109" s="5">
        <v>903932</v>
      </c>
      <c r="H109" s="5">
        <v>17127550</v>
      </c>
      <c r="I109" s="5">
        <v>247</v>
      </c>
      <c r="J109" s="5">
        <v>548</v>
      </c>
      <c r="K109" s="5">
        <v>3024214.46</v>
      </c>
      <c r="L109" s="5">
        <v>0.1857</v>
      </c>
      <c r="M109" s="5">
        <v>5.28E-2</v>
      </c>
      <c r="N109" s="5">
        <v>16167102</v>
      </c>
      <c r="O109" s="5">
        <v>14199096.949999999</v>
      </c>
      <c r="P109" s="5">
        <v>1954885</v>
      </c>
      <c r="Q109" s="5">
        <v>18078290</v>
      </c>
      <c r="R109" s="5">
        <v>192</v>
      </c>
      <c r="S109" s="5">
        <v>436</v>
      </c>
      <c r="T109" s="5">
        <v>1968005.05</v>
      </c>
      <c r="U109" s="5">
        <v>0.1217</v>
      </c>
      <c r="V109" s="5">
        <v>0.1081</v>
      </c>
      <c r="W109" s="5">
        <v>4.3799999999999999E-2</v>
      </c>
      <c r="X109" s="5">
        <v>7.4000000000000003E-3</v>
      </c>
      <c r="Y109" s="5">
        <v>0.06</v>
      </c>
    </row>
    <row r="110" spans="1:25" x14ac:dyDescent="0.3">
      <c r="A110" s="5">
        <v>88</v>
      </c>
      <c r="B110" s="5" t="s">
        <v>168</v>
      </c>
      <c r="C110" s="5">
        <v>8</v>
      </c>
      <c r="D110" s="5" t="s">
        <v>82</v>
      </c>
      <c r="E110" s="5">
        <v>13213565</v>
      </c>
      <c r="F110" s="5">
        <v>10936029.060000001</v>
      </c>
      <c r="G110" s="5">
        <v>936489</v>
      </c>
      <c r="H110" s="5">
        <v>14098860</v>
      </c>
      <c r="I110" s="5">
        <v>182</v>
      </c>
      <c r="J110" s="5">
        <v>399</v>
      </c>
      <c r="K110" s="5">
        <v>2277535.94</v>
      </c>
      <c r="L110" s="5">
        <v>0.1724</v>
      </c>
      <c r="M110" s="5">
        <v>6.6400000000000001E-2</v>
      </c>
      <c r="N110" s="5">
        <v>9064131</v>
      </c>
      <c r="O110" s="5">
        <v>7571551.6699999999</v>
      </c>
      <c r="P110" s="5">
        <v>779868</v>
      </c>
      <c r="Q110" s="5">
        <v>9813840</v>
      </c>
      <c r="R110" s="5">
        <v>129</v>
      </c>
      <c r="S110" s="5">
        <v>294</v>
      </c>
      <c r="T110" s="5">
        <v>1492579.33</v>
      </c>
      <c r="U110" s="5">
        <v>0.16470000000000001</v>
      </c>
      <c r="V110" s="5">
        <v>7.9500000000000001E-2</v>
      </c>
      <c r="W110" s="5">
        <v>3.7600000000000001E-2</v>
      </c>
      <c r="X110" s="5">
        <v>0.45779999999999998</v>
      </c>
      <c r="Y110" s="5">
        <v>0.01</v>
      </c>
    </row>
    <row r="111" spans="1:25" x14ac:dyDescent="0.3">
      <c r="A111" s="5">
        <v>104</v>
      </c>
      <c r="B111" s="5" t="s">
        <v>168</v>
      </c>
      <c r="C111" s="5">
        <v>8</v>
      </c>
      <c r="D111" s="5" t="s">
        <v>82</v>
      </c>
      <c r="E111" s="5">
        <v>38750853</v>
      </c>
      <c r="F111" s="5">
        <v>32279518.530000001</v>
      </c>
      <c r="G111" s="5">
        <v>2547804</v>
      </c>
      <c r="H111" s="5">
        <v>41161510</v>
      </c>
      <c r="I111" s="5">
        <v>528</v>
      </c>
      <c r="J111" s="5">
        <v>1149</v>
      </c>
      <c r="K111" s="5">
        <v>6471334.4699999997</v>
      </c>
      <c r="L111" s="5">
        <v>0.16700000000000001</v>
      </c>
      <c r="M111" s="5">
        <v>6.1899999999999997E-2</v>
      </c>
      <c r="N111" s="5">
        <v>25994306</v>
      </c>
      <c r="O111" s="5">
        <v>22147528.190000001</v>
      </c>
      <c r="P111" s="5">
        <v>2543563</v>
      </c>
      <c r="Q111" s="5">
        <v>28429300</v>
      </c>
      <c r="R111" s="5">
        <v>404</v>
      </c>
      <c r="S111" s="5">
        <v>890</v>
      </c>
      <c r="T111" s="5">
        <v>3846777.81</v>
      </c>
      <c r="U111" s="5">
        <v>0.14799999999999999</v>
      </c>
      <c r="V111" s="5">
        <v>8.9499999999999996E-2</v>
      </c>
      <c r="W111" s="5">
        <v>3.5700000000000003E-2</v>
      </c>
      <c r="X111" s="5">
        <v>0.49070000000000003</v>
      </c>
      <c r="Y111" s="5">
        <v>0.02</v>
      </c>
    </row>
    <row r="112" spans="1:25" x14ac:dyDescent="0.3">
      <c r="A112" s="5">
        <v>74</v>
      </c>
      <c r="B112" s="5" t="s">
        <v>169</v>
      </c>
      <c r="C112" s="5">
        <v>12</v>
      </c>
      <c r="D112" s="5" t="s">
        <v>89</v>
      </c>
      <c r="E112" s="5">
        <v>30759766</v>
      </c>
      <c r="F112" s="5">
        <v>25199777.420000002</v>
      </c>
      <c r="G112" s="5">
        <v>1740364</v>
      </c>
      <c r="H112" s="5">
        <v>32381110</v>
      </c>
      <c r="I112" s="5">
        <v>477</v>
      </c>
      <c r="J112" s="5">
        <v>1034</v>
      </c>
      <c r="K112" s="5">
        <v>5559988.5800000001</v>
      </c>
      <c r="L112" s="5">
        <v>0.18079999999999999</v>
      </c>
      <c r="M112" s="5">
        <v>5.3699999999999998E-2</v>
      </c>
      <c r="N112" s="5">
        <v>24461399</v>
      </c>
      <c r="O112" s="5">
        <v>21266527.670000002</v>
      </c>
      <c r="P112" s="5">
        <v>3000619</v>
      </c>
      <c r="Q112" s="5">
        <v>27379960</v>
      </c>
      <c r="R112" s="5">
        <v>376</v>
      </c>
      <c r="S112" s="5">
        <v>786</v>
      </c>
      <c r="T112" s="5">
        <v>3194871.33</v>
      </c>
      <c r="U112" s="5">
        <v>0.13059999999999999</v>
      </c>
      <c r="V112" s="5">
        <v>0.1096</v>
      </c>
      <c r="W112" s="5">
        <v>3.8699999999999998E-2</v>
      </c>
      <c r="X112" s="5">
        <v>0.25750000000000001</v>
      </c>
      <c r="Y112" s="5">
        <v>0.05</v>
      </c>
    </row>
    <row r="113" spans="1:25" x14ac:dyDescent="0.3">
      <c r="A113" s="5">
        <v>77</v>
      </c>
      <c r="B113" s="5" t="s">
        <v>170</v>
      </c>
      <c r="C113" s="5">
        <v>4</v>
      </c>
      <c r="D113" s="5" t="s">
        <v>78</v>
      </c>
      <c r="E113" s="5">
        <v>5070517</v>
      </c>
      <c r="F113" s="5">
        <v>4168414.25</v>
      </c>
      <c r="G113" s="5">
        <v>338668</v>
      </c>
      <c r="H113" s="5">
        <v>5395800</v>
      </c>
      <c r="I113" s="5">
        <v>79</v>
      </c>
      <c r="J113" s="5">
        <v>179</v>
      </c>
      <c r="K113" s="5">
        <v>902102.75</v>
      </c>
      <c r="L113" s="5">
        <v>0.1779</v>
      </c>
      <c r="M113" s="5">
        <v>6.2799999999999995E-2</v>
      </c>
      <c r="N113" s="5">
        <v>6369403</v>
      </c>
      <c r="O113" s="5">
        <v>5491351.7699999996</v>
      </c>
      <c r="P113" s="5">
        <v>710410</v>
      </c>
      <c r="Q113" s="5">
        <v>7054930</v>
      </c>
      <c r="R113" s="5">
        <v>77</v>
      </c>
      <c r="S113" s="5">
        <v>189</v>
      </c>
      <c r="T113" s="5">
        <v>878051.23</v>
      </c>
      <c r="U113" s="5">
        <v>0.13789999999999999</v>
      </c>
      <c r="V113" s="5">
        <v>0.1007</v>
      </c>
      <c r="W113" s="5">
        <v>5.0299999999999997E-2</v>
      </c>
      <c r="X113" s="5">
        <v>-0.2039</v>
      </c>
      <c r="Y113" s="5">
        <v>0.04</v>
      </c>
    </row>
    <row r="114" spans="1:25" x14ac:dyDescent="0.3">
      <c r="A114" s="5">
        <v>87</v>
      </c>
      <c r="B114" s="5" t="s">
        <v>170</v>
      </c>
      <c r="C114" s="5">
        <v>4</v>
      </c>
      <c r="D114" s="5" t="s">
        <v>78</v>
      </c>
      <c r="E114" s="5">
        <v>15995231</v>
      </c>
      <c r="F114" s="5">
        <v>13143308.27</v>
      </c>
      <c r="G114" s="5">
        <v>1126763</v>
      </c>
      <c r="H114" s="5">
        <v>17073890</v>
      </c>
      <c r="I114" s="5">
        <v>236</v>
      </c>
      <c r="J114" s="5">
        <v>531</v>
      </c>
      <c r="K114" s="5">
        <v>2851922.73</v>
      </c>
      <c r="L114" s="5">
        <v>0.17829999999999999</v>
      </c>
      <c r="M114" s="5">
        <v>6.6000000000000003E-2</v>
      </c>
      <c r="N114" s="5">
        <v>11025990</v>
      </c>
      <c r="O114" s="5">
        <v>9533250.3300000001</v>
      </c>
      <c r="P114" s="5">
        <v>1277183</v>
      </c>
      <c r="Q114" s="5">
        <v>12269560</v>
      </c>
      <c r="R114" s="5">
        <v>176</v>
      </c>
      <c r="S114" s="5">
        <v>391</v>
      </c>
      <c r="T114" s="5">
        <v>1492739.67</v>
      </c>
      <c r="U114" s="5">
        <v>0.13539999999999999</v>
      </c>
      <c r="V114" s="5">
        <v>0.1041</v>
      </c>
      <c r="W114" s="5">
        <v>2.64E-2</v>
      </c>
      <c r="X114" s="5">
        <v>0.45069999999999999</v>
      </c>
      <c r="Y114" s="5">
        <v>0.04</v>
      </c>
    </row>
    <row r="115" spans="1:25" x14ac:dyDescent="0.3">
      <c r="A115" s="5">
        <v>51</v>
      </c>
      <c r="B115" s="5" t="s">
        <v>171</v>
      </c>
      <c r="C115" s="5">
        <v>4</v>
      </c>
      <c r="D115" s="5" t="s">
        <v>78</v>
      </c>
      <c r="E115" s="5">
        <v>28786497</v>
      </c>
      <c r="F115" s="5">
        <v>23575375.52</v>
      </c>
      <c r="G115" s="5">
        <v>1906062</v>
      </c>
      <c r="H115" s="5">
        <v>30629030</v>
      </c>
      <c r="I115" s="5">
        <v>402</v>
      </c>
      <c r="J115" s="5">
        <v>907</v>
      </c>
      <c r="K115" s="5">
        <v>5211121.4800000004</v>
      </c>
      <c r="L115" s="5">
        <v>0.18099999999999999</v>
      </c>
      <c r="M115" s="5">
        <v>6.2199999999999998E-2</v>
      </c>
      <c r="N115" s="5">
        <v>18141204</v>
      </c>
      <c r="O115" s="5">
        <v>15561101.26</v>
      </c>
      <c r="P115" s="5">
        <v>1992446</v>
      </c>
      <c r="Q115" s="5">
        <v>20071440</v>
      </c>
      <c r="R115" s="5">
        <v>312</v>
      </c>
      <c r="S115" s="5">
        <v>649</v>
      </c>
      <c r="T115" s="5">
        <v>2580102.7400000002</v>
      </c>
      <c r="U115" s="5">
        <v>0.14219999999999999</v>
      </c>
      <c r="V115" s="5">
        <v>9.9299999999999999E-2</v>
      </c>
      <c r="W115" s="5">
        <v>3.4200000000000001E-2</v>
      </c>
      <c r="X115" s="5">
        <v>0.58679999999999999</v>
      </c>
      <c r="Y115" s="5">
        <v>0.04</v>
      </c>
    </row>
    <row r="116" spans="1:25" x14ac:dyDescent="0.3">
      <c r="A116" s="5">
        <v>69</v>
      </c>
      <c r="B116" s="5" t="s">
        <v>171</v>
      </c>
      <c r="C116" s="5">
        <v>4</v>
      </c>
      <c r="D116" s="5" t="s">
        <v>78</v>
      </c>
      <c r="E116" s="5">
        <v>38313797</v>
      </c>
      <c r="F116" s="5">
        <v>31903024.370000001</v>
      </c>
      <c r="G116" s="5">
        <v>2771203</v>
      </c>
      <c r="H116" s="5">
        <v>40975050</v>
      </c>
      <c r="I116" s="5">
        <v>553</v>
      </c>
      <c r="J116" s="5">
        <v>1227</v>
      </c>
      <c r="K116" s="5">
        <v>6410772.6299999999</v>
      </c>
      <c r="L116" s="5">
        <v>0.1673</v>
      </c>
      <c r="M116" s="5">
        <v>6.7599999999999993E-2</v>
      </c>
      <c r="N116" s="5">
        <v>35985800</v>
      </c>
      <c r="O116" s="5">
        <v>31476021.460000001</v>
      </c>
      <c r="P116" s="5">
        <v>4237955</v>
      </c>
      <c r="Q116" s="5">
        <v>40102880</v>
      </c>
      <c r="R116" s="5">
        <v>456</v>
      </c>
      <c r="S116" s="5">
        <v>1053</v>
      </c>
      <c r="T116" s="5">
        <v>4509778.54</v>
      </c>
      <c r="U116" s="5">
        <v>0.12529999999999999</v>
      </c>
      <c r="V116" s="5">
        <v>0.1057</v>
      </c>
      <c r="W116" s="5">
        <v>3.9100000000000003E-2</v>
      </c>
      <c r="X116" s="5">
        <v>6.4699999999999994E-2</v>
      </c>
      <c r="Y116" s="5">
        <v>0.04</v>
      </c>
    </row>
    <row r="117" spans="1:25" x14ac:dyDescent="0.3">
      <c r="A117" s="5">
        <v>53</v>
      </c>
      <c r="B117" s="5" t="s">
        <v>172</v>
      </c>
      <c r="C117" s="5">
        <v>7</v>
      </c>
      <c r="D117" s="5" t="s">
        <v>91</v>
      </c>
      <c r="E117" s="5">
        <v>37114898</v>
      </c>
      <c r="F117" s="5">
        <v>30365742</v>
      </c>
      <c r="G117" s="5">
        <v>2214093</v>
      </c>
      <c r="H117" s="5">
        <v>39177500</v>
      </c>
      <c r="I117" s="5">
        <v>579</v>
      </c>
      <c r="J117" s="5">
        <v>1279</v>
      </c>
      <c r="K117" s="5">
        <v>6749156</v>
      </c>
      <c r="L117" s="5">
        <v>0.18179999999999999</v>
      </c>
      <c r="M117" s="5">
        <v>5.6500000000000002E-2</v>
      </c>
      <c r="N117" s="5">
        <v>32170552</v>
      </c>
      <c r="O117" s="5">
        <v>27438445.82</v>
      </c>
      <c r="P117" s="5">
        <v>3367946</v>
      </c>
      <c r="Q117" s="5">
        <v>35397160</v>
      </c>
      <c r="R117" s="5">
        <v>475</v>
      </c>
      <c r="S117" s="5">
        <v>1038</v>
      </c>
      <c r="T117" s="5">
        <v>4732106.18</v>
      </c>
      <c r="U117" s="5">
        <v>0.14710000000000001</v>
      </c>
      <c r="V117" s="5">
        <v>9.5100000000000004E-2</v>
      </c>
      <c r="W117" s="5">
        <v>4.2999999999999997E-2</v>
      </c>
      <c r="X117" s="5">
        <v>0.1537</v>
      </c>
      <c r="Y117" s="5">
        <v>0.03</v>
      </c>
    </row>
    <row r="118" spans="1:25" x14ac:dyDescent="0.3">
      <c r="A118" s="5">
        <v>64</v>
      </c>
      <c r="B118" s="5" t="s">
        <v>173</v>
      </c>
      <c r="C118" s="5">
        <v>7</v>
      </c>
      <c r="D118" s="5" t="s">
        <v>91</v>
      </c>
      <c r="E118" s="5">
        <v>9156616</v>
      </c>
      <c r="F118" s="5">
        <v>7498825.6399999997</v>
      </c>
      <c r="G118" s="5">
        <v>523830</v>
      </c>
      <c r="H118" s="5">
        <v>9648350</v>
      </c>
      <c r="I118" s="5">
        <v>131</v>
      </c>
      <c r="J118" s="5">
        <v>298</v>
      </c>
      <c r="K118" s="5">
        <v>1657790.36</v>
      </c>
      <c r="L118" s="5">
        <v>0.18099999999999999</v>
      </c>
      <c r="M118" s="5">
        <v>5.4300000000000001E-2</v>
      </c>
      <c r="N118" s="5">
        <v>7220662</v>
      </c>
      <c r="O118" s="5">
        <v>6045094.7300000004</v>
      </c>
      <c r="P118" s="5">
        <v>528275</v>
      </c>
      <c r="Q118" s="5">
        <v>7721360</v>
      </c>
      <c r="R118" s="5">
        <v>98</v>
      </c>
      <c r="S118" s="5">
        <v>198</v>
      </c>
      <c r="T118" s="5">
        <v>1175567.27</v>
      </c>
      <c r="U118" s="5">
        <v>0.1628</v>
      </c>
      <c r="V118" s="5">
        <v>6.8400000000000002E-2</v>
      </c>
      <c r="W118" s="5">
        <v>3.3599999999999998E-2</v>
      </c>
      <c r="X118" s="5">
        <v>0.2681</v>
      </c>
      <c r="Y118" s="5">
        <v>0.02</v>
      </c>
    </row>
    <row r="119" spans="1:25" x14ac:dyDescent="0.3">
      <c r="A119" s="5">
        <v>118</v>
      </c>
      <c r="B119" s="5" t="s">
        <v>173</v>
      </c>
      <c r="C119" s="5">
        <v>7</v>
      </c>
      <c r="D119" s="5" t="s">
        <v>91</v>
      </c>
      <c r="E119" s="5">
        <v>6972266</v>
      </c>
      <c r="F119" s="5">
        <v>5745679.8600000003</v>
      </c>
      <c r="G119" s="5">
        <v>435291</v>
      </c>
      <c r="H119" s="5">
        <v>7386500</v>
      </c>
      <c r="I119" s="5">
        <v>81</v>
      </c>
      <c r="J119" s="5">
        <v>198</v>
      </c>
      <c r="K119" s="5">
        <v>1226586.1399999999</v>
      </c>
      <c r="L119" s="5">
        <v>0.1759</v>
      </c>
      <c r="M119" s="5">
        <v>5.8900000000000001E-2</v>
      </c>
      <c r="N119" s="5">
        <v>3330423</v>
      </c>
      <c r="O119" s="5">
        <v>2780204.84</v>
      </c>
      <c r="P119" s="5">
        <v>296152</v>
      </c>
      <c r="Q119" s="5">
        <v>3611600</v>
      </c>
      <c r="R119" s="5">
        <v>53</v>
      </c>
      <c r="S119" s="5">
        <v>120</v>
      </c>
      <c r="T119" s="5">
        <v>550218.16</v>
      </c>
      <c r="U119" s="5">
        <v>0.16520000000000001</v>
      </c>
      <c r="V119" s="5">
        <v>8.2000000000000003E-2</v>
      </c>
      <c r="W119" s="5">
        <v>2.53E-2</v>
      </c>
      <c r="X119" s="5">
        <v>1.0934999999999999</v>
      </c>
      <c r="Y119" s="5">
        <v>0.01</v>
      </c>
    </row>
    <row r="120" spans="1:25" x14ac:dyDescent="0.3">
      <c r="A120" s="5">
        <v>32</v>
      </c>
      <c r="B120" s="5" t="s">
        <v>174</v>
      </c>
      <c r="C120" s="5">
        <v>7</v>
      </c>
      <c r="D120" s="5" t="s">
        <v>91</v>
      </c>
      <c r="E120" s="5">
        <v>32591879</v>
      </c>
      <c r="F120" s="5">
        <v>27076952.530000001</v>
      </c>
      <c r="G120" s="5">
        <v>2154588</v>
      </c>
      <c r="H120" s="5">
        <v>34643850</v>
      </c>
      <c r="I120" s="5">
        <v>446</v>
      </c>
      <c r="J120" s="5">
        <v>969</v>
      </c>
      <c r="K120" s="5">
        <v>5514926.4699999997</v>
      </c>
      <c r="L120" s="5">
        <v>0.16919999999999999</v>
      </c>
      <c r="M120" s="5">
        <v>6.2199999999999998E-2</v>
      </c>
      <c r="N120" s="5">
        <v>24914299</v>
      </c>
      <c r="O120" s="5">
        <v>21805823.59</v>
      </c>
      <c r="P120" s="5">
        <v>3207902</v>
      </c>
      <c r="Q120" s="5">
        <v>28009170</v>
      </c>
      <c r="R120" s="5">
        <v>381</v>
      </c>
      <c r="S120" s="5">
        <v>829</v>
      </c>
      <c r="T120" s="5">
        <v>3108475.41</v>
      </c>
      <c r="U120" s="5">
        <v>0.12479999999999999</v>
      </c>
      <c r="V120" s="5">
        <v>0.1145</v>
      </c>
      <c r="W120" s="5">
        <v>4.1300000000000003E-2</v>
      </c>
      <c r="X120" s="5">
        <v>0.30819999999999997</v>
      </c>
      <c r="Y120" s="5">
        <v>0.04</v>
      </c>
    </row>
    <row r="121" spans="1:25" x14ac:dyDescent="0.3">
      <c r="A121" s="5">
        <v>37</v>
      </c>
      <c r="B121" s="5" t="s">
        <v>174</v>
      </c>
      <c r="C121" s="5">
        <v>7</v>
      </c>
      <c r="D121" s="5" t="s">
        <v>91</v>
      </c>
      <c r="E121" s="5">
        <v>12285815</v>
      </c>
      <c r="F121" s="5">
        <v>10139082.65</v>
      </c>
      <c r="G121" s="5">
        <v>745388</v>
      </c>
      <c r="H121" s="5">
        <v>12998090</v>
      </c>
      <c r="I121" s="5">
        <v>177</v>
      </c>
      <c r="J121" s="5">
        <v>377</v>
      </c>
      <c r="K121" s="5">
        <v>2146732.35</v>
      </c>
      <c r="L121" s="5">
        <v>0.17469999999999999</v>
      </c>
      <c r="M121" s="5">
        <v>5.7299999999999997E-2</v>
      </c>
      <c r="N121" s="5">
        <v>9999772</v>
      </c>
      <c r="O121" s="5">
        <v>8435434.4100000001</v>
      </c>
      <c r="P121" s="5">
        <v>888553</v>
      </c>
      <c r="Q121" s="5">
        <v>10845870</v>
      </c>
      <c r="R121" s="5">
        <v>145</v>
      </c>
      <c r="S121" s="5">
        <v>302</v>
      </c>
      <c r="T121" s="5">
        <v>1564337.59</v>
      </c>
      <c r="U121" s="5">
        <v>0.15640000000000001</v>
      </c>
      <c r="V121" s="5">
        <v>8.1900000000000001E-2</v>
      </c>
      <c r="W121" s="5">
        <v>2.6499999999999999E-2</v>
      </c>
      <c r="X121" s="5">
        <v>0.2286</v>
      </c>
      <c r="Y121" s="5">
        <v>0.02</v>
      </c>
    </row>
    <row r="122" spans="1:25" x14ac:dyDescent="0.3">
      <c r="A122" s="5">
        <v>41</v>
      </c>
      <c r="B122" s="5" t="s">
        <v>175</v>
      </c>
      <c r="C122" s="5">
        <v>7</v>
      </c>
      <c r="D122" s="5" t="s">
        <v>91</v>
      </c>
      <c r="E122" s="5">
        <v>12444449</v>
      </c>
      <c r="F122" s="5">
        <v>10321780.17</v>
      </c>
      <c r="G122" s="5">
        <v>840047</v>
      </c>
      <c r="H122" s="5">
        <v>13242770</v>
      </c>
      <c r="I122" s="5">
        <v>175</v>
      </c>
      <c r="J122" s="5">
        <v>365</v>
      </c>
      <c r="K122" s="5">
        <v>2122668.83</v>
      </c>
      <c r="L122" s="5">
        <v>0.1706</v>
      </c>
      <c r="M122" s="5">
        <v>6.3399999999999998E-2</v>
      </c>
      <c r="N122" s="5">
        <v>7677241</v>
      </c>
      <c r="O122" s="5">
        <v>6467607.3099999996</v>
      </c>
      <c r="P122" s="5">
        <v>637994</v>
      </c>
      <c r="Q122" s="5">
        <v>8276040</v>
      </c>
      <c r="R122" s="5">
        <v>112</v>
      </c>
      <c r="S122" s="5">
        <v>247</v>
      </c>
      <c r="T122" s="5">
        <v>1209633.69</v>
      </c>
      <c r="U122" s="5">
        <v>0.15759999999999999</v>
      </c>
      <c r="V122" s="5">
        <v>7.7100000000000002E-2</v>
      </c>
      <c r="W122" s="5">
        <v>4.3799999999999999E-2</v>
      </c>
      <c r="X122" s="5">
        <v>0.621</v>
      </c>
      <c r="Y122" s="5">
        <v>0.01</v>
      </c>
    </row>
    <row r="123" spans="1:25" x14ac:dyDescent="0.3">
      <c r="A123" s="5">
        <v>40</v>
      </c>
      <c r="B123" s="5" t="s">
        <v>176</v>
      </c>
      <c r="C123" s="5">
        <v>7</v>
      </c>
      <c r="D123" s="5" t="s">
        <v>91</v>
      </c>
      <c r="E123" s="5">
        <v>16126760</v>
      </c>
      <c r="F123" s="5">
        <v>13532495.57</v>
      </c>
      <c r="G123" s="5">
        <v>1187337</v>
      </c>
      <c r="H123" s="5">
        <v>17266820</v>
      </c>
      <c r="I123" s="5">
        <v>235</v>
      </c>
      <c r="J123" s="5">
        <v>499</v>
      </c>
      <c r="K123" s="5">
        <v>2594264.4300000002</v>
      </c>
      <c r="L123" s="5">
        <v>0.16089999999999999</v>
      </c>
      <c r="M123" s="5">
        <v>6.88E-2</v>
      </c>
      <c r="N123" s="5">
        <v>9924161</v>
      </c>
      <c r="O123" s="5">
        <v>8440025.4499999993</v>
      </c>
      <c r="P123" s="5">
        <v>1134022</v>
      </c>
      <c r="Q123" s="5">
        <v>11021690</v>
      </c>
      <c r="R123" s="5">
        <v>183</v>
      </c>
      <c r="S123" s="5">
        <v>385</v>
      </c>
      <c r="T123" s="5">
        <v>1484135.55</v>
      </c>
      <c r="U123" s="5">
        <v>0.14949999999999999</v>
      </c>
      <c r="V123" s="5">
        <v>0.10290000000000001</v>
      </c>
      <c r="W123" s="5">
        <v>2.1999999999999999E-2</v>
      </c>
      <c r="X123" s="5">
        <v>0.625</v>
      </c>
      <c r="Y123" s="5">
        <v>0.01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O2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3" customWidth="1"/>
    <col min="2" max="2" width="29" customWidth="1"/>
    <col min="3" max="3" width="16" customWidth="1"/>
    <col min="4" max="4" width="12" customWidth="1"/>
    <col min="5" max="7" width="15" customWidth="1"/>
    <col min="8" max="8" width="10" customWidth="1"/>
    <col min="9" max="9" width="14" customWidth="1"/>
    <col min="10" max="10" width="12" customWidth="1"/>
    <col min="11" max="11" width="19" customWidth="1"/>
    <col min="12" max="12" width="14" customWidth="1"/>
    <col min="13" max="13" width="15" customWidth="1"/>
    <col min="14" max="14" width="13" customWidth="1"/>
    <col min="15" max="15" width="15" customWidth="1"/>
  </cols>
  <sheetData>
    <row r="1" spans="1:15" x14ac:dyDescent="0.3">
      <c r="A1" s="8" t="s">
        <v>199</v>
      </c>
    </row>
    <row r="3" spans="1:15" x14ac:dyDescent="0.3">
      <c r="A3" s="9" t="s">
        <v>200</v>
      </c>
      <c r="B3" s="9" t="s">
        <v>201</v>
      </c>
      <c r="C3" s="9" t="s">
        <v>202</v>
      </c>
      <c r="D3" s="9" t="s">
        <v>17</v>
      </c>
      <c r="E3" s="9" t="s">
        <v>18</v>
      </c>
      <c r="F3" s="9" t="s">
        <v>96</v>
      </c>
      <c r="G3" s="9" t="s">
        <v>97</v>
      </c>
      <c r="H3" s="9" t="s">
        <v>203</v>
      </c>
      <c r="I3" s="9" t="s">
        <v>20</v>
      </c>
      <c r="J3" s="9" t="s">
        <v>21</v>
      </c>
      <c r="K3" s="9" t="s">
        <v>204</v>
      </c>
      <c r="L3" s="9" t="s">
        <v>98</v>
      </c>
      <c r="M3" s="9" t="s">
        <v>99</v>
      </c>
      <c r="N3" s="9" t="s">
        <v>205</v>
      </c>
      <c r="O3" s="9" t="s">
        <v>206</v>
      </c>
    </row>
    <row r="4" spans="1:15" x14ac:dyDescent="0.3">
      <c r="A4" s="5">
        <v>6</v>
      </c>
      <c r="B4" s="5" t="s">
        <v>207</v>
      </c>
      <c r="C4" s="5" t="s">
        <v>208</v>
      </c>
      <c r="D4" s="5">
        <v>4382590644</v>
      </c>
      <c r="E4" s="5">
        <v>3849110898.0500002</v>
      </c>
      <c r="F4" s="5">
        <v>477412556</v>
      </c>
      <c r="G4" s="5">
        <v>4845220420</v>
      </c>
      <c r="H4" s="5">
        <v>60041</v>
      </c>
      <c r="I4" s="5">
        <v>533479745.94999999</v>
      </c>
      <c r="J4" s="5">
        <v>0.1217</v>
      </c>
      <c r="K4" s="5">
        <v>9.8500000000000004E-2</v>
      </c>
      <c r="L4" s="5">
        <v>2129</v>
      </c>
      <c r="M4" s="5">
        <v>139694518</v>
      </c>
      <c r="N4" s="5">
        <v>3.5499999999999997E-2</v>
      </c>
      <c r="O4" s="5">
        <v>0.2321</v>
      </c>
    </row>
    <row r="5" spans="1:15" x14ac:dyDescent="0.3">
      <c r="A5" s="5">
        <v>2</v>
      </c>
      <c r="B5" s="5" t="s">
        <v>209</v>
      </c>
      <c r="C5" s="5" t="s">
        <v>210</v>
      </c>
      <c r="D5" s="5">
        <v>2977044772</v>
      </c>
      <c r="E5" s="5">
        <v>2806726399.8099999</v>
      </c>
      <c r="F5" s="5">
        <v>327405596</v>
      </c>
      <c r="G5" s="5">
        <v>3294481190</v>
      </c>
      <c r="H5" s="5">
        <v>23849</v>
      </c>
      <c r="I5" s="5">
        <v>170318372.19</v>
      </c>
      <c r="J5" s="5">
        <v>5.7200000000000001E-2</v>
      </c>
      <c r="K5" s="5">
        <v>9.9400000000000002E-2</v>
      </c>
      <c r="L5" s="5">
        <v>1108</v>
      </c>
      <c r="M5" s="5">
        <v>120142131</v>
      </c>
      <c r="N5" s="5">
        <v>4.65E-2</v>
      </c>
      <c r="O5" s="5">
        <v>0.15770000000000001</v>
      </c>
    </row>
    <row r="6" spans="1:15" x14ac:dyDescent="0.3">
      <c r="A6" s="5">
        <v>3</v>
      </c>
      <c r="B6" s="5" t="s">
        <v>211</v>
      </c>
      <c r="C6" s="5" t="s">
        <v>210</v>
      </c>
      <c r="D6" s="5">
        <v>2296118310</v>
      </c>
      <c r="E6" s="5">
        <v>2021805332.3800001</v>
      </c>
      <c r="F6" s="5">
        <v>250368359</v>
      </c>
      <c r="G6" s="5">
        <v>2538567220</v>
      </c>
      <c r="H6" s="5">
        <v>38075</v>
      </c>
      <c r="I6" s="5">
        <v>274312977.62</v>
      </c>
      <c r="J6" s="5">
        <v>0.1195</v>
      </c>
      <c r="K6" s="5">
        <v>9.8599999999999993E-2</v>
      </c>
      <c r="L6" s="5">
        <v>1575</v>
      </c>
      <c r="M6" s="5">
        <v>88979549</v>
      </c>
      <c r="N6" s="5">
        <v>4.1399999999999999E-2</v>
      </c>
      <c r="O6" s="5">
        <v>0.1216</v>
      </c>
    </row>
    <row r="7" spans="1:15" x14ac:dyDescent="0.3">
      <c r="A7" s="5">
        <v>14</v>
      </c>
      <c r="B7" s="5" t="s">
        <v>212</v>
      </c>
      <c r="C7" s="5" t="s">
        <v>213</v>
      </c>
      <c r="D7" s="5">
        <v>1907350207</v>
      </c>
      <c r="E7" s="5">
        <v>1601145925.7</v>
      </c>
      <c r="F7" s="5">
        <v>209518887</v>
      </c>
      <c r="G7" s="5">
        <v>2110496580</v>
      </c>
      <c r="H7" s="5">
        <v>36122</v>
      </c>
      <c r="I7" s="5">
        <v>306204281.30000001</v>
      </c>
      <c r="J7" s="5">
        <v>0.1605</v>
      </c>
      <c r="K7" s="5">
        <v>9.9299999999999999E-2</v>
      </c>
      <c r="L7" s="5">
        <v>1131</v>
      </c>
      <c r="M7" s="5">
        <v>59141680</v>
      </c>
      <c r="N7" s="5">
        <v>3.1300000000000001E-2</v>
      </c>
      <c r="O7" s="5">
        <v>0.10100000000000001</v>
      </c>
    </row>
    <row r="8" spans="1:15" x14ac:dyDescent="0.3">
      <c r="A8" s="5">
        <v>1</v>
      </c>
      <c r="B8" s="5" t="s">
        <v>214</v>
      </c>
      <c r="C8" s="5" t="s">
        <v>210</v>
      </c>
      <c r="D8" s="5">
        <v>1718375549</v>
      </c>
      <c r="E8" s="5">
        <v>1512547956.3199999</v>
      </c>
      <c r="F8" s="5">
        <v>186700048</v>
      </c>
      <c r="G8" s="5">
        <v>1899178170</v>
      </c>
      <c r="H8" s="5">
        <v>30469</v>
      </c>
      <c r="I8" s="5">
        <v>205827592.68000001</v>
      </c>
      <c r="J8" s="5">
        <v>0.1198</v>
      </c>
      <c r="K8" s="5">
        <v>9.8299999999999998E-2</v>
      </c>
      <c r="L8" s="5">
        <v>1326</v>
      </c>
      <c r="M8" s="5">
        <v>69832084</v>
      </c>
      <c r="N8" s="5">
        <v>4.3499999999999997E-2</v>
      </c>
      <c r="O8" s="5">
        <v>9.0999999999999998E-2</v>
      </c>
    </row>
    <row r="9" spans="1:15" x14ac:dyDescent="0.3">
      <c r="A9" s="5">
        <v>5</v>
      </c>
      <c r="B9" s="5" t="s">
        <v>215</v>
      </c>
      <c r="C9" s="5" t="s">
        <v>208</v>
      </c>
      <c r="D9" s="5">
        <v>1462422495</v>
      </c>
      <c r="E9" s="5">
        <v>1309505182.5799999</v>
      </c>
      <c r="F9" s="5">
        <v>161801886</v>
      </c>
      <c r="G9" s="5">
        <v>1619237220</v>
      </c>
      <c r="H9" s="5">
        <v>20282</v>
      </c>
      <c r="I9" s="5">
        <v>152917312.41999999</v>
      </c>
      <c r="J9" s="5">
        <v>0.1046</v>
      </c>
      <c r="K9" s="5">
        <v>9.9900000000000003E-2</v>
      </c>
      <c r="L9" s="5">
        <v>730</v>
      </c>
      <c r="M9" s="5">
        <v>47019318</v>
      </c>
      <c r="N9" s="5">
        <v>3.5999999999999997E-2</v>
      </c>
      <c r="O9" s="5">
        <v>7.7499999999999999E-2</v>
      </c>
    </row>
    <row r="10" spans="1:15" x14ac:dyDescent="0.3">
      <c r="A10" s="5">
        <v>7</v>
      </c>
      <c r="B10" s="5" t="s">
        <v>216</v>
      </c>
      <c r="C10" s="5" t="s">
        <v>208</v>
      </c>
      <c r="D10" s="5">
        <v>1242288851</v>
      </c>
      <c r="E10" s="5">
        <v>1098673494.02</v>
      </c>
      <c r="F10" s="5">
        <v>134651075</v>
      </c>
      <c r="G10" s="5">
        <v>1372667370</v>
      </c>
      <c r="H10" s="5">
        <v>20087</v>
      </c>
      <c r="I10" s="5">
        <v>143615356.97999999</v>
      </c>
      <c r="J10" s="5">
        <v>0.11559999999999999</v>
      </c>
      <c r="K10" s="5">
        <v>9.8100000000000007E-2</v>
      </c>
      <c r="L10" s="5">
        <v>682</v>
      </c>
      <c r="M10" s="5">
        <v>39892561</v>
      </c>
      <c r="N10" s="5">
        <v>3.4000000000000002E-2</v>
      </c>
      <c r="O10" s="5">
        <v>6.5799999999999997E-2</v>
      </c>
    </row>
    <row r="11" spans="1:15" x14ac:dyDescent="0.3">
      <c r="A11" s="5">
        <v>8</v>
      </c>
      <c r="B11" s="5" t="s">
        <v>217</v>
      </c>
      <c r="C11" s="5" t="s">
        <v>208</v>
      </c>
      <c r="D11" s="5">
        <v>602723939</v>
      </c>
      <c r="E11" s="5">
        <v>435121721.75999999</v>
      </c>
      <c r="F11" s="5">
        <v>65733883</v>
      </c>
      <c r="G11" s="5">
        <v>666395200</v>
      </c>
      <c r="H11" s="5">
        <v>36206</v>
      </c>
      <c r="I11" s="5">
        <v>167602217.24000001</v>
      </c>
      <c r="J11" s="5">
        <v>0.27810000000000001</v>
      </c>
      <c r="K11" s="5">
        <v>9.8599999999999993E-2</v>
      </c>
      <c r="L11" s="5">
        <v>1037</v>
      </c>
      <c r="M11" s="5">
        <v>16974845</v>
      </c>
      <c r="N11" s="5">
        <v>2.86E-2</v>
      </c>
      <c r="O11" s="5">
        <v>3.1899999999999998E-2</v>
      </c>
    </row>
    <row r="12" spans="1:15" x14ac:dyDescent="0.3">
      <c r="A12" s="5">
        <v>4</v>
      </c>
      <c r="B12" s="5" t="s">
        <v>218</v>
      </c>
      <c r="C12" s="5" t="s">
        <v>210</v>
      </c>
      <c r="D12" s="5">
        <v>520527346</v>
      </c>
      <c r="E12" s="5">
        <v>423550825.19999999</v>
      </c>
      <c r="F12" s="5">
        <v>56856404</v>
      </c>
      <c r="G12" s="5">
        <v>575620000</v>
      </c>
      <c r="H12" s="5">
        <v>28038</v>
      </c>
      <c r="I12" s="5">
        <v>96976520.799999997</v>
      </c>
      <c r="J12" s="5">
        <v>0.18629999999999999</v>
      </c>
      <c r="K12" s="5">
        <v>9.8799999999999999E-2</v>
      </c>
      <c r="L12" s="5">
        <v>1084</v>
      </c>
      <c r="M12" s="5">
        <v>18808093</v>
      </c>
      <c r="N12" s="5">
        <v>3.8699999999999998E-2</v>
      </c>
      <c r="O12" s="5">
        <v>2.76E-2</v>
      </c>
    </row>
    <row r="13" spans="1:15" x14ac:dyDescent="0.3">
      <c r="A13" s="5">
        <v>9</v>
      </c>
      <c r="B13" s="5" t="s">
        <v>219</v>
      </c>
      <c r="C13" s="5" t="s">
        <v>208</v>
      </c>
      <c r="D13" s="5">
        <v>258134495</v>
      </c>
      <c r="E13" s="5">
        <v>191023969.58000001</v>
      </c>
      <c r="F13" s="5">
        <v>28051708</v>
      </c>
      <c r="G13" s="5">
        <v>285298830</v>
      </c>
      <c r="H13" s="5">
        <v>26198</v>
      </c>
      <c r="I13" s="5">
        <v>67110525.420000002</v>
      </c>
      <c r="J13" s="5">
        <v>0.26</v>
      </c>
      <c r="K13" s="5">
        <v>9.8299999999999998E-2</v>
      </c>
      <c r="L13" s="5">
        <v>703</v>
      </c>
      <c r="M13" s="5">
        <v>6392296</v>
      </c>
      <c r="N13" s="5">
        <v>2.6800000000000001E-2</v>
      </c>
      <c r="O13" s="5">
        <v>1.37E-2</v>
      </c>
    </row>
    <row r="14" spans="1:15" x14ac:dyDescent="0.3">
      <c r="A14" s="5">
        <v>13</v>
      </c>
      <c r="B14" s="5" t="s">
        <v>220</v>
      </c>
      <c r="C14" s="5" t="s">
        <v>221</v>
      </c>
      <c r="D14" s="5">
        <v>218483178</v>
      </c>
      <c r="E14" s="5">
        <v>145619264.59999999</v>
      </c>
      <c r="F14" s="5">
        <v>24009501</v>
      </c>
      <c r="G14" s="5">
        <v>241743290</v>
      </c>
      <c r="H14" s="5">
        <v>25921</v>
      </c>
      <c r="I14" s="5">
        <v>72863913.400000006</v>
      </c>
      <c r="J14" s="5">
        <v>0.33350000000000002</v>
      </c>
      <c r="K14" s="5">
        <v>9.9299999999999999E-2</v>
      </c>
      <c r="L14" s="5">
        <v>1751</v>
      </c>
      <c r="M14" s="5">
        <v>12659306</v>
      </c>
      <c r="N14" s="5">
        <v>6.7599999999999993E-2</v>
      </c>
      <c r="O14" s="5">
        <v>1.1599999999999999E-2</v>
      </c>
    </row>
    <row r="15" spans="1:15" x14ac:dyDescent="0.3">
      <c r="A15" s="5">
        <v>20</v>
      </c>
      <c r="B15" s="5" t="s">
        <v>222</v>
      </c>
      <c r="C15" s="5" t="s">
        <v>223</v>
      </c>
      <c r="D15" s="5">
        <v>216122731</v>
      </c>
      <c r="E15" s="5">
        <v>141004078.30000001</v>
      </c>
      <c r="F15" s="5">
        <v>23569987</v>
      </c>
      <c r="G15" s="5">
        <v>238954570</v>
      </c>
      <c r="H15" s="5">
        <v>41399</v>
      </c>
      <c r="I15" s="5">
        <v>75118652.700000003</v>
      </c>
      <c r="J15" s="5">
        <v>0.34760000000000002</v>
      </c>
      <c r="K15" s="5">
        <v>9.8599999999999993E-2</v>
      </c>
      <c r="L15" s="5">
        <v>1238</v>
      </c>
      <c r="M15" s="5">
        <v>6073270</v>
      </c>
      <c r="N15" s="5">
        <v>2.9899999999999999E-2</v>
      </c>
      <c r="O15" s="5">
        <v>1.14E-2</v>
      </c>
    </row>
    <row r="16" spans="1:15" x14ac:dyDescent="0.3">
      <c r="A16" s="5">
        <v>15</v>
      </c>
      <c r="B16" s="5" t="s">
        <v>224</v>
      </c>
      <c r="C16" s="5" t="s">
        <v>213</v>
      </c>
      <c r="D16" s="5">
        <v>190662742</v>
      </c>
      <c r="E16" s="5">
        <v>116672930.59999999</v>
      </c>
      <c r="F16" s="5">
        <v>20606146</v>
      </c>
      <c r="G16" s="5">
        <v>210602220</v>
      </c>
      <c r="H16" s="5">
        <v>21871</v>
      </c>
      <c r="I16" s="5">
        <v>73989811.400000006</v>
      </c>
      <c r="J16" s="5">
        <v>0.3881</v>
      </c>
      <c r="K16" s="5">
        <v>9.7799999999999998E-2</v>
      </c>
      <c r="L16" s="5">
        <v>629</v>
      </c>
      <c r="M16" s="5">
        <v>4586453</v>
      </c>
      <c r="N16" s="5">
        <v>2.8799999999999999E-2</v>
      </c>
      <c r="O16" s="5">
        <v>1.01E-2</v>
      </c>
    </row>
    <row r="17" spans="1:15" x14ac:dyDescent="0.3">
      <c r="A17" s="5">
        <v>11</v>
      </c>
      <c r="B17" s="5" t="s">
        <v>225</v>
      </c>
      <c r="C17" s="5" t="s">
        <v>221</v>
      </c>
      <c r="D17" s="5">
        <v>180387906</v>
      </c>
      <c r="E17" s="5">
        <v>108089805.78</v>
      </c>
      <c r="F17" s="5">
        <v>19724058</v>
      </c>
      <c r="G17" s="5">
        <v>199503650</v>
      </c>
      <c r="H17" s="5">
        <v>23635</v>
      </c>
      <c r="I17" s="5">
        <v>72298100.219999999</v>
      </c>
      <c r="J17" s="5">
        <v>0.40079999999999999</v>
      </c>
      <c r="K17" s="5">
        <v>9.8900000000000002E-2</v>
      </c>
      <c r="L17" s="5">
        <v>1588</v>
      </c>
      <c r="M17" s="5">
        <v>10512341</v>
      </c>
      <c r="N17" s="5">
        <v>6.7199999999999996E-2</v>
      </c>
      <c r="O17" s="5">
        <v>9.5999999999999992E-3</v>
      </c>
    </row>
    <row r="18" spans="1:15" x14ac:dyDescent="0.3">
      <c r="A18" s="5">
        <v>10</v>
      </c>
      <c r="B18" s="5" t="s">
        <v>226</v>
      </c>
      <c r="C18" s="5" t="s">
        <v>221</v>
      </c>
      <c r="D18" s="5">
        <v>174253220</v>
      </c>
      <c r="E18" s="5">
        <v>107716514.03</v>
      </c>
      <c r="F18" s="5">
        <v>18713357</v>
      </c>
      <c r="G18" s="5">
        <v>192360750</v>
      </c>
      <c r="H18" s="5">
        <v>23457</v>
      </c>
      <c r="I18" s="5">
        <v>66536705.969999999</v>
      </c>
      <c r="J18" s="5">
        <v>0.38179999999999997</v>
      </c>
      <c r="K18" s="5">
        <v>9.7299999999999998E-2</v>
      </c>
      <c r="L18" s="5">
        <v>1626</v>
      </c>
      <c r="M18" s="5">
        <v>10202661</v>
      </c>
      <c r="N18" s="5">
        <v>6.93E-2</v>
      </c>
      <c r="O18" s="5">
        <v>9.1999999999999998E-3</v>
      </c>
    </row>
    <row r="19" spans="1:15" x14ac:dyDescent="0.3">
      <c r="A19" s="5">
        <v>19</v>
      </c>
      <c r="B19" s="5" t="s">
        <v>227</v>
      </c>
      <c r="C19" s="5" t="s">
        <v>223</v>
      </c>
      <c r="D19" s="5">
        <v>152264378</v>
      </c>
      <c r="E19" s="5">
        <v>106903114.41</v>
      </c>
      <c r="F19" s="5">
        <v>16662928</v>
      </c>
      <c r="G19" s="5">
        <v>168422050</v>
      </c>
      <c r="H19" s="5">
        <v>30724</v>
      </c>
      <c r="I19" s="5">
        <v>45361263.590000004</v>
      </c>
      <c r="J19" s="5">
        <v>0.2979</v>
      </c>
      <c r="K19" s="5">
        <v>9.8900000000000002E-2</v>
      </c>
      <c r="L19" s="5">
        <v>964</v>
      </c>
      <c r="M19" s="5">
        <v>3945164</v>
      </c>
      <c r="N19" s="5">
        <v>3.1399999999999997E-2</v>
      </c>
      <c r="O19" s="5">
        <v>8.0999999999999996E-3</v>
      </c>
    </row>
    <row r="20" spans="1:15" x14ac:dyDescent="0.3">
      <c r="A20" s="5">
        <v>16</v>
      </c>
      <c r="B20" s="5" t="s">
        <v>228</v>
      </c>
      <c r="C20" s="5" t="s">
        <v>213</v>
      </c>
      <c r="D20" s="5">
        <v>150573007</v>
      </c>
      <c r="E20" s="5">
        <v>99034511.25</v>
      </c>
      <c r="F20" s="5">
        <v>16830249</v>
      </c>
      <c r="G20" s="5">
        <v>166904040</v>
      </c>
      <c r="H20" s="5">
        <v>29968</v>
      </c>
      <c r="I20" s="5">
        <v>51538495.75</v>
      </c>
      <c r="J20" s="5">
        <v>0.34229999999999999</v>
      </c>
      <c r="K20" s="5">
        <v>0.1008</v>
      </c>
      <c r="L20" s="5">
        <v>784</v>
      </c>
      <c r="M20" s="5">
        <v>3284893</v>
      </c>
      <c r="N20" s="5">
        <v>2.6200000000000001E-2</v>
      </c>
      <c r="O20" s="5">
        <v>8.0000000000000002E-3</v>
      </c>
    </row>
    <row r="21" spans="1:15" x14ac:dyDescent="0.3">
      <c r="A21" s="5">
        <v>12</v>
      </c>
      <c r="B21" s="5" t="s">
        <v>229</v>
      </c>
      <c r="C21" s="5" t="s">
        <v>221</v>
      </c>
      <c r="D21" s="5">
        <v>109354906</v>
      </c>
      <c r="E21" s="5">
        <v>68265455.879999995</v>
      </c>
      <c r="F21" s="5">
        <v>12241067</v>
      </c>
      <c r="G21" s="5">
        <v>121236720</v>
      </c>
      <c r="H21" s="5">
        <v>27448</v>
      </c>
      <c r="I21" s="5">
        <v>41089450.119999997</v>
      </c>
      <c r="J21" s="5">
        <v>0.37569999999999998</v>
      </c>
      <c r="K21" s="5">
        <v>0.10100000000000001</v>
      </c>
      <c r="L21" s="5">
        <v>1900</v>
      </c>
      <c r="M21" s="5">
        <v>6606248</v>
      </c>
      <c r="N21" s="5">
        <v>6.9199999999999998E-2</v>
      </c>
      <c r="O21" s="5">
        <v>5.7999999999999996E-3</v>
      </c>
    </row>
    <row r="22" spans="1:15" x14ac:dyDescent="0.3">
      <c r="A22" s="5">
        <v>18</v>
      </c>
      <c r="B22" s="5" t="s">
        <v>230</v>
      </c>
      <c r="C22" s="5" t="s">
        <v>231</v>
      </c>
      <c r="D22" s="5">
        <v>74610385</v>
      </c>
      <c r="E22" s="5">
        <v>53953569.259999998</v>
      </c>
      <c r="F22" s="5">
        <v>8249305</v>
      </c>
      <c r="G22" s="5">
        <v>82606690</v>
      </c>
      <c r="H22" s="5">
        <v>35175</v>
      </c>
      <c r="I22" s="5">
        <v>20656815.739999998</v>
      </c>
      <c r="J22" s="5">
        <v>0.27689999999999998</v>
      </c>
      <c r="K22" s="5">
        <v>9.9900000000000003E-2</v>
      </c>
      <c r="L22" s="5">
        <v>266</v>
      </c>
      <c r="M22" s="5">
        <v>458580</v>
      </c>
      <c r="N22" s="5">
        <v>7.6E-3</v>
      </c>
      <c r="O22" s="5">
        <v>4.0000000000000001E-3</v>
      </c>
    </row>
    <row r="23" spans="1:15" x14ac:dyDescent="0.3">
      <c r="A23" s="5">
        <v>17</v>
      </c>
      <c r="B23" s="5" t="s">
        <v>232</v>
      </c>
      <c r="C23" s="5" t="s">
        <v>231</v>
      </c>
      <c r="D23" s="5">
        <v>45075426</v>
      </c>
      <c r="E23" s="5">
        <v>41114891.850000001</v>
      </c>
      <c r="F23" s="5">
        <v>4946330</v>
      </c>
      <c r="G23" s="5">
        <v>49867370</v>
      </c>
      <c r="H23" s="5">
        <v>32688</v>
      </c>
      <c r="I23" s="5">
        <v>3960534.15</v>
      </c>
      <c r="J23" s="5">
        <v>8.7900000000000006E-2</v>
      </c>
      <c r="K23" s="5">
        <v>9.9199999999999997E-2</v>
      </c>
      <c r="L23" s="5">
        <v>244</v>
      </c>
      <c r="M23" s="5">
        <v>278695</v>
      </c>
      <c r="N23" s="5">
        <v>7.4999999999999997E-3</v>
      </c>
      <c r="O23" s="5">
        <v>2.3999999999999998E-3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H96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3" customWidth="1"/>
    <col min="2" max="2" width="28" customWidth="1"/>
    <col min="3" max="5" width="10" customWidth="1"/>
    <col min="6" max="6" width="11" customWidth="1"/>
    <col min="7" max="7" width="13" customWidth="1"/>
    <col min="8" max="8" width="12" customWidth="1"/>
  </cols>
  <sheetData>
    <row r="1" spans="1:8" x14ac:dyDescent="0.3">
      <c r="A1" s="8" t="s">
        <v>233</v>
      </c>
    </row>
    <row r="3" spans="1:8" x14ac:dyDescent="0.3">
      <c r="A3" s="9" t="s">
        <v>200</v>
      </c>
      <c r="B3" s="9" t="s">
        <v>201</v>
      </c>
      <c r="C3" s="9" t="s">
        <v>16</v>
      </c>
      <c r="D3" s="9" t="s">
        <v>14</v>
      </c>
      <c r="E3" s="9" t="s">
        <v>15</v>
      </c>
      <c r="F3" s="9" t="s">
        <v>17</v>
      </c>
      <c r="G3" s="9" t="s">
        <v>18</v>
      </c>
      <c r="H3" s="9" t="s">
        <v>21</v>
      </c>
    </row>
    <row r="4" spans="1:8" x14ac:dyDescent="0.3">
      <c r="A4" s="5">
        <v>1</v>
      </c>
      <c r="B4" s="5" t="s">
        <v>214</v>
      </c>
      <c r="C4" s="5" t="s">
        <v>22</v>
      </c>
      <c r="D4" s="5">
        <v>2021</v>
      </c>
      <c r="E4" s="5">
        <v>1</v>
      </c>
      <c r="F4" s="5">
        <v>17107104</v>
      </c>
      <c r="G4" s="5">
        <v>15684713.26</v>
      </c>
      <c r="H4" s="5">
        <v>8.3099999999999993E-2</v>
      </c>
    </row>
    <row r="5" spans="1:8" x14ac:dyDescent="0.3">
      <c r="A5" s="5">
        <v>1</v>
      </c>
      <c r="B5" s="5" t="s">
        <v>214</v>
      </c>
      <c r="C5" s="5" t="s">
        <v>23</v>
      </c>
      <c r="D5" s="5">
        <v>2021</v>
      </c>
      <c r="E5" s="5">
        <v>2</v>
      </c>
      <c r="F5" s="5">
        <v>16014997</v>
      </c>
      <c r="G5" s="5">
        <v>14223241.42</v>
      </c>
      <c r="H5" s="5">
        <v>0.1119</v>
      </c>
    </row>
    <row r="6" spans="1:8" x14ac:dyDescent="0.3">
      <c r="A6" s="5">
        <v>1</v>
      </c>
      <c r="B6" s="5" t="s">
        <v>214</v>
      </c>
      <c r="C6" s="5" t="s">
        <v>24</v>
      </c>
      <c r="D6" s="5">
        <v>2021</v>
      </c>
      <c r="E6" s="5">
        <v>3</v>
      </c>
      <c r="F6" s="5">
        <v>18291486</v>
      </c>
      <c r="G6" s="5">
        <v>15624253.119999999</v>
      </c>
      <c r="H6" s="5">
        <v>0.14580000000000001</v>
      </c>
    </row>
    <row r="7" spans="1:8" x14ac:dyDescent="0.3">
      <c r="A7" s="5">
        <v>1</v>
      </c>
      <c r="B7" s="5" t="s">
        <v>214</v>
      </c>
      <c r="C7" s="5" t="s">
        <v>25</v>
      </c>
      <c r="D7" s="5">
        <v>2021</v>
      </c>
      <c r="E7" s="5">
        <v>4</v>
      </c>
      <c r="F7" s="5">
        <v>18638974</v>
      </c>
      <c r="G7" s="5">
        <v>16829238.219999999</v>
      </c>
      <c r="H7" s="5">
        <v>9.7100000000000006E-2</v>
      </c>
    </row>
    <row r="8" spans="1:8" x14ac:dyDescent="0.3">
      <c r="A8" s="5">
        <v>1</v>
      </c>
      <c r="B8" s="5" t="s">
        <v>214</v>
      </c>
      <c r="C8" s="5" t="s">
        <v>26</v>
      </c>
      <c r="D8" s="5">
        <v>2021</v>
      </c>
      <c r="E8" s="5">
        <v>5</v>
      </c>
      <c r="F8" s="5">
        <v>21969464</v>
      </c>
      <c r="G8" s="5">
        <v>19467091.640000001</v>
      </c>
      <c r="H8" s="5">
        <v>0.1139</v>
      </c>
    </row>
    <row r="9" spans="1:8" x14ac:dyDescent="0.3">
      <c r="A9" s="5">
        <v>1</v>
      </c>
      <c r="B9" s="5" t="s">
        <v>214</v>
      </c>
      <c r="C9" s="5" t="s">
        <v>27</v>
      </c>
      <c r="D9" s="5">
        <v>2021</v>
      </c>
      <c r="E9" s="5">
        <v>6</v>
      </c>
      <c r="F9" s="5">
        <v>21149075</v>
      </c>
      <c r="G9" s="5">
        <v>19093382.219999999</v>
      </c>
      <c r="H9" s="5">
        <v>9.7199999999999995E-2</v>
      </c>
    </row>
    <row r="10" spans="1:8" x14ac:dyDescent="0.3">
      <c r="A10" s="5">
        <v>1</v>
      </c>
      <c r="B10" s="5" t="s">
        <v>214</v>
      </c>
      <c r="C10" s="5" t="s">
        <v>28</v>
      </c>
      <c r="D10" s="5">
        <v>2021</v>
      </c>
      <c r="E10" s="5">
        <v>7</v>
      </c>
      <c r="F10" s="5">
        <v>20971192</v>
      </c>
      <c r="G10" s="5">
        <v>18804495.460000001</v>
      </c>
      <c r="H10" s="5">
        <v>0.1033</v>
      </c>
    </row>
    <row r="11" spans="1:8" x14ac:dyDescent="0.3">
      <c r="A11" s="5">
        <v>1</v>
      </c>
      <c r="B11" s="5" t="s">
        <v>214</v>
      </c>
      <c r="C11" s="5" t="s">
        <v>29</v>
      </c>
      <c r="D11" s="5">
        <v>2021</v>
      </c>
      <c r="E11" s="5">
        <v>8</v>
      </c>
      <c r="F11" s="5">
        <v>21807094</v>
      </c>
      <c r="G11" s="5">
        <v>18694725.25</v>
      </c>
      <c r="H11" s="5">
        <v>0.14269999999999999</v>
      </c>
    </row>
    <row r="12" spans="1:8" x14ac:dyDescent="0.3">
      <c r="A12" s="5">
        <v>1</v>
      </c>
      <c r="B12" s="5" t="s">
        <v>214</v>
      </c>
      <c r="C12" s="5" t="s">
        <v>30</v>
      </c>
      <c r="D12" s="5">
        <v>2021</v>
      </c>
      <c r="E12" s="5">
        <v>9</v>
      </c>
      <c r="F12" s="5">
        <v>22562520</v>
      </c>
      <c r="G12" s="5">
        <v>20072667.98</v>
      </c>
      <c r="H12" s="5">
        <v>0.1104</v>
      </c>
    </row>
    <row r="13" spans="1:8" x14ac:dyDescent="0.3">
      <c r="A13" s="5">
        <v>1</v>
      </c>
      <c r="B13" s="5" t="s">
        <v>214</v>
      </c>
      <c r="C13" s="5" t="s">
        <v>31</v>
      </c>
      <c r="D13" s="5">
        <v>2021</v>
      </c>
      <c r="E13" s="5">
        <v>10</v>
      </c>
      <c r="F13" s="5">
        <v>33204464</v>
      </c>
      <c r="G13" s="5">
        <v>28787595.100000001</v>
      </c>
      <c r="H13" s="5">
        <v>0.13300000000000001</v>
      </c>
    </row>
    <row r="14" spans="1:8" x14ac:dyDescent="0.3">
      <c r="A14" s="5">
        <v>1</v>
      </c>
      <c r="B14" s="5" t="s">
        <v>214</v>
      </c>
      <c r="C14" s="5" t="s">
        <v>32</v>
      </c>
      <c r="D14" s="5">
        <v>2021</v>
      </c>
      <c r="E14" s="5">
        <v>11</v>
      </c>
      <c r="F14" s="5">
        <v>33878499</v>
      </c>
      <c r="G14" s="5">
        <v>28688733.170000002</v>
      </c>
      <c r="H14" s="5">
        <v>0.1532</v>
      </c>
    </row>
    <row r="15" spans="1:8" x14ac:dyDescent="0.3">
      <c r="A15" s="5">
        <v>1</v>
      </c>
      <c r="B15" s="5" t="s">
        <v>214</v>
      </c>
      <c r="C15" s="5" t="s">
        <v>33</v>
      </c>
      <c r="D15" s="5">
        <v>2021</v>
      </c>
      <c r="E15" s="5">
        <v>12</v>
      </c>
      <c r="F15" s="5">
        <v>30883593</v>
      </c>
      <c r="G15" s="5">
        <v>26252193.239999998</v>
      </c>
      <c r="H15" s="5">
        <v>0.15</v>
      </c>
    </row>
    <row r="16" spans="1:8" x14ac:dyDescent="0.3">
      <c r="A16" s="5">
        <v>1</v>
      </c>
      <c r="B16" s="5" t="s">
        <v>214</v>
      </c>
      <c r="C16" s="5" t="s">
        <v>34</v>
      </c>
      <c r="D16" s="5">
        <v>2022</v>
      </c>
      <c r="E16" s="5">
        <v>1</v>
      </c>
      <c r="F16" s="5">
        <v>25681502</v>
      </c>
      <c r="G16" s="5">
        <v>21852006.559999999</v>
      </c>
      <c r="H16" s="5">
        <v>0.14910000000000001</v>
      </c>
    </row>
    <row r="17" spans="1:8" x14ac:dyDescent="0.3">
      <c r="A17" s="5">
        <v>1</v>
      </c>
      <c r="B17" s="5" t="s">
        <v>214</v>
      </c>
      <c r="C17" s="5" t="s">
        <v>35</v>
      </c>
      <c r="D17" s="5">
        <v>2022</v>
      </c>
      <c r="E17" s="5">
        <v>2</v>
      </c>
      <c r="F17" s="5">
        <v>22272223</v>
      </c>
      <c r="G17" s="5">
        <v>19041837.129999999</v>
      </c>
      <c r="H17" s="5">
        <v>0.14499999999999999</v>
      </c>
    </row>
    <row r="18" spans="1:8" x14ac:dyDescent="0.3">
      <c r="A18" s="5">
        <v>1</v>
      </c>
      <c r="B18" s="5" t="s">
        <v>214</v>
      </c>
      <c r="C18" s="5" t="s">
        <v>36</v>
      </c>
      <c r="D18" s="5">
        <v>2022</v>
      </c>
      <c r="E18" s="5">
        <v>3</v>
      </c>
      <c r="F18" s="5">
        <v>29645935</v>
      </c>
      <c r="G18" s="5">
        <v>26251290.010000002</v>
      </c>
      <c r="H18" s="5">
        <v>0.1145</v>
      </c>
    </row>
    <row r="19" spans="1:8" x14ac:dyDescent="0.3">
      <c r="A19" s="5">
        <v>1</v>
      </c>
      <c r="B19" s="5" t="s">
        <v>214</v>
      </c>
      <c r="C19" s="5" t="s">
        <v>37</v>
      </c>
      <c r="D19" s="5">
        <v>2022</v>
      </c>
      <c r="E19" s="5">
        <v>4</v>
      </c>
      <c r="F19" s="5">
        <v>30640077</v>
      </c>
      <c r="G19" s="5">
        <v>27327104.969999999</v>
      </c>
      <c r="H19" s="5">
        <v>0.1081</v>
      </c>
    </row>
    <row r="20" spans="1:8" x14ac:dyDescent="0.3">
      <c r="A20" s="5">
        <v>1</v>
      </c>
      <c r="B20" s="5" t="s">
        <v>214</v>
      </c>
      <c r="C20" s="5" t="s">
        <v>38</v>
      </c>
      <c r="D20" s="5">
        <v>2022</v>
      </c>
      <c r="E20" s="5">
        <v>5</v>
      </c>
      <c r="F20" s="5">
        <v>30060096</v>
      </c>
      <c r="G20" s="5">
        <v>26558091.960000001</v>
      </c>
      <c r="H20" s="5">
        <v>0.11650000000000001</v>
      </c>
    </row>
    <row r="21" spans="1:8" x14ac:dyDescent="0.3">
      <c r="A21" s="5">
        <v>1</v>
      </c>
      <c r="B21" s="5" t="s">
        <v>214</v>
      </c>
      <c r="C21" s="5" t="s">
        <v>39</v>
      </c>
      <c r="D21" s="5">
        <v>2022</v>
      </c>
      <c r="E21" s="5">
        <v>6</v>
      </c>
      <c r="F21" s="5">
        <v>27513644</v>
      </c>
      <c r="G21" s="5">
        <v>24149787.25</v>
      </c>
      <c r="H21" s="5">
        <v>0.12230000000000001</v>
      </c>
    </row>
    <row r="22" spans="1:8" x14ac:dyDescent="0.3">
      <c r="A22" s="5">
        <v>1</v>
      </c>
      <c r="B22" s="5" t="s">
        <v>214</v>
      </c>
      <c r="C22" s="5" t="s">
        <v>40</v>
      </c>
      <c r="D22" s="5">
        <v>2022</v>
      </c>
      <c r="E22" s="5">
        <v>7</v>
      </c>
      <c r="F22" s="5">
        <v>30507667</v>
      </c>
      <c r="G22" s="5">
        <v>27411540.43</v>
      </c>
      <c r="H22" s="5">
        <v>0.10150000000000001</v>
      </c>
    </row>
    <row r="23" spans="1:8" x14ac:dyDescent="0.3">
      <c r="A23" s="5">
        <v>1</v>
      </c>
      <c r="B23" s="5" t="s">
        <v>214</v>
      </c>
      <c r="C23" s="5" t="s">
        <v>41</v>
      </c>
      <c r="D23" s="5">
        <v>2022</v>
      </c>
      <c r="E23" s="5">
        <v>8</v>
      </c>
      <c r="F23" s="5">
        <v>25828436</v>
      </c>
      <c r="G23" s="5">
        <v>25227745.18</v>
      </c>
      <c r="H23" s="5">
        <v>2.3300000000000001E-2</v>
      </c>
    </row>
    <row r="24" spans="1:8" x14ac:dyDescent="0.3">
      <c r="A24" s="5">
        <v>1</v>
      </c>
      <c r="B24" s="5" t="s">
        <v>214</v>
      </c>
      <c r="C24" s="5" t="s">
        <v>42</v>
      </c>
      <c r="D24" s="5">
        <v>2022</v>
      </c>
      <c r="E24" s="5">
        <v>9</v>
      </c>
      <c r="F24" s="5">
        <v>34583690</v>
      </c>
      <c r="G24" s="5">
        <v>30806340.890000001</v>
      </c>
      <c r="H24" s="5">
        <v>0.10920000000000001</v>
      </c>
    </row>
    <row r="25" spans="1:8" x14ac:dyDescent="0.3">
      <c r="A25" s="5">
        <v>1</v>
      </c>
      <c r="B25" s="5" t="s">
        <v>214</v>
      </c>
      <c r="C25" s="5" t="s">
        <v>43</v>
      </c>
      <c r="D25" s="5">
        <v>2022</v>
      </c>
      <c r="E25" s="5">
        <v>10</v>
      </c>
      <c r="F25" s="5">
        <v>38146360</v>
      </c>
      <c r="G25" s="5">
        <v>35127026.310000002</v>
      </c>
      <c r="H25" s="5">
        <v>7.9200000000000007E-2</v>
      </c>
    </row>
    <row r="26" spans="1:8" x14ac:dyDescent="0.3">
      <c r="A26" s="5">
        <v>1</v>
      </c>
      <c r="B26" s="5" t="s">
        <v>214</v>
      </c>
      <c r="C26" s="5" t="s">
        <v>44</v>
      </c>
      <c r="D26" s="5">
        <v>2022</v>
      </c>
      <c r="E26" s="5">
        <v>11</v>
      </c>
      <c r="F26" s="5">
        <v>42972128</v>
      </c>
      <c r="G26" s="5">
        <v>37618113.899999999</v>
      </c>
      <c r="H26" s="5">
        <v>0.1246</v>
      </c>
    </row>
    <row r="27" spans="1:8" x14ac:dyDescent="0.3">
      <c r="A27" s="5">
        <v>1</v>
      </c>
      <c r="B27" s="5" t="s">
        <v>214</v>
      </c>
      <c r="C27" s="5" t="s">
        <v>45</v>
      </c>
      <c r="D27" s="5">
        <v>2022</v>
      </c>
      <c r="E27" s="5">
        <v>12</v>
      </c>
      <c r="F27" s="5">
        <v>48041741</v>
      </c>
      <c r="G27" s="5">
        <v>40944282.420000002</v>
      </c>
      <c r="H27" s="5">
        <v>0.1477</v>
      </c>
    </row>
    <row r="28" spans="1:8" x14ac:dyDescent="0.3">
      <c r="A28" s="5">
        <v>1</v>
      </c>
      <c r="B28" s="5" t="s">
        <v>214</v>
      </c>
      <c r="C28" s="5" t="s">
        <v>46</v>
      </c>
      <c r="D28" s="5">
        <v>2023</v>
      </c>
      <c r="E28" s="5">
        <v>1</v>
      </c>
      <c r="F28" s="5">
        <v>34261359</v>
      </c>
      <c r="G28" s="5">
        <v>30632542.530000001</v>
      </c>
      <c r="H28" s="5">
        <v>0.10589999999999999</v>
      </c>
    </row>
    <row r="29" spans="1:8" x14ac:dyDescent="0.3">
      <c r="A29" s="5">
        <v>1</v>
      </c>
      <c r="B29" s="5" t="s">
        <v>214</v>
      </c>
      <c r="C29" s="5" t="s">
        <v>47</v>
      </c>
      <c r="D29" s="5">
        <v>2023</v>
      </c>
      <c r="E29" s="5">
        <v>2</v>
      </c>
      <c r="F29" s="5">
        <v>31781842</v>
      </c>
      <c r="G29" s="5">
        <v>27871132.289999999</v>
      </c>
      <c r="H29" s="5">
        <v>0.123</v>
      </c>
    </row>
    <row r="30" spans="1:8" x14ac:dyDescent="0.3">
      <c r="A30" s="5">
        <v>1</v>
      </c>
      <c r="B30" s="5" t="s">
        <v>214</v>
      </c>
      <c r="C30" s="5" t="s">
        <v>48</v>
      </c>
      <c r="D30" s="5">
        <v>2023</v>
      </c>
      <c r="E30" s="5">
        <v>3</v>
      </c>
      <c r="F30" s="5">
        <v>37888998</v>
      </c>
      <c r="G30" s="5">
        <v>34111480.289999999</v>
      </c>
      <c r="H30" s="5">
        <v>9.9699999999999997E-2</v>
      </c>
    </row>
    <row r="31" spans="1:8" x14ac:dyDescent="0.3">
      <c r="A31" s="5">
        <v>1</v>
      </c>
      <c r="B31" s="5" t="s">
        <v>214</v>
      </c>
      <c r="C31" s="5" t="s">
        <v>49</v>
      </c>
      <c r="D31" s="5">
        <v>2023</v>
      </c>
      <c r="E31" s="5">
        <v>4</v>
      </c>
      <c r="F31" s="5">
        <v>36566596</v>
      </c>
      <c r="G31" s="5">
        <v>33478630.379999999</v>
      </c>
      <c r="H31" s="5">
        <v>8.4400000000000003E-2</v>
      </c>
    </row>
    <row r="32" spans="1:8" x14ac:dyDescent="0.3">
      <c r="A32" s="5">
        <v>1</v>
      </c>
      <c r="B32" s="5" t="s">
        <v>214</v>
      </c>
      <c r="C32" s="5" t="s">
        <v>50</v>
      </c>
      <c r="D32" s="5">
        <v>2023</v>
      </c>
      <c r="E32" s="5">
        <v>5</v>
      </c>
      <c r="F32" s="5">
        <v>37043496</v>
      </c>
      <c r="G32" s="5">
        <v>33335393.460000001</v>
      </c>
      <c r="H32" s="5">
        <v>0.10009999999999999</v>
      </c>
    </row>
    <row r="33" spans="1:8" x14ac:dyDescent="0.3">
      <c r="A33" s="5">
        <v>1</v>
      </c>
      <c r="B33" s="5" t="s">
        <v>214</v>
      </c>
      <c r="C33" s="5" t="s">
        <v>51</v>
      </c>
      <c r="D33" s="5">
        <v>2023</v>
      </c>
      <c r="E33" s="5">
        <v>6</v>
      </c>
      <c r="F33" s="5">
        <v>44308012</v>
      </c>
      <c r="G33" s="5">
        <v>39020556.530000001</v>
      </c>
      <c r="H33" s="5">
        <v>0.1193</v>
      </c>
    </row>
    <row r="34" spans="1:8" x14ac:dyDescent="0.3">
      <c r="A34" s="5">
        <v>1</v>
      </c>
      <c r="B34" s="5" t="s">
        <v>214</v>
      </c>
      <c r="C34" s="5" t="s">
        <v>52</v>
      </c>
      <c r="D34" s="5">
        <v>2023</v>
      </c>
      <c r="E34" s="5">
        <v>7</v>
      </c>
      <c r="F34" s="5">
        <v>34962884</v>
      </c>
      <c r="G34" s="5">
        <v>31323000.940000001</v>
      </c>
      <c r="H34" s="5">
        <v>0.1041</v>
      </c>
    </row>
    <row r="35" spans="1:8" x14ac:dyDescent="0.3">
      <c r="A35" s="5">
        <v>1</v>
      </c>
      <c r="B35" s="5" t="s">
        <v>214</v>
      </c>
      <c r="C35" s="5" t="s">
        <v>53</v>
      </c>
      <c r="D35" s="5">
        <v>2023</v>
      </c>
      <c r="E35" s="5">
        <v>8</v>
      </c>
      <c r="F35" s="5">
        <v>38693066</v>
      </c>
      <c r="G35" s="5">
        <v>34874390.189999998</v>
      </c>
      <c r="H35" s="5">
        <v>9.8699999999999996E-2</v>
      </c>
    </row>
    <row r="36" spans="1:8" x14ac:dyDescent="0.3">
      <c r="A36" s="5">
        <v>1</v>
      </c>
      <c r="B36" s="5" t="s">
        <v>214</v>
      </c>
      <c r="C36" s="5" t="s">
        <v>54</v>
      </c>
      <c r="D36" s="5">
        <v>2023</v>
      </c>
      <c r="E36" s="5">
        <v>9</v>
      </c>
      <c r="F36" s="5">
        <v>39308439</v>
      </c>
      <c r="G36" s="5">
        <v>36203035.049999997</v>
      </c>
      <c r="H36" s="5">
        <v>7.9000000000000001E-2</v>
      </c>
    </row>
    <row r="37" spans="1:8" x14ac:dyDescent="0.3">
      <c r="A37" s="5">
        <v>1</v>
      </c>
      <c r="B37" s="5" t="s">
        <v>214</v>
      </c>
      <c r="C37" s="5" t="s">
        <v>55</v>
      </c>
      <c r="D37" s="5">
        <v>2023</v>
      </c>
      <c r="E37" s="5">
        <v>10</v>
      </c>
      <c r="F37" s="5">
        <v>51471565</v>
      </c>
      <c r="G37" s="5">
        <v>45552338.560000002</v>
      </c>
      <c r="H37" s="5">
        <v>0.115</v>
      </c>
    </row>
    <row r="38" spans="1:8" x14ac:dyDescent="0.3">
      <c r="A38" s="5">
        <v>1</v>
      </c>
      <c r="B38" s="5" t="s">
        <v>214</v>
      </c>
      <c r="C38" s="5" t="s">
        <v>56</v>
      </c>
      <c r="D38" s="5">
        <v>2023</v>
      </c>
      <c r="E38" s="5">
        <v>11</v>
      </c>
      <c r="F38" s="5">
        <v>52789071</v>
      </c>
      <c r="G38" s="5">
        <v>47888622.32</v>
      </c>
      <c r="H38" s="5">
        <v>9.2799999999999994E-2</v>
      </c>
    </row>
    <row r="39" spans="1:8" x14ac:dyDescent="0.3">
      <c r="A39" s="5">
        <v>1</v>
      </c>
      <c r="B39" s="5" t="s">
        <v>214</v>
      </c>
      <c r="C39" s="5" t="s">
        <v>57</v>
      </c>
      <c r="D39" s="5">
        <v>2023</v>
      </c>
      <c r="E39" s="5">
        <v>12</v>
      </c>
      <c r="F39" s="5">
        <v>55037409</v>
      </c>
      <c r="G39" s="5">
        <v>50786180.100000001</v>
      </c>
      <c r="H39" s="5">
        <v>7.7200000000000005E-2</v>
      </c>
    </row>
    <row r="40" spans="1:8" x14ac:dyDescent="0.3">
      <c r="A40" s="5">
        <v>1</v>
      </c>
      <c r="B40" s="5" t="s">
        <v>214</v>
      </c>
      <c r="C40" s="5" t="s">
        <v>58</v>
      </c>
      <c r="D40" s="5">
        <v>2024</v>
      </c>
      <c r="E40" s="5">
        <v>1</v>
      </c>
      <c r="F40" s="5">
        <v>40114239</v>
      </c>
      <c r="G40" s="5">
        <v>36105005.399999999</v>
      </c>
      <c r="H40" s="5">
        <v>9.9900000000000003E-2</v>
      </c>
    </row>
    <row r="41" spans="1:8" x14ac:dyDescent="0.3">
      <c r="A41" s="5">
        <v>1</v>
      </c>
      <c r="B41" s="5" t="s">
        <v>214</v>
      </c>
      <c r="C41" s="5" t="s">
        <v>59</v>
      </c>
      <c r="D41" s="5">
        <v>2024</v>
      </c>
      <c r="E41" s="5">
        <v>2</v>
      </c>
      <c r="F41" s="5">
        <v>33662731</v>
      </c>
      <c r="G41" s="5">
        <v>29485245.34</v>
      </c>
      <c r="H41" s="5">
        <v>0.1241</v>
      </c>
    </row>
    <row r="42" spans="1:8" x14ac:dyDescent="0.3">
      <c r="A42" s="5">
        <v>1</v>
      </c>
      <c r="B42" s="5" t="s">
        <v>214</v>
      </c>
      <c r="C42" s="5" t="s">
        <v>60</v>
      </c>
      <c r="D42" s="5">
        <v>2024</v>
      </c>
      <c r="E42" s="5">
        <v>3</v>
      </c>
      <c r="F42" s="5">
        <v>38908888</v>
      </c>
      <c r="G42" s="5">
        <v>34425655.93</v>
      </c>
      <c r="H42" s="5">
        <v>0.1152</v>
      </c>
    </row>
    <row r="43" spans="1:8" x14ac:dyDescent="0.3">
      <c r="A43" s="5">
        <v>1</v>
      </c>
      <c r="B43" s="5" t="s">
        <v>214</v>
      </c>
      <c r="C43" s="5" t="s">
        <v>61</v>
      </c>
      <c r="D43" s="5">
        <v>2024</v>
      </c>
      <c r="E43" s="5">
        <v>4</v>
      </c>
      <c r="F43" s="5">
        <v>44050467</v>
      </c>
      <c r="G43" s="5">
        <v>39172230.479999997</v>
      </c>
      <c r="H43" s="5">
        <v>0.11070000000000001</v>
      </c>
    </row>
    <row r="44" spans="1:8" x14ac:dyDescent="0.3">
      <c r="A44" s="5">
        <v>1</v>
      </c>
      <c r="B44" s="5" t="s">
        <v>214</v>
      </c>
      <c r="C44" s="5" t="s">
        <v>62</v>
      </c>
      <c r="D44" s="5">
        <v>2024</v>
      </c>
      <c r="E44" s="5">
        <v>5</v>
      </c>
      <c r="F44" s="5">
        <v>44120994</v>
      </c>
      <c r="G44" s="5">
        <v>39385783.710000001</v>
      </c>
      <c r="H44" s="5">
        <v>0.10730000000000001</v>
      </c>
    </row>
    <row r="45" spans="1:8" x14ac:dyDescent="0.3">
      <c r="A45" s="5">
        <v>1</v>
      </c>
      <c r="B45" s="5" t="s">
        <v>214</v>
      </c>
      <c r="C45" s="5" t="s">
        <v>63</v>
      </c>
      <c r="D45" s="5">
        <v>2024</v>
      </c>
      <c r="E45" s="5">
        <v>6</v>
      </c>
      <c r="F45" s="5">
        <v>45023317</v>
      </c>
      <c r="G45" s="5">
        <v>38096871.700000003</v>
      </c>
      <c r="H45" s="5">
        <v>0.15379999999999999</v>
      </c>
    </row>
    <row r="46" spans="1:8" x14ac:dyDescent="0.3">
      <c r="A46" s="5">
        <v>1</v>
      </c>
      <c r="B46" s="5" t="s">
        <v>214</v>
      </c>
      <c r="C46" s="5" t="s">
        <v>64</v>
      </c>
      <c r="D46" s="5">
        <v>2024</v>
      </c>
      <c r="E46" s="5">
        <v>7</v>
      </c>
      <c r="F46" s="5">
        <v>42686340</v>
      </c>
      <c r="G46" s="5">
        <v>36967033.799999997</v>
      </c>
      <c r="H46" s="5">
        <v>0.13400000000000001</v>
      </c>
    </row>
    <row r="47" spans="1:8" x14ac:dyDescent="0.3">
      <c r="A47" s="5">
        <v>1</v>
      </c>
      <c r="B47" s="5" t="s">
        <v>214</v>
      </c>
      <c r="C47" s="5" t="s">
        <v>65</v>
      </c>
      <c r="D47" s="5">
        <v>2024</v>
      </c>
      <c r="E47" s="5">
        <v>8</v>
      </c>
      <c r="F47" s="5">
        <v>38445096</v>
      </c>
      <c r="G47" s="5">
        <v>33621977.359999999</v>
      </c>
      <c r="H47" s="5">
        <v>0.1255</v>
      </c>
    </row>
    <row r="48" spans="1:8" x14ac:dyDescent="0.3">
      <c r="A48" s="5">
        <v>1</v>
      </c>
      <c r="B48" s="5" t="s">
        <v>214</v>
      </c>
      <c r="C48" s="5" t="s">
        <v>66</v>
      </c>
      <c r="D48" s="5">
        <v>2024</v>
      </c>
      <c r="E48" s="5">
        <v>9</v>
      </c>
      <c r="F48" s="5">
        <v>45024418</v>
      </c>
      <c r="G48" s="5">
        <v>37909678.619999997</v>
      </c>
      <c r="H48" s="5">
        <v>0.158</v>
      </c>
    </row>
    <row r="49" spans="1:8" x14ac:dyDescent="0.3">
      <c r="A49" s="5">
        <v>1</v>
      </c>
      <c r="B49" s="5" t="s">
        <v>214</v>
      </c>
      <c r="C49" s="5" t="s">
        <v>67</v>
      </c>
      <c r="D49" s="5">
        <v>2024</v>
      </c>
      <c r="E49" s="5">
        <v>10</v>
      </c>
      <c r="F49" s="5">
        <v>63929317</v>
      </c>
      <c r="G49" s="5">
        <v>52331082.060000002</v>
      </c>
      <c r="H49" s="5">
        <v>0.18140000000000001</v>
      </c>
    </row>
    <row r="50" spans="1:8" x14ac:dyDescent="0.3">
      <c r="A50" s="5">
        <v>1</v>
      </c>
      <c r="B50" s="5" t="s">
        <v>214</v>
      </c>
      <c r="C50" s="5" t="s">
        <v>68</v>
      </c>
      <c r="D50" s="5">
        <v>2024</v>
      </c>
      <c r="E50" s="5">
        <v>11</v>
      </c>
      <c r="F50" s="5">
        <v>62699863</v>
      </c>
      <c r="G50" s="5">
        <v>53503595.909999996</v>
      </c>
      <c r="H50" s="5">
        <v>0.1467</v>
      </c>
    </row>
    <row r="51" spans="1:8" x14ac:dyDescent="0.3">
      <c r="A51" s="5">
        <v>1</v>
      </c>
      <c r="B51" s="5" t="s">
        <v>214</v>
      </c>
      <c r="C51" s="5" t="s">
        <v>69</v>
      </c>
      <c r="D51" s="5">
        <v>2024</v>
      </c>
      <c r="E51" s="5">
        <v>12</v>
      </c>
      <c r="F51" s="5">
        <v>63225181</v>
      </c>
      <c r="G51" s="5">
        <v>51928996.280000001</v>
      </c>
      <c r="H51" s="5">
        <v>0.1787</v>
      </c>
    </row>
    <row r="52" spans="1:8" x14ac:dyDescent="0.3">
      <c r="A52" s="5">
        <v>2</v>
      </c>
      <c r="B52" s="5" t="s">
        <v>209</v>
      </c>
      <c r="C52" s="5" t="s">
        <v>22</v>
      </c>
      <c r="D52" s="5">
        <v>2021</v>
      </c>
      <c r="E52" s="5">
        <v>1</v>
      </c>
      <c r="F52" s="5">
        <v>32476360</v>
      </c>
      <c r="G52" s="5">
        <v>32056236.27</v>
      </c>
      <c r="H52" s="5">
        <v>1.29E-2</v>
      </c>
    </row>
    <row r="53" spans="1:8" x14ac:dyDescent="0.3">
      <c r="A53" s="5">
        <v>2</v>
      </c>
      <c r="B53" s="5" t="s">
        <v>209</v>
      </c>
      <c r="C53" s="5" t="s">
        <v>23</v>
      </c>
      <c r="D53" s="5">
        <v>2021</v>
      </c>
      <c r="E53" s="5">
        <v>2</v>
      </c>
      <c r="F53" s="5">
        <v>28442192</v>
      </c>
      <c r="G53" s="5">
        <v>27563921.559999999</v>
      </c>
      <c r="H53" s="5">
        <v>3.09E-2</v>
      </c>
    </row>
    <row r="54" spans="1:8" x14ac:dyDescent="0.3">
      <c r="A54" s="5">
        <v>2</v>
      </c>
      <c r="B54" s="5" t="s">
        <v>209</v>
      </c>
      <c r="C54" s="5" t="s">
        <v>24</v>
      </c>
      <c r="D54" s="5">
        <v>2021</v>
      </c>
      <c r="E54" s="5">
        <v>3</v>
      </c>
      <c r="F54" s="5">
        <v>33175227</v>
      </c>
      <c r="G54" s="5">
        <v>30787458.609999999</v>
      </c>
      <c r="H54" s="5">
        <v>7.1999999999999995E-2</v>
      </c>
    </row>
    <row r="55" spans="1:8" x14ac:dyDescent="0.3">
      <c r="A55" s="5">
        <v>2</v>
      </c>
      <c r="B55" s="5" t="s">
        <v>209</v>
      </c>
      <c r="C55" s="5" t="s">
        <v>25</v>
      </c>
      <c r="D55" s="5">
        <v>2021</v>
      </c>
      <c r="E55" s="5">
        <v>4</v>
      </c>
      <c r="F55" s="5">
        <v>37639167</v>
      </c>
      <c r="G55" s="5">
        <v>36496560.899999999</v>
      </c>
      <c r="H55" s="5">
        <v>3.04E-2</v>
      </c>
    </row>
    <row r="56" spans="1:8" x14ac:dyDescent="0.3">
      <c r="A56" s="5">
        <v>2</v>
      </c>
      <c r="B56" s="5" t="s">
        <v>209</v>
      </c>
      <c r="C56" s="5" t="s">
        <v>26</v>
      </c>
      <c r="D56" s="5">
        <v>2021</v>
      </c>
      <c r="E56" s="5">
        <v>5</v>
      </c>
      <c r="F56" s="5">
        <v>40125357</v>
      </c>
      <c r="G56" s="5">
        <v>38518153.899999999</v>
      </c>
      <c r="H56" s="5">
        <v>4.0099999999999997E-2</v>
      </c>
    </row>
    <row r="57" spans="1:8" x14ac:dyDescent="0.3">
      <c r="A57" s="5">
        <v>2</v>
      </c>
      <c r="B57" s="5" t="s">
        <v>209</v>
      </c>
      <c r="C57" s="5" t="s">
        <v>27</v>
      </c>
      <c r="D57" s="5">
        <v>2021</v>
      </c>
      <c r="E57" s="5">
        <v>6</v>
      </c>
      <c r="F57" s="5">
        <v>37330674</v>
      </c>
      <c r="G57" s="5">
        <v>36064280.82</v>
      </c>
      <c r="H57" s="5">
        <v>3.39E-2</v>
      </c>
    </row>
    <row r="58" spans="1:8" x14ac:dyDescent="0.3">
      <c r="A58" s="5">
        <v>2</v>
      </c>
      <c r="B58" s="5" t="s">
        <v>209</v>
      </c>
      <c r="C58" s="5" t="s">
        <v>28</v>
      </c>
      <c r="D58" s="5">
        <v>2021</v>
      </c>
      <c r="E58" s="5">
        <v>7</v>
      </c>
      <c r="F58" s="5">
        <v>33588200</v>
      </c>
      <c r="G58" s="5">
        <v>32427402.77</v>
      </c>
      <c r="H58" s="5">
        <v>3.4599999999999999E-2</v>
      </c>
    </row>
    <row r="59" spans="1:8" x14ac:dyDescent="0.3">
      <c r="A59" s="5">
        <v>2</v>
      </c>
      <c r="B59" s="5" t="s">
        <v>209</v>
      </c>
      <c r="C59" s="5" t="s">
        <v>29</v>
      </c>
      <c r="D59" s="5">
        <v>2021</v>
      </c>
      <c r="E59" s="5">
        <v>8</v>
      </c>
      <c r="F59" s="5">
        <v>41684122</v>
      </c>
      <c r="G59" s="5">
        <v>38530444.399999999</v>
      </c>
      <c r="H59" s="5">
        <v>7.5700000000000003E-2</v>
      </c>
    </row>
    <row r="60" spans="1:8" x14ac:dyDescent="0.3">
      <c r="A60" s="5">
        <v>2</v>
      </c>
      <c r="B60" s="5" t="s">
        <v>209</v>
      </c>
      <c r="C60" s="5" t="s">
        <v>30</v>
      </c>
      <c r="D60" s="5">
        <v>2021</v>
      </c>
      <c r="E60" s="5">
        <v>9</v>
      </c>
      <c r="F60" s="5">
        <v>37930057</v>
      </c>
      <c r="G60" s="5">
        <v>36424263.450000003</v>
      </c>
      <c r="H60" s="5">
        <v>3.9699999999999999E-2</v>
      </c>
    </row>
    <row r="61" spans="1:8" x14ac:dyDescent="0.3">
      <c r="A61" s="5">
        <v>2</v>
      </c>
      <c r="B61" s="5" t="s">
        <v>209</v>
      </c>
      <c r="C61" s="5" t="s">
        <v>31</v>
      </c>
      <c r="D61" s="5">
        <v>2021</v>
      </c>
      <c r="E61" s="5">
        <v>10</v>
      </c>
      <c r="F61" s="5">
        <v>58137518</v>
      </c>
      <c r="G61" s="5">
        <v>53748631.18</v>
      </c>
      <c r="H61" s="5">
        <v>7.5499999999999998E-2</v>
      </c>
    </row>
    <row r="62" spans="1:8" x14ac:dyDescent="0.3">
      <c r="A62" s="5">
        <v>2</v>
      </c>
      <c r="B62" s="5" t="s">
        <v>209</v>
      </c>
      <c r="C62" s="5" t="s">
        <v>32</v>
      </c>
      <c r="D62" s="5">
        <v>2021</v>
      </c>
      <c r="E62" s="5">
        <v>11</v>
      </c>
      <c r="F62" s="5">
        <v>58557093</v>
      </c>
      <c r="G62" s="5">
        <v>52987616.780000001</v>
      </c>
      <c r="H62" s="5">
        <v>9.5100000000000004E-2</v>
      </c>
    </row>
    <row r="63" spans="1:8" x14ac:dyDescent="0.3">
      <c r="A63" s="5">
        <v>2</v>
      </c>
      <c r="B63" s="5" t="s">
        <v>209</v>
      </c>
      <c r="C63" s="5" t="s">
        <v>33</v>
      </c>
      <c r="D63" s="5">
        <v>2021</v>
      </c>
      <c r="E63" s="5">
        <v>12</v>
      </c>
      <c r="F63" s="5">
        <v>57982330</v>
      </c>
      <c r="G63" s="5">
        <v>53347208.859999999</v>
      </c>
      <c r="H63" s="5">
        <v>7.9899999999999999E-2</v>
      </c>
    </row>
    <row r="64" spans="1:8" x14ac:dyDescent="0.3">
      <c r="A64" s="5">
        <v>2</v>
      </c>
      <c r="B64" s="5" t="s">
        <v>209</v>
      </c>
      <c r="C64" s="5" t="s">
        <v>34</v>
      </c>
      <c r="D64" s="5">
        <v>2022</v>
      </c>
      <c r="E64" s="5">
        <v>1</v>
      </c>
      <c r="F64" s="5">
        <v>41852370</v>
      </c>
      <c r="G64" s="5">
        <v>38717276.369999997</v>
      </c>
      <c r="H64" s="5">
        <v>7.4899999999999994E-2</v>
      </c>
    </row>
    <row r="65" spans="1:8" x14ac:dyDescent="0.3">
      <c r="A65" s="5">
        <v>2</v>
      </c>
      <c r="B65" s="5" t="s">
        <v>209</v>
      </c>
      <c r="C65" s="5" t="s">
        <v>35</v>
      </c>
      <c r="D65" s="5">
        <v>2022</v>
      </c>
      <c r="E65" s="5">
        <v>2</v>
      </c>
      <c r="F65" s="5">
        <v>40395185</v>
      </c>
      <c r="G65" s="5">
        <v>36991453.890000001</v>
      </c>
      <c r="H65" s="5">
        <v>8.43E-2</v>
      </c>
    </row>
    <row r="66" spans="1:8" x14ac:dyDescent="0.3">
      <c r="A66" s="5">
        <v>2</v>
      </c>
      <c r="B66" s="5" t="s">
        <v>209</v>
      </c>
      <c r="C66" s="5" t="s">
        <v>36</v>
      </c>
      <c r="D66" s="5">
        <v>2022</v>
      </c>
      <c r="E66" s="5">
        <v>3</v>
      </c>
      <c r="F66" s="5">
        <v>50661277</v>
      </c>
      <c r="G66" s="5">
        <v>47698446.609999999</v>
      </c>
      <c r="H66" s="5">
        <v>5.8500000000000003E-2</v>
      </c>
    </row>
    <row r="67" spans="1:8" x14ac:dyDescent="0.3">
      <c r="A67" s="5">
        <v>2</v>
      </c>
      <c r="B67" s="5" t="s">
        <v>209</v>
      </c>
      <c r="C67" s="5" t="s">
        <v>37</v>
      </c>
      <c r="D67" s="5">
        <v>2022</v>
      </c>
      <c r="E67" s="5">
        <v>4</v>
      </c>
      <c r="F67" s="5">
        <v>49296606</v>
      </c>
      <c r="G67" s="5">
        <v>46765426.240000002</v>
      </c>
      <c r="H67" s="5">
        <v>5.1299999999999998E-2</v>
      </c>
    </row>
    <row r="68" spans="1:8" x14ac:dyDescent="0.3">
      <c r="A68" s="5">
        <v>2</v>
      </c>
      <c r="B68" s="5" t="s">
        <v>209</v>
      </c>
      <c r="C68" s="5" t="s">
        <v>38</v>
      </c>
      <c r="D68" s="5">
        <v>2022</v>
      </c>
      <c r="E68" s="5">
        <v>5</v>
      </c>
      <c r="F68" s="5">
        <v>55568571</v>
      </c>
      <c r="G68" s="5">
        <v>52915064.159999996</v>
      </c>
      <c r="H68" s="5">
        <v>4.7800000000000002E-2</v>
      </c>
    </row>
    <row r="69" spans="1:8" x14ac:dyDescent="0.3">
      <c r="A69" s="5">
        <v>2</v>
      </c>
      <c r="B69" s="5" t="s">
        <v>209</v>
      </c>
      <c r="C69" s="5" t="s">
        <v>39</v>
      </c>
      <c r="D69" s="5">
        <v>2022</v>
      </c>
      <c r="E69" s="5">
        <v>6</v>
      </c>
      <c r="F69" s="5">
        <v>49100671</v>
      </c>
      <c r="G69" s="5">
        <v>46472285.200000003</v>
      </c>
      <c r="H69" s="5">
        <v>5.3499999999999999E-2</v>
      </c>
    </row>
    <row r="70" spans="1:8" x14ac:dyDescent="0.3">
      <c r="A70" s="5">
        <v>2</v>
      </c>
      <c r="B70" s="5" t="s">
        <v>209</v>
      </c>
      <c r="C70" s="5" t="s">
        <v>40</v>
      </c>
      <c r="D70" s="5">
        <v>2022</v>
      </c>
      <c r="E70" s="5">
        <v>7</v>
      </c>
      <c r="F70" s="5">
        <v>49577018</v>
      </c>
      <c r="G70" s="5">
        <v>48365072.009999998</v>
      </c>
      <c r="H70" s="5">
        <v>2.4400000000000002E-2</v>
      </c>
    </row>
    <row r="71" spans="1:8" x14ac:dyDescent="0.3">
      <c r="A71" s="5">
        <v>2</v>
      </c>
      <c r="B71" s="5" t="s">
        <v>209</v>
      </c>
      <c r="C71" s="5" t="s">
        <v>41</v>
      </c>
      <c r="D71" s="5">
        <v>2022</v>
      </c>
      <c r="E71" s="5">
        <v>8</v>
      </c>
      <c r="F71" s="5">
        <v>50259803</v>
      </c>
      <c r="G71" s="5">
        <v>51362562.189999998</v>
      </c>
      <c r="H71" s="5">
        <v>-2.1899999999999999E-2</v>
      </c>
    </row>
    <row r="72" spans="1:8" x14ac:dyDescent="0.3">
      <c r="A72" s="5">
        <v>2</v>
      </c>
      <c r="B72" s="5" t="s">
        <v>209</v>
      </c>
      <c r="C72" s="5" t="s">
        <v>42</v>
      </c>
      <c r="D72" s="5">
        <v>2022</v>
      </c>
      <c r="E72" s="5">
        <v>9</v>
      </c>
      <c r="F72" s="5">
        <v>57740686</v>
      </c>
      <c r="G72" s="5">
        <v>55290244.399999999</v>
      </c>
      <c r="H72" s="5">
        <v>4.24E-2</v>
      </c>
    </row>
    <row r="73" spans="1:8" x14ac:dyDescent="0.3">
      <c r="A73" s="5">
        <v>2</v>
      </c>
      <c r="B73" s="5" t="s">
        <v>209</v>
      </c>
      <c r="C73" s="5" t="s">
        <v>43</v>
      </c>
      <c r="D73" s="5">
        <v>2022</v>
      </c>
      <c r="E73" s="5">
        <v>10</v>
      </c>
      <c r="F73" s="5">
        <v>71027938</v>
      </c>
      <c r="G73" s="5">
        <v>69461990.359999999</v>
      </c>
      <c r="H73" s="5">
        <v>2.1999999999999999E-2</v>
      </c>
    </row>
    <row r="74" spans="1:8" x14ac:dyDescent="0.3">
      <c r="A74" s="5">
        <v>2</v>
      </c>
      <c r="B74" s="5" t="s">
        <v>209</v>
      </c>
      <c r="C74" s="5" t="s">
        <v>44</v>
      </c>
      <c r="D74" s="5">
        <v>2022</v>
      </c>
      <c r="E74" s="5">
        <v>11</v>
      </c>
      <c r="F74" s="5">
        <v>72178822</v>
      </c>
      <c r="G74" s="5">
        <v>67595792.150000006</v>
      </c>
      <c r="H74" s="5">
        <v>6.3500000000000001E-2</v>
      </c>
    </row>
    <row r="75" spans="1:8" x14ac:dyDescent="0.3">
      <c r="A75" s="5">
        <v>2</v>
      </c>
      <c r="B75" s="5" t="s">
        <v>209</v>
      </c>
      <c r="C75" s="5" t="s">
        <v>45</v>
      </c>
      <c r="D75" s="5">
        <v>2022</v>
      </c>
      <c r="E75" s="5">
        <v>12</v>
      </c>
      <c r="F75" s="5">
        <v>81896280</v>
      </c>
      <c r="G75" s="5">
        <v>74436777.810000002</v>
      </c>
      <c r="H75" s="5">
        <v>9.11E-2</v>
      </c>
    </row>
    <row r="76" spans="1:8" x14ac:dyDescent="0.3">
      <c r="A76" s="5">
        <v>2</v>
      </c>
      <c r="B76" s="5" t="s">
        <v>209</v>
      </c>
      <c r="C76" s="5" t="s">
        <v>46</v>
      </c>
      <c r="D76" s="5">
        <v>2023</v>
      </c>
      <c r="E76" s="5">
        <v>1</v>
      </c>
      <c r="F76" s="5">
        <v>61832682</v>
      </c>
      <c r="G76" s="5">
        <v>59666816.93</v>
      </c>
      <c r="H76" s="5">
        <v>3.5000000000000003E-2</v>
      </c>
    </row>
    <row r="77" spans="1:8" x14ac:dyDescent="0.3">
      <c r="A77" s="5">
        <v>2</v>
      </c>
      <c r="B77" s="5" t="s">
        <v>209</v>
      </c>
      <c r="C77" s="5" t="s">
        <v>47</v>
      </c>
      <c r="D77" s="5">
        <v>2023</v>
      </c>
      <c r="E77" s="5">
        <v>2</v>
      </c>
      <c r="F77" s="5">
        <v>48880927</v>
      </c>
      <c r="G77" s="5">
        <v>46031582.479999997</v>
      </c>
      <c r="H77" s="5">
        <v>5.8299999999999998E-2</v>
      </c>
    </row>
    <row r="78" spans="1:8" x14ac:dyDescent="0.3">
      <c r="A78" s="5">
        <v>2</v>
      </c>
      <c r="B78" s="5" t="s">
        <v>209</v>
      </c>
      <c r="C78" s="5" t="s">
        <v>48</v>
      </c>
      <c r="D78" s="5">
        <v>2023</v>
      </c>
      <c r="E78" s="5">
        <v>3</v>
      </c>
      <c r="F78" s="5">
        <v>61894344</v>
      </c>
      <c r="G78" s="5">
        <v>58914879.539999999</v>
      </c>
      <c r="H78" s="5">
        <v>4.8099999999999997E-2</v>
      </c>
    </row>
    <row r="79" spans="1:8" x14ac:dyDescent="0.3">
      <c r="A79" s="5">
        <v>2</v>
      </c>
      <c r="B79" s="5" t="s">
        <v>209</v>
      </c>
      <c r="C79" s="5" t="s">
        <v>49</v>
      </c>
      <c r="D79" s="5">
        <v>2023</v>
      </c>
      <c r="E79" s="5">
        <v>4</v>
      </c>
      <c r="F79" s="5">
        <v>66121698</v>
      </c>
      <c r="G79" s="5">
        <v>63480575.700000003</v>
      </c>
      <c r="H79" s="5">
        <v>3.9899999999999998E-2</v>
      </c>
    </row>
    <row r="80" spans="1:8" x14ac:dyDescent="0.3">
      <c r="A80" s="5">
        <v>2</v>
      </c>
      <c r="B80" s="5" t="s">
        <v>209</v>
      </c>
      <c r="C80" s="5" t="s">
        <v>50</v>
      </c>
      <c r="D80" s="5">
        <v>2023</v>
      </c>
      <c r="E80" s="5">
        <v>5</v>
      </c>
      <c r="F80" s="5">
        <v>68789344</v>
      </c>
      <c r="G80" s="5">
        <v>65102638.969999999</v>
      </c>
      <c r="H80" s="5">
        <v>5.3600000000000002E-2</v>
      </c>
    </row>
    <row r="81" spans="1:8" x14ac:dyDescent="0.3">
      <c r="A81" s="5">
        <v>2</v>
      </c>
      <c r="B81" s="5" t="s">
        <v>209</v>
      </c>
      <c r="C81" s="5" t="s">
        <v>51</v>
      </c>
      <c r="D81" s="5">
        <v>2023</v>
      </c>
      <c r="E81" s="5">
        <v>6</v>
      </c>
      <c r="F81" s="5">
        <v>67527904</v>
      </c>
      <c r="G81" s="5">
        <v>62729676.909999996</v>
      </c>
      <c r="H81" s="5">
        <v>7.1099999999999997E-2</v>
      </c>
    </row>
    <row r="82" spans="1:8" x14ac:dyDescent="0.3">
      <c r="A82" s="5">
        <v>2</v>
      </c>
      <c r="B82" s="5" t="s">
        <v>209</v>
      </c>
      <c r="C82" s="5" t="s">
        <v>52</v>
      </c>
      <c r="D82" s="5">
        <v>2023</v>
      </c>
      <c r="E82" s="5">
        <v>7</v>
      </c>
      <c r="F82" s="5">
        <v>65093834</v>
      </c>
      <c r="G82" s="5">
        <v>63250164</v>
      </c>
      <c r="H82" s="5">
        <v>2.8299999999999999E-2</v>
      </c>
    </row>
    <row r="83" spans="1:8" x14ac:dyDescent="0.3">
      <c r="A83" s="5">
        <v>2</v>
      </c>
      <c r="B83" s="5" t="s">
        <v>209</v>
      </c>
      <c r="C83" s="5" t="s">
        <v>53</v>
      </c>
      <c r="D83" s="5">
        <v>2023</v>
      </c>
      <c r="E83" s="5">
        <v>8</v>
      </c>
      <c r="F83" s="5">
        <v>58247254</v>
      </c>
      <c r="G83" s="5">
        <v>56391007.039999999</v>
      </c>
      <c r="H83" s="5">
        <v>3.1899999999999998E-2</v>
      </c>
    </row>
    <row r="84" spans="1:8" x14ac:dyDescent="0.3">
      <c r="A84" s="5">
        <v>2</v>
      </c>
      <c r="B84" s="5" t="s">
        <v>209</v>
      </c>
      <c r="C84" s="5" t="s">
        <v>54</v>
      </c>
      <c r="D84" s="5">
        <v>2023</v>
      </c>
      <c r="E84" s="5">
        <v>9</v>
      </c>
      <c r="F84" s="5">
        <v>76204901</v>
      </c>
      <c r="G84" s="5">
        <v>75060375.349999994</v>
      </c>
      <c r="H84" s="5">
        <v>1.4999999999999999E-2</v>
      </c>
    </row>
    <row r="85" spans="1:8" x14ac:dyDescent="0.3">
      <c r="A85" s="5">
        <v>2</v>
      </c>
      <c r="B85" s="5" t="s">
        <v>209</v>
      </c>
      <c r="C85" s="5" t="s">
        <v>55</v>
      </c>
      <c r="D85" s="5">
        <v>2023</v>
      </c>
      <c r="E85" s="5">
        <v>10</v>
      </c>
      <c r="F85" s="5">
        <v>93320562</v>
      </c>
      <c r="G85" s="5">
        <v>88140489.140000001</v>
      </c>
      <c r="H85" s="5">
        <v>5.5500000000000001E-2</v>
      </c>
    </row>
    <row r="86" spans="1:8" x14ac:dyDescent="0.3">
      <c r="A86" s="5">
        <v>2</v>
      </c>
      <c r="B86" s="5" t="s">
        <v>209</v>
      </c>
      <c r="C86" s="5" t="s">
        <v>56</v>
      </c>
      <c r="D86" s="5">
        <v>2023</v>
      </c>
      <c r="E86" s="5">
        <v>11</v>
      </c>
      <c r="F86" s="5">
        <v>82746778</v>
      </c>
      <c r="G86" s="5">
        <v>80606547.159999996</v>
      </c>
      <c r="H86" s="5">
        <v>2.5899999999999999E-2</v>
      </c>
    </row>
    <row r="87" spans="1:8" x14ac:dyDescent="0.3">
      <c r="A87" s="5">
        <v>2</v>
      </c>
      <c r="B87" s="5" t="s">
        <v>209</v>
      </c>
      <c r="C87" s="5" t="s">
        <v>57</v>
      </c>
      <c r="D87" s="5">
        <v>2023</v>
      </c>
      <c r="E87" s="5">
        <v>12</v>
      </c>
      <c r="F87" s="5">
        <v>91589637</v>
      </c>
      <c r="G87" s="5">
        <v>90138069.430000007</v>
      </c>
      <c r="H87" s="5">
        <v>1.5800000000000002E-2</v>
      </c>
    </row>
    <row r="88" spans="1:8" x14ac:dyDescent="0.3">
      <c r="A88" s="5">
        <v>2</v>
      </c>
      <c r="B88" s="5" t="s">
        <v>209</v>
      </c>
      <c r="C88" s="5" t="s">
        <v>58</v>
      </c>
      <c r="D88" s="5">
        <v>2024</v>
      </c>
      <c r="E88" s="5">
        <v>1</v>
      </c>
      <c r="F88" s="5">
        <v>62438673</v>
      </c>
      <c r="G88" s="5">
        <v>60775757.939999998</v>
      </c>
      <c r="H88" s="5">
        <v>2.6599999999999999E-2</v>
      </c>
    </row>
    <row r="89" spans="1:8" x14ac:dyDescent="0.3">
      <c r="A89" s="5">
        <v>2</v>
      </c>
      <c r="B89" s="5" t="s">
        <v>209</v>
      </c>
      <c r="C89" s="5" t="s">
        <v>59</v>
      </c>
      <c r="D89" s="5">
        <v>2024</v>
      </c>
      <c r="E89" s="5">
        <v>2</v>
      </c>
      <c r="F89" s="5">
        <v>58191724</v>
      </c>
      <c r="G89" s="5">
        <v>54270049.950000003</v>
      </c>
      <c r="H89" s="5">
        <v>6.7400000000000002E-2</v>
      </c>
    </row>
    <row r="90" spans="1:8" x14ac:dyDescent="0.3">
      <c r="A90" s="5">
        <v>2</v>
      </c>
      <c r="B90" s="5" t="s">
        <v>209</v>
      </c>
      <c r="C90" s="5" t="s">
        <v>60</v>
      </c>
      <c r="D90" s="5">
        <v>2024</v>
      </c>
      <c r="E90" s="5">
        <v>3</v>
      </c>
      <c r="F90" s="5">
        <v>71168011</v>
      </c>
      <c r="G90" s="5">
        <v>67271613.109999999</v>
      </c>
      <c r="H90" s="5">
        <v>5.4699999999999999E-2</v>
      </c>
    </row>
    <row r="91" spans="1:8" x14ac:dyDescent="0.3">
      <c r="A91" s="5">
        <v>2</v>
      </c>
      <c r="B91" s="5" t="s">
        <v>209</v>
      </c>
      <c r="C91" s="5" t="s">
        <v>61</v>
      </c>
      <c r="D91" s="5">
        <v>2024</v>
      </c>
      <c r="E91" s="5">
        <v>4</v>
      </c>
      <c r="F91" s="5">
        <v>71852292</v>
      </c>
      <c r="G91" s="5">
        <v>67874765.319999993</v>
      </c>
      <c r="H91" s="5">
        <v>5.5399999999999998E-2</v>
      </c>
    </row>
    <row r="92" spans="1:8" x14ac:dyDescent="0.3">
      <c r="A92" s="5">
        <v>2</v>
      </c>
      <c r="B92" s="5" t="s">
        <v>209</v>
      </c>
      <c r="C92" s="5" t="s">
        <v>62</v>
      </c>
      <c r="D92" s="5">
        <v>2024</v>
      </c>
      <c r="E92" s="5">
        <v>5</v>
      </c>
      <c r="F92" s="5">
        <v>71206966</v>
      </c>
      <c r="G92" s="5">
        <v>68525228.120000005</v>
      </c>
      <c r="H92" s="5">
        <v>3.7699999999999997E-2</v>
      </c>
    </row>
    <row r="93" spans="1:8" x14ac:dyDescent="0.3">
      <c r="A93" s="5">
        <v>2</v>
      </c>
      <c r="B93" s="5" t="s">
        <v>209</v>
      </c>
      <c r="C93" s="5" t="s">
        <v>63</v>
      </c>
      <c r="D93" s="5">
        <v>2024</v>
      </c>
      <c r="E93" s="5">
        <v>6</v>
      </c>
      <c r="F93" s="5">
        <v>77634741</v>
      </c>
      <c r="G93" s="5">
        <v>70930328.400000006</v>
      </c>
      <c r="H93" s="5">
        <v>8.6400000000000005E-2</v>
      </c>
    </row>
    <row r="94" spans="1:8" x14ac:dyDescent="0.3">
      <c r="A94" s="5">
        <v>2</v>
      </c>
      <c r="B94" s="5" t="s">
        <v>209</v>
      </c>
      <c r="C94" s="5" t="s">
        <v>64</v>
      </c>
      <c r="D94" s="5">
        <v>2024</v>
      </c>
      <c r="E94" s="5">
        <v>7</v>
      </c>
      <c r="F94" s="5">
        <v>70152601</v>
      </c>
      <c r="G94" s="5">
        <v>65555516.159999996</v>
      </c>
      <c r="H94" s="5">
        <v>6.5500000000000003E-2</v>
      </c>
    </row>
    <row r="95" spans="1:8" x14ac:dyDescent="0.3">
      <c r="A95" s="5">
        <v>2</v>
      </c>
      <c r="B95" s="5" t="s">
        <v>209</v>
      </c>
      <c r="C95" s="5" t="s">
        <v>65</v>
      </c>
      <c r="D95" s="5">
        <v>2024</v>
      </c>
      <c r="E95" s="5">
        <v>8</v>
      </c>
      <c r="F95" s="5">
        <v>69333699</v>
      </c>
      <c r="G95" s="5">
        <v>64727767.93</v>
      </c>
      <c r="H95" s="5">
        <v>6.6400000000000001E-2</v>
      </c>
    </row>
    <row r="96" spans="1:8" x14ac:dyDescent="0.3">
      <c r="A96" s="5">
        <v>2</v>
      </c>
      <c r="B96" s="5" t="s">
        <v>209</v>
      </c>
      <c r="C96" s="5" t="s">
        <v>66</v>
      </c>
      <c r="D96" s="5">
        <v>2024</v>
      </c>
      <c r="E96" s="5">
        <v>9</v>
      </c>
      <c r="F96" s="5">
        <v>84574112</v>
      </c>
      <c r="G96" s="5">
        <v>75980674.480000004</v>
      </c>
      <c r="H96" s="5">
        <v>0.1016</v>
      </c>
    </row>
    <row r="97" spans="1:8" x14ac:dyDescent="0.3">
      <c r="A97" s="5">
        <v>2</v>
      </c>
      <c r="B97" s="5" t="s">
        <v>209</v>
      </c>
      <c r="C97" s="5" t="s">
        <v>67</v>
      </c>
      <c r="D97" s="5">
        <v>2024</v>
      </c>
      <c r="E97" s="5">
        <v>10</v>
      </c>
      <c r="F97" s="5">
        <v>113137664</v>
      </c>
      <c r="G97" s="5">
        <v>99832030.409999996</v>
      </c>
      <c r="H97" s="5">
        <v>0.1176</v>
      </c>
    </row>
    <row r="98" spans="1:8" x14ac:dyDescent="0.3">
      <c r="A98" s="5">
        <v>2</v>
      </c>
      <c r="B98" s="5" t="s">
        <v>209</v>
      </c>
      <c r="C98" s="5" t="s">
        <v>68</v>
      </c>
      <c r="D98" s="5">
        <v>2024</v>
      </c>
      <c r="E98" s="5">
        <v>11</v>
      </c>
      <c r="F98" s="5">
        <v>105757708</v>
      </c>
      <c r="G98" s="5">
        <v>97528916.609999999</v>
      </c>
      <c r="H98" s="5">
        <v>7.7799999999999994E-2</v>
      </c>
    </row>
    <row r="99" spans="1:8" x14ac:dyDescent="0.3">
      <c r="A99" s="5">
        <v>2</v>
      </c>
      <c r="B99" s="5" t="s">
        <v>209</v>
      </c>
      <c r="C99" s="5" t="s">
        <v>69</v>
      </c>
      <c r="D99" s="5">
        <v>2024</v>
      </c>
      <c r="E99" s="5">
        <v>12</v>
      </c>
      <c r="F99" s="5">
        <v>112723192</v>
      </c>
      <c r="G99" s="5">
        <v>98916357.840000004</v>
      </c>
      <c r="H99" s="5">
        <v>0.1225</v>
      </c>
    </row>
    <row r="100" spans="1:8" x14ac:dyDescent="0.3">
      <c r="A100" s="5">
        <v>3</v>
      </c>
      <c r="B100" s="5" t="s">
        <v>211</v>
      </c>
      <c r="C100" s="5" t="s">
        <v>22</v>
      </c>
      <c r="D100" s="5">
        <v>2021</v>
      </c>
      <c r="E100" s="5">
        <v>1</v>
      </c>
      <c r="F100" s="5">
        <v>22995823</v>
      </c>
      <c r="G100" s="5">
        <v>21144408.27</v>
      </c>
      <c r="H100" s="5">
        <v>8.0500000000000002E-2</v>
      </c>
    </row>
    <row r="101" spans="1:8" x14ac:dyDescent="0.3">
      <c r="A101" s="5">
        <v>3</v>
      </c>
      <c r="B101" s="5" t="s">
        <v>211</v>
      </c>
      <c r="C101" s="5" t="s">
        <v>23</v>
      </c>
      <c r="D101" s="5">
        <v>2021</v>
      </c>
      <c r="E101" s="5">
        <v>2</v>
      </c>
      <c r="F101" s="5">
        <v>20044875</v>
      </c>
      <c r="G101" s="5">
        <v>17866562.370000001</v>
      </c>
      <c r="H101" s="5">
        <v>0.1087</v>
      </c>
    </row>
    <row r="102" spans="1:8" x14ac:dyDescent="0.3">
      <c r="A102" s="5">
        <v>3</v>
      </c>
      <c r="B102" s="5" t="s">
        <v>211</v>
      </c>
      <c r="C102" s="5" t="s">
        <v>24</v>
      </c>
      <c r="D102" s="5">
        <v>2021</v>
      </c>
      <c r="E102" s="5">
        <v>3</v>
      </c>
      <c r="F102" s="5">
        <v>26697739</v>
      </c>
      <c r="G102" s="5">
        <v>22958592.93</v>
      </c>
      <c r="H102" s="5">
        <v>0.1401</v>
      </c>
    </row>
    <row r="103" spans="1:8" x14ac:dyDescent="0.3">
      <c r="A103" s="5">
        <v>3</v>
      </c>
      <c r="B103" s="5" t="s">
        <v>211</v>
      </c>
      <c r="C103" s="5" t="s">
        <v>25</v>
      </c>
      <c r="D103" s="5">
        <v>2021</v>
      </c>
      <c r="E103" s="5">
        <v>4</v>
      </c>
      <c r="F103" s="5">
        <v>26896814</v>
      </c>
      <c r="G103" s="5">
        <v>24056072.059999999</v>
      </c>
      <c r="H103" s="5">
        <v>0.1056</v>
      </c>
    </row>
    <row r="104" spans="1:8" x14ac:dyDescent="0.3">
      <c r="A104" s="5">
        <v>3</v>
      </c>
      <c r="B104" s="5" t="s">
        <v>211</v>
      </c>
      <c r="C104" s="5" t="s">
        <v>26</v>
      </c>
      <c r="D104" s="5">
        <v>2021</v>
      </c>
      <c r="E104" s="5">
        <v>5</v>
      </c>
      <c r="F104" s="5">
        <v>33714641</v>
      </c>
      <c r="G104" s="5">
        <v>30381318.050000001</v>
      </c>
      <c r="H104" s="5">
        <v>9.8900000000000002E-2</v>
      </c>
    </row>
    <row r="105" spans="1:8" x14ac:dyDescent="0.3">
      <c r="A105" s="5">
        <v>3</v>
      </c>
      <c r="B105" s="5" t="s">
        <v>211</v>
      </c>
      <c r="C105" s="5" t="s">
        <v>27</v>
      </c>
      <c r="D105" s="5">
        <v>2021</v>
      </c>
      <c r="E105" s="5">
        <v>6</v>
      </c>
      <c r="F105" s="5">
        <v>25221634</v>
      </c>
      <c r="G105" s="5">
        <v>22320011.510000002</v>
      </c>
      <c r="H105" s="5">
        <v>0.115</v>
      </c>
    </row>
    <row r="106" spans="1:8" x14ac:dyDescent="0.3">
      <c r="A106" s="5">
        <v>3</v>
      </c>
      <c r="B106" s="5" t="s">
        <v>211</v>
      </c>
      <c r="C106" s="5" t="s">
        <v>28</v>
      </c>
      <c r="D106" s="5">
        <v>2021</v>
      </c>
      <c r="E106" s="5">
        <v>7</v>
      </c>
      <c r="F106" s="5">
        <v>25100239</v>
      </c>
      <c r="G106" s="5">
        <v>22126000.57</v>
      </c>
      <c r="H106" s="5">
        <v>0.11849999999999999</v>
      </c>
    </row>
    <row r="107" spans="1:8" x14ac:dyDescent="0.3">
      <c r="A107" s="5">
        <v>3</v>
      </c>
      <c r="B107" s="5" t="s">
        <v>211</v>
      </c>
      <c r="C107" s="5" t="s">
        <v>29</v>
      </c>
      <c r="D107" s="5">
        <v>2021</v>
      </c>
      <c r="E107" s="5">
        <v>8</v>
      </c>
      <c r="F107" s="5">
        <v>31629766</v>
      </c>
      <c r="G107" s="5">
        <v>27167445.239999998</v>
      </c>
      <c r="H107" s="5">
        <v>0.1411</v>
      </c>
    </row>
    <row r="108" spans="1:8" x14ac:dyDescent="0.3">
      <c r="A108" s="5">
        <v>3</v>
      </c>
      <c r="B108" s="5" t="s">
        <v>211</v>
      </c>
      <c r="C108" s="5" t="s">
        <v>30</v>
      </c>
      <c r="D108" s="5">
        <v>2021</v>
      </c>
      <c r="E108" s="5">
        <v>9</v>
      </c>
      <c r="F108" s="5">
        <v>29208843</v>
      </c>
      <c r="G108" s="5">
        <v>26014080.489999998</v>
      </c>
      <c r="H108" s="5">
        <v>0.1094</v>
      </c>
    </row>
    <row r="109" spans="1:8" x14ac:dyDescent="0.3">
      <c r="A109" s="5">
        <v>3</v>
      </c>
      <c r="B109" s="5" t="s">
        <v>211</v>
      </c>
      <c r="C109" s="5" t="s">
        <v>31</v>
      </c>
      <c r="D109" s="5">
        <v>2021</v>
      </c>
      <c r="E109" s="5">
        <v>10</v>
      </c>
      <c r="F109" s="5">
        <v>43628702</v>
      </c>
      <c r="G109" s="5">
        <v>37417128.57</v>
      </c>
      <c r="H109" s="5">
        <v>0.1424</v>
      </c>
    </row>
    <row r="110" spans="1:8" x14ac:dyDescent="0.3">
      <c r="A110" s="5">
        <v>3</v>
      </c>
      <c r="B110" s="5" t="s">
        <v>211</v>
      </c>
      <c r="C110" s="5" t="s">
        <v>32</v>
      </c>
      <c r="D110" s="5">
        <v>2021</v>
      </c>
      <c r="E110" s="5">
        <v>11</v>
      </c>
      <c r="F110" s="5">
        <v>38636974</v>
      </c>
      <c r="G110" s="5">
        <v>32731731.960000001</v>
      </c>
      <c r="H110" s="5">
        <v>0.15279999999999999</v>
      </c>
    </row>
    <row r="111" spans="1:8" x14ac:dyDescent="0.3">
      <c r="A111" s="5">
        <v>3</v>
      </c>
      <c r="B111" s="5" t="s">
        <v>211</v>
      </c>
      <c r="C111" s="5" t="s">
        <v>33</v>
      </c>
      <c r="D111" s="5">
        <v>2021</v>
      </c>
      <c r="E111" s="5">
        <v>12</v>
      </c>
      <c r="F111" s="5">
        <v>38611687</v>
      </c>
      <c r="G111" s="5">
        <v>33261725.449999999</v>
      </c>
      <c r="H111" s="5">
        <v>0.1386</v>
      </c>
    </row>
    <row r="112" spans="1:8" x14ac:dyDescent="0.3">
      <c r="A112" s="5">
        <v>3</v>
      </c>
      <c r="B112" s="5" t="s">
        <v>211</v>
      </c>
      <c r="C112" s="5" t="s">
        <v>34</v>
      </c>
      <c r="D112" s="5">
        <v>2022</v>
      </c>
      <c r="E112" s="5">
        <v>1</v>
      </c>
      <c r="F112" s="5">
        <v>36819360</v>
      </c>
      <c r="G112" s="5">
        <v>31401748.100000001</v>
      </c>
      <c r="H112" s="5">
        <v>0.14710000000000001</v>
      </c>
    </row>
    <row r="113" spans="1:8" x14ac:dyDescent="0.3">
      <c r="A113" s="5">
        <v>3</v>
      </c>
      <c r="B113" s="5" t="s">
        <v>211</v>
      </c>
      <c r="C113" s="5" t="s">
        <v>35</v>
      </c>
      <c r="D113" s="5">
        <v>2022</v>
      </c>
      <c r="E113" s="5">
        <v>2</v>
      </c>
      <c r="F113" s="5">
        <v>29996330</v>
      </c>
      <c r="G113" s="5">
        <v>25657512.559999999</v>
      </c>
      <c r="H113" s="5">
        <v>0.14460000000000001</v>
      </c>
    </row>
    <row r="114" spans="1:8" x14ac:dyDescent="0.3">
      <c r="A114" s="5">
        <v>3</v>
      </c>
      <c r="B114" s="5" t="s">
        <v>211</v>
      </c>
      <c r="C114" s="5" t="s">
        <v>36</v>
      </c>
      <c r="D114" s="5">
        <v>2022</v>
      </c>
      <c r="E114" s="5">
        <v>3</v>
      </c>
      <c r="F114" s="5">
        <v>39370030</v>
      </c>
      <c r="G114" s="5">
        <v>34359397.640000001</v>
      </c>
      <c r="H114" s="5">
        <v>0.1273</v>
      </c>
    </row>
    <row r="115" spans="1:8" x14ac:dyDescent="0.3">
      <c r="A115" s="5">
        <v>3</v>
      </c>
      <c r="B115" s="5" t="s">
        <v>211</v>
      </c>
      <c r="C115" s="5" t="s">
        <v>37</v>
      </c>
      <c r="D115" s="5">
        <v>2022</v>
      </c>
      <c r="E115" s="5">
        <v>4</v>
      </c>
      <c r="F115" s="5">
        <v>40669041</v>
      </c>
      <c r="G115" s="5">
        <v>36436131.119999997</v>
      </c>
      <c r="H115" s="5">
        <v>0.1041</v>
      </c>
    </row>
    <row r="116" spans="1:8" x14ac:dyDescent="0.3">
      <c r="A116" s="5">
        <v>3</v>
      </c>
      <c r="B116" s="5" t="s">
        <v>211</v>
      </c>
      <c r="C116" s="5" t="s">
        <v>38</v>
      </c>
      <c r="D116" s="5">
        <v>2022</v>
      </c>
      <c r="E116" s="5">
        <v>5</v>
      </c>
      <c r="F116" s="5">
        <v>43178686</v>
      </c>
      <c r="G116" s="5">
        <v>38794774.460000001</v>
      </c>
      <c r="H116" s="5">
        <v>0.10150000000000001</v>
      </c>
    </row>
    <row r="117" spans="1:8" x14ac:dyDescent="0.3">
      <c r="A117" s="5">
        <v>3</v>
      </c>
      <c r="B117" s="5" t="s">
        <v>211</v>
      </c>
      <c r="C117" s="5" t="s">
        <v>39</v>
      </c>
      <c r="D117" s="5">
        <v>2022</v>
      </c>
      <c r="E117" s="5">
        <v>6</v>
      </c>
      <c r="F117" s="5">
        <v>42039866</v>
      </c>
      <c r="G117" s="5">
        <v>37090770.509999998</v>
      </c>
      <c r="H117" s="5">
        <v>0.1177</v>
      </c>
    </row>
    <row r="118" spans="1:8" x14ac:dyDescent="0.3">
      <c r="A118" s="5">
        <v>3</v>
      </c>
      <c r="B118" s="5" t="s">
        <v>211</v>
      </c>
      <c r="C118" s="5" t="s">
        <v>40</v>
      </c>
      <c r="D118" s="5">
        <v>2022</v>
      </c>
      <c r="E118" s="5">
        <v>7</v>
      </c>
      <c r="F118" s="5">
        <v>37383846</v>
      </c>
      <c r="G118" s="5">
        <v>33884488.990000002</v>
      </c>
      <c r="H118" s="5">
        <v>9.3600000000000003E-2</v>
      </c>
    </row>
    <row r="119" spans="1:8" x14ac:dyDescent="0.3">
      <c r="A119" s="5">
        <v>3</v>
      </c>
      <c r="B119" s="5" t="s">
        <v>211</v>
      </c>
      <c r="C119" s="5" t="s">
        <v>41</v>
      </c>
      <c r="D119" s="5">
        <v>2022</v>
      </c>
      <c r="E119" s="5">
        <v>8</v>
      </c>
      <c r="F119" s="5">
        <v>37887954</v>
      </c>
      <c r="G119" s="5">
        <v>36971237.090000004</v>
      </c>
      <c r="H119" s="5">
        <v>2.4199999999999999E-2</v>
      </c>
    </row>
    <row r="120" spans="1:8" x14ac:dyDescent="0.3">
      <c r="A120" s="5">
        <v>3</v>
      </c>
      <c r="B120" s="5" t="s">
        <v>211</v>
      </c>
      <c r="C120" s="5" t="s">
        <v>42</v>
      </c>
      <c r="D120" s="5">
        <v>2022</v>
      </c>
      <c r="E120" s="5">
        <v>9</v>
      </c>
      <c r="F120" s="5">
        <v>50951187</v>
      </c>
      <c r="G120" s="5">
        <v>45123245.219999999</v>
      </c>
      <c r="H120" s="5">
        <v>0.1144</v>
      </c>
    </row>
    <row r="121" spans="1:8" x14ac:dyDescent="0.3">
      <c r="A121" s="5">
        <v>3</v>
      </c>
      <c r="B121" s="5" t="s">
        <v>211</v>
      </c>
      <c r="C121" s="5" t="s">
        <v>43</v>
      </c>
      <c r="D121" s="5">
        <v>2022</v>
      </c>
      <c r="E121" s="5">
        <v>10</v>
      </c>
      <c r="F121" s="5">
        <v>54020503</v>
      </c>
      <c r="G121" s="5">
        <v>49593346.130000003</v>
      </c>
      <c r="H121" s="5">
        <v>8.2000000000000003E-2</v>
      </c>
    </row>
    <row r="122" spans="1:8" x14ac:dyDescent="0.3">
      <c r="A122" s="5">
        <v>3</v>
      </c>
      <c r="B122" s="5" t="s">
        <v>211</v>
      </c>
      <c r="C122" s="5" t="s">
        <v>44</v>
      </c>
      <c r="D122" s="5">
        <v>2022</v>
      </c>
      <c r="E122" s="5">
        <v>11</v>
      </c>
      <c r="F122" s="5">
        <v>55199642</v>
      </c>
      <c r="G122" s="5">
        <v>48100024.450000003</v>
      </c>
      <c r="H122" s="5">
        <v>0.12859999999999999</v>
      </c>
    </row>
    <row r="123" spans="1:8" x14ac:dyDescent="0.3">
      <c r="A123" s="5">
        <v>3</v>
      </c>
      <c r="B123" s="5" t="s">
        <v>211</v>
      </c>
      <c r="C123" s="5" t="s">
        <v>45</v>
      </c>
      <c r="D123" s="5">
        <v>2022</v>
      </c>
      <c r="E123" s="5">
        <v>12</v>
      </c>
      <c r="F123" s="5">
        <v>61080879</v>
      </c>
      <c r="G123" s="5">
        <v>51710689.520000003</v>
      </c>
      <c r="H123" s="5">
        <v>0.15340000000000001</v>
      </c>
    </row>
    <row r="124" spans="1:8" x14ac:dyDescent="0.3">
      <c r="A124" s="5">
        <v>3</v>
      </c>
      <c r="B124" s="5" t="s">
        <v>211</v>
      </c>
      <c r="C124" s="5" t="s">
        <v>46</v>
      </c>
      <c r="D124" s="5">
        <v>2023</v>
      </c>
      <c r="E124" s="5">
        <v>1</v>
      </c>
      <c r="F124" s="5">
        <v>44776577</v>
      </c>
      <c r="G124" s="5">
        <v>40325031.759999998</v>
      </c>
      <c r="H124" s="5">
        <v>9.9400000000000002E-2</v>
      </c>
    </row>
    <row r="125" spans="1:8" x14ac:dyDescent="0.3">
      <c r="A125" s="5">
        <v>3</v>
      </c>
      <c r="B125" s="5" t="s">
        <v>211</v>
      </c>
      <c r="C125" s="5" t="s">
        <v>47</v>
      </c>
      <c r="D125" s="5">
        <v>2023</v>
      </c>
      <c r="E125" s="5">
        <v>2</v>
      </c>
      <c r="F125" s="5">
        <v>35885986</v>
      </c>
      <c r="G125" s="5">
        <v>31555516.309999999</v>
      </c>
      <c r="H125" s="5">
        <v>0.1207</v>
      </c>
    </row>
    <row r="126" spans="1:8" x14ac:dyDescent="0.3">
      <c r="A126" s="5">
        <v>3</v>
      </c>
      <c r="B126" s="5" t="s">
        <v>211</v>
      </c>
      <c r="C126" s="5" t="s">
        <v>48</v>
      </c>
      <c r="D126" s="5">
        <v>2023</v>
      </c>
      <c r="E126" s="5">
        <v>3</v>
      </c>
      <c r="F126" s="5">
        <v>46867057</v>
      </c>
      <c r="G126" s="5">
        <v>41478719.5</v>
      </c>
      <c r="H126" s="5">
        <v>0.115</v>
      </c>
    </row>
    <row r="127" spans="1:8" x14ac:dyDescent="0.3">
      <c r="A127" s="5">
        <v>3</v>
      </c>
      <c r="B127" s="5" t="s">
        <v>211</v>
      </c>
      <c r="C127" s="5" t="s">
        <v>49</v>
      </c>
      <c r="D127" s="5">
        <v>2023</v>
      </c>
      <c r="E127" s="5">
        <v>4</v>
      </c>
      <c r="F127" s="5">
        <v>50803627</v>
      </c>
      <c r="G127" s="5">
        <v>45043328.909999996</v>
      </c>
      <c r="H127" s="5">
        <v>0.1134</v>
      </c>
    </row>
    <row r="128" spans="1:8" x14ac:dyDescent="0.3">
      <c r="A128" s="5">
        <v>3</v>
      </c>
      <c r="B128" s="5" t="s">
        <v>211</v>
      </c>
      <c r="C128" s="5" t="s">
        <v>50</v>
      </c>
      <c r="D128" s="5">
        <v>2023</v>
      </c>
      <c r="E128" s="5">
        <v>5</v>
      </c>
      <c r="F128" s="5">
        <v>58916598</v>
      </c>
      <c r="G128" s="5">
        <v>52422989.149999999</v>
      </c>
      <c r="H128" s="5">
        <v>0.11020000000000001</v>
      </c>
    </row>
    <row r="129" spans="1:8" x14ac:dyDescent="0.3">
      <c r="A129" s="5">
        <v>3</v>
      </c>
      <c r="B129" s="5" t="s">
        <v>211</v>
      </c>
      <c r="C129" s="5" t="s">
        <v>51</v>
      </c>
      <c r="D129" s="5">
        <v>2023</v>
      </c>
      <c r="E129" s="5">
        <v>6</v>
      </c>
      <c r="F129" s="5">
        <v>54439682</v>
      </c>
      <c r="G129" s="5">
        <v>47562874.950000003</v>
      </c>
      <c r="H129" s="5">
        <v>0.1263</v>
      </c>
    </row>
    <row r="130" spans="1:8" x14ac:dyDescent="0.3">
      <c r="A130" s="5">
        <v>3</v>
      </c>
      <c r="B130" s="5" t="s">
        <v>211</v>
      </c>
      <c r="C130" s="5" t="s">
        <v>52</v>
      </c>
      <c r="D130" s="5">
        <v>2023</v>
      </c>
      <c r="E130" s="5">
        <v>7</v>
      </c>
      <c r="F130" s="5">
        <v>48534617</v>
      </c>
      <c r="G130" s="5">
        <v>43668342.890000001</v>
      </c>
      <c r="H130" s="5">
        <v>0.1003</v>
      </c>
    </row>
    <row r="131" spans="1:8" x14ac:dyDescent="0.3">
      <c r="A131" s="5">
        <v>3</v>
      </c>
      <c r="B131" s="5" t="s">
        <v>211</v>
      </c>
      <c r="C131" s="5" t="s">
        <v>53</v>
      </c>
      <c r="D131" s="5">
        <v>2023</v>
      </c>
      <c r="E131" s="5">
        <v>8</v>
      </c>
      <c r="F131" s="5">
        <v>51639318</v>
      </c>
      <c r="G131" s="5">
        <v>47260419.490000002</v>
      </c>
      <c r="H131" s="5">
        <v>8.48E-2</v>
      </c>
    </row>
    <row r="132" spans="1:8" x14ac:dyDescent="0.3">
      <c r="A132" s="5">
        <v>3</v>
      </c>
      <c r="B132" s="5" t="s">
        <v>211</v>
      </c>
      <c r="C132" s="5" t="s">
        <v>54</v>
      </c>
      <c r="D132" s="5">
        <v>2023</v>
      </c>
      <c r="E132" s="5">
        <v>9</v>
      </c>
      <c r="F132" s="5">
        <v>57226089</v>
      </c>
      <c r="G132" s="5">
        <v>52316973.640000001</v>
      </c>
      <c r="H132" s="5">
        <v>8.5800000000000001E-2</v>
      </c>
    </row>
    <row r="133" spans="1:8" x14ac:dyDescent="0.3">
      <c r="A133" s="5">
        <v>3</v>
      </c>
      <c r="B133" s="5" t="s">
        <v>211</v>
      </c>
      <c r="C133" s="5" t="s">
        <v>55</v>
      </c>
      <c r="D133" s="5">
        <v>2023</v>
      </c>
      <c r="E133" s="5">
        <v>10</v>
      </c>
      <c r="F133" s="5">
        <v>77584292</v>
      </c>
      <c r="G133" s="5">
        <v>68430169.519999996</v>
      </c>
      <c r="H133" s="5">
        <v>0.11799999999999999</v>
      </c>
    </row>
    <row r="134" spans="1:8" x14ac:dyDescent="0.3">
      <c r="A134" s="5">
        <v>3</v>
      </c>
      <c r="B134" s="5" t="s">
        <v>211</v>
      </c>
      <c r="C134" s="5" t="s">
        <v>56</v>
      </c>
      <c r="D134" s="5">
        <v>2023</v>
      </c>
      <c r="E134" s="5">
        <v>11</v>
      </c>
      <c r="F134" s="5">
        <v>66622362</v>
      </c>
      <c r="G134" s="5">
        <v>60738807.390000001</v>
      </c>
      <c r="H134" s="5">
        <v>8.8300000000000003E-2</v>
      </c>
    </row>
    <row r="135" spans="1:8" x14ac:dyDescent="0.3">
      <c r="A135" s="5">
        <v>3</v>
      </c>
      <c r="B135" s="5" t="s">
        <v>211</v>
      </c>
      <c r="C135" s="5" t="s">
        <v>57</v>
      </c>
      <c r="D135" s="5">
        <v>2023</v>
      </c>
      <c r="E135" s="5">
        <v>12</v>
      </c>
      <c r="F135" s="5">
        <v>71856508</v>
      </c>
      <c r="G135" s="5">
        <v>66967968.390000001</v>
      </c>
      <c r="H135" s="5">
        <v>6.8000000000000005E-2</v>
      </c>
    </row>
    <row r="136" spans="1:8" x14ac:dyDescent="0.3">
      <c r="A136" s="5">
        <v>3</v>
      </c>
      <c r="B136" s="5" t="s">
        <v>211</v>
      </c>
      <c r="C136" s="5" t="s">
        <v>58</v>
      </c>
      <c r="D136" s="5">
        <v>2024</v>
      </c>
      <c r="E136" s="5">
        <v>1</v>
      </c>
      <c r="F136" s="5">
        <v>48200926</v>
      </c>
      <c r="G136" s="5">
        <v>43136533.130000003</v>
      </c>
      <c r="H136" s="5">
        <v>0.1051</v>
      </c>
    </row>
    <row r="137" spans="1:8" x14ac:dyDescent="0.3">
      <c r="A137" s="5">
        <v>3</v>
      </c>
      <c r="B137" s="5" t="s">
        <v>211</v>
      </c>
      <c r="C137" s="5" t="s">
        <v>59</v>
      </c>
      <c r="D137" s="5">
        <v>2024</v>
      </c>
      <c r="E137" s="5">
        <v>2</v>
      </c>
      <c r="F137" s="5">
        <v>42067380</v>
      </c>
      <c r="G137" s="5">
        <v>37155657</v>
      </c>
      <c r="H137" s="5">
        <v>0.1168</v>
      </c>
    </row>
    <row r="138" spans="1:8" x14ac:dyDescent="0.3">
      <c r="A138" s="5">
        <v>3</v>
      </c>
      <c r="B138" s="5" t="s">
        <v>211</v>
      </c>
      <c r="C138" s="5" t="s">
        <v>60</v>
      </c>
      <c r="D138" s="5">
        <v>2024</v>
      </c>
      <c r="E138" s="5">
        <v>3</v>
      </c>
      <c r="F138" s="5">
        <v>50246585</v>
      </c>
      <c r="G138" s="5">
        <v>44453099.700000003</v>
      </c>
      <c r="H138" s="5">
        <v>0.1153</v>
      </c>
    </row>
    <row r="139" spans="1:8" x14ac:dyDescent="0.3">
      <c r="A139" s="5">
        <v>3</v>
      </c>
      <c r="B139" s="5" t="s">
        <v>211</v>
      </c>
      <c r="C139" s="5" t="s">
        <v>61</v>
      </c>
      <c r="D139" s="5">
        <v>2024</v>
      </c>
      <c r="E139" s="5">
        <v>4</v>
      </c>
      <c r="F139" s="5">
        <v>53958379</v>
      </c>
      <c r="G139" s="5">
        <v>47752579.659999996</v>
      </c>
      <c r="H139" s="5">
        <v>0.115</v>
      </c>
    </row>
    <row r="140" spans="1:8" x14ac:dyDescent="0.3">
      <c r="A140" s="5">
        <v>3</v>
      </c>
      <c r="B140" s="5" t="s">
        <v>211</v>
      </c>
      <c r="C140" s="5" t="s">
        <v>62</v>
      </c>
      <c r="D140" s="5">
        <v>2024</v>
      </c>
      <c r="E140" s="5">
        <v>5</v>
      </c>
      <c r="F140" s="5">
        <v>61248349</v>
      </c>
      <c r="G140" s="5">
        <v>55518952.439999998</v>
      </c>
      <c r="H140" s="5">
        <v>9.35E-2</v>
      </c>
    </row>
    <row r="141" spans="1:8" x14ac:dyDescent="0.3">
      <c r="A141" s="5">
        <v>3</v>
      </c>
      <c r="B141" s="5" t="s">
        <v>211</v>
      </c>
      <c r="C141" s="5" t="s">
        <v>63</v>
      </c>
      <c r="D141" s="5">
        <v>2024</v>
      </c>
      <c r="E141" s="5">
        <v>6</v>
      </c>
      <c r="F141" s="5">
        <v>60037678</v>
      </c>
      <c r="G141" s="5">
        <v>51233318.539999999</v>
      </c>
      <c r="H141" s="5">
        <v>0.14660000000000001</v>
      </c>
    </row>
    <row r="142" spans="1:8" x14ac:dyDescent="0.3">
      <c r="A142" s="5">
        <v>3</v>
      </c>
      <c r="B142" s="5" t="s">
        <v>211</v>
      </c>
      <c r="C142" s="5" t="s">
        <v>64</v>
      </c>
      <c r="D142" s="5">
        <v>2024</v>
      </c>
      <c r="E142" s="5">
        <v>7</v>
      </c>
      <c r="F142" s="5">
        <v>54402237</v>
      </c>
      <c r="G142" s="5">
        <v>47380757.829999998</v>
      </c>
      <c r="H142" s="5">
        <v>0.12909999999999999</v>
      </c>
    </row>
    <row r="143" spans="1:8" x14ac:dyDescent="0.3">
      <c r="A143" s="5">
        <v>3</v>
      </c>
      <c r="B143" s="5" t="s">
        <v>211</v>
      </c>
      <c r="C143" s="5" t="s">
        <v>65</v>
      </c>
      <c r="D143" s="5">
        <v>2024</v>
      </c>
      <c r="E143" s="5">
        <v>8</v>
      </c>
      <c r="F143" s="5">
        <v>51191556</v>
      </c>
      <c r="G143" s="5">
        <v>44762064.609999999</v>
      </c>
      <c r="H143" s="5">
        <v>0.12559999999999999</v>
      </c>
    </row>
    <row r="144" spans="1:8" x14ac:dyDescent="0.3">
      <c r="A144" s="5">
        <v>3</v>
      </c>
      <c r="B144" s="5" t="s">
        <v>211</v>
      </c>
      <c r="C144" s="5" t="s">
        <v>66</v>
      </c>
      <c r="D144" s="5">
        <v>2024</v>
      </c>
      <c r="E144" s="5">
        <v>9</v>
      </c>
      <c r="F144" s="5">
        <v>67303802</v>
      </c>
      <c r="G144" s="5">
        <v>56542659.979999997</v>
      </c>
      <c r="H144" s="5">
        <v>0.15989999999999999</v>
      </c>
    </row>
    <row r="145" spans="1:8" x14ac:dyDescent="0.3">
      <c r="A145" s="5">
        <v>3</v>
      </c>
      <c r="B145" s="5" t="s">
        <v>211</v>
      </c>
      <c r="C145" s="5" t="s">
        <v>67</v>
      </c>
      <c r="D145" s="5">
        <v>2024</v>
      </c>
      <c r="E145" s="5">
        <v>10</v>
      </c>
      <c r="F145" s="5">
        <v>88903962</v>
      </c>
      <c r="G145" s="5">
        <v>73197297.859999999</v>
      </c>
      <c r="H145" s="5">
        <v>0.1767</v>
      </c>
    </row>
    <row r="146" spans="1:8" x14ac:dyDescent="0.3">
      <c r="A146" s="5">
        <v>3</v>
      </c>
      <c r="B146" s="5" t="s">
        <v>211</v>
      </c>
      <c r="C146" s="5" t="s">
        <v>68</v>
      </c>
      <c r="D146" s="5">
        <v>2024</v>
      </c>
      <c r="E146" s="5">
        <v>11</v>
      </c>
      <c r="F146" s="5">
        <v>82804647</v>
      </c>
      <c r="G146" s="5">
        <v>71087130.099999994</v>
      </c>
      <c r="H146" s="5">
        <v>0.14149999999999999</v>
      </c>
    </row>
    <row r="147" spans="1:8" x14ac:dyDescent="0.3">
      <c r="A147" s="5">
        <v>3</v>
      </c>
      <c r="B147" s="5" t="s">
        <v>211</v>
      </c>
      <c r="C147" s="5" t="s">
        <v>69</v>
      </c>
      <c r="D147" s="5">
        <v>2024</v>
      </c>
      <c r="E147" s="5">
        <v>12</v>
      </c>
      <c r="F147" s="5">
        <v>79615035</v>
      </c>
      <c r="G147" s="5">
        <v>65245696.369999997</v>
      </c>
      <c r="H147" s="5">
        <v>0.18049999999999999</v>
      </c>
    </row>
    <row r="148" spans="1:8" x14ac:dyDescent="0.3">
      <c r="A148" s="5">
        <v>4</v>
      </c>
      <c r="B148" s="5" t="s">
        <v>218</v>
      </c>
      <c r="C148" s="5" t="s">
        <v>22</v>
      </c>
      <c r="D148" s="5">
        <v>2021</v>
      </c>
      <c r="E148" s="5">
        <v>1</v>
      </c>
      <c r="F148" s="5">
        <v>5148519</v>
      </c>
      <c r="G148" s="5">
        <v>4430046.9400000004</v>
      </c>
      <c r="H148" s="5">
        <v>0.13950000000000001</v>
      </c>
    </row>
    <row r="149" spans="1:8" x14ac:dyDescent="0.3">
      <c r="A149" s="5">
        <v>4</v>
      </c>
      <c r="B149" s="5" t="s">
        <v>218</v>
      </c>
      <c r="C149" s="5" t="s">
        <v>23</v>
      </c>
      <c r="D149" s="5">
        <v>2021</v>
      </c>
      <c r="E149" s="5">
        <v>2</v>
      </c>
      <c r="F149" s="5">
        <v>5281450</v>
      </c>
      <c r="G149" s="5">
        <v>4268080.21</v>
      </c>
      <c r="H149" s="5">
        <v>0.19189999999999999</v>
      </c>
    </row>
    <row r="150" spans="1:8" x14ac:dyDescent="0.3">
      <c r="A150" s="5">
        <v>4</v>
      </c>
      <c r="B150" s="5" t="s">
        <v>218</v>
      </c>
      <c r="C150" s="5" t="s">
        <v>24</v>
      </c>
      <c r="D150" s="5">
        <v>2021</v>
      </c>
      <c r="E150" s="5">
        <v>3</v>
      </c>
      <c r="F150" s="5">
        <v>6113520</v>
      </c>
      <c r="G150" s="5">
        <v>4828417.97</v>
      </c>
      <c r="H150" s="5">
        <v>0.2102</v>
      </c>
    </row>
    <row r="151" spans="1:8" x14ac:dyDescent="0.3">
      <c r="A151" s="5">
        <v>4</v>
      </c>
      <c r="B151" s="5" t="s">
        <v>218</v>
      </c>
      <c r="C151" s="5" t="s">
        <v>25</v>
      </c>
      <c r="D151" s="5">
        <v>2021</v>
      </c>
      <c r="E151" s="5">
        <v>4</v>
      </c>
      <c r="F151" s="5">
        <v>6559835</v>
      </c>
      <c r="G151" s="5">
        <v>5425269.8300000001</v>
      </c>
      <c r="H151" s="5">
        <v>0.17299999999999999</v>
      </c>
    </row>
    <row r="152" spans="1:8" x14ac:dyDescent="0.3">
      <c r="A152" s="5">
        <v>4</v>
      </c>
      <c r="B152" s="5" t="s">
        <v>218</v>
      </c>
      <c r="C152" s="5" t="s">
        <v>26</v>
      </c>
      <c r="D152" s="5">
        <v>2021</v>
      </c>
      <c r="E152" s="5">
        <v>5</v>
      </c>
      <c r="F152" s="5">
        <v>7987698</v>
      </c>
      <c r="G152" s="5">
        <v>6539712.2699999996</v>
      </c>
      <c r="H152" s="5">
        <v>0.18129999999999999</v>
      </c>
    </row>
    <row r="153" spans="1:8" x14ac:dyDescent="0.3">
      <c r="A153" s="5">
        <v>4</v>
      </c>
      <c r="B153" s="5" t="s">
        <v>218</v>
      </c>
      <c r="C153" s="5" t="s">
        <v>27</v>
      </c>
      <c r="D153" s="5">
        <v>2021</v>
      </c>
      <c r="E153" s="5">
        <v>6</v>
      </c>
      <c r="F153" s="5">
        <v>6399345</v>
      </c>
      <c r="G153" s="5">
        <v>5267193.54</v>
      </c>
      <c r="H153" s="5">
        <v>0.1769</v>
      </c>
    </row>
    <row r="154" spans="1:8" x14ac:dyDescent="0.3">
      <c r="A154" s="5">
        <v>4</v>
      </c>
      <c r="B154" s="5" t="s">
        <v>218</v>
      </c>
      <c r="C154" s="5" t="s">
        <v>28</v>
      </c>
      <c r="D154" s="5">
        <v>2021</v>
      </c>
      <c r="E154" s="5">
        <v>7</v>
      </c>
      <c r="F154" s="5">
        <v>6437826</v>
      </c>
      <c r="G154" s="5">
        <v>5391788.0599999996</v>
      </c>
      <c r="H154" s="5">
        <v>0.16250000000000001</v>
      </c>
    </row>
    <row r="155" spans="1:8" x14ac:dyDescent="0.3">
      <c r="A155" s="5">
        <v>4</v>
      </c>
      <c r="B155" s="5" t="s">
        <v>218</v>
      </c>
      <c r="C155" s="5" t="s">
        <v>29</v>
      </c>
      <c r="D155" s="5">
        <v>2021</v>
      </c>
      <c r="E155" s="5">
        <v>8</v>
      </c>
      <c r="F155" s="5">
        <v>6204068</v>
      </c>
      <c r="G155" s="5">
        <v>4909654.21</v>
      </c>
      <c r="H155" s="5">
        <v>0.20860000000000001</v>
      </c>
    </row>
    <row r="156" spans="1:8" x14ac:dyDescent="0.3">
      <c r="A156" s="5">
        <v>4</v>
      </c>
      <c r="B156" s="5" t="s">
        <v>218</v>
      </c>
      <c r="C156" s="5" t="s">
        <v>30</v>
      </c>
      <c r="D156" s="5">
        <v>2021</v>
      </c>
      <c r="E156" s="5">
        <v>9</v>
      </c>
      <c r="F156" s="5">
        <v>6100943</v>
      </c>
      <c r="G156" s="5">
        <v>4986792.42</v>
      </c>
      <c r="H156" s="5">
        <v>0.18260000000000001</v>
      </c>
    </row>
    <row r="157" spans="1:8" x14ac:dyDescent="0.3">
      <c r="A157" s="5">
        <v>4</v>
      </c>
      <c r="B157" s="5" t="s">
        <v>218</v>
      </c>
      <c r="C157" s="5" t="s">
        <v>31</v>
      </c>
      <c r="D157" s="5">
        <v>2021</v>
      </c>
      <c r="E157" s="5">
        <v>10</v>
      </c>
      <c r="F157" s="5">
        <v>10158389</v>
      </c>
      <c r="G157" s="5">
        <v>8067608.4400000004</v>
      </c>
      <c r="H157" s="5">
        <v>0.20580000000000001</v>
      </c>
    </row>
    <row r="158" spans="1:8" x14ac:dyDescent="0.3">
      <c r="A158" s="5">
        <v>4</v>
      </c>
      <c r="B158" s="5" t="s">
        <v>218</v>
      </c>
      <c r="C158" s="5" t="s">
        <v>32</v>
      </c>
      <c r="D158" s="5">
        <v>2021</v>
      </c>
      <c r="E158" s="5">
        <v>11</v>
      </c>
      <c r="F158" s="5">
        <v>9334800</v>
      </c>
      <c r="G158" s="5">
        <v>7300588.0099999998</v>
      </c>
      <c r="H158" s="5">
        <v>0.21790000000000001</v>
      </c>
    </row>
    <row r="159" spans="1:8" x14ac:dyDescent="0.3">
      <c r="A159" s="5">
        <v>4</v>
      </c>
      <c r="B159" s="5" t="s">
        <v>218</v>
      </c>
      <c r="C159" s="5" t="s">
        <v>33</v>
      </c>
      <c r="D159" s="5">
        <v>2021</v>
      </c>
      <c r="E159" s="5">
        <v>12</v>
      </c>
      <c r="F159" s="5">
        <v>9994557</v>
      </c>
      <c r="G159" s="5">
        <v>7857370.7199999997</v>
      </c>
      <c r="H159" s="5">
        <v>0.21379999999999999</v>
      </c>
    </row>
    <row r="160" spans="1:8" x14ac:dyDescent="0.3">
      <c r="A160" s="5">
        <v>4</v>
      </c>
      <c r="B160" s="5" t="s">
        <v>218</v>
      </c>
      <c r="C160" s="5" t="s">
        <v>34</v>
      </c>
      <c r="D160" s="5">
        <v>2022</v>
      </c>
      <c r="E160" s="5">
        <v>1</v>
      </c>
      <c r="F160" s="5">
        <v>8351961</v>
      </c>
      <c r="G160" s="5">
        <v>6554843.4000000004</v>
      </c>
      <c r="H160" s="5">
        <v>0.2152</v>
      </c>
    </row>
    <row r="161" spans="1:8" x14ac:dyDescent="0.3">
      <c r="A161" s="5">
        <v>4</v>
      </c>
      <c r="B161" s="5" t="s">
        <v>218</v>
      </c>
      <c r="C161" s="5" t="s">
        <v>35</v>
      </c>
      <c r="D161" s="5">
        <v>2022</v>
      </c>
      <c r="E161" s="5">
        <v>2</v>
      </c>
      <c r="F161" s="5">
        <v>6213664</v>
      </c>
      <c r="G161" s="5">
        <v>4971492.01</v>
      </c>
      <c r="H161" s="5">
        <v>0.19989999999999999</v>
      </c>
    </row>
    <row r="162" spans="1:8" x14ac:dyDescent="0.3">
      <c r="A162" s="5">
        <v>4</v>
      </c>
      <c r="B162" s="5" t="s">
        <v>218</v>
      </c>
      <c r="C162" s="5" t="s">
        <v>36</v>
      </c>
      <c r="D162" s="5">
        <v>2022</v>
      </c>
      <c r="E162" s="5">
        <v>3</v>
      </c>
      <c r="F162" s="5">
        <v>8672461</v>
      </c>
      <c r="G162" s="5">
        <v>7077758.4000000004</v>
      </c>
      <c r="H162" s="5">
        <v>0.18390000000000001</v>
      </c>
    </row>
    <row r="163" spans="1:8" x14ac:dyDescent="0.3">
      <c r="A163" s="5">
        <v>4</v>
      </c>
      <c r="B163" s="5" t="s">
        <v>218</v>
      </c>
      <c r="C163" s="5" t="s">
        <v>37</v>
      </c>
      <c r="D163" s="5">
        <v>2022</v>
      </c>
      <c r="E163" s="5">
        <v>4</v>
      </c>
      <c r="F163" s="5">
        <v>8819066</v>
      </c>
      <c r="G163" s="5">
        <v>7218459.0199999996</v>
      </c>
      <c r="H163" s="5">
        <v>0.18149999999999999</v>
      </c>
    </row>
    <row r="164" spans="1:8" x14ac:dyDescent="0.3">
      <c r="A164" s="5">
        <v>4</v>
      </c>
      <c r="B164" s="5" t="s">
        <v>218</v>
      </c>
      <c r="C164" s="5" t="s">
        <v>38</v>
      </c>
      <c r="D164" s="5">
        <v>2022</v>
      </c>
      <c r="E164" s="5">
        <v>5</v>
      </c>
      <c r="F164" s="5">
        <v>9508196</v>
      </c>
      <c r="G164" s="5">
        <v>7797931.0599999996</v>
      </c>
      <c r="H164" s="5">
        <v>0.1799</v>
      </c>
    </row>
    <row r="165" spans="1:8" x14ac:dyDescent="0.3">
      <c r="A165" s="5">
        <v>4</v>
      </c>
      <c r="B165" s="5" t="s">
        <v>218</v>
      </c>
      <c r="C165" s="5" t="s">
        <v>39</v>
      </c>
      <c r="D165" s="5">
        <v>2022</v>
      </c>
      <c r="E165" s="5">
        <v>6</v>
      </c>
      <c r="F165" s="5">
        <v>10260134</v>
      </c>
      <c r="G165" s="5">
        <v>8249717.3200000003</v>
      </c>
      <c r="H165" s="5">
        <v>0.19589999999999999</v>
      </c>
    </row>
    <row r="166" spans="1:8" x14ac:dyDescent="0.3">
      <c r="A166" s="5">
        <v>4</v>
      </c>
      <c r="B166" s="5" t="s">
        <v>218</v>
      </c>
      <c r="C166" s="5" t="s">
        <v>40</v>
      </c>
      <c r="D166" s="5">
        <v>2022</v>
      </c>
      <c r="E166" s="5">
        <v>7</v>
      </c>
      <c r="F166" s="5">
        <v>8037097</v>
      </c>
      <c r="G166" s="5">
        <v>6732243.1500000004</v>
      </c>
      <c r="H166" s="5">
        <v>0.16239999999999999</v>
      </c>
    </row>
    <row r="167" spans="1:8" x14ac:dyDescent="0.3">
      <c r="A167" s="5">
        <v>4</v>
      </c>
      <c r="B167" s="5" t="s">
        <v>218</v>
      </c>
      <c r="C167" s="5" t="s">
        <v>41</v>
      </c>
      <c r="D167" s="5">
        <v>2022</v>
      </c>
      <c r="E167" s="5">
        <v>8</v>
      </c>
      <c r="F167" s="5">
        <v>9386599</v>
      </c>
      <c r="G167" s="5">
        <v>8390783.4299999997</v>
      </c>
      <c r="H167" s="5">
        <v>0.1061</v>
      </c>
    </row>
    <row r="168" spans="1:8" x14ac:dyDescent="0.3">
      <c r="A168" s="5">
        <v>4</v>
      </c>
      <c r="B168" s="5" t="s">
        <v>218</v>
      </c>
      <c r="C168" s="5" t="s">
        <v>42</v>
      </c>
      <c r="D168" s="5">
        <v>2022</v>
      </c>
      <c r="E168" s="5">
        <v>9</v>
      </c>
      <c r="F168" s="5">
        <v>10568087</v>
      </c>
      <c r="G168" s="5">
        <v>8616915.2100000009</v>
      </c>
      <c r="H168" s="5">
        <v>0.18459999999999999</v>
      </c>
    </row>
    <row r="169" spans="1:8" x14ac:dyDescent="0.3">
      <c r="A169" s="5">
        <v>4</v>
      </c>
      <c r="B169" s="5" t="s">
        <v>218</v>
      </c>
      <c r="C169" s="5" t="s">
        <v>43</v>
      </c>
      <c r="D169" s="5">
        <v>2022</v>
      </c>
      <c r="E169" s="5">
        <v>10</v>
      </c>
      <c r="F169" s="5">
        <v>11907461</v>
      </c>
      <c r="G169" s="5">
        <v>10069348.75</v>
      </c>
      <c r="H169" s="5">
        <v>0.15440000000000001</v>
      </c>
    </row>
    <row r="170" spans="1:8" x14ac:dyDescent="0.3">
      <c r="A170" s="5">
        <v>4</v>
      </c>
      <c r="B170" s="5" t="s">
        <v>218</v>
      </c>
      <c r="C170" s="5" t="s">
        <v>44</v>
      </c>
      <c r="D170" s="5">
        <v>2022</v>
      </c>
      <c r="E170" s="5">
        <v>11</v>
      </c>
      <c r="F170" s="5">
        <v>12874321</v>
      </c>
      <c r="G170" s="5">
        <v>10388623.77</v>
      </c>
      <c r="H170" s="5">
        <v>0.19309999999999999</v>
      </c>
    </row>
    <row r="171" spans="1:8" x14ac:dyDescent="0.3">
      <c r="A171" s="5">
        <v>4</v>
      </c>
      <c r="B171" s="5" t="s">
        <v>218</v>
      </c>
      <c r="C171" s="5" t="s">
        <v>45</v>
      </c>
      <c r="D171" s="5">
        <v>2022</v>
      </c>
      <c r="E171" s="5">
        <v>12</v>
      </c>
      <c r="F171" s="5">
        <v>13384817</v>
      </c>
      <c r="G171" s="5">
        <v>10579564.49</v>
      </c>
      <c r="H171" s="5">
        <v>0.20960000000000001</v>
      </c>
    </row>
    <row r="172" spans="1:8" x14ac:dyDescent="0.3">
      <c r="A172" s="5">
        <v>4</v>
      </c>
      <c r="B172" s="5" t="s">
        <v>218</v>
      </c>
      <c r="C172" s="5" t="s">
        <v>46</v>
      </c>
      <c r="D172" s="5">
        <v>2023</v>
      </c>
      <c r="E172" s="5">
        <v>1</v>
      </c>
      <c r="F172" s="5">
        <v>10071971</v>
      </c>
      <c r="G172" s="5">
        <v>8379865.54</v>
      </c>
      <c r="H172" s="5">
        <v>0.16800000000000001</v>
      </c>
    </row>
    <row r="173" spans="1:8" x14ac:dyDescent="0.3">
      <c r="A173" s="5">
        <v>4</v>
      </c>
      <c r="B173" s="5" t="s">
        <v>218</v>
      </c>
      <c r="C173" s="5" t="s">
        <v>47</v>
      </c>
      <c r="D173" s="5">
        <v>2023</v>
      </c>
      <c r="E173" s="5">
        <v>2</v>
      </c>
      <c r="F173" s="5">
        <v>8481022</v>
      </c>
      <c r="G173" s="5">
        <v>6797194.6200000001</v>
      </c>
      <c r="H173" s="5">
        <v>0.19850000000000001</v>
      </c>
    </row>
    <row r="174" spans="1:8" x14ac:dyDescent="0.3">
      <c r="A174" s="5">
        <v>4</v>
      </c>
      <c r="B174" s="5" t="s">
        <v>218</v>
      </c>
      <c r="C174" s="5" t="s">
        <v>48</v>
      </c>
      <c r="D174" s="5">
        <v>2023</v>
      </c>
      <c r="E174" s="5">
        <v>3</v>
      </c>
      <c r="F174" s="5">
        <v>11908463</v>
      </c>
      <c r="G174" s="5">
        <v>9701623.8699999992</v>
      </c>
      <c r="H174" s="5">
        <v>0.18529999999999999</v>
      </c>
    </row>
    <row r="175" spans="1:8" x14ac:dyDescent="0.3">
      <c r="A175" s="5">
        <v>4</v>
      </c>
      <c r="B175" s="5" t="s">
        <v>218</v>
      </c>
      <c r="C175" s="5" t="s">
        <v>49</v>
      </c>
      <c r="D175" s="5">
        <v>2023</v>
      </c>
      <c r="E175" s="5">
        <v>4</v>
      </c>
      <c r="F175" s="5">
        <v>10938744</v>
      </c>
      <c r="G175" s="5">
        <v>9023454.1099999994</v>
      </c>
      <c r="H175" s="5">
        <v>0.17510000000000001</v>
      </c>
    </row>
    <row r="176" spans="1:8" x14ac:dyDescent="0.3">
      <c r="A176" s="5">
        <v>4</v>
      </c>
      <c r="B176" s="5" t="s">
        <v>218</v>
      </c>
      <c r="C176" s="5" t="s">
        <v>50</v>
      </c>
      <c r="D176" s="5">
        <v>2023</v>
      </c>
      <c r="E176" s="5">
        <v>5</v>
      </c>
      <c r="F176" s="5">
        <v>11678931</v>
      </c>
      <c r="G176" s="5">
        <v>9597843.0600000005</v>
      </c>
      <c r="H176" s="5">
        <v>0.1782</v>
      </c>
    </row>
    <row r="177" spans="1:8" x14ac:dyDescent="0.3">
      <c r="A177" s="5">
        <v>4</v>
      </c>
      <c r="B177" s="5" t="s">
        <v>218</v>
      </c>
      <c r="C177" s="5" t="s">
        <v>51</v>
      </c>
      <c r="D177" s="5">
        <v>2023</v>
      </c>
      <c r="E177" s="5">
        <v>6</v>
      </c>
      <c r="F177" s="5">
        <v>12607884</v>
      </c>
      <c r="G177" s="5">
        <v>10181406.689999999</v>
      </c>
      <c r="H177" s="5">
        <v>0.1925</v>
      </c>
    </row>
    <row r="178" spans="1:8" x14ac:dyDescent="0.3">
      <c r="A178" s="5">
        <v>4</v>
      </c>
      <c r="B178" s="5" t="s">
        <v>218</v>
      </c>
      <c r="C178" s="5" t="s">
        <v>52</v>
      </c>
      <c r="D178" s="5">
        <v>2023</v>
      </c>
      <c r="E178" s="5">
        <v>7</v>
      </c>
      <c r="F178" s="5">
        <v>11023188</v>
      </c>
      <c r="G178" s="5">
        <v>9243527.0399999991</v>
      </c>
      <c r="H178" s="5">
        <v>0.16139999999999999</v>
      </c>
    </row>
    <row r="179" spans="1:8" x14ac:dyDescent="0.3">
      <c r="A179" s="5">
        <v>4</v>
      </c>
      <c r="B179" s="5" t="s">
        <v>218</v>
      </c>
      <c r="C179" s="5" t="s">
        <v>53</v>
      </c>
      <c r="D179" s="5">
        <v>2023</v>
      </c>
      <c r="E179" s="5">
        <v>8</v>
      </c>
      <c r="F179" s="5">
        <v>10484956</v>
      </c>
      <c r="G179" s="5">
        <v>8637233.3200000003</v>
      </c>
      <c r="H179" s="5">
        <v>0.1762</v>
      </c>
    </row>
    <row r="180" spans="1:8" x14ac:dyDescent="0.3">
      <c r="A180" s="5">
        <v>4</v>
      </c>
      <c r="B180" s="5" t="s">
        <v>218</v>
      </c>
      <c r="C180" s="5" t="s">
        <v>54</v>
      </c>
      <c r="D180" s="5">
        <v>2023</v>
      </c>
      <c r="E180" s="5">
        <v>9</v>
      </c>
      <c r="F180" s="5">
        <v>11605851</v>
      </c>
      <c r="G180" s="5">
        <v>9975189.9499999993</v>
      </c>
      <c r="H180" s="5">
        <v>0.14050000000000001</v>
      </c>
    </row>
    <row r="181" spans="1:8" x14ac:dyDescent="0.3">
      <c r="A181" s="5">
        <v>4</v>
      </c>
      <c r="B181" s="5" t="s">
        <v>218</v>
      </c>
      <c r="C181" s="5" t="s">
        <v>55</v>
      </c>
      <c r="D181" s="5">
        <v>2023</v>
      </c>
      <c r="E181" s="5">
        <v>10</v>
      </c>
      <c r="F181" s="5">
        <v>15589998</v>
      </c>
      <c r="G181" s="5">
        <v>12802221.02</v>
      </c>
      <c r="H181" s="5">
        <v>0.17879999999999999</v>
      </c>
    </row>
    <row r="182" spans="1:8" x14ac:dyDescent="0.3">
      <c r="A182" s="5">
        <v>4</v>
      </c>
      <c r="B182" s="5" t="s">
        <v>218</v>
      </c>
      <c r="C182" s="5" t="s">
        <v>56</v>
      </c>
      <c r="D182" s="5">
        <v>2023</v>
      </c>
      <c r="E182" s="5">
        <v>11</v>
      </c>
      <c r="F182" s="5">
        <v>15671291</v>
      </c>
      <c r="G182" s="5">
        <v>13387472.02</v>
      </c>
      <c r="H182" s="5">
        <v>0.1457</v>
      </c>
    </row>
    <row r="183" spans="1:8" x14ac:dyDescent="0.3">
      <c r="A183" s="5">
        <v>4</v>
      </c>
      <c r="B183" s="5" t="s">
        <v>218</v>
      </c>
      <c r="C183" s="5" t="s">
        <v>57</v>
      </c>
      <c r="D183" s="5">
        <v>2023</v>
      </c>
      <c r="E183" s="5">
        <v>12</v>
      </c>
      <c r="F183" s="5">
        <v>16914951</v>
      </c>
      <c r="G183" s="5">
        <v>14499671.35</v>
      </c>
      <c r="H183" s="5">
        <v>0.14280000000000001</v>
      </c>
    </row>
    <row r="184" spans="1:8" x14ac:dyDescent="0.3">
      <c r="A184" s="5">
        <v>4</v>
      </c>
      <c r="B184" s="5" t="s">
        <v>218</v>
      </c>
      <c r="C184" s="5" t="s">
        <v>58</v>
      </c>
      <c r="D184" s="5">
        <v>2024</v>
      </c>
      <c r="E184" s="5">
        <v>1</v>
      </c>
      <c r="F184" s="5">
        <v>11740960</v>
      </c>
      <c r="G184" s="5">
        <v>9836681.5399999991</v>
      </c>
      <c r="H184" s="5">
        <v>0.16220000000000001</v>
      </c>
    </row>
    <row r="185" spans="1:8" x14ac:dyDescent="0.3">
      <c r="A185" s="5">
        <v>4</v>
      </c>
      <c r="B185" s="5" t="s">
        <v>218</v>
      </c>
      <c r="C185" s="5" t="s">
        <v>59</v>
      </c>
      <c r="D185" s="5">
        <v>2024</v>
      </c>
      <c r="E185" s="5">
        <v>2</v>
      </c>
      <c r="F185" s="5">
        <v>10219466</v>
      </c>
      <c r="G185" s="5">
        <v>8279693.4800000004</v>
      </c>
      <c r="H185" s="5">
        <v>0.1898</v>
      </c>
    </row>
    <row r="186" spans="1:8" x14ac:dyDescent="0.3">
      <c r="A186" s="5">
        <v>4</v>
      </c>
      <c r="B186" s="5" t="s">
        <v>218</v>
      </c>
      <c r="C186" s="5" t="s">
        <v>60</v>
      </c>
      <c r="D186" s="5">
        <v>2024</v>
      </c>
      <c r="E186" s="5">
        <v>3</v>
      </c>
      <c r="F186" s="5">
        <v>11941020</v>
      </c>
      <c r="G186" s="5">
        <v>9932765.5099999998</v>
      </c>
      <c r="H186" s="5">
        <v>0.16819999999999999</v>
      </c>
    </row>
    <row r="187" spans="1:8" x14ac:dyDescent="0.3">
      <c r="A187" s="5">
        <v>4</v>
      </c>
      <c r="B187" s="5" t="s">
        <v>218</v>
      </c>
      <c r="C187" s="5" t="s">
        <v>61</v>
      </c>
      <c r="D187" s="5">
        <v>2024</v>
      </c>
      <c r="E187" s="5">
        <v>4</v>
      </c>
      <c r="F187" s="5">
        <v>11491864</v>
      </c>
      <c r="G187" s="5">
        <v>9379177.9499999993</v>
      </c>
      <c r="H187" s="5">
        <v>0.18379999999999999</v>
      </c>
    </row>
    <row r="188" spans="1:8" x14ac:dyDescent="0.3">
      <c r="A188" s="5">
        <v>4</v>
      </c>
      <c r="B188" s="5" t="s">
        <v>218</v>
      </c>
      <c r="C188" s="5" t="s">
        <v>62</v>
      </c>
      <c r="D188" s="5">
        <v>2024</v>
      </c>
      <c r="E188" s="5">
        <v>5</v>
      </c>
      <c r="F188" s="5">
        <v>13620094</v>
      </c>
      <c r="G188" s="5">
        <v>11255551.24</v>
      </c>
      <c r="H188" s="5">
        <v>0.1736</v>
      </c>
    </row>
    <row r="189" spans="1:8" x14ac:dyDescent="0.3">
      <c r="A189" s="5">
        <v>4</v>
      </c>
      <c r="B189" s="5" t="s">
        <v>218</v>
      </c>
      <c r="C189" s="5" t="s">
        <v>63</v>
      </c>
      <c r="D189" s="5">
        <v>2024</v>
      </c>
      <c r="E189" s="5">
        <v>6</v>
      </c>
      <c r="F189" s="5">
        <v>13737277</v>
      </c>
      <c r="G189" s="5">
        <v>10779813.15</v>
      </c>
      <c r="H189" s="5">
        <v>0.21529999999999999</v>
      </c>
    </row>
    <row r="190" spans="1:8" x14ac:dyDescent="0.3">
      <c r="A190" s="5">
        <v>4</v>
      </c>
      <c r="B190" s="5" t="s">
        <v>218</v>
      </c>
      <c r="C190" s="5" t="s">
        <v>64</v>
      </c>
      <c r="D190" s="5">
        <v>2024</v>
      </c>
      <c r="E190" s="5">
        <v>7</v>
      </c>
      <c r="F190" s="5">
        <v>11555676</v>
      </c>
      <c r="G190" s="5">
        <v>9310329.0199999996</v>
      </c>
      <c r="H190" s="5">
        <v>0.1943</v>
      </c>
    </row>
    <row r="191" spans="1:8" x14ac:dyDescent="0.3">
      <c r="A191" s="5">
        <v>4</v>
      </c>
      <c r="B191" s="5" t="s">
        <v>218</v>
      </c>
      <c r="C191" s="5" t="s">
        <v>65</v>
      </c>
      <c r="D191" s="5">
        <v>2024</v>
      </c>
      <c r="E191" s="5">
        <v>8</v>
      </c>
      <c r="F191" s="5">
        <v>13541793</v>
      </c>
      <c r="G191" s="5">
        <v>10980947.140000001</v>
      </c>
      <c r="H191" s="5">
        <v>0.18909999999999999</v>
      </c>
    </row>
    <row r="192" spans="1:8" x14ac:dyDescent="0.3">
      <c r="A192" s="5">
        <v>4</v>
      </c>
      <c r="B192" s="5" t="s">
        <v>218</v>
      </c>
      <c r="C192" s="5" t="s">
        <v>66</v>
      </c>
      <c r="D192" s="5">
        <v>2024</v>
      </c>
      <c r="E192" s="5">
        <v>9</v>
      </c>
      <c r="F192" s="5">
        <v>14674436</v>
      </c>
      <c r="G192" s="5">
        <v>11488660.119999999</v>
      </c>
      <c r="H192" s="5">
        <v>0.21709999999999999</v>
      </c>
    </row>
    <row r="193" spans="1:8" x14ac:dyDescent="0.3">
      <c r="A193" s="5">
        <v>4</v>
      </c>
      <c r="B193" s="5" t="s">
        <v>218</v>
      </c>
      <c r="C193" s="5" t="s">
        <v>67</v>
      </c>
      <c r="D193" s="5">
        <v>2024</v>
      </c>
      <c r="E193" s="5">
        <v>10</v>
      </c>
      <c r="F193" s="5">
        <v>18958063</v>
      </c>
      <c r="G193" s="5">
        <v>14383456.560000001</v>
      </c>
      <c r="H193" s="5">
        <v>0.24129999999999999</v>
      </c>
    </row>
    <row r="194" spans="1:8" x14ac:dyDescent="0.3">
      <c r="A194" s="5">
        <v>4</v>
      </c>
      <c r="B194" s="5" t="s">
        <v>218</v>
      </c>
      <c r="C194" s="5" t="s">
        <v>68</v>
      </c>
      <c r="D194" s="5">
        <v>2024</v>
      </c>
      <c r="E194" s="5">
        <v>11</v>
      </c>
      <c r="F194" s="5">
        <v>19699856</v>
      </c>
      <c r="G194" s="5">
        <v>15628081.289999999</v>
      </c>
      <c r="H194" s="5">
        <v>0.20669999999999999</v>
      </c>
    </row>
    <row r="195" spans="1:8" x14ac:dyDescent="0.3">
      <c r="A195" s="5">
        <v>4</v>
      </c>
      <c r="B195" s="5" t="s">
        <v>218</v>
      </c>
      <c r="C195" s="5" t="s">
        <v>69</v>
      </c>
      <c r="D195" s="5">
        <v>2024</v>
      </c>
      <c r="E195" s="5">
        <v>12</v>
      </c>
      <c r="F195" s="5">
        <v>18664777</v>
      </c>
      <c r="G195" s="5">
        <v>14148762.98</v>
      </c>
      <c r="H195" s="5">
        <v>0.24199999999999999</v>
      </c>
    </row>
    <row r="196" spans="1:8" x14ac:dyDescent="0.3">
      <c r="A196" s="5">
        <v>5</v>
      </c>
      <c r="B196" s="5" t="s">
        <v>215</v>
      </c>
      <c r="C196" s="5" t="s">
        <v>22</v>
      </c>
      <c r="D196" s="5">
        <v>2021</v>
      </c>
      <c r="E196" s="5">
        <v>1</v>
      </c>
      <c r="F196" s="5">
        <v>15866471</v>
      </c>
      <c r="G196" s="5">
        <v>14818023.310000001</v>
      </c>
      <c r="H196" s="5">
        <v>6.6100000000000006E-2</v>
      </c>
    </row>
    <row r="197" spans="1:8" x14ac:dyDescent="0.3">
      <c r="A197" s="5">
        <v>5</v>
      </c>
      <c r="B197" s="5" t="s">
        <v>215</v>
      </c>
      <c r="C197" s="5" t="s">
        <v>23</v>
      </c>
      <c r="D197" s="5">
        <v>2021</v>
      </c>
      <c r="E197" s="5">
        <v>2</v>
      </c>
      <c r="F197" s="5">
        <v>13116489</v>
      </c>
      <c r="G197" s="5">
        <v>11956935</v>
      </c>
      <c r="H197" s="5">
        <v>8.8400000000000006E-2</v>
      </c>
    </row>
    <row r="198" spans="1:8" x14ac:dyDescent="0.3">
      <c r="A198" s="5">
        <v>5</v>
      </c>
      <c r="B198" s="5" t="s">
        <v>215</v>
      </c>
      <c r="C198" s="5" t="s">
        <v>24</v>
      </c>
      <c r="D198" s="5">
        <v>2021</v>
      </c>
      <c r="E198" s="5">
        <v>3</v>
      </c>
      <c r="F198" s="5">
        <v>15792415</v>
      </c>
      <c r="G198" s="5">
        <v>13910738.92</v>
      </c>
      <c r="H198" s="5">
        <v>0.1192</v>
      </c>
    </row>
    <row r="199" spans="1:8" x14ac:dyDescent="0.3">
      <c r="A199" s="5">
        <v>5</v>
      </c>
      <c r="B199" s="5" t="s">
        <v>215</v>
      </c>
      <c r="C199" s="5" t="s">
        <v>25</v>
      </c>
      <c r="D199" s="5">
        <v>2021</v>
      </c>
      <c r="E199" s="5">
        <v>4</v>
      </c>
      <c r="F199" s="5">
        <v>15004092</v>
      </c>
      <c r="G199" s="5">
        <v>13623704.98</v>
      </c>
      <c r="H199" s="5">
        <v>9.1999999999999998E-2</v>
      </c>
    </row>
    <row r="200" spans="1:8" x14ac:dyDescent="0.3">
      <c r="A200" s="5">
        <v>5</v>
      </c>
      <c r="B200" s="5" t="s">
        <v>215</v>
      </c>
      <c r="C200" s="5" t="s">
        <v>26</v>
      </c>
      <c r="D200" s="5">
        <v>2021</v>
      </c>
      <c r="E200" s="5">
        <v>5</v>
      </c>
      <c r="F200" s="5">
        <v>15901687</v>
      </c>
      <c r="G200" s="5">
        <v>14557210.24</v>
      </c>
      <c r="H200" s="5">
        <v>8.4500000000000006E-2</v>
      </c>
    </row>
    <row r="201" spans="1:8" x14ac:dyDescent="0.3">
      <c r="A201" s="5">
        <v>5</v>
      </c>
      <c r="B201" s="5" t="s">
        <v>215</v>
      </c>
      <c r="C201" s="5" t="s">
        <v>27</v>
      </c>
      <c r="D201" s="5">
        <v>2021</v>
      </c>
      <c r="E201" s="5">
        <v>6</v>
      </c>
      <c r="F201" s="5">
        <v>17942770</v>
      </c>
      <c r="G201" s="5">
        <v>16185034.6</v>
      </c>
      <c r="H201" s="5">
        <v>9.8000000000000004E-2</v>
      </c>
    </row>
    <row r="202" spans="1:8" x14ac:dyDescent="0.3">
      <c r="A202" s="5">
        <v>5</v>
      </c>
      <c r="B202" s="5" t="s">
        <v>215</v>
      </c>
      <c r="C202" s="5" t="s">
        <v>28</v>
      </c>
      <c r="D202" s="5">
        <v>2021</v>
      </c>
      <c r="E202" s="5">
        <v>7</v>
      </c>
      <c r="F202" s="5">
        <v>17659899</v>
      </c>
      <c r="G202" s="5">
        <v>16163245.609999999</v>
      </c>
      <c r="H202" s="5">
        <v>8.4699999999999998E-2</v>
      </c>
    </row>
    <row r="203" spans="1:8" x14ac:dyDescent="0.3">
      <c r="A203" s="5">
        <v>5</v>
      </c>
      <c r="B203" s="5" t="s">
        <v>215</v>
      </c>
      <c r="C203" s="5" t="s">
        <v>29</v>
      </c>
      <c r="D203" s="5">
        <v>2021</v>
      </c>
      <c r="E203" s="5">
        <v>8</v>
      </c>
      <c r="F203" s="5">
        <v>18243699</v>
      </c>
      <c r="G203" s="5">
        <v>16012117.119999999</v>
      </c>
      <c r="H203" s="5">
        <v>0.12230000000000001</v>
      </c>
    </row>
    <row r="204" spans="1:8" x14ac:dyDescent="0.3">
      <c r="A204" s="5">
        <v>5</v>
      </c>
      <c r="B204" s="5" t="s">
        <v>215</v>
      </c>
      <c r="C204" s="5" t="s">
        <v>30</v>
      </c>
      <c r="D204" s="5">
        <v>2021</v>
      </c>
      <c r="E204" s="5">
        <v>9</v>
      </c>
      <c r="F204" s="5">
        <v>17521013</v>
      </c>
      <c r="G204" s="5">
        <v>15988121.359999999</v>
      </c>
      <c r="H204" s="5">
        <v>8.7499999999999994E-2</v>
      </c>
    </row>
    <row r="205" spans="1:8" x14ac:dyDescent="0.3">
      <c r="A205" s="5">
        <v>5</v>
      </c>
      <c r="B205" s="5" t="s">
        <v>215</v>
      </c>
      <c r="C205" s="5" t="s">
        <v>31</v>
      </c>
      <c r="D205" s="5">
        <v>2021</v>
      </c>
      <c r="E205" s="5">
        <v>10</v>
      </c>
      <c r="F205" s="5">
        <v>26124168</v>
      </c>
      <c r="G205" s="5">
        <v>22982491.760000002</v>
      </c>
      <c r="H205" s="5">
        <v>0.1203</v>
      </c>
    </row>
    <row r="206" spans="1:8" x14ac:dyDescent="0.3">
      <c r="A206" s="5">
        <v>5</v>
      </c>
      <c r="B206" s="5" t="s">
        <v>215</v>
      </c>
      <c r="C206" s="5" t="s">
        <v>32</v>
      </c>
      <c r="D206" s="5">
        <v>2021</v>
      </c>
      <c r="E206" s="5">
        <v>11</v>
      </c>
      <c r="F206" s="5">
        <v>26989642</v>
      </c>
      <c r="G206" s="5">
        <v>23151268.100000001</v>
      </c>
      <c r="H206" s="5">
        <v>0.14219999999999999</v>
      </c>
    </row>
    <row r="207" spans="1:8" x14ac:dyDescent="0.3">
      <c r="A207" s="5">
        <v>5</v>
      </c>
      <c r="B207" s="5" t="s">
        <v>215</v>
      </c>
      <c r="C207" s="5" t="s">
        <v>33</v>
      </c>
      <c r="D207" s="5">
        <v>2021</v>
      </c>
      <c r="E207" s="5">
        <v>12</v>
      </c>
      <c r="F207" s="5">
        <v>28302539</v>
      </c>
      <c r="G207" s="5">
        <v>24806231.09</v>
      </c>
      <c r="H207" s="5">
        <v>0.1235</v>
      </c>
    </row>
    <row r="208" spans="1:8" x14ac:dyDescent="0.3">
      <c r="A208" s="5">
        <v>5</v>
      </c>
      <c r="B208" s="5" t="s">
        <v>215</v>
      </c>
      <c r="C208" s="5" t="s">
        <v>34</v>
      </c>
      <c r="D208" s="5">
        <v>2022</v>
      </c>
      <c r="E208" s="5">
        <v>1</v>
      </c>
      <c r="F208" s="5">
        <v>24681083</v>
      </c>
      <c r="G208" s="5">
        <v>21398013.210000001</v>
      </c>
      <c r="H208" s="5">
        <v>0.13300000000000001</v>
      </c>
    </row>
    <row r="209" spans="1:8" x14ac:dyDescent="0.3">
      <c r="A209" s="5">
        <v>5</v>
      </c>
      <c r="B209" s="5" t="s">
        <v>215</v>
      </c>
      <c r="C209" s="5" t="s">
        <v>35</v>
      </c>
      <c r="D209" s="5">
        <v>2022</v>
      </c>
      <c r="E209" s="5">
        <v>2</v>
      </c>
      <c r="F209" s="5">
        <v>19987875</v>
      </c>
      <c r="G209" s="5">
        <v>17358001.969999999</v>
      </c>
      <c r="H209" s="5">
        <v>0.13159999999999999</v>
      </c>
    </row>
    <row r="210" spans="1:8" x14ac:dyDescent="0.3">
      <c r="A210" s="5">
        <v>5</v>
      </c>
      <c r="B210" s="5" t="s">
        <v>215</v>
      </c>
      <c r="C210" s="5" t="s">
        <v>36</v>
      </c>
      <c r="D210" s="5">
        <v>2022</v>
      </c>
      <c r="E210" s="5">
        <v>3</v>
      </c>
      <c r="F210" s="5">
        <v>25588293</v>
      </c>
      <c r="G210" s="5">
        <v>22931911.809999999</v>
      </c>
      <c r="H210" s="5">
        <v>0.1038</v>
      </c>
    </row>
    <row r="211" spans="1:8" x14ac:dyDescent="0.3">
      <c r="A211" s="5">
        <v>5</v>
      </c>
      <c r="B211" s="5" t="s">
        <v>215</v>
      </c>
      <c r="C211" s="5" t="s">
        <v>37</v>
      </c>
      <c r="D211" s="5">
        <v>2022</v>
      </c>
      <c r="E211" s="5">
        <v>4</v>
      </c>
      <c r="F211" s="5">
        <v>27419959</v>
      </c>
      <c r="G211" s="5">
        <v>24247879.109999999</v>
      </c>
      <c r="H211" s="5">
        <v>0.1157</v>
      </c>
    </row>
    <row r="212" spans="1:8" x14ac:dyDescent="0.3">
      <c r="A212" s="5">
        <v>5</v>
      </c>
      <c r="B212" s="5" t="s">
        <v>215</v>
      </c>
      <c r="C212" s="5" t="s">
        <v>38</v>
      </c>
      <c r="D212" s="5">
        <v>2022</v>
      </c>
      <c r="E212" s="5">
        <v>5</v>
      </c>
      <c r="F212" s="5">
        <v>26812886</v>
      </c>
      <c r="G212" s="5">
        <v>24372702.390000001</v>
      </c>
      <c r="H212" s="5">
        <v>9.0999999999999998E-2</v>
      </c>
    </row>
    <row r="213" spans="1:8" x14ac:dyDescent="0.3">
      <c r="A213" s="5">
        <v>5</v>
      </c>
      <c r="B213" s="5" t="s">
        <v>215</v>
      </c>
      <c r="C213" s="5" t="s">
        <v>39</v>
      </c>
      <c r="D213" s="5">
        <v>2022</v>
      </c>
      <c r="E213" s="5">
        <v>6</v>
      </c>
      <c r="F213" s="5">
        <v>23579506</v>
      </c>
      <c r="G213" s="5">
        <v>21088639.030000001</v>
      </c>
      <c r="H213" s="5">
        <v>0.1056</v>
      </c>
    </row>
    <row r="214" spans="1:8" x14ac:dyDescent="0.3">
      <c r="A214" s="5">
        <v>5</v>
      </c>
      <c r="B214" s="5" t="s">
        <v>215</v>
      </c>
      <c r="C214" s="5" t="s">
        <v>40</v>
      </c>
      <c r="D214" s="5">
        <v>2022</v>
      </c>
      <c r="E214" s="5">
        <v>7</v>
      </c>
      <c r="F214" s="5">
        <v>27530457</v>
      </c>
      <c r="G214" s="5">
        <v>25314367.879999999</v>
      </c>
      <c r="H214" s="5">
        <v>8.0500000000000002E-2</v>
      </c>
    </row>
    <row r="215" spans="1:8" x14ac:dyDescent="0.3">
      <c r="A215" s="5">
        <v>5</v>
      </c>
      <c r="B215" s="5" t="s">
        <v>215</v>
      </c>
      <c r="C215" s="5" t="s">
        <v>41</v>
      </c>
      <c r="D215" s="5">
        <v>2022</v>
      </c>
      <c r="E215" s="5">
        <v>8</v>
      </c>
      <c r="F215" s="5">
        <v>24800770</v>
      </c>
      <c r="G215" s="5">
        <v>24186020.75</v>
      </c>
      <c r="H215" s="5">
        <v>2.4799999999999999E-2</v>
      </c>
    </row>
    <row r="216" spans="1:8" x14ac:dyDescent="0.3">
      <c r="A216" s="5">
        <v>5</v>
      </c>
      <c r="B216" s="5" t="s">
        <v>215</v>
      </c>
      <c r="C216" s="5" t="s">
        <v>42</v>
      </c>
      <c r="D216" s="5">
        <v>2022</v>
      </c>
      <c r="E216" s="5">
        <v>9</v>
      </c>
      <c r="F216" s="5">
        <v>28717412</v>
      </c>
      <c r="G216" s="5">
        <v>26103544.27</v>
      </c>
      <c r="H216" s="5">
        <v>9.0999999999999998E-2</v>
      </c>
    </row>
    <row r="217" spans="1:8" x14ac:dyDescent="0.3">
      <c r="A217" s="5">
        <v>5</v>
      </c>
      <c r="B217" s="5" t="s">
        <v>215</v>
      </c>
      <c r="C217" s="5" t="s">
        <v>43</v>
      </c>
      <c r="D217" s="5">
        <v>2022</v>
      </c>
      <c r="E217" s="5">
        <v>10</v>
      </c>
      <c r="F217" s="5">
        <v>35897534</v>
      </c>
      <c r="G217" s="5">
        <v>33805269.909999996</v>
      </c>
      <c r="H217" s="5">
        <v>5.8299999999999998E-2</v>
      </c>
    </row>
    <row r="218" spans="1:8" x14ac:dyDescent="0.3">
      <c r="A218" s="5">
        <v>5</v>
      </c>
      <c r="B218" s="5" t="s">
        <v>215</v>
      </c>
      <c r="C218" s="5" t="s">
        <v>44</v>
      </c>
      <c r="D218" s="5">
        <v>2022</v>
      </c>
      <c r="E218" s="5">
        <v>11</v>
      </c>
      <c r="F218" s="5">
        <v>36016969</v>
      </c>
      <c r="G218" s="5">
        <v>32134297.25</v>
      </c>
      <c r="H218" s="5">
        <v>0.10780000000000001</v>
      </c>
    </row>
    <row r="219" spans="1:8" x14ac:dyDescent="0.3">
      <c r="A219" s="5">
        <v>5</v>
      </c>
      <c r="B219" s="5" t="s">
        <v>215</v>
      </c>
      <c r="C219" s="5" t="s">
        <v>45</v>
      </c>
      <c r="D219" s="5">
        <v>2022</v>
      </c>
      <c r="E219" s="5">
        <v>12</v>
      </c>
      <c r="F219" s="5">
        <v>38851923</v>
      </c>
      <c r="G219" s="5">
        <v>33566961.509999998</v>
      </c>
      <c r="H219" s="5">
        <v>0.13600000000000001</v>
      </c>
    </row>
    <row r="220" spans="1:8" x14ac:dyDescent="0.3">
      <c r="A220" s="5">
        <v>5</v>
      </c>
      <c r="B220" s="5" t="s">
        <v>215</v>
      </c>
      <c r="C220" s="5" t="s">
        <v>46</v>
      </c>
      <c r="D220" s="5">
        <v>2023</v>
      </c>
      <c r="E220" s="5">
        <v>1</v>
      </c>
      <c r="F220" s="5">
        <v>25386728</v>
      </c>
      <c r="G220" s="5">
        <v>23589869.27</v>
      </c>
      <c r="H220" s="5">
        <v>7.0800000000000002E-2</v>
      </c>
    </row>
    <row r="221" spans="1:8" x14ac:dyDescent="0.3">
      <c r="A221" s="5">
        <v>5</v>
      </c>
      <c r="B221" s="5" t="s">
        <v>215</v>
      </c>
      <c r="C221" s="5" t="s">
        <v>47</v>
      </c>
      <c r="D221" s="5">
        <v>2023</v>
      </c>
      <c r="E221" s="5">
        <v>2</v>
      </c>
      <c r="F221" s="5">
        <v>26831004</v>
      </c>
      <c r="G221" s="5">
        <v>23641467.859999999</v>
      </c>
      <c r="H221" s="5">
        <v>0.11890000000000001</v>
      </c>
    </row>
    <row r="222" spans="1:8" x14ac:dyDescent="0.3">
      <c r="A222" s="5">
        <v>5</v>
      </c>
      <c r="B222" s="5" t="s">
        <v>215</v>
      </c>
      <c r="C222" s="5" t="s">
        <v>48</v>
      </c>
      <c r="D222" s="5">
        <v>2023</v>
      </c>
      <c r="E222" s="5">
        <v>3</v>
      </c>
      <c r="F222" s="5">
        <v>30035327</v>
      </c>
      <c r="G222" s="5">
        <v>27087756.050000001</v>
      </c>
      <c r="H222" s="5">
        <v>9.8100000000000007E-2</v>
      </c>
    </row>
    <row r="223" spans="1:8" x14ac:dyDescent="0.3">
      <c r="A223" s="5">
        <v>5</v>
      </c>
      <c r="B223" s="5" t="s">
        <v>215</v>
      </c>
      <c r="C223" s="5" t="s">
        <v>49</v>
      </c>
      <c r="D223" s="5">
        <v>2023</v>
      </c>
      <c r="E223" s="5">
        <v>4</v>
      </c>
      <c r="F223" s="5">
        <v>33784159</v>
      </c>
      <c r="G223" s="5">
        <v>31038308.75</v>
      </c>
      <c r="H223" s="5">
        <v>8.1299999999999997E-2</v>
      </c>
    </row>
    <row r="224" spans="1:8" x14ac:dyDescent="0.3">
      <c r="A224" s="5">
        <v>5</v>
      </c>
      <c r="B224" s="5" t="s">
        <v>215</v>
      </c>
      <c r="C224" s="5" t="s">
        <v>50</v>
      </c>
      <c r="D224" s="5">
        <v>2023</v>
      </c>
      <c r="E224" s="5">
        <v>5</v>
      </c>
      <c r="F224" s="5">
        <v>32540176</v>
      </c>
      <c r="G224" s="5">
        <v>29575123.280000001</v>
      </c>
      <c r="H224" s="5">
        <v>9.11E-2</v>
      </c>
    </row>
    <row r="225" spans="1:8" x14ac:dyDescent="0.3">
      <c r="A225" s="5">
        <v>5</v>
      </c>
      <c r="B225" s="5" t="s">
        <v>215</v>
      </c>
      <c r="C225" s="5" t="s">
        <v>51</v>
      </c>
      <c r="D225" s="5">
        <v>2023</v>
      </c>
      <c r="E225" s="5">
        <v>6</v>
      </c>
      <c r="F225" s="5">
        <v>34581246</v>
      </c>
      <c r="G225" s="5">
        <v>30493140.5</v>
      </c>
      <c r="H225" s="5">
        <v>0.1182</v>
      </c>
    </row>
    <row r="226" spans="1:8" x14ac:dyDescent="0.3">
      <c r="A226" s="5">
        <v>5</v>
      </c>
      <c r="B226" s="5" t="s">
        <v>215</v>
      </c>
      <c r="C226" s="5" t="s">
        <v>52</v>
      </c>
      <c r="D226" s="5">
        <v>2023</v>
      </c>
      <c r="E226" s="5">
        <v>7</v>
      </c>
      <c r="F226" s="5">
        <v>29440673</v>
      </c>
      <c r="G226" s="5">
        <v>27556200.5</v>
      </c>
      <c r="H226" s="5">
        <v>6.4000000000000001E-2</v>
      </c>
    </row>
    <row r="227" spans="1:8" x14ac:dyDescent="0.3">
      <c r="A227" s="5">
        <v>5</v>
      </c>
      <c r="B227" s="5" t="s">
        <v>215</v>
      </c>
      <c r="C227" s="5" t="s">
        <v>53</v>
      </c>
      <c r="D227" s="5">
        <v>2023</v>
      </c>
      <c r="E227" s="5">
        <v>8</v>
      </c>
      <c r="F227" s="5">
        <v>31266338</v>
      </c>
      <c r="G227" s="5">
        <v>28720445.210000001</v>
      </c>
      <c r="H227" s="5">
        <v>8.14E-2</v>
      </c>
    </row>
    <row r="228" spans="1:8" x14ac:dyDescent="0.3">
      <c r="A228" s="5">
        <v>5</v>
      </c>
      <c r="B228" s="5" t="s">
        <v>215</v>
      </c>
      <c r="C228" s="5" t="s">
        <v>54</v>
      </c>
      <c r="D228" s="5">
        <v>2023</v>
      </c>
      <c r="E228" s="5">
        <v>9</v>
      </c>
      <c r="F228" s="5">
        <v>32352803</v>
      </c>
      <c r="G228" s="5">
        <v>30197923.420000002</v>
      </c>
      <c r="H228" s="5">
        <v>6.6600000000000006E-2</v>
      </c>
    </row>
    <row r="229" spans="1:8" x14ac:dyDescent="0.3">
      <c r="A229" s="5">
        <v>5</v>
      </c>
      <c r="B229" s="5" t="s">
        <v>215</v>
      </c>
      <c r="C229" s="5" t="s">
        <v>55</v>
      </c>
      <c r="D229" s="5">
        <v>2023</v>
      </c>
      <c r="E229" s="5">
        <v>10</v>
      </c>
      <c r="F229" s="5">
        <v>45440731</v>
      </c>
      <c r="G229" s="5">
        <v>40577748.530000001</v>
      </c>
      <c r="H229" s="5">
        <v>0.107</v>
      </c>
    </row>
    <row r="230" spans="1:8" x14ac:dyDescent="0.3">
      <c r="A230" s="5">
        <v>5</v>
      </c>
      <c r="B230" s="5" t="s">
        <v>215</v>
      </c>
      <c r="C230" s="5" t="s">
        <v>56</v>
      </c>
      <c r="D230" s="5">
        <v>2023</v>
      </c>
      <c r="E230" s="5">
        <v>11</v>
      </c>
      <c r="F230" s="5">
        <v>43146534</v>
      </c>
      <c r="G230" s="5">
        <v>40128430.969999999</v>
      </c>
      <c r="H230" s="5">
        <v>7.0000000000000007E-2</v>
      </c>
    </row>
    <row r="231" spans="1:8" x14ac:dyDescent="0.3">
      <c r="A231" s="5">
        <v>5</v>
      </c>
      <c r="B231" s="5" t="s">
        <v>215</v>
      </c>
      <c r="C231" s="5" t="s">
        <v>57</v>
      </c>
      <c r="D231" s="5">
        <v>2023</v>
      </c>
      <c r="E231" s="5">
        <v>12</v>
      </c>
      <c r="F231" s="5">
        <v>46937474</v>
      </c>
      <c r="G231" s="5">
        <v>44275618.109999999</v>
      </c>
      <c r="H231" s="5">
        <v>5.67E-2</v>
      </c>
    </row>
    <row r="232" spans="1:8" x14ac:dyDescent="0.3">
      <c r="A232" s="5">
        <v>5</v>
      </c>
      <c r="B232" s="5" t="s">
        <v>215</v>
      </c>
      <c r="C232" s="5" t="s">
        <v>58</v>
      </c>
      <c r="D232" s="5">
        <v>2024</v>
      </c>
      <c r="E232" s="5">
        <v>1</v>
      </c>
      <c r="F232" s="5">
        <v>30103017</v>
      </c>
      <c r="G232" s="5">
        <v>27636518.359999999</v>
      </c>
      <c r="H232" s="5">
        <v>8.1900000000000001E-2</v>
      </c>
    </row>
    <row r="233" spans="1:8" x14ac:dyDescent="0.3">
      <c r="A233" s="5">
        <v>5</v>
      </c>
      <c r="B233" s="5" t="s">
        <v>215</v>
      </c>
      <c r="C233" s="5" t="s">
        <v>59</v>
      </c>
      <c r="D233" s="5">
        <v>2024</v>
      </c>
      <c r="E233" s="5">
        <v>2</v>
      </c>
      <c r="F233" s="5">
        <v>26968221</v>
      </c>
      <c r="G233" s="5">
        <v>23969506.48</v>
      </c>
      <c r="H233" s="5">
        <v>0.11119999999999999</v>
      </c>
    </row>
    <row r="234" spans="1:8" x14ac:dyDescent="0.3">
      <c r="A234" s="5">
        <v>5</v>
      </c>
      <c r="B234" s="5" t="s">
        <v>215</v>
      </c>
      <c r="C234" s="5" t="s">
        <v>60</v>
      </c>
      <c r="D234" s="5">
        <v>2024</v>
      </c>
      <c r="E234" s="5">
        <v>3</v>
      </c>
      <c r="F234" s="5">
        <v>33879463</v>
      </c>
      <c r="G234" s="5">
        <v>30345066.370000001</v>
      </c>
      <c r="H234" s="5">
        <v>0.1043</v>
      </c>
    </row>
    <row r="235" spans="1:8" x14ac:dyDescent="0.3">
      <c r="A235" s="5">
        <v>5</v>
      </c>
      <c r="B235" s="5" t="s">
        <v>215</v>
      </c>
      <c r="C235" s="5" t="s">
        <v>61</v>
      </c>
      <c r="D235" s="5">
        <v>2024</v>
      </c>
      <c r="E235" s="5">
        <v>4</v>
      </c>
      <c r="F235" s="5">
        <v>35250566</v>
      </c>
      <c r="G235" s="5">
        <v>32048774.149999999</v>
      </c>
      <c r="H235" s="5">
        <v>9.0800000000000006E-2</v>
      </c>
    </row>
    <row r="236" spans="1:8" x14ac:dyDescent="0.3">
      <c r="A236" s="5">
        <v>5</v>
      </c>
      <c r="B236" s="5" t="s">
        <v>215</v>
      </c>
      <c r="C236" s="5" t="s">
        <v>62</v>
      </c>
      <c r="D236" s="5">
        <v>2024</v>
      </c>
      <c r="E236" s="5">
        <v>5</v>
      </c>
      <c r="F236" s="5">
        <v>35401333</v>
      </c>
      <c r="G236" s="5">
        <v>32843417.859999999</v>
      </c>
      <c r="H236" s="5">
        <v>7.2300000000000003E-2</v>
      </c>
    </row>
    <row r="237" spans="1:8" x14ac:dyDescent="0.3">
      <c r="A237" s="5">
        <v>5</v>
      </c>
      <c r="B237" s="5" t="s">
        <v>215</v>
      </c>
      <c r="C237" s="5" t="s">
        <v>63</v>
      </c>
      <c r="D237" s="5">
        <v>2024</v>
      </c>
      <c r="E237" s="5">
        <v>6</v>
      </c>
      <c r="F237" s="5">
        <v>40996670</v>
      </c>
      <c r="G237" s="5">
        <v>35547767.060000002</v>
      </c>
      <c r="H237" s="5">
        <v>0.13289999999999999</v>
      </c>
    </row>
    <row r="238" spans="1:8" x14ac:dyDescent="0.3">
      <c r="A238" s="5">
        <v>5</v>
      </c>
      <c r="B238" s="5" t="s">
        <v>215</v>
      </c>
      <c r="C238" s="5" t="s">
        <v>64</v>
      </c>
      <c r="D238" s="5">
        <v>2024</v>
      </c>
      <c r="E238" s="5">
        <v>7</v>
      </c>
      <c r="F238" s="5">
        <v>35831586</v>
      </c>
      <c r="G238" s="5">
        <v>31624367.32</v>
      </c>
      <c r="H238" s="5">
        <v>0.1174</v>
      </c>
    </row>
    <row r="239" spans="1:8" x14ac:dyDescent="0.3">
      <c r="A239" s="5">
        <v>5</v>
      </c>
      <c r="B239" s="5" t="s">
        <v>215</v>
      </c>
      <c r="C239" s="5" t="s">
        <v>65</v>
      </c>
      <c r="D239" s="5">
        <v>2024</v>
      </c>
      <c r="E239" s="5">
        <v>8</v>
      </c>
      <c r="F239" s="5">
        <v>34905029</v>
      </c>
      <c r="G239" s="5">
        <v>30584468.949999999</v>
      </c>
      <c r="H239" s="5">
        <v>0.12379999999999999</v>
      </c>
    </row>
    <row r="240" spans="1:8" x14ac:dyDescent="0.3">
      <c r="A240" s="5">
        <v>5</v>
      </c>
      <c r="B240" s="5" t="s">
        <v>215</v>
      </c>
      <c r="C240" s="5" t="s">
        <v>66</v>
      </c>
      <c r="D240" s="5">
        <v>2024</v>
      </c>
      <c r="E240" s="5">
        <v>9</v>
      </c>
      <c r="F240" s="5">
        <v>45110001</v>
      </c>
      <c r="G240" s="5">
        <v>38501111.18</v>
      </c>
      <c r="H240" s="5">
        <v>0.14649999999999999</v>
      </c>
    </row>
    <row r="241" spans="1:8" x14ac:dyDescent="0.3">
      <c r="A241" s="5">
        <v>5</v>
      </c>
      <c r="B241" s="5" t="s">
        <v>215</v>
      </c>
      <c r="C241" s="5" t="s">
        <v>67</v>
      </c>
      <c r="D241" s="5">
        <v>2024</v>
      </c>
      <c r="E241" s="5">
        <v>10</v>
      </c>
      <c r="F241" s="5">
        <v>54800626</v>
      </c>
      <c r="G241" s="5">
        <v>45835834.649999999</v>
      </c>
      <c r="H241" s="5">
        <v>0.1636</v>
      </c>
    </row>
    <row r="242" spans="1:8" x14ac:dyDescent="0.3">
      <c r="A242" s="5">
        <v>5</v>
      </c>
      <c r="B242" s="5" t="s">
        <v>215</v>
      </c>
      <c r="C242" s="5" t="s">
        <v>68</v>
      </c>
      <c r="D242" s="5">
        <v>2024</v>
      </c>
      <c r="E242" s="5">
        <v>11</v>
      </c>
      <c r="F242" s="5">
        <v>53778429</v>
      </c>
      <c r="G242" s="5">
        <v>47165731.75</v>
      </c>
      <c r="H242" s="5">
        <v>0.123</v>
      </c>
    </row>
    <row r="243" spans="1:8" x14ac:dyDescent="0.3">
      <c r="A243" s="5">
        <v>5</v>
      </c>
      <c r="B243" s="5" t="s">
        <v>215</v>
      </c>
      <c r="C243" s="5" t="s">
        <v>69</v>
      </c>
      <c r="D243" s="5">
        <v>2024</v>
      </c>
      <c r="E243" s="5">
        <v>12</v>
      </c>
      <c r="F243" s="5">
        <v>55304810</v>
      </c>
      <c r="G243" s="5">
        <v>45857854.82</v>
      </c>
      <c r="H243" s="5">
        <v>0.17080000000000001</v>
      </c>
    </row>
    <row r="244" spans="1:8" x14ac:dyDescent="0.3">
      <c r="A244" s="5">
        <v>6</v>
      </c>
      <c r="B244" s="5" t="s">
        <v>207</v>
      </c>
      <c r="C244" s="5" t="s">
        <v>22</v>
      </c>
      <c r="D244" s="5">
        <v>2021</v>
      </c>
      <c r="E244" s="5">
        <v>1</v>
      </c>
      <c r="F244" s="5">
        <v>42571415</v>
      </c>
      <c r="G244" s="5">
        <v>38968243.469999999</v>
      </c>
      <c r="H244" s="5">
        <v>8.4599999999999995E-2</v>
      </c>
    </row>
    <row r="245" spans="1:8" x14ac:dyDescent="0.3">
      <c r="A245" s="5">
        <v>6</v>
      </c>
      <c r="B245" s="5" t="s">
        <v>207</v>
      </c>
      <c r="C245" s="5" t="s">
        <v>23</v>
      </c>
      <c r="D245" s="5">
        <v>2021</v>
      </c>
      <c r="E245" s="5">
        <v>2</v>
      </c>
      <c r="F245" s="5">
        <v>42416980</v>
      </c>
      <c r="G245" s="5">
        <v>38207162.5</v>
      </c>
      <c r="H245" s="5">
        <v>9.9199999999999997E-2</v>
      </c>
    </row>
    <row r="246" spans="1:8" x14ac:dyDescent="0.3">
      <c r="A246" s="5">
        <v>6</v>
      </c>
      <c r="B246" s="5" t="s">
        <v>207</v>
      </c>
      <c r="C246" s="5" t="s">
        <v>24</v>
      </c>
      <c r="D246" s="5">
        <v>2021</v>
      </c>
      <c r="E246" s="5">
        <v>3</v>
      </c>
      <c r="F246" s="5">
        <v>49279425</v>
      </c>
      <c r="G246" s="5">
        <v>42313632.710000001</v>
      </c>
      <c r="H246" s="5">
        <v>0.1414</v>
      </c>
    </row>
    <row r="247" spans="1:8" x14ac:dyDescent="0.3">
      <c r="A247" s="5">
        <v>6</v>
      </c>
      <c r="B247" s="5" t="s">
        <v>207</v>
      </c>
      <c r="C247" s="5" t="s">
        <v>25</v>
      </c>
      <c r="D247" s="5">
        <v>2021</v>
      </c>
      <c r="E247" s="5">
        <v>4</v>
      </c>
      <c r="F247" s="5">
        <v>53218981</v>
      </c>
      <c r="G247" s="5">
        <v>47774209.399999999</v>
      </c>
      <c r="H247" s="5">
        <v>0.1023</v>
      </c>
    </row>
    <row r="248" spans="1:8" x14ac:dyDescent="0.3">
      <c r="A248" s="5">
        <v>6</v>
      </c>
      <c r="B248" s="5" t="s">
        <v>207</v>
      </c>
      <c r="C248" s="5" t="s">
        <v>26</v>
      </c>
      <c r="D248" s="5">
        <v>2021</v>
      </c>
      <c r="E248" s="5">
        <v>5</v>
      </c>
      <c r="F248" s="5">
        <v>55196523</v>
      </c>
      <c r="G248" s="5">
        <v>49195137.299999997</v>
      </c>
      <c r="H248" s="5">
        <v>0.1087</v>
      </c>
    </row>
    <row r="249" spans="1:8" x14ac:dyDescent="0.3">
      <c r="A249" s="5">
        <v>6</v>
      </c>
      <c r="B249" s="5" t="s">
        <v>207</v>
      </c>
      <c r="C249" s="5" t="s">
        <v>27</v>
      </c>
      <c r="D249" s="5">
        <v>2021</v>
      </c>
      <c r="E249" s="5">
        <v>6</v>
      </c>
      <c r="F249" s="5">
        <v>55634956</v>
      </c>
      <c r="G249" s="5">
        <v>49379534.710000001</v>
      </c>
      <c r="H249" s="5">
        <v>0.1124</v>
      </c>
    </row>
    <row r="250" spans="1:8" x14ac:dyDescent="0.3">
      <c r="A250" s="5">
        <v>6</v>
      </c>
      <c r="B250" s="5" t="s">
        <v>207</v>
      </c>
      <c r="C250" s="5" t="s">
        <v>28</v>
      </c>
      <c r="D250" s="5">
        <v>2021</v>
      </c>
      <c r="E250" s="5">
        <v>7</v>
      </c>
      <c r="F250" s="5">
        <v>49660705</v>
      </c>
      <c r="G250" s="5">
        <v>45113328.710000001</v>
      </c>
      <c r="H250" s="5">
        <v>9.1600000000000001E-2</v>
      </c>
    </row>
    <row r="251" spans="1:8" x14ac:dyDescent="0.3">
      <c r="A251" s="5">
        <v>6</v>
      </c>
      <c r="B251" s="5" t="s">
        <v>207</v>
      </c>
      <c r="C251" s="5" t="s">
        <v>29</v>
      </c>
      <c r="D251" s="5">
        <v>2021</v>
      </c>
      <c r="E251" s="5">
        <v>8</v>
      </c>
      <c r="F251" s="5">
        <v>55284262</v>
      </c>
      <c r="G251" s="5">
        <v>47919040.640000001</v>
      </c>
      <c r="H251" s="5">
        <v>0.13320000000000001</v>
      </c>
    </row>
    <row r="252" spans="1:8" x14ac:dyDescent="0.3">
      <c r="A252" s="5">
        <v>6</v>
      </c>
      <c r="B252" s="5" t="s">
        <v>207</v>
      </c>
      <c r="C252" s="5" t="s">
        <v>30</v>
      </c>
      <c r="D252" s="5">
        <v>2021</v>
      </c>
      <c r="E252" s="5">
        <v>9</v>
      </c>
      <c r="F252" s="5">
        <v>55135138</v>
      </c>
      <c r="G252" s="5">
        <v>49238073.68</v>
      </c>
      <c r="H252" s="5">
        <v>0.107</v>
      </c>
    </row>
    <row r="253" spans="1:8" x14ac:dyDescent="0.3">
      <c r="A253" s="5">
        <v>6</v>
      </c>
      <c r="B253" s="5" t="s">
        <v>207</v>
      </c>
      <c r="C253" s="5" t="s">
        <v>31</v>
      </c>
      <c r="D253" s="5">
        <v>2021</v>
      </c>
      <c r="E253" s="5">
        <v>10</v>
      </c>
      <c r="F253" s="5">
        <v>78365594</v>
      </c>
      <c r="G253" s="5">
        <v>67619022.700000003</v>
      </c>
      <c r="H253" s="5">
        <v>0.1371</v>
      </c>
    </row>
    <row r="254" spans="1:8" x14ac:dyDescent="0.3">
      <c r="A254" s="5">
        <v>6</v>
      </c>
      <c r="B254" s="5" t="s">
        <v>207</v>
      </c>
      <c r="C254" s="5" t="s">
        <v>32</v>
      </c>
      <c r="D254" s="5">
        <v>2021</v>
      </c>
      <c r="E254" s="5">
        <v>11</v>
      </c>
      <c r="F254" s="5">
        <v>76507940</v>
      </c>
      <c r="G254" s="5">
        <v>64885688.130000003</v>
      </c>
      <c r="H254" s="5">
        <v>0.15190000000000001</v>
      </c>
    </row>
    <row r="255" spans="1:8" x14ac:dyDescent="0.3">
      <c r="A255" s="5">
        <v>6</v>
      </c>
      <c r="B255" s="5" t="s">
        <v>207</v>
      </c>
      <c r="C255" s="5" t="s">
        <v>33</v>
      </c>
      <c r="D255" s="5">
        <v>2021</v>
      </c>
      <c r="E255" s="5">
        <v>12</v>
      </c>
      <c r="F255" s="5">
        <v>78745397</v>
      </c>
      <c r="G255" s="5">
        <v>67459490.239999995</v>
      </c>
      <c r="H255" s="5">
        <v>0.14330000000000001</v>
      </c>
    </row>
    <row r="256" spans="1:8" x14ac:dyDescent="0.3">
      <c r="A256" s="5">
        <v>6</v>
      </c>
      <c r="B256" s="5" t="s">
        <v>207</v>
      </c>
      <c r="C256" s="5" t="s">
        <v>34</v>
      </c>
      <c r="D256" s="5">
        <v>2022</v>
      </c>
      <c r="E256" s="5">
        <v>1</v>
      </c>
      <c r="F256" s="5">
        <v>71329207</v>
      </c>
      <c r="G256" s="5">
        <v>60916204.719999999</v>
      </c>
      <c r="H256" s="5">
        <v>0.14599999999999999</v>
      </c>
    </row>
    <row r="257" spans="1:8" x14ac:dyDescent="0.3">
      <c r="A257" s="5">
        <v>6</v>
      </c>
      <c r="B257" s="5" t="s">
        <v>207</v>
      </c>
      <c r="C257" s="5" t="s">
        <v>35</v>
      </c>
      <c r="D257" s="5">
        <v>2022</v>
      </c>
      <c r="E257" s="5">
        <v>2</v>
      </c>
      <c r="F257" s="5">
        <v>60875696</v>
      </c>
      <c r="G257" s="5">
        <v>52043968.880000003</v>
      </c>
      <c r="H257" s="5">
        <v>0.14510000000000001</v>
      </c>
    </row>
    <row r="258" spans="1:8" x14ac:dyDescent="0.3">
      <c r="A258" s="5">
        <v>6</v>
      </c>
      <c r="B258" s="5" t="s">
        <v>207</v>
      </c>
      <c r="C258" s="5" t="s">
        <v>36</v>
      </c>
      <c r="D258" s="5">
        <v>2022</v>
      </c>
      <c r="E258" s="5">
        <v>3</v>
      </c>
      <c r="F258" s="5">
        <v>74059130</v>
      </c>
      <c r="G258" s="5">
        <v>64481311.68</v>
      </c>
      <c r="H258" s="5">
        <v>0.1293</v>
      </c>
    </row>
    <row r="259" spans="1:8" x14ac:dyDescent="0.3">
      <c r="A259" s="5">
        <v>6</v>
      </c>
      <c r="B259" s="5" t="s">
        <v>207</v>
      </c>
      <c r="C259" s="5" t="s">
        <v>37</v>
      </c>
      <c r="D259" s="5">
        <v>2022</v>
      </c>
      <c r="E259" s="5">
        <v>4</v>
      </c>
      <c r="F259" s="5">
        <v>73349102</v>
      </c>
      <c r="G259" s="5">
        <v>64615142.399999999</v>
      </c>
      <c r="H259" s="5">
        <v>0.1191</v>
      </c>
    </row>
    <row r="260" spans="1:8" x14ac:dyDescent="0.3">
      <c r="A260" s="5">
        <v>6</v>
      </c>
      <c r="B260" s="5" t="s">
        <v>207</v>
      </c>
      <c r="C260" s="5" t="s">
        <v>38</v>
      </c>
      <c r="D260" s="5">
        <v>2022</v>
      </c>
      <c r="E260" s="5">
        <v>5</v>
      </c>
      <c r="F260" s="5">
        <v>81712859</v>
      </c>
      <c r="G260" s="5">
        <v>73197909</v>
      </c>
      <c r="H260" s="5">
        <v>0.1042</v>
      </c>
    </row>
    <row r="261" spans="1:8" x14ac:dyDescent="0.3">
      <c r="A261" s="5">
        <v>6</v>
      </c>
      <c r="B261" s="5" t="s">
        <v>207</v>
      </c>
      <c r="C261" s="5" t="s">
        <v>39</v>
      </c>
      <c r="D261" s="5">
        <v>2022</v>
      </c>
      <c r="E261" s="5">
        <v>6</v>
      </c>
      <c r="F261" s="5">
        <v>78188709</v>
      </c>
      <c r="G261" s="5">
        <v>68844056.099999994</v>
      </c>
      <c r="H261" s="5">
        <v>0.1195</v>
      </c>
    </row>
    <row r="262" spans="1:8" x14ac:dyDescent="0.3">
      <c r="A262" s="5">
        <v>6</v>
      </c>
      <c r="B262" s="5" t="s">
        <v>207</v>
      </c>
      <c r="C262" s="5" t="s">
        <v>40</v>
      </c>
      <c r="D262" s="5">
        <v>2022</v>
      </c>
      <c r="E262" s="5">
        <v>7</v>
      </c>
      <c r="F262" s="5">
        <v>73634144</v>
      </c>
      <c r="G262" s="5">
        <v>66741051.880000003</v>
      </c>
      <c r="H262" s="5">
        <v>9.3600000000000003E-2</v>
      </c>
    </row>
    <row r="263" spans="1:8" x14ac:dyDescent="0.3">
      <c r="A263" s="5">
        <v>6</v>
      </c>
      <c r="B263" s="5" t="s">
        <v>207</v>
      </c>
      <c r="C263" s="5" t="s">
        <v>41</v>
      </c>
      <c r="D263" s="5">
        <v>2022</v>
      </c>
      <c r="E263" s="5">
        <v>8</v>
      </c>
      <c r="F263" s="5">
        <v>71024356</v>
      </c>
      <c r="G263" s="5">
        <v>67977704.719999999</v>
      </c>
      <c r="H263" s="5">
        <v>4.2900000000000001E-2</v>
      </c>
    </row>
    <row r="264" spans="1:8" x14ac:dyDescent="0.3">
      <c r="A264" s="5">
        <v>6</v>
      </c>
      <c r="B264" s="5" t="s">
        <v>207</v>
      </c>
      <c r="C264" s="5" t="s">
        <v>42</v>
      </c>
      <c r="D264" s="5">
        <v>2022</v>
      </c>
      <c r="E264" s="5">
        <v>9</v>
      </c>
      <c r="F264" s="5">
        <v>84755983</v>
      </c>
      <c r="G264" s="5">
        <v>75643986.930000007</v>
      </c>
      <c r="H264" s="5">
        <v>0.1075</v>
      </c>
    </row>
    <row r="265" spans="1:8" x14ac:dyDescent="0.3">
      <c r="A265" s="5">
        <v>6</v>
      </c>
      <c r="B265" s="5" t="s">
        <v>207</v>
      </c>
      <c r="C265" s="5" t="s">
        <v>43</v>
      </c>
      <c r="D265" s="5">
        <v>2022</v>
      </c>
      <c r="E265" s="5">
        <v>10</v>
      </c>
      <c r="F265" s="5">
        <v>96723081</v>
      </c>
      <c r="G265" s="5">
        <v>88013227.370000005</v>
      </c>
      <c r="H265" s="5">
        <v>0.09</v>
      </c>
    </row>
    <row r="266" spans="1:8" x14ac:dyDescent="0.3">
      <c r="A266" s="5">
        <v>6</v>
      </c>
      <c r="B266" s="5" t="s">
        <v>207</v>
      </c>
      <c r="C266" s="5" t="s">
        <v>44</v>
      </c>
      <c r="D266" s="5">
        <v>2022</v>
      </c>
      <c r="E266" s="5">
        <v>11</v>
      </c>
      <c r="F266" s="5">
        <v>106129119</v>
      </c>
      <c r="G266" s="5">
        <v>92579086.010000005</v>
      </c>
      <c r="H266" s="5">
        <v>0.12770000000000001</v>
      </c>
    </row>
    <row r="267" spans="1:8" x14ac:dyDescent="0.3">
      <c r="A267" s="5">
        <v>6</v>
      </c>
      <c r="B267" s="5" t="s">
        <v>207</v>
      </c>
      <c r="C267" s="5" t="s">
        <v>45</v>
      </c>
      <c r="D267" s="5">
        <v>2022</v>
      </c>
      <c r="E267" s="5">
        <v>12</v>
      </c>
      <c r="F267" s="5">
        <v>114209298</v>
      </c>
      <c r="G267" s="5">
        <v>96426894.769999996</v>
      </c>
      <c r="H267" s="5">
        <v>0.15570000000000001</v>
      </c>
    </row>
    <row r="268" spans="1:8" x14ac:dyDescent="0.3">
      <c r="A268" s="5">
        <v>6</v>
      </c>
      <c r="B268" s="5" t="s">
        <v>207</v>
      </c>
      <c r="C268" s="5" t="s">
        <v>46</v>
      </c>
      <c r="D268" s="5">
        <v>2023</v>
      </c>
      <c r="E268" s="5">
        <v>1</v>
      </c>
      <c r="F268" s="5">
        <v>90368976</v>
      </c>
      <c r="G268" s="5">
        <v>80483207.549999997</v>
      </c>
      <c r="H268" s="5">
        <v>0.1094</v>
      </c>
    </row>
    <row r="269" spans="1:8" x14ac:dyDescent="0.3">
      <c r="A269" s="5">
        <v>6</v>
      </c>
      <c r="B269" s="5" t="s">
        <v>207</v>
      </c>
      <c r="C269" s="5" t="s">
        <v>47</v>
      </c>
      <c r="D269" s="5">
        <v>2023</v>
      </c>
      <c r="E269" s="5">
        <v>2</v>
      </c>
      <c r="F269" s="5">
        <v>78962248</v>
      </c>
      <c r="G269" s="5">
        <v>69392666.469999999</v>
      </c>
      <c r="H269" s="5">
        <v>0.1212</v>
      </c>
    </row>
    <row r="270" spans="1:8" x14ac:dyDescent="0.3">
      <c r="A270" s="5">
        <v>6</v>
      </c>
      <c r="B270" s="5" t="s">
        <v>207</v>
      </c>
      <c r="C270" s="5" t="s">
        <v>48</v>
      </c>
      <c r="D270" s="5">
        <v>2023</v>
      </c>
      <c r="E270" s="5">
        <v>3</v>
      </c>
      <c r="F270" s="5">
        <v>96015760</v>
      </c>
      <c r="G270" s="5">
        <v>85279526.379999995</v>
      </c>
      <c r="H270" s="5">
        <v>0.1118</v>
      </c>
    </row>
    <row r="271" spans="1:8" x14ac:dyDescent="0.3">
      <c r="A271" s="5">
        <v>6</v>
      </c>
      <c r="B271" s="5" t="s">
        <v>207</v>
      </c>
      <c r="C271" s="5" t="s">
        <v>49</v>
      </c>
      <c r="D271" s="5">
        <v>2023</v>
      </c>
      <c r="E271" s="5">
        <v>4</v>
      </c>
      <c r="F271" s="5">
        <v>96132766</v>
      </c>
      <c r="G271" s="5">
        <v>85660278.879999995</v>
      </c>
      <c r="H271" s="5">
        <v>0.1089</v>
      </c>
    </row>
    <row r="272" spans="1:8" x14ac:dyDescent="0.3">
      <c r="A272" s="5">
        <v>6</v>
      </c>
      <c r="B272" s="5" t="s">
        <v>207</v>
      </c>
      <c r="C272" s="5" t="s">
        <v>50</v>
      </c>
      <c r="D272" s="5">
        <v>2023</v>
      </c>
      <c r="E272" s="5">
        <v>5</v>
      </c>
      <c r="F272" s="5">
        <v>106969664</v>
      </c>
      <c r="G272" s="5">
        <v>94718800.870000005</v>
      </c>
      <c r="H272" s="5">
        <v>0.1145</v>
      </c>
    </row>
    <row r="273" spans="1:8" x14ac:dyDescent="0.3">
      <c r="A273" s="5">
        <v>6</v>
      </c>
      <c r="B273" s="5" t="s">
        <v>207</v>
      </c>
      <c r="C273" s="5" t="s">
        <v>51</v>
      </c>
      <c r="D273" s="5">
        <v>2023</v>
      </c>
      <c r="E273" s="5">
        <v>6</v>
      </c>
      <c r="F273" s="5">
        <v>95379654</v>
      </c>
      <c r="G273" s="5">
        <v>83411344.219999999</v>
      </c>
      <c r="H273" s="5">
        <v>0.1255</v>
      </c>
    </row>
    <row r="274" spans="1:8" x14ac:dyDescent="0.3">
      <c r="A274" s="5">
        <v>6</v>
      </c>
      <c r="B274" s="5" t="s">
        <v>207</v>
      </c>
      <c r="C274" s="5" t="s">
        <v>52</v>
      </c>
      <c r="D274" s="5">
        <v>2023</v>
      </c>
      <c r="E274" s="5">
        <v>7</v>
      </c>
      <c r="F274" s="5">
        <v>91552845</v>
      </c>
      <c r="G274" s="5">
        <v>83190875.890000001</v>
      </c>
      <c r="H274" s="5">
        <v>9.1300000000000006E-2</v>
      </c>
    </row>
    <row r="275" spans="1:8" x14ac:dyDescent="0.3">
      <c r="A275" s="5">
        <v>6</v>
      </c>
      <c r="B275" s="5" t="s">
        <v>207</v>
      </c>
      <c r="C275" s="5" t="s">
        <v>53</v>
      </c>
      <c r="D275" s="5">
        <v>2023</v>
      </c>
      <c r="E275" s="5">
        <v>8</v>
      </c>
      <c r="F275" s="5">
        <v>97078916</v>
      </c>
      <c r="G275" s="5">
        <v>86748763.189999998</v>
      </c>
      <c r="H275" s="5">
        <v>0.10639999999999999</v>
      </c>
    </row>
    <row r="276" spans="1:8" x14ac:dyDescent="0.3">
      <c r="A276" s="5">
        <v>6</v>
      </c>
      <c r="B276" s="5" t="s">
        <v>207</v>
      </c>
      <c r="C276" s="5" t="s">
        <v>54</v>
      </c>
      <c r="D276" s="5">
        <v>2023</v>
      </c>
      <c r="E276" s="5">
        <v>9</v>
      </c>
      <c r="F276" s="5">
        <v>106718154</v>
      </c>
      <c r="G276" s="5">
        <v>97332547.069999993</v>
      </c>
      <c r="H276" s="5">
        <v>8.7900000000000006E-2</v>
      </c>
    </row>
    <row r="277" spans="1:8" x14ac:dyDescent="0.3">
      <c r="A277" s="5">
        <v>6</v>
      </c>
      <c r="B277" s="5" t="s">
        <v>207</v>
      </c>
      <c r="C277" s="5" t="s">
        <v>55</v>
      </c>
      <c r="D277" s="5">
        <v>2023</v>
      </c>
      <c r="E277" s="5">
        <v>10</v>
      </c>
      <c r="F277" s="5">
        <v>136547787</v>
      </c>
      <c r="G277" s="5">
        <v>121029898.94</v>
      </c>
      <c r="H277" s="5">
        <v>0.11360000000000001</v>
      </c>
    </row>
    <row r="278" spans="1:8" x14ac:dyDescent="0.3">
      <c r="A278" s="5">
        <v>6</v>
      </c>
      <c r="B278" s="5" t="s">
        <v>207</v>
      </c>
      <c r="C278" s="5" t="s">
        <v>56</v>
      </c>
      <c r="D278" s="5">
        <v>2023</v>
      </c>
      <c r="E278" s="5">
        <v>11</v>
      </c>
      <c r="F278" s="5">
        <v>135171428</v>
      </c>
      <c r="G278" s="5">
        <v>122549948.55</v>
      </c>
      <c r="H278" s="5">
        <v>9.3399999999999997E-2</v>
      </c>
    </row>
    <row r="279" spans="1:8" x14ac:dyDescent="0.3">
      <c r="A279" s="5">
        <v>6</v>
      </c>
      <c r="B279" s="5" t="s">
        <v>207</v>
      </c>
      <c r="C279" s="5" t="s">
        <v>57</v>
      </c>
      <c r="D279" s="5">
        <v>2023</v>
      </c>
      <c r="E279" s="5">
        <v>12</v>
      </c>
      <c r="F279" s="5">
        <v>131821612</v>
      </c>
      <c r="G279" s="5">
        <v>121858763.56999999</v>
      </c>
      <c r="H279" s="5">
        <v>7.5600000000000001E-2</v>
      </c>
    </row>
    <row r="280" spans="1:8" x14ac:dyDescent="0.3">
      <c r="A280" s="5">
        <v>6</v>
      </c>
      <c r="B280" s="5" t="s">
        <v>207</v>
      </c>
      <c r="C280" s="5" t="s">
        <v>58</v>
      </c>
      <c r="D280" s="5">
        <v>2024</v>
      </c>
      <c r="E280" s="5">
        <v>1</v>
      </c>
      <c r="F280" s="5">
        <v>91676109</v>
      </c>
      <c r="G280" s="5">
        <v>82598595.629999995</v>
      </c>
      <c r="H280" s="5">
        <v>9.9000000000000005E-2</v>
      </c>
    </row>
    <row r="281" spans="1:8" x14ac:dyDescent="0.3">
      <c r="A281" s="5">
        <v>6</v>
      </c>
      <c r="B281" s="5" t="s">
        <v>207</v>
      </c>
      <c r="C281" s="5" t="s">
        <v>59</v>
      </c>
      <c r="D281" s="5">
        <v>2024</v>
      </c>
      <c r="E281" s="5">
        <v>2</v>
      </c>
      <c r="F281" s="5">
        <v>96083718</v>
      </c>
      <c r="G281" s="5">
        <v>84000749.620000005</v>
      </c>
      <c r="H281" s="5">
        <v>0.1258</v>
      </c>
    </row>
    <row r="282" spans="1:8" x14ac:dyDescent="0.3">
      <c r="A282" s="5">
        <v>6</v>
      </c>
      <c r="B282" s="5" t="s">
        <v>207</v>
      </c>
      <c r="C282" s="5" t="s">
        <v>60</v>
      </c>
      <c r="D282" s="5">
        <v>2024</v>
      </c>
      <c r="E282" s="5">
        <v>3</v>
      </c>
      <c r="F282" s="5">
        <v>105067599</v>
      </c>
      <c r="G282" s="5">
        <v>92853204.319999993</v>
      </c>
      <c r="H282" s="5">
        <v>0.1163</v>
      </c>
    </row>
    <row r="283" spans="1:8" x14ac:dyDescent="0.3">
      <c r="A283" s="5">
        <v>6</v>
      </c>
      <c r="B283" s="5" t="s">
        <v>207</v>
      </c>
      <c r="C283" s="5" t="s">
        <v>61</v>
      </c>
      <c r="D283" s="5">
        <v>2024</v>
      </c>
      <c r="E283" s="5">
        <v>4</v>
      </c>
      <c r="F283" s="5">
        <v>102570856</v>
      </c>
      <c r="G283" s="5">
        <v>90397563.170000002</v>
      </c>
      <c r="H283" s="5">
        <v>0.1187</v>
      </c>
    </row>
    <row r="284" spans="1:8" x14ac:dyDescent="0.3">
      <c r="A284" s="5">
        <v>6</v>
      </c>
      <c r="B284" s="5" t="s">
        <v>207</v>
      </c>
      <c r="C284" s="5" t="s">
        <v>62</v>
      </c>
      <c r="D284" s="5">
        <v>2024</v>
      </c>
      <c r="E284" s="5">
        <v>5</v>
      </c>
      <c r="F284" s="5">
        <v>109054398</v>
      </c>
      <c r="G284" s="5">
        <v>98306616.599999994</v>
      </c>
      <c r="H284" s="5">
        <v>9.8599999999999993E-2</v>
      </c>
    </row>
    <row r="285" spans="1:8" x14ac:dyDescent="0.3">
      <c r="A285" s="5">
        <v>6</v>
      </c>
      <c r="B285" s="5" t="s">
        <v>207</v>
      </c>
      <c r="C285" s="5" t="s">
        <v>63</v>
      </c>
      <c r="D285" s="5">
        <v>2024</v>
      </c>
      <c r="E285" s="5">
        <v>6</v>
      </c>
      <c r="F285" s="5">
        <v>116146880</v>
      </c>
      <c r="G285" s="5">
        <v>98902391.209999993</v>
      </c>
      <c r="H285" s="5">
        <v>0.14849999999999999</v>
      </c>
    </row>
    <row r="286" spans="1:8" x14ac:dyDescent="0.3">
      <c r="A286" s="5">
        <v>6</v>
      </c>
      <c r="B286" s="5" t="s">
        <v>207</v>
      </c>
      <c r="C286" s="5" t="s">
        <v>64</v>
      </c>
      <c r="D286" s="5">
        <v>2024</v>
      </c>
      <c r="E286" s="5">
        <v>7</v>
      </c>
      <c r="F286" s="5">
        <v>106086326</v>
      </c>
      <c r="G286" s="5">
        <v>92062192.640000001</v>
      </c>
      <c r="H286" s="5">
        <v>0.13220000000000001</v>
      </c>
    </row>
    <row r="287" spans="1:8" x14ac:dyDescent="0.3">
      <c r="A287" s="5">
        <v>6</v>
      </c>
      <c r="B287" s="5" t="s">
        <v>207</v>
      </c>
      <c r="C287" s="5" t="s">
        <v>65</v>
      </c>
      <c r="D287" s="5">
        <v>2024</v>
      </c>
      <c r="E287" s="5">
        <v>8</v>
      </c>
      <c r="F287" s="5">
        <v>107059520</v>
      </c>
      <c r="G287" s="5">
        <v>93023186.400000006</v>
      </c>
      <c r="H287" s="5">
        <v>0.13109999999999999</v>
      </c>
    </row>
    <row r="288" spans="1:8" x14ac:dyDescent="0.3">
      <c r="A288" s="5">
        <v>6</v>
      </c>
      <c r="B288" s="5" t="s">
        <v>207</v>
      </c>
      <c r="C288" s="5" t="s">
        <v>66</v>
      </c>
      <c r="D288" s="5">
        <v>2024</v>
      </c>
      <c r="E288" s="5">
        <v>9</v>
      </c>
      <c r="F288" s="5">
        <v>123554059</v>
      </c>
      <c r="G288" s="5">
        <v>103696003.78</v>
      </c>
      <c r="H288" s="5">
        <v>0.16070000000000001</v>
      </c>
    </row>
    <row r="289" spans="1:8" x14ac:dyDescent="0.3">
      <c r="A289" s="5">
        <v>6</v>
      </c>
      <c r="B289" s="5" t="s">
        <v>207</v>
      </c>
      <c r="C289" s="5" t="s">
        <v>67</v>
      </c>
      <c r="D289" s="5">
        <v>2024</v>
      </c>
      <c r="E289" s="5">
        <v>10</v>
      </c>
      <c r="F289" s="5">
        <v>158732764</v>
      </c>
      <c r="G289" s="5">
        <v>130029221.64</v>
      </c>
      <c r="H289" s="5">
        <v>0.18079999999999999</v>
      </c>
    </row>
    <row r="290" spans="1:8" x14ac:dyDescent="0.3">
      <c r="A290" s="5">
        <v>6</v>
      </c>
      <c r="B290" s="5" t="s">
        <v>207</v>
      </c>
      <c r="C290" s="5" t="s">
        <v>68</v>
      </c>
      <c r="D290" s="5">
        <v>2024</v>
      </c>
      <c r="E290" s="5">
        <v>11</v>
      </c>
      <c r="F290" s="5">
        <v>163861741</v>
      </c>
      <c r="G290" s="5">
        <v>139619345.91999999</v>
      </c>
      <c r="H290" s="5">
        <v>0.1479</v>
      </c>
    </row>
    <row r="291" spans="1:8" x14ac:dyDescent="0.3">
      <c r="A291" s="5">
        <v>6</v>
      </c>
      <c r="B291" s="5" t="s">
        <v>207</v>
      </c>
      <c r="C291" s="5" t="s">
        <v>69</v>
      </c>
      <c r="D291" s="5">
        <v>2024</v>
      </c>
      <c r="E291" s="5">
        <v>12</v>
      </c>
      <c r="F291" s="5">
        <v>161968864</v>
      </c>
      <c r="G291" s="5">
        <v>132412096.89</v>
      </c>
      <c r="H291" s="5">
        <v>0.1825</v>
      </c>
    </row>
    <row r="292" spans="1:8" x14ac:dyDescent="0.3">
      <c r="A292" s="5">
        <v>7</v>
      </c>
      <c r="B292" s="5" t="s">
        <v>216</v>
      </c>
      <c r="C292" s="5" t="s">
        <v>22</v>
      </c>
      <c r="D292" s="5">
        <v>2021</v>
      </c>
      <c r="E292" s="5">
        <v>1</v>
      </c>
      <c r="F292" s="5">
        <v>13319181</v>
      </c>
      <c r="G292" s="5">
        <v>12645037.58</v>
      </c>
      <c r="H292" s="5">
        <v>5.0599999999999999E-2</v>
      </c>
    </row>
    <row r="293" spans="1:8" x14ac:dyDescent="0.3">
      <c r="A293" s="5">
        <v>7</v>
      </c>
      <c r="B293" s="5" t="s">
        <v>216</v>
      </c>
      <c r="C293" s="5" t="s">
        <v>23</v>
      </c>
      <c r="D293" s="5">
        <v>2021</v>
      </c>
      <c r="E293" s="5">
        <v>2</v>
      </c>
      <c r="F293" s="5">
        <v>11269285</v>
      </c>
      <c r="G293" s="5">
        <v>10240253.18</v>
      </c>
      <c r="H293" s="5">
        <v>9.1300000000000006E-2</v>
      </c>
    </row>
    <row r="294" spans="1:8" x14ac:dyDescent="0.3">
      <c r="A294" s="5">
        <v>7</v>
      </c>
      <c r="B294" s="5" t="s">
        <v>216</v>
      </c>
      <c r="C294" s="5" t="s">
        <v>24</v>
      </c>
      <c r="D294" s="5">
        <v>2021</v>
      </c>
      <c r="E294" s="5">
        <v>3</v>
      </c>
      <c r="F294" s="5">
        <v>16237365</v>
      </c>
      <c r="G294" s="5">
        <v>13847845.77</v>
      </c>
      <c r="H294" s="5">
        <v>0.1472</v>
      </c>
    </row>
    <row r="295" spans="1:8" x14ac:dyDescent="0.3">
      <c r="A295" s="5">
        <v>7</v>
      </c>
      <c r="B295" s="5" t="s">
        <v>216</v>
      </c>
      <c r="C295" s="5" t="s">
        <v>25</v>
      </c>
      <c r="D295" s="5">
        <v>2021</v>
      </c>
      <c r="E295" s="5">
        <v>4</v>
      </c>
      <c r="F295" s="5">
        <v>13843057</v>
      </c>
      <c r="G295" s="5">
        <v>12436286.41</v>
      </c>
      <c r="H295" s="5">
        <v>0.1016</v>
      </c>
    </row>
    <row r="296" spans="1:8" x14ac:dyDescent="0.3">
      <c r="A296" s="5">
        <v>7</v>
      </c>
      <c r="B296" s="5" t="s">
        <v>216</v>
      </c>
      <c r="C296" s="5" t="s">
        <v>26</v>
      </c>
      <c r="D296" s="5">
        <v>2021</v>
      </c>
      <c r="E296" s="5">
        <v>5</v>
      </c>
      <c r="F296" s="5">
        <v>16272320</v>
      </c>
      <c r="G296" s="5">
        <v>14595923.16</v>
      </c>
      <c r="H296" s="5">
        <v>0.10299999999999999</v>
      </c>
    </row>
    <row r="297" spans="1:8" x14ac:dyDescent="0.3">
      <c r="A297" s="5">
        <v>7</v>
      </c>
      <c r="B297" s="5" t="s">
        <v>216</v>
      </c>
      <c r="C297" s="5" t="s">
        <v>27</v>
      </c>
      <c r="D297" s="5">
        <v>2021</v>
      </c>
      <c r="E297" s="5">
        <v>6</v>
      </c>
      <c r="F297" s="5">
        <v>16134602</v>
      </c>
      <c r="G297" s="5">
        <v>14362940.890000001</v>
      </c>
      <c r="H297" s="5">
        <v>0.10979999999999999</v>
      </c>
    </row>
    <row r="298" spans="1:8" x14ac:dyDescent="0.3">
      <c r="A298" s="5">
        <v>7</v>
      </c>
      <c r="B298" s="5" t="s">
        <v>216</v>
      </c>
      <c r="C298" s="5" t="s">
        <v>28</v>
      </c>
      <c r="D298" s="5">
        <v>2021</v>
      </c>
      <c r="E298" s="5">
        <v>7</v>
      </c>
      <c r="F298" s="5">
        <v>15484248</v>
      </c>
      <c r="G298" s="5">
        <v>13819735.18</v>
      </c>
      <c r="H298" s="5">
        <v>0.1075</v>
      </c>
    </row>
    <row r="299" spans="1:8" x14ac:dyDescent="0.3">
      <c r="A299" s="5">
        <v>7</v>
      </c>
      <c r="B299" s="5" t="s">
        <v>216</v>
      </c>
      <c r="C299" s="5" t="s">
        <v>29</v>
      </c>
      <c r="D299" s="5">
        <v>2021</v>
      </c>
      <c r="E299" s="5">
        <v>8</v>
      </c>
      <c r="F299" s="5">
        <v>15956346</v>
      </c>
      <c r="G299" s="5">
        <v>13868758.390000001</v>
      </c>
      <c r="H299" s="5">
        <v>0.1308</v>
      </c>
    </row>
    <row r="300" spans="1:8" x14ac:dyDescent="0.3">
      <c r="A300" s="5">
        <v>7</v>
      </c>
      <c r="B300" s="5" t="s">
        <v>216</v>
      </c>
      <c r="C300" s="5" t="s">
        <v>30</v>
      </c>
      <c r="D300" s="5">
        <v>2021</v>
      </c>
      <c r="E300" s="5">
        <v>9</v>
      </c>
      <c r="F300" s="5">
        <v>14820591</v>
      </c>
      <c r="G300" s="5">
        <v>13066996.01</v>
      </c>
      <c r="H300" s="5">
        <v>0.1183</v>
      </c>
    </row>
    <row r="301" spans="1:8" x14ac:dyDescent="0.3">
      <c r="A301" s="5">
        <v>7</v>
      </c>
      <c r="B301" s="5" t="s">
        <v>216</v>
      </c>
      <c r="C301" s="5" t="s">
        <v>31</v>
      </c>
      <c r="D301" s="5">
        <v>2021</v>
      </c>
      <c r="E301" s="5">
        <v>10</v>
      </c>
      <c r="F301" s="5">
        <v>22186679</v>
      </c>
      <c r="G301" s="5">
        <v>19423029.359999999</v>
      </c>
      <c r="H301" s="5">
        <v>0.1246</v>
      </c>
    </row>
    <row r="302" spans="1:8" x14ac:dyDescent="0.3">
      <c r="A302" s="5">
        <v>7</v>
      </c>
      <c r="B302" s="5" t="s">
        <v>216</v>
      </c>
      <c r="C302" s="5" t="s">
        <v>32</v>
      </c>
      <c r="D302" s="5">
        <v>2021</v>
      </c>
      <c r="E302" s="5">
        <v>11</v>
      </c>
      <c r="F302" s="5">
        <v>22332709</v>
      </c>
      <c r="G302" s="5">
        <v>18998588.719999999</v>
      </c>
      <c r="H302" s="5">
        <v>0.14929999999999999</v>
      </c>
    </row>
    <row r="303" spans="1:8" x14ac:dyDescent="0.3">
      <c r="A303" s="5">
        <v>7</v>
      </c>
      <c r="B303" s="5" t="s">
        <v>216</v>
      </c>
      <c r="C303" s="5" t="s">
        <v>33</v>
      </c>
      <c r="D303" s="5">
        <v>2021</v>
      </c>
      <c r="E303" s="5">
        <v>12</v>
      </c>
      <c r="F303" s="5">
        <v>23206730</v>
      </c>
      <c r="G303" s="5">
        <v>19798562.949999999</v>
      </c>
      <c r="H303" s="5">
        <v>0.1469</v>
      </c>
    </row>
    <row r="304" spans="1:8" x14ac:dyDescent="0.3">
      <c r="A304" s="5">
        <v>7</v>
      </c>
      <c r="B304" s="5" t="s">
        <v>216</v>
      </c>
      <c r="C304" s="5" t="s">
        <v>34</v>
      </c>
      <c r="D304" s="5">
        <v>2022</v>
      </c>
      <c r="E304" s="5">
        <v>1</v>
      </c>
      <c r="F304" s="5">
        <v>20022364</v>
      </c>
      <c r="G304" s="5">
        <v>17275158.199999999</v>
      </c>
      <c r="H304" s="5">
        <v>0.13719999999999999</v>
      </c>
    </row>
    <row r="305" spans="1:8" x14ac:dyDescent="0.3">
      <c r="A305" s="5">
        <v>7</v>
      </c>
      <c r="B305" s="5" t="s">
        <v>216</v>
      </c>
      <c r="C305" s="5" t="s">
        <v>35</v>
      </c>
      <c r="D305" s="5">
        <v>2022</v>
      </c>
      <c r="E305" s="5">
        <v>2</v>
      </c>
      <c r="F305" s="5">
        <v>17319609</v>
      </c>
      <c r="G305" s="5">
        <v>15002215.039999999</v>
      </c>
      <c r="H305" s="5">
        <v>0.1338</v>
      </c>
    </row>
    <row r="306" spans="1:8" x14ac:dyDescent="0.3">
      <c r="A306" s="5">
        <v>7</v>
      </c>
      <c r="B306" s="5" t="s">
        <v>216</v>
      </c>
      <c r="C306" s="5" t="s">
        <v>36</v>
      </c>
      <c r="D306" s="5">
        <v>2022</v>
      </c>
      <c r="E306" s="5">
        <v>3</v>
      </c>
      <c r="F306" s="5">
        <v>22402485</v>
      </c>
      <c r="G306" s="5">
        <v>19885847.109999999</v>
      </c>
      <c r="H306" s="5">
        <v>0.1123</v>
      </c>
    </row>
    <row r="307" spans="1:8" x14ac:dyDescent="0.3">
      <c r="A307" s="5">
        <v>7</v>
      </c>
      <c r="B307" s="5" t="s">
        <v>216</v>
      </c>
      <c r="C307" s="5" t="s">
        <v>37</v>
      </c>
      <c r="D307" s="5">
        <v>2022</v>
      </c>
      <c r="E307" s="5">
        <v>4</v>
      </c>
      <c r="F307" s="5">
        <v>22664228</v>
      </c>
      <c r="G307" s="5">
        <v>20161195.73</v>
      </c>
      <c r="H307" s="5">
        <v>0.1104</v>
      </c>
    </row>
    <row r="308" spans="1:8" x14ac:dyDescent="0.3">
      <c r="A308" s="5">
        <v>7</v>
      </c>
      <c r="B308" s="5" t="s">
        <v>216</v>
      </c>
      <c r="C308" s="5" t="s">
        <v>38</v>
      </c>
      <c r="D308" s="5">
        <v>2022</v>
      </c>
      <c r="E308" s="5">
        <v>5</v>
      </c>
      <c r="F308" s="5">
        <v>23331614</v>
      </c>
      <c r="G308" s="5">
        <v>20971434.25</v>
      </c>
      <c r="H308" s="5">
        <v>0.1012</v>
      </c>
    </row>
    <row r="309" spans="1:8" x14ac:dyDescent="0.3">
      <c r="A309" s="5">
        <v>7</v>
      </c>
      <c r="B309" s="5" t="s">
        <v>216</v>
      </c>
      <c r="C309" s="5" t="s">
        <v>39</v>
      </c>
      <c r="D309" s="5">
        <v>2022</v>
      </c>
      <c r="E309" s="5">
        <v>6</v>
      </c>
      <c r="F309" s="5">
        <v>20539462</v>
      </c>
      <c r="G309" s="5">
        <v>18300950.82</v>
      </c>
      <c r="H309" s="5">
        <v>0.109</v>
      </c>
    </row>
    <row r="310" spans="1:8" x14ac:dyDescent="0.3">
      <c r="A310" s="5">
        <v>7</v>
      </c>
      <c r="B310" s="5" t="s">
        <v>216</v>
      </c>
      <c r="C310" s="5" t="s">
        <v>40</v>
      </c>
      <c r="D310" s="5">
        <v>2022</v>
      </c>
      <c r="E310" s="5">
        <v>7</v>
      </c>
      <c r="F310" s="5">
        <v>22339448</v>
      </c>
      <c r="G310" s="5">
        <v>20536019.350000001</v>
      </c>
      <c r="H310" s="5">
        <v>8.0699999999999994E-2</v>
      </c>
    </row>
    <row r="311" spans="1:8" x14ac:dyDescent="0.3">
      <c r="A311" s="5">
        <v>7</v>
      </c>
      <c r="B311" s="5" t="s">
        <v>216</v>
      </c>
      <c r="C311" s="5" t="s">
        <v>41</v>
      </c>
      <c r="D311" s="5">
        <v>2022</v>
      </c>
      <c r="E311" s="5">
        <v>8</v>
      </c>
      <c r="F311" s="5">
        <v>20352826</v>
      </c>
      <c r="G311" s="5">
        <v>19429116.93</v>
      </c>
      <c r="H311" s="5">
        <v>4.5400000000000003E-2</v>
      </c>
    </row>
    <row r="312" spans="1:8" x14ac:dyDescent="0.3">
      <c r="A312" s="5">
        <v>7</v>
      </c>
      <c r="B312" s="5" t="s">
        <v>216</v>
      </c>
      <c r="C312" s="5" t="s">
        <v>42</v>
      </c>
      <c r="D312" s="5">
        <v>2022</v>
      </c>
      <c r="E312" s="5">
        <v>9</v>
      </c>
      <c r="F312" s="5">
        <v>24448331</v>
      </c>
      <c r="G312" s="5">
        <v>22076417.010000002</v>
      </c>
      <c r="H312" s="5">
        <v>9.7000000000000003E-2</v>
      </c>
    </row>
    <row r="313" spans="1:8" x14ac:dyDescent="0.3">
      <c r="A313" s="5">
        <v>7</v>
      </c>
      <c r="B313" s="5" t="s">
        <v>216</v>
      </c>
      <c r="C313" s="5" t="s">
        <v>43</v>
      </c>
      <c r="D313" s="5">
        <v>2022</v>
      </c>
      <c r="E313" s="5">
        <v>10</v>
      </c>
      <c r="F313" s="5">
        <v>28340963</v>
      </c>
      <c r="G313" s="5">
        <v>26283105.98</v>
      </c>
      <c r="H313" s="5">
        <v>7.2599999999999998E-2</v>
      </c>
    </row>
    <row r="314" spans="1:8" x14ac:dyDescent="0.3">
      <c r="A314" s="5">
        <v>7</v>
      </c>
      <c r="B314" s="5" t="s">
        <v>216</v>
      </c>
      <c r="C314" s="5" t="s">
        <v>44</v>
      </c>
      <c r="D314" s="5">
        <v>2022</v>
      </c>
      <c r="E314" s="5">
        <v>11</v>
      </c>
      <c r="F314" s="5">
        <v>32843717</v>
      </c>
      <c r="G314" s="5">
        <v>28391728.359999999</v>
      </c>
      <c r="H314" s="5">
        <v>0.1356</v>
      </c>
    </row>
    <row r="315" spans="1:8" x14ac:dyDescent="0.3">
      <c r="A315" s="5">
        <v>7</v>
      </c>
      <c r="B315" s="5" t="s">
        <v>216</v>
      </c>
      <c r="C315" s="5" t="s">
        <v>45</v>
      </c>
      <c r="D315" s="5">
        <v>2022</v>
      </c>
      <c r="E315" s="5">
        <v>12</v>
      </c>
      <c r="F315" s="5">
        <v>30669535</v>
      </c>
      <c r="G315" s="5">
        <v>26184038.129999999</v>
      </c>
      <c r="H315" s="5">
        <v>0.14630000000000001</v>
      </c>
    </row>
    <row r="316" spans="1:8" x14ac:dyDescent="0.3">
      <c r="A316" s="5">
        <v>7</v>
      </c>
      <c r="B316" s="5" t="s">
        <v>216</v>
      </c>
      <c r="C316" s="5" t="s">
        <v>46</v>
      </c>
      <c r="D316" s="5">
        <v>2023</v>
      </c>
      <c r="E316" s="5">
        <v>1</v>
      </c>
      <c r="F316" s="5">
        <v>24463307</v>
      </c>
      <c r="G316" s="5">
        <v>22053796.34</v>
      </c>
      <c r="H316" s="5">
        <v>9.8500000000000004E-2</v>
      </c>
    </row>
    <row r="317" spans="1:8" x14ac:dyDescent="0.3">
      <c r="A317" s="5">
        <v>7</v>
      </c>
      <c r="B317" s="5" t="s">
        <v>216</v>
      </c>
      <c r="C317" s="5" t="s">
        <v>47</v>
      </c>
      <c r="D317" s="5">
        <v>2023</v>
      </c>
      <c r="E317" s="5">
        <v>2</v>
      </c>
      <c r="F317" s="5">
        <v>21740980</v>
      </c>
      <c r="G317" s="5">
        <v>19277563.940000001</v>
      </c>
      <c r="H317" s="5">
        <v>0.1133</v>
      </c>
    </row>
    <row r="318" spans="1:8" x14ac:dyDescent="0.3">
      <c r="A318" s="5">
        <v>7</v>
      </c>
      <c r="B318" s="5" t="s">
        <v>216</v>
      </c>
      <c r="C318" s="5" t="s">
        <v>48</v>
      </c>
      <c r="D318" s="5">
        <v>2023</v>
      </c>
      <c r="E318" s="5">
        <v>3</v>
      </c>
      <c r="F318" s="5">
        <v>25885519</v>
      </c>
      <c r="G318" s="5">
        <v>23303945.800000001</v>
      </c>
      <c r="H318" s="5">
        <v>9.9699999999999997E-2</v>
      </c>
    </row>
    <row r="319" spans="1:8" x14ac:dyDescent="0.3">
      <c r="A319" s="5">
        <v>7</v>
      </c>
      <c r="B319" s="5" t="s">
        <v>216</v>
      </c>
      <c r="C319" s="5" t="s">
        <v>49</v>
      </c>
      <c r="D319" s="5">
        <v>2023</v>
      </c>
      <c r="E319" s="5">
        <v>4</v>
      </c>
      <c r="F319" s="5">
        <v>30417740</v>
      </c>
      <c r="G319" s="5">
        <v>27545217.210000001</v>
      </c>
      <c r="H319" s="5">
        <v>9.4399999999999998E-2</v>
      </c>
    </row>
    <row r="320" spans="1:8" x14ac:dyDescent="0.3">
      <c r="A320" s="5">
        <v>7</v>
      </c>
      <c r="B320" s="5" t="s">
        <v>216</v>
      </c>
      <c r="C320" s="5" t="s">
        <v>50</v>
      </c>
      <c r="D320" s="5">
        <v>2023</v>
      </c>
      <c r="E320" s="5">
        <v>5</v>
      </c>
      <c r="F320" s="5">
        <v>29979188</v>
      </c>
      <c r="G320" s="5">
        <v>26481324.789999999</v>
      </c>
      <c r="H320" s="5">
        <v>0.1167</v>
      </c>
    </row>
    <row r="321" spans="1:8" x14ac:dyDescent="0.3">
      <c r="A321" s="5">
        <v>7</v>
      </c>
      <c r="B321" s="5" t="s">
        <v>216</v>
      </c>
      <c r="C321" s="5" t="s">
        <v>51</v>
      </c>
      <c r="D321" s="5">
        <v>2023</v>
      </c>
      <c r="E321" s="5">
        <v>6</v>
      </c>
      <c r="F321" s="5">
        <v>29575426</v>
      </c>
      <c r="G321" s="5">
        <v>26097090.699999999</v>
      </c>
      <c r="H321" s="5">
        <v>0.1176</v>
      </c>
    </row>
    <row r="322" spans="1:8" x14ac:dyDescent="0.3">
      <c r="A322" s="5">
        <v>7</v>
      </c>
      <c r="B322" s="5" t="s">
        <v>216</v>
      </c>
      <c r="C322" s="5" t="s">
        <v>52</v>
      </c>
      <c r="D322" s="5">
        <v>2023</v>
      </c>
      <c r="E322" s="5">
        <v>7</v>
      </c>
      <c r="F322" s="5">
        <v>24057129</v>
      </c>
      <c r="G322" s="5">
        <v>21834449.219999999</v>
      </c>
      <c r="H322" s="5">
        <v>9.2399999999999996E-2</v>
      </c>
    </row>
    <row r="323" spans="1:8" x14ac:dyDescent="0.3">
      <c r="A323" s="5">
        <v>7</v>
      </c>
      <c r="B323" s="5" t="s">
        <v>216</v>
      </c>
      <c r="C323" s="5" t="s">
        <v>53</v>
      </c>
      <c r="D323" s="5">
        <v>2023</v>
      </c>
      <c r="E323" s="5">
        <v>8</v>
      </c>
      <c r="F323" s="5">
        <v>25035337</v>
      </c>
      <c r="G323" s="5">
        <v>22657731.059999999</v>
      </c>
      <c r="H323" s="5">
        <v>9.5000000000000001E-2</v>
      </c>
    </row>
    <row r="324" spans="1:8" x14ac:dyDescent="0.3">
      <c r="A324" s="5">
        <v>7</v>
      </c>
      <c r="B324" s="5" t="s">
        <v>216</v>
      </c>
      <c r="C324" s="5" t="s">
        <v>54</v>
      </c>
      <c r="D324" s="5">
        <v>2023</v>
      </c>
      <c r="E324" s="5">
        <v>9</v>
      </c>
      <c r="F324" s="5">
        <v>30449725</v>
      </c>
      <c r="G324" s="5">
        <v>27837617.34</v>
      </c>
      <c r="H324" s="5">
        <v>8.5800000000000001E-2</v>
      </c>
    </row>
    <row r="325" spans="1:8" x14ac:dyDescent="0.3">
      <c r="A325" s="5">
        <v>7</v>
      </c>
      <c r="B325" s="5" t="s">
        <v>216</v>
      </c>
      <c r="C325" s="5" t="s">
        <v>55</v>
      </c>
      <c r="D325" s="5">
        <v>2023</v>
      </c>
      <c r="E325" s="5">
        <v>10</v>
      </c>
      <c r="F325" s="5">
        <v>37602257</v>
      </c>
      <c r="G325" s="5">
        <v>33118647.640000001</v>
      </c>
      <c r="H325" s="5">
        <v>0.1192</v>
      </c>
    </row>
    <row r="326" spans="1:8" x14ac:dyDescent="0.3">
      <c r="A326" s="5">
        <v>7</v>
      </c>
      <c r="B326" s="5" t="s">
        <v>216</v>
      </c>
      <c r="C326" s="5" t="s">
        <v>56</v>
      </c>
      <c r="D326" s="5">
        <v>2023</v>
      </c>
      <c r="E326" s="5">
        <v>11</v>
      </c>
      <c r="F326" s="5">
        <v>32234629</v>
      </c>
      <c r="G326" s="5">
        <v>29439607.48</v>
      </c>
      <c r="H326" s="5">
        <v>8.6699999999999999E-2</v>
      </c>
    </row>
    <row r="327" spans="1:8" x14ac:dyDescent="0.3">
      <c r="A327" s="5">
        <v>7</v>
      </c>
      <c r="B327" s="5" t="s">
        <v>216</v>
      </c>
      <c r="C327" s="5" t="s">
        <v>57</v>
      </c>
      <c r="D327" s="5">
        <v>2023</v>
      </c>
      <c r="E327" s="5">
        <v>12</v>
      </c>
      <c r="F327" s="5">
        <v>39318171</v>
      </c>
      <c r="G327" s="5">
        <v>36247158.280000001</v>
      </c>
      <c r="H327" s="5">
        <v>7.8100000000000003E-2</v>
      </c>
    </row>
    <row r="328" spans="1:8" x14ac:dyDescent="0.3">
      <c r="A328" s="5">
        <v>7</v>
      </c>
      <c r="B328" s="5" t="s">
        <v>216</v>
      </c>
      <c r="C328" s="5" t="s">
        <v>58</v>
      </c>
      <c r="D328" s="5">
        <v>2024</v>
      </c>
      <c r="E328" s="5">
        <v>1</v>
      </c>
      <c r="F328" s="5">
        <v>27031774</v>
      </c>
      <c r="G328" s="5">
        <v>24861850.350000001</v>
      </c>
      <c r="H328" s="5">
        <v>8.0299999999999996E-2</v>
      </c>
    </row>
    <row r="329" spans="1:8" x14ac:dyDescent="0.3">
      <c r="A329" s="5">
        <v>7</v>
      </c>
      <c r="B329" s="5" t="s">
        <v>216</v>
      </c>
      <c r="C329" s="5" t="s">
        <v>59</v>
      </c>
      <c r="D329" s="5">
        <v>2024</v>
      </c>
      <c r="E329" s="5">
        <v>2</v>
      </c>
      <c r="F329" s="5">
        <v>26109507</v>
      </c>
      <c r="G329" s="5">
        <v>23043001.719999999</v>
      </c>
      <c r="H329" s="5">
        <v>0.1174</v>
      </c>
    </row>
    <row r="330" spans="1:8" x14ac:dyDescent="0.3">
      <c r="A330" s="5">
        <v>7</v>
      </c>
      <c r="B330" s="5" t="s">
        <v>216</v>
      </c>
      <c r="C330" s="5" t="s">
        <v>60</v>
      </c>
      <c r="D330" s="5">
        <v>2024</v>
      </c>
      <c r="E330" s="5">
        <v>3</v>
      </c>
      <c r="F330" s="5">
        <v>27227605</v>
      </c>
      <c r="G330" s="5">
        <v>24167102.23</v>
      </c>
      <c r="H330" s="5">
        <v>0.1124</v>
      </c>
    </row>
    <row r="331" spans="1:8" x14ac:dyDescent="0.3">
      <c r="A331" s="5">
        <v>7</v>
      </c>
      <c r="B331" s="5" t="s">
        <v>216</v>
      </c>
      <c r="C331" s="5" t="s">
        <v>61</v>
      </c>
      <c r="D331" s="5">
        <v>2024</v>
      </c>
      <c r="E331" s="5">
        <v>4</v>
      </c>
      <c r="F331" s="5">
        <v>26988056</v>
      </c>
      <c r="G331" s="5">
        <v>23742523.109999999</v>
      </c>
      <c r="H331" s="5">
        <v>0.1203</v>
      </c>
    </row>
    <row r="332" spans="1:8" x14ac:dyDescent="0.3">
      <c r="A332" s="5">
        <v>7</v>
      </c>
      <c r="B332" s="5" t="s">
        <v>216</v>
      </c>
      <c r="C332" s="5" t="s">
        <v>62</v>
      </c>
      <c r="D332" s="5">
        <v>2024</v>
      </c>
      <c r="E332" s="5">
        <v>5</v>
      </c>
      <c r="F332" s="5">
        <v>32585537</v>
      </c>
      <c r="G332" s="5">
        <v>29288012.670000002</v>
      </c>
      <c r="H332" s="5">
        <v>0.1012</v>
      </c>
    </row>
    <row r="333" spans="1:8" x14ac:dyDescent="0.3">
      <c r="A333" s="5">
        <v>7</v>
      </c>
      <c r="B333" s="5" t="s">
        <v>216</v>
      </c>
      <c r="C333" s="5" t="s">
        <v>63</v>
      </c>
      <c r="D333" s="5">
        <v>2024</v>
      </c>
      <c r="E333" s="5">
        <v>6</v>
      </c>
      <c r="F333" s="5">
        <v>29730005</v>
      </c>
      <c r="G333" s="5">
        <v>25600314.030000001</v>
      </c>
      <c r="H333" s="5">
        <v>0.1389</v>
      </c>
    </row>
    <row r="334" spans="1:8" x14ac:dyDescent="0.3">
      <c r="A334" s="5">
        <v>7</v>
      </c>
      <c r="B334" s="5" t="s">
        <v>216</v>
      </c>
      <c r="C334" s="5" t="s">
        <v>64</v>
      </c>
      <c r="D334" s="5">
        <v>2024</v>
      </c>
      <c r="E334" s="5">
        <v>7</v>
      </c>
      <c r="F334" s="5">
        <v>30740686</v>
      </c>
      <c r="G334" s="5">
        <v>27260660.879999999</v>
      </c>
      <c r="H334" s="5">
        <v>0.1132</v>
      </c>
    </row>
    <row r="335" spans="1:8" x14ac:dyDescent="0.3">
      <c r="A335" s="5">
        <v>7</v>
      </c>
      <c r="B335" s="5" t="s">
        <v>216</v>
      </c>
      <c r="C335" s="5" t="s">
        <v>65</v>
      </c>
      <c r="D335" s="5">
        <v>2024</v>
      </c>
      <c r="E335" s="5">
        <v>8</v>
      </c>
      <c r="F335" s="5">
        <v>30874843</v>
      </c>
      <c r="G335" s="5">
        <v>27167886.25</v>
      </c>
      <c r="H335" s="5">
        <v>0.1201</v>
      </c>
    </row>
    <row r="336" spans="1:8" x14ac:dyDescent="0.3">
      <c r="A336" s="5">
        <v>7</v>
      </c>
      <c r="B336" s="5" t="s">
        <v>216</v>
      </c>
      <c r="C336" s="5" t="s">
        <v>66</v>
      </c>
      <c r="D336" s="5">
        <v>2024</v>
      </c>
      <c r="E336" s="5">
        <v>9</v>
      </c>
      <c r="F336" s="5">
        <v>34607162</v>
      </c>
      <c r="G336" s="5">
        <v>29293214.579999998</v>
      </c>
      <c r="H336" s="5">
        <v>0.15359999999999999</v>
      </c>
    </row>
    <row r="337" spans="1:8" x14ac:dyDescent="0.3">
      <c r="A337" s="5">
        <v>7</v>
      </c>
      <c r="B337" s="5" t="s">
        <v>216</v>
      </c>
      <c r="C337" s="5" t="s">
        <v>67</v>
      </c>
      <c r="D337" s="5">
        <v>2024</v>
      </c>
      <c r="E337" s="5">
        <v>10</v>
      </c>
      <c r="F337" s="5">
        <v>45476276</v>
      </c>
      <c r="G337" s="5">
        <v>37572355.939999998</v>
      </c>
      <c r="H337" s="5">
        <v>0.17380000000000001</v>
      </c>
    </row>
    <row r="338" spans="1:8" x14ac:dyDescent="0.3">
      <c r="A338" s="5">
        <v>7</v>
      </c>
      <c r="B338" s="5" t="s">
        <v>216</v>
      </c>
      <c r="C338" s="5" t="s">
        <v>68</v>
      </c>
      <c r="D338" s="5">
        <v>2024</v>
      </c>
      <c r="E338" s="5">
        <v>11</v>
      </c>
      <c r="F338" s="5">
        <v>43881216</v>
      </c>
      <c r="G338" s="5">
        <v>38020920.93</v>
      </c>
      <c r="H338" s="5">
        <v>0.13350000000000001</v>
      </c>
    </row>
    <row r="339" spans="1:8" x14ac:dyDescent="0.3">
      <c r="A339" s="5">
        <v>7</v>
      </c>
      <c r="B339" s="5" t="s">
        <v>216</v>
      </c>
      <c r="C339" s="5" t="s">
        <v>69</v>
      </c>
      <c r="D339" s="5">
        <v>2024</v>
      </c>
      <c r="E339" s="5">
        <v>12</v>
      </c>
      <c r="F339" s="5">
        <v>49939081</v>
      </c>
      <c r="G339" s="5">
        <v>41160317.020000003</v>
      </c>
      <c r="H339" s="5">
        <v>0.17580000000000001</v>
      </c>
    </row>
    <row r="340" spans="1:8" x14ac:dyDescent="0.3">
      <c r="A340" s="5">
        <v>8</v>
      </c>
      <c r="B340" s="5" t="s">
        <v>217</v>
      </c>
      <c r="C340" s="5" t="s">
        <v>22</v>
      </c>
      <c r="D340" s="5">
        <v>2021</v>
      </c>
      <c r="E340" s="5">
        <v>1</v>
      </c>
      <c r="F340" s="5">
        <v>5977756</v>
      </c>
      <c r="G340" s="5">
        <v>4691543.5599999996</v>
      </c>
      <c r="H340" s="5">
        <v>0.2152</v>
      </c>
    </row>
    <row r="341" spans="1:8" x14ac:dyDescent="0.3">
      <c r="A341" s="5">
        <v>8</v>
      </c>
      <c r="B341" s="5" t="s">
        <v>217</v>
      </c>
      <c r="C341" s="5" t="s">
        <v>23</v>
      </c>
      <c r="D341" s="5">
        <v>2021</v>
      </c>
      <c r="E341" s="5">
        <v>2</v>
      </c>
      <c r="F341" s="5">
        <v>6154374</v>
      </c>
      <c r="G341" s="5">
        <v>4484031.5599999996</v>
      </c>
      <c r="H341" s="5">
        <v>0.27139999999999997</v>
      </c>
    </row>
    <row r="342" spans="1:8" x14ac:dyDescent="0.3">
      <c r="A342" s="5">
        <v>8</v>
      </c>
      <c r="B342" s="5" t="s">
        <v>217</v>
      </c>
      <c r="C342" s="5" t="s">
        <v>24</v>
      </c>
      <c r="D342" s="5">
        <v>2021</v>
      </c>
      <c r="E342" s="5">
        <v>3</v>
      </c>
      <c r="F342" s="5">
        <v>7198990</v>
      </c>
      <c r="G342" s="5">
        <v>5064267.13</v>
      </c>
      <c r="H342" s="5">
        <v>0.29649999999999999</v>
      </c>
    </row>
    <row r="343" spans="1:8" x14ac:dyDescent="0.3">
      <c r="A343" s="5">
        <v>8</v>
      </c>
      <c r="B343" s="5" t="s">
        <v>217</v>
      </c>
      <c r="C343" s="5" t="s">
        <v>25</v>
      </c>
      <c r="D343" s="5">
        <v>2021</v>
      </c>
      <c r="E343" s="5">
        <v>4</v>
      </c>
      <c r="F343" s="5">
        <v>7534971</v>
      </c>
      <c r="G343" s="5">
        <v>5421317.29</v>
      </c>
      <c r="H343" s="5">
        <v>0.28050000000000003</v>
      </c>
    </row>
    <row r="344" spans="1:8" x14ac:dyDescent="0.3">
      <c r="A344" s="5">
        <v>8</v>
      </c>
      <c r="B344" s="5" t="s">
        <v>217</v>
      </c>
      <c r="C344" s="5" t="s">
        <v>26</v>
      </c>
      <c r="D344" s="5">
        <v>2021</v>
      </c>
      <c r="E344" s="5">
        <v>5</v>
      </c>
      <c r="F344" s="5">
        <v>7713419</v>
      </c>
      <c r="G344" s="5">
        <v>5591119.6500000004</v>
      </c>
      <c r="H344" s="5">
        <v>0.27510000000000001</v>
      </c>
    </row>
    <row r="345" spans="1:8" x14ac:dyDescent="0.3">
      <c r="A345" s="5">
        <v>8</v>
      </c>
      <c r="B345" s="5" t="s">
        <v>217</v>
      </c>
      <c r="C345" s="5" t="s">
        <v>27</v>
      </c>
      <c r="D345" s="5">
        <v>2021</v>
      </c>
      <c r="E345" s="5">
        <v>6</v>
      </c>
      <c r="F345" s="5">
        <v>7074753</v>
      </c>
      <c r="G345" s="5">
        <v>5214666.78</v>
      </c>
      <c r="H345" s="5">
        <v>0.26290000000000002</v>
      </c>
    </row>
    <row r="346" spans="1:8" x14ac:dyDescent="0.3">
      <c r="A346" s="5">
        <v>8</v>
      </c>
      <c r="B346" s="5" t="s">
        <v>217</v>
      </c>
      <c r="C346" s="5" t="s">
        <v>28</v>
      </c>
      <c r="D346" s="5">
        <v>2021</v>
      </c>
      <c r="E346" s="5">
        <v>7</v>
      </c>
      <c r="F346" s="5">
        <v>7089578</v>
      </c>
      <c r="G346" s="5">
        <v>5352914.63</v>
      </c>
      <c r="H346" s="5">
        <v>0.245</v>
      </c>
    </row>
    <row r="347" spans="1:8" x14ac:dyDescent="0.3">
      <c r="A347" s="5">
        <v>8</v>
      </c>
      <c r="B347" s="5" t="s">
        <v>217</v>
      </c>
      <c r="C347" s="5" t="s">
        <v>29</v>
      </c>
      <c r="D347" s="5">
        <v>2021</v>
      </c>
      <c r="E347" s="5">
        <v>8</v>
      </c>
      <c r="F347" s="5">
        <v>7394794</v>
      </c>
      <c r="G347" s="5">
        <v>5174479.4800000004</v>
      </c>
      <c r="H347" s="5">
        <v>0.30030000000000001</v>
      </c>
    </row>
    <row r="348" spans="1:8" x14ac:dyDescent="0.3">
      <c r="A348" s="5">
        <v>8</v>
      </c>
      <c r="B348" s="5" t="s">
        <v>217</v>
      </c>
      <c r="C348" s="5" t="s">
        <v>30</v>
      </c>
      <c r="D348" s="5">
        <v>2021</v>
      </c>
      <c r="E348" s="5">
        <v>9</v>
      </c>
      <c r="F348" s="5">
        <v>7740506</v>
      </c>
      <c r="G348" s="5">
        <v>5593327.7300000004</v>
      </c>
      <c r="H348" s="5">
        <v>0.27739999999999998</v>
      </c>
    </row>
    <row r="349" spans="1:8" x14ac:dyDescent="0.3">
      <c r="A349" s="5">
        <v>8</v>
      </c>
      <c r="B349" s="5" t="s">
        <v>217</v>
      </c>
      <c r="C349" s="5" t="s">
        <v>31</v>
      </c>
      <c r="D349" s="5">
        <v>2021</v>
      </c>
      <c r="E349" s="5">
        <v>10</v>
      </c>
      <c r="F349" s="5">
        <v>10954987</v>
      </c>
      <c r="G349" s="5">
        <v>7721885.5999999996</v>
      </c>
      <c r="H349" s="5">
        <v>0.29509999999999997</v>
      </c>
    </row>
    <row r="350" spans="1:8" x14ac:dyDescent="0.3">
      <c r="A350" s="5">
        <v>8</v>
      </c>
      <c r="B350" s="5" t="s">
        <v>217</v>
      </c>
      <c r="C350" s="5" t="s">
        <v>32</v>
      </c>
      <c r="D350" s="5">
        <v>2021</v>
      </c>
      <c r="E350" s="5">
        <v>11</v>
      </c>
      <c r="F350" s="5">
        <v>11043991</v>
      </c>
      <c r="G350" s="5">
        <v>7611507.75</v>
      </c>
      <c r="H350" s="5">
        <v>0.31080000000000002</v>
      </c>
    </row>
    <row r="351" spans="1:8" x14ac:dyDescent="0.3">
      <c r="A351" s="5">
        <v>8</v>
      </c>
      <c r="B351" s="5" t="s">
        <v>217</v>
      </c>
      <c r="C351" s="5" t="s">
        <v>33</v>
      </c>
      <c r="D351" s="5">
        <v>2021</v>
      </c>
      <c r="E351" s="5">
        <v>12</v>
      </c>
      <c r="F351" s="5">
        <v>10325231</v>
      </c>
      <c r="G351" s="5">
        <v>7295440.2999999998</v>
      </c>
      <c r="H351" s="5">
        <v>0.29339999999999999</v>
      </c>
    </row>
    <row r="352" spans="1:8" x14ac:dyDescent="0.3">
      <c r="A352" s="5">
        <v>8</v>
      </c>
      <c r="B352" s="5" t="s">
        <v>217</v>
      </c>
      <c r="C352" s="5" t="s">
        <v>34</v>
      </c>
      <c r="D352" s="5">
        <v>2022</v>
      </c>
      <c r="E352" s="5">
        <v>1</v>
      </c>
      <c r="F352" s="5">
        <v>8683829</v>
      </c>
      <c r="G352" s="5">
        <v>6086464.9800000004</v>
      </c>
      <c r="H352" s="5">
        <v>0.29909999999999998</v>
      </c>
    </row>
    <row r="353" spans="1:8" x14ac:dyDescent="0.3">
      <c r="A353" s="5">
        <v>8</v>
      </c>
      <c r="B353" s="5" t="s">
        <v>217</v>
      </c>
      <c r="C353" s="5" t="s">
        <v>35</v>
      </c>
      <c r="D353" s="5">
        <v>2022</v>
      </c>
      <c r="E353" s="5">
        <v>2</v>
      </c>
      <c r="F353" s="5">
        <v>8463640</v>
      </c>
      <c r="G353" s="5">
        <v>5905185.7300000004</v>
      </c>
      <c r="H353" s="5">
        <v>0.30230000000000001</v>
      </c>
    </row>
    <row r="354" spans="1:8" x14ac:dyDescent="0.3">
      <c r="A354" s="5">
        <v>8</v>
      </c>
      <c r="B354" s="5" t="s">
        <v>217</v>
      </c>
      <c r="C354" s="5" t="s">
        <v>36</v>
      </c>
      <c r="D354" s="5">
        <v>2022</v>
      </c>
      <c r="E354" s="5">
        <v>3</v>
      </c>
      <c r="F354" s="5">
        <v>10386086</v>
      </c>
      <c r="G354" s="5">
        <v>7379780.8200000003</v>
      </c>
      <c r="H354" s="5">
        <v>0.28949999999999998</v>
      </c>
    </row>
    <row r="355" spans="1:8" x14ac:dyDescent="0.3">
      <c r="A355" s="5">
        <v>8</v>
      </c>
      <c r="B355" s="5" t="s">
        <v>217</v>
      </c>
      <c r="C355" s="5" t="s">
        <v>37</v>
      </c>
      <c r="D355" s="5">
        <v>2022</v>
      </c>
      <c r="E355" s="5">
        <v>4</v>
      </c>
      <c r="F355" s="5">
        <v>10995936</v>
      </c>
      <c r="G355" s="5">
        <v>8104119.8899999997</v>
      </c>
      <c r="H355" s="5">
        <v>0.26300000000000001</v>
      </c>
    </row>
    <row r="356" spans="1:8" x14ac:dyDescent="0.3">
      <c r="A356" s="5">
        <v>8</v>
      </c>
      <c r="B356" s="5" t="s">
        <v>217</v>
      </c>
      <c r="C356" s="5" t="s">
        <v>38</v>
      </c>
      <c r="D356" s="5">
        <v>2022</v>
      </c>
      <c r="E356" s="5">
        <v>5</v>
      </c>
      <c r="F356" s="5">
        <v>11227117</v>
      </c>
      <c r="G356" s="5">
        <v>8277626.2800000003</v>
      </c>
      <c r="H356" s="5">
        <v>0.26269999999999999</v>
      </c>
    </row>
    <row r="357" spans="1:8" x14ac:dyDescent="0.3">
      <c r="A357" s="5">
        <v>8</v>
      </c>
      <c r="B357" s="5" t="s">
        <v>217</v>
      </c>
      <c r="C357" s="5" t="s">
        <v>39</v>
      </c>
      <c r="D357" s="5">
        <v>2022</v>
      </c>
      <c r="E357" s="5">
        <v>6</v>
      </c>
      <c r="F357" s="5">
        <v>9748526</v>
      </c>
      <c r="G357" s="5">
        <v>7060825.0700000003</v>
      </c>
      <c r="H357" s="5">
        <v>0.2757</v>
      </c>
    </row>
    <row r="358" spans="1:8" x14ac:dyDescent="0.3">
      <c r="A358" s="5">
        <v>8</v>
      </c>
      <c r="B358" s="5" t="s">
        <v>217</v>
      </c>
      <c r="C358" s="5" t="s">
        <v>40</v>
      </c>
      <c r="D358" s="5">
        <v>2022</v>
      </c>
      <c r="E358" s="5">
        <v>7</v>
      </c>
      <c r="F358" s="5">
        <v>9747518</v>
      </c>
      <c r="G358" s="5">
        <v>7212138.0199999996</v>
      </c>
      <c r="H358" s="5">
        <v>0.2601</v>
      </c>
    </row>
    <row r="359" spans="1:8" x14ac:dyDescent="0.3">
      <c r="A359" s="5">
        <v>8</v>
      </c>
      <c r="B359" s="5" t="s">
        <v>217</v>
      </c>
      <c r="C359" s="5" t="s">
        <v>41</v>
      </c>
      <c r="D359" s="5">
        <v>2022</v>
      </c>
      <c r="E359" s="5">
        <v>8</v>
      </c>
      <c r="F359" s="5">
        <v>9555614</v>
      </c>
      <c r="G359" s="5">
        <v>7571740.2400000002</v>
      </c>
      <c r="H359" s="5">
        <v>0.20760000000000001</v>
      </c>
    </row>
    <row r="360" spans="1:8" x14ac:dyDescent="0.3">
      <c r="A360" s="5">
        <v>8</v>
      </c>
      <c r="B360" s="5" t="s">
        <v>217</v>
      </c>
      <c r="C360" s="5" t="s">
        <v>42</v>
      </c>
      <c r="D360" s="5">
        <v>2022</v>
      </c>
      <c r="E360" s="5">
        <v>9</v>
      </c>
      <c r="F360" s="5">
        <v>9935015</v>
      </c>
      <c r="G360" s="5">
        <v>7229455.1900000004</v>
      </c>
      <c r="H360" s="5">
        <v>0.27229999999999999</v>
      </c>
    </row>
    <row r="361" spans="1:8" x14ac:dyDescent="0.3">
      <c r="A361" s="5">
        <v>8</v>
      </c>
      <c r="B361" s="5" t="s">
        <v>217</v>
      </c>
      <c r="C361" s="5" t="s">
        <v>43</v>
      </c>
      <c r="D361" s="5">
        <v>2022</v>
      </c>
      <c r="E361" s="5">
        <v>10</v>
      </c>
      <c r="F361" s="5">
        <v>14182895</v>
      </c>
      <c r="G361" s="5">
        <v>10790160.789999999</v>
      </c>
      <c r="H361" s="5">
        <v>0.2392</v>
      </c>
    </row>
    <row r="362" spans="1:8" x14ac:dyDescent="0.3">
      <c r="A362" s="5">
        <v>8</v>
      </c>
      <c r="B362" s="5" t="s">
        <v>217</v>
      </c>
      <c r="C362" s="5" t="s">
        <v>44</v>
      </c>
      <c r="D362" s="5">
        <v>2022</v>
      </c>
      <c r="E362" s="5">
        <v>11</v>
      </c>
      <c r="F362" s="5">
        <v>14592765</v>
      </c>
      <c r="G362" s="5">
        <v>10432607.9</v>
      </c>
      <c r="H362" s="5">
        <v>0.28510000000000002</v>
      </c>
    </row>
    <row r="363" spans="1:8" x14ac:dyDescent="0.3">
      <c r="A363" s="5">
        <v>8</v>
      </c>
      <c r="B363" s="5" t="s">
        <v>217</v>
      </c>
      <c r="C363" s="5" t="s">
        <v>45</v>
      </c>
      <c r="D363" s="5">
        <v>2022</v>
      </c>
      <c r="E363" s="5">
        <v>12</v>
      </c>
      <c r="F363" s="5">
        <v>17579153</v>
      </c>
      <c r="G363" s="5">
        <v>12270427.109999999</v>
      </c>
      <c r="H363" s="5">
        <v>0.30199999999999999</v>
      </c>
    </row>
    <row r="364" spans="1:8" x14ac:dyDescent="0.3">
      <c r="A364" s="5">
        <v>8</v>
      </c>
      <c r="B364" s="5" t="s">
        <v>217</v>
      </c>
      <c r="C364" s="5" t="s">
        <v>46</v>
      </c>
      <c r="D364" s="5">
        <v>2023</v>
      </c>
      <c r="E364" s="5">
        <v>1</v>
      </c>
      <c r="F364" s="5">
        <v>12419535</v>
      </c>
      <c r="G364" s="5">
        <v>9107564.5500000007</v>
      </c>
      <c r="H364" s="5">
        <v>0.26669999999999999</v>
      </c>
    </row>
    <row r="365" spans="1:8" x14ac:dyDescent="0.3">
      <c r="A365" s="5">
        <v>8</v>
      </c>
      <c r="B365" s="5" t="s">
        <v>217</v>
      </c>
      <c r="C365" s="5" t="s">
        <v>47</v>
      </c>
      <c r="D365" s="5">
        <v>2023</v>
      </c>
      <c r="E365" s="5">
        <v>2</v>
      </c>
      <c r="F365" s="5">
        <v>11374698</v>
      </c>
      <c r="G365" s="5">
        <v>8134276.0300000003</v>
      </c>
      <c r="H365" s="5">
        <v>0.28489999999999999</v>
      </c>
    </row>
    <row r="366" spans="1:8" x14ac:dyDescent="0.3">
      <c r="A366" s="5">
        <v>8</v>
      </c>
      <c r="B366" s="5" t="s">
        <v>217</v>
      </c>
      <c r="C366" s="5" t="s">
        <v>48</v>
      </c>
      <c r="D366" s="5">
        <v>2023</v>
      </c>
      <c r="E366" s="5">
        <v>3</v>
      </c>
      <c r="F366" s="5">
        <v>12350543</v>
      </c>
      <c r="G366" s="5">
        <v>8918370.7799999993</v>
      </c>
      <c r="H366" s="5">
        <v>0.27789999999999998</v>
      </c>
    </row>
    <row r="367" spans="1:8" x14ac:dyDescent="0.3">
      <c r="A367" s="5">
        <v>8</v>
      </c>
      <c r="B367" s="5" t="s">
        <v>217</v>
      </c>
      <c r="C367" s="5" t="s">
        <v>49</v>
      </c>
      <c r="D367" s="5">
        <v>2023</v>
      </c>
      <c r="E367" s="5">
        <v>4</v>
      </c>
      <c r="F367" s="5">
        <v>13688493</v>
      </c>
      <c r="G367" s="5">
        <v>9973903.6999999993</v>
      </c>
      <c r="H367" s="5">
        <v>0.27139999999999997</v>
      </c>
    </row>
    <row r="368" spans="1:8" x14ac:dyDescent="0.3">
      <c r="A368" s="5">
        <v>8</v>
      </c>
      <c r="B368" s="5" t="s">
        <v>217</v>
      </c>
      <c r="C368" s="5" t="s">
        <v>50</v>
      </c>
      <c r="D368" s="5">
        <v>2023</v>
      </c>
      <c r="E368" s="5">
        <v>5</v>
      </c>
      <c r="F368" s="5">
        <v>13680744</v>
      </c>
      <c r="G368" s="5">
        <v>9972967.0199999996</v>
      </c>
      <c r="H368" s="5">
        <v>0.27100000000000002</v>
      </c>
    </row>
    <row r="369" spans="1:8" x14ac:dyDescent="0.3">
      <c r="A369" s="5">
        <v>8</v>
      </c>
      <c r="B369" s="5" t="s">
        <v>217</v>
      </c>
      <c r="C369" s="5" t="s">
        <v>51</v>
      </c>
      <c r="D369" s="5">
        <v>2023</v>
      </c>
      <c r="E369" s="5">
        <v>6</v>
      </c>
      <c r="F369" s="5">
        <v>14401179</v>
      </c>
      <c r="G369" s="5">
        <v>10298861.720000001</v>
      </c>
      <c r="H369" s="5">
        <v>0.28489999999999999</v>
      </c>
    </row>
    <row r="370" spans="1:8" x14ac:dyDescent="0.3">
      <c r="A370" s="5">
        <v>8</v>
      </c>
      <c r="B370" s="5" t="s">
        <v>217</v>
      </c>
      <c r="C370" s="5" t="s">
        <v>52</v>
      </c>
      <c r="D370" s="5">
        <v>2023</v>
      </c>
      <c r="E370" s="5">
        <v>7</v>
      </c>
      <c r="F370" s="5">
        <v>13365496</v>
      </c>
      <c r="G370" s="5">
        <v>9997019.1300000008</v>
      </c>
      <c r="H370" s="5">
        <v>0.252</v>
      </c>
    </row>
    <row r="371" spans="1:8" x14ac:dyDescent="0.3">
      <c r="A371" s="5">
        <v>8</v>
      </c>
      <c r="B371" s="5" t="s">
        <v>217</v>
      </c>
      <c r="C371" s="5" t="s">
        <v>53</v>
      </c>
      <c r="D371" s="5">
        <v>2023</v>
      </c>
      <c r="E371" s="5">
        <v>8</v>
      </c>
      <c r="F371" s="5">
        <v>12156124</v>
      </c>
      <c r="G371" s="5">
        <v>9104493.1600000001</v>
      </c>
      <c r="H371" s="5">
        <v>0.251</v>
      </c>
    </row>
    <row r="372" spans="1:8" x14ac:dyDescent="0.3">
      <c r="A372" s="5">
        <v>8</v>
      </c>
      <c r="B372" s="5" t="s">
        <v>217</v>
      </c>
      <c r="C372" s="5" t="s">
        <v>54</v>
      </c>
      <c r="D372" s="5">
        <v>2023</v>
      </c>
      <c r="E372" s="5">
        <v>9</v>
      </c>
      <c r="F372" s="5">
        <v>13420352</v>
      </c>
      <c r="G372" s="5">
        <v>10271247.77</v>
      </c>
      <c r="H372" s="5">
        <v>0.23469999999999999</v>
      </c>
    </row>
    <row r="373" spans="1:8" x14ac:dyDescent="0.3">
      <c r="A373" s="5">
        <v>8</v>
      </c>
      <c r="B373" s="5" t="s">
        <v>217</v>
      </c>
      <c r="C373" s="5" t="s">
        <v>55</v>
      </c>
      <c r="D373" s="5">
        <v>2023</v>
      </c>
      <c r="E373" s="5">
        <v>10</v>
      </c>
      <c r="F373" s="5">
        <v>19645694</v>
      </c>
      <c r="G373" s="5">
        <v>14067488.779999999</v>
      </c>
      <c r="H373" s="5">
        <v>0.28389999999999999</v>
      </c>
    </row>
    <row r="374" spans="1:8" x14ac:dyDescent="0.3">
      <c r="A374" s="5">
        <v>8</v>
      </c>
      <c r="B374" s="5" t="s">
        <v>217</v>
      </c>
      <c r="C374" s="5" t="s">
        <v>56</v>
      </c>
      <c r="D374" s="5">
        <v>2023</v>
      </c>
      <c r="E374" s="5">
        <v>11</v>
      </c>
      <c r="F374" s="5">
        <v>18184035</v>
      </c>
      <c r="G374" s="5">
        <v>13751340.93</v>
      </c>
      <c r="H374" s="5">
        <v>0.24379999999999999</v>
      </c>
    </row>
    <row r="375" spans="1:8" x14ac:dyDescent="0.3">
      <c r="A375" s="5">
        <v>8</v>
      </c>
      <c r="B375" s="5" t="s">
        <v>217</v>
      </c>
      <c r="C375" s="5" t="s">
        <v>57</v>
      </c>
      <c r="D375" s="5">
        <v>2023</v>
      </c>
      <c r="E375" s="5">
        <v>12</v>
      </c>
      <c r="F375" s="5">
        <v>18702451</v>
      </c>
      <c r="G375" s="5">
        <v>14194157.390000001</v>
      </c>
      <c r="H375" s="5">
        <v>0.24110000000000001</v>
      </c>
    </row>
    <row r="376" spans="1:8" x14ac:dyDescent="0.3">
      <c r="A376" s="5">
        <v>8</v>
      </c>
      <c r="B376" s="5" t="s">
        <v>217</v>
      </c>
      <c r="C376" s="5" t="s">
        <v>58</v>
      </c>
      <c r="D376" s="5">
        <v>2024</v>
      </c>
      <c r="E376" s="5">
        <v>1</v>
      </c>
      <c r="F376" s="5">
        <v>13043534</v>
      </c>
      <c r="G376" s="5">
        <v>9631452.8399999999</v>
      </c>
      <c r="H376" s="5">
        <v>0.2616</v>
      </c>
    </row>
    <row r="377" spans="1:8" x14ac:dyDescent="0.3">
      <c r="A377" s="5">
        <v>8</v>
      </c>
      <c r="B377" s="5" t="s">
        <v>217</v>
      </c>
      <c r="C377" s="5" t="s">
        <v>59</v>
      </c>
      <c r="D377" s="5">
        <v>2024</v>
      </c>
      <c r="E377" s="5">
        <v>2</v>
      </c>
      <c r="F377" s="5">
        <v>12909198</v>
      </c>
      <c r="G377" s="5">
        <v>9249102.9100000001</v>
      </c>
      <c r="H377" s="5">
        <v>0.28349999999999997</v>
      </c>
    </row>
    <row r="378" spans="1:8" x14ac:dyDescent="0.3">
      <c r="A378" s="5">
        <v>8</v>
      </c>
      <c r="B378" s="5" t="s">
        <v>217</v>
      </c>
      <c r="C378" s="5" t="s">
        <v>60</v>
      </c>
      <c r="D378" s="5">
        <v>2024</v>
      </c>
      <c r="E378" s="5">
        <v>3</v>
      </c>
      <c r="F378" s="5">
        <v>13892190</v>
      </c>
      <c r="G378" s="5">
        <v>10035624.16</v>
      </c>
      <c r="H378" s="5">
        <v>0.27760000000000001</v>
      </c>
    </row>
    <row r="379" spans="1:8" x14ac:dyDescent="0.3">
      <c r="A379" s="5">
        <v>8</v>
      </c>
      <c r="B379" s="5" t="s">
        <v>217</v>
      </c>
      <c r="C379" s="5" t="s">
        <v>61</v>
      </c>
      <c r="D379" s="5">
        <v>2024</v>
      </c>
      <c r="E379" s="5">
        <v>4</v>
      </c>
      <c r="F379" s="5">
        <v>14694687</v>
      </c>
      <c r="G379" s="5">
        <v>10704461.869999999</v>
      </c>
      <c r="H379" s="5">
        <v>0.27150000000000002</v>
      </c>
    </row>
    <row r="380" spans="1:8" x14ac:dyDescent="0.3">
      <c r="A380" s="5">
        <v>8</v>
      </c>
      <c r="B380" s="5" t="s">
        <v>217</v>
      </c>
      <c r="C380" s="5" t="s">
        <v>62</v>
      </c>
      <c r="D380" s="5">
        <v>2024</v>
      </c>
      <c r="E380" s="5">
        <v>5</v>
      </c>
      <c r="F380" s="5">
        <v>13716021</v>
      </c>
      <c r="G380" s="5">
        <v>10109046.01</v>
      </c>
      <c r="H380" s="5">
        <v>0.26300000000000001</v>
      </c>
    </row>
    <row r="381" spans="1:8" x14ac:dyDescent="0.3">
      <c r="A381" s="5">
        <v>8</v>
      </c>
      <c r="B381" s="5" t="s">
        <v>217</v>
      </c>
      <c r="C381" s="5" t="s">
        <v>63</v>
      </c>
      <c r="D381" s="5">
        <v>2024</v>
      </c>
      <c r="E381" s="5">
        <v>6</v>
      </c>
      <c r="F381" s="5">
        <v>16611529</v>
      </c>
      <c r="G381" s="5">
        <v>11616546.24</v>
      </c>
      <c r="H381" s="5">
        <v>0.30070000000000002</v>
      </c>
    </row>
    <row r="382" spans="1:8" x14ac:dyDescent="0.3">
      <c r="A382" s="5">
        <v>8</v>
      </c>
      <c r="B382" s="5" t="s">
        <v>217</v>
      </c>
      <c r="C382" s="5" t="s">
        <v>64</v>
      </c>
      <c r="D382" s="5">
        <v>2024</v>
      </c>
      <c r="E382" s="5">
        <v>7</v>
      </c>
      <c r="F382" s="5">
        <v>14486303</v>
      </c>
      <c r="G382" s="5">
        <v>10406901.970000001</v>
      </c>
      <c r="H382" s="5">
        <v>0.28160000000000002</v>
      </c>
    </row>
    <row r="383" spans="1:8" x14ac:dyDescent="0.3">
      <c r="A383" s="5">
        <v>8</v>
      </c>
      <c r="B383" s="5" t="s">
        <v>217</v>
      </c>
      <c r="C383" s="5" t="s">
        <v>65</v>
      </c>
      <c r="D383" s="5">
        <v>2024</v>
      </c>
      <c r="E383" s="5">
        <v>8</v>
      </c>
      <c r="F383" s="5">
        <v>14637815</v>
      </c>
      <c r="G383" s="5">
        <v>10450351.74</v>
      </c>
      <c r="H383" s="5">
        <v>0.28610000000000002</v>
      </c>
    </row>
    <row r="384" spans="1:8" x14ac:dyDescent="0.3">
      <c r="A384" s="5">
        <v>8</v>
      </c>
      <c r="B384" s="5" t="s">
        <v>217</v>
      </c>
      <c r="C384" s="5" t="s">
        <v>66</v>
      </c>
      <c r="D384" s="5">
        <v>2024</v>
      </c>
      <c r="E384" s="5">
        <v>9</v>
      </c>
      <c r="F384" s="5">
        <v>16645532</v>
      </c>
      <c r="G384" s="5">
        <v>11523368.58</v>
      </c>
      <c r="H384" s="5">
        <v>0.30769999999999997</v>
      </c>
    </row>
    <row r="385" spans="1:8" x14ac:dyDescent="0.3">
      <c r="A385" s="5">
        <v>8</v>
      </c>
      <c r="B385" s="5" t="s">
        <v>217</v>
      </c>
      <c r="C385" s="5" t="s">
        <v>67</v>
      </c>
      <c r="D385" s="5">
        <v>2024</v>
      </c>
      <c r="E385" s="5">
        <v>10</v>
      </c>
      <c r="F385" s="5">
        <v>21330181</v>
      </c>
      <c r="G385" s="5">
        <v>14445226.199999999</v>
      </c>
      <c r="H385" s="5">
        <v>0.32279999999999998</v>
      </c>
    </row>
    <row r="386" spans="1:8" x14ac:dyDescent="0.3">
      <c r="A386" s="5">
        <v>8</v>
      </c>
      <c r="B386" s="5" t="s">
        <v>217</v>
      </c>
      <c r="C386" s="5" t="s">
        <v>68</v>
      </c>
      <c r="D386" s="5">
        <v>2024</v>
      </c>
      <c r="E386" s="5">
        <v>11</v>
      </c>
      <c r="F386" s="5">
        <v>24193678</v>
      </c>
      <c r="G386" s="5">
        <v>16955137.640000001</v>
      </c>
      <c r="H386" s="5">
        <v>0.29920000000000002</v>
      </c>
    </row>
    <row r="387" spans="1:8" x14ac:dyDescent="0.3">
      <c r="A387" s="5">
        <v>8</v>
      </c>
      <c r="B387" s="5" t="s">
        <v>217</v>
      </c>
      <c r="C387" s="5" t="s">
        <v>69</v>
      </c>
      <c r="D387" s="5">
        <v>2024</v>
      </c>
      <c r="E387" s="5">
        <v>12</v>
      </c>
      <c r="F387" s="5">
        <v>21872483</v>
      </c>
      <c r="G387" s="5">
        <v>14665777.16</v>
      </c>
      <c r="H387" s="5">
        <v>0.32950000000000002</v>
      </c>
    </row>
    <row r="388" spans="1:8" x14ac:dyDescent="0.3">
      <c r="A388" s="5">
        <v>9</v>
      </c>
      <c r="B388" s="5" t="s">
        <v>219</v>
      </c>
      <c r="C388" s="5" t="s">
        <v>22</v>
      </c>
      <c r="D388" s="5">
        <v>2021</v>
      </c>
      <c r="E388" s="5">
        <v>1</v>
      </c>
      <c r="F388" s="5">
        <v>2676577</v>
      </c>
      <c r="G388" s="5">
        <v>2099714.12</v>
      </c>
      <c r="H388" s="5">
        <v>0.2155</v>
      </c>
    </row>
    <row r="389" spans="1:8" x14ac:dyDescent="0.3">
      <c r="A389" s="5">
        <v>9</v>
      </c>
      <c r="B389" s="5" t="s">
        <v>219</v>
      </c>
      <c r="C389" s="5" t="s">
        <v>23</v>
      </c>
      <c r="D389" s="5">
        <v>2021</v>
      </c>
      <c r="E389" s="5">
        <v>2</v>
      </c>
      <c r="F389" s="5">
        <v>3020290</v>
      </c>
      <c r="G389" s="5">
        <v>2263165.9700000002</v>
      </c>
      <c r="H389" s="5">
        <v>0.25069999999999998</v>
      </c>
    </row>
    <row r="390" spans="1:8" x14ac:dyDescent="0.3">
      <c r="A390" s="5">
        <v>9</v>
      </c>
      <c r="B390" s="5" t="s">
        <v>219</v>
      </c>
      <c r="C390" s="5" t="s">
        <v>24</v>
      </c>
      <c r="D390" s="5">
        <v>2021</v>
      </c>
      <c r="E390" s="5">
        <v>3</v>
      </c>
      <c r="F390" s="5">
        <v>3091521</v>
      </c>
      <c r="G390" s="5">
        <v>2234249.17</v>
      </c>
      <c r="H390" s="5">
        <v>0.27729999999999999</v>
      </c>
    </row>
    <row r="391" spans="1:8" x14ac:dyDescent="0.3">
      <c r="A391" s="5">
        <v>9</v>
      </c>
      <c r="B391" s="5" t="s">
        <v>219</v>
      </c>
      <c r="C391" s="5" t="s">
        <v>25</v>
      </c>
      <c r="D391" s="5">
        <v>2021</v>
      </c>
      <c r="E391" s="5">
        <v>4</v>
      </c>
      <c r="F391" s="5">
        <v>2987334</v>
      </c>
      <c r="G391" s="5">
        <v>2223405.37</v>
      </c>
      <c r="H391" s="5">
        <v>0.25569999999999998</v>
      </c>
    </row>
    <row r="392" spans="1:8" x14ac:dyDescent="0.3">
      <c r="A392" s="5">
        <v>9</v>
      </c>
      <c r="B392" s="5" t="s">
        <v>219</v>
      </c>
      <c r="C392" s="5" t="s">
        <v>26</v>
      </c>
      <c r="D392" s="5">
        <v>2021</v>
      </c>
      <c r="E392" s="5">
        <v>5</v>
      </c>
      <c r="F392" s="5">
        <v>3349830</v>
      </c>
      <c r="G392" s="5">
        <v>2559623.34</v>
      </c>
      <c r="H392" s="5">
        <v>0.2359</v>
      </c>
    </row>
    <row r="393" spans="1:8" x14ac:dyDescent="0.3">
      <c r="A393" s="5">
        <v>9</v>
      </c>
      <c r="B393" s="5" t="s">
        <v>219</v>
      </c>
      <c r="C393" s="5" t="s">
        <v>27</v>
      </c>
      <c r="D393" s="5">
        <v>2021</v>
      </c>
      <c r="E393" s="5">
        <v>6</v>
      </c>
      <c r="F393" s="5">
        <v>3495128</v>
      </c>
      <c r="G393" s="5">
        <v>2638580.67</v>
      </c>
      <c r="H393" s="5">
        <v>0.24510000000000001</v>
      </c>
    </row>
    <row r="394" spans="1:8" x14ac:dyDescent="0.3">
      <c r="A394" s="5">
        <v>9</v>
      </c>
      <c r="B394" s="5" t="s">
        <v>219</v>
      </c>
      <c r="C394" s="5" t="s">
        <v>28</v>
      </c>
      <c r="D394" s="5">
        <v>2021</v>
      </c>
      <c r="E394" s="5">
        <v>7</v>
      </c>
      <c r="F394" s="5">
        <v>3356409</v>
      </c>
      <c r="G394" s="5">
        <v>2546061.3199999998</v>
      </c>
      <c r="H394" s="5">
        <v>0.2414</v>
      </c>
    </row>
    <row r="395" spans="1:8" x14ac:dyDescent="0.3">
      <c r="A395" s="5">
        <v>9</v>
      </c>
      <c r="B395" s="5" t="s">
        <v>219</v>
      </c>
      <c r="C395" s="5" t="s">
        <v>29</v>
      </c>
      <c r="D395" s="5">
        <v>2021</v>
      </c>
      <c r="E395" s="5">
        <v>8</v>
      </c>
      <c r="F395" s="5">
        <v>2948512</v>
      </c>
      <c r="G395" s="5">
        <v>2107570.25</v>
      </c>
      <c r="H395" s="5">
        <v>0.28520000000000001</v>
      </c>
    </row>
    <row r="396" spans="1:8" x14ac:dyDescent="0.3">
      <c r="A396" s="5">
        <v>9</v>
      </c>
      <c r="B396" s="5" t="s">
        <v>219</v>
      </c>
      <c r="C396" s="5" t="s">
        <v>30</v>
      </c>
      <c r="D396" s="5">
        <v>2021</v>
      </c>
      <c r="E396" s="5">
        <v>9</v>
      </c>
      <c r="F396" s="5">
        <v>3220217</v>
      </c>
      <c r="G396" s="5">
        <v>2434474.1800000002</v>
      </c>
      <c r="H396" s="5">
        <v>0.24399999999999999</v>
      </c>
    </row>
    <row r="397" spans="1:8" x14ac:dyDescent="0.3">
      <c r="A397" s="5">
        <v>9</v>
      </c>
      <c r="B397" s="5" t="s">
        <v>219</v>
      </c>
      <c r="C397" s="5" t="s">
        <v>31</v>
      </c>
      <c r="D397" s="5">
        <v>2021</v>
      </c>
      <c r="E397" s="5">
        <v>10</v>
      </c>
      <c r="F397" s="5">
        <v>4271768</v>
      </c>
      <c r="G397" s="5">
        <v>3073704.67</v>
      </c>
      <c r="H397" s="5">
        <v>0.28050000000000003</v>
      </c>
    </row>
    <row r="398" spans="1:8" x14ac:dyDescent="0.3">
      <c r="A398" s="5">
        <v>9</v>
      </c>
      <c r="B398" s="5" t="s">
        <v>219</v>
      </c>
      <c r="C398" s="5" t="s">
        <v>32</v>
      </c>
      <c r="D398" s="5">
        <v>2021</v>
      </c>
      <c r="E398" s="5">
        <v>11</v>
      </c>
      <c r="F398" s="5">
        <v>5045273</v>
      </c>
      <c r="G398" s="5">
        <v>3606526.27</v>
      </c>
      <c r="H398" s="5">
        <v>0.28520000000000001</v>
      </c>
    </row>
    <row r="399" spans="1:8" x14ac:dyDescent="0.3">
      <c r="A399" s="5">
        <v>9</v>
      </c>
      <c r="B399" s="5" t="s">
        <v>219</v>
      </c>
      <c r="C399" s="5" t="s">
        <v>33</v>
      </c>
      <c r="D399" s="5">
        <v>2021</v>
      </c>
      <c r="E399" s="5">
        <v>12</v>
      </c>
      <c r="F399" s="5">
        <v>4887171</v>
      </c>
      <c r="G399" s="5">
        <v>3502089.91</v>
      </c>
      <c r="H399" s="5">
        <v>0.28339999999999999</v>
      </c>
    </row>
    <row r="400" spans="1:8" x14ac:dyDescent="0.3">
      <c r="A400" s="5">
        <v>9</v>
      </c>
      <c r="B400" s="5" t="s">
        <v>219</v>
      </c>
      <c r="C400" s="5" t="s">
        <v>34</v>
      </c>
      <c r="D400" s="5">
        <v>2022</v>
      </c>
      <c r="E400" s="5">
        <v>1</v>
      </c>
      <c r="F400" s="5">
        <v>4206871</v>
      </c>
      <c r="G400" s="5">
        <v>3072617.49</v>
      </c>
      <c r="H400" s="5">
        <v>0.26960000000000001</v>
      </c>
    </row>
    <row r="401" spans="1:8" x14ac:dyDescent="0.3">
      <c r="A401" s="5">
        <v>9</v>
      </c>
      <c r="B401" s="5" t="s">
        <v>219</v>
      </c>
      <c r="C401" s="5" t="s">
        <v>35</v>
      </c>
      <c r="D401" s="5">
        <v>2022</v>
      </c>
      <c r="E401" s="5">
        <v>2</v>
      </c>
      <c r="F401" s="5">
        <v>3540131</v>
      </c>
      <c r="G401" s="5">
        <v>2561397.33</v>
      </c>
      <c r="H401" s="5">
        <v>0.27650000000000002</v>
      </c>
    </row>
    <row r="402" spans="1:8" x14ac:dyDescent="0.3">
      <c r="A402" s="5">
        <v>9</v>
      </c>
      <c r="B402" s="5" t="s">
        <v>219</v>
      </c>
      <c r="C402" s="5" t="s">
        <v>36</v>
      </c>
      <c r="D402" s="5">
        <v>2022</v>
      </c>
      <c r="E402" s="5">
        <v>3</v>
      </c>
      <c r="F402" s="5">
        <v>4128870</v>
      </c>
      <c r="G402" s="5">
        <v>3064494.98</v>
      </c>
      <c r="H402" s="5">
        <v>0.25779999999999997</v>
      </c>
    </row>
    <row r="403" spans="1:8" x14ac:dyDescent="0.3">
      <c r="A403" s="5">
        <v>9</v>
      </c>
      <c r="B403" s="5" t="s">
        <v>219</v>
      </c>
      <c r="C403" s="5" t="s">
        <v>37</v>
      </c>
      <c r="D403" s="5">
        <v>2022</v>
      </c>
      <c r="E403" s="5">
        <v>4</v>
      </c>
      <c r="F403" s="5">
        <v>4667957</v>
      </c>
      <c r="G403" s="5">
        <v>3443531.05</v>
      </c>
      <c r="H403" s="5">
        <v>0.26229999999999998</v>
      </c>
    </row>
    <row r="404" spans="1:8" x14ac:dyDescent="0.3">
      <c r="A404" s="5">
        <v>9</v>
      </c>
      <c r="B404" s="5" t="s">
        <v>219</v>
      </c>
      <c r="C404" s="5" t="s">
        <v>38</v>
      </c>
      <c r="D404" s="5">
        <v>2022</v>
      </c>
      <c r="E404" s="5">
        <v>5</v>
      </c>
      <c r="F404" s="5">
        <v>4559411</v>
      </c>
      <c r="G404" s="5">
        <v>3417259.89</v>
      </c>
      <c r="H404" s="5">
        <v>0.2505</v>
      </c>
    </row>
    <row r="405" spans="1:8" x14ac:dyDescent="0.3">
      <c r="A405" s="5">
        <v>9</v>
      </c>
      <c r="B405" s="5" t="s">
        <v>219</v>
      </c>
      <c r="C405" s="5" t="s">
        <v>39</v>
      </c>
      <c r="D405" s="5">
        <v>2022</v>
      </c>
      <c r="E405" s="5">
        <v>6</v>
      </c>
      <c r="F405" s="5">
        <v>4444759</v>
      </c>
      <c r="G405" s="5">
        <v>3270071.37</v>
      </c>
      <c r="H405" s="5">
        <v>0.26429999999999998</v>
      </c>
    </row>
    <row r="406" spans="1:8" x14ac:dyDescent="0.3">
      <c r="A406" s="5">
        <v>9</v>
      </c>
      <c r="B406" s="5" t="s">
        <v>219</v>
      </c>
      <c r="C406" s="5" t="s">
        <v>40</v>
      </c>
      <c r="D406" s="5">
        <v>2022</v>
      </c>
      <c r="E406" s="5">
        <v>7</v>
      </c>
      <c r="F406" s="5">
        <v>4636067</v>
      </c>
      <c r="G406" s="5">
        <v>3500848.54</v>
      </c>
      <c r="H406" s="5">
        <v>0.24490000000000001</v>
      </c>
    </row>
    <row r="407" spans="1:8" x14ac:dyDescent="0.3">
      <c r="A407" s="5">
        <v>9</v>
      </c>
      <c r="B407" s="5" t="s">
        <v>219</v>
      </c>
      <c r="C407" s="5" t="s">
        <v>41</v>
      </c>
      <c r="D407" s="5">
        <v>2022</v>
      </c>
      <c r="E407" s="5">
        <v>8</v>
      </c>
      <c r="F407" s="5">
        <v>3886428</v>
      </c>
      <c r="G407" s="5">
        <v>3126866.59</v>
      </c>
      <c r="H407" s="5">
        <v>0.19539999999999999</v>
      </c>
    </row>
    <row r="408" spans="1:8" x14ac:dyDescent="0.3">
      <c r="A408" s="5">
        <v>9</v>
      </c>
      <c r="B408" s="5" t="s">
        <v>219</v>
      </c>
      <c r="C408" s="5" t="s">
        <v>42</v>
      </c>
      <c r="D408" s="5">
        <v>2022</v>
      </c>
      <c r="E408" s="5">
        <v>9</v>
      </c>
      <c r="F408" s="5">
        <v>4972704</v>
      </c>
      <c r="G408" s="5">
        <v>3714059.18</v>
      </c>
      <c r="H408" s="5">
        <v>0.25309999999999999</v>
      </c>
    </row>
    <row r="409" spans="1:8" x14ac:dyDescent="0.3">
      <c r="A409" s="5">
        <v>9</v>
      </c>
      <c r="B409" s="5" t="s">
        <v>219</v>
      </c>
      <c r="C409" s="5" t="s">
        <v>43</v>
      </c>
      <c r="D409" s="5">
        <v>2022</v>
      </c>
      <c r="E409" s="5">
        <v>10</v>
      </c>
      <c r="F409" s="5">
        <v>6177270</v>
      </c>
      <c r="G409" s="5">
        <v>4749558.24</v>
      </c>
      <c r="H409" s="5">
        <v>0.2311</v>
      </c>
    </row>
    <row r="410" spans="1:8" x14ac:dyDescent="0.3">
      <c r="A410" s="5">
        <v>9</v>
      </c>
      <c r="B410" s="5" t="s">
        <v>219</v>
      </c>
      <c r="C410" s="5" t="s">
        <v>44</v>
      </c>
      <c r="D410" s="5">
        <v>2022</v>
      </c>
      <c r="E410" s="5">
        <v>11</v>
      </c>
      <c r="F410" s="5">
        <v>6031337</v>
      </c>
      <c r="G410" s="5">
        <v>4414730.97</v>
      </c>
      <c r="H410" s="5">
        <v>0.26800000000000002</v>
      </c>
    </row>
    <row r="411" spans="1:8" x14ac:dyDescent="0.3">
      <c r="A411" s="5">
        <v>9</v>
      </c>
      <c r="B411" s="5" t="s">
        <v>219</v>
      </c>
      <c r="C411" s="5" t="s">
        <v>45</v>
      </c>
      <c r="D411" s="5">
        <v>2022</v>
      </c>
      <c r="E411" s="5">
        <v>12</v>
      </c>
      <c r="F411" s="5">
        <v>6461672</v>
      </c>
      <c r="G411" s="5">
        <v>4655477.67</v>
      </c>
      <c r="H411" s="5">
        <v>0.27950000000000003</v>
      </c>
    </row>
    <row r="412" spans="1:8" x14ac:dyDescent="0.3">
      <c r="A412" s="5">
        <v>9</v>
      </c>
      <c r="B412" s="5" t="s">
        <v>219</v>
      </c>
      <c r="C412" s="5" t="s">
        <v>46</v>
      </c>
      <c r="D412" s="5">
        <v>2023</v>
      </c>
      <c r="E412" s="5">
        <v>1</v>
      </c>
      <c r="F412" s="5">
        <v>4927570</v>
      </c>
      <c r="G412" s="5">
        <v>3744407.3</v>
      </c>
      <c r="H412" s="5">
        <v>0.24010000000000001</v>
      </c>
    </row>
    <row r="413" spans="1:8" x14ac:dyDescent="0.3">
      <c r="A413" s="5">
        <v>9</v>
      </c>
      <c r="B413" s="5" t="s">
        <v>219</v>
      </c>
      <c r="C413" s="5" t="s">
        <v>47</v>
      </c>
      <c r="D413" s="5">
        <v>2023</v>
      </c>
      <c r="E413" s="5">
        <v>2</v>
      </c>
      <c r="F413" s="5">
        <v>4608565</v>
      </c>
      <c r="G413" s="5">
        <v>3381141.35</v>
      </c>
      <c r="H413" s="5">
        <v>0.26629999999999998</v>
      </c>
    </row>
    <row r="414" spans="1:8" x14ac:dyDescent="0.3">
      <c r="A414" s="5">
        <v>9</v>
      </c>
      <c r="B414" s="5" t="s">
        <v>219</v>
      </c>
      <c r="C414" s="5" t="s">
        <v>48</v>
      </c>
      <c r="D414" s="5">
        <v>2023</v>
      </c>
      <c r="E414" s="5">
        <v>3</v>
      </c>
      <c r="F414" s="5">
        <v>4964213</v>
      </c>
      <c r="G414" s="5">
        <v>3730153.1</v>
      </c>
      <c r="H414" s="5">
        <v>0.24859999999999999</v>
      </c>
    </row>
    <row r="415" spans="1:8" x14ac:dyDescent="0.3">
      <c r="A415" s="5">
        <v>9</v>
      </c>
      <c r="B415" s="5" t="s">
        <v>219</v>
      </c>
      <c r="C415" s="5" t="s">
        <v>49</v>
      </c>
      <c r="D415" s="5">
        <v>2023</v>
      </c>
      <c r="E415" s="5">
        <v>4</v>
      </c>
      <c r="F415" s="5">
        <v>6176728</v>
      </c>
      <c r="G415" s="5">
        <v>4690367.1100000003</v>
      </c>
      <c r="H415" s="5">
        <v>0.24060000000000001</v>
      </c>
    </row>
    <row r="416" spans="1:8" x14ac:dyDescent="0.3">
      <c r="A416" s="5">
        <v>9</v>
      </c>
      <c r="B416" s="5" t="s">
        <v>219</v>
      </c>
      <c r="C416" s="5" t="s">
        <v>50</v>
      </c>
      <c r="D416" s="5">
        <v>2023</v>
      </c>
      <c r="E416" s="5">
        <v>5</v>
      </c>
      <c r="F416" s="5">
        <v>6256794</v>
      </c>
      <c r="G416" s="5">
        <v>4633078.75</v>
      </c>
      <c r="H416" s="5">
        <v>0.25950000000000001</v>
      </c>
    </row>
    <row r="417" spans="1:8" x14ac:dyDescent="0.3">
      <c r="A417" s="5">
        <v>9</v>
      </c>
      <c r="B417" s="5" t="s">
        <v>219</v>
      </c>
      <c r="C417" s="5" t="s">
        <v>51</v>
      </c>
      <c r="D417" s="5">
        <v>2023</v>
      </c>
      <c r="E417" s="5">
        <v>6</v>
      </c>
      <c r="F417" s="5">
        <v>5241346</v>
      </c>
      <c r="G417" s="5">
        <v>3842760.04</v>
      </c>
      <c r="H417" s="5">
        <v>0.26679999999999998</v>
      </c>
    </row>
    <row r="418" spans="1:8" x14ac:dyDescent="0.3">
      <c r="A418" s="5">
        <v>9</v>
      </c>
      <c r="B418" s="5" t="s">
        <v>219</v>
      </c>
      <c r="C418" s="5" t="s">
        <v>52</v>
      </c>
      <c r="D418" s="5">
        <v>2023</v>
      </c>
      <c r="E418" s="5">
        <v>7</v>
      </c>
      <c r="F418" s="5">
        <v>5039300</v>
      </c>
      <c r="G418" s="5">
        <v>3918020.36</v>
      </c>
      <c r="H418" s="5">
        <v>0.2225</v>
      </c>
    </row>
    <row r="419" spans="1:8" x14ac:dyDescent="0.3">
      <c r="A419" s="5">
        <v>9</v>
      </c>
      <c r="B419" s="5" t="s">
        <v>219</v>
      </c>
      <c r="C419" s="5" t="s">
        <v>53</v>
      </c>
      <c r="D419" s="5">
        <v>2023</v>
      </c>
      <c r="E419" s="5">
        <v>8</v>
      </c>
      <c r="F419" s="5">
        <v>4952102</v>
      </c>
      <c r="G419" s="5">
        <v>3737118.79</v>
      </c>
      <c r="H419" s="5">
        <v>0.24529999999999999</v>
      </c>
    </row>
    <row r="420" spans="1:8" x14ac:dyDescent="0.3">
      <c r="A420" s="5">
        <v>9</v>
      </c>
      <c r="B420" s="5" t="s">
        <v>219</v>
      </c>
      <c r="C420" s="5" t="s">
        <v>54</v>
      </c>
      <c r="D420" s="5">
        <v>2023</v>
      </c>
      <c r="E420" s="5">
        <v>9</v>
      </c>
      <c r="F420" s="5">
        <v>5994451</v>
      </c>
      <c r="G420" s="5">
        <v>4638286.4400000004</v>
      </c>
      <c r="H420" s="5">
        <v>0.22620000000000001</v>
      </c>
    </row>
    <row r="421" spans="1:8" x14ac:dyDescent="0.3">
      <c r="A421" s="5">
        <v>9</v>
      </c>
      <c r="B421" s="5" t="s">
        <v>219</v>
      </c>
      <c r="C421" s="5" t="s">
        <v>55</v>
      </c>
      <c r="D421" s="5">
        <v>2023</v>
      </c>
      <c r="E421" s="5">
        <v>10</v>
      </c>
      <c r="F421" s="5">
        <v>7659019</v>
      </c>
      <c r="G421" s="5">
        <v>5713510.2300000004</v>
      </c>
      <c r="H421" s="5">
        <v>0.254</v>
      </c>
    </row>
    <row r="422" spans="1:8" x14ac:dyDescent="0.3">
      <c r="A422" s="5">
        <v>9</v>
      </c>
      <c r="B422" s="5" t="s">
        <v>219</v>
      </c>
      <c r="C422" s="5" t="s">
        <v>56</v>
      </c>
      <c r="D422" s="5">
        <v>2023</v>
      </c>
      <c r="E422" s="5">
        <v>11</v>
      </c>
      <c r="F422" s="5">
        <v>8283859</v>
      </c>
      <c r="G422" s="5">
        <v>6361930.6600000001</v>
      </c>
      <c r="H422" s="5">
        <v>0.23200000000000001</v>
      </c>
    </row>
    <row r="423" spans="1:8" x14ac:dyDescent="0.3">
      <c r="A423" s="5">
        <v>9</v>
      </c>
      <c r="B423" s="5" t="s">
        <v>219</v>
      </c>
      <c r="C423" s="5" t="s">
        <v>57</v>
      </c>
      <c r="D423" s="5">
        <v>2023</v>
      </c>
      <c r="E423" s="5">
        <v>12</v>
      </c>
      <c r="F423" s="5">
        <v>7770905</v>
      </c>
      <c r="G423" s="5">
        <v>6064792.0199999996</v>
      </c>
      <c r="H423" s="5">
        <v>0.21959999999999999</v>
      </c>
    </row>
    <row r="424" spans="1:8" x14ac:dyDescent="0.3">
      <c r="A424" s="5">
        <v>9</v>
      </c>
      <c r="B424" s="5" t="s">
        <v>219</v>
      </c>
      <c r="C424" s="5" t="s">
        <v>58</v>
      </c>
      <c r="D424" s="5">
        <v>2024</v>
      </c>
      <c r="E424" s="5">
        <v>1</v>
      </c>
      <c r="F424" s="5">
        <v>5367013</v>
      </c>
      <c r="G424" s="5">
        <v>3999766.46</v>
      </c>
      <c r="H424" s="5">
        <v>0.25469999999999998</v>
      </c>
    </row>
    <row r="425" spans="1:8" x14ac:dyDescent="0.3">
      <c r="A425" s="5">
        <v>9</v>
      </c>
      <c r="B425" s="5" t="s">
        <v>219</v>
      </c>
      <c r="C425" s="5" t="s">
        <v>59</v>
      </c>
      <c r="D425" s="5">
        <v>2024</v>
      </c>
      <c r="E425" s="5">
        <v>2</v>
      </c>
      <c r="F425" s="5">
        <v>4796271</v>
      </c>
      <c r="G425" s="5">
        <v>3515341.97</v>
      </c>
      <c r="H425" s="5">
        <v>0.2671</v>
      </c>
    </row>
    <row r="426" spans="1:8" x14ac:dyDescent="0.3">
      <c r="A426" s="5">
        <v>9</v>
      </c>
      <c r="B426" s="5" t="s">
        <v>219</v>
      </c>
      <c r="C426" s="5" t="s">
        <v>60</v>
      </c>
      <c r="D426" s="5">
        <v>2024</v>
      </c>
      <c r="E426" s="5">
        <v>3</v>
      </c>
      <c r="F426" s="5">
        <v>6690593</v>
      </c>
      <c r="G426" s="5">
        <v>4914157.7300000004</v>
      </c>
      <c r="H426" s="5">
        <v>0.26550000000000001</v>
      </c>
    </row>
    <row r="427" spans="1:8" x14ac:dyDescent="0.3">
      <c r="A427" s="5">
        <v>9</v>
      </c>
      <c r="B427" s="5" t="s">
        <v>219</v>
      </c>
      <c r="C427" s="5" t="s">
        <v>61</v>
      </c>
      <c r="D427" s="5">
        <v>2024</v>
      </c>
      <c r="E427" s="5">
        <v>4</v>
      </c>
      <c r="F427" s="5">
        <v>5837800</v>
      </c>
      <c r="G427" s="5">
        <v>4329671.37</v>
      </c>
      <c r="H427" s="5">
        <v>0.25829999999999997</v>
      </c>
    </row>
    <row r="428" spans="1:8" x14ac:dyDescent="0.3">
      <c r="A428" s="5">
        <v>9</v>
      </c>
      <c r="B428" s="5" t="s">
        <v>219</v>
      </c>
      <c r="C428" s="5" t="s">
        <v>62</v>
      </c>
      <c r="D428" s="5">
        <v>2024</v>
      </c>
      <c r="E428" s="5">
        <v>5</v>
      </c>
      <c r="F428" s="5">
        <v>7188628</v>
      </c>
      <c r="G428" s="5">
        <v>5434241.3600000003</v>
      </c>
      <c r="H428" s="5">
        <v>0.24410000000000001</v>
      </c>
    </row>
    <row r="429" spans="1:8" x14ac:dyDescent="0.3">
      <c r="A429" s="5">
        <v>9</v>
      </c>
      <c r="B429" s="5" t="s">
        <v>219</v>
      </c>
      <c r="C429" s="5" t="s">
        <v>63</v>
      </c>
      <c r="D429" s="5">
        <v>2024</v>
      </c>
      <c r="E429" s="5">
        <v>6</v>
      </c>
      <c r="F429" s="5">
        <v>6733291</v>
      </c>
      <c r="G429" s="5">
        <v>4807902.24</v>
      </c>
      <c r="H429" s="5">
        <v>0.28599999999999998</v>
      </c>
    </row>
    <row r="430" spans="1:8" x14ac:dyDescent="0.3">
      <c r="A430" s="5">
        <v>9</v>
      </c>
      <c r="B430" s="5" t="s">
        <v>219</v>
      </c>
      <c r="C430" s="5" t="s">
        <v>64</v>
      </c>
      <c r="D430" s="5">
        <v>2024</v>
      </c>
      <c r="E430" s="5">
        <v>7</v>
      </c>
      <c r="F430" s="5">
        <v>6604540</v>
      </c>
      <c r="G430" s="5">
        <v>4848670.3</v>
      </c>
      <c r="H430" s="5">
        <v>0.26590000000000003</v>
      </c>
    </row>
    <row r="431" spans="1:8" x14ac:dyDescent="0.3">
      <c r="A431" s="5">
        <v>9</v>
      </c>
      <c r="B431" s="5" t="s">
        <v>219</v>
      </c>
      <c r="C431" s="5" t="s">
        <v>65</v>
      </c>
      <c r="D431" s="5">
        <v>2024</v>
      </c>
      <c r="E431" s="5">
        <v>8</v>
      </c>
      <c r="F431" s="5">
        <v>6295407</v>
      </c>
      <c r="G431" s="5">
        <v>4634322.67</v>
      </c>
      <c r="H431" s="5">
        <v>0.26390000000000002</v>
      </c>
    </row>
    <row r="432" spans="1:8" x14ac:dyDescent="0.3">
      <c r="A432" s="5">
        <v>9</v>
      </c>
      <c r="B432" s="5" t="s">
        <v>219</v>
      </c>
      <c r="C432" s="5" t="s">
        <v>66</v>
      </c>
      <c r="D432" s="5">
        <v>2024</v>
      </c>
      <c r="E432" s="5">
        <v>9</v>
      </c>
      <c r="F432" s="5">
        <v>7821054</v>
      </c>
      <c r="G432" s="5">
        <v>5573316.5599999996</v>
      </c>
      <c r="H432" s="5">
        <v>0.28739999999999999</v>
      </c>
    </row>
    <row r="433" spans="1:8" x14ac:dyDescent="0.3">
      <c r="A433" s="5">
        <v>9</v>
      </c>
      <c r="B433" s="5" t="s">
        <v>219</v>
      </c>
      <c r="C433" s="5" t="s">
        <v>67</v>
      </c>
      <c r="D433" s="5">
        <v>2024</v>
      </c>
      <c r="E433" s="5">
        <v>10</v>
      </c>
      <c r="F433" s="5">
        <v>9144467</v>
      </c>
      <c r="G433" s="5">
        <v>6280133.5099999998</v>
      </c>
      <c r="H433" s="5">
        <v>0.31319999999999998</v>
      </c>
    </row>
    <row r="434" spans="1:8" x14ac:dyDescent="0.3">
      <c r="A434" s="5">
        <v>9</v>
      </c>
      <c r="B434" s="5" t="s">
        <v>219</v>
      </c>
      <c r="C434" s="5" t="s">
        <v>68</v>
      </c>
      <c r="D434" s="5">
        <v>2024</v>
      </c>
      <c r="E434" s="5">
        <v>11</v>
      </c>
      <c r="F434" s="5">
        <v>10041682</v>
      </c>
      <c r="G434" s="5">
        <v>7260352.5999999996</v>
      </c>
      <c r="H434" s="5">
        <v>0.27700000000000002</v>
      </c>
    </row>
    <row r="435" spans="1:8" x14ac:dyDescent="0.3">
      <c r="A435" s="5">
        <v>9</v>
      </c>
      <c r="B435" s="5" t="s">
        <v>219</v>
      </c>
      <c r="C435" s="5" t="s">
        <v>69</v>
      </c>
      <c r="D435" s="5">
        <v>2024</v>
      </c>
      <c r="E435" s="5">
        <v>12</v>
      </c>
      <c r="F435" s="5">
        <v>9675390</v>
      </c>
      <c r="G435" s="5">
        <v>6690448.1200000001</v>
      </c>
      <c r="H435" s="5">
        <v>0.3085</v>
      </c>
    </row>
    <row r="436" spans="1:8" x14ac:dyDescent="0.3">
      <c r="A436" s="5">
        <v>10</v>
      </c>
      <c r="B436" s="5" t="s">
        <v>226</v>
      </c>
      <c r="C436" s="5" t="s">
        <v>22</v>
      </c>
      <c r="D436" s="5">
        <v>2021</v>
      </c>
      <c r="E436" s="5">
        <v>1</v>
      </c>
      <c r="F436" s="5">
        <v>1744197</v>
      </c>
      <c r="G436" s="5">
        <v>1141021.5900000001</v>
      </c>
      <c r="H436" s="5">
        <v>0.3458</v>
      </c>
    </row>
    <row r="437" spans="1:8" x14ac:dyDescent="0.3">
      <c r="A437" s="5">
        <v>10</v>
      </c>
      <c r="B437" s="5" t="s">
        <v>226</v>
      </c>
      <c r="C437" s="5" t="s">
        <v>23</v>
      </c>
      <c r="D437" s="5">
        <v>2021</v>
      </c>
      <c r="E437" s="5">
        <v>2</v>
      </c>
      <c r="F437" s="5">
        <v>1533890</v>
      </c>
      <c r="G437" s="5">
        <v>961173.18</v>
      </c>
      <c r="H437" s="5">
        <v>0.37340000000000001</v>
      </c>
    </row>
    <row r="438" spans="1:8" x14ac:dyDescent="0.3">
      <c r="A438" s="5">
        <v>10</v>
      </c>
      <c r="B438" s="5" t="s">
        <v>226</v>
      </c>
      <c r="C438" s="5" t="s">
        <v>24</v>
      </c>
      <c r="D438" s="5">
        <v>2021</v>
      </c>
      <c r="E438" s="5">
        <v>3</v>
      </c>
      <c r="F438" s="5">
        <v>1924774</v>
      </c>
      <c r="G438" s="5">
        <v>1159902.1000000001</v>
      </c>
      <c r="H438" s="5">
        <v>0.39739999999999998</v>
      </c>
    </row>
    <row r="439" spans="1:8" x14ac:dyDescent="0.3">
      <c r="A439" s="5">
        <v>10</v>
      </c>
      <c r="B439" s="5" t="s">
        <v>226</v>
      </c>
      <c r="C439" s="5" t="s">
        <v>25</v>
      </c>
      <c r="D439" s="5">
        <v>2021</v>
      </c>
      <c r="E439" s="5">
        <v>4</v>
      </c>
      <c r="F439" s="5">
        <v>1847409</v>
      </c>
      <c r="G439" s="5">
        <v>1176654.23</v>
      </c>
      <c r="H439" s="5">
        <v>0.36309999999999998</v>
      </c>
    </row>
    <row r="440" spans="1:8" x14ac:dyDescent="0.3">
      <c r="A440" s="5">
        <v>10</v>
      </c>
      <c r="B440" s="5" t="s">
        <v>226</v>
      </c>
      <c r="C440" s="5" t="s">
        <v>26</v>
      </c>
      <c r="D440" s="5">
        <v>2021</v>
      </c>
      <c r="E440" s="5">
        <v>5</v>
      </c>
      <c r="F440" s="5">
        <v>2350649</v>
      </c>
      <c r="G440" s="5">
        <v>1455232.3</v>
      </c>
      <c r="H440" s="5">
        <v>0.38090000000000002</v>
      </c>
    </row>
    <row r="441" spans="1:8" x14ac:dyDescent="0.3">
      <c r="A441" s="5">
        <v>10</v>
      </c>
      <c r="B441" s="5" t="s">
        <v>226</v>
      </c>
      <c r="C441" s="5" t="s">
        <v>27</v>
      </c>
      <c r="D441" s="5">
        <v>2021</v>
      </c>
      <c r="E441" s="5">
        <v>6</v>
      </c>
      <c r="F441" s="5">
        <v>2254249</v>
      </c>
      <c r="G441" s="5">
        <v>1434075.99</v>
      </c>
      <c r="H441" s="5">
        <v>0.36380000000000001</v>
      </c>
    </row>
    <row r="442" spans="1:8" x14ac:dyDescent="0.3">
      <c r="A442" s="5">
        <v>10</v>
      </c>
      <c r="B442" s="5" t="s">
        <v>226</v>
      </c>
      <c r="C442" s="5" t="s">
        <v>28</v>
      </c>
      <c r="D442" s="5">
        <v>2021</v>
      </c>
      <c r="E442" s="5">
        <v>7</v>
      </c>
      <c r="F442" s="5">
        <v>2141944</v>
      </c>
      <c r="G442" s="5">
        <v>1358650.61</v>
      </c>
      <c r="H442" s="5">
        <v>0.36570000000000003</v>
      </c>
    </row>
    <row r="443" spans="1:8" x14ac:dyDescent="0.3">
      <c r="A443" s="5">
        <v>10</v>
      </c>
      <c r="B443" s="5" t="s">
        <v>226</v>
      </c>
      <c r="C443" s="5" t="s">
        <v>29</v>
      </c>
      <c r="D443" s="5">
        <v>2021</v>
      </c>
      <c r="E443" s="5">
        <v>8</v>
      </c>
      <c r="F443" s="5">
        <v>2205293</v>
      </c>
      <c r="G443" s="5">
        <v>1352095.87</v>
      </c>
      <c r="H443" s="5">
        <v>0.38690000000000002</v>
      </c>
    </row>
    <row r="444" spans="1:8" x14ac:dyDescent="0.3">
      <c r="A444" s="5">
        <v>10</v>
      </c>
      <c r="B444" s="5" t="s">
        <v>226</v>
      </c>
      <c r="C444" s="5" t="s">
        <v>30</v>
      </c>
      <c r="D444" s="5">
        <v>2021</v>
      </c>
      <c r="E444" s="5">
        <v>9</v>
      </c>
      <c r="F444" s="5">
        <v>1904402</v>
      </c>
      <c r="G444" s="5">
        <v>1179676.7</v>
      </c>
      <c r="H444" s="5">
        <v>0.38059999999999999</v>
      </c>
    </row>
    <row r="445" spans="1:8" x14ac:dyDescent="0.3">
      <c r="A445" s="5">
        <v>10</v>
      </c>
      <c r="B445" s="5" t="s">
        <v>226</v>
      </c>
      <c r="C445" s="5" t="s">
        <v>31</v>
      </c>
      <c r="D445" s="5">
        <v>2021</v>
      </c>
      <c r="E445" s="5">
        <v>10</v>
      </c>
      <c r="F445" s="5">
        <v>3366865</v>
      </c>
      <c r="G445" s="5">
        <v>2013431.74</v>
      </c>
      <c r="H445" s="5">
        <v>0.40200000000000002</v>
      </c>
    </row>
    <row r="446" spans="1:8" x14ac:dyDescent="0.3">
      <c r="A446" s="5">
        <v>10</v>
      </c>
      <c r="B446" s="5" t="s">
        <v>226</v>
      </c>
      <c r="C446" s="5" t="s">
        <v>32</v>
      </c>
      <c r="D446" s="5">
        <v>2021</v>
      </c>
      <c r="E446" s="5">
        <v>11</v>
      </c>
      <c r="F446" s="5">
        <v>3407858</v>
      </c>
      <c r="G446" s="5">
        <v>2032392.86</v>
      </c>
      <c r="H446" s="5">
        <v>0.40360000000000001</v>
      </c>
    </row>
    <row r="447" spans="1:8" x14ac:dyDescent="0.3">
      <c r="A447" s="5">
        <v>10</v>
      </c>
      <c r="B447" s="5" t="s">
        <v>226</v>
      </c>
      <c r="C447" s="5" t="s">
        <v>33</v>
      </c>
      <c r="D447" s="5">
        <v>2021</v>
      </c>
      <c r="E447" s="5">
        <v>12</v>
      </c>
      <c r="F447" s="5">
        <v>2980317</v>
      </c>
      <c r="G447" s="5">
        <v>1769619.75</v>
      </c>
      <c r="H447" s="5">
        <v>0.40620000000000001</v>
      </c>
    </row>
    <row r="448" spans="1:8" x14ac:dyDescent="0.3">
      <c r="A448" s="5">
        <v>10</v>
      </c>
      <c r="B448" s="5" t="s">
        <v>226</v>
      </c>
      <c r="C448" s="5" t="s">
        <v>34</v>
      </c>
      <c r="D448" s="5">
        <v>2022</v>
      </c>
      <c r="E448" s="5">
        <v>1</v>
      </c>
      <c r="F448" s="5">
        <v>2536241</v>
      </c>
      <c r="G448" s="5">
        <v>1518189.59</v>
      </c>
      <c r="H448" s="5">
        <v>0.40139999999999998</v>
      </c>
    </row>
    <row r="449" spans="1:8" x14ac:dyDescent="0.3">
      <c r="A449" s="5">
        <v>10</v>
      </c>
      <c r="B449" s="5" t="s">
        <v>226</v>
      </c>
      <c r="C449" s="5" t="s">
        <v>35</v>
      </c>
      <c r="D449" s="5">
        <v>2022</v>
      </c>
      <c r="E449" s="5">
        <v>2</v>
      </c>
      <c r="F449" s="5">
        <v>2540382</v>
      </c>
      <c r="G449" s="5">
        <v>1520514</v>
      </c>
      <c r="H449" s="5">
        <v>0.40150000000000002</v>
      </c>
    </row>
    <row r="450" spans="1:8" x14ac:dyDescent="0.3">
      <c r="A450" s="5">
        <v>10</v>
      </c>
      <c r="B450" s="5" t="s">
        <v>226</v>
      </c>
      <c r="C450" s="5" t="s">
        <v>36</v>
      </c>
      <c r="D450" s="5">
        <v>2022</v>
      </c>
      <c r="E450" s="5">
        <v>3</v>
      </c>
      <c r="F450" s="5">
        <v>3146451</v>
      </c>
      <c r="G450" s="5">
        <v>1908372.86</v>
      </c>
      <c r="H450" s="5">
        <v>0.39350000000000002</v>
      </c>
    </row>
    <row r="451" spans="1:8" x14ac:dyDescent="0.3">
      <c r="A451" s="5">
        <v>10</v>
      </c>
      <c r="B451" s="5" t="s">
        <v>226</v>
      </c>
      <c r="C451" s="5" t="s">
        <v>37</v>
      </c>
      <c r="D451" s="5">
        <v>2022</v>
      </c>
      <c r="E451" s="5">
        <v>4</v>
      </c>
      <c r="F451" s="5">
        <v>2975903</v>
      </c>
      <c r="G451" s="5">
        <v>1839412.27</v>
      </c>
      <c r="H451" s="5">
        <v>0.38190000000000002</v>
      </c>
    </row>
    <row r="452" spans="1:8" x14ac:dyDescent="0.3">
      <c r="A452" s="5">
        <v>10</v>
      </c>
      <c r="B452" s="5" t="s">
        <v>226</v>
      </c>
      <c r="C452" s="5" t="s">
        <v>38</v>
      </c>
      <c r="D452" s="5">
        <v>2022</v>
      </c>
      <c r="E452" s="5">
        <v>5</v>
      </c>
      <c r="F452" s="5">
        <v>3521716</v>
      </c>
      <c r="G452" s="5">
        <v>2207853.29</v>
      </c>
      <c r="H452" s="5">
        <v>0.37309999999999999</v>
      </c>
    </row>
    <row r="453" spans="1:8" x14ac:dyDescent="0.3">
      <c r="A453" s="5">
        <v>10</v>
      </c>
      <c r="B453" s="5" t="s">
        <v>226</v>
      </c>
      <c r="C453" s="5" t="s">
        <v>39</v>
      </c>
      <c r="D453" s="5">
        <v>2022</v>
      </c>
      <c r="E453" s="5">
        <v>6</v>
      </c>
      <c r="F453" s="5">
        <v>3085169</v>
      </c>
      <c r="G453" s="5">
        <v>1914211.74</v>
      </c>
      <c r="H453" s="5">
        <v>0.3795</v>
      </c>
    </row>
    <row r="454" spans="1:8" x14ac:dyDescent="0.3">
      <c r="A454" s="5">
        <v>10</v>
      </c>
      <c r="B454" s="5" t="s">
        <v>226</v>
      </c>
      <c r="C454" s="5" t="s">
        <v>40</v>
      </c>
      <c r="D454" s="5">
        <v>2022</v>
      </c>
      <c r="E454" s="5">
        <v>7</v>
      </c>
      <c r="F454" s="5">
        <v>2625145</v>
      </c>
      <c r="G454" s="5">
        <v>1651121.56</v>
      </c>
      <c r="H454" s="5">
        <v>0.371</v>
      </c>
    </row>
    <row r="455" spans="1:8" x14ac:dyDescent="0.3">
      <c r="A455" s="5">
        <v>10</v>
      </c>
      <c r="B455" s="5" t="s">
        <v>226</v>
      </c>
      <c r="C455" s="5" t="s">
        <v>41</v>
      </c>
      <c r="D455" s="5">
        <v>2022</v>
      </c>
      <c r="E455" s="5">
        <v>8</v>
      </c>
      <c r="F455" s="5">
        <v>2657084</v>
      </c>
      <c r="G455" s="5">
        <v>1780020.5</v>
      </c>
      <c r="H455" s="5">
        <v>0.3301</v>
      </c>
    </row>
    <row r="456" spans="1:8" x14ac:dyDescent="0.3">
      <c r="A456" s="5">
        <v>10</v>
      </c>
      <c r="B456" s="5" t="s">
        <v>226</v>
      </c>
      <c r="C456" s="5" t="s">
        <v>42</v>
      </c>
      <c r="D456" s="5">
        <v>2022</v>
      </c>
      <c r="E456" s="5">
        <v>9</v>
      </c>
      <c r="F456" s="5">
        <v>3005436</v>
      </c>
      <c r="G456" s="5">
        <v>1893065.3</v>
      </c>
      <c r="H456" s="5">
        <v>0.37009999999999998</v>
      </c>
    </row>
    <row r="457" spans="1:8" x14ac:dyDescent="0.3">
      <c r="A457" s="5">
        <v>10</v>
      </c>
      <c r="B457" s="5" t="s">
        <v>226</v>
      </c>
      <c r="C457" s="5" t="s">
        <v>43</v>
      </c>
      <c r="D457" s="5">
        <v>2022</v>
      </c>
      <c r="E457" s="5">
        <v>10</v>
      </c>
      <c r="F457" s="5">
        <v>4199377</v>
      </c>
      <c r="G457" s="5">
        <v>2727215.34</v>
      </c>
      <c r="H457" s="5">
        <v>0.35060000000000002</v>
      </c>
    </row>
    <row r="458" spans="1:8" x14ac:dyDescent="0.3">
      <c r="A458" s="5">
        <v>10</v>
      </c>
      <c r="B458" s="5" t="s">
        <v>226</v>
      </c>
      <c r="C458" s="5" t="s">
        <v>44</v>
      </c>
      <c r="D458" s="5">
        <v>2022</v>
      </c>
      <c r="E458" s="5">
        <v>11</v>
      </c>
      <c r="F458" s="5">
        <v>4844775</v>
      </c>
      <c r="G458" s="5">
        <v>2965352.47</v>
      </c>
      <c r="H458" s="5">
        <v>0.38790000000000002</v>
      </c>
    </row>
    <row r="459" spans="1:8" x14ac:dyDescent="0.3">
      <c r="A459" s="5">
        <v>10</v>
      </c>
      <c r="B459" s="5" t="s">
        <v>226</v>
      </c>
      <c r="C459" s="5" t="s">
        <v>45</v>
      </c>
      <c r="D459" s="5">
        <v>2022</v>
      </c>
      <c r="E459" s="5">
        <v>12</v>
      </c>
      <c r="F459" s="5">
        <v>4387836</v>
      </c>
      <c r="G459" s="5">
        <v>2581226.7799999998</v>
      </c>
      <c r="H459" s="5">
        <v>0.41170000000000001</v>
      </c>
    </row>
    <row r="460" spans="1:8" x14ac:dyDescent="0.3">
      <c r="A460" s="5">
        <v>10</v>
      </c>
      <c r="B460" s="5" t="s">
        <v>226</v>
      </c>
      <c r="C460" s="5" t="s">
        <v>46</v>
      </c>
      <c r="D460" s="5">
        <v>2023</v>
      </c>
      <c r="E460" s="5">
        <v>1</v>
      </c>
      <c r="F460" s="5">
        <v>2970604</v>
      </c>
      <c r="G460" s="5">
        <v>1863794.03</v>
      </c>
      <c r="H460" s="5">
        <v>0.37259999999999999</v>
      </c>
    </row>
    <row r="461" spans="1:8" x14ac:dyDescent="0.3">
      <c r="A461" s="5">
        <v>10</v>
      </c>
      <c r="B461" s="5" t="s">
        <v>226</v>
      </c>
      <c r="C461" s="5" t="s">
        <v>47</v>
      </c>
      <c r="D461" s="5">
        <v>2023</v>
      </c>
      <c r="E461" s="5">
        <v>2</v>
      </c>
      <c r="F461" s="5">
        <v>3170685</v>
      </c>
      <c r="G461" s="5">
        <v>1967249.25</v>
      </c>
      <c r="H461" s="5">
        <v>0.37959999999999999</v>
      </c>
    </row>
    <row r="462" spans="1:8" x14ac:dyDescent="0.3">
      <c r="A462" s="5">
        <v>10</v>
      </c>
      <c r="B462" s="5" t="s">
        <v>226</v>
      </c>
      <c r="C462" s="5" t="s">
        <v>48</v>
      </c>
      <c r="D462" s="5">
        <v>2023</v>
      </c>
      <c r="E462" s="5">
        <v>3</v>
      </c>
      <c r="F462" s="5">
        <v>3390311</v>
      </c>
      <c r="G462" s="5">
        <v>2109074.9500000002</v>
      </c>
      <c r="H462" s="5">
        <v>0.37790000000000001</v>
      </c>
    </row>
    <row r="463" spans="1:8" x14ac:dyDescent="0.3">
      <c r="A463" s="5">
        <v>10</v>
      </c>
      <c r="B463" s="5" t="s">
        <v>226</v>
      </c>
      <c r="C463" s="5" t="s">
        <v>49</v>
      </c>
      <c r="D463" s="5">
        <v>2023</v>
      </c>
      <c r="E463" s="5">
        <v>4</v>
      </c>
      <c r="F463" s="5">
        <v>3637717</v>
      </c>
      <c r="G463" s="5">
        <v>2273541.85</v>
      </c>
      <c r="H463" s="5">
        <v>0.375</v>
      </c>
    </row>
    <row r="464" spans="1:8" x14ac:dyDescent="0.3">
      <c r="A464" s="5">
        <v>10</v>
      </c>
      <c r="B464" s="5" t="s">
        <v>226</v>
      </c>
      <c r="C464" s="5" t="s">
        <v>50</v>
      </c>
      <c r="D464" s="5">
        <v>2023</v>
      </c>
      <c r="E464" s="5">
        <v>5</v>
      </c>
      <c r="F464" s="5">
        <v>4556532</v>
      </c>
      <c r="G464" s="5">
        <v>2840324.42</v>
      </c>
      <c r="H464" s="5">
        <v>0.37659999999999999</v>
      </c>
    </row>
    <row r="465" spans="1:8" x14ac:dyDescent="0.3">
      <c r="A465" s="5">
        <v>10</v>
      </c>
      <c r="B465" s="5" t="s">
        <v>226</v>
      </c>
      <c r="C465" s="5" t="s">
        <v>51</v>
      </c>
      <c r="D465" s="5">
        <v>2023</v>
      </c>
      <c r="E465" s="5">
        <v>6</v>
      </c>
      <c r="F465" s="5">
        <v>4131321</v>
      </c>
      <c r="G465" s="5">
        <v>2525865.25</v>
      </c>
      <c r="H465" s="5">
        <v>0.3886</v>
      </c>
    </row>
    <row r="466" spans="1:8" x14ac:dyDescent="0.3">
      <c r="A466" s="5">
        <v>10</v>
      </c>
      <c r="B466" s="5" t="s">
        <v>226</v>
      </c>
      <c r="C466" s="5" t="s">
        <v>52</v>
      </c>
      <c r="D466" s="5">
        <v>2023</v>
      </c>
      <c r="E466" s="5">
        <v>7</v>
      </c>
      <c r="F466" s="5">
        <v>3789353</v>
      </c>
      <c r="G466" s="5">
        <v>2441473.16</v>
      </c>
      <c r="H466" s="5">
        <v>0.35570000000000002</v>
      </c>
    </row>
    <row r="467" spans="1:8" x14ac:dyDescent="0.3">
      <c r="A467" s="5">
        <v>10</v>
      </c>
      <c r="B467" s="5" t="s">
        <v>226</v>
      </c>
      <c r="C467" s="5" t="s">
        <v>53</v>
      </c>
      <c r="D467" s="5">
        <v>2023</v>
      </c>
      <c r="E467" s="5">
        <v>8</v>
      </c>
      <c r="F467" s="5">
        <v>3346255</v>
      </c>
      <c r="G467" s="5">
        <v>2177121.63</v>
      </c>
      <c r="H467" s="5">
        <v>0.34939999999999999</v>
      </c>
    </row>
    <row r="468" spans="1:8" x14ac:dyDescent="0.3">
      <c r="A468" s="5">
        <v>10</v>
      </c>
      <c r="B468" s="5" t="s">
        <v>226</v>
      </c>
      <c r="C468" s="5" t="s">
        <v>54</v>
      </c>
      <c r="D468" s="5">
        <v>2023</v>
      </c>
      <c r="E468" s="5">
        <v>9</v>
      </c>
      <c r="F468" s="5">
        <v>4253761</v>
      </c>
      <c r="G468" s="5">
        <v>2747647.26</v>
      </c>
      <c r="H468" s="5">
        <v>0.35410000000000003</v>
      </c>
    </row>
    <row r="469" spans="1:8" x14ac:dyDescent="0.3">
      <c r="A469" s="5">
        <v>10</v>
      </c>
      <c r="B469" s="5" t="s">
        <v>226</v>
      </c>
      <c r="C469" s="5" t="s">
        <v>55</v>
      </c>
      <c r="D469" s="5">
        <v>2023</v>
      </c>
      <c r="E469" s="5">
        <v>10</v>
      </c>
      <c r="F469" s="5">
        <v>5797942</v>
      </c>
      <c r="G469" s="5">
        <v>3593575.6</v>
      </c>
      <c r="H469" s="5">
        <v>0.38019999999999998</v>
      </c>
    </row>
    <row r="470" spans="1:8" x14ac:dyDescent="0.3">
      <c r="A470" s="5">
        <v>10</v>
      </c>
      <c r="B470" s="5" t="s">
        <v>226</v>
      </c>
      <c r="C470" s="5" t="s">
        <v>56</v>
      </c>
      <c r="D470" s="5">
        <v>2023</v>
      </c>
      <c r="E470" s="5">
        <v>11</v>
      </c>
      <c r="F470" s="5">
        <v>5297293</v>
      </c>
      <c r="G470" s="5">
        <v>3366900.71</v>
      </c>
      <c r="H470" s="5">
        <v>0.3644</v>
      </c>
    </row>
    <row r="471" spans="1:8" x14ac:dyDescent="0.3">
      <c r="A471" s="5">
        <v>10</v>
      </c>
      <c r="B471" s="5" t="s">
        <v>226</v>
      </c>
      <c r="C471" s="5" t="s">
        <v>57</v>
      </c>
      <c r="D471" s="5">
        <v>2023</v>
      </c>
      <c r="E471" s="5">
        <v>12</v>
      </c>
      <c r="F471" s="5">
        <v>5668340</v>
      </c>
      <c r="G471" s="5">
        <v>3693134.29</v>
      </c>
      <c r="H471" s="5">
        <v>0.34849999999999998</v>
      </c>
    </row>
    <row r="472" spans="1:8" x14ac:dyDescent="0.3">
      <c r="A472" s="5">
        <v>10</v>
      </c>
      <c r="B472" s="5" t="s">
        <v>226</v>
      </c>
      <c r="C472" s="5" t="s">
        <v>58</v>
      </c>
      <c r="D472" s="5">
        <v>2024</v>
      </c>
      <c r="E472" s="5">
        <v>1</v>
      </c>
      <c r="F472" s="5">
        <v>3728385</v>
      </c>
      <c r="G472" s="5">
        <v>2348655.75</v>
      </c>
      <c r="H472" s="5">
        <v>0.37009999999999998</v>
      </c>
    </row>
    <row r="473" spans="1:8" x14ac:dyDescent="0.3">
      <c r="A473" s="5">
        <v>10</v>
      </c>
      <c r="B473" s="5" t="s">
        <v>226</v>
      </c>
      <c r="C473" s="5" t="s">
        <v>59</v>
      </c>
      <c r="D473" s="5">
        <v>2024</v>
      </c>
      <c r="E473" s="5">
        <v>2</v>
      </c>
      <c r="F473" s="5">
        <v>3441652</v>
      </c>
      <c r="G473" s="5">
        <v>2136175.65</v>
      </c>
      <c r="H473" s="5">
        <v>0.37930000000000003</v>
      </c>
    </row>
    <row r="474" spans="1:8" x14ac:dyDescent="0.3">
      <c r="A474" s="5">
        <v>10</v>
      </c>
      <c r="B474" s="5" t="s">
        <v>226</v>
      </c>
      <c r="C474" s="5" t="s">
        <v>60</v>
      </c>
      <c r="D474" s="5">
        <v>2024</v>
      </c>
      <c r="E474" s="5">
        <v>3</v>
      </c>
      <c r="F474" s="5">
        <v>3779992</v>
      </c>
      <c r="G474" s="5">
        <v>2349728.0099999998</v>
      </c>
      <c r="H474" s="5">
        <v>0.37840000000000001</v>
      </c>
    </row>
    <row r="475" spans="1:8" x14ac:dyDescent="0.3">
      <c r="A475" s="5">
        <v>10</v>
      </c>
      <c r="B475" s="5" t="s">
        <v>226</v>
      </c>
      <c r="C475" s="5" t="s">
        <v>61</v>
      </c>
      <c r="D475" s="5">
        <v>2024</v>
      </c>
      <c r="E475" s="5">
        <v>4</v>
      </c>
      <c r="F475" s="5">
        <v>4318931</v>
      </c>
      <c r="G475" s="5">
        <v>2714441.57</v>
      </c>
      <c r="H475" s="5">
        <v>0.3715</v>
      </c>
    </row>
    <row r="476" spans="1:8" x14ac:dyDescent="0.3">
      <c r="A476" s="5">
        <v>10</v>
      </c>
      <c r="B476" s="5" t="s">
        <v>226</v>
      </c>
      <c r="C476" s="5" t="s">
        <v>62</v>
      </c>
      <c r="D476" s="5">
        <v>2024</v>
      </c>
      <c r="E476" s="5">
        <v>5</v>
      </c>
      <c r="F476" s="5">
        <v>4404677</v>
      </c>
      <c r="G476" s="5">
        <v>2777243.95</v>
      </c>
      <c r="H476" s="5">
        <v>0.3695</v>
      </c>
    </row>
    <row r="477" spans="1:8" x14ac:dyDescent="0.3">
      <c r="A477" s="5">
        <v>10</v>
      </c>
      <c r="B477" s="5" t="s">
        <v>226</v>
      </c>
      <c r="C477" s="5" t="s">
        <v>63</v>
      </c>
      <c r="D477" s="5">
        <v>2024</v>
      </c>
      <c r="E477" s="5">
        <v>6</v>
      </c>
      <c r="F477" s="5">
        <v>4303209</v>
      </c>
      <c r="G477" s="5">
        <v>2593694.36</v>
      </c>
      <c r="H477" s="5">
        <v>0.39729999999999999</v>
      </c>
    </row>
    <row r="478" spans="1:8" x14ac:dyDescent="0.3">
      <c r="A478" s="5">
        <v>10</v>
      </c>
      <c r="B478" s="5" t="s">
        <v>226</v>
      </c>
      <c r="C478" s="5" t="s">
        <v>64</v>
      </c>
      <c r="D478" s="5">
        <v>2024</v>
      </c>
      <c r="E478" s="5">
        <v>7</v>
      </c>
      <c r="F478" s="5">
        <v>4219812</v>
      </c>
      <c r="G478" s="5">
        <v>2614166.5699999998</v>
      </c>
      <c r="H478" s="5">
        <v>0.3805</v>
      </c>
    </row>
    <row r="479" spans="1:8" x14ac:dyDescent="0.3">
      <c r="A479" s="5">
        <v>10</v>
      </c>
      <c r="B479" s="5" t="s">
        <v>226</v>
      </c>
      <c r="C479" s="5" t="s">
        <v>65</v>
      </c>
      <c r="D479" s="5">
        <v>2024</v>
      </c>
      <c r="E479" s="5">
        <v>8</v>
      </c>
      <c r="F479" s="5">
        <v>4390797</v>
      </c>
      <c r="G479" s="5">
        <v>2695596.45</v>
      </c>
      <c r="H479" s="5">
        <v>0.3861</v>
      </c>
    </row>
    <row r="480" spans="1:8" x14ac:dyDescent="0.3">
      <c r="A480" s="5">
        <v>10</v>
      </c>
      <c r="B480" s="5" t="s">
        <v>226</v>
      </c>
      <c r="C480" s="5" t="s">
        <v>66</v>
      </c>
      <c r="D480" s="5">
        <v>2024</v>
      </c>
      <c r="E480" s="5">
        <v>9</v>
      </c>
      <c r="F480" s="5">
        <v>5281213</v>
      </c>
      <c r="G480" s="5">
        <v>3122244.99</v>
      </c>
      <c r="H480" s="5">
        <v>0.4088</v>
      </c>
    </row>
    <row r="481" spans="1:8" x14ac:dyDescent="0.3">
      <c r="A481" s="5">
        <v>10</v>
      </c>
      <c r="B481" s="5" t="s">
        <v>226</v>
      </c>
      <c r="C481" s="5" t="s">
        <v>67</v>
      </c>
      <c r="D481" s="5">
        <v>2024</v>
      </c>
      <c r="E481" s="5">
        <v>10</v>
      </c>
      <c r="F481" s="5">
        <v>6471092</v>
      </c>
      <c r="G481" s="5">
        <v>3717973.76</v>
      </c>
      <c r="H481" s="5">
        <v>0.4254</v>
      </c>
    </row>
    <row r="482" spans="1:8" x14ac:dyDescent="0.3">
      <c r="A482" s="5">
        <v>10</v>
      </c>
      <c r="B482" s="5" t="s">
        <v>226</v>
      </c>
      <c r="C482" s="5" t="s">
        <v>68</v>
      </c>
      <c r="D482" s="5">
        <v>2024</v>
      </c>
      <c r="E482" s="5">
        <v>11</v>
      </c>
      <c r="F482" s="5">
        <v>6637124</v>
      </c>
      <c r="G482" s="5">
        <v>3991222.01</v>
      </c>
      <c r="H482" s="5">
        <v>0.3987</v>
      </c>
    </row>
    <row r="483" spans="1:8" x14ac:dyDescent="0.3">
      <c r="A483" s="5">
        <v>10</v>
      </c>
      <c r="B483" s="5" t="s">
        <v>226</v>
      </c>
      <c r="C483" s="5" t="s">
        <v>69</v>
      </c>
      <c r="D483" s="5">
        <v>2024</v>
      </c>
      <c r="E483" s="5">
        <v>12</v>
      </c>
      <c r="F483" s="5">
        <v>6078860</v>
      </c>
      <c r="G483" s="5">
        <v>3515185.94</v>
      </c>
      <c r="H483" s="5">
        <v>0.42170000000000002</v>
      </c>
    </row>
    <row r="484" spans="1:8" x14ac:dyDescent="0.3">
      <c r="A484" s="5">
        <v>11</v>
      </c>
      <c r="B484" s="5" t="s">
        <v>225</v>
      </c>
      <c r="C484" s="5" t="s">
        <v>22</v>
      </c>
      <c r="D484" s="5">
        <v>2021</v>
      </c>
      <c r="E484" s="5">
        <v>1</v>
      </c>
      <c r="F484" s="5">
        <v>1810951</v>
      </c>
      <c r="G484" s="5">
        <v>1124436.52</v>
      </c>
      <c r="H484" s="5">
        <v>0.37909999999999999</v>
      </c>
    </row>
    <row r="485" spans="1:8" x14ac:dyDescent="0.3">
      <c r="A485" s="5">
        <v>11</v>
      </c>
      <c r="B485" s="5" t="s">
        <v>225</v>
      </c>
      <c r="C485" s="5" t="s">
        <v>23</v>
      </c>
      <c r="D485" s="5">
        <v>2021</v>
      </c>
      <c r="E485" s="5">
        <v>2</v>
      </c>
      <c r="F485" s="5">
        <v>1682955</v>
      </c>
      <c r="G485" s="5">
        <v>1021544.87</v>
      </c>
      <c r="H485" s="5">
        <v>0.39300000000000002</v>
      </c>
    </row>
    <row r="486" spans="1:8" x14ac:dyDescent="0.3">
      <c r="A486" s="5">
        <v>11</v>
      </c>
      <c r="B486" s="5" t="s">
        <v>225</v>
      </c>
      <c r="C486" s="5" t="s">
        <v>24</v>
      </c>
      <c r="D486" s="5">
        <v>2021</v>
      </c>
      <c r="E486" s="5">
        <v>3</v>
      </c>
      <c r="F486" s="5">
        <v>1994938</v>
      </c>
      <c r="G486" s="5">
        <v>1135103.8600000001</v>
      </c>
      <c r="H486" s="5">
        <v>0.43099999999999999</v>
      </c>
    </row>
    <row r="487" spans="1:8" x14ac:dyDescent="0.3">
      <c r="A487" s="5">
        <v>11</v>
      </c>
      <c r="B487" s="5" t="s">
        <v>225</v>
      </c>
      <c r="C487" s="5" t="s">
        <v>25</v>
      </c>
      <c r="D487" s="5">
        <v>2021</v>
      </c>
      <c r="E487" s="5">
        <v>4</v>
      </c>
      <c r="F487" s="5">
        <v>2004670</v>
      </c>
      <c r="G487" s="5">
        <v>1218354.53</v>
      </c>
      <c r="H487" s="5">
        <v>0.39219999999999999</v>
      </c>
    </row>
    <row r="488" spans="1:8" x14ac:dyDescent="0.3">
      <c r="A488" s="5">
        <v>11</v>
      </c>
      <c r="B488" s="5" t="s">
        <v>225</v>
      </c>
      <c r="C488" s="5" t="s">
        <v>26</v>
      </c>
      <c r="D488" s="5">
        <v>2021</v>
      </c>
      <c r="E488" s="5">
        <v>5</v>
      </c>
      <c r="F488" s="5">
        <v>2492050</v>
      </c>
      <c r="G488" s="5">
        <v>1530357.92</v>
      </c>
      <c r="H488" s="5">
        <v>0.38590000000000002</v>
      </c>
    </row>
    <row r="489" spans="1:8" x14ac:dyDescent="0.3">
      <c r="A489" s="5">
        <v>11</v>
      </c>
      <c r="B489" s="5" t="s">
        <v>225</v>
      </c>
      <c r="C489" s="5" t="s">
        <v>27</v>
      </c>
      <c r="D489" s="5">
        <v>2021</v>
      </c>
      <c r="E489" s="5">
        <v>6</v>
      </c>
      <c r="F489" s="5">
        <v>1962854</v>
      </c>
      <c r="G489" s="5">
        <v>1175909.5900000001</v>
      </c>
      <c r="H489" s="5">
        <v>0.40089999999999998</v>
      </c>
    </row>
    <row r="490" spans="1:8" x14ac:dyDescent="0.3">
      <c r="A490" s="5">
        <v>11</v>
      </c>
      <c r="B490" s="5" t="s">
        <v>225</v>
      </c>
      <c r="C490" s="5" t="s">
        <v>28</v>
      </c>
      <c r="D490" s="5">
        <v>2021</v>
      </c>
      <c r="E490" s="5">
        <v>7</v>
      </c>
      <c r="F490" s="5">
        <v>2253683</v>
      </c>
      <c r="G490" s="5">
        <v>1363967.36</v>
      </c>
      <c r="H490" s="5">
        <v>0.39479999999999998</v>
      </c>
    </row>
    <row r="491" spans="1:8" x14ac:dyDescent="0.3">
      <c r="A491" s="5">
        <v>11</v>
      </c>
      <c r="B491" s="5" t="s">
        <v>225</v>
      </c>
      <c r="C491" s="5" t="s">
        <v>29</v>
      </c>
      <c r="D491" s="5">
        <v>2021</v>
      </c>
      <c r="E491" s="5">
        <v>8</v>
      </c>
      <c r="F491" s="5">
        <v>2178586</v>
      </c>
      <c r="G491" s="5">
        <v>1300266.51</v>
      </c>
      <c r="H491" s="5">
        <v>0.4032</v>
      </c>
    </row>
    <row r="492" spans="1:8" x14ac:dyDescent="0.3">
      <c r="A492" s="5">
        <v>11</v>
      </c>
      <c r="B492" s="5" t="s">
        <v>225</v>
      </c>
      <c r="C492" s="5" t="s">
        <v>30</v>
      </c>
      <c r="D492" s="5">
        <v>2021</v>
      </c>
      <c r="E492" s="5">
        <v>9</v>
      </c>
      <c r="F492" s="5">
        <v>2514041</v>
      </c>
      <c r="G492" s="5">
        <v>1519002.89</v>
      </c>
      <c r="H492" s="5">
        <v>0.39579999999999999</v>
      </c>
    </row>
    <row r="493" spans="1:8" x14ac:dyDescent="0.3">
      <c r="A493" s="5">
        <v>11</v>
      </c>
      <c r="B493" s="5" t="s">
        <v>225</v>
      </c>
      <c r="C493" s="5" t="s">
        <v>31</v>
      </c>
      <c r="D493" s="5">
        <v>2021</v>
      </c>
      <c r="E493" s="5">
        <v>10</v>
      </c>
      <c r="F493" s="5">
        <v>3290239</v>
      </c>
      <c r="G493" s="5">
        <v>1899918.76</v>
      </c>
      <c r="H493" s="5">
        <v>0.42259999999999998</v>
      </c>
    </row>
    <row r="494" spans="1:8" x14ac:dyDescent="0.3">
      <c r="A494" s="5">
        <v>11</v>
      </c>
      <c r="B494" s="5" t="s">
        <v>225</v>
      </c>
      <c r="C494" s="5" t="s">
        <v>32</v>
      </c>
      <c r="D494" s="5">
        <v>2021</v>
      </c>
      <c r="E494" s="5">
        <v>11</v>
      </c>
      <c r="F494" s="5">
        <v>3190779</v>
      </c>
      <c r="G494" s="5">
        <v>1824602.21</v>
      </c>
      <c r="H494" s="5">
        <v>0.42820000000000003</v>
      </c>
    </row>
    <row r="495" spans="1:8" x14ac:dyDescent="0.3">
      <c r="A495" s="5">
        <v>11</v>
      </c>
      <c r="B495" s="5" t="s">
        <v>225</v>
      </c>
      <c r="C495" s="5" t="s">
        <v>33</v>
      </c>
      <c r="D495" s="5">
        <v>2021</v>
      </c>
      <c r="E495" s="5">
        <v>12</v>
      </c>
      <c r="F495" s="5">
        <v>2933867</v>
      </c>
      <c r="G495" s="5">
        <v>1702086.53</v>
      </c>
      <c r="H495" s="5">
        <v>0.41980000000000001</v>
      </c>
    </row>
    <row r="496" spans="1:8" x14ac:dyDescent="0.3">
      <c r="A496" s="5">
        <v>11</v>
      </c>
      <c r="B496" s="5" t="s">
        <v>225</v>
      </c>
      <c r="C496" s="5" t="s">
        <v>34</v>
      </c>
      <c r="D496" s="5">
        <v>2022</v>
      </c>
      <c r="E496" s="5">
        <v>1</v>
      </c>
      <c r="F496" s="5">
        <v>2901960</v>
      </c>
      <c r="G496" s="5">
        <v>1720892.42</v>
      </c>
      <c r="H496" s="5">
        <v>0.40699999999999997</v>
      </c>
    </row>
    <row r="497" spans="1:8" x14ac:dyDescent="0.3">
      <c r="A497" s="5">
        <v>11</v>
      </c>
      <c r="B497" s="5" t="s">
        <v>225</v>
      </c>
      <c r="C497" s="5" t="s">
        <v>35</v>
      </c>
      <c r="D497" s="5">
        <v>2022</v>
      </c>
      <c r="E497" s="5">
        <v>2</v>
      </c>
      <c r="F497" s="5">
        <v>2264989</v>
      </c>
      <c r="G497" s="5">
        <v>1328146.3600000001</v>
      </c>
      <c r="H497" s="5">
        <v>0.41360000000000002</v>
      </c>
    </row>
    <row r="498" spans="1:8" x14ac:dyDescent="0.3">
      <c r="A498" s="5">
        <v>11</v>
      </c>
      <c r="B498" s="5" t="s">
        <v>225</v>
      </c>
      <c r="C498" s="5" t="s">
        <v>36</v>
      </c>
      <c r="D498" s="5">
        <v>2022</v>
      </c>
      <c r="E498" s="5">
        <v>3</v>
      </c>
      <c r="F498" s="5">
        <v>3098951</v>
      </c>
      <c r="G498" s="5">
        <v>1854952.16</v>
      </c>
      <c r="H498" s="5">
        <v>0.40139999999999998</v>
      </c>
    </row>
    <row r="499" spans="1:8" x14ac:dyDescent="0.3">
      <c r="A499" s="5">
        <v>11</v>
      </c>
      <c r="B499" s="5" t="s">
        <v>225</v>
      </c>
      <c r="C499" s="5" t="s">
        <v>37</v>
      </c>
      <c r="D499" s="5">
        <v>2022</v>
      </c>
      <c r="E499" s="5">
        <v>4</v>
      </c>
      <c r="F499" s="5">
        <v>3194001</v>
      </c>
      <c r="G499" s="5">
        <v>1919476.93</v>
      </c>
      <c r="H499" s="5">
        <v>0.39900000000000002</v>
      </c>
    </row>
    <row r="500" spans="1:8" x14ac:dyDescent="0.3">
      <c r="A500" s="5">
        <v>11</v>
      </c>
      <c r="B500" s="5" t="s">
        <v>225</v>
      </c>
      <c r="C500" s="5" t="s">
        <v>38</v>
      </c>
      <c r="D500" s="5">
        <v>2022</v>
      </c>
      <c r="E500" s="5">
        <v>5</v>
      </c>
      <c r="F500" s="5">
        <v>2960676</v>
      </c>
      <c r="G500" s="5">
        <v>1768462.43</v>
      </c>
      <c r="H500" s="5">
        <v>0.4027</v>
      </c>
    </row>
    <row r="501" spans="1:8" x14ac:dyDescent="0.3">
      <c r="A501" s="5">
        <v>11</v>
      </c>
      <c r="B501" s="5" t="s">
        <v>225</v>
      </c>
      <c r="C501" s="5" t="s">
        <v>39</v>
      </c>
      <c r="D501" s="5">
        <v>2022</v>
      </c>
      <c r="E501" s="5">
        <v>6</v>
      </c>
      <c r="F501" s="5">
        <v>3329975</v>
      </c>
      <c r="G501" s="5">
        <v>1983449.26</v>
      </c>
      <c r="H501" s="5">
        <v>0.40439999999999998</v>
      </c>
    </row>
    <row r="502" spans="1:8" x14ac:dyDescent="0.3">
      <c r="A502" s="5">
        <v>11</v>
      </c>
      <c r="B502" s="5" t="s">
        <v>225</v>
      </c>
      <c r="C502" s="5" t="s">
        <v>40</v>
      </c>
      <c r="D502" s="5">
        <v>2022</v>
      </c>
      <c r="E502" s="5">
        <v>7</v>
      </c>
      <c r="F502" s="5">
        <v>2965539</v>
      </c>
      <c r="G502" s="5">
        <v>1803741.34</v>
      </c>
      <c r="H502" s="5">
        <v>0.39179999999999998</v>
      </c>
    </row>
    <row r="503" spans="1:8" x14ac:dyDescent="0.3">
      <c r="A503" s="5">
        <v>11</v>
      </c>
      <c r="B503" s="5" t="s">
        <v>225</v>
      </c>
      <c r="C503" s="5" t="s">
        <v>41</v>
      </c>
      <c r="D503" s="5">
        <v>2022</v>
      </c>
      <c r="E503" s="5">
        <v>8</v>
      </c>
      <c r="F503" s="5">
        <v>2857424</v>
      </c>
      <c r="G503" s="5">
        <v>1898664.11</v>
      </c>
      <c r="H503" s="5">
        <v>0.33550000000000002</v>
      </c>
    </row>
    <row r="504" spans="1:8" x14ac:dyDescent="0.3">
      <c r="A504" s="5">
        <v>11</v>
      </c>
      <c r="B504" s="5" t="s">
        <v>225</v>
      </c>
      <c r="C504" s="5" t="s">
        <v>42</v>
      </c>
      <c r="D504" s="5">
        <v>2022</v>
      </c>
      <c r="E504" s="5">
        <v>9</v>
      </c>
      <c r="F504" s="5">
        <v>3504736</v>
      </c>
      <c r="G504" s="5">
        <v>2102316.36</v>
      </c>
      <c r="H504" s="5">
        <v>0.40010000000000001</v>
      </c>
    </row>
    <row r="505" spans="1:8" x14ac:dyDescent="0.3">
      <c r="A505" s="5">
        <v>11</v>
      </c>
      <c r="B505" s="5" t="s">
        <v>225</v>
      </c>
      <c r="C505" s="5" t="s">
        <v>43</v>
      </c>
      <c r="D505" s="5">
        <v>2022</v>
      </c>
      <c r="E505" s="5">
        <v>10</v>
      </c>
      <c r="F505" s="5">
        <v>4486856</v>
      </c>
      <c r="G505" s="5">
        <v>2825908.07</v>
      </c>
      <c r="H505" s="5">
        <v>0.37019999999999997</v>
      </c>
    </row>
    <row r="506" spans="1:8" x14ac:dyDescent="0.3">
      <c r="A506" s="5">
        <v>11</v>
      </c>
      <c r="B506" s="5" t="s">
        <v>225</v>
      </c>
      <c r="C506" s="5" t="s">
        <v>44</v>
      </c>
      <c r="D506" s="5">
        <v>2022</v>
      </c>
      <c r="E506" s="5">
        <v>11</v>
      </c>
      <c r="F506" s="5">
        <v>4466744</v>
      </c>
      <c r="G506" s="5">
        <v>2695405.79</v>
      </c>
      <c r="H506" s="5">
        <v>0.39660000000000001</v>
      </c>
    </row>
    <row r="507" spans="1:8" x14ac:dyDescent="0.3">
      <c r="A507" s="5">
        <v>11</v>
      </c>
      <c r="B507" s="5" t="s">
        <v>225</v>
      </c>
      <c r="C507" s="5" t="s">
        <v>45</v>
      </c>
      <c r="D507" s="5">
        <v>2022</v>
      </c>
      <c r="E507" s="5">
        <v>12</v>
      </c>
      <c r="F507" s="5">
        <v>4573751</v>
      </c>
      <c r="G507" s="5">
        <v>2664993.96</v>
      </c>
      <c r="H507" s="5">
        <v>0.4173</v>
      </c>
    </row>
    <row r="508" spans="1:8" x14ac:dyDescent="0.3">
      <c r="A508" s="5">
        <v>11</v>
      </c>
      <c r="B508" s="5" t="s">
        <v>225</v>
      </c>
      <c r="C508" s="5" t="s">
        <v>46</v>
      </c>
      <c r="D508" s="5">
        <v>2023</v>
      </c>
      <c r="E508" s="5">
        <v>1</v>
      </c>
      <c r="F508" s="5">
        <v>3258287</v>
      </c>
      <c r="G508" s="5">
        <v>1997294.39</v>
      </c>
      <c r="H508" s="5">
        <v>0.38700000000000001</v>
      </c>
    </row>
    <row r="509" spans="1:8" x14ac:dyDescent="0.3">
      <c r="A509" s="5">
        <v>11</v>
      </c>
      <c r="B509" s="5" t="s">
        <v>225</v>
      </c>
      <c r="C509" s="5" t="s">
        <v>47</v>
      </c>
      <c r="D509" s="5">
        <v>2023</v>
      </c>
      <c r="E509" s="5">
        <v>2</v>
      </c>
      <c r="F509" s="5">
        <v>3030584</v>
      </c>
      <c r="G509" s="5">
        <v>1848217.48</v>
      </c>
      <c r="H509" s="5">
        <v>0.3901</v>
      </c>
    </row>
    <row r="510" spans="1:8" x14ac:dyDescent="0.3">
      <c r="A510" s="5">
        <v>11</v>
      </c>
      <c r="B510" s="5" t="s">
        <v>225</v>
      </c>
      <c r="C510" s="5" t="s">
        <v>48</v>
      </c>
      <c r="D510" s="5">
        <v>2023</v>
      </c>
      <c r="E510" s="5">
        <v>3</v>
      </c>
      <c r="F510" s="5">
        <v>3751641</v>
      </c>
      <c r="G510" s="5">
        <v>2274446.13</v>
      </c>
      <c r="H510" s="5">
        <v>0.39369999999999999</v>
      </c>
    </row>
    <row r="511" spans="1:8" x14ac:dyDescent="0.3">
      <c r="A511" s="5">
        <v>11</v>
      </c>
      <c r="B511" s="5" t="s">
        <v>225</v>
      </c>
      <c r="C511" s="5" t="s">
        <v>49</v>
      </c>
      <c r="D511" s="5">
        <v>2023</v>
      </c>
      <c r="E511" s="5">
        <v>4</v>
      </c>
      <c r="F511" s="5">
        <v>4234806</v>
      </c>
      <c r="G511" s="5">
        <v>2577094.09</v>
      </c>
      <c r="H511" s="5">
        <v>0.39140000000000003</v>
      </c>
    </row>
    <row r="512" spans="1:8" x14ac:dyDescent="0.3">
      <c r="A512" s="5">
        <v>11</v>
      </c>
      <c r="B512" s="5" t="s">
        <v>225</v>
      </c>
      <c r="C512" s="5" t="s">
        <v>50</v>
      </c>
      <c r="D512" s="5">
        <v>2023</v>
      </c>
      <c r="E512" s="5">
        <v>5</v>
      </c>
      <c r="F512" s="5">
        <v>4140988</v>
      </c>
      <c r="G512" s="5">
        <v>2521976.21</v>
      </c>
      <c r="H512" s="5">
        <v>0.39100000000000001</v>
      </c>
    </row>
    <row r="513" spans="1:8" x14ac:dyDescent="0.3">
      <c r="A513" s="5">
        <v>11</v>
      </c>
      <c r="B513" s="5" t="s">
        <v>225</v>
      </c>
      <c r="C513" s="5" t="s">
        <v>51</v>
      </c>
      <c r="D513" s="5">
        <v>2023</v>
      </c>
      <c r="E513" s="5">
        <v>6</v>
      </c>
      <c r="F513" s="5">
        <v>4336584</v>
      </c>
      <c r="G513" s="5">
        <v>2526589.64</v>
      </c>
      <c r="H513" s="5">
        <v>0.41739999999999999</v>
      </c>
    </row>
    <row r="514" spans="1:8" x14ac:dyDescent="0.3">
      <c r="A514" s="5">
        <v>11</v>
      </c>
      <c r="B514" s="5" t="s">
        <v>225</v>
      </c>
      <c r="C514" s="5" t="s">
        <v>52</v>
      </c>
      <c r="D514" s="5">
        <v>2023</v>
      </c>
      <c r="E514" s="5">
        <v>7</v>
      </c>
      <c r="F514" s="5">
        <v>3950168</v>
      </c>
      <c r="G514" s="5">
        <v>2437968.44</v>
      </c>
      <c r="H514" s="5">
        <v>0.38279999999999997</v>
      </c>
    </row>
    <row r="515" spans="1:8" x14ac:dyDescent="0.3">
      <c r="A515" s="5">
        <v>11</v>
      </c>
      <c r="B515" s="5" t="s">
        <v>225</v>
      </c>
      <c r="C515" s="5" t="s">
        <v>53</v>
      </c>
      <c r="D515" s="5">
        <v>2023</v>
      </c>
      <c r="E515" s="5">
        <v>8</v>
      </c>
      <c r="F515" s="5">
        <v>4277373</v>
      </c>
      <c r="G515" s="5">
        <v>2647946.13</v>
      </c>
      <c r="H515" s="5">
        <v>0.38090000000000002</v>
      </c>
    </row>
    <row r="516" spans="1:8" x14ac:dyDescent="0.3">
      <c r="A516" s="5">
        <v>11</v>
      </c>
      <c r="B516" s="5" t="s">
        <v>225</v>
      </c>
      <c r="C516" s="5" t="s">
        <v>54</v>
      </c>
      <c r="D516" s="5">
        <v>2023</v>
      </c>
      <c r="E516" s="5">
        <v>9</v>
      </c>
      <c r="F516" s="5">
        <v>4110432</v>
      </c>
      <c r="G516" s="5">
        <v>2605607.83</v>
      </c>
      <c r="H516" s="5">
        <v>0.36609999999999998</v>
      </c>
    </row>
    <row r="517" spans="1:8" x14ac:dyDescent="0.3">
      <c r="A517" s="5">
        <v>11</v>
      </c>
      <c r="B517" s="5" t="s">
        <v>225</v>
      </c>
      <c r="C517" s="5" t="s">
        <v>55</v>
      </c>
      <c r="D517" s="5">
        <v>2023</v>
      </c>
      <c r="E517" s="5">
        <v>10</v>
      </c>
      <c r="F517" s="5">
        <v>5688645</v>
      </c>
      <c r="G517" s="5">
        <v>3441029.16</v>
      </c>
      <c r="H517" s="5">
        <v>0.39510000000000001</v>
      </c>
    </row>
    <row r="518" spans="1:8" x14ac:dyDescent="0.3">
      <c r="A518" s="5">
        <v>11</v>
      </c>
      <c r="B518" s="5" t="s">
        <v>225</v>
      </c>
      <c r="C518" s="5" t="s">
        <v>56</v>
      </c>
      <c r="D518" s="5">
        <v>2023</v>
      </c>
      <c r="E518" s="5">
        <v>11</v>
      </c>
      <c r="F518" s="5">
        <v>5779812</v>
      </c>
      <c r="G518" s="5">
        <v>3575258.03</v>
      </c>
      <c r="H518" s="5">
        <v>0.38140000000000002</v>
      </c>
    </row>
    <row r="519" spans="1:8" x14ac:dyDescent="0.3">
      <c r="A519" s="5">
        <v>11</v>
      </c>
      <c r="B519" s="5" t="s">
        <v>225</v>
      </c>
      <c r="C519" s="5" t="s">
        <v>57</v>
      </c>
      <c r="D519" s="5">
        <v>2023</v>
      </c>
      <c r="E519" s="5">
        <v>12</v>
      </c>
      <c r="F519" s="5">
        <v>5613719</v>
      </c>
      <c r="G519" s="5">
        <v>3527402.63</v>
      </c>
      <c r="H519" s="5">
        <v>0.37159999999999999</v>
      </c>
    </row>
    <row r="520" spans="1:8" x14ac:dyDescent="0.3">
      <c r="A520" s="5">
        <v>11</v>
      </c>
      <c r="B520" s="5" t="s">
        <v>225</v>
      </c>
      <c r="C520" s="5" t="s">
        <v>58</v>
      </c>
      <c r="D520" s="5">
        <v>2024</v>
      </c>
      <c r="E520" s="5">
        <v>1</v>
      </c>
      <c r="F520" s="5">
        <v>3574193</v>
      </c>
      <c r="G520" s="5">
        <v>2195650.92</v>
      </c>
      <c r="H520" s="5">
        <v>0.38569999999999999</v>
      </c>
    </row>
    <row r="521" spans="1:8" x14ac:dyDescent="0.3">
      <c r="A521" s="5">
        <v>11</v>
      </c>
      <c r="B521" s="5" t="s">
        <v>225</v>
      </c>
      <c r="C521" s="5" t="s">
        <v>59</v>
      </c>
      <c r="D521" s="5">
        <v>2024</v>
      </c>
      <c r="E521" s="5">
        <v>2</v>
      </c>
      <c r="F521" s="5">
        <v>3591729</v>
      </c>
      <c r="G521" s="5">
        <v>2151856.34</v>
      </c>
      <c r="H521" s="5">
        <v>0.40089999999999998</v>
      </c>
    </row>
    <row r="522" spans="1:8" x14ac:dyDescent="0.3">
      <c r="A522" s="5">
        <v>11</v>
      </c>
      <c r="B522" s="5" t="s">
        <v>225</v>
      </c>
      <c r="C522" s="5" t="s">
        <v>60</v>
      </c>
      <c r="D522" s="5">
        <v>2024</v>
      </c>
      <c r="E522" s="5">
        <v>3</v>
      </c>
      <c r="F522" s="5">
        <v>3871652</v>
      </c>
      <c r="G522" s="5">
        <v>2330950.67</v>
      </c>
      <c r="H522" s="5">
        <v>0.39789999999999998</v>
      </c>
    </row>
    <row r="523" spans="1:8" x14ac:dyDescent="0.3">
      <c r="A523" s="5">
        <v>11</v>
      </c>
      <c r="B523" s="5" t="s">
        <v>225</v>
      </c>
      <c r="C523" s="5" t="s">
        <v>61</v>
      </c>
      <c r="D523" s="5">
        <v>2024</v>
      </c>
      <c r="E523" s="5">
        <v>4</v>
      </c>
      <c r="F523" s="5">
        <v>4127931</v>
      </c>
      <c r="G523" s="5">
        <v>2499125.2200000002</v>
      </c>
      <c r="H523" s="5">
        <v>0.39460000000000001</v>
      </c>
    </row>
    <row r="524" spans="1:8" x14ac:dyDescent="0.3">
      <c r="A524" s="5">
        <v>11</v>
      </c>
      <c r="B524" s="5" t="s">
        <v>225</v>
      </c>
      <c r="C524" s="5" t="s">
        <v>62</v>
      </c>
      <c r="D524" s="5">
        <v>2024</v>
      </c>
      <c r="E524" s="5">
        <v>5</v>
      </c>
      <c r="F524" s="5">
        <v>4491126</v>
      </c>
      <c r="G524" s="5">
        <v>2758482.9</v>
      </c>
      <c r="H524" s="5">
        <v>0.38579999999999998</v>
      </c>
    </row>
    <row r="525" spans="1:8" x14ac:dyDescent="0.3">
      <c r="A525" s="5">
        <v>11</v>
      </c>
      <c r="B525" s="5" t="s">
        <v>225</v>
      </c>
      <c r="C525" s="5" t="s">
        <v>63</v>
      </c>
      <c r="D525" s="5">
        <v>2024</v>
      </c>
      <c r="E525" s="5">
        <v>6</v>
      </c>
      <c r="F525" s="5">
        <v>4612906</v>
      </c>
      <c r="G525" s="5">
        <v>2674072.3199999998</v>
      </c>
      <c r="H525" s="5">
        <v>0.42030000000000001</v>
      </c>
    </row>
    <row r="526" spans="1:8" x14ac:dyDescent="0.3">
      <c r="A526" s="5">
        <v>11</v>
      </c>
      <c r="B526" s="5" t="s">
        <v>225</v>
      </c>
      <c r="C526" s="5" t="s">
        <v>64</v>
      </c>
      <c r="D526" s="5">
        <v>2024</v>
      </c>
      <c r="E526" s="5">
        <v>7</v>
      </c>
      <c r="F526" s="5">
        <v>4414393</v>
      </c>
      <c r="G526" s="5">
        <v>2598652.5299999998</v>
      </c>
      <c r="H526" s="5">
        <v>0.4113</v>
      </c>
    </row>
    <row r="527" spans="1:8" x14ac:dyDescent="0.3">
      <c r="A527" s="5">
        <v>11</v>
      </c>
      <c r="B527" s="5" t="s">
        <v>225</v>
      </c>
      <c r="C527" s="5" t="s">
        <v>65</v>
      </c>
      <c r="D527" s="5">
        <v>2024</v>
      </c>
      <c r="E527" s="5">
        <v>8</v>
      </c>
      <c r="F527" s="5">
        <v>4551984</v>
      </c>
      <c r="G527" s="5">
        <v>2723387.67</v>
      </c>
      <c r="H527" s="5">
        <v>0.4017</v>
      </c>
    </row>
    <row r="528" spans="1:8" x14ac:dyDescent="0.3">
      <c r="A528" s="5">
        <v>11</v>
      </c>
      <c r="B528" s="5" t="s">
        <v>225</v>
      </c>
      <c r="C528" s="5" t="s">
        <v>66</v>
      </c>
      <c r="D528" s="5">
        <v>2024</v>
      </c>
      <c r="E528" s="5">
        <v>9</v>
      </c>
      <c r="F528" s="5">
        <v>5319163</v>
      </c>
      <c r="G528" s="5">
        <v>3076010.1</v>
      </c>
      <c r="H528" s="5">
        <v>0.42170000000000002</v>
      </c>
    </row>
    <row r="529" spans="1:8" x14ac:dyDescent="0.3">
      <c r="A529" s="5">
        <v>11</v>
      </c>
      <c r="B529" s="5" t="s">
        <v>225</v>
      </c>
      <c r="C529" s="5" t="s">
        <v>67</v>
      </c>
      <c r="D529" s="5">
        <v>2024</v>
      </c>
      <c r="E529" s="5">
        <v>10</v>
      </c>
      <c r="F529" s="5">
        <v>6355509</v>
      </c>
      <c r="G529" s="5">
        <v>3523075.13</v>
      </c>
      <c r="H529" s="5">
        <v>0.44569999999999999</v>
      </c>
    </row>
    <row r="530" spans="1:8" x14ac:dyDescent="0.3">
      <c r="A530" s="5">
        <v>11</v>
      </c>
      <c r="B530" s="5" t="s">
        <v>225</v>
      </c>
      <c r="C530" s="5" t="s">
        <v>68</v>
      </c>
      <c r="D530" s="5">
        <v>2024</v>
      </c>
      <c r="E530" s="5">
        <v>11</v>
      </c>
      <c r="F530" s="5">
        <v>7265091</v>
      </c>
      <c r="G530" s="5">
        <v>4261914.3600000003</v>
      </c>
      <c r="H530" s="5">
        <v>0.41339999999999999</v>
      </c>
    </row>
    <row r="531" spans="1:8" x14ac:dyDescent="0.3">
      <c r="A531" s="5">
        <v>11</v>
      </c>
      <c r="B531" s="5" t="s">
        <v>225</v>
      </c>
      <c r="C531" s="5" t="s">
        <v>69</v>
      </c>
      <c r="D531" s="5">
        <v>2024</v>
      </c>
      <c r="E531" s="5">
        <v>12</v>
      </c>
      <c r="F531" s="5">
        <v>7123975</v>
      </c>
      <c r="G531" s="5">
        <v>3933836.72</v>
      </c>
      <c r="H531" s="5">
        <v>0.44779999999999998</v>
      </c>
    </row>
    <row r="532" spans="1:8" x14ac:dyDescent="0.3">
      <c r="A532" s="5">
        <v>12</v>
      </c>
      <c r="B532" s="5" t="s">
        <v>229</v>
      </c>
      <c r="C532" s="5" t="s">
        <v>22</v>
      </c>
      <c r="D532" s="5">
        <v>2021</v>
      </c>
      <c r="E532" s="5">
        <v>1</v>
      </c>
      <c r="F532" s="5">
        <v>1120593</v>
      </c>
      <c r="G532" s="5">
        <v>731837.87</v>
      </c>
      <c r="H532" s="5">
        <v>0.34689999999999999</v>
      </c>
    </row>
    <row r="533" spans="1:8" x14ac:dyDescent="0.3">
      <c r="A533" s="5">
        <v>12</v>
      </c>
      <c r="B533" s="5" t="s">
        <v>229</v>
      </c>
      <c r="C533" s="5" t="s">
        <v>23</v>
      </c>
      <c r="D533" s="5">
        <v>2021</v>
      </c>
      <c r="E533" s="5">
        <v>2</v>
      </c>
      <c r="F533" s="5">
        <v>1186612</v>
      </c>
      <c r="G533" s="5">
        <v>745535.01</v>
      </c>
      <c r="H533" s="5">
        <v>0.37169999999999997</v>
      </c>
    </row>
    <row r="534" spans="1:8" x14ac:dyDescent="0.3">
      <c r="A534" s="5">
        <v>12</v>
      </c>
      <c r="B534" s="5" t="s">
        <v>229</v>
      </c>
      <c r="C534" s="5" t="s">
        <v>24</v>
      </c>
      <c r="D534" s="5">
        <v>2021</v>
      </c>
      <c r="E534" s="5">
        <v>3</v>
      </c>
      <c r="F534" s="5">
        <v>1364408</v>
      </c>
      <c r="G534" s="5">
        <v>824984.56</v>
      </c>
      <c r="H534" s="5">
        <v>0.39539999999999997</v>
      </c>
    </row>
    <row r="535" spans="1:8" x14ac:dyDescent="0.3">
      <c r="A535" s="5">
        <v>12</v>
      </c>
      <c r="B535" s="5" t="s">
        <v>229</v>
      </c>
      <c r="C535" s="5" t="s">
        <v>25</v>
      </c>
      <c r="D535" s="5">
        <v>2021</v>
      </c>
      <c r="E535" s="5">
        <v>4</v>
      </c>
      <c r="F535" s="5">
        <v>1210572</v>
      </c>
      <c r="G535" s="5">
        <v>790642.28</v>
      </c>
      <c r="H535" s="5">
        <v>0.34689999999999999</v>
      </c>
    </row>
    <row r="536" spans="1:8" x14ac:dyDescent="0.3">
      <c r="A536" s="5">
        <v>12</v>
      </c>
      <c r="B536" s="5" t="s">
        <v>229</v>
      </c>
      <c r="C536" s="5" t="s">
        <v>26</v>
      </c>
      <c r="D536" s="5">
        <v>2021</v>
      </c>
      <c r="E536" s="5">
        <v>5</v>
      </c>
      <c r="F536" s="5">
        <v>1410273</v>
      </c>
      <c r="G536" s="5">
        <v>905451.17</v>
      </c>
      <c r="H536" s="5">
        <v>0.35799999999999998</v>
      </c>
    </row>
    <row r="537" spans="1:8" x14ac:dyDescent="0.3">
      <c r="A537" s="5">
        <v>12</v>
      </c>
      <c r="B537" s="5" t="s">
        <v>229</v>
      </c>
      <c r="C537" s="5" t="s">
        <v>27</v>
      </c>
      <c r="D537" s="5">
        <v>2021</v>
      </c>
      <c r="E537" s="5">
        <v>6</v>
      </c>
      <c r="F537" s="5">
        <v>1490684</v>
      </c>
      <c r="G537" s="5">
        <v>937022.89</v>
      </c>
      <c r="H537" s="5">
        <v>0.37140000000000001</v>
      </c>
    </row>
    <row r="538" spans="1:8" x14ac:dyDescent="0.3">
      <c r="A538" s="5">
        <v>12</v>
      </c>
      <c r="B538" s="5" t="s">
        <v>229</v>
      </c>
      <c r="C538" s="5" t="s">
        <v>28</v>
      </c>
      <c r="D538" s="5">
        <v>2021</v>
      </c>
      <c r="E538" s="5">
        <v>7</v>
      </c>
      <c r="F538" s="5">
        <v>1351383</v>
      </c>
      <c r="G538" s="5">
        <v>857811.89</v>
      </c>
      <c r="H538" s="5">
        <v>0.36520000000000002</v>
      </c>
    </row>
    <row r="539" spans="1:8" x14ac:dyDescent="0.3">
      <c r="A539" s="5">
        <v>12</v>
      </c>
      <c r="B539" s="5" t="s">
        <v>229</v>
      </c>
      <c r="C539" s="5" t="s">
        <v>29</v>
      </c>
      <c r="D539" s="5">
        <v>2021</v>
      </c>
      <c r="E539" s="5">
        <v>8</v>
      </c>
      <c r="F539" s="5">
        <v>1444372</v>
      </c>
      <c r="G539" s="5">
        <v>876869.06</v>
      </c>
      <c r="H539" s="5">
        <v>0.39290000000000003</v>
      </c>
    </row>
    <row r="540" spans="1:8" x14ac:dyDescent="0.3">
      <c r="A540" s="5">
        <v>12</v>
      </c>
      <c r="B540" s="5" t="s">
        <v>229</v>
      </c>
      <c r="C540" s="5" t="s">
        <v>30</v>
      </c>
      <c r="D540" s="5">
        <v>2021</v>
      </c>
      <c r="E540" s="5">
        <v>9</v>
      </c>
      <c r="F540" s="5">
        <v>1413177</v>
      </c>
      <c r="G540" s="5">
        <v>897973.69</v>
      </c>
      <c r="H540" s="5">
        <v>0.36459999999999998</v>
      </c>
    </row>
    <row r="541" spans="1:8" x14ac:dyDescent="0.3">
      <c r="A541" s="5">
        <v>12</v>
      </c>
      <c r="B541" s="5" t="s">
        <v>229</v>
      </c>
      <c r="C541" s="5" t="s">
        <v>31</v>
      </c>
      <c r="D541" s="5">
        <v>2021</v>
      </c>
      <c r="E541" s="5">
        <v>10</v>
      </c>
      <c r="F541" s="5">
        <v>1801715</v>
      </c>
      <c r="G541" s="5">
        <v>1103157.95</v>
      </c>
      <c r="H541" s="5">
        <v>0.38769999999999999</v>
      </c>
    </row>
    <row r="542" spans="1:8" x14ac:dyDescent="0.3">
      <c r="A542" s="5">
        <v>12</v>
      </c>
      <c r="B542" s="5" t="s">
        <v>229</v>
      </c>
      <c r="C542" s="5" t="s">
        <v>32</v>
      </c>
      <c r="D542" s="5">
        <v>2021</v>
      </c>
      <c r="E542" s="5">
        <v>11</v>
      </c>
      <c r="F542" s="5">
        <v>2027671</v>
      </c>
      <c r="G542" s="5">
        <v>1210131.23</v>
      </c>
      <c r="H542" s="5">
        <v>0.4032</v>
      </c>
    </row>
    <row r="543" spans="1:8" x14ac:dyDescent="0.3">
      <c r="A543" s="5">
        <v>12</v>
      </c>
      <c r="B543" s="5" t="s">
        <v>229</v>
      </c>
      <c r="C543" s="5" t="s">
        <v>33</v>
      </c>
      <c r="D543" s="5">
        <v>2021</v>
      </c>
      <c r="E543" s="5">
        <v>12</v>
      </c>
      <c r="F543" s="5">
        <v>1842356</v>
      </c>
      <c r="G543" s="5">
        <v>1137442.57</v>
      </c>
      <c r="H543" s="5">
        <v>0.3826</v>
      </c>
    </row>
    <row r="544" spans="1:8" x14ac:dyDescent="0.3">
      <c r="A544" s="5">
        <v>12</v>
      </c>
      <c r="B544" s="5" t="s">
        <v>229</v>
      </c>
      <c r="C544" s="5" t="s">
        <v>34</v>
      </c>
      <c r="D544" s="5">
        <v>2022</v>
      </c>
      <c r="E544" s="5">
        <v>1</v>
      </c>
      <c r="F544" s="5">
        <v>1800444</v>
      </c>
      <c r="G544" s="5">
        <v>1081273.24</v>
      </c>
      <c r="H544" s="5">
        <v>0.39939999999999998</v>
      </c>
    </row>
    <row r="545" spans="1:8" x14ac:dyDescent="0.3">
      <c r="A545" s="5">
        <v>12</v>
      </c>
      <c r="B545" s="5" t="s">
        <v>229</v>
      </c>
      <c r="C545" s="5" t="s">
        <v>35</v>
      </c>
      <c r="D545" s="5">
        <v>2022</v>
      </c>
      <c r="E545" s="5">
        <v>2</v>
      </c>
      <c r="F545" s="5">
        <v>1608085</v>
      </c>
      <c r="G545" s="5">
        <v>979074.03</v>
      </c>
      <c r="H545" s="5">
        <v>0.39119999999999999</v>
      </c>
    </row>
    <row r="546" spans="1:8" x14ac:dyDescent="0.3">
      <c r="A546" s="5">
        <v>12</v>
      </c>
      <c r="B546" s="5" t="s">
        <v>229</v>
      </c>
      <c r="C546" s="5" t="s">
        <v>36</v>
      </c>
      <c r="D546" s="5">
        <v>2022</v>
      </c>
      <c r="E546" s="5">
        <v>3</v>
      </c>
      <c r="F546" s="5">
        <v>1827509</v>
      </c>
      <c r="G546" s="5">
        <v>1121454.93</v>
      </c>
      <c r="H546" s="5">
        <v>0.38629999999999998</v>
      </c>
    </row>
    <row r="547" spans="1:8" x14ac:dyDescent="0.3">
      <c r="A547" s="5">
        <v>12</v>
      </c>
      <c r="B547" s="5" t="s">
        <v>229</v>
      </c>
      <c r="C547" s="5" t="s">
        <v>37</v>
      </c>
      <c r="D547" s="5">
        <v>2022</v>
      </c>
      <c r="E547" s="5">
        <v>4</v>
      </c>
      <c r="F547" s="5">
        <v>1942203</v>
      </c>
      <c r="G547" s="5">
        <v>1219694.0900000001</v>
      </c>
      <c r="H547" s="5">
        <v>0.372</v>
      </c>
    </row>
    <row r="548" spans="1:8" x14ac:dyDescent="0.3">
      <c r="A548" s="5">
        <v>12</v>
      </c>
      <c r="B548" s="5" t="s">
        <v>229</v>
      </c>
      <c r="C548" s="5" t="s">
        <v>38</v>
      </c>
      <c r="D548" s="5">
        <v>2022</v>
      </c>
      <c r="E548" s="5">
        <v>5</v>
      </c>
      <c r="F548" s="5">
        <v>1982488</v>
      </c>
      <c r="G548" s="5">
        <v>1264466.97</v>
      </c>
      <c r="H548" s="5">
        <v>0.36220000000000002</v>
      </c>
    </row>
    <row r="549" spans="1:8" x14ac:dyDescent="0.3">
      <c r="A549" s="5">
        <v>12</v>
      </c>
      <c r="B549" s="5" t="s">
        <v>229</v>
      </c>
      <c r="C549" s="5" t="s">
        <v>39</v>
      </c>
      <c r="D549" s="5">
        <v>2022</v>
      </c>
      <c r="E549" s="5">
        <v>6</v>
      </c>
      <c r="F549" s="5">
        <v>2001087</v>
      </c>
      <c r="G549" s="5">
        <v>1244029.8700000001</v>
      </c>
      <c r="H549" s="5">
        <v>0.37830000000000003</v>
      </c>
    </row>
    <row r="550" spans="1:8" x14ac:dyDescent="0.3">
      <c r="A550" s="5">
        <v>12</v>
      </c>
      <c r="B550" s="5" t="s">
        <v>229</v>
      </c>
      <c r="C550" s="5" t="s">
        <v>40</v>
      </c>
      <c r="D550" s="5">
        <v>2022</v>
      </c>
      <c r="E550" s="5">
        <v>7</v>
      </c>
      <c r="F550" s="5">
        <v>1981361</v>
      </c>
      <c r="G550" s="5">
        <v>1269401.73</v>
      </c>
      <c r="H550" s="5">
        <v>0.35930000000000001</v>
      </c>
    </row>
    <row r="551" spans="1:8" x14ac:dyDescent="0.3">
      <c r="A551" s="5">
        <v>12</v>
      </c>
      <c r="B551" s="5" t="s">
        <v>229</v>
      </c>
      <c r="C551" s="5" t="s">
        <v>41</v>
      </c>
      <c r="D551" s="5">
        <v>2022</v>
      </c>
      <c r="E551" s="5">
        <v>8</v>
      </c>
      <c r="F551" s="5">
        <v>1731354</v>
      </c>
      <c r="G551" s="5">
        <v>1186587.5</v>
      </c>
      <c r="H551" s="5">
        <v>0.31459999999999999</v>
      </c>
    </row>
    <row r="552" spans="1:8" x14ac:dyDescent="0.3">
      <c r="A552" s="5">
        <v>12</v>
      </c>
      <c r="B552" s="5" t="s">
        <v>229</v>
      </c>
      <c r="C552" s="5" t="s">
        <v>42</v>
      </c>
      <c r="D552" s="5">
        <v>2022</v>
      </c>
      <c r="E552" s="5">
        <v>9</v>
      </c>
      <c r="F552" s="5">
        <v>2019227</v>
      </c>
      <c r="G552" s="5">
        <v>1265712.23</v>
      </c>
      <c r="H552" s="5">
        <v>0.37319999999999998</v>
      </c>
    </row>
    <row r="553" spans="1:8" x14ac:dyDescent="0.3">
      <c r="A553" s="5">
        <v>12</v>
      </c>
      <c r="B553" s="5" t="s">
        <v>229</v>
      </c>
      <c r="C553" s="5" t="s">
        <v>43</v>
      </c>
      <c r="D553" s="5">
        <v>2022</v>
      </c>
      <c r="E553" s="5">
        <v>10</v>
      </c>
      <c r="F553" s="5">
        <v>2807239</v>
      </c>
      <c r="G553" s="5">
        <v>1835604.81</v>
      </c>
      <c r="H553" s="5">
        <v>0.34610000000000002</v>
      </c>
    </row>
    <row r="554" spans="1:8" x14ac:dyDescent="0.3">
      <c r="A554" s="5">
        <v>12</v>
      </c>
      <c r="B554" s="5" t="s">
        <v>229</v>
      </c>
      <c r="C554" s="5" t="s">
        <v>44</v>
      </c>
      <c r="D554" s="5">
        <v>2022</v>
      </c>
      <c r="E554" s="5">
        <v>11</v>
      </c>
      <c r="F554" s="5">
        <v>2990417</v>
      </c>
      <c r="G554" s="5">
        <v>1851736.16</v>
      </c>
      <c r="H554" s="5">
        <v>0.38080000000000003</v>
      </c>
    </row>
    <row r="555" spans="1:8" x14ac:dyDescent="0.3">
      <c r="A555" s="5">
        <v>12</v>
      </c>
      <c r="B555" s="5" t="s">
        <v>229</v>
      </c>
      <c r="C555" s="5" t="s">
        <v>45</v>
      </c>
      <c r="D555" s="5">
        <v>2022</v>
      </c>
      <c r="E555" s="5">
        <v>12</v>
      </c>
      <c r="F555" s="5">
        <v>2830482</v>
      </c>
      <c r="G555" s="5">
        <v>1714719.65</v>
      </c>
      <c r="H555" s="5">
        <v>0.39419999999999999</v>
      </c>
    </row>
    <row r="556" spans="1:8" x14ac:dyDescent="0.3">
      <c r="A556" s="5">
        <v>12</v>
      </c>
      <c r="B556" s="5" t="s">
        <v>229</v>
      </c>
      <c r="C556" s="5" t="s">
        <v>46</v>
      </c>
      <c r="D556" s="5">
        <v>2023</v>
      </c>
      <c r="E556" s="5">
        <v>1</v>
      </c>
      <c r="F556" s="5">
        <v>2092461</v>
      </c>
      <c r="G556" s="5">
        <v>1334846.3</v>
      </c>
      <c r="H556" s="5">
        <v>0.36209999999999998</v>
      </c>
    </row>
    <row r="557" spans="1:8" x14ac:dyDescent="0.3">
      <c r="A557" s="5">
        <v>12</v>
      </c>
      <c r="B557" s="5" t="s">
        <v>229</v>
      </c>
      <c r="C557" s="5" t="s">
        <v>47</v>
      </c>
      <c r="D557" s="5">
        <v>2023</v>
      </c>
      <c r="E557" s="5">
        <v>2</v>
      </c>
      <c r="F557" s="5">
        <v>1957492</v>
      </c>
      <c r="G557" s="5">
        <v>1221304.1200000001</v>
      </c>
      <c r="H557" s="5">
        <v>0.37609999999999999</v>
      </c>
    </row>
    <row r="558" spans="1:8" x14ac:dyDescent="0.3">
      <c r="A558" s="5">
        <v>12</v>
      </c>
      <c r="B558" s="5" t="s">
        <v>229</v>
      </c>
      <c r="C558" s="5" t="s">
        <v>48</v>
      </c>
      <c r="D558" s="5">
        <v>2023</v>
      </c>
      <c r="E558" s="5">
        <v>3</v>
      </c>
      <c r="F558" s="5">
        <v>2244447</v>
      </c>
      <c r="G558" s="5">
        <v>1411971.75</v>
      </c>
      <c r="H558" s="5">
        <v>0.37090000000000001</v>
      </c>
    </row>
    <row r="559" spans="1:8" x14ac:dyDescent="0.3">
      <c r="A559" s="5">
        <v>12</v>
      </c>
      <c r="B559" s="5" t="s">
        <v>229</v>
      </c>
      <c r="C559" s="5" t="s">
        <v>49</v>
      </c>
      <c r="D559" s="5">
        <v>2023</v>
      </c>
      <c r="E559" s="5">
        <v>4</v>
      </c>
      <c r="F559" s="5">
        <v>2524419</v>
      </c>
      <c r="G559" s="5">
        <v>1594751.38</v>
      </c>
      <c r="H559" s="5">
        <v>0.36830000000000002</v>
      </c>
    </row>
    <row r="560" spans="1:8" x14ac:dyDescent="0.3">
      <c r="A560" s="5">
        <v>12</v>
      </c>
      <c r="B560" s="5" t="s">
        <v>229</v>
      </c>
      <c r="C560" s="5" t="s">
        <v>50</v>
      </c>
      <c r="D560" s="5">
        <v>2023</v>
      </c>
      <c r="E560" s="5">
        <v>5</v>
      </c>
      <c r="F560" s="5">
        <v>2769677</v>
      </c>
      <c r="G560" s="5">
        <v>1732490.19</v>
      </c>
      <c r="H560" s="5">
        <v>0.3745</v>
      </c>
    </row>
    <row r="561" spans="1:8" x14ac:dyDescent="0.3">
      <c r="A561" s="5">
        <v>12</v>
      </c>
      <c r="B561" s="5" t="s">
        <v>229</v>
      </c>
      <c r="C561" s="5" t="s">
        <v>51</v>
      </c>
      <c r="D561" s="5">
        <v>2023</v>
      </c>
      <c r="E561" s="5">
        <v>6</v>
      </c>
      <c r="F561" s="5">
        <v>2443585</v>
      </c>
      <c r="G561" s="5">
        <v>1501821.6</v>
      </c>
      <c r="H561" s="5">
        <v>0.38540000000000002</v>
      </c>
    </row>
    <row r="562" spans="1:8" x14ac:dyDescent="0.3">
      <c r="A562" s="5">
        <v>12</v>
      </c>
      <c r="B562" s="5" t="s">
        <v>229</v>
      </c>
      <c r="C562" s="5" t="s">
        <v>52</v>
      </c>
      <c r="D562" s="5">
        <v>2023</v>
      </c>
      <c r="E562" s="5">
        <v>7</v>
      </c>
      <c r="F562" s="5">
        <v>2358630</v>
      </c>
      <c r="G562" s="5">
        <v>1508960.2</v>
      </c>
      <c r="H562" s="5">
        <v>0.36020000000000002</v>
      </c>
    </row>
    <row r="563" spans="1:8" x14ac:dyDescent="0.3">
      <c r="A563" s="5">
        <v>12</v>
      </c>
      <c r="B563" s="5" t="s">
        <v>229</v>
      </c>
      <c r="C563" s="5" t="s">
        <v>53</v>
      </c>
      <c r="D563" s="5">
        <v>2023</v>
      </c>
      <c r="E563" s="5">
        <v>8</v>
      </c>
      <c r="F563" s="5">
        <v>2378954</v>
      </c>
      <c r="G563" s="5">
        <v>1513786.44</v>
      </c>
      <c r="H563" s="5">
        <v>0.36370000000000002</v>
      </c>
    </row>
    <row r="564" spans="1:8" x14ac:dyDescent="0.3">
      <c r="A564" s="5">
        <v>12</v>
      </c>
      <c r="B564" s="5" t="s">
        <v>229</v>
      </c>
      <c r="C564" s="5" t="s">
        <v>54</v>
      </c>
      <c r="D564" s="5">
        <v>2023</v>
      </c>
      <c r="E564" s="5">
        <v>9</v>
      </c>
      <c r="F564" s="5">
        <v>2474165</v>
      </c>
      <c r="G564" s="5">
        <v>1624620.51</v>
      </c>
      <c r="H564" s="5">
        <v>0.34339999999999998</v>
      </c>
    </row>
    <row r="565" spans="1:8" x14ac:dyDescent="0.3">
      <c r="A565" s="5">
        <v>12</v>
      </c>
      <c r="B565" s="5" t="s">
        <v>229</v>
      </c>
      <c r="C565" s="5" t="s">
        <v>55</v>
      </c>
      <c r="D565" s="5">
        <v>2023</v>
      </c>
      <c r="E565" s="5">
        <v>10</v>
      </c>
      <c r="F565" s="5">
        <v>3121116</v>
      </c>
      <c r="G565" s="5">
        <v>1962974.27</v>
      </c>
      <c r="H565" s="5">
        <v>0.37109999999999999</v>
      </c>
    </row>
    <row r="566" spans="1:8" x14ac:dyDescent="0.3">
      <c r="A566" s="5">
        <v>12</v>
      </c>
      <c r="B566" s="5" t="s">
        <v>229</v>
      </c>
      <c r="C566" s="5" t="s">
        <v>56</v>
      </c>
      <c r="D566" s="5">
        <v>2023</v>
      </c>
      <c r="E566" s="5">
        <v>11</v>
      </c>
      <c r="F566" s="5">
        <v>3137188</v>
      </c>
      <c r="G566" s="5">
        <v>2036160.93</v>
      </c>
      <c r="H566" s="5">
        <v>0.35099999999999998</v>
      </c>
    </row>
    <row r="567" spans="1:8" x14ac:dyDescent="0.3">
      <c r="A567" s="5">
        <v>12</v>
      </c>
      <c r="B567" s="5" t="s">
        <v>229</v>
      </c>
      <c r="C567" s="5" t="s">
        <v>57</v>
      </c>
      <c r="D567" s="5">
        <v>2023</v>
      </c>
      <c r="E567" s="5">
        <v>12</v>
      </c>
      <c r="F567" s="5">
        <v>3571918</v>
      </c>
      <c r="G567" s="5">
        <v>2328010.66</v>
      </c>
      <c r="H567" s="5">
        <v>0.34820000000000001</v>
      </c>
    </row>
    <row r="568" spans="1:8" x14ac:dyDescent="0.3">
      <c r="A568" s="5">
        <v>12</v>
      </c>
      <c r="B568" s="5" t="s">
        <v>229</v>
      </c>
      <c r="C568" s="5" t="s">
        <v>58</v>
      </c>
      <c r="D568" s="5">
        <v>2024</v>
      </c>
      <c r="E568" s="5">
        <v>1</v>
      </c>
      <c r="F568" s="5">
        <v>2248509</v>
      </c>
      <c r="G568" s="5">
        <v>1449319.34</v>
      </c>
      <c r="H568" s="5">
        <v>0.35539999999999999</v>
      </c>
    </row>
    <row r="569" spans="1:8" x14ac:dyDescent="0.3">
      <c r="A569" s="5">
        <v>12</v>
      </c>
      <c r="B569" s="5" t="s">
        <v>229</v>
      </c>
      <c r="C569" s="5" t="s">
        <v>59</v>
      </c>
      <c r="D569" s="5">
        <v>2024</v>
      </c>
      <c r="E569" s="5">
        <v>2</v>
      </c>
      <c r="F569" s="5">
        <v>2026939</v>
      </c>
      <c r="G569" s="5">
        <v>1248639.1100000001</v>
      </c>
      <c r="H569" s="5">
        <v>0.38400000000000001</v>
      </c>
    </row>
    <row r="570" spans="1:8" x14ac:dyDescent="0.3">
      <c r="A570" s="5">
        <v>12</v>
      </c>
      <c r="B570" s="5" t="s">
        <v>229</v>
      </c>
      <c r="C570" s="5" t="s">
        <v>60</v>
      </c>
      <c r="D570" s="5">
        <v>2024</v>
      </c>
      <c r="E570" s="5">
        <v>3</v>
      </c>
      <c r="F570" s="5">
        <v>2192302</v>
      </c>
      <c r="G570" s="5">
        <v>1397393.55</v>
      </c>
      <c r="H570" s="5">
        <v>0.36259999999999998</v>
      </c>
    </row>
    <row r="571" spans="1:8" x14ac:dyDescent="0.3">
      <c r="A571" s="5">
        <v>12</v>
      </c>
      <c r="B571" s="5" t="s">
        <v>229</v>
      </c>
      <c r="C571" s="5" t="s">
        <v>61</v>
      </c>
      <c r="D571" s="5">
        <v>2024</v>
      </c>
      <c r="E571" s="5">
        <v>4</v>
      </c>
      <c r="F571" s="5">
        <v>2640252</v>
      </c>
      <c r="G571" s="5">
        <v>1669002.04</v>
      </c>
      <c r="H571" s="5">
        <v>0.3679</v>
      </c>
    </row>
    <row r="572" spans="1:8" x14ac:dyDescent="0.3">
      <c r="A572" s="5">
        <v>12</v>
      </c>
      <c r="B572" s="5" t="s">
        <v>229</v>
      </c>
      <c r="C572" s="5" t="s">
        <v>62</v>
      </c>
      <c r="D572" s="5">
        <v>2024</v>
      </c>
      <c r="E572" s="5">
        <v>5</v>
      </c>
      <c r="F572" s="5">
        <v>2879874</v>
      </c>
      <c r="G572" s="5">
        <v>1836181.12</v>
      </c>
      <c r="H572" s="5">
        <v>0.3624</v>
      </c>
    </row>
    <row r="573" spans="1:8" x14ac:dyDescent="0.3">
      <c r="A573" s="5">
        <v>12</v>
      </c>
      <c r="B573" s="5" t="s">
        <v>229</v>
      </c>
      <c r="C573" s="5" t="s">
        <v>63</v>
      </c>
      <c r="D573" s="5">
        <v>2024</v>
      </c>
      <c r="E573" s="5">
        <v>6</v>
      </c>
      <c r="F573" s="5">
        <v>2832833</v>
      </c>
      <c r="G573" s="5">
        <v>1701146.99</v>
      </c>
      <c r="H573" s="5">
        <v>0.39950000000000002</v>
      </c>
    </row>
    <row r="574" spans="1:8" x14ac:dyDescent="0.3">
      <c r="A574" s="5">
        <v>12</v>
      </c>
      <c r="B574" s="5" t="s">
        <v>229</v>
      </c>
      <c r="C574" s="5" t="s">
        <v>64</v>
      </c>
      <c r="D574" s="5">
        <v>2024</v>
      </c>
      <c r="E574" s="5">
        <v>7</v>
      </c>
      <c r="F574" s="5">
        <v>2504427</v>
      </c>
      <c r="G574" s="5">
        <v>1547511.25</v>
      </c>
      <c r="H574" s="5">
        <v>0.3821</v>
      </c>
    </row>
    <row r="575" spans="1:8" x14ac:dyDescent="0.3">
      <c r="A575" s="5">
        <v>12</v>
      </c>
      <c r="B575" s="5" t="s">
        <v>229</v>
      </c>
      <c r="C575" s="5" t="s">
        <v>65</v>
      </c>
      <c r="D575" s="5">
        <v>2024</v>
      </c>
      <c r="E575" s="5">
        <v>8</v>
      </c>
      <c r="F575" s="5">
        <v>2733815</v>
      </c>
      <c r="G575" s="5">
        <v>1691518.78</v>
      </c>
      <c r="H575" s="5">
        <v>0.38129999999999997</v>
      </c>
    </row>
    <row r="576" spans="1:8" x14ac:dyDescent="0.3">
      <c r="A576" s="5">
        <v>12</v>
      </c>
      <c r="B576" s="5" t="s">
        <v>229</v>
      </c>
      <c r="C576" s="5" t="s">
        <v>66</v>
      </c>
      <c r="D576" s="5">
        <v>2024</v>
      </c>
      <c r="E576" s="5">
        <v>9</v>
      </c>
      <c r="F576" s="5">
        <v>3087774</v>
      </c>
      <c r="G576" s="5">
        <v>1840578.24</v>
      </c>
      <c r="H576" s="5">
        <v>0.40389999999999998</v>
      </c>
    </row>
    <row r="577" spans="1:8" x14ac:dyDescent="0.3">
      <c r="A577" s="5">
        <v>12</v>
      </c>
      <c r="B577" s="5" t="s">
        <v>229</v>
      </c>
      <c r="C577" s="5" t="s">
        <v>67</v>
      </c>
      <c r="D577" s="5">
        <v>2024</v>
      </c>
      <c r="E577" s="5">
        <v>10</v>
      </c>
      <c r="F577" s="5">
        <v>3981634</v>
      </c>
      <c r="G577" s="5">
        <v>2316393.62</v>
      </c>
      <c r="H577" s="5">
        <v>0.41820000000000002</v>
      </c>
    </row>
    <row r="578" spans="1:8" x14ac:dyDescent="0.3">
      <c r="A578" s="5">
        <v>12</v>
      </c>
      <c r="B578" s="5" t="s">
        <v>229</v>
      </c>
      <c r="C578" s="5" t="s">
        <v>68</v>
      </c>
      <c r="D578" s="5">
        <v>2024</v>
      </c>
      <c r="E578" s="5">
        <v>11</v>
      </c>
      <c r="F578" s="5">
        <v>3967506</v>
      </c>
      <c r="G578" s="5">
        <v>2394790.69</v>
      </c>
      <c r="H578" s="5">
        <v>0.39639999999999997</v>
      </c>
    </row>
    <row r="579" spans="1:8" x14ac:dyDescent="0.3">
      <c r="A579" s="5">
        <v>12</v>
      </c>
      <c r="B579" s="5" t="s">
        <v>229</v>
      </c>
      <c r="C579" s="5" t="s">
        <v>69</v>
      </c>
      <c r="D579" s="5">
        <v>2024</v>
      </c>
      <c r="E579" s="5">
        <v>12</v>
      </c>
      <c r="F579" s="5">
        <v>3999277</v>
      </c>
      <c r="G579" s="5">
        <v>2348667.42</v>
      </c>
      <c r="H579" s="5">
        <v>0.41270000000000001</v>
      </c>
    </row>
    <row r="580" spans="1:8" x14ac:dyDescent="0.3">
      <c r="A580" s="5">
        <v>13</v>
      </c>
      <c r="B580" s="5" t="s">
        <v>220</v>
      </c>
      <c r="C580" s="5" t="s">
        <v>22</v>
      </c>
      <c r="D580" s="5">
        <v>2021</v>
      </c>
      <c r="E580" s="5">
        <v>1</v>
      </c>
      <c r="F580" s="5">
        <v>2071982</v>
      </c>
      <c r="G580" s="5">
        <v>1471080.51</v>
      </c>
      <c r="H580" s="5">
        <v>0.28999999999999998</v>
      </c>
    </row>
    <row r="581" spans="1:8" x14ac:dyDescent="0.3">
      <c r="A581" s="5">
        <v>13</v>
      </c>
      <c r="B581" s="5" t="s">
        <v>220</v>
      </c>
      <c r="C581" s="5" t="s">
        <v>23</v>
      </c>
      <c r="D581" s="5">
        <v>2021</v>
      </c>
      <c r="E581" s="5">
        <v>2</v>
      </c>
      <c r="F581" s="5">
        <v>2071874</v>
      </c>
      <c r="G581" s="5">
        <v>1364545.61</v>
      </c>
      <c r="H581" s="5">
        <v>0.34139999999999998</v>
      </c>
    </row>
    <row r="582" spans="1:8" x14ac:dyDescent="0.3">
      <c r="A582" s="5">
        <v>13</v>
      </c>
      <c r="B582" s="5" t="s">
        <v>220</v>
      </c>
      <c r="C582" s="5" t="s">
        <v>24</v>
      </c>
      <c r="D582" s="5">
        <v>2021</v>
      </c>
      <c r="E582" s="5">
        <v>3</v>
      </c>
      <c r="F582" s="5">
        <v>2484892</v>
      </c>
      <c r="G582" s="5">
        <v>1635981.62</v>
      </c>
      <c r="H582" s="5">
        <v>0.34160000000000001</v>
      </c>
    </row>
    <row r="583" spans="1:8" x14ac:dyDescent="0.3">
      <c r="A583" s="5">
        <v>13</v>
      </c>
      <c r="B583" s="5" t="s">
        <v>220</v>
      </c>
      <c r="C583" s="5" t="s">
        <v>25</v>
      </c>
      <c r="D583" s="5">
        <v>2021</v>
      </c>
      <c r="E583" s="5">
        <v>4</v>
      </c>
      <c r="F583" s="5">
        <v>2552556</v>
      </c>
      <c r="G583" s="5">
        <v>1729756.7</v>
      </c>
      <c r="H583" s="5">
        <v>0.32229999999999998</v>
      </c>
    </row>
    <row r="584" spans="1:8" x14ac:dyDescent="0.3">
      <c r="A584" s="5">
        <v>13</v>
      </c>
      <c r="B584" s="5" t="s">
        <v>220</v>
      </c>
      <c r="C584" s="5" t="s">
        <v>26</v>
      </c>
      <c r="D584" s="5">
        <v>2021</v>
      </c>
      <c r="E584" s="5">
        <v>5</v>
      </c>
      <c r="F584" s="5">
        <v>2982396</v>
      </c>
      <c r="G584" s="5">
        <v>2045609.12</v>
      </c>
      <c r="H584" s="5">
        <v>0.31409999999999999</v>
      </c>
    </row>
    <row r="585" spans="1:8" x14ac:dyDescent="0.3">
      <c r="A585" s="5">
        <v>13</v>
      </c>
      <c r="B585" s="5" t="s">
        <v>220</v>
      </c>
      <c r="C585" s="5" t="s">
        <v>27</v>
      </c>
      <c r="D585" s="5">
        <v>2021</v>
      </c>
      <c r="E585" s="5">
        <v>6</v>
      </c>
      <c r="F585" s="5">
        <v>2957784</v>
      </c>
      <c r="G585" s="5">
        <v>2052344.59</v>
      </c>
      <c r="H585" s="5">
        <v>0.30609999999999998</v>
      </c>
    </row>
    <row r="586" spans="1:8" x14ac:dyDescent="0.3">
      <c r="A586" s="5">
        <v>13</v>
      </c>
      <c r="B586" s="5" t="s">
        <v>220</v>
      </c>
      <c r="C586" s="5" t="s">
        <v>28</v>
      </c>
      <c r="D586" s="5">
        <v>2021</v>
      </c>
      <c r="E586" s="5">
        <v>7</v>
      </c>
      <c r="F586" s="5">
        <v>2471578</v>
      </c>
      <c r="G586" s="5">
        <v>1672761.78</v>
      </c>
      <c r="H586" s="5">
        <v>0.32319999999999999</v>
      </c>
    </row>
    <row r="587" spans="1:8" x14ac:dyDescent="0.3">
      <c r="A587" s="5">
        <v>13</v>
      </c>
      <c r="B587" s="5" t="s">
        <v>220</v>
      </c>
      <c r="C587" s="5" t="s">
        <v>29</v>
      </c>
      <c r="D587" s="5">
        <v>2021</v>
      </c>
      <c r="E587" s="5">
        <v>8</v>
      </c>
      <c r="F587" s="5">
        <v>2798468</v>
      </c>
      <c r="G587" s="5">
        <v>1829445.9</v>
      </c>
      <c r="H587" s="5">
        <v>0.3463</v>
      </c>
    </row>
    <row r="588" spans="1:8" x14ac:dyDescent="0.3">
      <c r="A588" s="5">
        <v>13</v>
      </c>
      <c r="B588" s="5" t="s">
        <v>220</v>
      </c>
      <c r="C588" s="5" t="s">
        <v>30</v>
      </c>
      <c r="D588" s="5">
        <v>2021</v>
      </c>
      <c r="E588" s="5">
        <v>9</v>
      </c>
      <c r="F588" s="5">
        <v>3051299</v>
      </c>
      <c r="G588" s="5">
        <v>2042302.56</v>
      </c>
      <c r="H588" s="5">
        <v>0.33069999999999999</v>
      </c>
    </row>
    <row r="589" spans="1:8" x14ac:dyDescent="0.3">
      <c r="A589" s="5">
        <v>13</v>
      </c>
      <c r="B589" s="5" t="s">
        <v>220</v>
      </c>
      <c r="C589" s="5" t="s">
        <v>31</v>
      </c>
      <c r="D589" s="5">
        <v>2021</v>
      </c>
      <c r="E589" s="5">
        <v>10</v>
      </c>
      <c r="F589" s="5">
        <v>4046040</v>
      </c>
      <c r="G589" s="5">
        <v>2638469.2599999998</v>
      </c>
      <c r="H589" s="5">
        <v>0.34789999999999999</v>
      </c>
    </row>
    <row r="590" spans="1:8" x14ac:dyDescent="0.3">
      <c r="A590" s="5">
        <v>13</v>
      </c>
      <c r="B590" s="5" t="s">
        <v>220</v>
      </c>
      <c r="C590" s="5" t="s">
        <v>32</v>
      </c>
      <c r="D590" s="5">
        <v>2021</v>
      </c>
      <c r="E590" s="5">
        <v>11</v>
      </c>
      <c r="F590" s="5">
        <v>4067584</v>
      </c>
      <c r="G590" s="5">
        <v>2593724.27</v>
      </c>
      <c r="H590" s="5">
        <v>0.36230000000000001</v>
      </c>
    </row>
    <row r="591" spans="1:8" x14ac:dyDescent="0.3">
      <c r="A591" s="5">
        <v>13</v>
      </c>
      <c r="B591" s="5" t="s">
        <v>220</v>
      </c>
      <c r="C591" s="5" t="s">
        <v>33</v>
      </c>
      <c r="D591" s="5">
        <v>2021</v>
      </c>
      <c r="E591" s="5">
        <v>12</v>
      </c>
      <c r="F591" s="5">
        <v>3695980</v>
      </c>
      <c r="G591" s="5">
        <v>2437606.5099999998</v>
      </c>
      <c r="H591" s="5">
        <v>0.34050000000000002</v>
      </c>
    </row>
    <row r="592" spans="1:8" x14ac:dyDescent="0.3">
      <c r="A592" s="5">
        <v>13</v>
      </c>
      <c r="B592" s="5" t="s">
        <v>220</v>
      </c>
      <c r="C592" s="5" t="s">
        <v>34</v>
      </c>
      <c r="D592" s="5">
        <v>2022</v>
      </c>
      <c r="E592" s="5">
        <v>1</v>
      </c>
      <c r="F592" s="5">
        <v>3358411</v>
      </c>
      <c r="G592" s="5">
        <v>2202496.94</v>
      </c>
      <c r="H592" s="5">
        <v>0.34420000000000001</v>
      </c>
    </row>
    <row r="593" spans="1:8" x14ac:dyDescent="0.3">
      <c r="A593" s="5">
        <v>13</v>
      </c>
      <c r="B593" s="5" t="s">
        <v>220</v>
      </c>
      <c r="C593" s="5" t="s">
        <v>35</v>
      </c>
      <c r="D593" s="5">
        <v>2022</v>
      </c>
      <c r="E593" s="5">
        <v>2</v>
      </c>
      <c r="F593" s="5">
        <v>2779698</v>
      </c>
      <c r="G593" s="5">
        <v>1770257.64</v>
      </c>
      <c r="H593" s="5">
        <v>0.36309999999999998</v>
      </c>
    </row>
    <row r="594" spans="1:8" x14ac:dyDescent="0.3">
      <c r="A594" s="5">
        <v>13</v>
      </c>
      <c r="B594" s="5" t="s">
        <v>220</v>
      </c>
      <c r="C594" s="5" t="s">
        <v>36</v>
      </c>
      <c r="D594" s="5">
        <v>2022</v>
      </c>
      <c r="E594" s="5">
        <v>3</v>
      </c>
      <c r="F594" s="5">
        <v>3589875</v>
      </c>
      <c r="G594" s="5">
        <v>2402750.08</v>
      </c>
      <c r="H594" s="5">
        <v>0.33069999999999999</v>
      </c>
    </row>
    <row r="595" spans="1:8" x14ac:dyDescent="0.3">
      <c r="A595" s="5">
        <v>13</v>
      </c>
      <c r="B595" s="5" t="s">
        <v>220</v>
      </c>
      <c r="C595" s="5" t="s">
        <v>37</v>
      </c>
      <c r="D595" s="5">
        <v>2022</v>
      </c>
      <c r="E595" s="5">
        <v>4</v>
      </c>
      <c r="F595" s="5">
        <v>3856742</v>
      </c>
      <c r="G595" s="5">
        <v>2559677.0699999998</v>
      </c>
      <c r="H595" s="5">
        <v>0.33629999999999999</v>
      </c>
    </row>
    <row r="596" spans="1:8" x14ac:dyDescent="0.3">
      <c r="A596" s="5">
        <v>13</v>
      </c>
      <c r="B596" s="5" t="s">
        <v>220</v>
      </c>
      <c r="C596" s="5" t="s">
        <v>38</v>
      </c>
      <c r="D596" s="5">
        <v>2022</v>
      </c>
      <c r="E596" s="5">
        <v>5</v>
      </c>
      <c r="F596" s="5">
        <v>4009761</v>
      </c>
      <c r="G596" s="5">
        <v>2747066.61</v>
      </c>
      <c r="H596" s="5">
        <v>0.31490000000000001</v>
      </c>
    </row>
    <row r="597" spans="1:8" x14ac:dyDescent="0.3">
      <c r="A597" s="5">
        <v>13</v>
      </c>
      <c r="B597" s="5" t="s">
        <v>220</v>
      </c>
      <c r="C597" s="5" t="s">
        <v>39</v>
      </c>
      <c r="D597" s="5">
        <v>2022</v>
      </c>
      <c r="E597" s="5">
        <v>6</v>
      </c>
      <c r="F597" s="5">
        <v>4323415</v>
      </c>
      <c r="G597" s="5">
        <v>2838546.75</v>
      </c>
      <c r="H597" s="5">
        <v>0.34339999999999998</v>
      </c>
    </row>
    <row r="598" spans="1:8" x14ac:dyDescent="0.3">
      <c r="A598" s="5">
        <v>13</v>
      </c>
      <c r="B598" s="5" t="s">
        <v>220</v>
      </c>
      <c r="C598" s="5" t="s">
        <v>40</v>
      </c>
      <c r="D598" s="5">
        <v>2022</v>
      </c>
      <c r="E598" s="5">
        <v>7</v>
      </c>
      <c r="F598" s="5">
        <v>4097807</v>
      </c>
      <c r="G598" s="5">
        <v>2840205.64</v>
      </c>
      <c r="H598" s="5">
        <v>0.30690000000000001</v>
      </c>
    </row>
    <row r="599" spans="1:8" x14ac:dyDescent="0.3">
      <c r="A599" s="5">
        <v>13</v>
      </c>
      <c r="B599" s="5" t="s">
        <v>220</v>
      </c>
      <c r="C599" s="5" t="s">
        <v>41</v>
      </c>
      <c r="D599" s="5">
        <v>2022</v>
      </c>
      <c r="E599" s="5">
        <v>8</v>
      </c>
      <c r="F599" s="5">
        <v>3497737</v>
      </c>
      <c r="G599" s="5">
        <v>2592086.54</v>
      </c>
      <c r="H599" s="5">
        <v>0.25890000000000002</v>
      </c>
    </row>
    <row r="600" spans="1:8" x14ac:dyDescent="0.3">
      <c r="A600" s="5">
        <v>13</v>
      </c>
      <c r="B600" s="5" t="s">
        <v>220</v>
      </c>
      <c r="C600" s="5" t="s">
        <v>42</v>
      </c>
      <c r="D600" s="5">
        <v>2022</v>
      </c>
      <c r="E600" s="5">
        <v>9</v>
      </c>
      <c r="F600" s="5">
        <v>4131192</v>
      </c>
      <c r="G600" s="5">
        <v>2800605.95</v>
      </c>
      <c r="H600" s="5">
        <v>0.3221</v>
      </c>
    </row>
    <row r="601" spans="1:8" x14ac:dyDescent="0.3">
      <c r="A601" s="5">
        <v>13</v>
      </c>
      <c r="B601" s="5" t="s">
        <v>220</v>
      </c>
      <c r="C601" s="5" t="s">
        <v>43</v>
      </c>
      <c r="D601" s="5">
        <v>2022</v>
      </c>
      <c r="E601" s="5">
        <v>10</v>
      </c>
      <c r="F601" s="5">
        <v>5066185</v>
      </c>
      <c r="G601" s="5">
        <v>3565332.42</v>
      </c>
      <c r="H601" s="5">
        <v>0.29620000000000002</v>
      </c>
    </row>
    <row r="602" spans="1:8" x14ac:dyDescent="0.3">
      <c r="A602" s="5">
        <v>13</v>
      </c>
      <c r="B602" s="5" t="s">
        <v>220</v>
      </c>
      <c r="C602" s="5" t="s">
        <v>44</v>
      </c>
      <c r="D602" s="5">
        <v>2022</v>
      </c>
      <c r="E602" s="5">
        <v>11</v>
      </c>
      <c r="F602" s="5">
        <v>5537582</v>
      </c>
      <c r="G602" s="5">
        <v>3689308.06</v>
      </c>
      <c r="H602" s="5">
        <v>0.33379999999999999</v>
      </c>
    </row>
    <row r="603" spans="1:8" x14ac:dyDescent="0.3">
      <c r="A603" s="5">
        <v>13</v>
      </c>
      <c r="B603" s="5" t="s">
        <v>220</v>
      </c>
      <c r="C603" s="5" t="s">
        <v>45</v>
      </c>
      <c r="D603" s="5">
        <v>2022</v>
      </c>
      <c r="E603" s="5">
        <v>12</v>
      </c>
      <c r="F603" s="5">
        <v>5920503</v>
      </c>
      <c r="G603" s="5">
        <v>3824277.55</v>
      </c>
      <c r="H603" s="5">
        <v>0.35410000000000003</v>
      </c>
    </row>
    <row r="604" spans="1:8" x14ac:dyDescent="0.3">
      <c r="A604" s="5">
        <v>13</v>
      </c>
      <c r="B604" s="5" t="s">
        <v>220</v>
      </c>
      <c r="C604" s="5" t="s">
        <v>46</v>
      </c>
      <c r="D604" s="5">
        <v>2023</v>
      </c>
      <c r="E604" s="5">
        <v>1</v>
      </c>
      <c r="F604" s="5">
        <v>3910769</v>
      </c>
      <c r="G604" s="5">
        <v>2717488.46</v>
      </c>
      <c r="H604" s="5">
        <v>0.30509999999999998</v>
      </c>
    </row>
    <row r="605" spans="1:8" x14ac:dyDescent="0.3">
      <c r="A605" s="5">
        <v>13</v>
      </c>
      <c r="B605" s="5" t="s">
        <v>220</v>
      </c>
      <c r="C605" s="5" t="s">
        <v>47</v>
      </c>
      <c r="D605" s="5">
        <v>2023</v>
      </c>
      <c r="E605" s="5">
        <v>2</v>
      </c>
      <c r="F605" s="5">
        <v>4186306</v>
      </c>
      <c r="G605" s="5">
        <v>2758734.85</v>
      </c>
      <c r="H605" s="5">
        <v>0.34100000000000003</v>
      </c>
    </row>
    <row r="606" spans="1:8" x14ac:dyDescent="0.3">
      <c r="A606" s="5">
        <v>13</v>
      </c>
      <c r="B606" s="5" t="s">
        <v>220</v>
      </c>
      <c r="C606" s="5" t="s">
        <v>48</v>
      </c>
      <c r="D606" s="5">
        <v>2023</v>
      </c>
      <c r="E606" s="5">
        <v>3</v>
      </c>
      <c r="F606" s="5">
        <v>4256019</v>
      </c>
      <c r="G606" s="5">
        <v>2889793.15</v>
      </c>
      <c r="H606" s="5">
        <v>0.32100000000000001</v>
      </c>
    </row>
    <row r="607" spans="1:8" x14ac:dyDescent="0.3">
      <c r="A607" s="5">
        <v>13</v>
      </c>
      <c r="B607" s="5" t="s">
        <v>220</v>
      </c>
      <c r="C607" s="5" t="s">
        <v>49</v>
      </c>
      <c r="D607" s="5">
        <v>2023</v>
      </c>
      <c r="E607" s="5">
        <v>4</v>
      </c>
      <c r="F607" s="5">
        <v>4428614</v>
      </c>
      <c r="G607" s="5">
        <v>2987295.45</v>
      </c>
      <c r="H607" s="5">
        <v>0.32550000000000001</v>
      </c>
    </row>
    <row r="608" spans="1:8" x14ac:dyDescent="0.3">
      <c r="A608" s="5">
        <v>13</v>
      </c>
      <c r="B608" s="5" t="s">
        <v>220</v>
      </c>
      <c r="C608" s="5" t="s">
        <v>50</v>
      </c>
      <c r="D608" s="5">
        <v>2023</v>
      </c>
      <c r="E608" s="5">
        <v>5</v>
      </c>
      <c r="F608" s="5">
        <v>5785964</v>
      </c>
      <c r="G608" s="5">
        <v>3831518.97</v>
      </c>
      <c r="H608" s="5">
        <v>0.33779999999999999</v>
      </c>
    </row>
    <row r="609" spans="1:8" x14ac:dyDescent="0.3">
      <c r="A609" s="5">
        <v>13</v>
      </c>
      <c r="B609" s="5" t="s">
        <v>220</v>
      </c>
      <c r="C609" s="5" t="s">
        <v>51</v>
      </c>
      <c r="D609" s="5">
        <v>2023</v>
      </c>
      <c r="E609" s="5">
        <v>6</v>
      </c>
      <c r="F609" s="5">
        <v>5363341</v>
      </c>
      <c r="G609" s="5">
        <v>3536975.64</v>
      </c>
      <c r="H609" s="5">
        <v>0.34050000000000002</v>
      </c>
    </row>
    <row r="610" spans="1:8" x14ac:dyDescent="0.3">
      <c r="A610" s="5">
        <v>13</v>
      </c>
      <c r="B610" s="5" t="s">
        <v>220</v>
      </c>
      <c r="C610" s="5" t="s">
        <v>52</v>
      </c>
      <c r="D610" s="5">
        <v>2023</v>
      </c>
      <c r="E610" s="5">
        <v>7</v>
      </c>
      <c r="F610" s="5">
        <v>4940751</v>
      </c>
      <c r="G610" s="5">
        <v>3359197.01</v>
      </c>
      <c r="H610" s="5">
        <v>0.3201</v>
      </c>
    </row>
    <row r="611" spans="1:8" x14ac:dyDescent="0.3">
      <c r="A611" s="5">
        <v>13</v>
      </c>
      <c r="B611" s="5" t="s">
        <v>220</v>
      </c>
      <c r="C611" s="5" t="s">
        <v>53</v>
      </c>
      <c r="D611" s="5">
        <v>2023</v>
      </c>
      <c r="E611" s="5">
        <v>8</v>
      </c>
      <c r="F611" s="5">
        <v>4995898</v>
      </c>
      <c r="G611" s="5">
        <v>3384216.96</v>
      </c>
      <c r="H611" s="5">
        <v>0.3226</v>
      </c>
    </row>
    <row r="612" spans="1:8" x14ac:dyDescent="0.3">
      <c r="A612" s="5">
        <v>13</v>
      </c>
      <c r="B612" s="5" t="s">
        <v>220</v>
      </c>
      <c r="C612" s="5" t="s">
        <v>54</v>
      </c>
      <c r="D612" s="5">
        <v>2023</v>
      </c>
      <c r="E612" s="5">
        <v>9</v>
      </c>
      <c r="F612" s="5">
        <v>5313798</v>
      </c>
      <c r="G612" s="5">
        <v>3722679.25</v>
      </c>
      <c r="H612" s="5">
        <v>0.2994</v>
      </c>
    </row>
    <row r="613" spans="1:8" x14ac:dyDescent="0.3">
      <c r="A613" s="5">
        <v>13</v>
      </c>
      <c r="B613" s="5" t="s">
        <v>220</v>
      </c>
      <c r="C613" s="5" t="s">
        <v>55</v>
      </c>
      <c r="D613" s="5">
        <v>2023</v>
      </c>
      <c r="E613" s="5">
        <v>10</v>
      </c>
      <c r="F613" s="5">
        <v>6683509</v>
      </c>
      <c r="G613" s="5">
        <v>4414615.46</v>
      </c>
      <c r="H613" s="5">
        <v>0.33950000000000002</v>
      </c>
    </row>
    <row r="614" spans="1:8" x14ac:dyDescent="0.3">
      <c r="A614" s="5">
        <v>13</v>
      </c>
      <c r="B614" s="5" t="s">
        <v>220</v>
      </c>
      <c r="C614" s="5" t="s">
        <v>56</v>
      </c>
      <c r="D614" s="5">
        <v>2023</v>
      </c>
      <c r="E614" s="5">
        <v>11</v>
      </c>
      <c r="F614" s="5">
        <v>6569412</v>
      </c>
      <c r="G614" s="5">
        <v>4511809.04</v>
      </c>
      <c r="H614" s="5">
        <v>0.31319999999999998</v>
      </c>
    </row>
    <row r="615" spans="1:8" x14ac:dyDescent="0.3">
      <c r="A615" s="5">
        <v>13</v>
      </c>
      <c r="B615" s="5" t="s">
        <v>220</v>
      </c>
      <c r="C615" s="5" t="s">
        <v>57</v>
      </c>
      <c r="D615" s="5">
        <v>2023</v>
      </c>
      <c r="E615" s="5">
        <v>12</v>
      </c>
      <c r="F615" s="5">
        <v>6679545</v>
      </c>
      <c r="G615" s="5">
        <v>4665505.01</v>
      </c>
      <c r="H615" s="5">
        <v>0.30149999999999999</v>
      </c>
    </row>
    <row r="616" spans="1:8" x14ac:dyDescent="0.3">
      <c r="A616" s="5">
        <v>13</v>
      </c>
      <c r="B616" s="5" t="s">
        <v>220</v>
      </c>
      <c r="C616" s="5" t="s">
        <v>58</v>
      </c>
      <c r="D616" s="5">
        <v>2024</v>
      </c>
      <c r="E616" s="5">
        <v>1</v>
      </c>
      <c r="F616" s="5">
        <v>4410287</v>
      </c>
      <c r="G616" s="5">
        <v>3058869.29</v>
      </c>
      <c r="H616" s="5">
        <v>0.30640000000000001</v>
      </c>
    </row>
    <row r="617" spans="1:8" x14ac:dyDescent="0.3">
      <c r="A617" s="5">
        <v>13</v>
      </c>
      <c r="B617" s="5" t="s">
        <v>220</v>
      </c>
      <c r="C617" s="5" t="s">
        <v>59</v>
      </c>
      <c r="D617" s="5">
        <v>2024</v>
      </c>
      <c r="E617" s="5">
        <v>2</v>
      </c>
      <c r="F617" s="5">
        <v>4339850</v>
      </c>
      <c r="G617" s="5">
        <v>2836134.29</v>
      </c>
      <c r="H617" s="5">
        <v>0.34649999999999997</v>
      </c>
    </row>
    <row r="618" spans="1:8" x14ac:dyDescent="0.3">
      <c r="A618" s="5">
        <v>13</v>
      </c>
      <c r="B618" s="5" t="s">
        <v>220</v>
      </c>
      <c r="C618" s="5" t="s">
        <v>60</v>
      </c>
      <c r="D618" s="5">
        <v>2024</v>
      </c>
      <c r="E618" s="5">
        <v>3</v>
      </c>
      <c r="F618" s="5">
        <v>4459273</v>
      </c>
      <c r="G618" s="5">
        <v>3002616.84</v>
      </c>
      <c r="H618" s="5">
        <v>0.32669999999999999</v>
      </c>
    </row>
    <row r="619" spans="1:8" x14ac:dyDescent="0.3">
      <c r="A619" s="5">
        <v>13</v>
      </c>
      <c r="B619" s="5" t="s">
        <v>220</v>
      </c>
      <c r="C619" s="5" t="s">
        <v>61</v>
      </c>
      <c r="D619" s="5">
        <v>2024</v>
      </c>
      <c r="E619" s="5">
        <v>4</v>
      </c>
      <c r="F619" s="5">
        <v>4462971</v>
      </c>
      <c r="G619" s="5">
        <v>2953489.8</v>
      </c>
      <c r="H619" s="5">
        <v>0.3382</v>
      </c>
    </row>
    <row r="620" spans="1:8" x14ac:dyDescent="0.3">
      <c r="A620" s="5">
        <v>13</v>
      </c>
      <c r="B620" s="5" t="s">
        <v>220</v>
      </c>
      <c r="C620" s="5" t="s">
        <v>62</v>
      </c>
      <c r="D620" s="5">
        <v>2024</v>
      </c>
      <c r="E620" s="5">
        <v>5</v>
      </c>
      <c r="F620" s="5">
        <v>5555074</v>
      </c>
      <c r="G620" s="5">
        <v>3789484.38</v>
      </c>
      <c r="H620" s="5">
        <v>0.31780000000000003</v>
      </c>
    </row>
    <row r="621" spans="1:8" x14ac:dyDescent="0.3">
      <c r="A621" s="5">
        <v>13</v>
      </c>
      <c r="B621" s="5" t="s">
        <v>220</v>
      </c>
      <c r="C621" s="5" t="s">
        <v>63</v>
      </c>
      <c r="D621" s="5">
        <v>2024</v>
      </c>
      <c r="E621" s="5">
        <v>6</v>
      </c>
      <c r="F621" s="5">
        <v>5727298</v>
      </c>
      <c r="G621" s="5">
        <v>3711200.63</v>
      </c>
      <c r="H621" s="5">
        <v>0.35199999999999998</v>
      </c>
    </row>
    <row r="622" spans="1:8" x14ac:dyDescent="0.3">
      <c r="A622" s="5">
        <v>13</v>
      </c>
      <c r="B622" s="5" t="s">
        <v>220</v>
      </c>
      <c r="C622" s="5" t="s">
        <v>64</v>
      </c>
      <c r="D622" s="5">
        <v>2024</v>
      </c>
      <c r="E622" s="5">
        <v>7</v>
      </c>
      <c r="F622" s="5">
        <v>4712390</v>
      </c>
      <c r="G622" s="5">
        <v>3092545.47</v>
      </c>
      <c r="H622" s="5">
        <v>0.34370000000000001</v>
      </c>
    </row>
    <row r="623" spans="1:8" x14ac:dyDescent="0.3">
      <c r="A623" s="5">
        <v>13</v>
      </c>
      <c r="B623" s="5" t="s">
        <v>220</v>
      </c>
      <c r="C623" s="5" t="s">
        <v>65</v>
      </c>
      <c r="D623" s="5">
        <v>2024</v>
      </c>
      <c r="E623" s="5">
        <v>8</v>
      </c>
      <c r="F623" s="5">
        <v>5647816</v>
      </c>
      <c r="G623" s="5">
        <v>3737182.93</v>
      </c>
      <c r="H623" s="5">
        <v>0.33829999999999999</v>
      </c>
    </row>
    <row r="624" spans="1:8" x14ac:dyDescent="0.3">
      <c r="A624" s="5">
        <v>13</v>
      </c>
      <c r="B624" s="5" t="s">
        <v>220</v>
      </c>
      <c r="C624" s="5" t="s">
        <v>66</v>
      </c>
      <c r="D624" s="5">
        <v>2024</v>
      </c>
      <c r="E624" s="5">
        <v>9</v>
      </c>
      <c r="F624" s="5">
        <v>6502294</v>
      </c>
      <c r="G624" s="5">
        <v>4174754.23</v>
      </c>
      <c r="H624" s="5">
        <v>0.35799999999999998</v>
      </c>
    </row>
    <row r="625" spans="1:8" x14ac:dyDescent="0.3">
      <c r="A625" s="5">
        <v>13</v>
      </c>
      <c r="B625" s="5" t="s">
        <v>220</v>
      </c>
      <c r="C625" s="5" t="s">
        <v>67</v>
      </c>
      <c r="D625" s="5">
        <v>2024</v>
      </c>
      <c r="E625" s="5">
        <v>10</v>
      </c>
      <c r="F625" s="5">
        <v>8498803</v>
      </c>
      <c r="G625" s="5">
        <v>5282343.46</v>
      </c>
      <c r="H625" s="5">
        <v>0.3785</v>
      </c>
    </row>
    <row r="626" spans="1:8" x14ac:dyDescent="0.3">
      <c r="A626" s="5">
        <v>13</v>
      </c>
      <c r="B626" s="5" t="s">
        <v>220</v>
      </c>
      <c r="C626" s="5" t="s">
        <v>68</v>
      </c>
      <c r="D626" s="5">
        <v>2024</v>
      </c>
      <c r="E626" s="5">
        <v>11</v>
      </c>
      <c r="F626" s="5">
        <v>7854725</v>
      </c>
      <c r="G626" s="5">
        <v>5103003.09</v>
      </c>
      <c r="H626" s="5">
        <v>0.3503</v>
      </c>
    </row>
    <row r="627" spans="1:8" x14ac:dyDescent="0.3">
      <c r="A627" s="5">
        <v>13</v>
      </c>
      <c r="B627" s="5" t="s">
        <v>220</v>
      </c>
      <c r="C627" s="5" t="s">
        <v>69</v>
      </c>
      <c r="D627" s="5">
        <v>2024</v>
      </c>
      <c r="E627" s="5">
        <v>12</v>
      </c>
      <c r="F627" s="5">
        <v>7777130</v>
      </c>
      <c r="G627" s="5">
        <v>4751571.26</v>
      </c>
      <c r="H627" s="5">
        <v>0.38900000000000001</v>
      </c>
    </row>
    <row r="628" spans="1:8" x14ac:dyDescent="0.3">
      <c r="A628" s="5">
        <v>14</v>
      </c>
      <c r="B628" s="5" t="s">
        <v>212</v>
      </c>
      <c r="C628" s="5" t="s">
        <v>22</v>
      </c>
      <c r="D628" s="5">
        <v>2021</v>
      </c>
      <c r="E628" s="5">
        <v>1</v>
      </c>
      <c r="F628" s="5">
        <v>22411311</v>
      </c>
      <c r="G628" s="5">
        <v>20232164.739999998</v>
      </c>
      <c r="H628" s="5">
        <v>9.7199999999999995E-2</v>
      </c>
    </row>
    <row r="629" spans="1:8" x14ac:dyDescent="0.3">
      <c r="A629" s="5">
        <v>14</v>
      </c>
      <c r="B629" s="5" t="s">
        <v>212</v>
      </c>
      <c r="C629" s="5" t="s">
        <v>23</v>
      </c>
      <c r="D629" s="5">
        <v>2021</v>
      </c>
      <c r="E629" s="5">
        <v>2</v>
      </c>
      <c r="F629" s="5">
        <v>19052093</v>
      </c>
      <c r="G629" s="5">
        <v>16255764.74</v>
      </c>
      <c r="H629" s="5">
        <v>0.14680000000000001</v>
      </c>
    </row>
    <row r="630" spans="1:8" x14ac:dyDescent="0.3">
      <c r="A630" s="5">
        <v>14</v>
      </c>
      <c r="B630" s="5" t="s">
        <v>212</v>
      </c>
      <c r="C630" s="5" t="s">
        <v>24</v>
      </c>
      <c r="D630" s="5">
        <v>2021</v>
      </c>
      <c r="E630" s="5">
        <v>3</v>
      </c>
      <c r="F630" s="5">
        <v>22259649</v>
      </c>
      <c r="G630" s="5">
        <v>18372179.280000001</v>
      </c>
      <c r="H630" s="5">
        <v>0.17460000000000001</v>
      </c>
    </row>
    <row r="631" spans="1:8" x14ac:dyDescent="0.3">
      <c r="A631" s="5">
        <v>14</v>
      </c>
      <c r="B631" s="5" t="s">
        <v>212</v>
      </c>
      <c r="C631" s="5" t="s">
        <v>25</v>
      </c>
      <c r="D631" s="5">
        <v>2021</v>
      </c>
      <c r="E631" s="5">
        <v>4</v>
      </c>
      <c r="F631" s="5">
        <v>23010163</v>
      </c>
      <c r="G631" s="5">
        <v>19891354.170000002</v>
      </c>
      <c r="H631" s="5">
        <v>0.13550000000000001</v>
      </c>
    </row>
    <row r="632" spans="1:8" x14ac:dyDescent="0.3">
      <c r="A632" s="5">
        <v>14</v>
      </c>
      <c r="B632" s="5" t="s">
        <v>212</v>
      </c>
      <c r="C632" s="5" t="s">
        <v>26</v>
      </c>
      <c r="D632" s="5">
        <v>2021</v>
      </c>
      <c r="E632" s="5">
        <v>5</v>
      </c>
      <c r="F632" s="5">
        <v>26701512</v>
      </c>
      <c r="G632" s="5">
        <v>22765699.41</v>
      </c>
      <c r="H632" s="5">
        <v>0.1474</v>
      </c>
    </row>
    <row r="633" spans="1:8" x14ac:dyDescent="0.3">
      <c r="A633" s="5">
        <v>14</v>
      </c>
      <c r="B633" s="5" t="s">
        <v>212</v>
      </c>
      <c r="C633" s="5" t="s">
        <v>27</v>
      </c>
      <c r="D633" s="5">
        <v>2021</v>
      </c>
      <c r="E633" s="5">
        <v>6</v>
      </c>
      <c r="F633" s="5">
        <v>23229524</v>
      </c>
      <c r="G633" s="5">
        <v>19643315.449999999</v>
      </c>
      <c r="H633" s="5">
        <v>0.15440000000000001</v>
      </c>
    </row>
    <row r="634" spans="1:8" x14ac:dyDescent="0.3">
      <c r="A634" s="5">
        <v>14</v>
      </c>
      <c r="B634" s="5" t="s">
        <v>212</v>
      </c>
      <c r="C634" s="5" t="s">
        <v>28</v>
      </c>
      <c r="D634" s="5">
        <v>2021</v>
      </c>
      <c r="E634" s="5">
        <v>7</v>
      </c>
      <c r="F634" s="5">
        <v>21878405</v>
      </c>
      <c r="G634" s="5">
        <v>18931365.699999999</v>
      </c>
      <c r="H634" s="5">
        <v>0.13469999999999999</v>
      </c>
    </row>
    <row r="635" spans="1:8" x14ac:dyDescent="0.3">
      <c r="A635" s="5">
        <v>14</v>
      </c>
      <c r="B635" s="5" t="s">
        <v>212</v>
      </c>
      <c r="C635" s="5" t="s">
        <v>29</v>
      </c>
      <c r="D635" s="5">
        <v>2021</v>
      </c>
      <c r="E635" s="5">
        <v>8</v>
      </c>
      <c r="F635" s="5">
        <v>22835206</v>
      </c>
      <c r="G635" s="5">
        <v>18769542.850000001</v>
      </c>
      <c r="H635" s="5">
        <v>0.17799999999999999</v>
      </c>
    </row>
    <row r="636" spans="1:8" x14ac:dyDescent="0.3">
      <c r="A636" s="5">
        <v>14</v>
      </c>
      <c r="B636" s="5" t="s">
        <v>212</v>
      </c>
      <c r="C636" s="5" t="s">
        <v>30</v>
      </c>
      <c r="D636" s="5">
        <v>2021</v>
      </c>
      <c r="E636" s="5">
        <v>9</v>
      </c>
      <c r="F636" s="5">
        <v>25242604</v>
      </c>
      <c r="G636" s="5">
        <v>21144067.280000001</v>
      </c>
      <c r="H636" s="5">
        <v>0.16239999999999999</v>
      </c>
    </row>
    <row r="637" spans="1:8" x14ac:dyDescent="0.3">
      <c r="A637" s="5">
        <v>14</v>
      </c>
      <c r="B637" s="5" t="s">
        <v>212</v>
      </c>
      <c r="C637" s="5" t="s">
        <v>31</v>
      </c>
      <c r="D637" s="5">
        <v>2021</v>
      </c>
      <c r="E637" s="5">
        <v>10</v>
      </c>
      <c r="F637" s="5">
        <v>36780702</v>
      </c>
      <c r="G637" s="5">
        <v>30388031.23</v>
      </c>
      <c r="H637" s="5">
        <v>0.17380000000000001</v>
      </c>
    </row>
    <row r="638" spans="1:8" x14ac:dyDescent="0.3">
      <c r="A638" s="5">
        <v>14</v>
      </c>
      <c r="B638" s="5" t="s">
        <v>212</v>
      </c>
      <c r="C638" s="5" t="s">
        <v>32</v>
      </c>
      <c r="D638" s="5">
        <v>2021</v>
      </c>
      <c r="E638" s="5">
        <v>11</v>
      </c>
      <c r="F638" s="5">
        <v>31989435</v>
      </c>
      <c r="G638" s="5">
        <v>25850114.940000001</v>
      </c>
      <c r="H638" s="5">
        <v>0.19189999999999999</v>
      </c>
    </row>
    <row r="639" spans="1:8" x14ac:dyDescent="0.3">
      <c r="A639" s="5">
        <v>14</v>
      </c>
      <c r="B639" s="5" t="s">
        <v>212</v>
      </c>
      <c r="C639" s="5" t="s">
        <v>33</v>
      </c>
      <c r="D639" s="5">
        <v>2021</v>
      </c>
      <c r="E639" s="5">
        <v>12</v>
      </c>
      <c r="F639" s="5">
        <v>32486749</v>
      </c>
      <c r="G639" s="5">
        <v>26688187.289999999</v>
      </c>
      <c r="H639" s="5">
        <v>0.17849999999999999</v>
      </c>
    </row>
    <row r="640" spans="1:8" x14ac:dyDescent="0.3">
      <c r="A640" s="5">
        <v>14</v>
      </c>
      <c r="B640" s="5" t="s">
        <v>212</v>
      </c>
      <c r="C640" s="5" t="s">
        <v>34</v>
      </c>
      <c r="D640" s="5">
        <v>2022</v>
      </c>
      <c r="E640" s="5">
        <v>1</v>
      </c>
      <c r="F640" s="5">
        <v>26971518</v>
      </c>
      <c r="G640" s="5">
        <v>21956209.57</v>
      </c>
      <c r="H640" s="5">
        <v>0.18590000000000001</v>
      </c>
    </row>
    <row r="641" spans="1:8" x14ac:dyDescent="0.3">
      <c r="A641" s="5">
        <v>14</v>
      </c>
      <c r="B641" s="5" t="s">
        <v>212</v>
      </c>
      <c r="C641" s="5" t="s">
        <v>35</v>
      </c>
      <c r="D641" s="5">
        <v>2022</v>
      </c>
      <c r="E641" s="5">
        <v>2</v>
      </c>
      <c r="F641" s="5">
        <v>27037435</v>
      </c>
      <c r="G641" s="5">
        <v>21925274.699999999</v>
      </c>
      <c r="H641" s="5">
        <v>0.18909999999999999</v>
      </c>
    </row>
    <row r="642" spans="1:8" x14ac:dyDescent="0.3">
      <c r="A642" s="5">
        <v>14</v>
      </c>
      <c r="B642" s="5" t="s">
        <v>212</v>
      </c>
      <c r="C642" s="5" t="s">
        <v>36</v>
      </c>
      <c r="D642" s="5">
        <v>2022</v>
      </c>
      <c r="E642" s="5">
        <v>3</v>
      </c>
      <c r="F642" s="5">
        <v>34108647</v>
      </c>
      <c r="G642" s="5">
        <v>28456309.969999999</v>
      </c>
      <c r="H642" s="5">
        <v>0.16569999999999999</v>
      </c>
    </row>
    <row r="643" spans="1:8" x14ac:dyDescent="0.3">
      <c r="A643" s="5">
        <v>14</v>
      </c>
      <c r="B643" s="5" t="s">
        <v>212</v>
      </c>
      <c r="C643" s="5" t="s">
        <v>37</v>
      </c>
      <c r="D643" s="5">
        <v>2022</v>
      </c>
      <c r="E643" s="5">
        <v>4</v>
      </c>
      <c r="F643" s="5">
        <v>35521909</v>
      </c>
      <c r="G643" s="5">
        <v>30384572.399999999</v>
      </c>
      <c r="H643" s="5">
        <v>0.14460000000000001</v>
      </c>
    </row>
    <row r="644" spans="1:8" x14ac:dyDescent="0.3">
      <c r="A644" s="5">
        <v>14</v>
      </c>
      <c r="B644" s="5" t="s">
        <v>212</v>
      </c>
      <c r="C644" s="5" t="s">
        <v>38</v>
      </c>
      <c r="D644" s="5">
        <v>2022</v>
      </c>
      <c r="E644" s="5">
        <v>5</v>
      </c>
      <c r="F644" s="5">
        <v>35203827</v>
      </c>
      <c r="G644" s="5">
        <v>30088104.16</v>
      </c>
      <c r="H644" s="5">
        <v>0.14530000000000001</v>
      </c>
    </row>
    <row r="645" spans="1:8" x14ac:dyDescent="0.3">
      <c r="A645" s="5">
        <v>14</v>
      </c>
      <c r="B645" s="5" t="s">
        <v>212</v>
      </c>
      <c r="C645" s="5" t="s">
        <v>39</v>
      </c>
      <c r="D645" s="5">
        <v>2022</v>
      </c>
      <c r="E645" s="5">
        <v>6</v>
      </c>
      <c r="F645" s="5">
        <v>33441218</v>
      </c>
      <c r="G645" s="5">
        <v>28016825.350000001</v>
      </c>
      <c r="H645" s="5">
        <v>0.16220000000000001</v>
      </c>
    </row>
    <row r="646" spans="1:8" x14ac:dyDescent="0.3">
      <c r="A646" s="5">
        <v>14</v>
      </c>
      <c r="B646" s="5" t="s">
        <v>212</v>
      </c>
      <c r="C646" s="5" t="s">
        <v>40</v>
      </c>
      <c r="D646" s="5">
        <v>2022</v>
      </c>
      <c r="E646" s="5">
        <v>7</v>
      </c>
      <c r="F646" s="5">
        <v>33430538</v>
      </c>
      <c r="G646" s="5">
        <v>28674537.309999999</v>
      </c>
      <c r="H646" s="5">
        <v>0.14230000000000001</v>
      </c>
    </row>
    <row r="647" spans="1:8" x14ac:dyDescent="0.3">
      <c r="A647" s="5">
        <v>14</v>
      </c>
      <c r="B647" s="5" t="s">
        <v>212</v>
      </c>
      <c r="C647" s="5" t="s">
        <v>41</v>
      </c>
      <c r="D647" s="5">
        <v>2022</v>
      </c>
      <c r="E647" s="5">
        <v>8</v>
      </c>
      <c r="F647" s="5">
        <v>30919918</v>
      </c>
      <c r="G647" s="5">
        <v>28187123.350000001</v>
      </c>
      <c r="H647" s="5">
        <v>8.8400000000000006E-2</v>
      </c>
    </row>
    <row r="648" spans="1:8" x14ac:dyDescent="0.3">
      <c r="A648" s="5">
        <v>14</v>
      </c>
      <c r="B648" s="5" t="s">
        <v>212</v>
      </c>
      <c r="C648" s="5" t="s">
        <v>42</v>
      </c>
      <c r="D648" s="5">
        <v>2022</v>
      </c>
      <c r="E648" s="5">
        <v>9</v>
      </c>
      <c r="F648" s="5">
        <v>35962654</v>
      </c>
      <c r="G648" s="5">
        <v>30765727.449999999</v>
      </c>
      <c r="H648" s="5">
        <v>0.14449999999999999</v>
      </c>
    </row>
    <row r="649" spans="1:8" x14ac:dyDescent="0.3">
      <c r="A649" s="5">
        <v>14</v>
      </c>
      <c r="B649" s="5" t="s">
        <v>212</v>
      </c>
      <c r="C649" s="5" t="s">
        <v>43</v>
      </c>
      <c r="D649" s="5">
        <v>2022</v>
      </c>
      <c r="E649" s="5">
        <v>10</v>
      </c>
      <c r="F649" s="5">
        <v>45180692</v>
      </c>
      <c r="G649" s="5">
        <v>39396997.380000003</v>
      </c>
      <c r="H649" s="5">
        <v>0.128</v>
      </c>
    </row>
    <row r="650" spans="1:8" x14ac:dyDescent="0.3">
      <c r="A650" s="5">
        <v>14</v>
      </c>
      <c r="B650" s="5" t="s">
        <v>212</v>
      </c>
      <c r="C650" s="5" t="s">
        <v>44</v>
      </c>
      <c r="D650" s="5">
        <v>2022</v>
      </c>
      <c r="E650" s="5">
        <v>11</v>
      </c>
      <c r="F650" s="5">
        <v>49358598</v>
      </c>
      <c r="G650" s="5">
        <v>41220438.649999999</v>
      </c>
      <c r="H650" s="5">
        <v>0.16489999999999999</v>
      </c>
    </row>
    <row r="651" spans="1:8" x14ac:dyDescent="0.3">
      <c r="A651" s="5">
        <v>14</v>
      </c>
      <c r="B651" s="5" t="s">
        <v>212</v>
      </c>
      <c r="C651" s="5" t="s">
        <v>45</v>
      </c>
      <c r="D651" s="5">
        <v>2022</v>
      </c>
      <c r="E651" s="5">
        <v>12</v>
      </c>
      <c r="F651" s="5">
        <v>50986205</v>
      </c>
      <c r="G651" s="5">
        <v>41353563.310000002</v>
      </c>
      <c r="H651" s="5">
        <v>0.18890000000000001</v>
      </c>
    </row>
    <row r="652" spans="1:8" x14ac:dyDescent="0.3">
      <c r="A652" s="5">
        <v>14</v>
      </c>
      <c r="B652" s="5" t="s">
        <v>212</v>
      </c>
      <c r="C652" s="5" t="s">
        <v>46</v>
      </c>
      <c r="D652" s="5">
        <v>2023</v>
      </c>
      <c r="E652" s="5">
        <v>1</v>
      </c>
      <c r="F652" s="5">
        <v>35861856</v>
      </c>
      <c r="G652" s="5">
        <v>30458635.690000001</v>
      </c>
      <c r="H652" s="5">
        <v>0.1507</v>
      </c>
    </row>
    <row r="653" spans="1:8" x14ac:dyDescent="0.3">
      <c r="A653" s="5">
        <v>14</v>
      </c>
      <c r="B653" s="5" t="s">
        <v>212</v>
      </c>
      <c r="C653" s="5" t="s">
        <v>47</v>
      </c>
      <c r="D653" s="5">
        <v>2023</v>
      </c>
      <c r="E653" s="5">
        <v>2</v>
      </c>
      <c r="F653" s="5">
        <v>33193260</v>
      </c>
      <c r="G653" s="5">
        <v>27714694.739999998</v>
      </c>
      <c r="H653" s="5">
        <v>0.1651</v>
      </c>
    </row>
    <row r="654" spans="1:8" x14ac:dyDescent="0.3">
      <c r="A654" s="5">
        <v>14</v>
      </c>
      <c r="B654" s="5" t="s">
        <v>212</v>
      </c>
      <c r="C654" s="5" t="s">
        <v>48</v>
      </c>
      <c r="D654" s="5">
        <v>2023</v>
      </c>
      <c r="E654" s="5">
        <v>3</v>
      </c>
      <c r="F654" s="5">
        <v>39500676</v>
      </c>
      <c r="G654" s="5">
        <v>33540432.710000001</v>
      </c>
      <c r="H654" s="5">
        <v>0.15090000000000001</v>
      </c>
    </row>
    <row r="655" spans="1:8" x14ac:dyDescent="0.3">
      <c r="A655" s="5">
        <v>14</v>
      </c>
      <c r="B655" s="5" t="s">
        <v>212</v>
      </c>
      <c r="C655" s="5" t="s">
        <v>49</v>
      </c>
      <c r="D655" s="5">
        <v>2023</v>
      </c>
      <c r="E655" s="5">
        <v>4</v>
      </c>
      <c r="F655" s="5">
        <v>37837333</v>
      </c>
      <c r="G655" s="5">
        <v>32053522.129999999</v>
      </c>
      <c r="H655" s="5">
        <v>0.15290000000000001</v>
      </c>
    </row>
    <row r="656" spans="1:8" x14ac:dyDescent="0.3">
      <c r="A656" s="5">
        <v>14</v>
      </c>
      <c r="B656" s="5" t="s">
        <v>212</v>
      </c>
      <c r="C656" s="5" t="s">
        <v>50</v>
      </c>
      <c r="D656" s="5">
        <v>2023</v>
      </c>
      <c r="E656" s="5">
        <v>5</v>
      </c>
      <c r="F656" s="5">
        <v>46983089</v>
      </c>
      <c r="G656" s="5">
        <v>39721161.390000001</v>
      </c>
      <c r="H656" s="5">
        <v>0.15459999999999999</v>
      </c>
    </row>
    <row r="657" spans="1:8" x14ac:dyDescent="0.3">
      <c r="A657" s="5">
        <v>14</v>
      </c>
      <c r="B657" s="5" t="s">
        <v>212</v>
      </c>
      <c r="C657" s="5" t="s">
        <v>51</v>
      </c>
      <c r="D657" s="5">
        <v>2023</v>
      </c>
      <c r="E657" s="5">
        <v>6</v>
      </c>
      <c r="F657" s="5">
        <v>46192493</v>
      </c>
      <c r="G657" s="5">
        <v>38380951.200000003</v>
      </c>
      <c r="H657" s="5">
        <v>0.1691</v>
      </c>
    </row>
    <row r="658" spans="1:8" x14ac:dyDescent="0.3">
      <c r="A658" s="5">
        <v>14</v>
      </c>
      <c r="B658" s="5" t="s">
        <v>212</v>
      </c>
      <c r="C658" s="5" t="s">
        <v>52</v>
      </c>
      <c r="D658" s="5">
        <v>2023</v>
      </c>
      <c r="E658" s="5">
        <v>7</v>
      </c>
      <c r="F658" s="5">
        <v>39488306</v>
      </c>
      <c r="G658" s="5">
        <v>34448466.359999999</v>
      </c>
      <c r="H658" s="5">
        <v>0.12759999999999999</v>
      </c>
    </row>
    <row r="659" spans="1:8" x14ac:dyDescent="0.3">
      <c r="A659" s="5">
        <v>14</v>
      </c>
      <c r="B659" s="5" t="s">
        <v>212</v>
      </c>
      <c r="C659" s="5" t="s">
        <v>53</v>
      </c>
      <c r="D659" s="5">
        <v>2023</v>
      </c>
      <c r="E659" s="5">
        <v>8</v>
      </c>
      <c r="F659" s="5">
        <v>41785074</v>
      </c>
      <c r="G659" s="5">
        <v>36361150.840000004</v>
      </c>
      <c r="H659" s="5">
        <v>0.1298</v>
      </c>
    </row>
    <row r="660" spans="1:8" x14ac:dyDescent="0.3">
      <c r="A660" s="5">
        <v>14</v>
      </c>
      <c r="B660" s="5" t="s">
        <v>212</v>
      </c>
      <c r="C660" s="5" t="s">
        <v>54</v>
      </c>
      <c r="D660" s="5">
        <v>2023</v>
      </c>
      <c r="E660" s="5">
        <v>9</v>
      </c>
      <c r="F660" s="5">
        <v>42870548</v>
      </c>
      <c r="G660" s="5">
        <v>37317149.07</v>
      </c>
      <c r="H660" s="5">
        <v>0.1295</v>
      </c>
    </row>
    <row r="661" spans="1:8" x14ac:dyDescent="0.3">
      <c r="A661" s="5">
        <v>14</v>
      </c>
      <c r="B661" s="5" t="s">
        <v>212</v>
      </c>
      <c r="C661" s="5" t="s">
        <v>55</v>
      </c>
      <c r="D661" s="5">
        <v>2023</v>
      </c>
      <c r="E661" s="5">
        <v>10</v>
      </c>
      <c r="F661" s="5">
        <v>59451706</v>
      </c>
      <c r="G661" s="5">
        <v>50237576.799999997</v>
      </c>
      <c r="H661" s="5">
        <v>0.155</v>
      </c>
    </row>
    <row r="662" spans="1:8" x14ac:dyDescent="0.3">
      <c r="A662" s="5">
        <v>14</v>
      </c>
      <c r="B662" s="5" t="s">
        <v>212</v>
      </c>
      <c r="C662" s="5" t="s">
        <v>56</v>
      </c>
      <c r="D662" s="5">
        <v>2023</v>
      </c>
      <c r="E662" s="5">
        <v>11</v>
      </c>
      <c r="F662" s="5">
        <v>58266722</v>
      </c>
      <c r="G662" s="5">
        <v>50504065.109999999</v>
      </c>
      <c r="H662" s="5">
        <v>0.13320000000000001</v>
      </c>
    </row>
    <row r="663" spans="1:8" x14ac:dyDescent="0.3">
      <c r="A663" s="5">
        <v>14</v>
      </c>
      <c r="B663" s="5" t="s">
        <v>212</v>
      </c>
      <c r="C663" s="5" t="s">
        <v>57</v>
      </c>
      <c r="D663" s="5">
        <v>2023</v>
      </c>
      <c r="E663" s="5">
        <v>12</v>
      </c>
      <c r="F663" s="5">
        <v>61239240</v>
      </c>
      <c r="G663" s="5">
        <v>53698722.130000003</v>
      </c>
      <c r="H663" s="5">
        <v>0.1231</v>
      </c>
    </row>
    <row r="664" spans="1:8" x14ac:dyDescent="0.3">
      <c r="A664" s="5">
        <v>14</v>
      </c>
      <c r="B664" s="5" t="s">
        <v>212</v>
      </c>
      <c r="C664" s="5" t="s">
        <v>58</v>
      </c>
      <c r="D664" s="5">
        <v>2024</v>
      </c>
      <c r="E664" s="5">
        <v>1</v>
      </c>
      <c r="F664" s="5">
        <v>40969270</v>
      </c>
      <c r="G664" s="5">
        <v>35231045.859999999</v>
      </c>
      <c r="H664" s="5">
        <v>0.1401</v>
      </c>
    </row>
    <row r="665" spans="1:8" x14ac:dyDescent="0.3">
      <c r="A665" s="5">
        <v>14</v>
      </c>
      <c r="B665" s="5" t="s">
        <v>212</v>
      </c>
      <c r="C665" s="5" t="s">
        <v>59</v>
      </c>
      <c r="D665" s="5">
        <v>2024</v>
      </c>
      <c r="E665" s="5">
        <v>2</v>
      </c>
      <c r="F665" s="5">
        <v>38524295</v>
      </c>
      <c r="G665" s="5">
        <v>31943917.010000002</v>
      </c>
      <c r="H665" s="5">
        <v>0.17080000000000001</v>
      </c>
    </row>
    <row r="666" spans="1:8" x14ac:dyDescent="0.3">
      <c r="A666" s="5">
        <v>14</v>
      </c>
      <c r="B666" s="5" t="s">
        <v>212</v>
      </c>
      <c r="C666" s="5" t="s">
        <v>60</v>
      </c>
      <c r="D666" s="5">
        <v>2024</v>
      </c>
      <c r="E666" s="5">
        <v>3</v>
      </c>
      <c r="F666" s="5">
        <v>41352942</v>
      </c>
      <c r="G666" s="5">
        <v>34917346.090000004</v>
      </c>
      <c r="H666" s="5">
        <v>0.15559999999999999</v>
      </c>
    </row>
    <row r="667" spans="1:8" x14ac:dyDescent="0.3">
      <c r="A667" s="5">
        <v>14</v>
      </c>
      <c r="B667" s="5" t="s">
        <v>212</v>
      </c>
      <c r="C667" s="5" t="s">
        <v>61</v>
      </c>
      <c r="D667" s="5">
        <v>2024</v>
      </c>
      <c r="E667" s="5">
        <v>4</v>
      </c>
      <c r="F667" s="5">
        <v>41869159</v>
      </c>
      <c r="G667" s="5">
        <v>35231277.490000002</v>
      </c>
      <c r="H667" s="5">
        <v>0.1585</v>
      </c>
    </row>
    <row r="668" spans="1:8" x14ac:dyDescent="0.3">
      <c r="A668" s="5">
        <v>14</v>
      </c>
      <c r="B668" s="5" t="s">
        <v>212</v>
      </c>
      <c r="C668" s="5" t="s">
        <v>62</v>
      </c>
      <c r="D668" s="5">
        <v>2024</v>
      </c>
      <c r="E668" s="5">
        <v>5</v>
      </c>
      <c r="F668" s="5">
        <v>45603020</v>
      </c>
      <c r="G668" s="5">
        <v>39059748.009999998</v>
      </c>
      <c r="H668" s="5">
        <v>0.14349999999999999</v>
      </c>
    </row>
    <row r="669" spans="1:8" x14ac:dyDescent="0.3">
      <c r="A669" s="5">
        <v>14</v>
      </c>
      <c r="B669" s="5" t="s">
        <v>212</v>
      </c>
      <c r="C669" s="5" t="s">
        <v>63</v>
      </c>
      <c r="D669" s="5">
        <v>2024</v>
      </c>
      <c r="E669" s="5">
        <v>6</v>
      </c>
      <c r="F669" s="5">
        <v>53413015</v>
      </c>
      <c r="G669" s="5">
        <v>43445434.93</v>
      </c>
      <c r="H669" s="5">
        <v>0.18659999999999999</v>
      </c>
    </row>
    <row r="670" spans="1:8" x14ac:dyDescent="0.3">
      <c r="A670" s="5">
        <v>14</v>
      </c>
      <c r="B670" s="5" t="s">
        <v>212</v>
      </c>
      <c r="C670" s="5" t="s">
        <v>64</v>
      </c>
      <c r="D670" s="5">
        <v>2024</v>
      </c>
      <c r="E670" s="5">
        <v>7</v>
      </c>
      <c r="F670" s="5">
        <v>44437740</v>
      </c>
      <c r="G670" s="5">
        <v>37242882.590000004</v>
      </c>
      <c r="H670" s="5">
        <v>0.16189999999999999</v>
      </c>
    </row>
    <row r="671" spans="1:8" x14ac:dyDescent="0.3">
      <c r="A671" s="5">
        <v>14</v>
      </c>
      <c r="B671" s="5" t="s">
        <v>212</v>
      </c>
      <c r="C671" s="5" t="s">
        <v>65</v>
      </c>
      <c r="D671" s="5">
        <v>2024</v>
      </c>
      <c r="E671" s="5">
        <v>8</v>
      </c>
      <c r="F671" s="5">
        <v>45742167</v>
      </c>
      <c r="G671" s="5">
        <v>38129971.340000004</v>
      </c>
      <c r="H671" s="5">
        <v>0.16639999999999999</v>
      </c>
    </row>
    <row r="672" spans="1:8" x14ac:dyDescent="0.3">
      <c r="A672" s="5">
        <v>14</v>
      </c>
      <c r="B672" s="5" t="s">
        <v>212</v>
      </c>
      <c r="C672" s="5" t="s">
        <v>66</v>
      </c>
      <c r="D672" s="5">
        <v>2024</v>
      </c>
      <c r="E672" s="5">
        <v>9</v>
      </c>
      <c r="F672" s="5">
        <v>59259550</v>
      </c>
      <c r="G672" s="5">
        <v>47766128.32</v>
      </c>
      <c r="H672" s="5">
        <v>0.19400000000000001</v>
      </c>
    </row>
    <row r="673" spans="1:8" x14ac:dyDescent="0.3">
      <c r="A673" s="5">
        <v>14</v>
      </c>
      <c r="B673" s="5" t="s">
        <v>212</v>
      </c>
      <c r="C673" s="5" t="s">
        <v>67</v>
      </c>
      <c r="D673" s="5">
        <v>2024</v>
      </c>
      <c r="E673" s="5">
        <v>10</v>
      </c>
      <c r="F673" s="5">
        <v>63354912</v>
      </c>
      <c r="G673" s="5">
        <v>49843330.020000003</v>
      </c>
      <c r="H673" s="5">
        <v>0.21329999999999999</v>
      </c>
    </row>
    <row r="674" spans="1:8" x14ac:dyDescent="0.3">
      <c r="A674" s="5">
        <v>14</v>
      </c>
      <c r="B674" s="5" t="s">
        <v>212</v>
      </c>
      <c r="C674" s="5" t="s">
        <v>68</v>
      </c>
      <c r="D674" s="5">
        <v>2024</v>
      </c>
      <c r="E674" s="5">
        <v>11</v>
      </c>
      <c r="F674" s="5">
        <v>72100247</v>
      </c>
      <c r="G674" s="5">
        <v>58252739.770000003</v>
      </c>
      <c r="H674" s="5">
        <v>0.19209999999999999</v>
      </c>
    </row>
    <row r="675" spans="1:8" x14ac:dyDescent="0.3">
      <c r="A675" s="5">
        <v>14</v>
      </c>
      <c r="B675" s="5" t="s">
        <v>212</v>
      </c>
      <c r="C675" s="5" t="s">
        <v>69</v>
      </c>
      <c r="D675" s="5">
        <v>2024</v>
      </c>
      <c r="E675" s="5">
        <v>12</v>
      </c>
      <c r="F675" s="5">
        <v>72053075</v>
      </c>
      <c r="G675" s="5">
        <v>56288105.420000002</v>
      </c>
      <c r="H675" s="5">
        <v>0.21879999999999999</v>
      </c>
    </row>
    <row r="676" spans="1:8" x14ac:dyDescent="0.3">
      <c r="A676" s="5">
        <v>15</v>
      </c>
      <c r="B676" s="5" t="s">
        <v>224</v>
      </c>
      <c r="C676" s="5" t="s">
        <v>22</v>
      </c>
      <c r="D676" s="5">
        <v>2021</v>
      </c>
      <c r="E676" s="5">
        <v>1</v>
      </c>
      <c r="F676" s="5">
        <v>2157068</v>
      </c>
      <c r="G676" s="5">
        <v>1386998.26</v>
      </c>
      <c r="H676" s="5">
        <v>0.35699999999999998</v>
      </c>
    </row>
    <row r="677" spans="1:8" x14ac:dyDescent="0.3">
      <c r="A677" s="5">
        <v>15</v>
      </c>
      <c r="B677" s="5" t="s">
        <v>224</v>
      </c>
      <c r="C677" s="5" t="s">
        <v>23</v>
      </c>
      <c r="D677" s="5">
        <v>2021</v>
      </c>
      <c r="E677" s="5">
        <v>2</v>
      </c>
      <c r="F677" s="5">
        <v>1607529</v>
      </c>
      <c r="G677" s="5">
        <v>1006793.17</v>
      </c>
      <c r="H677" s="5">
        <v>0.37369999999999998</v>
      </c>
    </row>
    <row r="678" spans="1:8" x14ac:dyDescent="0.3">
      <c r="A678" s="5">
        <v>15</v>
      </c>
      <c r="B678" s="5" t="s">
        <v>224</v>
      </c>
      <c r="C678" s="5" t="s">
        <v>24</v>
      </c>
      <c r="D678" s="5">
        <v>2021</v>
      </c>
      <c r="E678" s="5">
        <v>3</v>
      </c>
      <c r="F678" s="5">
        <v>2304867</v>
      </c>
      <c r="G678" s="5">
        <v>1355116.51</v>
      </c>
      <c r="H678" s="5">
        <v>0.41210000000000002</v>
      </c>
    </row>
    <row r="679" spans="1:8" x14ac:dyDescent="0.3">
      <c r="A679" s="5">
        <v>15</v>
      </c>
      <c r="B679" s="5" t="s">
        <v>224</v>
      </c>
      <c r="C679" s="5" t="s">
        <v>25</v>
      </c>
      <c r="D679" s="5">
        <v>2021</v>
      </c>
      <c r="E679" s="5">
        <v>4</v>
      </c>
      <c r="F679" s="5">
        <v>1993417</v>
      </c>
      <c r="G679" s="5">
        <v>1216278.05</v>
      </c>
      <c r="H679" s="5">
        <v>0.38990000000000002</v>
      </c>
    </row>
    <row r="680" spans="1:8" x14ac:dyDescent="0.3">
      <c r="A680" s="5">
        <v>15</v>
      </c>
      <c r="B680" s="5" t="s">
        <v>224</v>
      </c>
      <c r="C680" s="5" t="s">
        <v>26</v>
      </c>
      <c r="D680" s="5">
        <v>2021</v>
      </c>
      <c r="E680" s="5">
        <v>5</v>
      </c>
      <c r="F680" s="5">
        <v>2616198</v>
      </c>
      <c r="G680" s="5">
        <v>1650759.95</v>
      </c>
      <c r="H680" s="5">
        <v>0.36899999999999999</v>
      </c>
    </row>
    <row r="681" spans="1:8" x14ac:dyDescent="0.3">
      <c r="A681" s="5">
        <v>15</v>
      </c>
      <c r="B681" s="5" t="s">
        <v>224</v>
      </c>
      <c r="C681" s="5" t="s">
        <v>27</v>
      </c>
      <c r="D681" s="5">
        <v>2021</v>
      </c>
      <c r="E681" s="5">
        <v>6</v>
      </c>
      <c r="F681" s="5">
        <v>2630330</v>
      </c>
      <c r="G681" s="5">
        <v>1663130.21</v>
      </c>
      <c r="H681" s="5">
        <v>0.36770000000000003</v>
      </c>
    </row>
    <row r="682" spans="1:8" x14ac:dyDescent="0.3">
      <c r="A682" s="5">
        <v>15</v>
      </c>
      <c r="B682" s="5" t="s">
        <v>224</v>
      </c>
      <c r="C682" s="5" t="s">
        <v>28</v>
      </c>
      <c r="D682" s="5">
        <v>2021</v>
      </c>
      <c r="E682" s="5">
        <v>7</v>
      </c>
      <c r="F682" s="5">
        <v>2169017</v>
      </c>
      <c r="G682" s="5">
        <v>1373721.58</v>
      </c>
      <c r="H682" s="5">
        <v>0.36670000000000003</v>
      </c>
    </row>
    <row r="683" spans="1:8" x14ac:dyDescent="0.3">
      <c r="A683" s="5">
        <v>15</v>
      </c>
      <c r="B683" s="5" t="s">
        <v>224</v>
      </c>
      <c r="C683" s="5" t="s">
        <v>29</v>
      </c>
      <c r="D683" s="5">
        <v>2021</v>
      </c>
      <c r="E683" s="5">
        <v>8</v>
      </c>
      <c r="F683" s="5">
        <v>2596602</v>
      </c>
      <c r="G683" s="5">
        <v>1552759.1</v>
      </c>
      <c r="H683" s="5">
        <v>0.40200000000000002</v>
      </c>
    </row>
    <row r="684" spans="1:8" x14ac:dyDescent="0.3">
      <c r="A684" s="5">
        <v>15</v>
      </c>
      <c r="B684" s="5" t="s">
        <v>224</v>
      </c>
      <c r="C684" s="5" t="s">
        <v>30</v>
      </c>
      <c r="D684" s="5">
        <v>2021</v>
      </c>
      <c r="E684" s="5">
        <v>9</v>
      </c>
      <c r="F684" s="5">
        <v>2376859</v>
      </c>
      <c r="G684" s="5">
        <v>1472713.08</v>
      </c>
      <c r="H684" s="5">
        <v>0.38040000000000002</v>
      </c>
    </row>
    <row r="685" spans="1:8" x14ac:dyDescent="0.3">
      <c r="A685" s="5">
        <v>15</v>
      </c>
      <c r="B685" s="5" t="s">
        <v>224</v>
      </c>
      <c r="C685" s="5" t="s">
        <v>31</v>
      </c>
      <c r="D685" s="5">
        <v>2021</v>
      </c>
      <c r="E685" s="5">
        <v>10</v>
      </c>
      <c r="F685" s="5">
        <v>3472588</v>
      </c>
      <c r="G685" s="5">
        <v>2103354.9</v>
      </c>
      <c r="H685" s="5">
        <v>0.39429999999999998</v>
      </c>
    </row>
    <row r="686" spans="1:8" x14ac:dyDescent="0.3">
      <c r="A686" s="5">
        <v>15</v>
      </c>
      <c r="B686" s="5" t="s">
        <v>224</v>
      </c>
      <c r="C686" s="5" t="s">
        <v>32</v>
      </c>
      <c r="D686" s="5">
        <v>2021</v>
      </c>
      <c r="E686" s="5">
        <v>11</v>
      </c>
      <c r="F686" s="5">
        <v>3445875</v>
      </c>
      <c r="G686" s="5">
        <v>2025080.95</v>
      </c>
      <c r="H686" s="5">
        <v>0.4123</v>
      </c>
    </row>
    <row r="687" spans="1:8" x14ac:dyDescent="0.3">
      <c r="A687" s="5">
        <v>15</v>
      </c>
      <c r="B687" s="5" t="s">
        <v>224</v>
      </c>
      <c r="C687" s="5" t="s">
        <v>33</v>
      </c>
      <c r="D687" s="5">
        <v>2021</v>
      </c>
      <c r="E687" s="5">
        <v>12</v>
      </c>
      <c r="F687" s="5">
        <v>3323946</v>
      </c>
      <c r="G687" s="5">
        <v>1965579.15</v>
      </c>
      <c r="H687" s="5">
        <v>0.40870000000000001</v>
      </c>
    </row>
    <row r="688" spans="1:8" x14ac:dyDescent="0.3">
      <c r="A688" s="5">
        <v>15</v>
      </c>
      <c r="B688" s="5" t="s">
        <v>224</v>
      </c>
      <c r="C688" s="5" t="s">
        <v>34</v>
      </c>
      <c r="D688" s="5">
        <v>2022</v>
      </c>
      <c r="E688" s="5">
        <v>1</v>
      </c>
      <c r="F688" s="5">
        <v>2798812</v>
      </c>
      <c r="G688" s="5">
        <v>1668995.28</v>
      </c>
      <c r="H688" s="5">
        <v>0.4037</v>
      </c>
    </row>
    <row r="689" spans="1:8" x14ac:dyDescent="0.3">
      <c r="A689" s="5">
        <v>15</v>
      </c>
      <c r="B689" s="5" t="s">
        <v>224</v>
      </c>
      <c r="C689" s="5" t="s">
        <v>35</v>
      </c>
      <c r="D689" s="5">
        <v>2022</v>
      </c>
      <c r="E689" s="5">
        <v>2</v>
      </c>
      <c r="F689" s="5">
        <v>2621628</v>
      </c>
      <c r="G689" s="5">
        <v>1510703.1</v>
      </c>
      <c r="H689" s="5">
        <v>0.42380000000000001</v>
      </c>
    </row>
    <row r="690" spans="1:8" x14ac:dyDescent="0.3">
      <c r="A690" s="5">
        <v>15</v>
      </c>
      <c r="B690" s="5" t="s">
        <v>224</v>
      </c>
      <c r="C690" s="5" t="s">
        <v>36</v>
      </c>
      <c r="D690" s="5">
        <v>2022</v>
      </c>
      <c r="E690" s="5">
        <v>3</v>
      </c>
      <c r="F690" s="5">
        <v>3346656</v>
      </c>
      <c r="G690" s="5">
        <v>2029690.12</v>
      </c>
      <c r="H690" s="5">
        <v>0.39350000000000002</v>
      </c>
    </row>
    <row r="691" spans="1:8" x14ac:dyDescent="0.3">
      <c r="A691" s="5">
        <v>15</v>
      </c>
      <c r="B691" s="5" t="s">
        <v>224</v>
      </c>
      <c r="C691" s="5" t="s">
        <v>37</v>
      </c>
      <c r="D691" s="5">
        <v>2022</v>
      </c>
      <c r="E691" s="5">
        <v>4</v>
      </c>
      <c r="F691" s="5">
        <v>3202932</v>
      </c>
      <c r="G691" s="5">
        <v>1983041.44</v>
      </c>
      <c r="H691" s="5">
        <v>0.38090000000000002</v>
      </c>
    </row>
    <row r="692" spans="1:8" x14ac:dyDescent="0.3">
      <c r="A692" s="5">
        <v>15</v>
      </c>
      <c r="B692" s="5" t="s">
        <v>224</v>
      </c>
      <c r="C692" s="5" t="s">
        <v>38</v>
      </c>
      <c r="D692" s="5">
        <v>2022</v>
      </c>
      <c r="E692" s="5">
        <v>5</v>
      </c>
      <c r="F692" s="5">
        <v>3802586</v>
      </c>
      <c r="G692" s="5">
        <v>2342786.36</v>
      </c>
      <c r="H692" s="5">
        <v>0.38390000000000002</v>
      </c>
    </row>
    <row r="693" spans="1:8" x14ac:dyDescent="0.3">
      <c r="A693" s="5">
        <v>15</v>
      </c>
      <c r="B693" s="5" t="s">
        <v>224</v>
      </c>
      <c r="C693" s="5" t="s">
        <v>39</v>
      </c>
      <c r="D693" s="5">
        <v>2022</v>
      </c>
      <c r="E693" s="5">
        <v>6</v>
      </c>
      <c r="F693" s="5">
        <v>3689895</v>
      </c>
      <c r="G693" s="5">
        <v>2261337.52</v>
      </c>
      <c r="H693" s="5">
        <v>0.38719999999999999</v>
      </c>
    </row>
    <row r="694" spans="1:8" x14ac:dyDescent="0.3">
      <c r="A694" s="5">
        <v>15</v>
      </c>
      <c r="B694" s="5" t="s">
        <v>224</v>
      </c>
      <c r="C694" s="5" t="s">
        <v>40</v>
      </c>
      <c r="D694" s="5">
        <v>2022</v>
      </c>
      <c r="E694" s="5">
        <v>7</v>
      </c>
      <c r="F694" s="5">
        <v>3149932</v>
      </c>
      <c r="G694" s="5">
        <v>1981908.2</v>
      </c>
      <c r="H694" s="5">
        <v>0.37080000000000002</v>
      </c>
    </row>
    <row r="695" spans="1:8" x14ac:dyDescent="0.3">
      <c r="A695" s="5">
        <v>15</v>
      </c>
      <c r="B695" s="5" t="s">
        <v>224</v>
      </c>
      <c r="C695" s="5" t="s">
        <v>41</v>
      </c>
      <c r="D695" s="5">
        <v>2022</v>
      </c>
      <c r="E695" s="5">
        <v>8</v>
      </c>
      <c r="F695" s="5">
        <v>3049194</v>
      </c>
      <c r="G695" s="5">
        <v>2041896.81</v>
      </c>
      <c r="H695" s="5">
        <v>0.33029999999999998</v>
      </c>
    </row>
    <row r="696" spans="1:8" x14ac:dyDescent="0.3">
      <c r="A696" s="5">
        <v>15</v>
      </c>
      <c r="B696" s="5" t="s">
        <v>224</v>
      </c>
      <c r="C696" s="5" t="s">
        <v>42</v>
      </c>
      <c r="D696" s="5">
        <v>2022</v>
      </c>
      <c r="E696" s="5">
        <v>9</v>
      </c>
      <c r="F696" s="5">
        <v>3621248</v>
      </c>
      <c r="G696" s="5">
        <v>2247682.3199999998</v>
      </c>
      <c r="H696" s="5">
        <v>0.37930000000000003</v>
      </c>
    </row>
    <row r="697" spans="1:8" x14ac:dyDescent="0.3">
      <c r="A697" s="5">
        <v>15</v>
      </c>
      <c r="B697" s="5" t="s">
        <v>224</v>
      </c>
      <c r="C697" s="5" t="s">
        <v>43</v>
      </c>
      <c r="D697" s="5">
        <v>2022</v>
      </c>
      <c r="E697" s="5">
        <v>10</v>
      </c>
      <c r="F697" s="5">
        <v>4511350</v>
      </c>
      <c r="G697" s="5">
        <v>2907648</v>
      </c>
      <c r="H697" s="5">
        <v>0.35549999999999998</v>
      </c>
    </row>
    <row r="698" spans="1:8" x14ac:dyDescent="0.3">
      <c r="A698" s="5">
        <v>15</v>
      </c>
      <c r="B698" s="5" t="s">
        <v>224</v>
      </c>
      <c r="C698" s="5" t="s">
        <v>44</v>
      </c>
      <c r="D698" s="5">
        <v>2022</v>
      </c>
      <c r="E698" s="5">
        <v>11</v>
      </c>
      <c r="F698" s="5">
        <v>4895547</v>
      </c>
      <c r="G698" s="5">
        <v>2981215.28</v>
      </c>
      <c r="H698" s="5">
        <v>0.39100000000000001</v>
      </c>
    </row>
    <row r="699" spans="1:8" x14ac:dyDescent="0.3">
      <c r="A699" s="5">
        <v>15</v>
      </c>
      <c r="B699" s="5" t="s">
        <v>224</v>
      </c>
      <c r="C699" s="5" t="s">
        <v>45</v>
      </c>
      <c r="D699" s="5">
        <v>2022</v>
      </c>
      <c r="E699" s="5">
        <v>12</v>
      </c>
      <c r="F699" s="5">
        <v>4990790</v>
      </c>
      <c r="G699" s="5">
        <v>2926463.04</v>
      </c>
      <c r="H699" s="5">
        <v>0.41360000000000002</v>
      </c>
    </row>
    <row r="700" spans="1:8" x14ac:dyDescent="0.3">
      <c r="A700" s="5">
        <v>15</v>
      </c>
      <c r="B700" s="5" t="s">
        <v>224</v>
      </c>
      <c r="C700" s="5" t="s">
        <v>46</v>
      </c>
      <c r="D700" s="5">
        <v>2023</v>
      </c>
      <c r="E700" s="5">
        <v>1</v>
      </c>
      <c r="F700" s="5">
        <v>3762220</v>
      </c>
      <c r="G700" s="5">
        <v>2371206.84</v>
      </c>
      <c r="H700" s="5">
        <v>0.36969999999999997</v>
      </c>
    </row>
    <row r="701" spans="1:8" x14ac:dyDescent="0.3">
      <c r="A701" s="5">
        <v>15</v>
      </c>
      <c r="B701" s="5" t="s">
        <v>224</v>
      </c>
      <c r="C701" s="5" t="s">
        <v>47</v>
      </c>
      <c r="D701" s="5">
        <v>2023</v>
      </c>
      <c r="E701" s="5">
        <v>2</v>
      </c>
      <c r="F701" s="5">
        <v>3275656</v>
      </c>
      <c r="G701" s="5">
        <v>2002626.1</v>
      </c>
      <c r="H701" s="5">
        <v>0.3886</v>
      </c>
    </row>
    <row r="702" spans="1:8" x14ac:dyDescent="0.3">
      <c r="A702" s="5">
        <v>15</v>
      </c>
      <c r="B702" s="5" t="s">
        <v>224</v>
      </c>
      <c r="C702" s="5" t="s">
        <v>48</v>
      </c>
      <c r="D702" s="5">
        <v>2023</v>
      </c>
      <c r="E702" s="5">
        <v>3</v>
      </c>
      <c r="F702" s="5">
        <v>3589882</v>
      </c>
      <c r="G702" s="5">
        <v>2234176.12</v>
      </c>
      <c r="H702" s="5">
        <v>0.37759999999999999</v>
      </c>
    </row>
    <row r="703" spans="1:8" x14ac:dyDescent="0.3">
      <c r="A703" s="5">
        <v>15</v>
      </c>
      <c r="B703" s="5" t="s">
        <v>224</v>
      </c>
      <c r="C703" s="5" t="s">
        <v>49</v>
      </c>
      <c r="D703" s="5">
        <v>2023</v>
      </c>
      <c r="E703" s="5">
        <v>4</v>
      </c>
      <c r="F703" s="5">
        <v>4249166</v>
      </c>
      <c r="G703" s="5">
        <v>2625649.7200000002</v>
      </c>
      <c r="H703" s="5">
        <v>0.3821</v>
      </c>
    </row>
    <row r="704" spans="1:8" x14ac:dyDescent="0.3">
      <c r="A704" s="5">
        <v>15</v>
      </c>
      <c r="B704" s="5" t="s">
        <v>224</v>
      </c>
      <c r="C704" s="5" t="s">
        <v>50</v>
      </c>
      <c r="D704" s="5">
        <v>2023</v>
      </c>
      <c r="E704" s="5">
        <v>5</v>
      </c>
      <c r="F704" s="5">
        <v>4724560</v>
      </c>
      <c r="G704" s="5">
        <v>2897487.15</v>
      </c>
      <c r="H704" s="5">
        <v>0.38669999999999999</v>
      </c>
    </row>
    <row r="705" spans="1:8" x14ac:dyDescent="0.3">
      <c r="A705" s="5">
        <v>15</v>
      </c>
      <c r="B705" s="5" t="s">
        <v>224</v>
      </c>
      <c r="C705" s="5" t="s">
        <v>51</v>
      </c>
      <c r="D705" s="5">
        <v>2023</v>
      </c>
      <c r="E705" s="5">
        <v>6</v>
      </c>
      <c r="F705" s="5">
        <v>4402381</v>
      </c>
      <c r="G705" s="5">
        <v>2680886.15</v>
      </c>
      <c r="H705" s="5">
        <v>0.39100000000000001</v>
      </c>
    </row>
    <row r="706" spans="1:8" x14ac:dyDescent="0.3">
      <c r="A706" s="5">
        <v>15</v>
      </c>
      <c r="B706" s="5" t="s">
        <v>224</v>
      </c>
      <c r="C706" s="5" t="s">
        <v>52</v>
      </c>
      <c r="D706" s="5">
        <v>2023</v>
      </c>
      <c r="E706" s="5">
        <v>7</v>
      </c>
      <c r="F706" s="5">
        <v>4030820</v>
      </c>
      <c r="G706" s="5">
        <v>2578653.46</v>
      </c>
      <c r="H706" s="5">
        <v>0.36030000000000001</v>
      </c>
    </row>
    <row r="707" spans="1:8" x14ac:dyDescent="0.3">
      <c r="A707" s="5">
        <v>15</v>
      </c>
      <c r="B707" s="5" t="s">
        <v>224</v>
      </c>
      <c r="C707" s="5" t="s">
        <v>53</v>
      </c>
      <c r="D707" s="5">
        <v>2023</v>
      </c>
      <c r="E707" s="5">
        <v>8</v>
      </c>
      <c r="F707" s="5">
        <v>4167862</v>
      </c>
      <c r="G707" s="5">
        <v>2589362.75</v>
      </c>
      <c r="H707" s="5">
        <v>0.37869999999999998</v>
      </c>
    </row>
    <row r="708" spans="1:8" x14ac:dyDescent="0.3">
      <c r="A708" s="5">
        <v>15</v>
      </c>
      <c r="B708" s="5" t="s">
        <v>224</v>
      </c>
      <c r="C708" s="5" t="s">
        <v>54</v>
      </c>
      <c r="D708" s="5">
        <v>2023</v>
      </c>
      <c r="E708" s="5">
        <v>9</v>
      </c>
      <c r="F708" s="5">
        <v>4318243</v>
      </c>
      <c r="G708" s="5">
        <v>2796768.4</v>
      </c>
      <c r="H708" s="5">
        <v>0.3523</v>
      </c>
    </row>
    <row r="709" spans="1:8" x14ac:dyDescent="0.3">
      <c r="A709" s="5">
        <v>15</v>
      </c>
      <c r="B709" s="5" t="s">
        <v>224</v>
      </c>
      <c r="C709" s="5" t="s">
        <v>55</v>
      </c>
      <c r="D709" s="5">
        <v>2023</v>
      </c>
      <c r="E709" s="5">
        <v>10</v>
      </c>
      <c r="F709" s="5">
        <v>5734039</v>
      </c>
      <c r="G709" s="5">
        <v>3515682.15</v>
      </c>
      <c r="H709" s="5">
        <v>0.38690000000000002</v>
      </c>
    </row>
    <row r="710" spans="1:8" x14ac:dyDescent="0.3">
      <c r="A710" s="5">
        <v>15</v>
      </c>
      <c r="B710" s="5" t="s">
        <v>224</v>
      </c>
      <c r="C710" s="5" t="s">
        <v>56</v>
      </c>
      <c r="D710" s="5">
        <v>2023</v>
      </c>
      <c r="E710" s="5">
        <v>11</v>
      </c>
      <c r="F710" s="5">
        <v>5634138</v>
      </c>
      <c r="G710" s="5">
        <v>3599180.76</v>
      </c>
      <c r="H710" s="5">
        <v>0.36120000000000002</v>
      </c>
    </row>
    <row r="711" spans="1:8" x14ac:dyDescent="0.3">
      <c r="A711" s="5">
        <v>15</v>
      </c>
      <c r="B711" s="5" t="s">
        <v>224</v>
      </c>
      <c r="C711" s="5" t="s">
        <v>57</v>
      </c>
      <c r="D711" s="5">
        <v>2023</v>
      </c>
      <c r="E711" s="5">
        <v>12</v>
      </c>
      <c r="F711" s="5">
        <v>5876494</v>
      </c>
      <c r="G711" s="5">
        <v>3805947.03</v>
      </c>
      <c r="H711" s="5">
        <v>0.3523</v>
      </c>
    </row>
    <row r="712" spans="1:8" x14ac:dyDescent="0.3">
      <c r="A712" s="5">
        <v>15</v>
      </c>
      <c r="B712" s="5" t="s">
        <v>224</v>
      </c>
      <c r="C712" s="5" t="s">
        <v>58</v>
      </c>
      <c r="D712" s="5">
        <v>2024</v>
      </c>
      <c r="E712" s="5">
        <v>1</v>
      </c>
      <c r="F712" s="5">
        <v>4295833</v>
      </c>
      <c r="G712" s="5">
        <v>2699355.74</v>
      </c>
      <c r="H712" s="5">
        <v>0.37159999999999999</v>
      </c>
    </row>
    <row r="713" spans="1:8" x14ac:dyDescent="0.3">
      <c r="A713" s="5">
        <v>15</v>
      </c>
      <c r="B713" s="5" t="s">
        <v>224</v>
      </c>
      <c r="C713" s="5" t="s">
        <v>59</v>
      </c>
      <c r="D713" s="5">
        <v>2024</v>
      </c>
      <c r="E713" s="5">
        <v>2</v>
      </c>
      <c r="F713" s="5">
        <v>3371329</v>
      </c>
      <c r="G713" s="5">
        <v>2026996.79</v>
      </c>
      <c r="H713" s="5">
        <v>0.39879999999999999</v>
      </c>
    </row>
    <row r="714" spans="1:8" x14ac:dyDescent="0.3">
      <c r="A714" s="5">
        <v>15</v>
      </c>
      <c r="B714" s="5" t="s">
        <v>224</v>
      </c>
      <c r="C714" s="5" t="s">
        <v>60</v>
      </c>
      <c r="D714" s="5">
        <v>2024</v>
      </c>
      <c r="E714" s="5">
        <v>3</v>
      </c>
      <c r="F714" s="5">
        <v>4311160</v>
      </c>
      <c r="G714" s="5">
        <v>2610029.39</v>
      </c>
      <c r="H714" s="5">
        <v>0.39460000000000001</v>
      </c>
    </row>
    <row r="715" spans="1:8" x14ac:dyDescent="0.3">
      <c r="A715" s="5">
        <v>15</v>
      </c>
      <c r="B715" s="5" t="s">
        <v>224</v>
      </c>
      <c r="C715" s="5" t="s">
        <v>61</v>
      </c>
      <c r="D715" s="5">
        <v>2024</v>
      </c>
      <c r="E715" s="5">
        <v>4</v>
      </c>
      <c r="F715" s="5">
        <v>4373822</v>
      </c>
      <c r="G715" s="5">
        <v>2687198.78</v>
      </c>
      <c r="H715" s="5">
        <v>0.3856</v>
      </c>
    </row>
    <row r="716" spans="1:8" x14ac:dyDescent="0.3">
      <c r="A716" s="5">
        <v>15</v>
      </c>
      <c r="B716" s="5" t="s">
        <v>224</v>
      </c>
      <c r="C716" s="5" t="s">
        <v>62</v>
      </c>
      <c r="D716" s="5">
        <v>2024</v>
      </c>
      <c r="E716" s="5">
        <v>5</v>
      </c>
      <c r="F716" s="5">
        <v>4810173</v>
      </c>
      <c r="G716" s="5">
        <v>2991734.41</v>
      </c>
      <c r="H716" s="5">
        <v>0.378</v>
      </c>
    </row>
    <row r="717" spans="1:8" x14ac:dyDescent="0.3">
      <c r="A717" s="5">
        <v>15</v>
      </c>
      <c r="B717" s="5" t="s">
        <v>224</v>
      </c>
      <c r="C717" s="5" t="s">
        <v>63</v>
      </c>
      <c r="D717" s="5">
        <v>2024</v>
      </c>
      <c r="E717" s="5">
        <v>6</v>
      </c>
      <c r="F717" s="5">
        <v>5378044</v>
      </c>
      <c r="G717" s="5">
        <v>3199398.49</v>
      </c>
      <c r="H717" s="5">
        <v>0.40510000000000002</v>
      </c>
    </row>
    <row r="718" spans="1:8" x14ac:dyDescent="0.3">
      <c r="A718" s="5">
        <v>15</v>
      </c>
      <c r="B718" s="5" t="s">
        <v>224</v>
      </c>
      <c r="C718" s="5" t="s">
        <v>64</v>
      </c>
      <c r="D718" s="5">
        <v>2024</v>
      </c>
      <c r="E718" s="5">
        <v>7</v>
      </c>
      <c r="F718" s="5">
        <v>4958277</v>
      </c>
      <c r="G718" s="5">
        <v>3005626.33</v>
      </c>
      <c r="H718" s="5">
        <v>0.39379999999999998</v>
      </c>
    </row>
    <row r="719" spans="1:8" x14ac:dyDescent="0.3">
      <c r="A719" s="5">
        <v>15</v>
      </c>
      <c r="B719" s="5" t="s">
        <v>224</v>
      </c>
      <c r="C719" s="5" t="s">
        <v>65</v>
      </c>
      <c r="D719" s="5">
        <v>2024</v>
      </c>
      <c r="E719" s="5">
        <v>8</v>
      </c>
      <c r="F719" s="5">
        <v>4671005</v>
      </c>
      <c r="G719" s="5">
        <v>2826884.8</v>
      </c>
      <c r="H719" s="5">
        <v>0.39479999999999998</v>
      </c>
    </row>
    <row r="720" spans="1:8" x14ac:dyDescent="0.3">
      <c r="A720" s="5">
        <v>15</v>
      </c>
      <c r="B720" s="5" t="s">
        <v>224</v>
      </c>
      <c r="C720" s="5" t="s">
        <v>66</v>
      </c>
      <c r="D720" s="5">
        <v>2024</v>
      </c>
      <c r="E720" s="5">
        <v>9</v>
      </c>
      <c r="F720" s="5">
        <v>5647963</v>
      </c>
      <c r="G720" s="5">
        <v>3322203.02</v>
      </c>
      <c r="H720" s="5">
        <v>0.4118</v>
      </c>
    </row>
    <row r="721" spans="1:8" x14ac:dyDescent="0.3">
      <c r="A721" s="5">
        <v>15</v>
      </c>
      <c r="B721" s="5" t="s">
        <v>224</v>
      </c>
      <c r="C721" s="5" t="s">
        <v>67</v>
      </c>
      <c r="D721" s="5">
        <v>2024</v>
      </c>
      <c r="E721" s="5">
        <v>10</v>
      </c>
      <c r="F721" s="5">
        <v>7034116</v>
      </c>
      <c r="G721" s="5">
        <v>4001945.96</v>
      </c>
      <c r="H721" s="5">
        <v>0.43109999999999998</v>
      </c>
    </row>
    <row r="722" spans="1:8" x14ac:dyDescent="0.3">
      <c r="A722" s="5">
        <v>15</v>
      </c>
      <c r="B722" s="5" t="s">
        <v>224</v>
      </c>
      <c r="C722" s="5" t="s">
        <v>68</v>
      </c>
      <c r="D722" s="5">
        <v>2024</v>
      </c>
      <c r="E722" s="5">
        <v>11</v>
      </c>
      <c r="F722" s="5">
        <v>6798406</v>
      </c>
      <c r="G722" s="5">
        <v>4042967.78</v>
      </c>
      <c r="H722" s="5">
        <v>0.40529999999999999</v>
      </c>
    </row>
    <row r="723" spans="1:8" x14ac:dyDescent="0.3">
      <c r="A723" s="5">
        <v>15</v>
      </c>
      <c r="B723" s="5" t="s">
        <v>224</v>
      </c>
      <c r="C723" s="5" t="s">
        <v>69</v>
      </c>
      <c r="D723" s="5">
        <v>2024</v>
      </c>
      <c r="E723" s="5">
        <v>12</v>
      </c>
      <c r="F723" s="5">
        <v>6872287</v>
      </c>
      <c r="G723" s="5">
        <v>3905310.1</v>
      </c>
      <c r="H723" s="5">
        <v>0.43169999999999997</v>
      </c>
    </row>
    <row r="724" spans="1:8" x14ac:dyDescent="0.3">
      <c r="A724" s="5">
        <v>16</v>
      </c>
      <c r="B724" s="5" t="s">
        <v>228</v>
      </c>
      <c r="C724" s="5" t="s">
        <v>22</v>
      </c>
      <c r="D724" s="5">
        <v>2021</v>
      </c>
      <c r="E724" s="5">
        <v>1</v>
      </c>
      <c r="F724" s="5">
        <v>1745253</v>
      </c>
      <c r="G724" s="5">
        <v>1204939.43</v>
      </c>
      <c r="H724" s="5">
        <v>0.30959999999999999</v>
      </c>
    </row>
    <row r="725" spans="1:8" x14ac:dyDescent="0.3">
      <c r="A725" s="5">
        <v>16</v>
      </c>
      <c r="B725" s="5" t="s">
        <v>228</v>
      </c>
      <c r="C725" s="5" t="s">
        <v>23</v>
      </c>
      <c r="D725" s="5">
        <v>2021</v>
      </c>
      <c r="E725" s="5">
        <v>2</v>
      </c>
      <c r="F725" s="5">
        <v>1334801</v>
      </c>
      <c r="G725" s="5">
        <v>877532.95</v>
      </c>
      <c r="H725" s="5">
        <v>0.34260000000000002</v>
      </c>
    </row>
    <row r="726" spans="1:8" x14ac:dyDescent="0.3">
      <c r="A726" s="5">
        <v>16</v>
      </c>
      <c r="B726" s="5" t="s">
        <v>228</v>
      </c>
      <c r="C726" s="5" t="s">
        <v>24</v>
      </c>
      <c r="D726" s="5">
        <v>2021</v>
      </c>
      <c r="E726" s="5">
        <v>3</v>
      </c>
      <c r="F726" s="5">
        <v>1613059</v>
      </c>
      <c r="G726" s="5">
        <v>1052077.75</v>
      </c>
      <c r="H726" s="5">
        <v>0.3478</v>
      </c>
    </row>
    <row r="727" spans="1:8" x14ac:dyDescent="0.3">
      <c r="A727" s="5">
        <v>16</v>
      </c>
      <c r="B727" s="5" t="s">
        <v>228</v>
      </c>
      <c r="C727" s="5" t="s">
        <v>25</v>
      </c>
      <c r="D727" s="5">
        <v>2021</v>
      </c>
      <c r="E727" s="5">
        <v>4</v>
      </c>
      <c r="F727" s="5">
        <v>1598083</v>
      </c>
      <c r="G727" s="5">
        <v>1070042.3700000001</v>
      </c>
      <c r="H727" s="5">
        <v>0.33040000000000003</v>
      </c>
    </row>
    <row r="728" spans="1:8" x14ac:dyDescent="0.3">
      <c r="A728" s="5">
        <v>16</v>
      </c>
      <c r="B728" s="5" t="s">
        <v>228</v>
      </c>
      <c r="C728" s="5" t="s">
        <v>26</v>
      </c>
      <c r="D728" s="5">
        <v>2021</v>
      </c>
      <c r="E728" s="5">
        <v>5</v>
      </c>
      <c r="F728" s="5">
        <v>1758000</v>
      </c>
      <c r="G728" s="5">
        <v>1211448.3600000001</v>
      </c>
      <c r="H728" s="5">
        <v>0.31090000000000001</v>
      </c>
    </row>
    <row r="729" spans="1:8" x14ac:dyDescent="0.3">
      <c r="A729" s="5">
        <v>16</v>
      </c>
      <c r="B729" s="5" t="s">
        <v>228</v>
      </c>
      <c r="C729" s="5" t="s">
        <v>27</v>
      </c>
      <c r="D729" s="5">
        <v>2021</v>
      </c>
      <c r="E729" s="5">
        <v>6</v>
      </c>
      <c r="F729" s="5">
        <v>1699709</v>
      </c>
      <c r="G729" s="5">
        <v>1112841.4099999999</v>
      </c>
      <c r="H729" s="5">
        <v>0.3453</v>
      </c>
    </row>
    <row r="730" spans="1:8" x14ac:dyDescent="0.3">
      <c r="A730" s="5">
        <v>16</v>
      </c>
      <c r="B730" s="5" t="s">
        <v>228</v>
      </c>
      <c r="C730" s="5" t="s">
        <v>28</v>
      </c>
      <c r="D730" s="5">
        <v>2021</v>
      </c>
      <c r="E730" s="5">
        <v>7</v>
      </c>
      <c r="F730" s="5">
        <v>1805659</v>
      </c>
      <c r="G730" s="5">
        <v>1245996.05</v>
      </c>
      <c r="H730" s="5">
        <v>0.30990000000000001</v>
      </c>
    </row>
    <row r="731" spans="1:8" x14ac:dyDescent="0.3">
      <c r="A731" s="5">
        <v>16</v>
      </c>
      <c r="B731" s="5" t="s">
        <v>228</v>
      </c>
      <c r="C731" s="5" t="s">
        <v>29</v>
      </c>
      <c r="D731" s="5">
        <v>2021</v>
      </c>
      <c r="E731" s="5">
        <v>8</v>
      </c>
      <c r="F731" s="5">
        <v>1912052</v>
      </c>
      <c r="G731" s="5">
        <v>1253802.07</v>
      </c>
      <c r="H731" s="5">
        <v>0.34429999999999999</v>
      </c>
    </row>
    <row r="732" spans="1:8" x14ac:dyDescent="0.3">
      <c r="A732" s="5">
        <v>16</v>
      </c>
      <c r="B732" s="5" t="s">
        <v>228</v>
      </c>
      <c r="C732" s="5" t="s">
        <v>30</v>
      </c>
      <c r="D732" s="5">
        <v>2021</v>
      </c>
      <c r="E732" s="5">
        <v>9</v>
      </c>
      <c r="F732" s="5">
        <v>2014996</v>
      </c>
      <c r="G732" s="5">
        <v>1340175.47</v>
      </c>
      <c r="H732" s="5">
        <v>0.33489999999999998</v>
      </c>
    </row>
    <row r="733" spans="1:8" x14ac:dyDescent="0.3">
      <c r="A733" s="5">
        <v>16</v>
      </c>
      <c r="B733" s="5" t="s">
        <v>228</v>
      </c>
      <c r="C733" s="5" t="s">
        <v>31</v>
      </c>
      <c r="D733" s="5">
        <v>2021</v>
      </c>
      <c r="E733" s="5">
        <v>10</v>
      </c>
      <c r="F733" s="5">
        <v>2985254</v>
      </c>
      <c r="G733" s="5">
        <v>1933687.87</v>
      </c>
      <c r="H733" s="5">
        <v>0.3523</v>
      </c>
    </row>
    <row r="734" spans="1:8" x14ac:dyDescent="0.3">
      <c r="A734" s="5">
        <v>16</v>
      </c>
      <c r="B734" s="5" t="s">
        <v>228</v>
      </c>
      <c r="C734" s="5" t="s">
        <v>32</v>
      </c>
      <c r="D734" s="5">
        <v>2021</v>
      </c>
      <c r="E734" s="5">
        <v>11</v>
      </c>
      <c r="F734" s="5">
        <v>2880076</v>
      </c>
      <c r="G734" s="5">
        <v>1816259.49</v>
      </c>
      <c r="H734" s="5">
        <v>0.36940000000000001</v>
      </c>
    </row>
    <row r="735" spans="1:8" x14ac:dyDescent="0.3">
      <c r="A735" s="5">
        <v>16</v>
      </c>
      <c r="B735" s="5" t="s">
        <v>228</v>
      </c>
      <c r="C735" s="5" t="s">
        <v>33</v>
      </c>
      <c r="D735" s="5">
        <v>2021</v>
      </c>
      <c r="E735" s="5">
        <v>12</v>
      </c>
      <c r="F735" s="5">
        <v>2592217</v>
      </c>
      <c r="G735" s="5">
        <v>1684135.16</v>
      </c>
      <c r="H735" s="5">
        <v>0.3503</v>
      </c>
    </row>
    <row r="736" spans="1:8" x14ac:dyDescent="0.3">
      <c r="A736" s="5">
        <v>16</v>
      </c>
      <c r="B736" s="5" t="s">
        <v>228</v>
      </c>
      <c r="C736" s="5" t="s">
        <v>34</v>
      </c>
      <c r="D736" s="5">
        <v>2022</v>
      </c>
      <c r="E736" s="5">
        <v>1</v>
      </c>
      <c r="F736" s="5">
        <v>2459708</v>
      </c>
      <c r="G736" s="5">
        <v>1559822.83</v>
      </c>
      <c r="H736" s="5">
        <v>0.3659</v>
      </c>
    </row>
    <row r="737" spans="1:8" x14ac:dyDescent="0.3">
      <c r="A737" s="5">
        <v>16</v>
      </c>
      <c r="B737" s="5" t="s">
        <v>228</v>
      </c>
      <c r="C737" s="5" t="s">
        <v>35</v>
      </c>
      <c r="D737" s="5">
        <v>2022</v>
      </c>
      <c r="E737" s="5">
        <v>2</v>
      </c>
      <c r="F737" s="5">
        <v>2067778</v>
      </c>
      <c r="G737" s="5">
        <v>1314795.44</v>
      </c>
      <c r="H737" s="5">
        <v>0.36420000000000002</v>
      </c>
    </row>
    <row r="738" spans="1:8" x14ac:dyDescent="0.3">
      <c r="A738" s="5">
        <v>16</v>
      </c>
      <c r="B738" s="5" t="s">
        <v>228</v>
      </c>
      <c r="C738" s="5" t="s">
        <v>36</v>
      </c>
      <c r="D738" s="5">
        <v>2022</v>
      </c>
      <c r="E738" s="5">
        <v>3</v>
      </c>
      <c r="F738" s="5">
        <v>2430027</v>
      </c>
      <c r="G738" s="5">
        <v>1573587.59</v>
      </c>
      <c r="H738" s="5">
        <v>0.35239999999999999</v>
      </c>
    </row>
    <row r="739" spans="1:8" x14ac:dyDescent="0.3">
      <c r="A739" s="5">
        <v>16</v>
      </c>
      <c r="B739" s="5" t="s">
        <v>228</v>
      </c>
      <c r="C739" s="5" t="s">
        <v>37</v>
      </c>
      <c r="D739" s="5">
        <v>2022</v>
      </c>
      <c r="E739" s="5">
        <v>4</v>
      </c>
      <c r="F739" s="5">
        <v>2693492</v>
      </c>
      <c r="G739" s="5">
        <v>1721999.07</v>
      </c>
      <c r="H739" s="5">
        <v>0.36070000000000002</v>
      </c>
    </row>
    <row r="740" spans="1:8" x14ac:dyDescent="0.3">
      <c r="A740" s="5">
        <v>16</v>
      </c>
      <c r="B740" s="5" t="s">
        <v>228</v>
      </c>
      <c r="C740" s="5" t="s">
        <v>38</v>
      </c>
      <c r="D740" s="5">
        <v>2022</v>
      </c>
      <c r="E740" s="5">
        <v>5</v>
      </c>
      <c r="F740" s="5">
        <v>2802333</v>
      </c>
      <c r="G740" s="5">
        <v>1873438.52</v>
      </c>
      <c r="H740" s="5">
        <v>0.33150000000000002</v>
      </c>
    </row>
    <row r="741" spans="1:8" x14ac:dyDescent="0.3">
      <c r="A741" s="5">
        <v>16</v>
      </c>
      <c r="B741" s="5" t="s">
        <v>228</v>
      </c>
      <c r="C741" s="5" t="s">
        <v>39</v>
      </c>
      <c r="D741" s="5">
        <v>2022</v>
      </c>
      <c r="E741" s="5">
        <v>6</v>
      </c>
      <c r="F741" s="5">
        <v>2827938</v>
      </c>
      <c r="G741" s="5">
        <v>1879227.54</v>
      </c>
      <c r="H741" s="5">
        <v>0.33550000000000002</v>
      </c>
    </row>
    <row r="742" spans="1:8" x14ac:dyDescent="0.3">
      <c r="A742" s="5">
        <v>16</v>
      </c>
      <c r="B742" s="5" t="s">
        <v>228</v>
      </c>
      <c r="C742" s="5" t="s">
        <v>40</v>
      </c>
      <c r="D742" s="5">
        <v>2022</v>
      </c>
      <c r="E742" s="5">
        <v>7</v>
      </c>
      <c r="F742" s="5">
        <v>2666714</v>
      </c>
      <c r="G742" s="5">
        <v>1812142.34</v>
      </c>
      <c r="H742" s="5">
        <v>0.32050000000000001</v>
      </c>
    </row>
    <row r="743" spans="1:8" x14ac:dyDescent="0.3">
      <c r="A743" s="5">
        <v>16</v>
      </c>
      <c r="B743" s="5" t="s">
        <v>228</v>
      </c>
      <c r="C743" s="5" t="s">
        <v>41</v>
      </c>
      <c r="D743" s="5">
        <v>2022</v>
      </c>
      <c r="E743" s="5">
        <v>8</v>
      </c>
      <c r="F743" s="5">
        <v>2189963</v>
      </c>
      <c r="G743" s="5">
        <v>1573094.91</v>
      </c>
      <c r="H743" s="5">
        <v>0.28170000000000001</v>
      </c>
    </row>
    <row r="744" spans="1:8" x14ac:dyDescent="0.3">
      <c r="A744" s="5">
        <v>16</v>
      </c>
      <c r="B744" s="5" t="s">
        <v>228</v>
      </c>
      <c r="C744" s="5" t="s">
        <v>42</v>
      </c>
      <c r="D744" s="5">
        <v>2022</v>
      </c>
      <c r="E744" s="5">
        <v>9</v>
      </c>
      <c r="F744" s="5">
        <v>3194342</v>
      </c>
      <c r="G744" s="5">
        <v>2119316.77</v>
      </c>
      <c r="H744" s="5">
        <v>0.33650000000000002</v>
      </c>
    </row>
    <row r="745" spans="1:8" x14ac:dyDescent="0.3">
      <c r="A745" s="5">
        <v>16</v>
      </c>
      <c r="B745" s="5" t="s">
        <v>228</v>
      </c>
      <c r="C745" s="5" t="s">
        <v>43</v>
      </c>
      <c r="D745" s="5">
        <v>2022</v>
      </c>
      <c r="E745" s="5">
        <v>10</v>
      </c>
      <c r="F745" s="5">
        <v>3192501</v>
      </c>
      <c r="G745" s="5">
        <v>2217859.59</v>
      </c>
      <c r="H745" s="5">
        <v>0.30530000000000002</v>
      </c>
    </row>
    <row r="746" spans="1:8" x14ac:dyDescent="0.3">
      <c r="A746" s="5">
        <v>16</v>
      </c>
      <c r="B746" s="5" t="s">
        <v>228</v>
      </c>
      <c r="C746" s="5" t="s">
        <v>44</v>
      </c>
      <c r="D746" s="5">
        <v>2022</v>
      </c>
      <c r="E746" s="5">
        <v>11</v>
      </c>
      <c r="F746" s="5">
        <v>3803642</v>
      </c>
      <c r="G746" s="5">
        <v>2514047.9300000002</v>
      </c>
      <c r="H746" s="5">
        <v>0.33900000000000002</v>
      </c>
    </row>
    <row r="747" spans="1:8" x14ac:dyDescent="0.3">
      <c r="A747" s="5">
        <v>16</v>
      </c>
      <c r="B747" s="5" t="s">
        <v>228</v>
      </c>
      <c r="C747" s="5" t="s">
        <v>45</v>
      </c>
      <c r="D747" s="5">
        <v>2022</v>
      </c>
      <c r="E747" s="5">
        <v>12</v>
      </c>
      <c r="F747" s="5">
        <v>3776822</v>
      </c>
      <c r="G747" s="5">
        <v>2407392.2799999998</v>
      </c>
      <c r="H747" s="5">
        <v>0.36259999999999998</v>
      </c>
    </row>
    <row r="748" spans="1:8" x14ac:dyDescent="0.3">
      <c r="A748" s="5">
        <v>16</v>
      </c>
      <c r="B748" s="5" t="s">
        <v>228</v>
      </c>
      <c r="C748" s="5" t="s">
        <v>46</v>
      </c>
      <c r="D748" s="5">
        <v>2023</v>
      </c>
      <c r="E748" s="5">
        <v>1</v>
      </c>
      <c r="F748" s="5">
        <v>2961632</v>
      </c>
      <c r="G748" s="5">
        <v>1970133.02</v>
      </c>
      <c r="H748" s="5">
        <v>0.33479999999999999</v>
      </c>
    </row>
    <row r="749" spans="1:8" x14ac:dyDescent="0.3">
      <c r="A749" s="5">
        <v>16</v>
      </c>
      <c r="B749" s="5" t="s">
        <v>228</v>
      </c>
      <c r="C749" s="5" t="s">
        <v>47</v>
      </c>
      <c r="D749" s="5">
        <v>2023</v>
      </c>
      <c r="E749" s="5">
        <v>2</v>
      </c>
      <c r="F749" s="5">
        <v>2660135</v>
      </c>
      <c r="G749" s="5">
        <v>1723266.86</v>
      </c>
      <c r="H749" s="5">
        <v>0.35220000000000001</v>
      </c>
    </row>
    <row r="750" spans="1:8" x14ac:dyDescent="0.3">
      <c r="A750" s="5">
        <v>16</v>
      </c>
      <c r="B750" s="5" t="s">
        <v>228</v>
      </c>
      <c r="C750" s="5" t="s">
        <v>48</v>
      </c>
      <c r="D750" s="5">
        <v>2023</v>
      </c>
      <c r="E750" s="5">
        <v>3</v>
      </c>
      <c r="F750" s="5">
        <v>3047422</v>
      </c>
      <c r="G750" s="5">
        <v>2020370.72</v>
      </c>
      <c r="H750" s="5">
        <v>0.33700000000000002</v>
      </c>
    </row>
    <row r="751" spans="1:8" x14ac:dyDescent="0.3">
      <c r="A751" s="5">
        <v>16</v>
      </c>
      <c r="B751" s="5" t="s">
        <v>228</v>
      </c>
      <c r="C751" s="5" t="s">
        <v>49</v>
      </c>
      <c r="D751" s="5">
        <v>2023</v>
      </c>
      <c r="E751" s="5">
        <v>4</v>
      </c>
      <c r="F751" s="5">
        <v>3558044</v>
      </c>
      <c r="G751" s="5">
        <v>2370249.62</v>
      </c>
      <c r="H751" s="5">
        <v>0.33379999999999999</v>
      </c>
    </row>
    <row r="752" spans="1:8" x14ac:dyDescent="0.3">
      <c r="A752" s="5">
        <v>16</v>
      </c>
      <c r="B752" s="5" t="s">
        <v>228</v>
      </c>
      <c r="C752" s="5" t="s">
        <v>50</v>
      </c>
      <c r="D752" s="5">
        <v>2023</v>
      </c>
      <c r="E752" s="5">
        <v>5</v>
      </c>
      <c r="F752" s="5">
        <v>3682859</v>
      </c>
      <c r="G752" s="5">
        <v>2428635.31</v>
      </c>
      <c r="H752" s="5">
        <v>0.34060000000000001</v>
      </c>
    </row>
    <row r="753" spans="1:8" x14ac:dyDescent="0.3">
      <c r="A753" s="5">
        <v>16</v>
      </c>
      <c r="B753" s="5" t="s">
        <v>228</v>
      </c>
      <c r="C753" s="5" t="s">
        <v>51</v>
      </c>
      <c r="D753" s="5">
        <v>2023</v>
      </c>
      <c r="E753" s="5">
        <v>6</v>
      </c>
      <c r="F753" s="5">
        <v>3689244</v>
      </c>
      <c r="G753" s="5">
        <v>2390273.5099999998</v>
      </c>
      <c r="H753" s="5">
        <v>0.35210000000000002</v>
      </c>
    </row>
    <row r="754" spans="1:8" x14ac:dyDescent="0.3">
      <c r="A754" s="5">
        <v>16</v>
      </c>
      <c r="B754" s="5" t="s">
        <v>228</v>
      </c>
      <c r="C754" s="5" t="s">
        <v>52</v>
      </c>
      <c r="D754" s="5">
        <v>2023</v>
      </c>
      <c r="E754" s="5">
        <v>7</v>
      </c>
      <c r="F754" s="5">
        <v>3283661</v>
      </c>
      <c r="G754" s="5">
        <v>2209107.34</v>
      </c>
      <c r="H754" s="5">
        <v>0.32719999999999999</v>
      </c>
    </row>
    <row r="755" spans="1:8" x14ac:dyDescent="0.3">
      <c r="A755" s="5">
        <v>16</v>
      </c>
      <c r="B755" s="5" t="s">
        <v>228</v>
      </c>
      <c r="C755" s="5" t="s">
        <v>53</v>
      </c>
      <c r="D755" s="5">
        <v>2023</v>
      </c>
      <c r="E755" s="5">
        <v>8</v>
      </c>
      <c r="F755" s="5">
        <v>3160225</v>
      </c>
      <c r="G755" s="5">
        <v>2132023.7400000002</v>
      </c>
      <c r="H755" s="5">
        <v>0.32540000000000002</v>
      </c>
    </row>
    <row r="756" spans="1:8" x14ac:dyDescent="0.3">
      <c r="A756" s="5">
        <v>16</v>
      </c>
      <c r="B756" s="5" t="s">
        <v>228</v>
      </c>
      <c r="C756" s="5" t="s">
        <v>54</v>
      </c>
      <c r="D756" s="5">
        <v>2023</v>
      </c>
      <c r="E756" s="5">
        <v>9</v>
      </c>
      <c r="F756" s="5">
        <v>3359646</v>
      </c>
      <c r="G756" s="5">
        <v>2321730.9500000002</v>
      </c>
      <c r="H756" s="5">
        <v>0.30890000000000001</v>
      </c>
    </row>
    <row r="757" spans="1:8" x14ac:dyDescent="0.3">
      <c r="A757" s="5">
        <v>16</v>
      </c>
      <c r="B757" s="5" t="s">
        <v>228</v>
      </c>
      <c r="C757" s="5" t="s">
        <v>55</v>
      </c>
      <c r="D757" s="5">
        <v>2023</v>
      </c>
      <c r="E757" s="5">
        <v>10</v>
      </c>
      <c r="F757" s="5">
        <v>4677460</v>
      </c>
      <c r="G757" s="5">
        <v>3080572.34</v>
      </c>
      <c r="H757" s="5">
        <v>0.34139999999999998</v>
      </c>
    </row>
    <row r="758" spans="1:8" x14ac:dyDescent="0.3">
      <c r="A758" s="5">
        <v>16</v>
      </c>
      <c r="B758" s="5" t="s">
        <v>228</v>
      </c>
      <c r="C758" s="5" t="s">
        <v>56</v>
      </c>
      <c r="D758" s="5">
        <v>2023</v>
      </c>
      <c r="E758" s="5">
        <v>11</v>
      </c>
      <c r="F758" s="5">
        <v>4261317</v>
      </c>
      <c r="G758" s="5">
        <v>2932887.34</v>
      </c>
      <c r="H758" s="5">
        <v>0.31169999999999998</v>
      </c>
    </row>
    <row r="759" spans="1:8" x14ac:dyDescent="0.3">
      <c r="A759" s="5">
        <v>16</v>
      </c>
      <c r="B759" s="5" t="s">
        <v>228</v>
      </c>
      <c r="C759" s="5" t="s">
        <v>57</v>
      </c>
      <c r="D759" s="5">
        <v>2023</v>
      </c>
      <c r="E759" s="5">
        <v>12</v>
      </c>
      <c r="F759" s="5">
        <v>4978505</v>
      </c>
      <c r="G759" s="5">
        <v>3399785.16</v>
      </c>
      <c r="H759" s="5">
        <v>0.31709999999999999</v>
      </c>
    </row>
    <row r="760" spans="1:8" x14ac:dyDescent="0.3">
      <c r="A760" s="5">
        <v>16</v>
      </c>
      <c r="B760" s="5" t="s">
        <v>228</v>
      </c>
      <c r="C760" s="5" t="s">
        <v>58</v>
      </c>
      <c r="D760" s="5">
        <v>2024</v>
      </c>
      <c r="E760" s="5">
        <v>1</v>
      </c>
      <c r="F760" s="5">
        <v>3525225</v>
      </c>
      <c r="G760" s="5">
        <v>2383023.44</v>
      </c>
      <c r="H760" s="5">
        <v>0.32400000000000001</v>
      </c>
    </row>
    <row r="761" spans="1:8" x14ac:dyDescent="0.3">
      <c r="A761" s="5">
        <v>16</v>
      </c>
      <c r="B761" s="5" t="s">
        <v>228</v>
      </c>
      <c r="C761" s="5" t="s">
        <v>59</v>
      </c>
      <c r="D761" s="5">
        <v>2024</v>
      </c>
      <c r="E761" s="5">
        <v>2</v>
      </c>
      <c r="F761" s="5">
        <v>2955639</v>
      </c>
      <c r="G761" s="5">
        <v>1926466.31</v>
      </c>
      <c r="H761" s="5">
        <v>0.34820000000000001</v>
      </c>
    </row>
    <row r="762" spans="1:8" x14ac:dyDescent="0.3">
      <c r="A762" s="5">
        <v>16</v>
      </c>
      <c r="B762" s="5" t="s">
        <v>228</v>
      </c>
      <c r="C762" s="5" t="s">
        <v>60</v>
      </c>
      <c r="D762" s="5">
        <v>2024</v>
      </c>
      <c r="E762" s="5">
        <v>3</v>
      </c>
      <c r="F762" s="5">
        <v>3244484</v>
      </c>
      <c r="G762" s="5">
        <v>2193145.59</v>
      </c>
      <c r="H762" s="5">
        <v>0.32400000000000001</v>
      </c>
    </row>
    <row r="763" spans="1:8" x14ac:dyDescent="0.3">
      <c r="A763" s="5">
        <v>16</v>
      </c>
      <c r="B763" s="5" t="s">
        <v>228</v>
      </c>
      <c r="C763" s="5" t="s">
        <v>61</v>
      </c>
      <c r="D763" s="5">
        <v>2024</v>
      </c>
      <c r="E763" s="5">
        <v>4</v>
      </c>
      <c r="F763" s="5">
        <v>3277362</v>
      </c>
      <c r="G763" s="5">
        <v>2170786.34</v>
      </c>
      <c r="H763" s="5">
        <v>0.33760000000000001</v>
      </c>
    </row>
    <row r="764" spans="1:8" x14ac:dyDescent="0.3">
      <c r="A764" s="5">
        <v>16</v>
      </c>
      <c r="B764" s="5" t="s">
        <v>228</v>
      </c>
      <c r="C764" s="5" t="s">
        <v>62</v>
      </c>
      <c r="D764" s="5">
        <v>2024</v>
      </c>
      <c r="E764" s="5">
        <v>5</v>
      </c>
      <c r="F764" s="5">
        <v>4039810</v>
      </c>
      <c r="G764" s="5">
        <v>2726002.67</v>
      </c>
      <c r="H764" s="5">
        <v>0.32519999999999999</v>
      </c>
    </row>
    <row r="765" spans="1:8" x14ac:dyDescent="0.3">
      <c r="A765" s="5">
        <v>16</v>
      </c>
      <c r="B765" s="5" t="s">
        <v>228</v>
      </c>
      <c r="C765" s="5" t="s">
        <v>63</v>
      </c>
      <c r="D765" s="5">
        <v>2024</v>
      </c>
      <c r="E765" s="5">
        <v>6</v>
      </c>
      <c r="F765" s="5">
        <v>4038231</v>
      </c>
      <c r="G765" s="5">
        <v>2558383.59</v>
      </c>
      <c r="H765" s="5">
        <v>0.36649999999999999</v>
      </c>
    </row>
    <row r="766" spans="1:8" x14ac:dyDescent="0.3">
      <c r="A766" s="5">
        <v>16</v>
      </c>
      <c r="B766" s="5" t="s">
        <v>228</v>
      </c>
      <c r="C766" s="5" t="s">
        <v>64</v>
      </c>
      <c r="D766" s="5">
        <v>2024</v>
      </c>
      <c r="E766" s="5">
        <v>7</v>
      </c>
      <c r="F766" s="5">
        <v>3770551</v>
      </c>
      <c r="G766" s="5">
        <v>2466867.67</v>
      </c>
      <c r="H766" s="5">
        <v>0.3458</v>
      </c>
    </row>
    <row r="767" spans="1:8" x14ac:dyDescent="0.3">
      <c r="A767" s="5">
        <v>16</v>
      </c>
      <c r="B767" s="5" t="s">
        <v>228</v>
      </c>
      <c r="C767" s="5" t="s">
        <v>65</v>
      </c>
      <c r="D767" s="5">
        <v>2024</v>
      </c>
      <c r="E767" s="5">
        <v>8</v>
      </c>
      <c r="F767" s="5">
        <v>3385291</v>
      </c>
      <c r="G767" s="5">
        <v>2217732.66</v>
      </c>
      <c r="H767" s="5">
        <v>0.34489999999999998</v>
      </c>
    </row>
    <row r="768" spans="1:8" x14ac:dyDescent="0.3">
      <c r="A768" s="5">
        <v>16</v>
      </c>
      <c r="B768" s="5" t="s">
        <v>228</v>
      </c>
      <c r="C768" s="5" t="s">
        <v>66</v>
      </c>
      <c r="D768" s="5">
        <v>2024</v>
      </c>
      <c r="E768" s="5">
        <v>9</v>
      </c>
      <c r="F768" s="5">
        <v>4263622</v>
      </c>
      <c r="G768" s="5">
        <v>2683652.94</v>
      </c>
      <c r="H768" s="5">
        <v>0.37059999999999998</v>
      </c>
    </row>
    <row r="769" spans="1:8" x14ac:dyDescent="0.3">
      <c r="A769" s="5">
        <v>16</v>
      </c>
      <c r="B769" s="5" t="s">
        <v>228</v>
      </c>
      <c r="C769" s="5" t="s">
        <v>67</v>
      </c>
      <c r="D769" s="5">
        <v>2024</v>
      </c>
      <c r="E769" s="5">
        <v>10</v>
      </c>
      <c r="F769" s="5">
        <v>5887103</v>
      </c>
      <c r="G769" s="5">
        <v>3592261.44</v>
      </c>
      <c r="H769" s="5">
        <v>0.38979999999999998</v>
      </c>
    </row>
    <row r="770" spans="1:8" x14ac:dyDescent="0.3">
      <c r="A770" s="5">
        <v>16</v>
      </c>
      <c r="B770" s="5" t="s">
        <v>228</v>
      </c>
      <c r="C770" s="5" t="s">
        <v>68</v>
      </c>
      <c r="D770" s="5">
        <v>2024</v>
      </c>
      <c r="E770" s="5">
        <v>11</v>
      </c>
      <c r="F770" s="5">
        <v>5507877</v>
      </c>
      <c r="G770" s="5">
        <v>3508500.35</v>
      </c>
      <c r="H770" s="5">
        <v>0.36299999999999999</v>
      </c>
    </row>
    <row r="771" spans="1:8" x14ac:dyDescent="0.3">
      <c r="A771" s="5">
        <v>16</v>
      </c>
      <c r="B771" s="5" t="s">
        <v>228</v>
      </c>
      <c r="C771" s="5" t="s">
        <v>69</v>
      </c>
      <c r="D771" s="5">
        <v>2024</v>
      </c>
      <c r="E771" s="5">
        <v>12</v>
      </c>
      <c r="F771" s="5">
        <v>5313243</v>
      </c>
      <c r="G771" s="5">
        <v>3258989.15</v>
      </c>
      <c r="H771" s="5">
        <v>0.3866</v>
      </c>
    </row>
    <row r="772" spans="1:8" x14ac:dyDescent="0.3">
      <c r="A772" s="5">
        <v>17</v>
      </c>
      <c r="B772" s="5" t="s">
        <v>232</v>
      </c>
      <c r="C772" s="5" t="s">
        <v>22</v>
      </c>
      <c r="D772" s="5">
        <v>2021</v>
      </c>
      <c r="E772" s="5">
        <v>1</v>
      </c>
      <c r="F772" s="5">
        <v>489773</v>
      </c>
      <c r="G772" s="5">
        <v>466572.15</v>
      </c>
      <c r="H772" s="5">
        <v>4.7399999999999998E-2</v>
      </c>
    </row>
    <row r="773" spans="1:8" x14ac:dyDescent="0.3">
      <c r="A773" s="5">
        <v>17</v>
      </c>
      <c r="B773" s="5" t="s">
        <v>232</v>
      </c>
      <c r="C773" s="5" t="s">
        <v>23</v>
      </c>
      <c r="D773" s="5">
        <v>2021</v>
      </c>
      <c r="E773" s="5">
        <v>2</v>
      </c>
      <c r="F773" s="5">
        <v>425628</v>
      </c>
      <c r="G773" s="5">
        <v>388118.87</v>
      </c>
      <c r="H773" s="5">
        <v>8.8099999999999998E-2</v>
      </c>
    </row>
    <row r="774" spans="1:8" x14ac:dyDescent="0.3">
      <c r="A774" s="5">
        <v>17</v>
      </c>
      <c r="B774" s="5" t="s">
        <v>232</v>
      </c>
      <c r="C774" s="5" t="s">
        <v>24</v>
      </c>
      <c r="D774" s="5">
        <v>2021</v>
      </c>
      <c r="E774" s="5">
        <v>3</v>
      </c>
      <c r="F774" s="5">
        <v>574245</v>
      </c>
      <c r="G774" s="5">
        <v>516079.57</v>
      </c>
      <c r="H774" s="5">
        <v>0.1013</v>
      </c>
    </row>
    <row r="775" spans="1:8" x14ac:dyDescent="0.3">
      <c r="A775" s="5">
        <v>17</v>
      </c>
      <c r="B775" s="5" t="s">
        <v>232</v>
      </c>
      <c r="C775" s="5" t="s">
        <v>25</v>
      </c>
      <c r="D775" s="5">
        <v>2021</v>
      </c>
      <c r="E775" s="5">
        <v>4</v>
      </c>
      <c r="F775" s="5">
        <v>474585</v>
      </c>
      <c r="G775" s="5">
        <v>443974.55</v>
      </c>
      <c r="H775" s="5">
        <v>6.4500000000000002E-2</v>
      </c>
    </row>
    <row r="776" spans="1:8" x14ac:dyDescent="0.3">
      <c r="A776" s="5">
        <v>17</v>
      </c>
      <c r="B776" s="5" t="s">
        <v>232</v>
      </c>
      <c r="C776" s="5" t="s">
        <v>26</v>
      </c>
      <c r="D776" s="5">
        <v>2021</v>
      </c>
      <c r="E776" s="5">
        <v>5</v>
      </c>
      <c r="F776" s="5">
        <v>601154</v>
      </c>
      <c r="G776" s="5">
        <v>555514.80000000005</v>
      </c>
      <c r="H776" s="5">
        <v>7.5899999999999995E-2</v>
      </c>
    </row>
    <row r="777" spans="1:8" x14ac:dyDescent="0.3">
      <c r="A777" s="5">
        <v>17</v>
      </c>
      <c r="B777" s="5" t="s">
        <v>232</v>
      </c>
      <c r="C777" s="5" t="s">
        <v>27</v>
      </c>
      <c r="D777" s="5">
        <v>2021</v>
      </c>
      <c r="E777" s="5">
        <v>6</v>
      </c>
      <c r="F777" s="5">
        <v>507068</v>
      </c>
      <c r="G777" s="5">
        <v>468057.56</v>
      </c>
      <c r="H777" s="5">
        <v>7.6899999999999996E-2</v>
      </c>
    </row>
    <row r="778" spans="1:8" x14ac:dyDescent="0.3">
      <c r="A778" s="5">
        <v>17</v>
      </c>
      <c r="B778" s="5" t="s">
        <v>232</v>
      </c>
      <c r="C778" s="5" t="s">
        <v>28</v>
      </c>
      <c r="D778" s="5">
        <v>2021</v>
      </c>
      <c r="E778" s="5">
        <v>7</v>
      </c>
      <c r="F778" s="5">
        <v>528027</v>
      </c>
      <c r="G778" s="5">
        <v>498545.73</v>
      </c>
      <c r="H778" s="5">
        <v>5.5800000000000002E-2</v>
      </c>
    </row>
    <row r="779" spans="1:8" x14ac:dyDescent="0.3">
      <c r="A779" s="5">
        <v>17</v>
      </c>
      <c r="B779" s="5" t="s">
        <v>232</v>
      </c>
      <c r="C779" s="5" t="s">
        <v>29</v>
      </c>
      <c r="D779" s="5">
        <v>2021</v>
      </c>
      <c r="E779" s="5">
        <v>8</v>
      </c>
      <c r="F779" s="5">
        <v>589987</v>
      </c>
      <c r="G779" s="5">
        <v>522887.57</v>
      </c>
      <c r="H779" s="5">
        <v>0.1137</v>
      </c>
    </row>
    <row r="780" spans="1:8" x14ac:dyDescent="0.3">
      <c r="A780" s="5">
        <v>17</v>
      </c>
      <c r="B780" s="5" t="s">
        <v>232</v>
      </c>
      <c r="C780" s="5" t="s">
        <v>30</v>
      </c>
      <c r="D780" s="5">
        <v>2021</v>
      </c>
      <c r="E780" s="5">
        <v>9</v>
      </c>
      <c r="F780" s="5">
        <v>566126</v>
      </c>
      <c r="G780" s="5">
        <v>522772.68</v>
      </c>
      <c r="H780" s="5">
        <v>7.6600000000000001E-2</v>
      </c>
    </row>
    <row r="781" spans="1:8" x14ac:dyDescent="0.3">
      <c r="A781" s="5">
        <v>17</v>
      </c>
      <c r="B781" s="5" t="s">
        <v>232</v>
      </c>
      <c r="C781" s="5" t="s">
        <v>31</v>
      </c>
      <c r="D781" s="5">
        <v>2021</v>
      </c>
      <c r="E781" s="5">
        <v>10</v>
      </c>
      <c r="F781" s="5">
        <v>835248</v>
      </c>
      <c r="G781" s="5">
        <v>747900.31</v>
      </c>
      <c r="H781" s="5">
        <v>0.1046</v>
      </c>
    </row>
    <row r="782" spans="1:8" x14ac:dyDescent="0.3">
      <c r="A782" s="5">
        <v>17</v>
      </c>
      <c r="B782" s="5" t="s">
        <v>232</v>
      </c>
      <c r="C782" s="5" t="s">
        <v>32</v>
      </c>
      <c r="D782" s="5">
        <v>2021</v>
      </c>
      <c r="E782" s="5">
        <v>11</v>
      </c>
      <c r="F782" s="5">
        <v>927247</v>
      </c>
      <c r="G782" s="5">
        <v>816673.94</v>
      </c>
      <c r="H782" s="5">
        <v>0.1192</v>
      </c>
    </row>
    <row r="783" spans="1:8" x14ac:dyDescent="0.3">
      <c r="A783" s="5">
        <v>17</v>
      </c>
      <c r="B783" s="5" t="s">
        <v>232</v>
      </c>
      <c r="C783" s="5" t="s">
        <v>33</v>
      </c>
      <c r="D783" s="5">
        <v>2021</v>
      </c>
      <c r="E783" s="5">
        <v>12</v>
      </c>
      <c r="F783" s="5">
        <v>780137</v>
      </c>
      <c r="G783" s="5">
        <v>690232.14</v>
      </c>
      <c r="H783" s="5">
        <v>0.1152</v>
      </c>
    </row>
    <row r="784" spans="1:8" x14ac:dyDescent="0.3">
      <c r="A784" s="5">
        <v>17</v>
      </c>
      <c r="B784" s="5" t="s">
        <v>232</v>
      </c>
      <c r="C784" s="5" t="s">
        <v>34</v>
      </c>
      <c r="D784" s="5">
        <v>2022</v>
      </c>
      <c r="E784" s="5">
        <v>1</v>
      </c>
      <c r="F784" s="5">
        <v>639749</v>
      </c>
      <c r="G784" s="5">
        <v>569049.06999999995</v>
      </c>
      <c r="H784" s="5">
        <v>0.1105</v>
      </c>
    </row>
    <row r="785" spans="1:8" x14ac:dyDescent="0.3">
      <c r="A785" s="5">
        <v>17</v>
      </c>
      <c r="B785" s="5" t="s">
        <v>232</v>
      </c>
      <c r="C785" s="5" t="s">
        <v>35</v>
      </c>
      <c r="D785" s="5">
        <v>2022</v>
      </c>
      <c r="E785" s="5">
        <v>2</v>
      </c>
      <c r="F785" s="5">
        <v>570143</v>
      </c>
      <c r="G785" s="5">
        <v>504124.01</v>
      </c>
      <c r="H785" s="5">
        <v>0.1158</v>
      </c>
    </row>
    <row r="786" spans="1:8" x14ac:dyDescent="0.3">
      <c r="A786" s="5">
        <v>17</v>
      </c>
      <c r="B786" s="5" t="s">
        <v>232</v>
      </c>
      <c r="C786" s="5" t="s">
        <v>36</v>
      </c>
      <c r="D786" s="5">
        <v>2022</v>
      </c>
      <c r="E786" s="5">
        <v>3</v>
      </c>
      <c r="F786" s="5">
        <v>664100</v>
      </c>
      <c r="G786" s="5">
        <v>613026.6</v>
      </c>
      <c r="H786" s="5">
        <v>7.6899999999999996E-2</v>
      </c>
    </row>
    <row r="787" spans="1:8" x14ac:dyDescent="0.3">
      <c r="A787" s="5">
        <v>17</v>
      </c>
      <c r="B787" s="5" t="s">
        <v>232</v>
      </c>
      <c r="C787" s="5" t="s">
        <v>37</v>
      </c>
      <c r="D787" s="5">
        <v>2022</v>
      </c>
      <c r="E787" s="5">
        <v>4</v>
      </c>
      <c r="F787" s="5">
        <v>720840</v>
      </c>
      <c r="G787" s="5">
        <v>665940.54</v>
      </c>
      <c r="H787" s="5">
        <v>7.6200000000000004E-2</v>
      </c>
    </row>
    <row r="788" spans="1:8" x14ac:dyDescent="0.3">
      <c r="A788" s="5">
        <v>17</v>
      </c>
      <c r="B788" s="5" t="s">
        <v>232</v>
      </c>
      <c r="C788" s="5" t="s">
        <v>38</v>
      </c>
      <c r="D788" s="5">
        <v>2022</v>
      </c>
      <c r="E788" s="5">
        <v>5</v>
      </c>
      <c r="F788" s="5">
        <v>855193</v>
      </c>
      <c r="G788" s="5">
        <v>782103.36</v>
      </c>
      <c r="H788" s="5">
        <v>8.5500000000000007E-2</v>
      </c>
    </row>
    <row r="789" spans="1:8" x14ac:dyDescent="0.3">
      <c r="A789" s="5">
        <v>17</v>
      </c>
      <c r="B789" s="5" t="s">
        <v>232</v>
      </c>
      <c r="C789" s="5" t="s">
        <v>39</v>
      </c>
      <c r="D789" s="5">
        <v>2022</v>
      </c>
      <c r="E789" s="5">
        <v>6</v>
      </c>
      <c r="F789" s="5">
        <v>928156</v>
      </c>
      <c r="G789" s="5">
        <v>846860.92</v>
      </c>
      <c r="H789" s="5">
        <v>8.7599999999999997E-2</v>
      </c>
    </row>
    <row r="790" spans="1:8" x14ac:dyDescent="0.3">
      <c r="A790" s="5">
        <v>17</v>
      </c>
      <c r="B790" s="5" t="s">
        <v>232</v>
      </c>
      <c r="C790" s="5" t="s">
        <v>40</v>
      </c>
      <c r="D790" s="5">
        <v>2022</v>
      </c>
      <c r="E790" s="5">
        <v>7</v>
      </c>
      <c r="F790" s="5">
        <v>785030</v>
      </c>
      <c r="G790" s="5">
        <v>729141.23</v>
      </c>
      <c r="H790" s="5">
        <v>7.1199999999999999E-2</v>
      </c>
    </row>
    <row r="791" spans="1:8" x14ac:dyDescent="0.3">
      <c r="A791" s="5">
        <v>17</v>
      </c>
      <c r="B791" s="5" t="s">
        <v>232</v>
      </c>
      <c r="C791" s="5" t="s">
        <v>41</v>
      </c>
      <c r="D791" s="5">
        <v>2022</v>
      </c>
      <c r="E791" s="5">
        <v>8</v>
      </c>
      <c r="F791" s="5">
        <v>701001</v>
      </c>
      <c r="G791" s="5">
        <v>710691.78</v>
      </c>
      <c r="H791" s="5">
        <v>-1.38E-2</v>
      </c>
    </row>
    <row r="792" spans="1:8" x14ac:dyDescent="0.3">
      <c r="A792" s="5">
        <v>17</v>
      </c>
      <c r="B792" s="5" t="s">
        <v>232</v>
      </c>
      <c r="C792" s="5" t="s">
        <v>42</v>
      </c>
      <c r="D792" s="5">
        <v>2022</v>
      </c>
      <c r="E792" s="5">
        <v>9</v>
      </c>
      <c r="F792" s="5">
        <v>793063</v>
      </c>
      <c r="G792" s="5">
        <v>730759.77</v>
      </c>
      <c r="H792" s="5">
        <v>7.8600000000000003E-2</v>
      </c>
    </row>
    <row r="793" spans="1:8" x14ac:dyDescent="0.3">
      <c r="A793" s="5">
        <v>17</v>
      </c>
      <c r="B793" s="5" t="s">
        <v>232</v>
      </c>
      <c r="C793" s="5" t="s">
        <v>43</v>
      </c>
      <c r="D793" s="5">
        <v>2022</v>
      </c>
      <c r="E793" s="5">
        <v>10</v>
      </c>
      <c r="F793" s="5">
        <v>1114057</v>
      </c>
      <c r="G793" s="5">
        <v>1063748.96</v>
      </c>
      <c r="H793" s="5">
        <v>4.5199999999999997E-2</v>
      </c>
    </row>
    <row r="794" spans="1:8" x14ac:dyDescent="0.3">
      <c r="A794" s="5">
        <v>17</v>
      </c>
      <c r="B794" s="5" t="s">
        <v>232</v>
      </c>
      <c r="C794" s="5" t="s">
        <v>44</v>
      </c>
      <c r="D794" s="5">
        <v>2022</v>
      </c>
      <c r="E794" s="5">
        <v>11</v>
      </c>
      <c r="F794" s="5">
        <v>1135081</v>
      </c>
      <c r="G794" s="5">
        <v>1033500.84</v>
      </c>
      <c r="H794" s="5">
        <v>8.9499999999999996E-2</v>
      </c>
    </row>
    <row r="795" spans="1:8" x14ac:dyDescent="0.3">
      <c r="A795" s="5">
        <v>17</v>
      </c>
      <c r="B795" s="5" t="s">
        <v>232</v>
      </c>
      <c r="C795" s="5" t="s">
        <v>45</v>
      </c>
      <c r="D795" s="5">
        <v>2022</v>
      </c>
      <c r="E795" s="5">
        <v>12</v>
      </c>
      <c r="F795" s="5">
        <v>1118899</v>
      </c>
      <c r="G795" s="5">
        <v>987269.54</v>
      </c>
      <c r="H795" s="5">
        <v>0.1176</v>
      </c>
    </row>
    <row r="796" spans="1:8" x14ac:dyDescent="0.3">
      <c r="A796" s="5">
        <v>17</v>
      </c>
      <c r="B796" s="5" t="s">
        <v>232</v>
      </c>
      <c r="C796" s="5" t="s">
        <v>46</v>
      </c>
      <c r="D796" s="5">
        <v>2023</v>
      </c>
      <c r="E796" s="5">
        <v>1</v>
      </c>
      <c r="F796" s="5">
        <v>851656</v>
      </c>
      <c r="G796" s="5">
        <v>796503.04000000004</v>
      </c>
      <c r="H796" s="5">
        <v>6.4799999999999996E-2</v>
      </c>
    </row>
    <row r="797" spans="1:8" x14ac:dyDescent="0.3">
      <c r="A797" s="5">
        <v>17</v>
      </c>
      <c r="B797" s="5" t="s">
        <v>232</v>
      </c>
      <c r="C797" s="5" t="s">
        <v>47</v>
      </c>
      <c r="D797" s="5">
        <v>2023</v>
      </c>
      <c r="E797" s="5">
        <v>2</v>
      </c>
      <c r="F797" s="5">
        <v>730647</v>
      </c>
      <c r="G797" s="5">
        <v>663045.43000000005</v>
      </c>
      <c r="H797" s="5">
        <v>9.2499999999999999E-2</v>
      </c>
    </row>
    <row r="798" spans="1:8" x14ac:dyDescent="0.3">
      <c r="A798" s="5">
        <v>17</v>
      </c>
      <c r="B798" s="5" t="s">
        <v>232</v>
      </c>
      <c r="C798" s="5" t="s">
        <v>48</v>
      </c>
      <c r="D798" s="5">
        <v>2023</v>
      </c>
      <c r="E798" s="5">
        <v>3</v>
      </c>
      <c r="F798" s="5">
        <v>936645</v>
      </c>
      <c r="G798" s="5">
        <v>863478.94</v>
      </c>
      <c r="H798" s="5">
        <v>7.8100000000000003E-2</v>
      </c>
    </row>
    <row r="799" spans="1:8" x14ac:dyDescent="0.3">
      <c r="A799" s="5">
        <v>17</v>
      </c>
      <c r="B799" s="5" t="s">
        <v>232</v>
      </c>
      <c r="C799" s="5" t="s">
        <v>49</v>
      </c>
      <c r="D799" s="5">
        <v>2023</v>
      </c>
      <c r="E799" s="5">
        <v>4</v>
      </c>
      <c r="F799" s="5">
        <v>957357</v>
      </c>
      <c r="G799" s="5">
        <v>890314.85</v>
      </c>
      <c r="H799" s="5">
        <v>7.0000000000000007E-2</v>
      </c>
    </row>
    <row r="800" spans="1:8" x14ac:dyDescent="0.3">
      <c r="A800" s="5">
        <v>17</v>
      </c>
      <c r="B800" s="5" t="s">
        <v>232</v>
      </c>
      <c r="C800" s="5" t="s">
        <v>50</v>
      </c>
      <c r="D800" s="5">
        <v>2023</v>
      </c>
      <c r="E800" s="5">
        <v>5</v>
      </c>
      <c r="F800" s="5">
        <v>1085712</v>
      </c>
      <c r="G800" s="5">
        <v>997750.12</v>
      </c>
      <c r="H800" s="5">
        <v>8.1000000000000003E-2</v>
      </c>
    </row>
    <row r="801" spans="1:8" x14ac:dyDescent="0.3">
      <c r="A801" s="5">
        <v>17</v>
      </c>
      <c r="B801" s="5" t="s">
        <v>232</v>
      </c>
      <c r="C801" s="5" t="s">
        <v>51</v>
      </c>
      <c r="D801" s="5">
        <v>2023</v>
      </c>
      <c r="E801" s="5">
        <v>6</v>
      </c>
      <c r="F801" s="5">
        <v>1053101</v>
      </c>
      <c r="G801" s="5">
        <v>946613.32</v>
      </c>
      <c r="H801" s="5">
        <v>0.1011</v>
      </c>
    </row>
    <row r="802" spans="1:8" x14ac:dyDescent="0.3">
      <c r="A802" s="5">
        <v>17</v>
      </c>
      <c r="B802" s="5" t="s">
        <v>232</v>
      </c>
      <c r="C802" s="5" t="s">
        <v>52</v>
      </c>
      <c r="D802" s="5">
        <v>2023</v>
      </c>
      <c r="E802" s="5">
        <v>7</v>
      </c>
      <c r="F802" s="5">
        <v>940770</v>
      </c>
      <c r="G802" s="5">
        <v>873538.04</v>
      </c>
      <c r="H802" s="5">
        <v>7.1499999999999994E-2</v>
      </c>
    </row>
    <row r="803" spans="1:8" x14ac:dyDescent="0.3">
      <c r="A803" s="5">
        <v>17</v>
      </c>
      <c r="B803" s="5" t="s">
        <v>232</v>
      </c>
      <c r="C803" s="5" t="s">
        <v>53</v>
      </c>
      <c r="D803" s="5">
        <v>2023</v>
      </c>
      <c r="E803" s="5">
        <v>8</v>
      </c>
      <c r="F803" s="5">
        <v>987768</v>
      </c>
      <c r="G803" s="5">
        <v>925685.72</v>
      </c>
      <c r="H803" s="5">
        <v>6.2899999999999998E-2</v>
      </c>
    </row>
    <row r="804" spans="1:8" x14ac:dyDescent="0.3">
      <c r="A804" s="5">
        <v>17</v>
      </c>
      <c r="B804" s="5" t="s">
        <v>232</v>
      </c>
      <c r="C804" s="5" t="s">
        <v>54</v>
      </c>
      <c r="D804" s="5">
        <v>2023</v>
      </c>
      <c r="E804" s="5">
        <v>9</v>
      </c>
      <c r="F804" s="5">
        <v>1065573</v>
      </c>
      <c r="G804" s="5">
        <v>1014790.44</v>
      </c>
      <c r="H804" s="5">
        <v>4.7699999999999999E-2</v>
      </c>
    </row>
    <row r="805" spans="1:8" x14ac:dyDescent="0.3">
      <c r="A805" s="5">
        <v>17</v>
      </c>
      <c r="B805" s="5" t="s">
        <v>232</v>
      </c>
      <c r="C805" s="5" t="s">
        <v>55</v>
      </c>
      <c r="D805" s="5">
        <v>2023</v>
      </c>
      <c r="E805" s="5">
        <v>10</v>
      </c>
      <c r="F805" s="5">
        <v>1411334</v>
      </c>
      <c r="G805" s="5">
        <v>1283481.21</v>
      </c>
      <c r="H805" s="5">
        <v>9.06E-2</v>
      </c>
    </row>
    <row r="806" spans="1:8" x14ac:dyDescent="0.3">
      <c r="A806" s="5">
        <v>17</v>
      </c>
      <c r="B806" s="5" t="s">
        <v>232</v>
      </c>
      <c r="C806" s="5" t="s">
        <v>56</v>
      </c>
      <c r="D806" s="5">
        <v>2023</v>
      </c>
      <c r="E806" s="5">
        <v>11</v>
      </c>
      <c r="F806" s="5">
        <v>1387139</v>
      </c>
      <c r="G806" s="5">
        <v>1310703.47</v>
      </c>
      <c r="H806" s="5">
        <v>5.5100000000000003E-2</v>
      </c>
    </row>
    <row r="807" spans="1:8" x14ac:dyDescent="0.3">
      <c r="A807" s="5">
        <v>17</v>
      </c>
      <c r="B807" s="5" t="s">
        <v>232</v>
      </c>
      <c r="C807" s="5" t="s">
        <v>57</v>
      </c>
      <c r="D807" s="5">
        <v>2023</v>
      </c>
      <c r="E807" s="5">
        <v>12</v>
      </c>
      <c r="F807" s="5">
        <v>1435425</v>
      </c>
      <c r="G807" s="5">
        <v>1377643.82</v>
      </c>
      <c r="H807" s="5">
        <v>4.0300000000000002E-2</v>
      </c>
    </row>
    <row r="808" spans="1:8" x14ac:dyDescent="0.3">
      <c r="A808" s="5">
        <v>17</v>
      </c>
      <c r="B808" s="5" t="s">
        <v>232</v>
      </c>
      <c r="C808" s="5" t="s">
        <v>58</v>
      </c>
      <c r="D808" s="5">
        <v>2024</v>
      </c>
      <c r="E808" s="5">
        <v>1</v>
      </c>
      <c r="F808" s="5">
        <v>1010317</v>
      </c>
      <c r="G808" s="5">
        <v>941246.85</v>
      </c>
      <c r="H808" s="5">
        <v>6.8400000000000002E-2</v>
      </c>
    </row>
    <row r="809" spans="1:8" x14ac:dyDescent="0.3">
      <c r="A809" s="5">
        <v>17</v>
      </c>
      <c r="B809" s="5" t="s">
        <v>232</v>
      </c>
      <c r="C809" s="5" t="s">
        <v>59</v>
      </c>
      <c r="D809" s="5">
        <v>2024</v>
      </c>
      <c r="E809" s="5">
        <v>2</v>
      </c>
      <c r="F809" s="5">
        <v>938595</v>
      </c>
      <c r="G809" s="5">
        <v>858814.49</v>
      </c>
      <c r="H809" s="5">
        <v>8.5000000000000006E-2</v>
      </c>
    </row>
    <row r="810" spans="1:8" x14ac:dyDescent="0.3">
      <c r="A810" s="5">
        <v>17</v>
      </c>
      <c r="B810" s="5" t="s">
        <v>232</v>
      </c>
      <c r="C810" s="5" t="s">
        <v>60</v>
      </c>
      <c r="D810" s="5">
        <v>2024</v>
      </c>
      <c r="E810" s="5">
        <v>3</v>
      </c>
      <c r="F810" s="5">
        <v>1039645</v>
      </c>
      <c r="G810" s="5">
        <v>953040.18</v>
      </c>
      <c r="H810" s="5">
        <v>8.3299999999999999E-2</v>
      </c>
    </row>
    <row r="811" spans="1:8" x14ac:dyDescent="0.3">
      <c r="A811" s="5">
        <v>17</v>
      </c>
      <c r="B811" s="5" t="s">
        <v>232</v>
      </c>
      <c r="C811" s="5" t="s">
        <v>61</v>
      </c>
      <c r="D811" s="5">
        <v>2024</v>
      </c>
      <c r="E811" s="5">
        <v>4</v>
      </c>
      <c r="F811" s="5">
        <v>1038161</v>
      </c>
      <c r="G811" s="5">
        <v>960456.23</v>
      </c>
      <c r="H811" s="5">
        <v>7.4800000000000005E-2</v>
      </c>
    </row>
    <row r="812" spans="1:8" x14ac:dyDescent="0.3">
      <c r="A812" s="5">
        <v>17</v>
      </c>
      <c r="B812" s="5" t="s">
        <v>232</v>
      </c>
      <c r="C812" s="5" t="s">
        <v>62</v>
      </c>
      <c r="D812" s="5">
        <v>2024</v>
      </c>
      <c r="E812" s="5">
        <v>5</v>
      </c>
      <c r="F812" s="5">
        <v>1042791</v>
      </c>
      <c r="G812" s="5">
        <v>960310.33</v>
      </c>
      <c r="H812" s="5">
        <v>7.9100000000000004E-2</v>
      </c>
    </row>
    <row r="813" spans="1:8" x14ac:dyDescent="0.3">
      <c r="A813" s="5">
        <v>17</v>
      </c>
      <c r="B813" s="5" t="s">
        <v>232</v>
      </c>
      <c r="C813" s="5" t="s">
        <v>63</v>
      </c>
      <c r="D813" s="5">
        <v>2024</v>
      </c>
      <c r="E813" s="5">
        <v>6</v>
      </c>
      <c r="F813" s="5">
        <v>1218743</v>
      </c>
      <c r="G813" s="5">
        <v>1080406.3600000001</v>
      </c>
      <c r="H813" s="5">
        <v>0.1135</v>
      </c>
    </row>
    <row r="814" spans="1:8" x14ac:dyDescent="0.3">
      <c r="A814" s="5">
        <v>17</v>
      </c>
      <c r="B814" s="5" t="s">
        <v>232</v>
      </c>
      <c r="C814" s="5" t="s">
        <v>64</v>
      </c>
      <c r="D814" s="5">
        <v>2024</v>
      </c>
      <c r="E814" s="5">
        <v>7</v>
      </c>
      <c r="F814" s="5">
        <v>1145578</v>
      </c>
      <c r="G814" s="5">
        <v>1035106.76</v>
      </c>
      <c r="H814" s="5">
        <v>9.64E-2</v>
      </c>
    </row>
    <row r="815" spans="1:8" x14ac:dyDescent="0.3">
      <c r="A815" s="5">
        <v>17</v>
      </c>
      <c r="B815" s="5" t="s">
        <v>232</v>
      </c>
      <c r="C815" s="5" t="s">
        <v>65</v>
      </c>
      <c r="D815" s="5">
        <v>2024</v>
      </c>
      <c r="E815" s="5">
        <v>8</v>
      </c>
      <c r="F815" s="5">
        <v>1157321</v>
      </c>
      <c r="G815" s="5">
        <v>1044865.76</v>
      </c>
      <c r="H815" s="5">
        <v>9.7199999999999995E-2</v>
      </c>
    </row>
    <row r="816" spans="1:8" x14ac:dyDescent="0.3">
      <c r="A816" s="5">
        <v>17</v>
      </c>
      <c r="B816" s="5" t="s">
        <v>232</v>
      </c>
      <c r="C816" s="5" t="s">
        <v>66</v>
      </c>
      <c r="D816" s="5">
        <v>2024</v>
      </c>
      <c r="E816" s="5">
        <v>9</v>
      </c>
      <c r="F816" s="5">
        <v>1278213</v>
      </c>
      <c r="G816" s="5">
        <v>1117584.31</v>
      </c>
      <c r="H816" s="5">
        <v>0.12570000000000001</v>
      </c>
    </row>
    <row r="817" spans="1:8" x14ac:dyDescent="0.3">
      <c r="A817" s="5">
        <v>17</v>
      </c>
      <c r="B817" s="5" t="s">
        <v>232</v>
      </c>
      <c r="C817" s="5" t="s">
        <v>67</v>
      </c>
      <c r="D817" s="5">
        <v>2024</v>
      </c>
      <c r="E817" s="5">
        <v>10</v>
      </c>
      <c r="F817" s="5">
        <v>1690062</v>
      </c>
      <c r="G817" s="5">
        <v>1439813.52</v>
      </c>
      <c r="H817" s="5">
        <v>0.14810000000000001</v>
      </c>
    </row>
    <row r="818" spans="1:8" x14ac:dyDescent="0.3">
      <c r="A818" s="5">
        <v>17</v>
      </c>
      <c r="B818" s="5" t="s">
        <v>232</v>
      </c>
      <c r="C818" s="5" t="s">
        <v>68</v>
      </c>
      <c r="D818" s="5">
        <v>2024</v>
      </c>
      <c r="E818" s="5">
        <v>11</v>
      </c>
      <c r="F818" s="5">
        <v>1614384</v>
      </c>
      <c r="G818" s="5">
        <v>1433439.97</v>
      </c>
      <c r="H818" s="5">
        <v>0.11210000000000001</v>
      </c>
    </row>
    <row r="819" spans="1:8" x14ac:dyDescent="0.3">
      <c r="A819" s="5">
        <v>17</v>
      </c>
      <c r="B819" s="5" t="s">
        <v>232</v>
      </c>
      <c r="C819" s="5" t="s">
        <v>69</v>
      </c>
      <c r="D819" s="5">
        <v>2024</v>
      </c>
      <c r="E819" s="5">
        <v>12</v>
      </c>
      <c r="F819" s="5">
        <v>1733952</v>
      </c>
      <c r="G819" s="5">
        <v>1472712.2</v>
      </c>
      <c r="H819" s="5">
        <v>0.1507</v>
      </c>
    </row>
    <row r="820" spans="1:8" x14ac:dyDescent="0.3">
      <c r="A820" s="5">
        <v>18</v>
      </c>
      <c r="B820" s="5" t="s">
        <v>230</v>
      </c>
      <c r="C820" s="5" t="s">
        <v>22</v>
      </c>
      <c r="D820" s="5">
        <v>2021</v>
      </c>
      <c r="E820" s="5">
        <v>1</v>
      </c>
      <c r="F820" s="5">
        <v>809789</v>
      </c>
      <c r="G820" s="5">
        <v>614073.43999999994</v>
      </c>
      <c r="H820" s="5">
        <v>0.2417</v>
      </c>
    </row>
    <row r="821" spans="1:8" x14ac:dyDescent="0.3">
      <c r="A821" s="5">
        <v>18</v>
      </c>
      <c r="B821" s="5" t="s">
        <v>230</v>
      </c>
      <c r="C821" s="5" t="s">
        <v>23</v>
      </c>
      <c r="D821" s="5">
        <v>2021</v>
      </c>
      <c r="E821" s="5">
        <v>2</v>
      </c>
      <c r="F821" s="5">
        <v>643872</v>
      </c>
      <c r="G821" s="5">
        <v>476827.61</v>
      </c>
      <c r="H821" s="5">
        <v>0.25940000000000002</v>
      </c>
    </row>
    <row r="822" spans="1:8" x14ac:dyDescent="0.3">
      <c r="A822" s="5">
        <v>18</v>
      </c>
      <c r="B822" s="5" t="s">
        <v>230</v>
      </c>
      <c r="C822" s="5" t="s">
        <v>24</v>
      </c>
      <c r="D822" s="5">
        <v>2021</v>
      </c>
      <c r="E822" s="5">
        <v>3</v>
      </c>
      <c r="F822" s="5">
        <v>985406</v>
      </c>
      <c r="G822" s="5">
        <v>690807.09</v>
      </c>
      <c r="H822" s="5">
        <v>0.29899999999999999</v>
      </c>
    </row>
    <row r="823" spans="1:8" x14ac:dyDescent="0.3">
      <c r="A823" s="5">
        <v>18</v>
      </c>
      <c r="B823" s="5" t="s">
        <v>230</v>
      </c>
      <c r="C823" s="5" t="s">
        <v>25</v>
      </c>
      <c r="D823" s="5">
        <v>2021</v>
      </c>
      <c r="E823" s="5">
        <v>4</v>
      </c>
      <c r="F823" s="5">
        <v>841333</v>
      </c>
      <c r="G823" s="5">
        <v>615085.41</v>
      </c>
      <c r="H823" s="5">
        <v>0.26889999999999997</v>
      </c>
    </row>
    <row r="824" spans="1:8" x14ac:dyDescent="0.3">
      <c r="A824" s="5">
        <v>18</v>
      </c>
      <c r="B824" s="5" t="s">
        <v>230</v>
      </c>
      <c r="C824" s="5" t="s">
        <v>26</v>
      </c>
      <c r="D824" s="5">
        <v>2021</v>
      </c>
      <c r="E824" s="5">
        <v>5</v>
      </c>
      <c r="F824" s="5">
        <v>922025</v>
      </c>
      <c r="G824" s="5">
        <v>689013.53</v>
      </c>
      <c r="H824" s="5">
        <v>0.25269999999999998</v>
      </c>
    </row>
    <row r="825" spans="1:8" x14ac:dyDescent="0.3">
      <c r="A825" s="5">
        <v>18</v>
      </c>
      <c r="B825" s="5" t="s">
        <v>230</v>
      </c>
      <c r="C825" s="5" t="s">
        <v>27</v>
      </c>
      <c r="D825" s="5">
        <v>2021</v>
      </c>
      <c r="E825" s="5">
        <v>6</v>
      </c>
      <c r="F825" s="5">
        <v>924966</v>
      </c>
      <c r="G825" s="5">
        <v>674874.86</v>
      </c>
      <c r="H825" s="5">
        <v>0.27039999999999997</v>
      </c>
    </row>
    <row r="826" spans="1:8" x14ac:dyDescent="0.3">
      <c r="A826" s="5">
        <v>18</v>
      </c>
      <c r="B826" s="5" t="s">
        <v>230</v>
      </c>
      <c r="C826" s="5" t="s">
        <v>28</v>
      </c>
      <c r="D826" s="5">
        <v>2021</v>
      </c>
      <c r="E826" s="5">
        <v>7</v>
      </c>
      <c r="F826" s="5">
        <v>1006380</v>
      </c>
      <c r="G826" s="5">
        <v>744644.83</v>
      </c>
      <c r="H826" s="5">
        <v>0.2601</v>
      </c>
    </row>
    <row r="827" spans="1:8" x14ac:dyDescent="0.3">
      <c r="A827" s="5">
        <v>18</v>
      </c>
      <c r="B827" s="5" t="s">
        <v>230</v>
      </c>
      <c r="C827" s="5" t="s">
        <v>29</v>
      </c>
      <c r="D827" s="5">
        <v>2021</v>
      </c>
      <c r="E827" s="5">
        <v>8</v>
      </c>
      <c r="F827" s="5">
        <v>905091</v>
      </c>
      <c r="G827" s="5">
        <v>640302.81999999995</v>
      </c>
      <c r="H827" s="5">
        <v>0.29260000000000003</v>
      </c>
    </row>
    <row r="828" spans="1:8" x14ac:dyDescent="0.3">
      <c r="A828" s="5">
        <v>18</v>
      </c>
      <c r="B828" s="5" t="s">
        <v>230</v>
      </c>
      <c r="C828" s="5" t="s">
        <v>30</v>
      </c>
      <c r="D828" s="5">
        <v>2021</v>
      </c>
      <c r="E828" s="5">
        <v>9</v>
      </c>
      <c r="F828" s="5">
        <v>967127</v>
      </c>
      <c r="G828" s="5">
        <v>685926.66</v>
      </c>
      <c r="H828" s="5">
        <v>0.2908</v>
      </c>
    </row>
    <row r="829" spans="1:8" x14ac:dyDescent="0.3">
      <c r="A829" s="5">
        <v>18</v>
      </c>
      <c r="B829" s="5" t="s">
        <v>230</v>
      </c>
      <c r="C829" s="5" t="s">
        <v>31</v>
      </c>
      <c r="D829" s="5">
        <v>2021</v>
      </c>
      <c r="E829" s="5">
        <v>10</v>
      </c>
      <c r="F829" s="5">
        <v>1354233</v>
      </c>
      <c r="G829" s="5">
        <v>963112.18</v>
      </c>
      <c r="H829" s="5">
        <v>0.2888</v>
      </c>
    </row>
    <row r="830" spans="1:8" x14ac:dyDescent="0.3">
      <c r="A830" s="5">
        <v>18</v>
      </c>
      <c r="B830" s="5" t="s">
        <v>230</v>
      </c>
      <c r="C830" s="5" t="s">
        <v>32</v>
      </c>
      <c r="D830" s="5">
        <v>2021</v>
      </c>
      <c r="E830" s="5">
        <v>11</v>
      </c>
      <c r="F830" s="5">
        <v>1487979</v>
      </c>
      <c r="G830" s="5">
        <v>1041770.23</v>
      </c>
      <c r="H830" s="5">
        <v>0.2999</v>
      </c>
    </row>
    <row r="831" spans="1:8" x14ac:dyDescent="0.3">
      <c r="A831" s="5">
        <v>18</v>
      </c>
      <c r="B831" s="5" t="s">
        <v>230</v>
      </c>
      <c r="C831" s="5" t="s">
        <v>33</v>
      </c>
      <c r="D831" s="5">
        <v>2021</v>
      </c>
      <c r="E831" s="5">
        <v>12</v>
      </c>
      <c r="F831" s="5">
        <v>1305993</v>
      </c>
      <c r="G831" s="5">
        <v>910227.4</v>
      </c>
      <c r="H831" s="5">
        <v>0.30299999999999999</v>
      </c>
    </row>
    <row r="832" spans="1:8" x14ac:dyDescent="0.3">
      <c r="A832" s="5">
        <v>18</v>
      </c>
      <c r="B832" s="5" t="s">
        <v>230</v>
      </c>
      <c r="C832" s="5" t="s">
        <v>34</v>
      </c>
      <c r="D832" s="5">
        <v>2022</v>
      </c>
      <c r="E832" s="5">
        <v>1</v>
      </c>
      <c r="F832" s="5">
        <v>1085286</v>
      </c>
      <c r="G832" s="5">
        <v>758500.69</v>
      </c>
      <c r="H832" s="5">
        <v>0.30109999999999998</v>
      </c>
    </row>
    <row r="833" spans="1:8" x14ac:dyDescent="0.3">
      <c r="A833" s="5">
        <v>18</v>
      </c>
      <c r="B833" s="5" t="s">
        <v>230</v>
      </c>
      <c r="C833" s="5" t="s">
        <v>35</v>
      </c>
      <c r="D833" s="5">
        <v>2022</v>
      </c>
      <c r="E833" s="5">
        <v>2</v>
      </c>
      <c r="F833" s="5">
        <v>938490</v>
      </c>
      <c r="G833" s="5">
        <v>664021.55000000005</v>
      </c>
      <c r="H833" s="5">
        <v>0.29249999999999998</v>
      </c>
    </row>
    <row r="834" spans="1:8" x14ac:dyDescent="0.3">
      <c r="A834" s="5">
        <v>18</v>
      </c>
      <c r="B834" s="5" t="s">
        <v>230</v>
      </c>
      <c r="C834" s="5" t="s">
        <v>36</v>
      </c>
      <c r="D834" s="5">
        <v>2022</v>
      </c>
      <c r="E834" s="5">
        <v>3</v>
      </c>
      <c r="F834" s="5">
        <v>1147296</v>
      </c>
      <c r="G834" s="5">
        <v>818258.39</v>
      </c>
      <c r="H834" s="5">
        <v>0.2868</v>
      </c>
    </row>
    <row r="835" spans="1:8" x14ac:dyDescent="0.3">
      <c r="A835" s="5">
        <v>18</v>
      </c>
      <c r="B835" s="5" t="s">
        <v>230</v>
      </c>
      <c r="C835" s="5" t="s">
        <v>37</v>
      </c>
      <c r="D835" s="5">
        <v>2022</v>
      </c>
      <c r="E835" s="5">
        <v>4</v>
      </c>
      <c r="F835" s="5">
        <v>1178803</v>
      </c>
      <c r="G835" s="5">
        <v>851757.4</v>
      </c>
      <c r="H835" s="5">
        <v>0.27739999999999998</v>
      </c>
    </row>
    <row r="836" spans="1:8" x14ac:dyDescent="0.3">
      <c r="A836" s="5">
        <v>18</v>
      </c>
      <c r="B836" s="5" t="s">
        <v>230</v>
      </c>
      <c r="C836" s="5" t="s">
        <v>38</v>
      </c>
      <c r="D836" s="5">
        <v>2022</v>
      </c>
      <c r="E836" s="5">
        <v>5</v>
      </c>
      <c r="F836" s="5">
        <v>1470183</v>
      </c>
      <c r="G836" s="5">
        <v>1070548.44</v>
      </c>
      <c r="H836" s="5">
        <v>0.27179999999999999</v>
      </c>
    </row>
    <row r="837" spans="1:8" x14ac:dyDescent="0.3">
      <c r="A837" s="5">
        <v>18</v>
      </c>
      <c r="B837" s="5" t="s">
        <v>230</v>
      </c>
      <c r="C837" s="5" t="s">
        <v>39</v>
      </c>
      <c r="D837" s="5">
        <v>2022</v>
      </c>
      <c r="E837" s="5">
        <v>6</v>
      </c>
      <c r="F837" s="5">
        <v>1330136</v>
      </c>
      <c r="G837" s="5">
        <v>965814.6</v>
      </c>
      <c r="H837" s="5">
        <v>0.27389999999999998</v>
      </c>
    </row>
    <row r="838" spans="1:8" x14ac:dyDescent="0.3">
      <c r="A838" s="5">
        <v>18</v>
      </c>
      <c r="B838" s="5" t="s">
        <v>230</v>
      </c>
      <c r="C838" s="5" t="s">
        <v>40</v>
      </c>
      <c r="D838" s="5">
        <v>2022</v>
      </c>
      <c r="E838" s="5">
        <v>7</v>
      </c>
      <c r="F838" s="5">
        <v>1370045</v>
      </c>
      <c r="G838" s="5">
        <v>1013552.33</v>
      </c>
      <c r="H838" s="5">
        <v>0.26019999999999999</v>
      </c>
    </row>
    <row r="839" spans="1:8" x14ac:dyDescent="0.3">
      <c r="A839" s="5">
        <v>18</v>
      </c>
      <c r="B839" s="5" t="s">
        <v>230</v>
      </c>
      <c r="C839" s="5" t="s">
        <v>41</v>
      </c>
      <c r="D839" s="5">
        <v>2022</v>
      </c>
      <c r="E839" s="5">
        <v>8</v>
      </c>
      <c r="F839" s="5">
        <v>1167633</v>
      </c>
      <c r="G839" s="5">
        <v>939310.12</v>
      </c>
      <c r="H839" s="5">
        <v>0.19550000000000001</v>
      </c>
    </row>
    <row r="840" spans="1:8" x14ac:dyDescent="0.3">
      <c r="A840" s="5">
        <v>18</v>
      </c>
      <c r="B840" s="5" t="s">
        <v>230</v>
      </c>
      <c r="C840" s="5" t="s">
        <v>42</v>
      </c>
      <c r="D840" s="5">
        <v>2022</v>
      </c>
      <c r="E840" s="5">
        <v>9</v>
      </c>
      <c r="F840" s="5">
        <v>1515198</v>
      </c>
      <c r="G840" s="5">
        <v>1124883.1499999999</v>
      </c>
      <c r="H840" s="5">
        <v>0.2576</v>
      </c>
    </row>
    <row r="841" spans="1:8" x14ac:dyDescent="0.3">
      <c r="A841" s="5">
        <v>18</v>
      </c>
      <c r="B841" s="5" t="s">
        <v>230</v>
      </c>
      <c r="C841" s="5" t="s">
        <v>43</v>
      </c>
      <c r="D841" s="5">
        <v>2022</v>
      </c>
      <c r="E841" s="5">
        <v>10</v>
      </c>
      <c r="F841" s="5">
        <v>1741620</v>
      </c>
      <c r="G841" s="5">
        <v>1329665.44</v>
      </c>
      <c r="H841" s="5">
        <v>0.23649999999999999</v>
      </c>
    </row>
    <row r="842" spans="1:8" x14ac:dyDescent="0.3">
      <c r="A842" s="5">
        <v>18</v>
      </c>
      <c r="B842" s="5" t="s">
        <v>230</v>
      </c>
      <c r="C842" s="5" t="s">
        <v>44</v>
      </c>
      <c r="D842" s="5">
        <v>2022</v>
      </c>
      <c r="E842" s="5">
        <v>11</v>
      </c>
      <c r="F842" s="5">
        <v>1760493</v>
      </c>
      <c r="G842" s="5">
        <v>1282381.48</v>
      </c>
      <c r="H842" s="5">
        <v>0.27160000000000001</v>
      </c>
    </row>
    <row r="843" spans="1:8" x14ac:dyDescent="0.3">
      <c r="A843" s="5">
        <v>18</v>
      </c>
      <c r="B843" s="5" t="s">
        <v>230</v>
      </c>
      <c r="C843" s="5" t="s">
        <v>45</v>
      </c>
      <c r="D843" s="5">
        <v>2022</v>
      </c>
      <c r="E843" s="5">
        <v>12</v>
      </c>
      <c r="F843" s="5">
        <v>2130720</v>
      </c>
      <c r="G843" s="5">
        <v>1489752.45</v>
      </c>
      <c r="H843" s="5">
        <v>0.30080000000000001</v>
      </c>
    </row>
    <row r="844" spans="1:8" x14ac:dyDescent="0.3">
      <c r="A844" s="5">
        <v>18</v>
      </c>
      <c r="B844" s="5" t="s">
        <v>230</v>
      </c>
      <c r="C844" s="5" t="s">
        <v>46</v>
      </c>
      <c r="D844" s="5">
        <v>2023</v>
      </c>
      <c r="E844" s="5">
        <v>1</v>
      </c>
      <c r="F844" s="5">
        <v>1422711</v>
      </c>
      <c r="G844" s="5">
        <v>1035770.08</v>
      </c>
      <c r="H844" s="5">
        <v>0.27200000000000002</v>
      </c>
    </row>
    <row r="845" spans="1:8" x14ac:dyDescent="0.3">
      <c r="A845" s="5">
        <v>18</v>
      </c>
      <c r="B845" s="5" t="s">
        <v>230</v>
      </c>
      <c r="C845" s="5" t="s">
        <v>47</v>
      </c>
      <c r="D845" s="5">
        <v>2023</v>
      </c>
      <c r="E845" s="5">
        <v>2</v>
      </c>
      <c r="F845" s="5">
        <v>1211410</v>
      </c>
      <c r="G845" s="5">
        <v>870246.73</v>
      </c>
      <c r="H845" s="5">
        <v>0.28160000000000002</v>
      </c>
    </row>
    <row r="846" spans="1:8" x14ac:dyDescent="0.3">
      <c r="A846" s="5">
        <v>18</v>
      </c>
      <c r="B846" s="5" t="s">
        <v>230</v>
      </c>
      <c r="C846" s="5" t="s">
        <v>48</v>
      </c>
      <c r="D846" s="5">
        <v>2023</v>
      </c>
      <c r="E846" s="5">
        <v>3</v>
      </c>
      <c r="F846" s="5">
        <v>1454127</v>
      </c>
      <c r="G846" s="5">
        <v>1071380.57</v>
      </c>
      <c r="H846" s="5">
        <v>0.26319999999999999</v>
      </c>
    </row>
    <row r="847" spans="1:8" x14ac:dyDescent="0.3">
      <c r="A847" s="5">
        <v>18</v>
      </c>
      <c r="B847" s="5" t="s">
        <v>230</v>
      </c>
      <c r="C847" s="5" t="s">
        <v>49</v>
      </c>
      <c r="D847" s="5">
        <v>2023</v>
      </c>
      <c r="E847" s="5">
        <v>4</v>
      </c>
      <c r="F847" s="5">
        <v>1639305</v>
      </c>
      <c r="G847" s="5">
        <v>1198944.99</v>
      </c>
      <c r="H847" s="5">
        <v>0.26860000000000001</v>
      </c>
    </row>
    <row r="848" spans="1:8" x14ac:dyDescent="0.3">
      <c r="A848" s="5">
        <v>18</v>
      </c>
      <c r="B848" s="5" t="s">
        <v>230</v>
      </c>
      <c r="C848" s="5" t="s">
        <v>50</v>
      </c>
      <c r="D848" s="5">
        <v>2023</v>
      </c>
      <c r="E848" s="5">
        <v>5</v>
      </c>
      <c r="F848" s="5">
        <v>1895859</v>
      </c>
      <c r="G848" s="5">
        <v>1370760.49</v>
      </c>
      <c r="H848" s="5">
        <v>0.27700000000000002</v>
      </c>
    </row>
    <row r="849" spans="1:8" x14ac:dyDescent="0.3">
      <c r="A849" s="5">
        <v>18</v>
      </c>
      <c r="B849" s="5" t="s">
        <v>230</v>
      </c>
      <c r="C849" s="5" t="s">
        <v>51</v>
      </c>
      <c r="D849" s="5">
        <v>2023</v>
      </c>
      <c r="E849" s="5">
        <v>6</v>
      </c>
      <c r="F849" s="5">
        <v>1529118</v>
      </c>
      <c r="G849" s="5">
        <v>1097083.92</v>
      </c>
      <c r="H849" s="5">
        <v>0.28249999999999997</v>
      </c>
    </row>
    <row r="850" spans="1:8" x14ac:dyDescent="0.3">
      <c r="A850" s="5">
        <v>18</v>
      </c>
      <c r="B850" s="5" t="s">
        <v>230</v>
      </c>
      <c r="C850" s="5" t="s">
        <v>52</v>
      </c>
      <c r="D850" s="5">
        <v>2023</v>
      </c>
      <c r="E850" s="5">
        <v>7</v>
      </c>
      <c r="F850" s="5">
        <v>1589879</v>
      </c>
      <c r="G850" s="5">
        <v>1183404.3500000001</v>
      </c>
      <c r="H850" s="5">
        <v>0.25569999999999998</v>
      </c>
    </row>
    <row r="851" spans="1:8" x14ac:dyDescent="0.3">
      <c r="A851" s="5">
        <v>18</v>
      </c>
      <c r="B851" s="5" t="s">
        <v>230</v>
      </c>
      <c r="C851" s="5" t="s">
        <v>53</v>
      </c>
      <c r="D851" s="5">
        <v>2023</v>
      </c>
      <c r="E851" s="5">
        <v>8</v>
      </c>
      <c r="F851" s="5">
        <v>1575302</v>
      </c>
      <c r="G851" s="5">
        <v>1161206.47</v>
      </c>
      <c r="H851" s="5">
        <v>0.26290000000000002</v>
      </c>
    </row>
    <row r="852" spans="1:8" x14ac:dyDescent="0.3">
      <c r="A852" s="5">
        <v>18</v>
      </c>
      <c r="B852" s="5" t="s">
        <v>230</v>
      </c>
      <c r="C852" s="5" t="s">
        <v>54</v>
      </c>
      <c r="D852" s="5">
        <v>2023</v>
      </c>
      <c r="E852" s="5">
        <v>9</v>
      </c>
      <c r="F852" s="5">
        <v>1662853</v>
      </c>
      <c r="G852" s="5">
        <v>1254980.8500000001</v>
      </c>
      <c r="H852" s="5">
        <v>0.24529999999999999</v>
      </c>
    </row>
    <row r="853" spans="1:8" x14ac:dyDescent="0.3">
      <c r="A853" s="5">
        <v>18</v>
      </c>
      <c r="B853" s="5" t="s">
        <v>230</v>
      </c>
      <c r="C853" s="5" t="s">
        <v>55</v>
      </c>
      <c r="D853" s="5">
        <v>2023</v>
      </c>
      <c r="E853" s="5">
        <v>10</v>
      </c>
      <c r="F853" s="5">
        <v>2406916</v>
      </c>
      <c r="G853" s="5">
        <v>1753894.6</v>
      </c>
      <c r="H853" s="5">
        <v>0.27129999999999999</v>
      </c>
    </row>
    <row r="854" spans="1:8" x14ac:dyDescent="0.3">
      <c r="A854" s="5">
        <v>18</v>
      </c>
      <c r="B854" s="5" t="s">
        <v>230</v>
      </c>
      <c r="C854" s="5" t="s">
        <v>56</v>
      </c>
      <c r="D854" s="5">
        <v>2023</v>
      </c>
      <c r="E854" s="5">
        <v>11</v>
      </c>
      <c r="F854" s="5">
        <v>2420057</v>
      </c>
      <c r="G854" s="5">
        <v>1810790.6</v>
      </c>
      <c r="H854" s="5">
        <v>0.25180000000000002</v>
      </c>
    </row>
    <row r="855" spans="1:8" x14ac:dyDescent="0.3">
      <c r="A855" s="5">
        <v>18</v>
      </c>
      <c r="B855" s="5" t="s">
        <v>230</v>
      </c>
      <c r="C855" s="5" t="s">
        <v>57</v>
      </c>
      <c r="D855" s="5">
        <v>2023</v>
      </c>
      <c r="E855" s="5">
        <v>12</v>
      </c>
      <c r="F855" s="5">
        <v>2636592</v>
      </c>
      <c r="G855" s="5">
        <v>1985807.6</v>
      </c>
      <c r="H855" s="5">
        <v>0.24679999999999999</v>
      </c>
    </row>
    <row r="856" spans="1:8" x14ac:dyDescent="0.3">
      <c r="A856" s="5">
        <v>18</v>
      </c>
      <c r="B856" s="5" t="s">
        <v>230</v>
      </c>
      <c r="C856" s="5" t="s">
        <v>58</v>
      </c>
      <c r="D856" s="5">
        <v>2024</v>
      </c>
      <c r="E856" s="5">
        <v>1</v>
      </c>
      <c r="F856" s="5">
        <v>1704836</v>
      </c>
      <c r="G856" s="5">
        <v>1272283.8400000001</v>
      </c>
      <c r="H856" s="5">
        <v>0.25369999999999998</v>
      </c>
    </row>
    <row r="857" spans="1:8" x14ac:dyDescent="0.3">
      <c r="A857" s="5">
        <v>18</v>
      </c>
      <c r="B857" s="5" t="s">
        <v>230</v>
      </c>
      <c r="C857" s="5" t="s">
        <v>59</v>
      </c>
      <c r="D857" s="5">
        <v>2024</v>
      </c>
      <c r="E857" s="5">
        <v>2</v>
      </c>
      <c r="F857" s="5">
        <v>1495264</v>
      </c>
      <c r="G857" s="5">
        <v>1079653.06</v>
      </c>
      <c r="H857" s="5">
        <v>0.27800000000000002</v>
      </c>
    </row>
    <row r="858" spans="1:8" x14ac:dyDescent="0.3">
      <c r="A858" s="5">
        <v>18</v>
      </c>
      <c r="B858" s="5" t="s">
        <v>230</v>
      </c>
      <c r="C858" s="5" t="s">
        <v>60</v>
      </c>
      <c r="D858" s="5">
        <v>2024</v>
      </c>
      <c r="E858" s="5">
        <v>3</v>
      </c>
      <c r="F858" s="5">
        <v>1717503</v>
      </c>
      <c r="G858" s="5">
        <v>1237711.81</v>
      </c>
      <c r="H858" s="5">
        <v>0.27939999999999998</v>
      </c>
    </row>
    <row r="859" spans="1:8" x14ac:dyDescent="0.3">
      <c r="A859" s="5">
        <v>18</v>
      </c>
      <c r="B859" s="5" t="s">
        <v>230</v>
      </c>
      <c r="C859" s="5" t="s">
        <v>61</v>
      </c>
      <c r="D859" s="5">
        <v>2024</v>
      </c>
      <c r="E859" s="5">
        <v>4</v>
      </c>
      <c r="F859" s="5">
        <v>1650474</v>
      </c>
      <c r="G859" s="5">
        <v>1209995.42</v>
      </c>
      <c r="H859" s="5">
        <v>0.26690000000000003</v>
      </c>
    </row>
    <row r="860" spans="1:8" x14ac:dyDescent="0.3">
      <c r="A860" s="5">
        <v>18</v>
      </c>
      <c r="B860" s="5" t="s">
        <v>230</v>
      </c>
      <c r="C860" s="5" t="s">
        <v>62</v>
      </c>
      <c r="D860" s="5">
        <v>2024</v>
      </c>
      <c r="E860" s="5">
        <v>5</v>
      </c>
      <c r="F860" s="5">
        <v>1983924</v>
      </c>
      <c r="G860" s="5">
        <v>1464575.01</v>
      </c>
      <c r="H860" s="5">
        <v>0.26179999999999998</v>
      </c>
    </row>
    <row r="861" spans="1:8" x14ac:dyDescent="0.3">
      <c r="A861" s="5">
        <v>18</v>
      </c>
      <c r="B861" s="5" t="s">
        <v>230</v>
      </c>
      <c r="C861" s="5" t="s">
        <v>63</v>
      </c>
      <c r="D861" s="5">
        <v>2024</v>
      </c>
      <c r="E861" s="5">
        <v>6</v>
      </c>
      <c r="F861" s="5">
        <v>1796049</v>
      </c>
      <c r="G861" s="5">
        <v>1246287.5</v>
      </c>
      <c r="H861" s="5">
        <v>0.30609999999999998</v>
      </c>
    </row>
    <row r="862" spans="1:8" x14ac:dyDescent="0.3">
      <c r="A862" s="5">
        <v>18</v>
      </c>
      <c r="B862" s="5" t="s">
        <v>230</v>
      </c>
      <c r="C862" s="5" t="s">
        <v>64</v>
      </c>
      <c r="D862" s="5">
        <v>2024</v>
      </c>
      <c r="E862" s="5">
        <v>7</v>
      </c>
      <c r="F862" s="5">
        <v>1790837</v>
      </c>
      <c r="G862" s="5">
        <v>1281891.44</v>
      </c>
      <c r="H862" s="5">
        <v>0.28420000000000001</v>
      </c>
    </row>
    <row r="863" spans="1:8" x14ac:dyDescent="0.3">
      <c r="A863" s="5">
        <v>18</v>
      </c>
      <c r="B863" s="5" t="s">
        <v>230</v>
      </c>
      <c r="C863" s="5" t="s">
        <v>65</v>
      </c>
      <c r="D863" s="5">
        <v>2024</v>
      </c>
      <c r="E863" s="5">
        <v>8</v>
      </c>
      <c r="F863" s="5">
        <v>1798829</v>
      </c>
      <c r="G863" s="5">
        <v>1286079.6399999999</v>
      </c>
      <c r="H863" s="5">
        <v>0.28499999999999998</v>
      </c>
    </row>
    <row r="864" spans="1:8" x14ac:dyDescent="0.3">
      <c r="A864" s="5">
        <v>18</v>
      </c>
      <c r="B864" s="5" t="s">
        <v>230</v>
      </c>
      <c r="C864" s="5" t="s">
        <v>66</v>
      </c>
      <c r="D864" s="5">
        <v>2024</v>
      </c>
      <c r="E864" s="5">
        <v>9</v>
      </c>
      <c r="F864" s="5">
        <v>2074357</v>
      </c>
      <c r="G864" s="5">
        <v>1436708.73</v>
      </c>
      <c r="H864" s="5">
        <v>0.30740000000000001</v>
      </c>
    </row>
    <row r="865" spans="1:8" x14ac:dyDescent="0.3">
      <c r="A865" s="5">
        <v>18</v>
      </c>
      <c r="B865" s="5" t="s">
        <v>230</v>
      </c>
      <c r="C865" s="5" t="s">
        <v>67</v>
      </c>
      <c r="D865" s="5">
        <v>2024</v>
      </c>
      <c r="E865" s="5">
        <v>10</v>
      </c>
      <c r="F865" s="5">
        <v>2766365</v>
      </c>
      <c r="G865" s="5">
        <v>1862927.68</v>
      </c>
      <c r="H865" s="5">
        <v>0.3266</v>
      </c>
    </row>
    <row r="866" spans="1:8" x14ac:dyDescent="0.3">
      <c r="A866" s="5">
        <v>18</v>
      </c>
      <c r="B866" s="5" t="s">
        <v>230</v>
      </c>
      <c r="C866" s="5" t="s">
        <v>68</v>
      </c>
      <c r="D866" s="5">
        <v>2024</v>
      </c>
      <c r="E866" s="5">
        <v>11</v>
      </c>
      <c r="F866" s="5">
        <v>2704602</v>
      </c>
      <c r="G866" s="5">
        <v>1918088.35</v>
      </c>
      <c r="H866" s="5">
        <v>0.2908</v>
      </c>
    </row>
    <row r="867" spans="1:8" x14ac:dyDescent="0.3">
      <c r="A867" s="5">
        <v>18</v>
      </c>
      <c r="B867" s="5" t="s">
        <v>230</v>
      </c>
      <c r="C867" s="5" t="s">
        <v>69</v>
      </c>
      <c r="D867" s="5">
        <v>2024</v>
      </c>
      <c r="E867" s="5">
        <v>12</v>
      </c>
      <c r="F867" s="5">
        <v>2693119</v>
      </c>
      <c r="G867" s="5">
        <v>1807983.43</v>
      </c>
      <c r="H867" s="5">
        <v>0.32869999999999999</v>
      </c>
    </row>
    <row r="868" spans="1:8" x14ac:dyDescent="0.3">
      <c r="A868" s="5">
        <v>19</v>
      </c>
      <c r="B868" s="5" t="s">
        <v>227</v>
      </c>
      <c r="C868" s="5" t="s">
        <v>22</v>
      </c>
      <c r="D868" s="5">
        <v>2021</v>
      </c>
      <c r="E868" s="5">
        <v>1</v>
      </c>
      <c r="F868" s="5">
        <v>1528792</v>
      </c>
      <c r="G868" s="5">
        <v>1137377.8999999999</v>
      </c>
      <c r="H868" s="5">
        <v>0.25600000000000001</v>
      </c>
    </row>
    <row r="869" spans="1:8" x14ac:dyDescent="0.3">
      <c r="A869" s="5">
        <v>19</v>
      </c>
      <c r="B869" s="5" t="s">
        <v>227</v>
      </c>
      <c r="C869" s="5" t="s">
        <v>23</v>
      </c>
      <c r="D869" s="5">
        <v>2021</v>
      </c>
      <c r="E869" s="5">
        <v>2</v>
      </c>
      <c r="F869" s="5">
        <v>1495050</v>
      </c>
      <c r="G869" s="5">
        <v>1084565.52</v>
      </c>
      <c r="H869" s="5">
        <v>0.27460000000000001</v>
      </c>
    </row>
    <row r="870" spans="1:8" x14ac:dyDescent="0.3">
      <c r="A870" s="5">
        <v>19</v>
      </c>
      <c r="B870" s="5" t="s">
        <v>227</v>
      </c>
      <c r="C870" s="5" t="s">
        <v>24</v>
      </c>
      <c r="D870" s="5">
        <v>2021</v>
      </c>
      <c r="E870" s="5">
        <v>3</v>
      </c>
      <c r="F870" s="5">
        <v>1835617</v>
      </c>
      <c r="G870" s="5">
        <v>1242240.94</v>
      </c>
      <c r="H870" s="5">
        <v>0.32329999999999998</v>
      </c>
    </row>
    <row r="871" spans="1:8" x14ac:dyDescent="0.3">
      <c r="A871" s="5">
        <v>19</v>
      </c>
      <c r="B871" s="5" t="s">
        <v>227</v>
      </c>
      <c r="C871" s="5" t="s">
        <v>25</v>
      </c>
      <c r="D871" s="5">
        <v>2021</v>
      </c>
      <c r="E871" s="5">
        <v>4</v>
      </c>
      <c r="F871" s="5">
        <v>1804008</v>
      </c>
      <c r="G871" s="5">
        <v>1286648.69</v>
      </c>
      <c r="H871" s="5">
        <v>0.2868</v>
      </c>
    </row>
    <row r="872" spans="1:8" x14ac:dyDescent="0.3">
      <c r="A872" s="5">
        <v>19</v>
      </c>
      <c r="B872" s="5" t="s">
        <v>227</v>
      </c>
      <c r="C872" s="5" t="s">
        <v>26</v>
      </c>
      <c r="D872" s="5">
        <v>2021</v>
      </c>
      <c r="E872" s="5">
        <v>5</v>
      </c>
      <c r="F872" s="5">
        <v>1990930</v>
      </c>
      <c r="G872" s="5">
        <v>1425963.2</v>
      </c>
      <c r="H872" s="5">
        <v>0.2838</v>
      </c>
    </row>
    <row r="873" spans="1:8" x14ac:dyDescent="0.3">
      <c r="A873" s="5">
        <v>19</v>
      </c>
      <c r="B873" s="5" t="s">
        <v>227</v>
      </c>
      <c r="C873" s="5" t="s">
        <v>27</v>
      </c>
      <c r="D873" s="5">
        <v>2021</v>
      </c>
      <c r="E873" s="5">
        <v>6</v>
      </c>
      <c r="F873" s="5">
        <v>1812971</v>
      </c>
      <c r="G873" s="5">
        <v>1275752.3999999999</v>
      </c>
      <c r="H873" s="5">
        <v>0.29630000000000001</v>
      </c>
    </row>
    <row r="874" spans="1:8" x14ac:dyDescent="0.3">
      <c r="A874" s="5">
        <v>19</v>
      </c>
      <c r="B874" s="5" t="s">
        <v>227</v>
      </c>
      <c r="C874" s="5" t="s">
        <v>28</v>
      </c>
      <c r="D874" s="5">
        <v>2021</v>
      </c>
      <c r="E874" s="5">
        <v>7</v>
      </c>
      <c r="F874" s="5">
        <v>1781701</v>
      </c>
      <c r="G874" s="5">
        <v>1298058.17</v>
      </c>
      <c r="H874" s="5">
        <v>0.27150000000000002</v>
      </c>
    </row>
    <row r="875" spans="1:8" x14ac:dyDescent="0.3">
      <c r="A875" s="5">
        <v>19</v>
      </c>
      <c r="B875" s="5" t="s">
        <v>227</v>
      </c>
      <c r="C875" s="5" t="s">
        <v>29</v>
      </c>
      <c r="D875" s="5">
        <v>2021</v>
      </c>
      <c r="E875" s="5">
        <v>8</v>
      </c>
      <c r="F875" s="5">
        <v>1732902</v>
      </c>
      <c r="G875" s="5">
        <v>1207194.68</v>
      </c>
      <c r="H875" s="5">
        <v>0.3034</v>
      </c>
    </row>
    <row r="876" spans="1:8" x14ac:dyDescent="0.3">
      <c r="A876" s="5">
        <v>19</v>
      </c>
      <c r="B876" s="5" t="s">
        <v>227</v>
      </c>
      <c r="C876" s="5" t="s">
        <v>30</v>
      </c>
      <c r="D876" s="5">
        <v>2021</v>
      </c>
      <c r="E876" s="5">
        <v>9</v>
      </c>
      <c r="F876" s="5">
        <v>2082818</v>
      </c>
      <c r="G876" s="5">
        <v>1461962.15</v>
      </c>
      <c r="H876" s="5">
        <v>0.29809999999999998</v>
      </c>
    </row>
    <row r="877" spans="1:8" x14ac:dyDescent="0.3">
      <c r="A877" s="5">
        <v>19</v>
      </c>
      <c r="B877" s="5" t="s">
        <v>227</v>
      </c>
      <c r="C877" s="5" t="s">
        <v>31</v>
      </c>
      <c r="D877" s="5">
        <v>2021</v>
      </c>
      <c r="E877" s="5">
        <v>10</v>
      </c>
      <c r="F877" s="5">
        <v>2855030</v>
      </c>
      <c r="G877" s="5">
        <v>1974893.01</v>
      </c>
      <c r="H877" s="5">
        <v>0.30830000000000002</v>
      </c>
    </row>
    <row r="878" spans="1:8" x14ac:dyDescent="0.3">
      <c r="A878" s="5">
        <v>19</v>
      </c>
      <c r="B878" s="5" t="s">
        <v>227</v>
      </c>
      <c r="C878" s="5" t="s">
        <v>32</v>
      </c>
      <c r="D878" s="5">
        <v>2021</v>
      </c>
      <c r="E878" s="5">
        <v>11</v>
      </c>
      <c r="F878" s="5">
        <v>2962612</v>
      </c>
      <c r="G878" s="5">
        <v>1978733.33</v>
      </c>
      <c r="H878" s="5">
        <v>0.33210000000000001</v>
      </c>
    </row>
    <row r="879" spans="1:8" x14ac:dyDescent="0.3">
      <c r="A879" s="5">
        <v>19</v>
      </c>
      <c r="B879" s="5" t="s">
        <v>227</v>
      </c>
      <c r="C879" s="5" t="s">
        <v>33</v>
      </c>
      <c r="D879" s="5">
        <v>2021</v>
      </c>
      <c r="E879" s="5">
        <v>12</v>
      </c>
      <c r="F879" s="5">
        <v>2822489</v>
      </c>
      <c r="G879" s="5">
        <v>1910926.79</v>
      </c>
      <c r="H879" s="5">
        <v>0.32300000000000001</v>
      </c>
    </row>
    <row r="880" spans="1:8" x14ac:dyDescent="0.3">
      <c r="A880" s="5">
        <v>19</v>
      </c>
      <c r="B880" s="5" t="s">
        <v>227</v>
      </c>
      <c r="C880" s="5" t="s">
        <v>34</v>
      </c>
      <c r="D880" s="5">
        <v>2022</v>
      </c>
      <c r="E880" s="5">
        <v>1</v>
      </c>
      <c r="F880" s="5">
        <v>2580466</v>
      </c>
      <c r="G880" s="5">
        <v>1759237.91</v>
      </c>
      <c r="H880" s="5">
        <v>0.31819999999999998</v>
      </c>
    </row>
    <row r="881" spans="1:8" x14ac:dyDescent="0.3">
      <c r="A881" s="5">
        <v>19</v>
      </c>
      <c r="B881" s="5" t="s">
        <v>227</v>
      </c>
      <c r="C881" s="5" t="s">
        <v>35</v>
      </c>
      <c r="D881" s="5">
        <v>2022</v>
      </c>
      <c r="E881" s="5">
        <v>2</v>
      </c>
      <c r="F881" s="5">
        <v>2305658</v>
      </c>
      <c r="G881" s="5">
        <v>1563705.27</v>
      </c>
      <c r="H881" s="5">
        <v>0.32179999999999997</v>
      </c>
    </row>
    <row r="882" spans="1:8" x14ac:dyDescent="0.3">
      <c r="A882" s="5">
        <v>19</v>
      </c>
      <c r="B882" s="5" t="s">
        <v>227</v>
      </c>
      <c r="C882" s="5" t="s">
        <v>36</v>
      </c>
      <c r="D882" s="5">
        <v>2022</v>
      </c>
      <c r="E882" s="5">
        <v>3</v>
      </c>
      <c r="F882" s="5">
        <v>2656370</v>
      </c>
      <c r="G882" s="5">
        <v>1837630.63</v>
      </c>
      <c r="H882" s="5">
        <v>0.30819999999999997</v>
      </c>
    </row>
    <row r="883" spans="1:8" x14ac:dyDescent="0.3">
      <c r="A883" s="5">
        <v>19</v>
      </c>
      <c r="B883" s="5" t="s">
        <v>227</v>
      </c>
      <c r="C883" s="5" t="s">
        <v>37</v>
      </c>
      <c r="D883" s="5">
        <v>2022</v>
      </c>
      <c r="E883" s="5">
        <v>4</v>
      </c>
      <c r="F883" s="5">
        <v>2576773</v>
      </c>
      <c r="G883" s="5">
        <v>1817133.31</v>
      </c>
      <c r="H883" s="5">
        <v>0.29480000000000001</v>
      </c>
    </row>
    <row r="884" spans="1:8" x14ac:dyDescent="0.3">
      <c r="A884" s="5">
        <v>19</v>
      </c>
      <c r="B884" s="5" t="s">
        <v>227</v>
      </c>
      <c r="C884" s="5" t="s">
        <v>38</v>
      </c>
      <c r="D884" s="5">
        <v>2022</v>
      </c>
      <c r="E884" s="5">
        <v>5</v>
      </c>
      <c r="F884" s="5">
        <v>2738747</v>
      </c>
      <c r="G884" s="5">
        <v>1960297.16</v>
      </c>
      <c r="H884" s="5">
        <v>0.28420000000000001</v>
      </c>
    </row>
    <row r="885" spans="1:8" x14ac:dyDescent="0.3">
      <c r="A885" s="5">
        <v>19</v>
      </c>
      <c r="B885" s="5" t="s">
        <v>227</v>
      </c>
      <c r="C885" s="5" t="s">
        <v>39</v>
      </c>
      <c r="D885" s="5">
        <v>2022</v>
      </c>
      <c r="E885" s="5">
        <v>6</v>
      </c>
      <c r="F885" s="5">
        <v>2783062</v>
      </c>
      <c r="G885" s="5">
        <v>1943296.7</v>
      </c>
      <c r="H885" s="5">
        <v>0.30170000000000002</v>
      </c>
    </row>
    <row r="886" spans="1:8" x14ac:dyDescent="0.3">
      <c r="A886" s="5">
        <v>19</v>
      </c>
      <c r="B886" s="5" t="s">
        <v>227</v>
      </c>
      <c r="C886" s="5" t="s">
        <v>40</v>
      </c>
      <c r="D886" s="5">
        <v>2022</v>
      </c>
      <c r="E886" s="5">
        <v>7</v>
      </c>
      <c r="F886" s="5">
        <v>2460077</v>
      </c>
      <c r="G886" s="5">
        <v>1794193.04</v>
      </c>
      <c r="H886" s="5">
        <v>0.2707</v>
      </c>
    </row>
    <row r="887" spans="1:8" x14ac:dyDescent="0.3">
      <c r="A887" s="5">
        <v>19</v>
      </c>
      <c r="B887" s="5" t="s">
        <v>227</v>
      </c>
      <c r="C887" s="5" t="s">
        <v>41</v>
      </c>
      <c r="D887" s="5">
        <v>2022</v>
      </c>
      <c r="E887" s="5">
        <v>8</v>
      </c>
      <c r="F887" s="5">
        <v>2326196</v>
      </c>
      <c r="G887" s="5">
        <v>1772888.96</v>
      </c>
      <c r="H887" s="5">
        <v>0.2379</v>
      </c>
    </row>
    <row r="888" spans="1:8" x14ac:dyDescent="0.3">
      <c r="A888" s="5">
        <v>19</v>
      </c>
      <c r="B888" s="5" t="s">
        <v>227</v>
      </c>
      <c r="C888" s="5" t="s">
        <v>42</v>
      </c>
      <c r="D888" s="5">
        <v>2022</v>
      </c>
      <c r="E888" s="5">
        <v>9</v>
      </c>
      <c r="F888" s="5">
        <v>3073045</v>
      </c>
      <c r="G888" s="5">
        <v>2214110.1800000002</v>
      </c>
      <c r="H888" s="5">
        <v>0.27950000000000003</v>
      </c>
    </row>
    <row r="889" spans="1:8" x14ac:dyDescent="0.3">
      <c r="A889" s="5">
        <v>19</v>
      </c>
      <c r="B889" s="5" t="s">
        <v>227</v>
      </c>
      <c r="C889" s="5" t="s">
        <v>43</v>
      </c>
      <c r="D889" s="5">
        <v>2022</v>
      </c>
      <c r="E889" s="5">
        <v>10</v>
      </c>
      <c r="F889" s="5">
        <v>3647483</v>
      </c>
      <c r="G889" s="5">
        <v>2670370.63</v>
      </c>
      <c r="H889" s="5">
        <v>0.26790000000000003</v>
      </c>
    </row>
    <row r="890" spans="1:8" x14ac:dyDescent="0.3">
      <c r="A890" s="5">
        <v>19</v>
      </c>
      <c r="B890" s="5" t="s">
        <v>227</v>
      </c>
      <c r="C890" s="5" t="s">
        <v>44</v>
      </c>
      <c r="D890" s="5">
        <v>2022</v>
      </c>
      <c r="E890" s="5">
        <v>11</v>
      </c>
      <c r="F890" s="5">
        <v>3855794</v>
      </c>
      <c r="G890" s="5">
        <v>2691607.78</v>
      </c>
      <c r="H890" s="5">
        <v>0.3019</v>
      </c>
    </row>
    <row r="891" spans="1:8" x14ac:dyDescent="0.3">
      <c r="A891" s="5">
        <v>19</v>
      </c>
      <c r="B891" s="5" t="s">
        <v>227</v>
      </c>
      <c r="C891" s="5" t="s">
        <v>45</v>
      </c>
      <c r="D891" s="5">
        <v>2022</v>
      </c>
      <c r="E891" s="5">
        <v>12</v>
      </c>
      <c r="F891" s="5">
        <v>4163831</v>
      </c>
      <c r="G891" s="5">
        <v>2855361.35</v>
      </c>
      <c r="H891" s="5">
        <v>0.31419999999999998</v>
      </c>
    </row>
    <row r="892" spans="1:8" x14ac:dyDescent="0.3">
      <c r="A892" s="5">
        <v>19</v>
      </c>
      <c r="B892" s="5" t="s">
        <v>227</v>
      </c>
      <c r="C892" s="5" t="s">
        <v>46</v>
      </c>
      <c r="D892" s="5">
        <v>2023</v>
      </c>
      <c r="E892" s="5">
        <v>1</v>
      </c>
      <c r="F892" s="5">
        <v>2941445</v>
      </c>
      <c r="G892" s="5">
        <v>2109891.27</v>
      </c>
      <c r="H892" s="5">
        <v>0.28270000000000001</v>
      </c>
    </row>
    <row r="893" spans="1:8" x14ac:dyDescent="0.3">
      <c r="A893" s="5">
        <v>19</v>
      </c>
      <c r="B893" s="5" t="s">
        <v>227</v>
      </c>
      <c r="C893" s="5" t="s">
        <v>47</v>
      </c>
      <c r="D893" s="5">
        <v>2023</v>
      </c>
      <c r="E893" s="5">
        <v>2</v>
      </c>
      <c r="F893" s="5">
        <v>2700612</v>
      </c>
      <c r="G893" s="5">
        <v>1883003.06</v>
      </c>
      <c r="H893" s="5">
        <v>0.30270000000000002</v>
      </c>
    </row>
    <row r="894" spans="1:8" x14ac:dyDescent="0.3">
      <c r="A894" s="5">
        <v>19</v>
      </c>
      <c r="B894" s="5" t="s">
        <v>227</v>
      </c>
      <c r="C894" s="5" t="s">
        <v>48</v>
      </c>
      <c r="D894" s="5">
        <v>2023</v>
      </c>
      <c r="E894" s="5">
        <v>3</v>
      </c>
      <c r="F894" s="5">
        <v>3316119</v>
      </c>
      <c r="G894" s="5">
        <v>2343867.94</v>
      </c>
      <c r="H894" s="5">
        <v>0.29320000000000002</v>
      </c>
    </row>
    <row r="895" spans="1:8" x14ac:dyDescent="0.3">
      <c r="A895" s="5">
        <v>19</v>
      </c>
      <c r="B895" s="5" t="s">
        <v>227</v>
      </c>
      <c r="C895" s="5" t="s">
        <v>49</v>
      </c>
      <c r="D895" s="5">
        <v>2023</v>
      </c>
      <c r="E895" s="5">
        <v>4</v>
      </c>
      <c r="F895" s="5">
        <v>3251039</v>
      </c>
      <c r="G895" s="5">
        <v>2335580.58</v>
      </c>
      <c r="H895" s="5">
        <v>0.28160000000000002</v>
      </c>
    </row>
    <row r="896" spans="1:8" x14ac:dyDescent="0.3">
      <c r="A896" s="5">
        <v>19</v>
      </c>
      <c r="B896" s="5" t="s">
        <v>227</v>
      </c>
      <c r="C896" s="5" t="s">
        <v>50</v>
      </c>
      <c r="D896" s="5">
        <v>2023</v>
      </c>
      <c r="E896" s="5">
        <v>5</v>
      </c>
      <c r="F896" s="5">
        <v>3771609</v>
      </c>
      <c r="G896" s="5">
        <v>2622238.8199999998</v>
      </c>
      <c r="H896" s="5">
        <v>0.30470000000000003</v>
      </c>
    </row>
    <row r="897" spans="1:8" x14ac:dyDescent="0.3">
      <c r="A897" s="5">
        <v>19</v>
      </c>
      <c r="B897" s="5" t="s">
        <v>227</v>
      </c>
      <c r="C897" s="5" t="s">
        <v>51</v>
      </c>
      <c r="D897" s="5">
        <v>2023</v>
      </c>
      <c r="E897" s="5">
        <v>6</v>
      </c>
      <c r="F897" s="5">
        <v>3209440</v>
      </c>
      <c r="G897" s="5">
        <v>2220204.7200000002</v>
      </c>
      <c r="H897" s="5">
        <v>0.30819999999999997</v>
      </c>
    </row>
    <row r="898" spans="1:8" x14ac:dyDescent="0.3">
      <c r="A898" s="5">
        <v>19</v>
      </c>
      <c r="B898" s="5" t="s">
        <v>227</v>
      </c>
      <c r="C898" s="5" t="s">
        <v>52</v>
      </c>
      <c r="D898" s="5">
        <v>2023</v>
      </c>
      <c r="E898" s="5">
        <v>7</v>
      </c>
      <c r="F898" s="5">
        <v>2973479</v>
      </c>
      <c r="G898" s="5">
        <v>2161772.63</v>
      </c>
      <c r="H898" s="5">
        <v>0.27300000000000002</v>
      </c>
    </row>
    <row r="899" spans="1:8" x14ac:dyDescent="0.3">
      <c r="A899" s="5">
        <v>19</v>
      </c>
      <c r="B899" s="5" t="s">
        <v>227</v>
      </c>
      <c r="C899" s="5" t="s">
        <v>53</v>
      </c>
      <c r="D899" s="5">
        <v>2023</v>
      </c>
      <c r="E899" s="5">
        <v>8</v>
      </c>
      <c r="F899" s="5">
        <v>3271013</v>
      </c>
      <c r="G899" s="5">
        <v>2403031.7599999998</v>
      </c>
      <c r="H899" s="5">
        <v>0.26540000000000002</v>
      </c>
    </row>
    <row r="900" spans="1:8" x14ac:dyDescent="0.3">
      <c r="A900" s="5">
        <v>19</v>
      </c>
      <c r="B900" s="5" t="s">
        <v>227</v>
      </c>
      <c r="C900" s="5" t="s">
        <v>54</v>
      </c>
      <c r="D900" s="5">
        <v>2023</v>
      </c>
      <c r="E900" s="5">
        <v>9</v>
      </c>
      <c r="F900" s="5">
        <v>3794905</v>
      </c>
      <c r="G900" s="5">
        <v>2759569.31</v>
      </c>
      <c r="H900" s="5">
        <v>0.27279999999999999</v>
      </c>
    </row>
    <row r="901" spans="1:8" x14ac:dyDescent="0.3">
      <c r="A901" s="5">
        <v>19</v>
      </c>
      <c r="B901" s="5" t="s">
        <v>227</v>
      </c>
      <c r="C901" s="5" t="s">
        <v>55</v>
      </c>
      <c r="D901" s="5">
        <v>2023</v>
      </c>
      <c r="E901" s="5">
        <v>10</v>
      </c>
      <c r="F901" s="5">
        <v>4925195</v>
      </c>
      <c r="G901" s="5">
        <v>3467278.74</v>
      </c>
      <c r="H901" s="5">
        <v>0.29599999999999999</v>
      </c>
    </row>
    <row r="902" spans="1:8" x14ac:dyDescent="0.3">
      <c r="A902" s="5">
        <v>19</v>
      </c>
      <c r="B902" s="5" t="s">
        <v>227</v>
      </c>
      <c r="C902" s="5" t="s">
        <v>56</v>
      </c>
      <c r="D902" s="5">
        <v>2023</v>
      </c>
      <c r="E902" s="5">
        <v>11</v>
      </c>
      <c r="F902" s="5">
        <v>4557587</v>
      </c>
      <c r="G902" s="5">
        <v>3332411.2</v>
      </c>
      <c r="H902" s="5">
        <v>0.26879999999999998</v>
      </c>
    </row>
    <row r="903" spans="1:8" x14ac:dyDescent="0.3">
      <c r="A903" s="5">
        <v>19</v>
      </c>
      <c r="B903" s="5" t="s">
        <v>227</v>
      </c>
      <c r="C903" s="5" t="s">
        <v>57</v>
      </c>
      <c r="D903" s="5">
        <v>2023</v>
      </c>
      <c r="E903" s="5">
        <v>12</v>
      </c>
      <c r="F903" s="5">
        <v>4878688</v>
      </c>
      <c r="G903" s="5">
        <v>3604731.98</v>
      </c>
      <c r="H903" s="5">
        <v>0.2611</v>
      </c>
    </row>
    <row r="904" spans="1:8" x14ac:dyDescent="0.3">
      <c r="A904" s="5">
        <v>19</v>
      </c>
      <c r="B904" s="5" t="s">
        <v>227</v>
      </c>
      <c r="C904" s="5" t="s">
        <v>58</v>
      </c>
      <c r="D904" s="5">
        <v>2024</v>
      </c>
      <c r="E904" s="5">
        <v>1</v>
      </c>
      <c r="F904" s="5">
        <v>3275251</v>
      </c>
      <c r="G904" s="5">
        <v>2347490.31</v>
      </c>
      <c r="H904" s="5">
        <v>0.2833</v>
      </c>
    </row>
    <row r="905" spans="1:8" x14ac:dyDescent="0.3">
      <c r="A905" s="5">
        <v>19</v>
      </c>
      <c r="B905" s="5" t="s">
        <v>227</v>
      </c>
      <c r="C905" s="5" t="s">
        <v>59</v>
      </c>
      <c r="D905" s="5">
        <v>2024</v>
      </c>
      <c r="E905" s="5">
        <v>2</v>
      </c>
      <c r="F905" s="5">
        <v>2929310</v>
      </c>
      <c r="G905" s="5">
        <v>2042390.97</v>
      </c>
      <c r="H905" s="5">
        <v>0.30280000000000001</v>
      </c>
    </row>
    <row r="906" spans="1:8" x14ac:dyDescent="0.3">
      <c r="A906" s="5">
        <v>19</v>
      </c>
      <c r="B906" s="5" t="s">
        <v>227</v>
      </c>
      <c r="C906" s="5" t="s">
        <v>60</v>
      </c>
      <c r="D906" s="5">
        <v>2024</v>
      </c>
      <c r="E906" s="5">
        <v>3</v>
      </c>
      <c r="F906" s="5">
        <v>3501884</v>
      </c>
      <c r="G906" s="5">
        <v>2451284.35</v>
      </c>
      <c r="H906" s="5">
        <v>0.3</v>
      </c>
    </row>
    <row r="907" spans="1:8" x14ac:dyDescent="0.3">
      <c r="A907" s="5">
        <v>19</v>
      </c>
      <c r="B907" s="5" t="s">
        <v>227</v>
      </c>
      <c r="C907" s="5" t="s">
        <v>61</v>
      </c>
      <c r="D907" s="5">
        <v>2024</v>
      </c>
      <c r="E907" s="5">
        <v>4</v>
      </c>
      <c r="F907" s="5">
        <v>3269206</v>
      </c>
      <c r="G907" s="5">
        <v>2305299.0099999998</v>
      </c>
      <c r="H907" s="5">
        <v>0.29480000000000001</v>
      </c>
    </row>
    <row r="908" spans="1:8" x14ac:dyDescent="0.3">
      <c r="A908" s="5">
        <v>19</v>
      </c>
      <c r="B908" s="5" t="s">
        <v>227</v>
      </c>
      <c r="C908" s="5" t="s">
        <v>62</v>
      </c>
      <c r="D908" s="5">
        <v>2024</v>
      </c>
      <c r="E908" s="5">
        <v>5</v>
      </c>
      <c r="F908" s="5">
        <v>3955091</v>
      </c>
      <c r="G908" s="5">
        <v>2851690.68</v>
      </c>
      <c r="H908" s="5">
        <v>0.27900000000000003</v>
      </c>
    </row>
    <row r="909" spans="1:8" x14ac:dyDescent="0.3">
      <c r="A909" s="5">
        <v>19</v>
      </c>
      <c r="B909" s="5" t="s">
        <v>227</v>
      </c>
      <c r="C909" s="5" t="s">
        <v>63</v>
      </c>
      <c r="D909" s="5">
        <v>2024</v>
      </c>
      <c r="E909" s="5">
        <v>6</v>
      </c>
      <c r="F909" s="5">
        <v>3644020</v>
      </c>
      <c r="G909" s="5">
        <v>2501282.7999999998</v>
      </c>
      <c r="H909" s="5">
        <v>0.31359999999999999</v>
      </c>
    </row>
    <row r="910" spans="1:8" x14ac:dyDescent="0.3">
      <c r="A910" s="5">
        <v>19</v>
      </c>
      <c r="B910" s="5" t="s">
        <v>227</v>
      </c>
      <c r="C910" s="5" t="s">
        <v>64</v>
      </c>
      <c r="D910" s="5">
        <v>2024</v>
      </c>
      <c r="E910" s="5">
        <v>7</v>
      </c>
      <c r="F910" s="5">
        <v>3499422</v>
      </c>
      <c r="G910" s="5">
        <v>2409640.31</v>
      </c>
      <c r="H910" s="5">
        <v>0.31140000000000001</v>
      </c>
    </row>
    <row r="911" spans="1:8" x14ac:dyDescent="0.3">
      <c r="A911" s="5">
        <v>19</v>
      </c>
      <c r="B911" s="5" t="s">
        <v>227</v>
      </c>
      <c r="C911" s="5" t="s">
        <v>65</v>
      </c>
      <c r="D911" s="5">
        <v>2024</v>
      </c>
      <c r="E911" s="5">
        <v>8</v>
      </c>
      <c r="F911" s="5">
        <v>3765299</v>
      </c>
      <c r="G911" s="5">
        <v>2614407.7200000002</v>
      </c>
      <c r="H911" s="5">
        <v>0.30570000000000003</v>
      </c>
    </row>
    <row r="912" spans="1:8" x14ac:dyDescent="0.3">
      <c r="A912" s="5">
        <v>19</v>
      </c>
      <c r="B912" s="5" t="s">
        <v>227</v>
      </c>
      <c r="C912" s="5" t="s">
        <v>66</v>
      </c>
      <c r="D912" s="5">
        <v>2024</v>
      </c>
      <c r="E912" s="5">
        <v>9</v>
      </c>
      <c r="F912" s="5">
        <v>4141843</v>
      </c>
      <c r="G912" s="5">
        <v>2801851.41</v>
      </c>
      <c r="H912" s="5">
        <v>0.32350000000000001</v>
      </c>
    </row>
    <row r="913" spans="1:8" x14ac:dyDescent="0.3">
      <c r="A913" s="5">
        <v>19</v>
      </c>
      <c r="B913" s="5" t="s">
        <v>227</v>
      </c>
      <c r="C913" s="5" t="s">
        <v>67</v>
      </c>
      <c r="D913" s="5">
        <v>2024</v>
      </c>
      <c r="E913" s="5">
        <v>10</v>
      </c>
      <c r="F913" s="5">
        <v>5758101</v>
      </c>
      <c r="G913" s="5">
        <v>3734481.63</v>
      </c>
      <c r="H913" s="5">
        <v>0.35139999999999999</v>
      </c>
    </row>
    <row r="914" spans="1:8" x14ac:dyDescent="0.3">
      <c r="A914" s="5">
        <v>19</v>
      </c>
      <c r="B914" s="5" t="s">
        <v>227</v>
      </c>
      <c r="C914" s="5" t="s">
        <v>68</v>
      </c>
      <c r="D914" s="5">
        <v>2024</v>
      </c>
      <c r="E914" s="5">
        <v>11</v>
      </c>
      <c r="F914" s="5">
        <v>5541275</v>
      </c>
      <c r="G914" s="5">
        <v>3807001.93</v>
      </c>
      <c r="H914" s="5">
        <v>0.313</v>
      </c>
    </row>
    <row r="915" spans="1:8" x14ac:dyDescent="0.3">
      <c r="A915" s="5">
        <v>19</v>
      </c>
      <c r="B915" s="5" t="s">
        <v>227</v>
      </c>
      <c r="C915" s="5" t="s">
        <v>69</v>
      </c>
      <c r="D915" s="5">
        <v>2024</v>
      </c>
      <c r="E915" s="5">
        <v>12</v>
      </c>
      <c r="F915" s="5">
        <v>5520123</v>
      </c>
      <c r="G915" s="5">
        <v>3628561.58</v>
      </c>
      <c r="H915" s="5">
        <v>0.3427</v>
      </c>
    </row>
    <row r="916" spans="1:8" x14ac:dyDescent="0.3">
      <c r="A916" s="5">
        <v>20</v>
      </c>
      <c r="B916" s="5" t="s">
        <v>222</v>
      </c>
      <c r="C916" s="5" t="s">
        <v>22</v>
      </c>
      <c r="D916" s="5">
        <v>2021</v>
      </c>
      <c r="E916" s="5">
        <v>1</v>
      </c>
      <c r="F916" s="5">
        <v>2229267</v>
      </c>
      <c r="G916" s="5">
        <v>1533134.56</v>
      </c>
      <c r="H916" s="5">
        <v>0.31230000000000002</v>
      </c>
    </row>
    <row r="917" spans="1:8" x14ac:dyDescent="0.3">
      <c r="A917" s="5">
        <v>20</v>
      </c>
      <c r="B917" s="5" t="s">
        <v>222</v>
      </c>
      <c r="C917" s="5" t="s">
        <v>23</v>
      </c>
      <c r="D917" s="5">
        <v>2021</v>
      </c>
      <c r="E917" s="5">
        <v>2</v>
      </c>
      <c r="F917" s="5">
        <v>2038578</v>
      </c>
      <c r="G917" s="5">
        <v>1357523.04</v>
      </c>
      <c r="H917" s="5">
        <v>0.33410000000000001</v>
      </c>
    </row>
    <row r="918" spans="1:8" x14ac:dyDescent="0.3">
      <c r="A918" s="5">
        <v>20</v>
      </c>
      <c r="B918" s="5" t="s">
        <v>222</v>
      </c>
      <c r="C918" s="5" t="s">
        <v>24</v>
      </c>
      <c r="D918" s="5">
        <v>2021</v>
      </c>
      <c r="E918" s="5">
        <v>3</v>
      </c>
      <c r="F918" s="5">
        <v>2765630</v>
      </c>
      <c r="G918" s="5">
        <v>1765211.35</v>
      </c>
      <c r="H918" s="5">
        <v>0.36170000000000002</v>
      </c>
    </row>
    <row r="919" spans="1:8" x14ac:dyDescent="0.3">
      <c r="A919" s="5">
        <v>20</v>
      </c>
      <c r="B919" s="5" t="s">
        <v>222</v>
      </c>
      <c r="C919" s="5" t="s">
        <v>25</v>
      </c>
      <c r="D919" s="5">
        <v>2021</v>
      </c>
      <c r="E919" s="5">
        <v>4</v>
      </c>
      <c r="F919" s="5">
        <v>2452116</v>
      </c>
      <c r="G919" s="5">
        <v>1598286.05</v>
      </c>
      <c r="H919" s="5">
        <v>0.34820000000000001</v>
      </c>
    </row>
    <row r="920" spans="1:8" x14ac:dyDescent="0.3">
      <c r="A920" s="5">
        <v>20</v>
      </c>
      <c r="B920" s="5" t="s">
        <v>222</v>
      </c>
      <c r="C920" s="5" t="s">
        <v>26</v>
      </c>
      <c r="D920" s="5">
        <v>2021</v>
      </c>
      <c r="E920" s="5">
        <v>5</v>
      </c>
      <c r="F920" s="5">
        <v>3055862</v>
      </c>
      <c r="G920" s="5">
        <v>2008395.97</v>
      </c>
      <c r="H920" s="5">
        <v>0.34279999999999999</v>
      </c>
    </row>
    <row r="921" spans="1:8" x14ac:dyDescent="0.3">
      <c r="A921" s="5">
        <v>20</v>
      </c>
      <c r="B921" s="5" t="s">
        <v>222</v>
      </c>
      <c r="C921" s="5" t="s">
        <v>27</v>
      </c>
      <c r="D921" s="5">
        <v>2021</v>
      </c>
      <c r="E921" s="5">
        <v>6</v>
      </c>
      <c r="F921" s="5">
        <v>2404220</v>
      </c>
      <c r="G921" s="5">
        <v>1602184.23</v>
      </c>
      <c r="H921" s="5">
        <v>0.33360000000000001</v>
      </c>
    </row>
    <row r="922" spans="1:8" x14ac:dyDescent="0.3">
      <c r="A922" s="5">
        <v>20</v>
      </c>
      <c r="B922" s="5" t="s">
        <v>222</v>
      </c>
      <c r="C922" s="5" t="s">
        <v>28</v>
      </c>
      <c r="D922" s="5">
        <v>2021</v>
      </c>
      <c r="E922" s="5">
        <v>7</v>
      </c>
      <c r="F922" s="5">
        <v>2909692</v>
      </c>
      <c r="G922" s="5">
        <v>1913450.44</v>
      </c>
      <c r="H922" s="5">
        <v>0.34239999999999998</v>
      </c>
    </row>
    <row r="923" spans="1:8" x14ac:dyDescent="0.3">
      <c r="A923" s="5">
        <v>20</v>
      </c>
      <c r="B923" s="5" t="s">
        <v>222</v>
      </c>
      <c r="C923" s="5" t="s">
        <v>29</v>
      </c>
      <c r="D923" s="5">
        <v>2021</v>
      </c>
      <c r="E923" s="5">
        <v>8</v>
      </c>
      <c r="F923" s="5">
        <v>2767687</v>
      </c>
      <c r="G923" s="5">
        <v>1773784.65</v>
      </c>
      <c r="H923" s="5">
        <v>0.35909999999999997</v>
      </c>
    </row>
    <row r="924" spans="1:8" x14ac:dyDescent="0.3">
      <c r="A924" s="5">
        <v>20</v>
      </c>
      <c r="B924" s="5" t="s">
        <v>222</v>
      </c>
      <c r="C924" s="5" t="s">
        <v>30</v>
      </c>
      <c r="D924" s="5">
        <v>2021</v>
      </c>
      <c r="E924" s="5">
        <v>9</v>
      </c>
      <c r="F924" s="5">
        <v>2586811</v>
      </c>
      <c r="G924" s="5">
        <v>1697177.59</v>
      </c>
      <c r="H924" s="5">
        <v>0.34389999999999998</v>
      </c>
    </row>
    <row r="925" spans="1:8" x14ac:dyDescent="0.3">
      <c r="A925" s="5">
        <v>20</v>
      </c>
      <c r="B925" s="5" t="s">
        <v>222</v>
      </c>
      <c r="C925" s="5" t="s">
        <v>31</v>
      </c>
      <c r="D925" s="5">
        <v>2021</v>
      </c>
      <c r="E925" s="5">
        <v>10</v>
      </c>
      <c r="F925" s="5">
        <v>4008764</v>
      </c>
      <c r="G925" s="5">
        <v>2539822.33</v>
      </c>
      <c r="H925" s="5">
        <v>0.3664</v>
      </c>
    </row>
    <row r="926" spans="1:8" x14ac:dyDescent="0.3">
      <c r="A926" s="5">
        <v>20</v>
      </c>
      <c r="B926" s="5" t="s">
        <v>222</v>
      </c>
      <c r="C926" s="5" t="s">
        <v>32</v>
      </c>
      <c r="D926" s="5">
        <v>2021</v>
      </c>
      <c r="E926" s="5">
        <v>11</v>
      </c>
      <c r="F926" s="5">
        <v>4158903</v>
      </c>
      <c r="G926" s="5">
        <v>2602757.1200000001</v>
      </c>
      <c r="H926" s="5">
        <v>0.37419999999999998</v>
      </c>
    </row>
    <row r="927" spans="1:8" x14ac:dyDescent="0.3">
      <c r="A927" s="5">
        <v>20</v>
      </c>
      <c r="B927" s="5" t="s">
        <v>222</v>
      </c>
      <c r="C927" s="5" t="s">
        <v>33</v>
      </c>
      <c r="D927" s="5">
        <v>2021</v>
      </c>
      <c r="E927" s="5">
        <v>12</v>
      </c>
      <c r="F927" s="5">
        <v>3557608</v>
      </c>
      <c r="G927" s="5">
        <v>2274879.13</v>
      </c>
      <c r="H927" s="5">
        <v>0.36059999999999998</v>
      </c>
    </row>
    <row r="928" spans="1:8" x14ac:dyDescent="0.3">
      <c r="A928" s="5">
        <v>20</v>
      </c>
      <c r="B928" s="5" t="s">
        <v>222</v>
      </c>
      <c r="C928" s="5" t="s">
        <v>34</v>
      </c>
      <c r="D928" s="5">
        <v>2022</v>
      </c>
      <c r="E928" s="5">
        <v>1</v>
      </c>
      <c r="F928" s="5">
        <v>3573207</v>
      </c>
      <c r="G928" s="5">
        <v>2251127.46</v>
      </c>
      <c r="H928" s="5">
        <v>0.37</v>
      </c>
    </row>
    <row r="929" spans="1:8" x14ac:dyDescent="0.3">
      <c r="A929" s="5">
        <v>20</v>
      </c>
      <c r="B929" s="5" t="s">
        <v>222</v>
      </c>
      <c r="C929" s="5" t="s">
        <v>35</v>
      </c>
      <c r="D929" s="5">
        <v>2022</v>
      </c>
      <c r="E929" s="5">
        <v>2</v>
      </c>
      <c r="F929" s="5">
        <v>2673993</v>
      </c>
      <c r="G929" s="5">
        <v>1711087.76</v>
      </c>
      <c r="H929" s="5">
        <v>0.36009999999999998</v>
      </c>
    </row>
    <row r="930" spans="1:8" x14ac:dyDescent="0.3">
      <c r="A930" s="5">
        <v>20</v>
      </c>
      <c r="B930" s="5" t="s">
        <v>222</v>
      </c>
      <c r="C930" s="5" t="s">
        <v>36</v>
      </c>
      <c r="D930" s="5">
        <v>2022</v>
      </c>
      <c r="E930" s="5">
        <v>3</v>
      </c>
      <c r="F930" s="5">
        <v>3395218</v>
      </c>
      <c r="G930" s="5">
        <v>2146272.9900000002</v>
      </c>
      <c r="H930" s="5">
        <v>0.3679</v>
      </c>
    </row>
    <row r="931" spans="1:8" x14ac:dyDescent="0.3">
      <c r="A931" s="5">
        <v>20</v>
      </c>
      <c r="B931" s="5" t="s">
        <v>222</v>
      </c>
      <c r="C931" s="5" t="s">
        <v>37</v>
      </c>
      <c r="D931" s="5">
        <v>2022</v>
      </c>
      <c r="E931" s="5">
        <v>4</v>
      </c>
      <c r="F931" s="5">
        <v>3977620</v>
      </c>
      <c r="G931" s="5">
        <v>2561767.7000000002</v>
      </c>
      <c r="H931" s="5">
        <v>0.35599999999999998</v>
      </c>
    </row>
    <row r="932" spans="1:8" x14ac:dyDescent="0.3">
      <c r="A932" s="5">
        <v>20</v>
      </c>
      <c r="B932" s="5" t="s">
        <v>222</v>
      </c>
      <c r="C932" s="5" t="s">
        <v>38</v>
      </c>
      <c r="D932" s="5">
        <v>2022</v>
      </c>
      <c r="E932" s="5">
        <v>5</v>
      </c>
      <c r="F932" s="5">
        <v>3962198</v>
      </c>
      <c r="G932" s="5">
        <v>2657719.7000000002</v>
      </c>
      <c r="H932" s="5">
        <v>0.32919999999999999</v>
      </c>
    </row>
    <row r="933" spans="1:8" x14ac:dyDescent="0.3">
      <c r="A933" s="5">
        <v>20</v>
      </c>
      <c r="B933" s="5" t="s">
        <v>222</v>
      </c>
      <c r="C933" s="5" t="s">
        <v>39</v>
      </c>
      <c r="D933" s="5">
        <v>2022</v>
      </c>
      <c r="E933" s="5">
        <v>6</v>
      </c>
      <c r="F933" s="5">
        <v>3884958</v>
      </c>
      <c r="G933" s="5">
        <v>2581282.31</v>
      </c>
      <c r="H933" s="5">
        <v>0.33560000000000001</v>
      </c>
    </row>
    <row r="934" spans="1:8" x14ac:dyDescent="0.3">
      <c r="A934" s="5">
        <v>20</v>
      </c>
      <c r="B934" s="5" t="s">
        <v>222</v>
      </c>
      <c r="C934" s="5" t="s">
        <v>40</v>
      </c>
      <c r="D934" s="5">
        <v>2022</v>
      </c>
      <c r="E934" s="5">
        <v>7</v>
      </c>
      <c r="F934" s="5">
        <v>3776196</v>
      </c>
      <c r="G934" s="5">
        <v>2552349.0299999998</v>
      </c>
      <c r="H934" s="5">
        <v>0.3241</v>
      </c>
    </row>
    <row r="935" spans="1:8" x14ac:dyDescent="0.3">
      <c r="A935" s="5">
        <v>20</v>
      </c>
      <c r="B935" s="5" t="s">
        <v>222</v>
      </c>
      <c r="C935" s="5" t="s">
        <v>41</v>
      </c>
      <c r="D935" s="5">
        <v>2022</v>
      </c>
      <c r="E935" s="5">
        <v>8</v>
      </c>
      <c r="F935" s="5">
        <v>3503133</v>
      </c>
      <c r="G935" s="5">
        <v>2503650.56</v>
      </c>
      <c r="H935" s="5">
        <v>0.2853</v>
      </c>
    </row>
    <row r="936" spans="1:8" x14ac:dyDescent="0.3">
      <c r="A936" s="5">
        <v>20</v>
      </c>
      <c r="B936" s="5" t="s">
        <v>222</v>
      </c>
      <c r="C936" s="5" t="s">
        <v>42</v>
      </c>
      <c r="D936" s="5">
        <v>2022</v>
      </c>
      <c r="E936" s="5">
        <v>9</v>
      </c>
      <c r="F936" s="5">
        <v>4134221</v>
      </c>
      <c r="G936" s="5">
        <v>2748156.69</v>
      </c>
      <c r="H936" s="5">
        <v>0.33529999999999999</v>
      </c>
    </row>
    <row r="937" spans="1:8" x14ac:dyDescent="0.3">
      <c r="A937" s="5">
        <v>20</v>
      </c>
      <c r="B937" s="5" t="s">
        <v>222</v>
      </c>
      <c r="C937" s="5" t="s">
        <v>43</v>
      </c>
      <c r="D937" s="5">
        <v>2022</v>
      </c>
      <c r="E937" s="5">
        <v>10</v>
      </c>
      <c r="F937" s="5">
        <v>5001081</v>
      </c>
      <c r="G937" s="5">
        <v>3382241.48</v>
      </c>
      <c r="H937" s="5">
        <v>0.32369999999999999</v>
      </c>
    </row>
    <row r="938" spans="1:8" x14ac:dyDescent="0.3">
      <c r="A938" s="5">
        <v>20</v>
      </c>
      <c r="B938" s="5" t="s">
        <v>222</v>
      </c>
      <c r="C938" s="5" t="s">
        <v>44</v>
      </c>
      <c r="D938" s="5">
        <v>2022</v>
      </c>
      <c r="E938" s="5">
        <v>11</v>
      </c>
      <c r="F938" s="5">
        <v>5573282</v>
      </c>
      <c r="G938" s="5">
        <v>3597808.4</v>
      </c>
      <c r="H938" s="5">
        <v>0.35449999999999998</v>
      </c>
    </row>
    <row r="939" spans="1:8" x14ac:dyDescent="0.3">
      <c r="A939" s="5">
        <v>20</v>
      </c>
      <c r="B939" s="5" t="s">
        <v>222</v>
      </c>
      <c r="C939" s="5" t="s">
        <v>45</v>
      </c>
      <c r="D939" s="5">
        <v>2022</v>
      </c>
      <c r="E939" s="5">
        <v>12</v>
      </c>
      <c r="F939" s="5">
        <v>5071434</v>
      </c>
      <c r="G939" s="5">
        <v>3229443.58</v>
      </c>
      <c r="H939" s="5">
        <v>0.36320000000000002</v>
      </c>
    </row>
    <row r="940" spans="1:8" x14ac:dyDescent="0.3">
      <c r="A940" s="5">
        <v>20</v>
      </c>
      <c r="B940" s="5" t="s">
        <v>222</v>
      </c>
      <c r="C940" s="5" t="s">
        <v>46</v>
      </c>
      <c r="D940" s="5">
        <v>2023</v>
      </c>
      <c r="E940" s="5">
        <v>1</v>
      </c>
      <c r="F940" s="5">
        <v>3963349</v>
      </c>
      <c r="G940" s="5">
        <v>2627737.38</v>
      </c>
      <c r="H940" s="5">
        <v>0.33700000000000002</v>
      </c>
    </row>
    <row r="941" spans="1:8" x14ac:dyDescent="0.3">
      <c r="A941" s="5">
        <v>20</v>
      </c>
      <c r="B941" s="5" t="s">
        <v>222</v>
      </c>
      <c r="C941" s="5" t="s">
        <v>47</v>
      </c>
      <c r="D941" s="5">
        <v>2023</v>
      </c>
      <c r="E941" s="5">
        <v>2</v>
      </c>
      <c r="F941" s="5">
        <v>3778501</v>
      </c>
      <c r="G941" s="5">
        <v>2421643.25</v>
      </c>
      <c r="H941" s="5">
        <v>0.35909999999999997</v>
      </c>
    </row>
    <row r="942" spans="1:8" x14ac:dyDescent="0.3">
      <c r="A942" s="5">
        <v>20</v>
      </c>
      <c r="B942" s="5" t="s">
        <v>222</v>
      </c>
      <c r="C942" s="5" t="s">
        <v>48</v>
      </c>
      <c r="D942" s="5">
        <v>2023</v>
      </c>
      <c r="E942" s="5">
        <v>3</v>
      </c>
      <c r="F942" s="5">
        <v>4418109</v>
      </c>
      <c r="G942" s="5">
        <v>2935102.08</v>
      </c>
      <c r="H942" s="5">
        <v>0.3357</v>
      </c>
    </row>
    <row r="943" spans="1:8" x14ac:dyDescent="0.3">
      <c r="A943" s="5">
        <v>20</v>
      </c>
      <c r="B943" s="5" t="s">
        <v>222</v>
      </c>
      <c r="C943" s="5" t="s">
        <v>49</v>
      </c>
      <c r="D943" s="5">
        <v>2023</v>
      </c>
      <c r="E943" s="5">
        <v>4</v>
      </c>
      <c r="F943" s="5">
        <v>4796096</v>
      </c>
      <c r="G943" s="5">
        <v>3172544.85</v>
      </c>
      <c r="H943" s="5">
        <v>0.33850000000000002</v>
      </c>
    </row>
    <row r="944" spans="1:8" x14ac:dyDescent="0.3">
      <c r="A944" s="5">
        <v>20</v>
      </c>
      <c r="B944" s="5" t="s">
        <v>222</v>
      </c>
      <c r="C944" s="5" t="s">
        <v>50</v>
      </c>
      <c r="D944" s="5">
        <v>2023</v>
      </c>
      <c r="E944" s="5">
        <v>5</v>
      </c>
      <c r="F944" s="5">
        <v>5203608</v>
      </c>
      <c r="G944" s="5">
        <v>3386301.26</v>
      </c>
      <c r="H944" s="5">
        <v>0.34920000000000001</v>
      </c>
    </row>
    <row r="945" spans="1:8" x14ac:dyDescent="0.3">
      <c r="A945" s="5">
        <v>20</v>
      </c>
      <c r="B945" s="5" t="s">
        <v>222</v>
      </c>
      <c r="C945" s="5" t="s">
        <v>51</v>
      </c>
      <c r="D945" s="5">
        <v>2023</v>
      </c>
      <c r="E945" s="5">
        <v>6</v>
      </c>
      <c r="F945" s="5">
        <v>4868126</v>
      </c>
      <c r="G945" s="5">
        <v>3157218.65</v>
      </c>
      <c r="H945" s="5">
        <v>0.35149999999999998</v>
      </c>
    </row>
    <row r="946" spans="1:8" x14ac:dyDescent="0.3">
      <c r="A946" s="5">
        <v>20</v>
      </c>
      <c r="B946" s="5" t="s">
        <v>222</v>
      </c>
      <c r="C946" s="5" t="s">
        <v>52</v>
      </c>
      <c r="D946" s="5">
        <v>2023</v>
      </c>
      <c r="E946" s="5">
        <v>7</v>
      </c>
      <c r="F946" s="5">
        <v>4258515</v>
      </c>
      <c r="G946" s="5">
        <v>2874670.85</v>
      </c>
      <c r="H946" s="5">
        <v>0.32500000000000001</v>
      </c>
    </row>
    <row r="947" spans="1:8" x14ac:dyDescent="0.3">
      <c r="A947" s="5">
        <v>20</v>
      </c>
      <c r="B947" s="5" t="s">
        <v>222</v>
      </c>
      <c r="C947" s="5" t="s">
        <v>53</v>
      </c>
      <c r="D947" s="5">
        <v>2023</v>
      </c>
      <c r="E947" s="5">
        <v>8</v>
      </c>
      <c r="F947" s="5">
        <v>4552615</v>
      </c>
      <c r="G947" s="5">
        <v>3079123.53</v>
      </c>
      <c r="H947" s="5">
        <v>0.32369999999999999</v>
      </c>
    </row>
    <row r="948" spans="1:8" x14ac:dyDescent="0.3">
      <c r="A948" s="5">
        <v>20</v>
      </c>
      <c r="B948" s="5" t="s">
        <v>222</v>
      </c>
      <c r="C948" s="5" t="s">
        <v>54</v>
      </c>
      <c r="D948" s="5">
        <v>2023</v>
      </c>
      <c r="E948" s="5">
        <v>9</v>
      </c>
      <c r="F948" s="5">
        <v>5053673</v>
      </c>
      <c r="G948" s="5">
        <v>3451264.08</v>
      </c>
      <c r="H948" s="5">
        <v>0.31709999999999999</v>
      </c>
    </row>
    <row r="949" spans="1:8" x14ac:dyDescent="0.3">
      <c r="A949" s="5">
        <v>20</v>
      </c>
      <c r="B949" s="5" t="s">
        <v>222</v>
      </c>
      <c r="C949" s="5" t="s">
        <v>55</v>
      </c>
      <c r="D949" s="5">
        <v>2023</v>
      </c>
      <c r="E949" s="5">
        <v>10</v>
      </c>
      <c r="F949" s="5">
        <v>6971983</v>
      </c>
      <c r="G949" s="5">
        <v>4558109.91</v>
      </c>
      <c r="H949" s="5">
        <v>0.34620000000000001</v>
      </c>
    </row>
    <row r="950" spans="1:8" x14ac:dyDescent="0.3">
      <c r="A950" s="5">
        <v>20</v>
      </c>
      <c r="B950" s="5" t="s">
        <v>222</v>
      </c>
      <c r="C950" s="5" t="s">
        <v>56</v>
      </c>
      <c r="D950" s="5">
        <v>2023</v>
      </c>
      <c r="E950" s="5">
        <v>11</v>
      </c>
      <c r="F950" s="5">
        <v>7159645</v>
      </c>
      <c r="G950" s="5">
        <v>4900587.0999999996</v>
      </c>
      <c r="H950" s="5">
        <v>0.3155</v>
      </c>
    </row>
    <row r="951" spans="1:8" x14ac:dyDescent="0.3">
      <c r="A951" s="5">
        <v>20</v>
      </c>
      <c r="B951" s="5" t="s">
        <v>222</v>
      </c>
      <c r="C951" s="5" t="s">
        <v>57</v>
      </c>
      <c r="D951" s="5">
        <v>2023</v>
      </c>
      <c r="E951" s="5">
        <v>12</v>
      </c>
      <c r="F951" s="5">
        <v>6876511</v>
      </c>
      <c r="G951" s="5">
        <v>4711506.0199999996</v>
      </c>
      <c r="H951" s="5">
        <v>0.31480000000000002</v>
      </c>
    </row>
    <row r="952" spans="1:8" x14ac:dyDescent="0.3">
      <c r="A952" s="5">
        <v>20</v>
      </c>
      <c r="B952" s="5" t="s">
        <v>222</v>
      </c>
      <c r="C952" s="5" t="s">
        <v>58</v>
      </c>
      <c r="D952" s="5">
        <v>2024</v>
      </c>
      <c r="E952" s="5">
        <v>1</v>
      </c>
      <c r="F952" s="5">
        <v>4499056</v>
      </c>
      <c r="G952" s="5">
        <v>3014605.14</v>
      </c>
      <c r="H952" s="5">
        <v>0.32990000000000003</v>
      </c>
    </row>
    <row r="953" spans="1:8" x14ac:dyDescent="0.3">
      <c r="A953" s="5">
        <v>20</v>
      </c>
      <c r="B953" s="5" t="s">
        <v>222</v>
      </c>
      <c r="C953" s="5" t="s">
        <v>59</v>
      </c>
      <c r="D953" s="5">
        <v>2024</v>
      </c>
      <c r="E953" s="5">
        <v>2</v>
      </c>
      <c r="F953" s="5">
        <v>3923673</v>
      </c>
      <c r="G953" s="5">
        <v>2573960.87</v>
      </c>
      <c r="H953" s="5">
        <v>0.34399999999999997</v>
      </c>
    </row>
    <row r="954" spans="1:8" x14ac:dyDescent="0.3">
      <c r="A954" s="5">
        <v>20</v>
      </c>
      <c r="B954" s="5" t="s">
        <v>222</v>
      </c>
      <c r="C954" s="5" t="s">
        <v>60</v>
      </c>
      <c r="D954" s="5">
        <v>2024</v>
      </c>
      <c r="E954" s="5">
        <v>3</v>
      </c>
      <c r="F954" s="5">
        <v>4663015</v>
      </c>
      <c r="G954" s="5">
        <v>3054232.3</v>
      </c>
      <c r="H954" s="5">
        <v>0.34499999999999997</v>
      </c>
    </row>
    <row r="955" spans="1:8" x14ac:dyDescent="0.3">
      <c r="A955" s="5">
        <v>20</v>
      </c>
      <c r="B955" s="5" t="s">
        <v>222</v>
      </c>
      <c r="C955" s="5" t="s">
        <v>61</v>
      </c>
      <c r="D955" s="5">
        <v>2024</v>
      </c>
      <c r="E955" s="5">
        <v>4</v>
      </c>
      <c r="F955" s="5">
        <v>4810234</v>
      </c>
      <c r="G955" s="5">
        <v>3164655.7</v>
      </c>
      <c r="H955" s="5">
        <v>0.34210000000000002</v>
      </c>
    </row>
    <row r="956" spans="1:8" x14ac:dyDescent="0.3">
      <c r="A956" s="5">
        <v>20</v>
      </c>
      <c r="B956" s="5" t="s">
        <v>222</v>
      </c>
      <c r="C956" s="5" t="s">
        <v>62</v>
      </c>
      <c r="D956" s="5">
        <v>2024</v>
      </c>
      <c r="E956" s="5">
        <v>5</v>
      </c>
      <c r="F956" s="5">
        <v>5884032</v>
      </c>
      <c r="G956" s="5">
        <v>3890772.63</v>
      </c>
      <c r="H956" s="5">
        <v>0.33879999999999999</v>
      </c>
    </row>
    <row r="957" spans="1:8" x14ac:dyDescent="0.3">
      <c r="A957" s="5">
        <v>20</v>
      </c>
      <c r="B957" s="5" t="s">
        <v>222</v>
      </c>
      <c r="C957" s="5" t="s">
        <v>63</v>
      </c>
      <c r="D957" s="5">
        <v>2024</v>
      </c>
      <c r="E957" s="5">
        <v>6</v>
      </c>
      <c r="F957" s="5">
        <v>5801644</v>
      </c>
      <c r="G957" s="5">
        <v>3706256.54</v>
      </c>
      <c r="H957" s="5">
        <v>0.36120000000000002</v>
      </c>
    </row>
    <row r="958" spans="1:8" x14ac:dyDescent="0.3">
      <c r="A958" s="5">
        <v>20</v>
      </c>
      <c r="B958" s="5" t="s">
        <v>222</v>
      </c>
      <c r="C958" s="5" t="s">
        <v>64</v>
      </c>
      <c r="D958" s="5">
        <v>2024</v>
      </c>
      <c r="E958" s="5">
        <v>7</v>
      </c>
      <c r="F958" s="5">
        <v>5454587</v>
      </c>
      <c r="G958" s="5">
        <v>3520892.82</v>
      </c>
      <c r="H958" s="5">
        <v>0.35449999999999998</v>
      </c>
    </row>
    <row r="959" spans="1:8" x14ac:dyDescent="0.3">
      <c r="A959" s="5">
        <v>20</v>
      </c>
      <c r="B959" s="5" t="s">
        <v>222</v>
      </c>
      <c r="C959" s="5" t="s">
        <v>65</v>
      </c>
      <c r="D959" s="5">
        <v>2024</v>
      </c>
      <c r="E959" s="5">
        <v>8</v>
      </c>
      <c r="F959" s="5">
        <v>5809530</v>
      </c>
      <c r="G959" s="5">
        <v>3750846.99</v>
      </c>
      <c r="H959" s="5">
        <v>0.35439999999999999</v>
      </c>
    </row>
    <row r="960" spans="1:8" x14ac:dyDescent="0.3">
      <c r="A960" s="5">
        <v>20</v>
      </c>
      <c r="B960" s="5" t="s">
        <v>222</v>
      </c>
      <c r="C960" s="5" t="s">
        <v>66</v>
      </c>
      <c r="D960" s="5">
        <v>2024</v>
      </c>
      <c r="E960" s="5">
        <v>9</v>
      </c>
      <c r="F960" s="5">
        <v>6396141</v>
      </c>
      <c r="G960" s="5">
        <v>3996125.6</v>
      </c>
      <c r="H960" s="5">
        <v>0.37519999999999998</v>
      </c>
    </row>
    <row r="961" spans="1:8" x14ac:dyDescent="0.3">
      <c r="A961" s="5">
        <v>20</v>
      </c>
      <c r="B961" s="5" t="s">
        <v>222</v>
      </c>
      <c r="C961" s="5" t="s">
        <v>67</v>
      </c>
      <c r="D961" s="5">
        <v>2024</v>
      </c>
      <c r="E961" s="5">
        <v>10</v>
      </c>
      <c r="F961" s="5">
        <v>7651501</v>
      </c>
      <c r="G961" s="5">
        <v>4638329.1900000004</v>
      </c>
      <c r="H961" s="5">
        <v>0.39379999999999998</v>
      </c>
    </row>
    <row r="962" spans="1:8" x14ac:dyDescent="0.3">
      <c r="A962" s="5">
        <v>20</v>
      </c>
      <c r="B962" s="5" t="s">
        <v>222</v>
      </c>
      <c r="C962" s="5" t="s">
        <v>68</v>
      </c>
      <c r="D962" s="5">
        <v>2024</v>
      </c>
      <c r="E962" s="5">
        <v>11</v>
      </c>
      <c r="F962" s="5">
        <v>7914447</v>
      </c>
      <c r="G962" s="5">
        <v>4983532.9400000004</v>
      </c>
      <c r="H962" s="5">
        <v>0.37030000000000002</v>
      </c>
    </row>
    <row r="963" spans="1:8" x14ac:dyDescent="0.3">
      <c r="A963" s="5">
        <v>20</v>
      </c>
      <c r="B963" s="5" t="s">
        <v>222</v>
      </c>
      <c r="C963" s="5" t="s">
        <v>69</v>
      </c>
      <c r="D963" s="5">
        <v>2024</v>
      </c>
      <c r="E963" s="5">
        <v>12</v>
      </c>
      <c r="F963" s="5">
        <v>7952461</v>
      </c>
      <c r="G963" s="5">
        <v>4844544.5</v>
      </c>
      <c r="H963" s="5">
        <v>0.39079999999999998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Q20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4" customWidth="1"/>
    <col min="4" max="5" width="10" customWidth="1"/>
    <col min="6" max="6" width="14" customWidth="1"/>
    <col min="7" max="7" width="12" customWidth="1"/>
    <col min="8" max="8" width="17" customWidth="1"/>
    <col min="9" max="9" width="30" customWidth="1"/>
    <col min="10" max="10" width="16" customWidth="1"/>
    <col min="11" max="11" width="14" customWidth="1"/>
    <col min="12" max="13" width="12" customWidth="1"/>
    <col min="14" max="14" width="21" customWidth="1"/>
    <col min="15" max="15" width="26" customWidth="1"/>
    <col min="16" max="16" width="21" customWidth="1"/>
    <col min="17" max="17" width="14" customWidth="1"/>
  </cols>
  <sheetData>
    <row r="1" spans="1:17" x14ac:dyDescent="0.3">
      <c r="A1" s="8" t="s">
        <v>234</v>
      </c>
    </row>
    <row r="3" spans="1:17" x14ac:dyDescent="0.3">
      <c r="A3" s="9" t="s">
        <v>235</v>
      </c>
      <c r="B3" s="9" t="s">
        <v>17</v>
      </c>
      <c r="C3" s="9" t="s">
        <v>18</v>
      </c>
      <c r="D3" s="9" t="s">
        <v>19</v>
      </c>
      <c r="E3" s="9" t="s">
        <v>203</v>
      </c>
      <c r="F3" s="9" t="s">
        <v>20</v>
      </c>
      <c r="G3" s="9" t="s">
        <v>21</v>
      </c>
      <c r="H3" s="9" t="s">
        <v>236</v>
      </c>
      <c r="I3" s="9" t="s">
        <v>237</v>
      </c>
      <c r="J3" s="9" t="s">
        <v>238</v>
      </c>
      <c r="K3" s="9" t="s">
        <v>239</v>
      </c>
      <c r="L3" s="9" t="s">
        <v>240</v>
      </c>
      <c r="M3" s="9" t="s">
        <v>241</v>
      </c>
      <c r="N3" s="9" t="s">
        <v>242</v>
      </c>
      <c r="O3" s="9" t="s">
        <v>243</v>
      </c>
      <c r="P3" s="9" t="s">
        <v>244</v>
      </c>
      <c r="Q3" s="9" t="s">
        <v>245</v>
      </c>
    </row>
    <row r="4" spans="1:17" x14ac:dyDescent="0.3">
      <c r="A4" s="5">
        <v>158</v>
      </c>
      <c r="B4" s="5">
        <v>478598231</v>
      </c>
      <c r="C4" s="5">
        <v>392893521.63</v>
      </c>
      <c r="D4" s="5">
        <v>6171</v>
      </c>
      <c r="E4" s="5">
        <v>13564</v>
      </c>
      <c r="F4" s="5">
        <v>85704709.370000005</v>
      </c>
      <c r="G4" s="5">
        <v>0.17910000000000001</v>
      </c>
      <c r="H4" s="5">
        <v>77556.03</v>
      </c>
      <c r="I4" s="5" t="s">
        <v>246</v>
      </c>
      <c r="J4" s="5" t="s">
        <v>247</v>
      </c>
      <c r="K4" s="5">
        <v>5</v>
      </c>
      <c r="L4" s="5" t="s">
        <v>248</v>
      </c>
      <c r="M4" s="5" t="s">
        <v>249</v>
      </c>
      <c r="N4" s="5">
        <v>0.22259999999999999</v>
      </c>
      <c r="O4" s="5">
        <v>68093.63</v>
      </c>
      <c r="P4" s="5">
        <v>-4.3499999999999997E-2</v>
      </c>
      <c r="Q4" s="5">
        <v>0.13900000000000001</v>
      </c>
    </row>
    <row r="5" spans="1:17" x14ac:dyDescent="0.3">
      <c r="A5" s="5">
        <v>182</v>
      </c>
      <c r="B5" s="5">
        <v>265770437</v>
      </c>
      <c r="C5" s="5">
        <v>217932437.84999999</v>
      </c>
      <c r="D5" s="5">
        <v>3447</v>
      </c>
      <c r="E5" s="5">
        <v>7559</v>
      </c>
      <c r="F5" s="5">
        <v>47837999.149999999</v>
      </c>
      <c r="G5" s="5">
        <v>0.18</v>
      </c>
      <c r="H5" s="5">
        <v>77101.95</v>
      </c>
      <c r="I5" s="5" t="s">
        <v>250</v>
      </c>
      <c r="J5" s="5" t="s">
        <v>251</v>
      </c>
      <c r="K5" s="5">
        <v>5</v>
      </c>
      <c r="L5" s="5" t="s">
        <v>252</v>
      </c>
      <c r="M5" s="5" t="s">
        <v>253</v>
      </c>
      <c r="N5" s="5">
        <v>0.22259999999999999</v>
      </c>
      <c r="O5" s="5">
        <v>68093.63</v>
      </c>
      <c r="P5" s="5">
        <v>-4.2599999999999999E-2</v>
      </c>
      <c r="Q5" s="5">
        <v>0.1323</v>
      </c>
    </row>
    <row r="6" spans="1:17" x14ac:dyDescent="0.3">
      <c r="A6" s="5">
        <v>104</v>
      </c>
      <c r="B6" s="5">
        <v>261412791</v>
      </c>
      <c r="C6" s="5">
        <v>214002983.74000001</v>
      </c>
      <c r="D6" s="5">
        <v>3408</v>
      </c>
      <c r="E6" s="5">
        <v>7433</v>
      </c>
      <c r="F6" s="5">
        <v>47409807.259999998</v>
      </c>
      <c r="G6" s="5">
        <v>0.18140000000000001</v>
      </c>
      <c r="H6" s="5">
        <v>76705.63</v>
      </c>
      <c r="I6" s="5" t="s">
        <v>254</v>
      </c>
      <c r="J6" s="5" t="s">
        <v>223</v>
      </c>
      <c r="K6" s="5">
        <v>5</v>
      </c>
      <c r="L6" s="5" t="s">
        <v>255</v>
      </c>
      <c r="M6" s="5" t="s">
        <v>256</v>
      </c>
      <c r="N6" s="5">
        <v>0.22259999999999999</v>
      </c>
      <c r="O6" s="5">
        <v>68093.63</v>
      </c>
      <c r="P6" s="5">
        <v>-4.1300000000000003E-2</v>
      </c>
      <c r="Q6" s="5">
        <v>0.1265</v>
      </c>
    </row>
    <row r="7" spans="1:17" x14ac:dyDescent="0.3">
      <c r="A7" s="5">
        <v>191</v>
      </c>
      <c r="B7" s="5">
        <v>171291786</v>
      </c>
      <c r="C7" s="5">
        <v>156529762.47</v>
      </c>
      <c r="D7" s="5">
        <v>2409</v>
      </c>
      <c r="E7" s="5">
        <v>5330</v>
      </c>
      <c r="F7" s="5">
        <v>14762023.529999999</v>
      </c>
      <c r="G7" s="5">
        <v>8.6199999999999999E-2</v>
      </c>
      <c r="H7" s="5">
        <v>71104.929999999993</v>
      </c>
      <c r="I7" s="5" t="s">
        <v>257</v>
      </c>
      <c r="J7" s="5" t="s">
        <v>223</v>
      </c>
      <c r="K7" s="5">
        <v>15</v>
      </c>
      <c r="L7" s="5" t="s">
        <v>258</v>
      </c>
      <c r="M7" s="5" t="s">
        <v>259</v>
      </c>
      <c r="N7" s="5">
        <v>0.22259999999999999</v>
      </c>
      <c r="O7" s="5">
        <v>68093.63</v>
      </c>
      <c r="P7" s="5">
        <v>-0.13639999999999999</v>
      </c>
      <c r="Q7" s="5">
        <v>4.4200000000000003E-2</v>
      </c>
    </row>
    <row r="8" spans="1:17" x14ac:dyDescent="0.3">
      <c r="A8" s="5">
        <v>86</v>
      </c>
      <c r="B8" s="5">
        <v>150307327</v>
      </c>
      <c r="C8" s="5">
        <v>123056073.31</v>
      </c>
      <c r="D8" s="5">
        <v>1902</v>
      </c>
      <c r="E8" s="5">
        <v>4193</v>
      </c>
      <c r="F8" s="5">
        <v>27251253.690000001</v>
      </c>
      <c r="G8" s="5">
        <v>0.18129999999999999</v>
      </c>
      <c r="H8" s="5">
        <v>79025.929999999993</v>
      </c>
      <c r="I8" s="5" t="s">
        <v>260</v>
      </c>
      <c r="J8" s="5" t="s">
        <v>251</v>
      </c>
      <c r="K8" s="5">
        <v>5</v>
      </c>
      <c r="L8" s="5" t="s">
        <v>261</v>
      </c>
      <c r="M8" s="5" t="s">
        <v>262</v>
      </c>
      <c r="N8" s="5">
        <v>0.22259999999999999</v>
      </c>
      <c r="O8" s="5">
        <v>68093.63</v>
      </c>
      <c r="P8" s="5">
        <v>-4.1300000000000003E-2</v>
      </c>
      <c r="Q8" s="5">
        <v>0.1605</v>
      </c>
    </row>
    <row r="9" spans="1:17" x14ac:dyDescent="0.3">
      <c r="A9" s="5">
        <v>37</v>
      </c>
      <c r="B9" s="5">
        <v>136643946</v>
      </c>
      <c r="C9" s="5">
        <v>111786563.92</v>
      </c>
      <c r="D9" s="5">
        <v>1852</v>
      </c>
      <c r="E9" s="5">
        <v>4016</v>
      </c>
      <c r="F9" s="5">
        <v>24857382.079999998</v>
      </c>
      <c r="G9" s="5">
        <v>0.18190000000000001</v>
      </c>
      <c r="H9" s="5">
        <v>73781.83</v>
      </c>
      <c r="I9" s="5" t="s">
        <v>263</v>
      </c>
      <c r="J9" s="5" t="s">
        <v>251</v>
      </c>
      <c r="K9" s="5">
        <v>5</v>
      </c>
      <c r="L9" s="5" t="s">
        <v>264</v>
      </c>
      <c r="M9" s="5" t="s">
        <v>265</v>
      </c>
      <c r="N9" s="5">
        <v>0.22259999999999999</v>
      </c>
      <c r="O9" s="5">
        <v>68093.63</v>
      </c>
      <c r="P9" s="5">
        <v>-4.07E-2</v>
      </c>
      <c r="Q9" s="5">
        <v>8.3500000000000005E-2</v>
      </c>
    </row>
    <row r="10" spans="1:17" x14ac:dyDescent="0.3">
      <c r="A10" s="5">
        <v>72</v>
      </c>
      <c r="B10" s="5">
        <v>132548651</v>
      </c>
      <c r="C10" s="5">
        <v>114329389.84999999</v>
      </c>
      <c r="D10" s="5">
        <v>1875</v>
      </c>
      <c r="E10" s="5">
        <v>4059</v>
      </c>
      <c r="F10" s="5">
        <v>18219261.149999999</v>
      </c>
      <c r="G10" s="5">
        <v>0.13750000000000001</v>
      </c>
      <c r="H10" s="5">
        <v>70692.61</v>
      </c>
      <c r="I10" s="5" t="s">
        <v>266</v>
      </c>
      <c r="J10" s="5" t="s">
        <v>251</v>
      </c>
      <c r="K10" s="5">
        <v>10</v>
      </c>
      <c r="L10" s="5" t="s">
        <v>267</v>
      </c>
      <c r="M10" s="5" t="s">
        <v>268</v>
      </c>
      <c r="N10" s="5">
        <v>0.22259999999999999</v>
      </c>
      <c r="O10" s="5">
        <v>68093.63</v>
      </c>
      <c r="P10" s="5">
        <v>-8.5199999999999998E-2</v>
      </c>
      <c r="Q10" s="5">
        <v>3.8199999999999998E-2</v>
      </c>
    </row>
    <row r="11" spans="1:17" x14ac:dyDescent="0.3">
      <c r="A11" s="5">
        <v>187</v>
      </c>
      <c r="B11" s="5">
        <v>130796895</v>
      </c>
      <c r="C11" s="5">
        <v>135505416.80000001</v>
      </c>
      <c r="D11" s="5">
        <v>2219</v>
      </c>
      <c r="E11" s="5">
        <v>4843</v>
      </c>
      <c r="F11" s="5">
        <v>-4708521.8</v>
      </c>
      <c r="G11" s="5">
        <v>-3.5999999999999997E-2</v>
      </c>
      <c r="H11" s="5">
        <v>58944.07</v>
      </c>
      <c r="I11" s="5" t="s">
        <v>269</v>
      </c>
      <c r="J11" s="5" t="s">
        <v>251</v>
      </c>
      <c r="K11" s="5">
        <v>25</v>
      </c>
      <c r="L11" s="5" t="s">
        <v>270</v>
      </c>
      <c r="M11" s="5" t="s">
        <v>271</v>
      </c>
      <c r="N11" s="5">
        <v>0.22259999999999999</v>
      </c>
      <c r="O11" s="5">
        <v>68093.63</v>
      </c>
      <c r="P11" s="5">
        <v>-0.2586</v>
      </c>
      <c r="Q11" s="5">
        <v>-0.13439999999999999</v>
      </c>
    </row>
    <row r="12" spans="1:17" x14ac:dyDescent="0.3">
      <c r="A12" s="5">
        <v>155</v>
      </c>
      <c r="B12" s="5">
        <v>130476222</v>
      </c>
      <c r="C12" s="5">
        <v>115453891.31</v>
      </c>
      <c r="D12" s="5">
        <v>1895</v>
      </c>
      <c r="E12" s="5">
        <v>4194</v>
      </c>
      <c r="F12" s="5">
        <v>15022330.689999999</v>
      </c>
      <c r="G12" s="5">
        <v>0.11509999999999999</v>
      </c>
      <c r="H12" s="5">
        <v>68852.89</v>
      </c>
      <c r="I12" s="5" t="s">
        <v>272</v>
      </c>
      <c r="J12" s="5" t="s">
        <v>223</v>
      </c>
      <c r="K12" s="5">
        <v>12</v>
      </c>
      <c r="L12" s="5" t="s">
        <v>273</v>
      </c>
      <c r="M12" s="5" t="s">
        <v>274</v>
      </c>
      <c r="N12" s="5">
        <v>0.22259999999999999</v>
      </c>
      <c r="O12" s="5">
        <v>68093.63</v>
      </c>
      <c r="P12" s="5">
        <v>-0.1075</v>
      </c>
      <c r="Q12" s="5">
        <v>1.12E-2</v>
      </c>
    </row>
    <row r="13" spans="1:17" x14ac:dyDescent="0.3">
      <c r="A13" s="5">
        <v>140</v>
      </c>
      <c r="B13" s="5">
        <v>127756385</v>
      </c>
      <c r="C13" s="5">
        <v>117438371.97</v>
      </c>
      <c r="D13" s="5">
        <v>1818</v>
      </c>
      <c r="E13" s="5">
        <v>3952</v>
      </c>
      <c r="F13" s="5">
        <v>10318013.029999999</v>
      </c>
      <c r="G13" s="5">
        <v>8.0799999999999997E-2</v>
      </c>
      <c r="H13" s="5">
        <v>70273.039999999994</v>
      </c>
      <c r="I13" s="5" t="s">
        <v>275</v>
      </c>
      <c r="J13" s="5" t="s">
        <v>251</v>
      </c>
      <c r="K13" s="5">
        <v>15</v>
      </c>
      <c r="L13" s="5" t="s">
        <v>276</v>
      </c>
      <c r="M13" s="5" t="s">
        <v>277</v>
      </c>
      <c r="N13" s="5">
        <v>0.22259999999999999</v>
      </c>
      <c r="O13" s="5">
        <v>68093.63</v>
      </c>
      <c r="P13" s="5">
        <v>-0.1419</v>
      </c>
      <c r="Q13" s="5">
        <v>3.2000000000000001E-2</v>
      </c>
    </row>
    <row r="14" spans="1:17" x14ac:dyDescent="0.3">
      <c r="A14" s="5">
        <v>60</v>
      </c>
      <c r="B14" s="5">
        <v>124049338</v>
      </c>
      <c r="C14" s="5">
        <v>137753410.97</v>
      </c>
      <c r="D14" s="5">
        <v>2238</v>
      </c>
      <c r="E14" s="5">
        <v>4985</v>
      </c>
      <c r="F14" s="5">
        <v>-13704072.970000001</v>
      </c>
      <c r="G14" s="5">
        <v>-0.1105</v>
      </c>
      <c r="H14" s="5">
        <v>55428.66</v>
      </c>
      <c r="I14" s="5" t="s">
        <v>278</v>
      </c>
      <c r="J14" s="5" t="s">
        <v>247</v>
      </c>
      <c r="K14" s="5">
        <v>30</v>
      </c>
      <c r="L14" s="5" t="s">
        <v>279</v>
      </c>
      <c r="M14" s="5" t="s">
        <v>280</v>
      </c>
      <c r="N14" s="5">
        <v>0.22259999999999999</v>
      </c>
      <c r="O14" s="5">
        <v>68093.63</v>
      </c>
      <c r="P14" s="5">
        <v>-0.33310000000000001</v>
      </c>
      <c r="Q14" s="5">
        <v>-0.186</v>
      </c>
    </row>
    <row r="15" spans="1:17" x14ac:dyDescent="0.3">
      <c r="A15" s="5">
        <v>83</v>
      </c>
      <c r="B15" s="5">
        <v>111883993</v>
      </c>
      <c r="C15" s="5">
        <v>124452110.67</v>
      </c>
      <c r="D15" s="5">
        <v>1945</v>
      </c>
      <c r="E15" s="5">
        <v>4312</v>
      </c>
      <c r="F15" s="5">
        <v>-12568117.67</v>
      </c>
      <c r="G15" s="5">
        <v>-0.1123</v>
      </c>
      <c r="H15" s="5">
        <v>57523.9</v>
      </c>
      <c r="I15" s="5" t="s">
        <v>281</v>
      </c>
      <c r="J15" s="5" t="s">
        <v>282</v>
      </c>
      <c r="K15" s="5">
        <v>30</v>
      </c>
      <c r="L15" s="5" t="s">
        <v>283</v>
      </c>
      <c r="M15" s="5" t="s">
        <v>284</v>
      </c>
      <c r="N15" s="5">
        <v>0.22259999999999999</v>
      </c>
      <c r="O15" s="5">
        <v>68093.63</v>
      </c>
      <c r="P15" s="5">
        <v>-0.33500000000000002</v>
      </c>
      <c r="Q15" s="5">
        <v>-0.1552</v>
      </c>
    </row>
    <row r="16" spans="1:17" x14ac:dyDescent="0.3">
      <c r="A16" s="5">
        <v>151</v>
      </c>
      <c r="B16" s="5">
        <v>103437743</v>
      </c>
      <c r="C16" s="5">
        <v>89281924.969999999</v>
      </c>
      <c r="D16" s="5">
        <v>1394</v>
      </c>
      <c r="E16" s="5">
        <v>3098</v>
      </c>
      <c r="F16" s="5">
        <v>14155818.029999999</v>
      </c>
      <c r="G16" s="5">
        <v>0.13689999999999999</v>
      </c>
      <c r="H16" s="5">
        <v>74202.11</v>
      </c>
      <c r="I16" s="5" t="s">
        <v>285</v>
      </c>
      <c r="J16" s="5" t="s">
        <v>282</v>
      </c>
      <c r="K16" s="5">
        <v>10</v>
      </c>
      <c r="L16" s="5" t="s">
        <v>286</v>
      </c>
      <c r="M16" s="5" t="s">
        <v>287</v>
      </c>
      <c r="N16" s="5">
        <v>0.22259999999999999</v>
      </c>
      <c r="O16" s="5">
        <v>68093.63</v>
      </c>
      <c r="P16" s="5">
        <v>-8.5800000000000001E-2</v>
      </c>
      <c r="Q16" s="5">
        <v>8.9700000000000002E-2</v>
      </c>
    </row>
    <row r="17" spans="1:17" x14ac:dyDescent="0.3">
      <c r="A17" s="5">
        <v>125</v>
      </c>
      <c r="B17" s="5">
        <v>103110783</v>
      </c>
      <c r="C17" s="5">
        <v>100287539.23</v>
      </c>
      <c r="D17" s="5">
        <v>1611</v>
      </c>
      <c r="E17" s="5">
        <v>3467</v>
      </c>
      <c r="F17" s="5">
        <v>2823243.77</v>
      </c>
      <c r="G17" s="5">
        <v>2.7400000000000001E-2</v>
      </c>
      <c r="H17" s="5">
        <v>64004.21</v>
      </c>
      <c r="I17" s="5" t="s">
        <v>288</v>
      </c>
      <c r="J17" s="5" t="s">
        <v>251</v>
      </c>
      <c r="K17" s="5">
        <v>20</v>
      </c>
      <c r="L17" s="5" t="s">
        <v>289</v>
      </c>
      <c r="M17" s="5" t="s">
        <v>290</v>
      </c>
      <c r="N17" s="5">
        <v>0.22259999999999999</v>
      </c>
      <c r="O17" s="5">
        <v>68093.63</v>
      </c>
      <c r="P17" s="5">
        <v>-0.19520000000000001</v>
      </c>
      <c r="Q17" s="5">
        <v>-6.0100000000000001E-2</v>
      </c>
    </row>
    <row r="18" spans="1:17" x14ac:dyDescent="0.3">
      <c r="A18" s="5">
        <v>136</v>
      </c>
      <c r="B18" s="5">
        <v>96683502</v>
      </c>
      <c r="C18" s="5">
        <v>79372166.459999993</v>
      </c>
      <c r="D18" s="5">
        <v>1226</v>
      </c>
      <c r="E18" s="5">
        <v>2722</v>
      </c>
      <c r="F18" s="5">
        <v>17311335.539999999</v>
      </c>
      <c r="G18" s="5">
        <v>0.17910000000000001</v>
      </c>
      <c r="H18" s="5">
        <v>78860.929999999993</v>
      </c>
      <c r="I18" s="5" t="s">
        <v>291</v>
      </c>
      <c r="J18" s="5" t="s">
        <v>223</v>
      </c>
      <c r="K18" s="5">
        <v>5</v>
      </c>
      <c r="L18" s="5" t="s">
        <v>292</v>
      </c>
      <c r="M18" s="5" t="s">
        <v>293</v>
      </c>
      <c r="N18" s="5">
        <v>0.22259999999999999</v>
      </c>
      <c r="O18" s="5">
        <v>68093.63</v>
      </c>
      <c r="P18" s="5">
        <v>-4.36E-2</v>
      </c>
      <c r="Q18" s="5">
        <v>0.15809999999999999</v>
      </c>
    </row>
    <row r="19" spans="1:17" x14ac:dyDescent="0.3">
      <c r="A19" s="5">
        <v>85</v>
      </c>
      <c r="B19" s="5">
        <v>92264489</v>
      </c>
      <c r="C19" s="5">
        <v>95262435.370000005</v>
      </c>
      <c r="D19" s="5">
        <v>1550</v>
      </c>
      <c r="E19" s="5">
        <v>3404</v>
      </c>
      <c r="F19" s="5">
        <v>-2997946.37</v>
      </c>
      <c r="G19" s="5">
        <v>-3.2500000000000001E-2</v>
      </c>
      <c r="H19" s="5">
        <v>59525.48</v>
      </c>
      <c r="I19" s="5" t="s">
        <v>294</v>
      </c>
      <c r="J19" s="5" t="s">
        <v>295</v>
      </c>
      <c r="K19" s="5">
        <v>25</v>
      </c>
      <c r="L19" s="5" t="s">
        <v>296</v>
      </c>
      <c r="M19" s="5" t="s">
        <v>297</v>
      </c>
      <c r="N19" s="5">
        <v>0.22259999999999999</v>
      </c>
      <c r="O19" s="5">
        <v>68093.63</v>
      </c>
      <c r="P19" s="5">
        <v>-0.25509999999999999</v>
      </c>
      <c r="Q19" s="5">
        <v>-0.1258</v>
      </c>
    </row>
    <row r="20" spans="1:17" x14ac:dyDescent="0.3">
      <c r="A20" s="5">
        <v>165</v>
      </c>
      <c r="B20" s="5">
        <v>92234855</v>
      </c>
      <c r="C20" s="5">
        <v>89869997.510000005</v>
      </c>
      <c r="D20" s="5">
        <v>1370</v>
      </c>
      <c r="E20" s="5">
        <v>3041</v>
      </c>
      <c r="F20" s="5">
        <v>2364857.4900000002</v>
      </c>
      <c r="G20" s="5">
        <v>2.5600000000000001E-2</v>
      </c>
      <c r="H20" s="5">
        <v>67324.710000000006</v>
      </c>
      <c r="I20" s="5" t="s">
        <v>298</v>
      </c>
      <c r="J20" s="5" t="s">
        <v>295</v>
      </c>
      <c r="K20" s="5">
        <v>20</v>
      </c>
      <c r="L20" s="5" t="s">
        <v>299</v>
      </c>
      <c r="M20" s="5" t="s">
        <v>300</v>
      </c>
      <c r="N20" s="5">
        <v>0.22259999999999999</v>
      </c>
      <c r="O20" s="5">
        <v>68093.63</v>
      </c>
      <c r="P20" s="5">
        <v>-0.19700000000000001</v>
      </c>
      <c r="Q20" s="5">
        <v>-1.1299999999999999E-2</v>
      </c>
    </row>
    <row r="21" spans="1:17" x14ac:dyDescent="0.3">
      <c r="A21" s="5">
        <v>175</v>
      </c>
      <c r="B21" s="5">
        <v>88869563</v>
      </c>
      <c r="C21" s="5">
        <v>72952464.340000004</v>
      </c>
      <c r="D21" s="5">
        <v>1183</v>
      </c>
      <c r="E21" s="5">
        <v>2582</v>
      </c>
      <c r="F21" s="5">
        <v>15917098.66</v>
      </c>
      <c r="G21" s="5">
        <v>0.17910000000000001</v>
      </c>
      <c r="H21" s="5">
        <v>75122.2</v>
      </c>
      <c r="I21" s="5" t="s">
        <v>301</v>
      </c>
      <c r="J21" s="5" t="s">
        <v>247</v>
      </c>
      <c r="K21" s="5">
        <v>5</v>
      </c>
      <c r="L21" s="5" t="s">
        <v>302</v>
      </c>
      <c r="M21" s="5" t="s">
        <v>303</v>
      </c>
      <c r="N21" s="5">
        <v>0.22259999999999999</v>
      </c>
      <c r="O21" s="5">
        <v>68093.63</v>
      </c>
      <c r="P21" s="5">
        <v>-4.3499999999999997E-2</v>
      </c>
      <c r="Q21" s="5">
        <v>0.1032</v>
      </c>
    </row>
    <row r="22" spans="1:17" x14ac:dyDescent="0.3">
      <c r="A22" s="5">
        <v>27</v>
      </c>
      <c r="B22" s="5">
        <v>85707135</v>
      </c>
      <c r="C22" s="5">
        <v>73790590.870000005</v>
      </c>
      <c r="D22" s="5">
        <v>1220</v>
      </c>
      <c r="E22" s="5">
        <v>2683</v>
      </c>
      <c r="F22" s="5">
        <v>11916544.130000001</v>
      </c>
      <c r="G22" s="5">
        <v>0.13900000000000001</v>
      </c>
      <c r="H22" s="5">
        <v>70251.75</v>
      </c>
      <c r="I22" s="5" t="s">
        <v>304</v>
      </c>
      <c r="J22" s="5" t="s">
        <v>223</v>
      </c>
      <c r="K22" s="5">
        <v>10</v>
      </c>
      <c r="L22" s="5" t="s">
        <v>305</v>
      </c>
      <c r="M22" s="5" t="s">
        <v>306</v>
      </c>
      <c r="N22" s="5">
        <v>0.22259999999999999</v>
      </c>
      <c r="O22" s="5">
        <v>68093.63</v>
      </c>
      <c r="P22" s="5">
        <v>-8.3599999999999994E-2</v>
      </c>
      <c r="Q22" s="5">
        <v>3.1699999999999999E-2</v>
      </c>
    </row>
    <row r="23" spans="1:17" x14ac:dyDescent="0.3">
      <c r="A23" s="5">
        <v>166</v>
      </c>
      <c r="B23" s="5">
        <v>85318926</v>
      </c>
      <c r="C23" s="5">
        <v>80942347.920000002</v>
      </c>
      <c r="D23" s="5">
        <v>1261</v>
      </c>
      <c r="E23" s="5">
        <v>2759</v>
      </c>
      <c r="F23" s="5">
        <v>4376578.08</v>
      </c>
      <c r="G23" s="5">
        <v>5.1299999999999998E-2</v>
      </c>
      <c r="H23" s="5">
        <v>67659.740000000005</v>
      </c>
      <c r="I23" s="5" t="s">
        <v>307</v>
      </c>
      <c r="J23" s="5" t="s">
        <v>251</v>
      </c>
      <c r="K23" s="5">
        <v>18</v>
      </c>
      <c r="L23" s="5" t="s">
        <v>308</v>
      </c>
      <c r="M23" s="5" t="s">
        <v>309</v>
      </c>
      <c r="N23" s="5">
        <v>0.22259999999999999</v>
      </c>
      <c r="O23" s="5">
        <v>68093.63</v>
      </c>
      <c r="P23" s="5">
        <v>-0.17130000000000001</v>
      </c>
      <c r="Q23" s="5">
        <v>-6.4000000000000003E-3</v>
      </c>
    </row>
    <row r="24" spans="1:17" x14ac:dyDescent="0.3">
      <c r="A24" s="5">
        <v>120</v>
      </c>
      <c r="B24" s="5">
        <v>84199012</v>
      </c>
      <c r="C24" s="5">
        <v>87131103.049999997</v>
      </c>
      <c r="D24" s="5">
        <v>1392</v>
      </c>
      <c r="E24" s="5">
        <v>3053</v>
      </c>
      <c r="F24" s="5">
        <v>-2932091.05</v>
      </c>
      <c r="G24" s="5">
        <v>-3.4799999999999998E-2</v>
      </c>
      <c r="H24" s="5">
        <v>60487.8</v>
      </c>
      <c r="I24" s="5" t="s">
        <v>310</v>
      </c>
      <c r="J24" s="5" t="s">
        <v>223</v>
      </c>
      <c r="K24" s="5">
        <v>25</v>
      </c>
      <c r="L24" s="5" t="s">
        <v>311</v>
      </c>
      <c r="M24" s="5" t="s">
        <v>312</v>
      </c>
      <c r="N24" s="5">
        <v>0.22259999999999999</v>
      </c>
      <c r="O24" s="5">
        <v>68093.63</v>
      </c>
      <c r="P24" s="5">
        <v>-0.25740000000000002</v>
      </c>
      <c r="Q24" s="5">
        <v>-0.11169999999999999</v>
      </c>
    </row>
    <row r="25" spans="1:17" x14ac:dyDescent="0.3">
      <c r="A25" s="5">
        <v>94</v>
      </c>
      <c r="B25" s="5">
        <v>77413346</v>
      </c>
      <c r="C25" s="5">
        <v>92003241.450000003</v>
      </c>
      <c r="D25" s="5">
        <v>1672</v>
      </c>
      <c r="E25" s="5">
        <v>3540</v>
      </c>
      <c r="F25" s="5">
        <v>-14589895.449999999</v>
      </c>
      <c r="G25" s="5">
        <v>-0.1885</v>
      </c>
      <c r="H25" s="5">
        <v>46299.85</v>
      </c>
      <c r="I25" s="5" t="s">
        <v>313</v>
      </c>
      <c r="J25" s="5" t="s">
        <v>251</v>
      </c>
      <c r="K25" s="5">
        <v>35</v>
      </c>
      <c r="L25" s="5" t="s">
        <v>314</v>
      </c>
      <c r="M25" s="5" t="s">
        <v>315</v>
      </c>
      <c r="N25" s="5">
        <v>0.22259999999999999</v>
      </c>
      <c r="O25" s="5">
        <v>68093.63</v>
      </c>
      <c r="P25" s="5">
        <v>-0.41110000000000002</v>
      </c>
      <c r="Q25" s="5">
        <v>-0.3201</v>
      </c>
    </row>
    <row r="26" spans="1:17" x14ac:dyDescent="0.3">
      <c r="A26" s="5">
        <v>146</v>
      </c>
      <c r="B26" s="5">
        <v>76086459</v>
      </c>
      <c r="C26" s="5">
        <v>72377066.230000004</v>
      </c>
      <c r="D26" s="5">
        <v>1139</v>
      </c>
      <c r="E26" s="5">
        <v>2521</v>
      </c>
      <c r="F26" s="5">
        <v>3709392.77</v>
      </c>
      <c r="G26" s="5">
        <v>4.8800000000000003E-2</v>
      </c>
      <c r="H26" s="5">
        <v>66801.11</v>
      </c>
      <c r="I26" s="5" t="s">
        <v>316</v>
      </c>
      <c r="J26" s="5" t="s">
        <v>295</v>
      </c>
      <c r="K26" s="5">
        <v>18</v>
      </c>
      <c r="L26" s="5" t="s">
        <v>317</v>
      </c>
      <c r="M26" s="5" t="s">
        <v>318</v>
      </c>
      <c r="N26" s="5">
        <v>0.22259999999999999</v>
      </c>
      <c r="O26" s="5">
        <v>68093.63</v>
      </c>
      <c r="P26" s="5">
        <v>-0.1739</v>
      </c>
      <c r="Q26" s="5">
        <v>-1.9E-2</v>
      </c>
    </row>
    <row r="27" spans="1:17" x14ac:dyDescent="0.3">
      <c r="A27" s="5">
        <v>154</v>
      </c>
      <c r="B27" s="5">
        <v>75489956</v>
      </c>
      <c r="C27" s="5">
        <v>66415455.700000003</v>
      </c>
      <c r="D27" s="5">
        <v>1055</v>
      </c>
      <c r="E27" s="5">
        <v>2317</v>
      </c>
      <c r="F27" s="5">
        <v>9074500.3000000007</v>
      </c>
      <c r="G27" s="5">
        <v>0.1202</v>
      </c>
      <c r="H27" s="5">
        <v>71554.460000000006</v>
      </c>
      <c r="I27" s="5" t="s">
        <v>319</v>
      </c>
      <c r="J27" s="5" t="s">
        <v>251</v>
      </c>
      <c r="K27" s="5">
        <v>12</v>
      </c>
      <c r="L27" s="5" t="s">
        <v>320</v>
      </c>
      <c r="M27" s="5" t="s">
        <v>321</v>
      </c>
      <c r="N27" s="5">
        <v>0.22259999999999999</v>
      </c>
      <c r="O27" s="5">
        <v>68093.63</v>
      </c>
      <c r="P27" s="5">
        <v>-0.1024</v>
      </c>
      <c r="Q27" s="5">
        <v>5.0799999999999998E-2</v>
      </c>
    </row>
    <row r="28" spans="1:17" x14ac:dyDescent="0.3">
      <c r="A28" s="5">
        <v>15</v>
      </c>
      <c r="B28" s="5">
        <v>75258075</v>
      </c>
      <c r="C28" s="5">
        <v>71735651.620000005</v>
      </c>
      <c r="D28" s="5">
        <v>1100</v>
      </c>
      <c r="E28" s="5">
        <v>2469</v>
      </c>
      <c r="F28" s="5">
        <v>3522423.38</v>
      </c>
      <c r="G28" s="5">
        <v>4.6800000000000001E-2</v>
      </c>
      <c r="H28" s="5">
        <v>68416.429999999993</v>
      </c>
      <c r="I28" s="5" t="s">
        <v>322</v>
      </c>
      <c r="J28" s="5" t="s">
        <v>247</v>
      </c>
      <c r="K28" s="5">
        <v>18</v>
      </c>
      <c r="L28" s="5" t="s">
        <v>323</v>
      </c>
      <c r="M28" s="5" t="s">
        <v>318</v>
      </c>
      <c r="N28" s="5">
        <v>0.22259999999999999</v>
      </c>
      <c r="O28" s="5">
        <v>68093.63</v>
      </c>
      <c r="P28" s="5">
        <v>-0.17580000000000001</v>
      </c>
      <c r="Q28" s="5">
        <v>4.7000000000000002E-3</v>
      </c>
    </row>
    <row r="29" spans="1:17" x14ac:dyDescent="0.3">
      <c r="A29" s="5">
        <v>174</v>
      </c>
      <c r="B29" s="5">
        <v>74118462</v>
      </c>
      <c r="C29" s="5">
        <v>64092483.740000002</v>
      </c>
      <c r="D29" s="5">
        <v>1035</v>
      </c>
      <c r="E29" s="5">
        <v>2275</v>
      </c>
      <c r="F29" s="5">
        <v>10025978.26</v>
      </c>
      <c r="G29" s="5">
        <v>0.1353</v>
      </c>
      <c r="H29" s="5">
        <v>71612.039999999994</v>
      </c>
      <c r="I29" s="5" t="s">
        <v>324</v>
      </c>
      <c r="J29" s="5" t="s">
        <v>251</v>
      </c>
      <c r="K29" s="5">
        <v>10</v>
      </c>
      <c r="L29" s="5" t="s">
        <v>325</v>
      </c>
      <c r="M29" s="5" t="s">
        <v>326</v>
      </c>
      <c r="N29" s="5">
        <v>0.22259999999999999</v>
      </c>
      <c r="O29" s="5">
        <v>68093.63</v>
      </c>
      <c r="P29" s="5">
        <v>-8.7300000000000003E-2</v>
      </c>
      <c r="Q29" s="5">
        <v>5.1700000000000003E-2</v>
      </c>
    </row>
    <row r="30" spans="1:17" x14ac:dyDescent="0.3">
      <c r="A30" s="5">
        <v>79</v>
      </c>
      <c r="B30" s="5">
        <v>72700209</v>
      </c>
      <c r="C30" s="5">
        <v>75096328.760000005</v>
      </c>
      <c r="D30" s="5">
        <v>1249</v>
      </c>
      <c r="E30" s="5">
        <v>2794</v>
      </c>
      <c r="F30" s="5">
        <v>-2396119.7599999998</v>
      </c>
      <c r="G30" s="5">
        <v>-3.3000000000000002E-2</v>
      </c>
      <c r="H30" s="5">
        <v>58206.73</v>
      </c>
      <c r="I30" s="5" t="s">
        <v>327</v>
      </c>
      <c r="J30" s="5" t="s">
        <v>282</v>
      </c>
      <c r="K30" s="5">
        <v>25</v>
      </c>
      <c r="L30" s="5" t="s">
        <v>328</v>
      </c>
      <c r="M30" s="5" t="s">
        <v>329</v>
      </c>
      <c r="N30" s="5">
        <v>0.22259999999999999</v>
      </c>
      <c r="O30" s="5">
        <v>68093.63</v>
      </c>
      <c r="P30" s="5">
        <v>-0.25559999999999999</v>
      </c>
      <c r="Q30" s="5">
        <v>-0.1452</v>
      </c>
    </row>
    <row r="31" spans="1:17" x14ac:dyDescent="0.3">
      <c r="A31" s="5">
        <v>33</v>
      </c>
      <c r="B31" s="5">
        <v>71511551</v>
      </c>
      <c r="C31" s="5">
        <v>74208998.400000006</v>
      </c>
      <c r="D31" s="5">
        <v>1153</v>
      </c>
      <c r="E31" s="5">
        <v>2565</v>
      </c>
      <c r="F31" s="5">
        <v>-2697447.4</v>
      </c>
      <c r="G31" s="5">
        <v>-3.7699999999999997E-2</v>
      </c>
      <c r="H31" s="5">
        <v>62022.16</v>
      </c>
      <c r="I31" s="5" t="s">
        <v>330</v>
      </c>
      <c r="J31" s="5" t="s">
        <v>247</v>
      </c>
      <c r="K31" s="5">
        <v>25</v>
      </c>
      <c r="L31" s="5" t="s">
        <v>331</v>
      </c>
      <c r="M31" s="5" t="s">
        <v>332</v>
      </c>
      <c r="N31" s="5">
        <v>0.22259999999999999</v>
      </c>
      <c r="O31" s="5">
        <v>68093.63</v>
      </c>
      <c r="P31" s="5">
        <v>-0.26029999999999998</v>
      </c>
      <c r="Q31" s="5">
        <v>-8.9200000000000002E-2</v>
      </c>
    </row>
    <row r="32" spans="1:17" x14ac:dyDescent="0.3">
      <c r="A32" s="5">
        <v>160</v>
      </c>
      <c r="B32" s="5">
        <v>71146447</v>
      </c>
      <c r="C32" s="5">
        <v>69294432.969999999</v>
      </c>
      <c r="D32" s="5">
        <v>1038</v>
      </c>
      <c r="E32" s="5">
        <v>2317</v>
      </c>
      <c r="F32" s="5">
        <v>1852014.03</v>
      </c>
      <c r="G32" s="5">
        <v>2.5999999999999999E-2</v>
      </c>
      <c r="H32" s="5">
        <v>68541.86</v>
      </c>
      <c r="I32" s="5" t="s">
        <v>333</v>
      </c>
      <c r="J32" s="5" t="s">
        <v>282</v>
      </c>
      <c r="K32" s="5">
        <v>20</v>
      </c>
      <c r="L32" s="5" t="s">
        <v>334</v>
      </c>
      <c r="M32" s="5" t="s">
        <v>335</v>
      </c>
      <c r="N32" s="5">
        <v>0.22259999999999999</v>
      </c>
      <c r="O32" s="5">
        <v>68093.63</v>
      </c>
      <c r="P32" s="5">
        <v>-0.1966</v>
      </c>
      <c r="Q32" s="5">
        <v>6.6E-3</v>
      </c>
    </row>
    <row r="33" spans="1:17" x14ac:dyDescent="0.3">
      <c r="A33" s="5">
        <v>48</v>
      </c>
      <c r="B33" s="5">
        <v>70726320</v>
      </c>
      <c r="C33" s="5">
        <v>61047374.950000003</v>
      </c>
      <c r="D33" s="5">
        <v>988</v>
      </c>
      <c r="E33" s="5">
        <v>2179</v>
      </c>
      <c r="F33" s="5">
        <v>9678945.0500000007</v>
      </c>
      <c r="G33" s="5">
        <v>0.13689999999999999</v>
      </c>
      <c r="H33" s="5">
        <v>71585.34</v>
      </c>
      <c r="I33" s="5" t="s">
        <v>336</v>
      </c>
      <c r="J33" s="5" t="s">
        <v>282</v>
      </c>
      <c r="K33" s="5">
        <v>10</v>
      </c>
      <c r="L33" s="5" t="s">
        <v>337</v>
      </c>
      <c r="M33" s="5" t="s">
        <v>338</v>
      </c>
      <c r="N33" s="5">
        <v>0.22259999999999999</v>
      </c>
      <c r="O33" s="5">
        <v>68093.63</v>
      </c>
      <c r="P33" s="5">
        <v>-8.5800000000000001E-2</v>
      </c>
      <c r="Q33" s="5">
        <v>5.1299999999999998E-2</v>
      </c>
    </row>
    <row r="34" spans="1:17" x14ac:dyDescent="0.3">
      <c r="A34" s="5">
        <v>54</v>
      </c>
      <c r="B34" s="5">
        <v>70324026</v>
      </c>
      <c r="C34" s="5">
        <v>73023283.659999996</v>
      </c>
      <c r="D34" s="5">
        <v>1157</v>
      </c>
      <c r="E34" s="5">
        <v>2564</v>
      </c>
      <c r="F34" s="5">
        <v>-2699257.66</v>
      </c>
      <c r="G34" s="5">
        <v>-3.8399999999999997E-2</v>
      </c>
      <c r="H34" s="5">
        <v>60781.35</v>
      </c>
      <c r="I34" s="5" t="s">
        <v>339</v>
      </c>
      <c r="J34" s="5" t="s">
        <v>251</v>
      </c>
      <c r="K34" s="5">
        <v>25</v>
      </c>
      <c r="L34" s="5" t="s">
        <v>340</v>
      </c>
      <c r="M34" s="5" t="s">
        <v>341</v>
      </c>
      <c r="N34" s="5">
        <v>0.22259999999999999</v>
      </c>
      <c r="O34" s="5">
        <v>68093.63</v>
      </c>
      <c r="P34" s="5">
        <v>-0.26100000000000001</v>
      </c>
      <c r="Q34" s="5">
        <v>-0.1074</v>
      </c>
    </row>
    <row r="35" spans="1:17" x14ac:dyDescent="0.3">
      <c r="A35" s="5">
        <v>129</v>
      </c>
      <c r="B35" s="5">
        <v>69467874</v>
      </c>
      <c r="C35" s="5">
        <v>61535342.390000001</v>
      </c>
      <c r="D35" s="5">
        <v>912</v>
      </c>
      <c r="E35" s="5">
        <v>2019</v>
      </c>
      <c r="F35" s="5">
        <v>7932531.6100000003</v>
      </c>
      <c r="G35" s="5">
        <v>0.1142</v>
      </c>
      <c r="H35" s="5">
        <v>76170.91</v>
      </c>
      <c r="I35" s="5" t="s">
        <v>342</v>
      </c>
      <c r="J35" s="5" t="s">
        <v>223</v>
      </c>
      <c r="K35" s="5">
        <v>12</v>
      </c>
      <c r="L35" s="5" t="s">
        <v>343</v>
      </c>
      <c r="M35" s="5" t="s">
        <v>344</v>
      </c>
      <c r="N35" s="5">
        <v>0.22259999999999999</v>
      </c>
      <c r="O35" s="5">
        <v>68093.63</v>
      </c>
      <c r="P35" s="5">
        <v>-0.1084</v>
      </c>
      <c r="Q35" s="5">
        <v>0.1186</v>
      </c>
    </row>
    <row r="36" spans="1:17" x14ac:dyDescent="0.3">
      <c r="A36" s="5">
        <v>196</v>
      </c>
      <c r="B36" s="5">
        <v>68835124</v>
      </c>
      <c r="C36" s="5">
        <v>56451762.700000003</v>
      </c>
      <c r="D36" s="5">
        <v>860</v>
      </c>
      <c r="E36" s="5">
        <v>1890</v>
      </c>
      <c r="F36" s="5">
        <v>12383361.300000001</v>
      </c>
      <c r="G36" s="5">
        <v>0.1799</v>
      </c>
      <c r="H36" s="5">
        <v>80040.84</v>
      </c>
      <c r="I36" s="5" t="s">
        <v>345</v>
      </c>
      <c r="J36" s="5" t="s">
        <v>247</v>
      </c>
      <c r="K36" s="5">
        <v>5</v>
      </c>
      <c r="L36" s="5" t="s">
        <v>346</v>
      </c>
      <c r="M36" s="5" t="s">
        <v>347</v>
      </c>
      <c r="N36" s="5">
        <v>0.22259999999999999</v>
      </c>
      <c r="O36" s="5">
        <v>68093.63</v>
      </c>
      <c r="P36" s="5">
        <v>-4.2700000000000002E-2</v>
      </c>
      <c r="Q36" s="5">
        <v>0.17549999999999999</v>
      </c>
    </row>
    <row r="37" spans="1:17" x14ac:dyDescent="0.3">
      <c r="A37" s="5">
        <v>57</v>
      </c>
      <c r="B37" s="5">
        <v>67577002</v>
      </c>
      <c r="C37" s="5">
        <v>65537622.049999997</v>
      </c>
      <c r="D37" s="5">
        <v>1107</v>
      </c>
      <c r="E37" s="5">
        <v>2417</v>
      </c>
      <c r="F37" s="5">
        <v>2039379.95</v>
      </c>
      <c r="G37" s="5">
        <v>3.0200000000000001E-2</v>
      </c>
      <c r="H37" s="5">
        <v>61045.17</v>
      </c>
      <c r="I37" s="5" t="s">
        <v>348</v>
      </c>
      <c r="J37" s="5" t="s">
        <v>223</v>
      </c>
      <c r="K37" s="5">
        <v>20</v>
      </c>
      <c r="L37" s="5" t="s">
        <v>259</v>
      </c>
      <c r="M37" s="5" t="s">
        <v>349</v>
      </c>
      <c r="N37" s="5">
        <v>0.22259999999999999</v>
      </c>
      <c r="O37" s="5">
        <v>68093.63</v>
      </c>
      <c r="P37" s="5">
        <v>-0.19239999999999999</v>
      </c>
      <c r="Q37" s="5">
        <v>-0.10349999999999999</v>
      </c>
    </row>
    <row r="38" spans="1:17" x14ac:dyDescent="0.3">
      <c r="A38" s="5">
        <v>131</v>
      </c>
      <c r="B38" s="5">
        <v>67545915</v>
      </c>
      <c r="C38" s="5">
        <v>64112694.289999999</v>
      </c>
      <c r="D38" s="5">
        <v>1054</v>
      </c>
      <c r="E38" s="5">
        <v>2251</v>
      </c>
      <c r="F38" s="5">
        <v>3433220.71</v>
      </c>
      <c r="G38" s="5">
        <v>5.0799999999999998E-2</v>
      </c>
      <c r="H38" s="5">
        <v>64085.31</v>
      </c>
      <c r="I38" s="5" t="s">
        <v>350</v>
      </c>
      <c r="J38" s="5" t="s">
        <v>251</v>
      </c>
      <c r="K38" s="5">
        <v>18</v>
      </c>
      <c r="L38" s="5" t="s">
        <v>351</v>
      </c>
      <c r="M38" s="5" t="s">
        <v>352</v>
      </c>
      <c r="N38" s="5">
        <v>0.22259999999999999</v>
      </c>
      <c r="O38" s="5">
        <v>68093.63</v>
      </c>
      <c r="P38" s="5">
        <v>-0.17180000000000001</v>
      </c>
      <c r="Q38" s="5">
        <v>-5.8900000000000001E-2</v>
      </c>
    </row>
    <row r="39" spans="1:17" x14ac:dyDescent="0.3">
      <c r="A39" s="5">
        <v>17</v>
      </c>
      <c r="B39" s="5">
        <v>67541094</v>
      </c>
      <c r="C39" s="5">
        <v>70045799.709999993</v>
      </c>
      <c r="D39" s="5">
        <v>1095</v>
      </c>
      <c r="E39" s="5">
        <v>2381</v>
      </c>
      <c r="F39" s="5">
        <v>-2504705.71</v>
      </c>
      <c r="G39" s="5">
        <v>-3.7100000000000001E-2</v>
      </c>
      <c r="H39" s="5">
        <v>61681.36</v>
      </c>
      <c r="I39" s="5" t="s">
        <v>353</v>
      </c>
      <c r="J39" s="5" t="s">
        <v>247</v>
      </c>
      <c r="K39" s="5">
        <v>25</v>
      </c>
      <c r="L39" s="5" t="s">
        <v>354</v>
      </c>
      <c r="M39" s="5" t="s">
        <v>349</v>
      </c>
      <c r="N39" s="5">
        <v>0.22259999999999999</v>
      </c>
      <c r="O39" s="5">
        <v>68093.63</v>
      </c>
      <c r="P39" s="5">
        <v>-0.25969999999999999</v>
      </c>
      <c r="Q39" s="5">
        <v>-9.4200000000000006E-2</v>
      </c>
    </row>
    <row r="40" spans="1:17" x14ac:dyDescent="0.3">
      <c r="A40" s="5">
        <v>81</v>
      </c>
      <c r="B40" s="5">
        <v>66978792</v>
      </c>
      <c r="C40" s="5">
        <v>61526981.280000001</v>
      </c>
      <c r="D40" s="5">
        <v>989</v>
      </c>
      <c r="E40" s="5">
        <v>2181</v>
      </c>
      <c r="F40" s="5">
        <v>5451810.7199999997</v>
      </c>
      <c r="G40" s="5">
        <v>8.14E-2</v>
      </c>
      <c r="H40" s="5">
        <v>67723.75</v>
      </c>
      <c r="I40" s="5" t="s">
        <v>355</v>
      </c>
      <c r="J40" s="5" t="s">
        <v>223</v>
      </c>
      <c r="K40" s="5">
        <v>15</v>
      </c>
      <c r="L40" s="5" t="s">
        <v>356</v>
      </c>
      <c r="M40" s="5" t="s">
        <v>357</v>
      </c>
      <c r="N40" s="5">
        <v>0.22259999999999999</v>
      </c>
      <c r="O40" s="5">
        <v>68093.63</v>
      </c>
      <c r="P40" s="5">
        <v>-0.14119999999999999</v>
      </c>
      <c r="Q40" s="5">
        <v>-5.4000000000000003E-3</v>
      </c>
    </row>
    <row r="41" spans="1:17" x14ac:dyDescent="0.3">
      <c r="A41" s="5">
        <v>61</v>
      </c>
      <c r="B41" s="5">
        <v>66708635</v>
      </c>
      <c r="C41" s="5">
        <v>57869901.270000003</v>
      </c>
      <c r="D41" s="5">
        <v>969</v>
      </c>
      <c r="E41" s="5">
        <v>2102</v>
      </c>
      <c r="F41" s="5">
        <v>8838733.7300000004</v>
      </c>
      <c r="G41" s="5">
        <v>0.13250000000000001</v>
      </c>
      <c r="H41" s="5">
        <v>68842.759999999995</v>
      </c>
      <c r="I41" s="5" t="s">
        <v>358</v>
      </c>
      <c r="J41" s="5" t="s">
        <v>295</v>
      </c>
      <c r="K41" s="5">
        <v>10</v>
      </c>
      <c r="L41" s="5" t="s">
        <v>359</v>
      </c>
      <c r="M41" s="5" t="s">
        <v>360</v>
      </c>
      <c r="N41" s="5">
        <v>0.22259999999999999</v>
      </c>
      <c r="O41" s="5">
        <v>68093.63</v>
      </c>
      <c r="P41" s="5">
        <v>-9.01E-2</v>
      </c>
      <c r="Q41" s="5">
        <v>1.0999999999999999E-2</v>
      </c>
    </row>
    <row r="42" spans="1:17" x14ac:dyDescent="0.3">
      <c r="A42" s="5">
        <v>133</v>
      </c>
      <c r="B42" s="5">
        <v>66605073</v>
      </c>
      <c r="C42" s="5">
        <v>54649057.57</v>
      </c>
      <c r="D42" s="5">
        <v>838</v>
      </c>
      <c r="E42" s="5">
        <v>1854</v>
      </c>
      <c r="F42" s="5">
        <v>11956015.43</v>
      </c>
      <c r="G42" s="5">
        <v>0.17949999999999999</v>
      </c>
      <c r="H42" s="5">
        <v>79480.990000000005</v>
      </c>
      <c r="I42" s="5" t="s">
        <v>361</v>
      </c>
      <c r="J42" s="5" t="s">
        <v>223</v>
      </c>
      <c r="K42" s="5">
        <v>5</v>
      </c>
      <c r="L42" s="5" t="s">
        <v>362</v>
      </c>
      <c r="M42" s="5" t="s">
        <v>363</v>
      </c>
      <c r="N42" s="5">
        <v>0.22259999999999999</v>
      </c>
      <c r="O42" s="5">
        <v>68093.63</v>
      </c>
      <c r="P42" s="5">
        <v>-4.3099999999999999E-2</v>
      </c>
      <c r="Q42" s="5">
        <v>0.16719999999999999</v>
      </c>
    </row>
    <row r="43" spans="1:17" x14ac:dyDescent="0.3">
      <c r="A43" s="5">
        <v>148</v>
      </c>
      <c r="B43" s="5">
        <v>66212341</v>
      </c>
      <c r="C43" s="5">
        <v>60364406.810000002</v>
      </c>
      <c r="D43" s="5">
        <v>973</v>
      </c>
      <c r="E43" s="5">
        <v>2165</v>
      </c>
      <c r="F43" s="5">
        <v>5847934.1900000004</v>
      </c>
      <c r="G43" s="5">
        <v>8.8300000000000003E-2</v>
      </c>
      <c r="H43" s="5">
        <v>68049.679999999993</v>
      </c>
      <c r="I43" s="5" t="s">
        <v>364</v>
      </c>
      <c r="J43" s="5" t="s">
        <v>251</v>
      </c>
      <c r="K43" s="5">
        <v>15</v>
      </c>
      <c r="L43" s="5" t="s">
        <v>365</v>
      </c>
      <c r="M43" s="5" t="s">
        <v>366</v>
      </c>
      <c r="N43" s="5">
        <v>0.22259999999999999</v>
      </c>
      <c r="O43" s="5">
        <v>68093.63</v>
      </c>
      <c r="P43" s="5">
        <v>-0.1343</v>
      </c>
      <c r="Q43" s="5">
        <v>-5.9999999999999995E-4</v>
      </c>
    </row>
    <row r="44" spans="1:17" x14ac:dyDescent="0.3">
      <c r="A44" s="5">
        <v>170</v>
      </c>
      <c r="B44" s="5">
        <v>65974319</v>
      </c>
      <c r="C44" s="5">
        <v>60277012.240000002</v>
      </c>
      <c r="D44" s="5">
        <v>1002</v>
      </c>
      <c r="E44" s="5">
        <v>2216</v>
      </c>
      <c r="F44" s="5">
        <v>5697306.7599999998</v>
      </c>
      <c r="G44" s="5">
        <v>8.6400000000000005E-2</v>
      </c>
      <c r="H44" s="5">
        <v>65842.63</v>
      </c>
      <c r="I44" s="5" t="s">
        <v>367</v>
      </c>
      <c r="J44" s="5" t="s">
        <v>295</v>
      </c>
      <c r="K44" s="5">
        <v>15</v>
      </c>
      <c r="L44" s="5" t="s">
        <v>368</v>
      </c>
      <c r="M44" s="5" t="s">
        <v>369</v>
      </c>
      <c r="N44" s="5">
        <v>0.22259999999999999</v>
      </c>
      <c r="O44" s="5">
        <v>68093.63</v>
      </c>
      <c r="P44" s="5">
        <v>-0.1363</v>
      </c>
      <c r="Q44" s="5">
        <v>-3.3099999999999997E-2</v>
      </c>
    </row>
    <row r="45" spans="1:17" x14ac:dyDescent="0.3">
      <c r="A45" s="5">
        <v>25</v>
      </c>
      <c r="B45" s="5">
        <v>65406079</v>
      </c>
      <c r="C45" s="5">
        <v>56424000.140000001</v>
      </c>
      <c r="D45" s="5">
        <v>871</v>
      </c>
      <c r="E45" s="5">
        <v>1901</v>
      </c>
      <c r="F45" s="5">
        <v>8982078.8599999994</v>
      </c>
      <c r="G45" s="5">
        <v>0.13730000000000001</v>
      </c>
      <c r="H45" s="5">
        <v>75093.09</v>
      </c>
      <c r="I45" s="5" t="s">
        <v>370</v>
      </c>
      <c r="J45" s="5" t="s">
        <v>247</v>
      </c>
      <c r="K45" s="5">
        <v>10</v>
      </c>
      <c r="L45" s="5" t="s">
        <v>371</v>
      </c>
      <c r="M45" s="5" t="s">
        <v>372</v>
      </c>
      <c r="N45" s="5">
        <v>0.22259999999999999</v>
      </c>
      <c r="O45" s="5">
        <v>68093.63</v>
      </c>
      <c r="P45" s="5">
        <v>-8.5300000000000001E-2</v>
      </c>
      <c r="Q45" s="5">
        <v>0.1028</v>
      </c>
    </row>
    <row r="46" spans="1:17" x14ac:dyDescent="0.3">
      <c r="A46" s="5">
        <v>41</v>
      </c>
      <c r="B46" s="5">
        <v>65188184</v>
      </c>
      <c r="C46" s="5">
        <v>59519783.969999999</v>
      </c>
      <c r="D46" s="5">
        <v>889</v>
      </c>
      <c r="E46" s="5">
        <v>2007</v>
      </c>
      <c r="F46" s="5">
        <v>5668400.0300000003</v>
      </c>
      <c r="G46" s="5">
        <v>8.6999999999999994E-2</v>
      </c>
      <c r="H46" s="5">
        <v>73327.539999999994</v>
      </c>
      <c r="I46" s="5" t="s">
        <v>373</v>
      </c>
      <c r="J46" s="5" t="s">
        <v>282</v>
      </c>
      <c r="K46" s="5">
        <v>15</v>
      </c>
      <c r="L46" s="5" t="s">
        <v>374</v>
      </c>
      <c r="M46" s="5" t="s">
        <v>375</v>
      </c>
      <c r="N46" s="5">
        <v>0.22259999999999999</v>
      </c>
      <c r="O46" s="5">
        <v>68093.63</v>
      </c>
      <c r="P46" s="5">
        <v>-0.13569999999999999</v>
      </c>
      <c r="Q46" s="5">
        <v>7.6899999999999996E-2</v>
      </c>
    </row>
    <row r="47" spans="1:17" x14ac:dyDescent="0.3">
      <c r="A47" s="5">
        <v>36</v>
      </c>
      <c r="B47" s="5">
        <v>65154956</v>
      </c>
      <c r="C47" s="5">
        <v>56107387.43</v>
      </c>
      <c r="D47" s="5">
        <v>847</v>
      </c>
      <c r="E47" s="5">
        <v>1887</v>
      </c>
      <c r="F47" s="5">
        <v>9047568.5700000003</v>
      </c>
      <c r="G47" s="5">
        <v>0.1389</v>
      </c>
      <c r="H47" s="5">
        <v>76924.39</v>
      </c>
      <c r="I47" s="5" t="s">
        <v>376</v>
      </c>
      <c r="J47" s="5" t="s">
        <v>282</v>
      </c>
      <c r="K47" s="5">
        <v>10</v>
      </c>
      <c r="L47" s="5" t="s">
        <v>377</v>
      </c>
      <c r="M47" s="5" t="s">
        <v>378</v>
      </c>
      <c r="N47" s="5">
        <v>0.22259999999999999</v>
      </c>
      <c r="O47" s="5">
        <v>68093.63</v>
      </c>
      <c r="P47" s="5">
        <v>-8.3799999999999999E-2</v>
      </c>
      <c r="Q47" s="5">
        <v>0.12970000000000001</v>
      </c>
    </row>
    <row r="48" spans="1:17" x14ac:dyDescent="0.3">
      <c r="A48" s="5">
        <v>127</v>
      </c>
      <c r="B48" s="5">
        <v>64926882</v>
      </c>
      <c r="C48" s="5">
        <v>53245517.600000001</v>
      </c>
      <c r="D48" s="5">
        <v>828</v>
      </c>
      <c r="E48" s="5">
        <v>1826</v>
      </c>
      <c r="F48" s="5">
        <v>11681364.4</v>
      </c>
      <c r="G48" s="5">
        <v>0.1799</v>
      </c>
      <c r="H48" s="5">
        <v>78414.11</v>
      </c>
      <c r="I48" s="5" t="s">
        <v>379</v>
      </c>
      <c r="J48" s="5" t="s">
        <v>251</v>
      </c>
      <c r="K48" s="5">
        <v>5</v>
      </c>
      <c r="L48" s="5" t="s">
        <v>380</v>
      </c>
      <c r="M48" s="5" t="s">
        <v>381</v>
      </c>
      <c r="N48" s="5">
        <v>0.22259999999999999</v>
      </c>
      <c r="O48" s="5">
        <v>68093.63</v>
      </c>
      <c r="P48" s="5">
        <v>-4.2700000000000002E-2</v>
      </c>
      <c r="Q48" s="5">
        <v>0.15160000000000001</v>
      </c>
    </row>
    <row r="49" spans="1:17" x14ac:dyDescent="0.3">
      <c r="A49" s="5">
        <v>80</v>
      </c>
      <c r="B49" s="5">
        <v>64163824</v>
      </c>
      <c r="C49" s="5">
        <v>55539874.600000001</v>
      </c>
      <c r="D49" s="5">
        <v>836</v>
      </c>
      <c r="E49" s="5">
        <v>1838</v>
      </c>
      <c r="F49" s="5">
        <v>8623949.4000000004</v>
      </c>
      <c r="G49" s="5">
        <v>0.13439999999999999</v>
      </c>
      <c r="H49" s="5">
        <v>76750.990000000005</v>
      </c>
      <c r="I49" s="5" t="s">
        <v>382</v>
      </c>
      <c r="J49" s="5" t="s">
        <v>251</v>
      </c>
      <c r="K49" s="5">
        <v>10</v>
      </c>
      <c r="L49" s="5" t="s">
        <v>383</v>
      </c>
      <c r="M49" s="5" t="s">
        <v>384</v>
      </c>
      <c r="N49" s="5">
        <v>0.22259999999999999</v>
      </c>
      <c r="O49" s="5">
        <v>68093.63</v>
      </c>
      <c r="P49" s="5">
        <v>-8.8200000000000001E-2</v>
      </c>
      <c r="Q49" s="5">
        <v>0.12709999999999999</v>
      </c>
    </row>
    <row r="50" spans="1:17" x14ac:dyDescent="0.3">
      <c r="A50" s="5">
        <v>63</v>
      </c>
      <c r="B50" s="5">
        <v>64055360</v>
      </c>
      <c r="C50" s="5">
        <v>62118424.299999997</v>
      </c>
      <c r="D50" s="5">
        <v>1032</v>
      </c>
      <c r="E50" s="5">
        <v>2286</v>
      </c>
      <c r="F50" s="5">
        <v>1936935.7</v>
      </c>
      <c r="G50" s="5">
        <v>3.0200000000000001E-2</v>
      </c>
      <c r="H50" s="5">
        <v>62069.15</v>
      </c>
      <c r="I50" s="5" t="s">
        <v>385</v>
      </c>
      <c r="J50" s="5" t="s">
        <v>247</v>
      </c>
      <c r="K50" s="5">
        <v>20</v>
      </c>
      <c r="L50" s="5" t="s">
        <v>325</v>
      </c>
      <c r="M50" s="5" t="s">
        <v>386</v>
      </c>
      <c r="N50" s="5">
        <v>0.22259999999999999</v>
      </c>
      <c r="O50" s="5">
        <v>68093.63</v>
      </c>
      <c r="P50" s="5">
        <v>-0.19239999999999999</v>
      </c>
      <c r="Q50" s="5">
        <v>-8.8499999999999995E-2</v>
      </c>
    </row>
    <row r="51" spans="1:17" x14ac:dyDescent="0.3">
      <c r="A51" s="5">
        <v>141</v>
      </c>
      <c r="B51" s="5">
        <v>63984834</v>
      </c>
      <c r="C51" s="5">
        <v>56665636.390000001</v>
      </c>
      <c r="D51" s="5">
        <v>903</v>
      </c>
      <c r="E51" s="5">
        <v>1975</v>
      </c>
      <c r="F51" s="5">
        <v>7319197.6100000003</v>
      </c>
      <c r="G51" s="5">
        <v>0.1144</v>
      </c>
      <c r="H51" s="5">
        <v>70858.070000000007</v>
      </c>
      <c r="I51" s="5" t="s">
        <v>387</v>
      </c>
      <c r="J51" s="5" t="s">
        <v>247</v>
      </c>
      <c r="K51" s="5">
        <v>12</v>
      </c>
      <c r="L51" s="5" t="s">
        <v>388</v>
      </c>
      <c r="M51" s="5" t="s">
        <v>389</v>
      </c>
      <c r="N51" s="5">
        <v>0.22259999999999999</v>
      </c>
      <c r="O51" s="5">
        <v>68093.63</v>
      </c>
      <c r="P51" s="5">
        <v>-0.1082</v>
      </c>
      <c r="Q51" s="5">
        <v>4.0599999999999997E-2</v>
      </c>
    </row>
    <row r="52" spans="1:17" x14ac:dyDescent="0.3">
      <c r="A52" s="5">
        <v>47</v>
      </c>
      <c r="B52" s="5">
        <v>63959652</v>
      </c>
      <c r="C52" s="5">
        <v>56097438.479999997</v>
      </c>
      <c r="D52" s="5">
        <v>987</v>
      </c>
      <c r="E52" s="5">
        <v>2124</v>
      </c>
      <c r="F52" s="5">
        <v>7862213.5199999996</v>
      </c>
      <c r="G52" s="5">
        <v>0.1229</v>
      </c>
      <c r="H52" s="5">
        <v>64802.080000000002</v>
      </c>
      <c r="I52" s="5" t="s">
        <v>390</v>
      </c>
      <c r="J52" s="5" t="s">
        <v>223</v>
      </c>
      <c r="K52" s="5">
        <v>12</v>
      </c>
      <c r="L52" s="5" t="s">
        <v>391</v>
      </c>
      <c r="M52" s="5" t="s">
        <v>392</v>
      </c>
      <c r="N52" s="5">
        <v>0.22259999999999999</v>
      </c>
      <c r="O52" s="5">
        <v>68093.63</v>
      </c>
      <c r="P52" s="5">
        <v>-9.9699999999999997E-2</v>
      </c>
      <c r="Q52" s="5">
        <v>-4.8300000000000003E-2</v>
      </c>
    </row>
    <row r="53" spans="1:17" x14ac:dyDescent="0.3">
      <c r="A53" s="5">
        <v>179</v>
      </c>
      <c r="B53" s="5">
        <v>63827699</v>
      </c>
      <c r="C53" s="5">
        <v>60452843.450000003</v>
      </c>
      <c r="D53" s="5">
        <v>1024</v>
      </c>
      <c r="E53" s="5">
        <v>2170</v>
      </c>
      <c r="F53" s="5">
        <v>3374855.55</v>
      </c>
      <c r="G53" s="5">
        <v>5.2900000000000003E-2</v>
      </c>
      <c r="H53" s="5">
        <v>62331.74</v>
      </c>
      <c r="I53" s="5" t="s">
        <v>393</v>
      </c>
      <c r="J53" s="5" t="s">
        <v>247</v>
      </c>
      <c r="K53" s="5">
        <v>18</v>
      </c>
      <c r="L53" s="5" t="s">
        <v>394</v>
      </c>
      <c r="M53" s="5" t="s">
        <v>395</v>
      </c>
      <c r="N53" s="5">
        <v>0.22259999999999999</v>
      </c>
      <c r="O53" s="5">
        <v>68093.63</v>
      </c>
      <c r="P53" s="5">
        <v>-0.16969999999999999</v>
      </c>
      <c r="Q53" s="5">
        <v>-8.4599999999999995E-2</v>
      </c>
    </row>
    <row r="54" spans="1:17" x14ac:dyDescent="0.3">
      <c r="A54" s="5">
        <v>93</v>
      </c>
      <c r="B54" s="5">
        <v>63050549</v>
      </c>
      <c r="C54" s="5">
        <v>51412565.259999998</v>
      </c>
      <c r="D54" s="5">
        <v>831</v>
      </c>
      <c r="E54" s="5">
        <v>1863</v>
      </c>
      <c r="F54" s="5">
        <v>11637983.74</v>
      </c>
      <c r="G54" s="5">
        <v>0.18459999999999999</v>
      </c>
      <c r="H54" s="5">
        <v>75873.100000000006</v>
      </c>
      <c r="I54" s="5" t="s">
        <v>396</v>
      </c>
      <c r="J54" s="5" t="s">
        <v>251</v>
      </c>
      <c r="K54" s="5">
        <v>5</v>
      </c>
      <c r="L54" s="5" t="s">
        <v>397</v>
      </c>
      <c r="M54" s="5" t="s">
        <v>398</v>
      </c>
      <c r="N54" s="5">
        <v>0.22259999999999999</v>
      </c>
      <c r="O54" s="5">
        <v>68093.63</v>
      </c>
      <c r="P54" s="5">
        <v>-3.7999999999999999E-2</v>
      </c>
      <c r="Q54" s="5">
        <v>0.1142</v>
      </c>
    </row>
    <row r="55" spans="1:17" x14ac:dyDescent="0.3">
      <c r="A55" s="5">
        <v>67</v>
      </c>
      <c r="B55" s="5">
        <v>63007288</v>
      </c>
      <c r="C55" s="5">
        <v>55647171.68</v>
      </c>
      <c r="D55" s="5">
        <v>921</v>
      </c>
      <c r="E55" s="5">
        <v>1999</v>
      </c>
      <c r="F55" s="5">
        <v>7360116.3200000003</v>
      </c>
      <c r="G55" s="5">
        <v>0.1168</v>
      </c>
      <c r="H55" s="5">
        <v>68411.820000000007</v>
      </c>
      <c r="I55" s="5" t="s">
        <v>399</v>
      </c>
      <c r="J55" s="5" t="s">
        <v>251</v>
      </c>
      <c r="K55" s="5">
        <v>12</v>
      </c>
      <c r="L55" s="5" t="s">
        <v>400</v>
      </c>
      <c r="M55" s="5" t="s">
        <v>401</v>
      </c>
      <c r="N55" s="5">
        <v>0.22259999999999999</v>
      </c>
      <c r="O55" s="5">
        <v>68093.63</v>
      </c>
      <c r="P55" s="5">
        <v>-0.10580000000000001</v>
      </c>
      <c r="Q55" s="5">
        <v>4.7000000000000002E-3</v>
      </c>
    </row>
    <row r="56" spans="1:17" x14ac:dyDescent="0.3">
      <c r="A56" s="5">
        <v>110</v>
      </c>
      <c r="B56" s="5">
        <v>62418438</v>
      </c>
      <c r="C56" s="5">
        <v>57324446.780000001</v>
      </c>
      <c r="D56" s="5">
        <v>888</v>
      </c>
      <c r="E56" s="5">
        <v>1972</v>
      </c>
      <c r="F56" s="5">
        <v>5093991.22</v>
      </c>
      <c r="G56" s="5">
        <v>8.1600000000000006E-2</v>
      </c>
      <c r="H56" s="5">
        <v>70291.03</v>
      </c>
      <c r="I56" s="5" t="s">
        <v>402</v>
      </c>
      <c r="J56" s="5" t="s">
        <v>223</v>
      </c>
      <c r="K56" s="5">
        <v>15</v>
      </c>
      <c r="L56" s="5" t="s">
        <v>403</v>
      </c>
      <c r="M56" s="5" t="s">
        <v>404</v>
      </c>
      <c r="N56" s="5">
        <v>0.22259999999999999</v>
      </c>
      <c r="O56" s="5">
        <v>68093.63</v>
      </c>
      <c r="P56" s="5">
        <v>-0.14099999999999999</v>
      </c>
      <c r="Q56" s="5">
        <v>3.2300000000000002E-2</v>
      </c>
    </row>
    <row r="57" spans="1:17" x14ac:dyDescent="0.3">
      <c r="A57" s="5">
        <v>161</v>
      </c>
      <c r="B57" s="5">
        <v>62410944</v>
      </c>
      <c r="C57" s="5">
        <v>54259358.969999999</v>
      </c>
      <c r="D57" s="5">
        <v>857</v>
      </c>
      <c r="E57" s="5">
        <v>1876</v>
      </c>
      <c r="F57" s="5">
        <v>8151585.0300000003</v>
      </c>
      <c r="G57" s="5">
        <v>0.13059999999999999</v>
      </c>
      <c r="H57" s="5">
        <v>72824.91</v>
      </c>
      <c r="I57" s="5" t="s">
        <v>405</v>
      </c>
      <c r="J57" s="5" t="s">
        <v>223</v>
      </c>
      <c r="K57" s="5">
        <v>10</v>
      </c>
      <c r="L57" s="5" t="s">
        <v>406</v>
      </c>
      <c r="M57" s="5" t="s">
        <v>407</v>
      </c>
      <c r="N57" s="5">
        <v>0.22259999999999999</v>
      </c>
      <c r="O57" s="5">
        <v>68093.63</v>
      </c>
      <c r="P57" s="5">
        <v>-9.1999999999999998E-2</v>
      </c>
      <c r="Q57" s="5">
        <v>6.9500000000000006E-2</v>
      </c>
    </row>
    <row r="58" spans="1:17" x14ac:dyDescent="0.3">
      <c r="A58" s="5">
        <v>5</v>
      </c>
      <c r="B58" s="5">
        <v>62132738</v>
      </c>
      <c r="C58" s="5">
        <v>53683202.990000002</v>
      </c>
      <c r="D58" s="5">
        <v>792</v>
      </c>
      <c r="E58" s="5">
        <v>1745</v>
      </c>
      <c r="F58" s="5">
        <v>8449535.0099999998</v>
      </c>
      <c r="G58" s="5">
        <v>0.13600000000000001</v>
      </c>
      <c r="H58" s="5">
        <v>78450.429999999993</v>
      </c>
      <c r="I58" s="5" t="s">
        <v>408</v>
      </c>
      <c r="J58" s="5" t="s">
        <v>247</v>
      </c>
      <c r="K58" s="5">
        <v>10</v>
      </c>
      <c r="L58" s="5" t="s">
        <v>409</v>
      </c>
      <c r="M58" s="5" t="s">
        <v>410</v>
      </c>
      <c r="N58" s="5">
        <v>0.22259999999999999</v>
      </c>
      <c r="O58" s="5">
        <v>68093.63</v>
      </c>
      <c r="P58" s="5">
        <v>-8.6599999999999996E-2</v>
      </c>
      <c r="Q58" s="5">
        <v>0.15210000000000001</v>
      </c>
    </row>
    <row r="59" spans="1:17" x14ac:dyDescent="0.3">
      <c r="A59" s="5">
        <v>18</v>
      </c>
      <c r="B59" s="5">
        <v>61052571</v>
      </c>
      <c r="C59" s="5">
        <v>52638630.329999998</v>
      </c>
      <c r="D59" s="5">
        <v>799</v>
      </c>
      <c r="E59" s="5">
        <v>1789</v>
      </c>
      <c r="F59" s="5">
        <v>8413940.6699999999</v>
      </c>
      <c r="G59" s="5">
        <v>0.13780000000000001</v>
      </c>
      <c r="H59" s="5">
        <v>76411.23</v>
      </c>
      <c r="I59" s="5" t="s">
        <v>411</v>
      </c>
      <c r="J59" s="5" t="s">
        <v>247</v>
      </c>
      <c r="K59" s="5">
        <v>10</v>
      </c>
      <c r="L59" s="5" t="s">
        <v>412</v>
      </c>
      <c r="M59" s="5" t="s">
        <v>378</v>
      </c>
      <c r="N59" s="5">
        <v>0.22259999999999999</v>
      </c>
      <c r="O59" s="5">
        <v>68093.63</v>
      </c>
      <c r="P59" s="5">
        <v>-8.48E-2</v>
      </c>
      <c r="Q59" s="5">
        <v>0.1221</v>
      </c>
    </row>
    <row r="60" spans="1:17" x14ac:dyDescent="0.3">
      <c r="A60" s="5">
        <v>76</v>
      </c>
      <c r="B60" s="5">
        <v>60585042</v>
      </c>
      <c r="C60" s="5">
        <v>49664339.469999999</v>
      </c>
      <c r="D60" s="5">
        <v>824</v>
      </c>
      <c r="E60" s="5">
        <v>1774</v>
      </c>
      <c r="F60" s="5">
        <v>10920702.529999999</v>
      </c>
      <c r="G60" s="5">
        <v>0.18029999999999999</v>
      </c>
      <c r="H60" s="5">
        <v>73525.539999999994</v>
      </c>
      <c r="I60" s="5" t="s">
        <v>413</v>
      </c>
      <c r="J60" s="5" t="s">
        <v>223</v>
      </c>
      <c r="K60" s="5">
        <v>5</v>
      </c>
      <c r="L60" s="5" t="s">
        <v>414</v>
      </c>
      <c r="M60" s="5" t="s">
        <v>415</v>
      </c>
      <c r="N60" s="5">
        <v>0.22259999999999999</v>
      </c>
      <c r="O60" s="5">
        <v>68093.63</v>
      </c>
      <c r="P60" s="5">
        <v>-4.24E-2</v>
      </c>
      <c r="Q60" s="5">
        <v>7.9799999999999996E-2</v>
      </c>
    </row>
    <row r="61" spans="1:17" x14ac:dyDescent="0.3">
      <c r="A61" s="5">
        <v>78</v>
      </c>
      <c r="B61" s="5">
        <v>59507362</v>
      </c>
      <c r="C61" s="5">
        <v>48747114.100000001</v>
      </c>
      <c r="D61" s="5">
        <v>782</v>
      </c>
      <c r="E61" s="5">
        <v>1740</v>
      </c>
      <c r="F61" s="5">
        <v>10760247.9</v>
      </c>
      <c r="G61" s="5">
        <v>0.18079999999999999</v>
      </c>
      <c r="H61" s="5">
        <v>76096.37</v>
      </c>
      <c r="I61" s="5" t="s">
        <v>416</v>
      </c>
      <c r="J61" s="5" t="s">
        <v>251</v>
      </c>
      <c r="K61" s="5">
        <v>5</v>
      </c>
      <c r="L61" s="5" t="s">
        <v>417</v>
      </c>
      <c r="M61" s="5" t="s">
        <v>418</v>
      </c>
      <c r="N61" s="5">
        <v>0.22259999999999999</v>
      </c>
      <c r="O61" s="5">
        <v>68093.63</v>
      </c>
      <c r="P61" s="5">
        <v>-4.1799999999999997E-2</v>
      </c>
      <c r="Q61" s="5">
        <v>0.11749999999999999</v>
      </c>
    </row>
    <row r="62" spans="1:17" x14ac:dyDescent="0.3">
      <c r="A62" s="5">
        <v>116</v>
      </c>
      <c r="B62" s="5">
        <v>58991108</v>
      </c>
      <c r="C62" s="5">
        <v>52641588.109999999</v>
      </c>
      <c r="D62" s="5">
        <v>756</v>
      </c>
      <c r="E62" s="5">
        <v>1668</v>
      </c>
      <c r="F62" s="5">
        <v>6349519.8899999997</v>
      </c>
      <c r="G62" s="5">
        <v>0.1076</v>
      </c>
      <c r="H62" s="5">
        <v>78030.570000000007</v>
      </c>
      <c r="I62" s="5" t="s">
        <v>419</v>
      </c>
      <c r="J62" s="5" t="s">
        <v>247</v>
      </c>
      <c r="K62" s="5">
        <v>12</v>
      </c>
      <c r="L62" s="5" t="s">
        <v>297</v>
      </c>
      <c r="M62" s="5" t="s">
        <v>420</v>
      </c>
      <c r="N62" s="5">
        <v>0.22259999999999999</v>
      </c>
      <c r="O62" s="5">
        <v>68093.63</v>
      </c>
      <c r="P62" s="5">
        <v>-0.115</v>
      </c>
      <c r="Q62" s="5">
        <v>0.1459</v>
      </c>
    </row>
    <row r="63" spans="1:17" x14ac:dyDescent="0.3">
      <c r="A63" s="5">
        <v>35</v>
      </c>
      <c r="B63" s="5">
        <v>58550059</v>
      </c>
      <c r="C63" s="5">
        <v>57330982.399999999</v>
      </c>
      <c r="D63" s="5">
        <v>856</v>
      </c>
      <c r="E63" s="5">
        <v>1886</v>
      </c>
      <c r="F63" s="5">
        <v>1219076.6000000001</v>
      </c>
      <c r="G63" s="5">
        <v>2.0799999999999999E-2</v>
      </c>
      <c r="H63" s="5">
        <v>68399.600000000006</v>
      </c>
      <c r="I63" s="5" t="s">
        <v>421</v>
      </c>
      <c r="J63" s="5" t="s">
        <v>223</v>
      </c>
      <c r="K63" s="5">
        <v>20</v>
      </c>
      <c r="L63" s="5" t="s">
        <v>422</v>
      </c>
      <c r="M63" s="5" t="s">
        <v>423</v>
      </c>
      <c r="N63" s="5">
        <v>0.22259999999999999</v>
      </c>
      <c r="O63" s="5">
        <v>68093.63</v>
      </c>
      <c r="P63" s="5">
        <v>-0.20180000000000001</v>
      </c>
      <c r="Q63" s="5">
        <v>4.4999999999999997E-3</v>
      </c>
    </row>
    <row r="64" spans="1:17" x14ac:dyDescent="0.3">
      <c r="A64" s="5">
        <v>52</v>
      </c>
      <c r="B64" s="5">
        <v>58258851</v>
      </c>
      <c r="C64" s="5">
        <v>53314369.310000002</v>
      </c>
      <c r="D64" s="5">
        <v>859</v>
      </c>
      <c r="E64" s="5">
        <v>1911</v>
      </c>
      <c r="F64" s="5">
        <v>4944481.6900000004</v>
      </c>
      <c r="G64" s="5">
        <v>8.4900000000000003E-2</v>
      </c>
      <c r="H64" s="5">
        <v>67821.710000000006</v>
      </c>
      <c r="I64" s="5" t="s">
        <v>424</v>
      </c>
      <c r="J64" s="5" t="s">
        <v>251</v>
      </c>
      <c r="K64" s="5">
        <v>15</v>
      </c>
      <c r="L64" s="5" t="s">
        <v>425</v>
      </c>
      <c r="M64" s="5" t="s">
        <v>426</v>
      </c>
      <c r="N64" s="5">
        <v>0.22259999999999999</v>
      </c>
      <c r="O64" s="5">
        <v>68093.63</v>
      </c>
      <c r="P64" s="5">
        <v>-0.13769999999999999</v>
      </c>
      <c r="Q64" s="5">
        <v>-4.0000000000000001E-3</v>
      </c>
    </row>
    <row r="65" spans="1:17" x14ac:dyDescent="0.3">
      <c r="A65" s="5">
        <v>4</v>
      </c>
      <c r="B65" s="5">
        <v>58224407</v>
      </c>
      <c r="C65" s="5">
        <v>47445571.299999997</v>
      </c>
      <c r="D65" s="5">
        <v>848</v>
      </c>
      <c r="E65" s="5">
        <v>1799</v>
      </c>
      <c r="F65" s="5">
        <v>10778835.699999999</v>
      </c>
      <c r="G65" s="5">
        <v>0.18509999999999999</v>
      </c>
      <c r="H65" s="5">
        <v>68660.86</v>
      </c>
      <c r="I65" s="5" t="s">
        <v>427</v>
      </c>
      <c r="J65" s="5" t="s">
        <v>282</v>
      </c>
      <c r="K65" s="5">
        <v>5</v>
      </c>
      <c r="L65" s="5" t="s">
        <v>428</v>
      </c>
      <c r="M65" s="5" t="s">
        <v>429</v>
      </c>
      <c r="N65" s="5">
        <v>0.22259999999999999</v>
      </c>
      <c r="O65" s="5">
        <v>68093.63</v>
      </c>
      <c r="P65" s="5">
        <v>-3.7499999999999999E-2</v>
      </c>
      <c r="Q65" s="5">
        <v>8.3000000000000001E-3</v>
      </c>
    </row>
    <row r="66" spans="1:17" x14ac:dyDescent="0.3">
      <c r="A66" s="5">
        <v>168</v>
      </c>
      <c r="B66" s="5">
        <v>57930630</v>
      </c>
      <c r="C66" s="5">
        <v>69024271.780000001</v>
      </c>
      <c r="D66" s="5">
        <v>1145</v>
      </c>
      <c r="E66" s="5">
        <v>2522</v>
      </c>
      <c r="F66" s="5">
        <v>-11093641.779999999</v>
      </c>
      <c r="G66" s="5">
        <v>-0.1915</v>
      </c>
      <c r="H66" s="5">
        <v>50594.44</v>
      </c>
      <c r="I66" s="5" t="s">
        <v>430</v>
      </c>
      <c r="J66" s="5" t="s">
        <v>223</v>
      </c>
      <c r="K66" s="5">
        <v>35</v>
      </c>
      <c r="L66" s="5" t="s">
        <v>431</v>
      </c>
      <c r="M66" s="5" t="s">
        <v>432</v>
      </c>
      <c r="N66" s="5">
        <v>0.22259999999999999</v>
      </c>
      <c r="O66" s="5">
        <v>68093.63</v>
      </c>
      <c r="P66" s="5">
        <v>-0.41410000000000002</v>
      </c>
      <c r="Q66" s="5">
        <v>-0.25700000000000001</v>
      </c>
    </row>
    <row r="67" spans="1:17" x14ac:dyDescent="0.3">
      <c r="A67" s="5">
        <v>100</v>
      </c>
      <c r="B67" s="5">
        <v>57587764</v>
      </c>
      <c r="C67" s="5">
        <v>54843989.439999998</v>
      </c>
      <c r="D67" s="5">
        <v>862</v>
      </c>
      <c r="E67" s="5">
        <v>1877</v>
      </c>
      <c r="F67" s="5">
        <v>2743774.56</v>
      </c>
      <c r="G67" s="5">
        <v>4.7600000000000003E-2</v>
      </c>
      <c r="H67" s="5">
        <v>66807.149999999994</v>
      </c>
      <c r="I67" s="5" t="s">
        <v>433</v>
      </c>
      <c r="J67" s="5" t="s">
        <v>223</v>
      </c>
      <c r="K67" s="5">
        <v>18</v>
      </c>
      <c r="L67" s="5" t="s">
        <v>434</v>
      </c>
      <c r="M67" s="5" t="s">
        <v>435</v>
      </c>
      <c r="N67" s="5">
        <v>0.22259999999999999</v>
      </c>
      <c r="O67" s="5">
        <v>68093.63</v>
      </c>
      <c r="P67" s="5">
        <v>-0.17499999999999999</v>
      </c>
      <c r="Q67" s="5">
        <v>-1.89E-2</v>
      </c>
    </row>
    <row r="68" spans="1:17" x14ac:dyDescent="0.3">
      <c r="A68" s="5">
        <v>199</v>
      </c>
      <c r="B68" s="5">
        <v>57271842</v>
      </c>
      <c r="C68" s="5">
        <v>47071183.359999999</v>
      </c>
      <c r="D68" s="5">
        <v>736</v>
      </c>
      <c r="E68" s="5">
        <v>1614</v>
      </c>
      <c r="F68" s="5">
        <v>10200658.640000001</v>
      </c>
      <c r="G68" s="5">
        <v>0.17810000000000001</v>
      </c>
      <c r="H68" s="5">
        <v>77815</v>
      </c>
      <c r="I68" s="5" t="s">
        <v>436</v>
      </c>
      <c r="J68" s="5" t="s">
        <v>223</v>
      </c>
      <c r="K68" s="5">
        <v>5</v>
      </c>
      <c r="L68" s="5" t="s">
        <v>437</v>
      </c>
      <c r="M68" s="5" t="s">
        <v>438</v>
      </c>
      <c r="N68" s="5">
        <v>0.22259999999999999</v>
      </c>
      <c r="O68" s="5">
        <v>68093.63</v>
      </c>
      <c r="P68" s="5">
        <v>-4.4499999999999998E-2</v>
      </c>
      <c r="Q68" s="5">
        <v>0.14280000000000001</v>
      </c>
    </row>
    <row r="69" spans="1:17" x14ac:dyDescent="0.3">
      <c r="A69" s="5">
        <v>42</v>
      </c>
      <c r="B69" s="5">
        <v>56475275</v>
      </c>
      <c r="C69" s="5">
        <v>49833033.909999996</v>
      </c>
      <c r="D69" s="5">
        <v>789</v>
      </c>
      <c r="E69" s="5">
        <v>1691</v>
      </c>
      <c r="F69" s="5">
        <v>6642241.0899999999</v>
      </c>
      <c r="G69" s="5">
        <v>0.1176</v>
      </c>
      <c r="H69" s="5">
        <v>71578.3</v>
      </c>
      <c r="I69" s="5" t="s">
        <v>439</v>
      </c>
      <c r="J69" s="5" t="s">
        <v>282</v>
      </c>
      <c r="K69" s="5">
        <v>12</v>
      </c>
      <c r="L69" s="5" t="s">
        <v>440</v>
      </c>
      <c r="M69" s="5" t="s">
        <v>441</v>
      </c>
      <c r="N69" s="5">
        <v>0.22259999999999999</v>
      </c>
      <c r="O69" s="5">
        <v>68093.63</v>
      </c>
      <c r="P69" s="5">
        <v>-0.105</v>
      </c>
      <c r="Q69" s="5">
        <v>5.1200000000000002E-2</v>
      </c>
    </row>
    <row r="70" spans="1:17" x14ac:dyDescent="0.3">
      <c r="A70" s="5">
        <v>87</v>
      </c>
      <c r="B70" s="5">
        <v>56396953</v>
      </c>
      <c r="C70" s="5">
        <v>54891439.579999998</v>
      </c>
      <c r="D70" s="5">
        <v>851</v>
      </c>
      <c r="E70" s="5">
        <v>1925</v>
      </c>
      <c r="F70" s="5">
        <v>1505513.42</v>
      </c>
      <c r="G70" s="5">
        <v>2.6700000000000002E-2</v>
      </c>
      <c r="H70" s="5">
        <v>66271.39</v>
      </c>
      <c r="I70" s="5" t="s">
        <v>442</v>
      </c>
      <c r="J70" s="5" t="s">
        <v>223</v>
      </c>
      <c r="K70" s="5">
        <v>20</v>
      </c>
      <c r="L70" s="5" t="s">
        <v>443</v>
      </c>
      <c r="M70" s="5" t="s">
        <v>398</v>
      </c>
      <c r="N70" s="5">
        <v>0.22259999999999999</v>
      </c>
      <c r="O70" s="5">
        <v>68093.63</v>
      </c>
      <c r="P70" s="5">
        <v>-0.19589999999999999</v>
      </c>
      <c r="Q70" s="5">
        <v>-2.6800000000000001E-2</v>
      </c>
    </row>
    <row r="71" spans="1:17" x14ac:dyDescent="0.3">
      <c r="A71" s="5">
        <v>30</v>
      </c>
      <c r="B71" s="5">
        <v>56011145</v>
      </c>
      <c r="C71" s="5">
        <v>51167869.530000001</v>
      </c>
      <c r="D71" s="5">
        <v>806</v>
      </c>
      <c r="E71" s="5">
        <v>1721</v>
      </c>
      <c r="F71" s="5">
        <v>4843275.47</v>
      </c>
      <c r="G71" s="5">
        <v>8.6499999999999994E-2</v>
      </c>
      <c r="H71" s="5">
        <v>69492.740000000005</v>
      </c>
      <c r="I71" s="5" t="s">
        <v>444</v>
      </c>
      <c r="J71" s="5" t="s">
        <v>295</v>
      </c>
      <c r="K71" s="5">
        <v>15</v>
      </c>
      <c r="L71" s="5" t="s">
        <v>445</v>
      </c>
      <c r="M71" s="5" t="s">
        <v>446</v>
      </c>
      <c r="N71" s="5">
        <v>0.22259999999999999</v>
      </c>
      <c r="O71" s="5">
        <v>68093.63</v>
      </c>
      <c r="P71" s="5">
        <v>-0.1361</v>
      </c>
      <c r="Q71" s="5">
        <v>2.0500000000000001E-2</v>
      </c>
    </row>
    <row r="72" spans="1:17" x14ac:dyDescent="0.3">
      <c r="A72" s="5">
        <v>16</v>
      </c>
      <c r="B72" s="5">
        <v>54702959</v>
      </c>
      <c r="C72" s="5">
        <v>47484150.049999997</v>
      </c>
      <c r="D72" s="5">
        <v>695</v>
      </c>
      <c r="E72" s="5">
        <v>1570</v>
      </c>
      <c r="F72" s="5">
        <v>7218808.9500000002</v>
      </c>
      <c r="G72" s="5">
        <v>0.13200000000000001</v>
      </c>
      <c r="H72" s="5">
        <v>78709.289999999994</v>
      </c>
      <c r="I72" s="5" t="s">
        <v>447</v>
      </c>
      <c r="J72" s="5" t="s">
        <v>295</v>
      </c>
      <c r="K72" s="5">
        <v>10</v>
      </c>
      <c r="L72" s="5" t="s">
        <v>448</v>
      </c>
      <c r="M72" s="5" t="s">
        <v>449</v>
      </c>
      <c r="N72" s="5">
        <v>0.22259999999999999</v>
      </c>
      <c r="O72" s="5">
        <v>68093.63</v>
      </c>
      <c r="P72" s="5">
        <v>-9.0700000000000003E-2</v>
      </c>
      <c r="Q72" s="5">
        <v>0.15590000000000001</v>
      </c>
    </row>
    <row r="73" spans="1:17" x14ac:dyDescent="0.3">
      <c r="A73" s="5">
        <v>167</v>
      </c>
      <c r="B73" s="5">
        <v>53827228</v>
      </c>
      <c r="C73" s="5">
        <v>55980239.270000003</v>
      </c>
      <c r="D73" s="5">
        <v>874</v>
      </c>
      <c r="E73" s="5">
        <v>1903</v>
      </c>
      <c r="F73" s="5">
        <v>-2153011.27</v>
      </c>
      <c r="G73" s="5">
        <v>-0.04</v>
      </c>
      <c r="H73" s="5">
        <v>61587.22</v>
      </c>
      <c r="I73" s="5" t="s">
        <v>450</v>
      </c>
      <c r="J73" s="5" t="s">
        <v>251</v>
      </c>
      <c r="K73" s="5">
        <v>25</v>
      </c>
      <c r="L73" s="5" t="s">
        <v>451</v>
      </c>
      <c r="M73" s="5" t="s">
        <v>452</v>
      </c>
      <c r="N73" s="5">
        <v>0.22259999999999999</v>
      </c>
      <c r="O73" s="5">
        <v>68093.63</v>
      </c>
      <c r="P73" s="5">
        <v>-0.2626</v>
      </c>
      <c r="Q73" s="5">
        <v>-9.5600000000000004E-2</v>
      </c>
    </row>
    <row r="74" spans="1:17" x14ac:dyDescent="0.3">
      <c r="A74" s="5">
        <v>184</v>
      </c>
      <c r="B74" s="5">
        <v>53757613</v>
      </c>
      <c r="C74" s="5">
        <v>47318330.799999997</v>
      </c>
      <c r="D74" s="5">
        <v>761</v>
      </c>
      <c r="E74" s="5">
        <v>1680</v>
      </c>
      <c r="F74" s="5">
        <v>6439282.2000000002</v>
      </c>
      <c r="G74" s="5">
        <v>0.1198</v>
      </c>
      <c r="H74" s="5">
        <v>70640.75</v>
      </c>
      <c r="I74" s="5" t="s">
        <v>453</v>
      </c>
      <c r="J74" s="5" t="s">
        <v>251</v>
      </c>
      <c r="K74" s="5">
        <v>12</v>
      </c>
      <c r="L74" s="5" t="s">
        <v>454</v>
      </c>
      <c r="M74" s="5" t="s">
        <v>455</v>
      </c>
      <c r="N74" s="5">
        <v>0.22259999999999999</v>
      </c>
      <c r="O74" s="5">
        <v>68093.63</v>
      </c>
      <c r="P74" s="5">
        <v>-0.1028</v>
      </c>
      <c r="Q74" s="5">
        <v>3.7400000000000003E-2</v>
      </c>
    </row>
    <row r="75" spans="1:17" x14ac:dyDescent="0.3">
      <c r="A75" s="5">
        <v>77</v>
      </c>
      <c r="B75" s="5">
        <v>52028556</v>
      </c>
      <c r="C75" s="5">
        <v>57463755.539999999</v>
      </c>
      <c r="D75" s="5">
        <v>937</v>
      </c>
      <c r="E75" s="5">
        <v>2061</v>
      </c>
      <c r="F75" s="5">
        <v>-5435199.54</v>
      </c>
      <c r="G75" s="5">
        <v>-0.1045</v>
      </c>
      <c r="H75" s="5">
        <v>55526.74</v>
      </c>
      <c r="I75" s="5" t="s">
        <v>456</v>
      </c>
      <c r="J75" s="5" t="s">
        <v>251</v>
      </c>
      <c r="K75" s="5">
        <v>30</v>
      </c>
      <c r="L75" s="5" t="s">
        <v>457</v>
      </c>
      <c r="M75" s="5" t="s">
        <v>458</v>
      </c>
      <c r="N75" s="5">
        <v>0.22259999999999999</v>
      </c>
      <c r="O75" s="5">
        <v>68093.63</v>
      </c>
      <c r="P75" s="5">
        <v>-0.3271</v>
      </c>
      <c r="Q75" s="5">
        <v>-0.18459999999999999</v>
      </c>
    </row>
    <row r="76" spans="1:17" x14ac:dyDescent="0.3">
      <c r="A76" s="5">
        <v>39</v>
      </c>
      <c r="B76" s="5">
        <v>51997439</v>
      </c>
      <c r="C76" s="5">
        <v>47610108.049999997</v>
      </c>
      <c r="D76" s="5">
        <v>768</v>
      </c>
      <c r="E76" s="5">
        <v>1732</v>
      </c>
      <c r="F76" s="5">
        <v>4387330.95</v>
      </c>
      <c r="G76" s="5">
        <v>8.4400000000000003E-2</v>
      </c>
      <c r="H76" s="5">
        <v>67705</v>
      </c>
      <c r="I76" s="5" t="s">
        <v>459</v>
      </c>
      <c r="J76" s="5" t="s">
        <v>223</v>
      </c>
      <c r="K76" s="5">
        <v>15</v>
      </c>
      <c r="L76" s="5" t="s">
        <v>460</v>
      </c>
      <c r="M76" s="5" t="s">
        <v>461</v>
      </c>
      <c r="N76" s="5">
        <v>0.22259999999999999</v>
      </c>
      <c r="O76" s="5">
        <v>68093.63</v>
      </c>
      <c r="P76" s="5">
        <v>-0.13819999999999999</v>
      </c>
      <c r="Q76" s="5">
        <v>-5.7000000000000002E-3</v>
      </c>
    </row>
    <row r="77" spans="1:17" x14ac:dyDescent="0.3">
      <c r="A77" s="5">
        <v>1</v>
      </c>
      <c r="B77" s="5">
        <v>51711090</v>
      </c>
      <c r="C77" s="5">
        <v>50260134.829999998</v>
      </c>
      <c r="D77" s="5">
        <v>807</v>
      </c>
      <c r="E77" s="5">
        <v>1801</v>
      </c>
      <c r="F77" s="5">
        <v>1450955.17</v>
      </c>
      <c r="G77" s="5">
        <v>2.81E-2</v>
      </c>
      <c r="H77" s="5">
        <v>64078.18</v>
      </c>
      <c r="I77" s="5" t="s">
        <v>462</v>
      </c>
      <c r="J77" s="5" t="s">
        <v>295</v>
      </c>
      <c r="K77" s="5">
        <v>20</v>
      </c>
      <c r="L77" s="5" t="s">
        <v>463</v>
      </c>
      <c r="M77" s="5" t="s">
        <v>464</v>
      </c>
      <c r="N77" s="5">
        <v>0.22259999999999999</v>
      </c>
      <c r="O77" s="5">
        <v>68093.63</v>
      </c>
      <c r="P77" s="5">
        <v>-0.1946</v>
      </c>
      <c r="Q77" s="5">
        <v>-5.8999999999999997E-2</v>
      </c>
    </row>
    <row r="78" spans="1:17" x14ac:dyDescent="0.3">
      <c r="A78" s="5">
        <v>126</v>
      </c>
      <c r="B78" s="5">
        <v>51345818</v>
      </c>
      <c r="C78" s="5">
        <v>49755506.420000002</v>
      </c>
      <c r="D78" s="5">
        <v>777</v>
      </c>
      <c r="E78" s="5">
        <v>1694</v>
      </c>
      <c r="F78" s="5">
        <v>1590311.58</v>
      </c>
      <c r="G78" s="5">
        <v>3.1E-2</v>
      </c>
      <c r="H78" s="5">
        <v>66082.13</v>
      </c>
      <c r="I78" s="5" t="s">
        <v>465</v>
      </c>
      <c r="J78" s="5" t="s">
        <v>251</v>
      </c>
      <c r="K78" s="5">
        <v>20</v>
      </c>
      <c r="L78" s="5" t="s">
        <v>466</v>
      </c>
      <c r="M78" s="5" t="s">
        <v>467</v>
      </c>
      <c r="N78" s="5">
        <v>0.22259999999999999</v>
      </c>
      <c r="O78" s="5">
        <v>68093.63</v>
      </c>
      <c r="P78" s="5">
        <v>-0.19159999999999999</v>
      </c>
      <c r="Q78" s="5">
        <v>-2.9499999999999998E-2</v>
      </c>
    </row>
    <row r="79" spans="1:17" x14ac:dyDescent="0.3">
      <c r="A79" s="5">
        <v>108</v>
      </c>
      <c r="B79" s="5">
        <v>51263971</v>
      </c>
      <c r="C79" s="5">
        <v>48615118.57</v>
      </c>
      <c r="D79" s="5">
        <v>782</v>
      </c>
      <c r="E79" s="5">
        <v>1727</v>
      </c>
      <c r="F79" s="5">
        <v>2648852.4300000002</v>
      </c>
      <c r="G79" s="5">
        <v>5.1700000000000003E-2</v>
      </c>
      <c r="H79" s="5">
        <v>65554.95</v>
      </c>
      <c r="I79" s="5" t="s">
        <v>468</v>
      </c>
      <c r="J79" s="5" t="s">
        <v>247</v>
      </c>
      <c r="K79" s="5">
        <v>18</v>
      </c>
      <c r="L79" s="5" t="s">
        <v>469</v>
      </c>
      <c r="M79" s="5" t="s">
        <v>470</v>
      </c>
      <c r="N79" s="5">
        <v>0.22259999999999999</v>
      </c>
      <c r="O79" s="5">
        <v>68093.63</v>
      </c>
      <c r="P79" s="5">
        <v>-0.1709</v>
      </c>
      <c r="Q79" s="5">
        <v>-3.73E-2</v>
      </c>
    </row>
    <row r="80" spans="1:17" x14ac:dyDescent="0.3">
      <c r="A80" s="5">
        <v>92</v>
      </c>
      <c r="B80" s="5">
        <v>50952505</v>
      </c>
      <c r="C80" s="5">
        <v>48234859.490000002</v>
      </c>
      <c r="D80" s="5">
        <v>799</v>
      </c>
      <c r="E80" s="5">
        <v>1750</v>
      </c>
      <c r="F80" s="5">
        <v>2717645.51</v>
      </c>
      <c r="G80" s="5">
        <v>5.33E-2</v>
      </c>
      <c r="H80" s="5">
        <v>63770.34</v>
      </c>
      <c r="I80" s="5" t="s">
        <v>471</v>
      </c>
      <c r="J80" s="5" t="s">
        <v>295</v>
      </c>
      <c r="K80" s="5">
        <v>18</v>
      </c>
      <c r="L80" s="5" t="s">
        <v>472</v>
      </c>
      <c r="M80" s="5" t="s">
        <v>473</v>
      </c>
      <c r="N80" s="5">
        <v>0.22259999999999999</v>
      </c>
      <c r="O80" s="5">
        <v>68093.63</v>
      </c>
      <c r="P80" s="5">
        <v>-0.16930000000000001</v>
      </c>
      <c r="Q80" s="5">
        <v>-6.3500000000000001E-2</v>
      </c>
    </row>
    <row r="81" spans="1:17" x14ac:dyDescent="0.3">
      <c r="A81" s="5">
        <v>22</v>
      </c>
      <c r="B81" s="5">
        <v>50813992</v>
      </c>
      <c r="C81" s="5">
        <v>44774987.5</v>
      </c>
      <c r="D81" s="5">
        <v>672</v>
      </c>
      <c r="E81" s="5">
        <v>1478</v>
      </c>
      <c r="F81" s="5">
        <v>6039004.5</v>
      </c>
      <c r="G81" s="5">
        <v>0.1188</v>
      </c>
      <c r="H81" s="5">
        <v>75616.06</v>
      </c>
      <c r="I81" s="5" t="s">
        <v>474</v>
      </c>
      <c r="J81" s="5" t="s">
        <v>223</v>
      </c>
      <c r="K81" s="5">
        <v>12</v>
      </c>
      <c r="L81" s="5" t="s">
        <v>475</v>
      </c>
      <c r="M81" s="5" t="s">
        <v>476</v>
      </c>
      <c r="N81" s="5">
        <v>0.22259999999999999</v>
      </c>
      <c r="O81" s="5">
        <v>68093.63</v>
      </c>
      <c r="P81" s="5">
        <v>-0.1038</v>
      </c>
      <c r="Q81" s="5">
        <v>0.1105</v>
      </c>
    </row>
    <row r="82" spans="1:17" x14ac:dyDescent="0.3">
      <c r="A82" s="5">
        <v>68</v>
      </c>
      <c r="B82" s="5">
        <v>49402581</v>
      </c>
      <c r="C82" s="5">
        <v>47936877.840000004</v>
      </c>
      <c r="D82" s="5">
        <v>745</v>
      </c>
      <c r="E82" s="5">
        <v>1681</v>
      </c>
      <c r="F82" s="5">
        <v>1465703.16</v>
      </c>
      <c r="G82" s="5">
        <v>2.9700000000000001E-2</v>
      </c>
      <c r="H82" s="5">
        <v>66312.19</v>
      </c>
      <c r="I82" s="5" t="s">
        <v>477</v>
      </c>
      <c r="J82" s="5" t="s">
        <v>251</v>
      </c>
      <c r="K82" s="5">
        <v>20</v>
      </c>
      <c r="L82" s="5" t="s">
        <v>478</v>
      </c>
      <c r="M82" s="5" t="s">
        <v>479</v>
      </c>
      <c r="N82" s="5">
        <v>0.22259999999999999</v>
      </c>
      <c r="O82" s="5">
        <v>68093.63</v>
      </c>
      <c r="P82" s="5">
        <v>-0.193</v>
      </c>
      <c r="Q82" s="5">
        <v>-2.6200000000000001E-2</v>
      </c>
    </row>
    <row r="83" spans="1:17" x14ac:dyDescent="0.3">
      <c r="A83" s="5">
        <v>71</v>
      </c>
      <c r="B83" s="5">
        <v>49230744</v>
      </c>
      <c r="C83" s="5">
        <v>47662636.630000003</v>
      </c>
      <c r="D83" s="5">
        <v>773</v>
      </c>
      <c r="E83" s="5">
        <v>1716</v>
      </c>
      <c r="F83" s="5">
        <v>1568107.37</v>
      </c>
      <c r="G83" s="5">
        <v>3.1899999999999998E-2</v>
      </c>
      <c r="H83" s="5">
        <v>63687.9</v>
      </c>
      <c r="I83" s="5" t="s">
        <v>480</v>
      </c>
      <c r="J83" s="5" t="s">
        <v>282</v>
      </c>
      <c r="K83" s="5">
        <v>20</v>
      </c>
      <c r="L83" s="5" t="s">
        <v>481</v>
      </c>
      <c r="M83" s="5" t="s">
        <v>300</v>
      </c>
      <c r="N83" s="5">
        <v>0.22259999999999999</v>
      </c>
      <c r="O83" s="5">
        <v>68093.63</v>
      </c>
      <c r="P83" s="5">
        <v>-0.1908</v>
      </c>
      <c r="Q83" s="5">
        <v>-6.4699999999999994E-2</v>
      </c>
    </row>
    <row r="84" spans="1:17" x14ac:dyDescent="0.3">
      <c r="A84" s="5">
        <v>88</v>
      </c>
      <c r="B84" s="5">
        <v>48601622</v>
      </c>
      <c r="C84" s="5">
        <v>43152233.909999996</v>
      </c>
      <c r="D84" s="5">
        <v>674</v>
      </c>
      <c r="E84" s="5">
        <v>1524</v>
      </c>
      <c r="F84" s="5">
        <v>5449388.0899999999</v>
      </c>
      <c r="G84" s="5">
        <v>0.11210000000000001</v>
      </c>
      <c r="H84" s="5">
        <v>72109.23</v>
      </c>
      <c r="I84" s="5" t="s">
        <v>482</v>
      </c>
      <c r="J84" s="5" t="s">
        <v>295</v>
      </c>
      <c r="K84" s="5">
        <v>12</v>
      </c>
      <c r="L84" s="5" t="s">
        <v>483</v>
      </c>
      <c r="M84" s="5" t="s">
        <v>484</v>
      </c>
      <c r="N84" s="5">
        <v>0.22259999999999999</v>
      </c>
      <c r="O84" s="5">
        <v>68093.63</v>
      </c>
      <c r="P84" s="5">
        <v>-0.1105</v>
      </c>
      <c r="Q84" s="5">
        <v>5.8999999999999997E-2</v>
      </c>
    </row>
    <row r="85" spans="1:17" x14ac:dyDescent="0.3">
      <c r="A85" s="5">
        <v>181</v>
      </c>
      <c r="B85" s="5">
        <v>48535222</v>
      </c>
      <c r="C85" s="5">
        <v>47228804.100000001</v>
      </c>
      <c r="D85" s="5">
        <v>734</v>
      </c>
      <c r="E85" s="5">
        <v>1611</v>
      </c>
      <c r="F85" s="5">
        <v>1306417.8999999999</v>
      </c>
      <c r="G85" s="5">
        <v>2.69E-2</v>
      </c>
      <c r="H85" s="5">
        <v>66124.28</v>
      </c>
      <c r="I85" s="5" t="s">
        <v>485</v>
      </c>
      <c r="J85" s="5" t="s">
        <v>223</v>
      </c>
      <c r="K85" s="5">
        <v>20</v>
      </c>
      <c r="L85" s="5" t="s">
        <v>486</v>
      </c>
      <c r="M85" s="5" t="s">
        <v>487</v>
      </c>
      <c r="N85" s="5">
        <v>0.22259999999999999</v>
      </c>
      <c r="O85" s="5">
        <v>68093.63</v>
      </c>
      <c r="P85" s="5">
        <v>-0.19570000000000001</v>
      </c>
      <c r="Q85" s="5">
        <v>-2.8899999999999999E-2</v>
      </c>
    </row>
    <row r="86" spans="1:17" x14ac:dyDescent="0.3">
      <c r="A86" s="5">
        <v>51</v>
      </c>
      <c r="B86" s="5">
        <v>48141896</v>
      </c>
      <c r="C86" s="5">
        <v>53459862.689999998</v>
      </c>
      <c r="D86" s="5">
        <v>799</v>
      </c>
      <c r="E86" s="5">
        <v>1767</v>
      </c>
      <c r="F86" s="5">
        <v>-5317966.6900000004</v>
      </c>
      <c r="G86" s="5">
        <v>-0.1105</v>
      </c>
      <c r="H86" s="5">
        <v>60252.69</v>
      </c>
      <c r="I86" s="5" t="s">
        <v>488</v>
      </c>
      <c r="J86" s="5" t="s">
        <v>251</v>
      </c>
      <c r="K86" s="5">
        <v>30</v>
      </c>
      <c r="L86" s="5" t="s">
        <v>489</v>
      </c>
      <c r="M86" s="5" t="s">
        <v>490</v>
      </c>
      <c r="N86" s="5">
        <v>0.22259999999999999</v>
      </c>
      <c r="O86" s="5">
        <v>68093.63</v>
      </c>
      <c r="P86" s="5">
        <v>-0.33310000000000001</v>
      </c>
      <c r="Q86" s="5">
        <v>-0.11509999999999999</v>
      </c>
    </row>
    <row r="87" spans="1:17" x14ac:dyDescent="0.3">
      <c r="A87" s="5">
        <v>46</v>
      </c>
      <c r="B87" s="5">
        <v>48008482</v>
      </c>
      <c r="C87" s="5">
        <v>57250591.210000001</v>
      </c>
      <c r="D87" s="5">
        <v>911</v>
      </c>
      <c r="E87" s="5">
        <v>2057</v>
      </c>
      <c r="F87" s="5">
        <v>-9242109.2100000009</v>
      </c>
      <c r="G87" s="5">
        <v>-0.1925</v>
      </c>
      <c r="H87" s="5">
        <v>52698.66</v>
      </c>
      <c r="I87" s="5" t="s">
        <v>491</v>
      </c>
      <c r="J87" s="5" t="s">
        <v>295</v>
      </c>
      <c r="K87" s="5">
        <v>35</v>
      </c>
      <c r="L87" s="5" t="s">
        <v>492</v>
      </c>
      <c r="M87" s="5" t="s">
        <v>493</v>
      </c>
      <c r="N87" s="5">
        <v>0.22259999999999999</v>
      </c>
      <c r="O87" s="5">
        <v>68093.63</v>
      </c>
      <c r="P87" s="5">
        <v>-0.41510000000000002</v>
      </c>
      <c r="Q87" s="5">
        <v>-0.2261</v>
      </c>
    </row>
    <row r="88" spans="1:17" x14ac:dyDescent="0.3">
      <c r="A88" s="5">
        <v>134</v>
      </c>
      <c r="B88" s="5">
        <v>47553853</v>
      </c>
      <c r="C88" s="5">
        <v>45363086.840000004</v>
      </c>
      <c r="D88" s="5">
        <v>703</v>
      </c>
      <c r="E88" s="5">
        <v>1550</v>
      </c>
      <c r="F88" s="5">
        <v>2190766.16</v>
      </c>
      <c r="G88" s="5">
        <v>4.6100000000000002E-2</v>
      </c>
      <c r="H88" s="5">
        <v>67644.17</v>
      </c>
      <c r="I88" s="5" t="s">
        <v>494</v>
      </c>
      <c r="J88" s="5" t="s">
        <v>295</v>
      </c>
      <c r="K88" s="5">
        <v>18</v>
      </c>
      <c r="L88" s="5" t="s">
        <v>495</v>
      </c>
      <c r="M88" s="5" t="s">
        <v>496</v>
      </c>
      <c r="N88" s="5">
        <v>0.22259999999999999</v>
      </c>
      <c r="O88" s="5">
        <v>68093.63</v>
      </c>
      <c r="P88" s="5">
        <v>-0.17649999999999999</v>
      </c>
      <c r="Q88" s="5">
        <v>-6.6E-3</v>
      </c>
    </row>
    <row r="89" spans="1:17" x14ac:dyDescent="0.3">
      <c r="A89" s="5">
        <v>73</v>
      </c>
      <c r="B89" s="5">
        <v>47164643</v>
      </c>
      <c r="C89" s="5">
        <v>48697725.380000003</v>
      </c>
      <c r="D89" s="5">
        <v>772</v>
      </c>
      <c r="E89" s="5">
        <v>1713</v>
      </c>
      <c r="F89" s="5">
        <v>-1533082.38</v>
      </c>
      <c r="G89" s="5">
        <v>-3.2500000000000001E-2</v>
      </c>
      <c r="H89" s="5">
        <v>61094.1</v>
      </c>
      <c r="I89" s="5" t="s">
        <v>497</v>
      </c>
      <c r="J89" s="5" t="s">
        <v>251</v>
      </c>
      <c r="K89" s="5">
        <v>25</v>
      </c>
      <c r="L89" s="5" t="s">
        <v>403</v>
      </c>
      <c r="M89" s="5" t="s">
        <v>498</v>
      </c>
      <c r="N89" s="5">
        <v>0.22259999999999999</v>
      </c>
      <c r="O89" s="5">
        <v>68093.63</v>
      </c>
      <c r="P89" s="5">
        <v>-0.25509999999999999</v>
      </c>
      <c r="Q89" s="5">
        <v>-0.1028</v>
      </c>
    </row>
    <row r="90" spans="1:17" x14ac:dyDescent="0.3">
      <c r="A90" s="5">
        <v>159</v>
      </c>
      <c r="B90" s="5">
        <v>46360686</v>
      </c>
      <c r="C90" s="5">
        <v>51749695.850000001</v>
      </c>
      <c r="D90" s="5">
        <v>794</v>
      </c>
      <c r="E90" s="5">
        <v>1702</v>
      </c>
      <c r="F90" s="5">
        <v>-5389009.8499999996</v>
      </c>
      <c r="G90" s="5">
        <v>-0.1162</v>
      </c>
      <c r="H90" s="5">
        <v>58388.77</v>
      </c>
      <c r="I90" s="5" t="s">
        <v>499</v>
      </c>
      <c r="J90" s="5" t="s">
        <v>251</v>
      </c>
      <c r="K90" s="5">
        <v>30</v>
      </c>
      <c r="L90" s="5" t="s">
        <v>500</v>
      </c>
      <c r="M90" s="5" t="s">
        <v>501</v>
      </c>
      <c r="N90" s="5">
        <v>0.22259999999999999</v>
      </c>
      <c r="O90" s="5">
        <v>68093.63</v>
      </c>
      <c r="P90" s="5">
        <v>-0.33889999999999998</v>
      </c>
      <c r="Q90" s="5">
        <v>-0.14249999999999999</v>
      </c>
    </row>
    <row r="91" spans="1:17" x14ac:dyDescent="0.3">
      <c r="A91" s="5">
        <v>32</v>
      </c>
      <c r="B91" s="5">
        <v>45949738</v>
      </c>
      <c r="C91" s="5">
        <v>40702003.25</v>
      </c>
      <c r="D91" s="5">
        <v>645</v>
      </c>
      <c r="E91" s="5">
        <v>1424</v>
      </c>
      <c r="F91" s="5">
        <v>5247734.75</v>
      </c>
      <c r="G91" s="5">
        <v>0.1142</v>
      </c>
      <c r="H91" s="5">
        <v>71239.899999999994</v>
      </c>
      <c r="I91" s="5" t="s">
        <v>502</v>
      </c>
      <c r="J91" s="5" t="s">
        <v>247</v>
      </c>
      <c r="K91" s="5">
        <v>12</v>
      </c>
      <c r="L91" s="5" t="s">
        <v>503</v>
      </c>
      <c r="M91" s="5" t="s">
        <v>504</v>
      </c>
      <c r="N91" s="5">
        <v>0.22259999999999999</v>
      </c>
      <c r="O91" s="5">
        <v>68093.63</v>
      </c>
      <c r="P91" s="5">
        <v>-0.1084</v>
      </c>
      <c r="Q91" s="5">
        <v>4.6199999999999998E-2</v>
      </c>
    </row>
    <row r="92" spans="1:17" x14ac:dyDescent="0.3">
      <c r="A92" s="5">
        <v>135</v>
      </c>
      <c r="B92" s="5">
        <v>45722219</v>
      </c>
      <c r="C92" s="5">
        <v>40728417.990000002</v>
      </c>
      <c r="D92" s="5">
        <v>577</v>
      </c>
      <c r="E92" s="5">
        <v>1317</v>
      </c>
      <c r="F92" s="5">
        <v>4993801.01</v>
      </c>
      <c r="G92" s="5">
        <v>0.10920000000000001</v>
      </c>
      <c r="H92" s="5">
        <v>79241.279999999999</v>
      </c>
      <c r="I92" s="5" t="s">
        <v>505</v>
      </c>
      <c r="J92" s="5" t="s">
        <v>251</v>
      </c>
      <c r="K92" s="5">
        <v>12</v>
      </c>
      <c r="L92" s="5" t="s">
        <v>506</v>
      </c>
      <c r="M92" s="5" t="s">
        <v>507</v>
      </c>
      <c r="N92" s="5">
        <v>0.22259999999999999</v>
      </c>
      <c r="O92" s="5">
        <v>68093.63</v>
      </c>
      <c r="P92" s="5">
        <v>-0.1134</v>
      </c>
      <c r="Q92" s="5">
        <v>0.16370000000000001</v>
      </c>
    </row>
    <row r="93" spans="1:17" x14ac:dyDescent="0.3">
      <c r="A93" s="5">
        <v>24</v>
      </c>
      <c r="B93" s="5">
        <v>45507930</v>
      </c>
      <c r="C93" s="5">
        <v>43086642.630000003</v>
      </c>
      <c r="D93" s="5">
        <v>671</v>
      </c>
      <c r="E93" s="5">
        <v>1449</v>
      </c>
      <c r="F93" s="5">
        <v>2421287.37</v>
      </c>
      <c r="G93" s="5">
        <v>5.3199999999999997E-2</v>
      </c>
      <c r="H93" s="5">
        <v>67821.06</v>
      </c>
      <c r="I93" s="5" t="s">
        <v>508</v>
      </c>
      <c r="J93" s="5" t="s">
        <v>295</v>
      </c>
      <c r="K93" s="5">
        <v>18</v>
      </c>
      <c r="L93" s="5" t="s">
        <v>509</v>
      </c>
      <c r="M93" s="5" t="s">
        <v>510</v>
      </c>
      <c r="N93" s="5">
        <v>0.22259999999999999</v>
      </c>
      <c r="O93" s="5">
        <v>68093.63</v>
      </c>
      <c r="P93" s="5">
        <v>-0.1694</v>
      </c>
      <c r="Q93" s="5">
        <v>-4.0000000000000001E-3</v>
      </c>
    </row>
    <row r="94" spans="1:17" x14ac:dyDescent="0.3">
      <c r="A94" s="5">
        <v>112</v>
      </c>
      <c r="B94" s="5">
        <v>45229491</v>
      </c>
      <c r="C94" s="5">
        <v>42944476.329999998</v>
      </c>
      <c r="D94" s="5">
        <v>692</v>
      </c>
      <c r="E94" s="5">
        <v>1531</v>
      </c>
      <c r="F94" s="5">
        <v>2285014.67</v>
      </c>
      <c r="G94" s="5">
        <v>5.0500000000000003E-2</v>
      </c>
      <c r="H94" s="5">
        <v>65360.54</v>
      </c>
      <c r="I94" s="5" t="s">
        <v>494</v>
      </c>
      <c r="J94" s="5" t="s">
        <v>295</v>
      </c>
      <c r="K94" s="5">
        <v>18</v>
      </c>
      <c r="L94" s="5" t="s">
        <v>511</v>
      </c>
      <c r="M94" s="5" t="s">
        <v>512</v>
      </c>
      <c r="N94" s="5">
        <v>0.22259999999999999</v>
      </c>
      <c r="O94" s="5">
        <v>68093.63</v>
      </c>
      <c r="P94" s="5">
        <v>-0.1721</v>
      </c>
      <c r="Q94" s="5">
        <v>-4.0099999999999997E-2</v>
      </c>
    </row>
    <row r="95" spans="1:17" x14ac:dyDescent="0.3">
      <c r="A95" s="5">
        <v>19</v>
      </c>
      <c r="B95" s="5">
        <v>45123159</v>
      </c>
      <c r="C95" s="5">
        <v>41076736.210000001</v>
      </c>
      <c r="D95" s="5">
        <v>593</v>
      </c>
      <c r="E95" s="5">
        <v>1338</v>
      </c>
      <c r="F95" s="5">
        <v>4046422.79</v>
      </c>
      <c r="G95" s="5">
        <v>8.9700000000000002E-2</v>
      </c>
      <c r="H95" s="5">
        <v>76093.02</v>
      </c>
      <c r="I95" s="5" t="s">
        <v>513</v>
      </c>
      <c r="J95" s="5" t="s">
        <v>223</v>
      </c>
      <c r="K95" s="5">
        <v>15</v>
      </c>
      <c r="L95" s="5" t="s">
        <v>514</v>
      </c>
      <c r="M95" s="5" t="s">
        <v>515</v>
      </c>
      <c r="N95" s="5">
        <v>0.22259999999999999</v>
      </c>
      <c r="O95" s="5">
        <v>68093.63</v>
      </c>
      <c r="P95" s="5">
        <v>-0.13289999999999999</v>
      </c>
      <c r="Q95" s="5">
        <v>0.11749999999999999</v>
      </c>
    </row>
    <row r="96" spans="1:17" x14ac:dyDescent="0.3">
      <c r="A96" s="5">
        <v>96</v>
      </c>
      <c r="B96" s="5">
        <v>44414990</v>
      </c>
      <c r="C96" s="5">
        <v>57656010.869999997</v>
      </c>
      <c r="D96" s="5">
        <v>931</v>
      </c>
      <c r="E96" s="5">
        <v>2037</v>
      </c>
      <c r="F96" s="5">
        <v>-13241020.869999999</v>
      </c>
      <c r="G96" s="5">
        <v>-0.29809999999999998</v>
      </c>
      <c r="H96" s="5">
        <v>47706.76</v>
      </c>
      <c r="I96" s="5" t="s">
        <v>516</v>
      </c>
      <c r="J96" s="5" t="s">
        <v>295</v>
      </c>
      <c r="K96" s="5">
        <v>40</v>
      </c>
      <c r="L96" s="5" t="s">
        <v>517</v>
      </c>
      <c r="M96" s="5" t="s">
        <v>518</v>
      </c>
      <c r="N96" s="5">
        <v>0.22259999999999999</v>
      </c>
      <c r="O96" s="5">
        <v>68093.63</v>
      </c>
      <c r="P96" s="5">
        <v>-0.52070000000000005</v>
      </c>
      <c r="Q96" s="5">
        <v>-0.2994</v>
      </c>
    </row>
    <row r="97" spans="1:17" x14ac:dyDescent="0.3">
      <c r="A97" s="5">
        <v>128</v>
      </c>
      <c r="B97" s="5">
        <v>44083942</v>
      </c>
      <c r="C97" s="5">
        <v>48733465.200000003</v>
      </c>
      <c r="D97" s="5">
        <v>819</v>
      </c>
      <c r="E97" s="5">
        <v>1805</v>
      </c>
      <c r="F97" s="5">
        <v>-4649523.2000000002</v>
      </c>
      <c r="G97" s="5">
        <v>-0.1055</v>
      </c>
      <c r="H97" s="5">
        <v>53826.55</v>
      </c>
      <c r="I97" s="5" t="s">
        <v>519</v>
      </c>
      <c r="J97" s="5" t="s">
        <v>282</v>
      </c>
      <c r="K97" s="5">
        <v>30</v>
      </c>
      <c r="L97" s="5" t="s">
        <v>434</v>
      </c>
      <c r="M97" s="5" t="s">
        <v>520</v>
      </c>
      <c r="N97" s="5">
        <v>0.22259999999999999</v>
      </c>
      <c r="O97" s="5">
        <v>68093.63</v>
      </c>
      <c r="P97" s="5">
        <v>-0.3281</v>
      </c>
      <c r="Q97" s="5">
        <v>-0.20949999999999999</v>
      </c>
    </row>
    <row r="98" spans="1:17" x14ac:dyDescent="0.3">
      <c r="A98" s="5">
        <v>8</v>
      </c>
      <c r="B98" s="5">
        <v>43950008</v>
      </c>
      <c r="C98" s="5">
        <v>42714401.329999998</v>
      </c>
      <c r="D98" s="5">
        <v>709</v>
      </c>
      <c r="E98" s="5">
        <v>1522</v>
      </c>
      <c r="F98" s="5">
        <v>1235606.67</v>
      </c>
      <c r="G98" s="5">
        <v>2.81E-2</v>
      </c>
      <c r="H98" s="5">
        <v>61988.73</v>
      </c>
      <c r="I98" s="5" t="s">
        <v>521</v>
      </c>
      <c r="J98" s="5" t="s">
        <v>223</v>
      </c>
      <c r="K98" s="5">
        <v>20</v>
      </c>
      <c r="L98" s="5" t="s">
        <v>475</v>
      </c>
      <c r="M98" s="5" t="s">
        <v>522</v>
      </c>
      <c r="N98" s="5">
        <v>0.22259999999999999</v>
      </c>
      <c r="O98" s="5">
        <v>68093.63</v>
      </c>
      <c r="P98" s="5">
        <v>-0.19450000000000001</v>
      </c>
      <c r="Q98" s="5">
        <v>-8.9700000000000002E-2</v>
      </c>
    </row>
    <row r="99" spans="1:17" x14ac:dyDescent="0.3">
      <c r="A99" s="5">
        <v>82</v>
      </c>
      <c r="B99" s="5">
        <v>43472332</v>
      </c>
      <c r="C99" s="5">
        <v>39801557.780000001</v>
      </c>
      <c r="D99" s="5">
        <v>637</v>
      </c>
      <c r="E99" s="5">
        <v>1409</v>
      </c>
      <c r="F99" s="5">
        <v>3670774.22</v>
      </c>
      <c r="G99" s="5">
        <v>8.4400000000000003E-2</v>
      </c>
      <c r="H99" s="5">
        <v>68245.42</v>
      </c>
      <c r="I99" s="5" t="s">
        <v>523</v>
      </c>
      <c r="J99" s="5" t="s">
        <v>251</v>
      </c>
      <c r="K99" s="5">
        <v>15</v>
      </c>
      <c r="L99" s="5" t="s">
        <v>524</v>
      </c>
      <c r="M99" s="5" t="s">
        <v>525</v>
      </c>
      <c r="N99" s="5">
        <v>0.22259999999999999</v>
      </c>
      <c r="O99" s="5">
        <v>68093.63</v>
      </c>
      <c r="P99" s="5">
        <v>-0.13819999999999999</v>
      </c>
      <c r="Q99" s="5">
        <v>2.2000000000000001E-3</v>
      </c>
    </row>
    <row r="100" spans="1:17" x14ac:dyDescent="0.3">
      <c r="A100" s="5">
        <v>156</v>
      </c>
      <c r="B100" s="5">
        <v>43411088</v>
      </c>
      <c r="C100" s="5">
        <v>37399261.460000001</v>
      </c>
      <c r="D100" s="5">
        <v>613</v>
      </c>
      <c r="E100" s="5">
        <v>1355</v>
      </c>
      <c r="F100" s="5">
        <v>6011826.54</v>
      </c>
      <c r="G100" s="5">
        <v>0.13850000000000001</v>
      </c>
      <c r="H100" s="5">
        <v>70817.440000000002</v>
      </c>
      <c r="I100" s="5" t="s">
        <v>526</v>
      </c>
      <c r="J100" s="5" t="s">
        <v>223</v>
      </c>
      <c r="K100" s="5">
        <v>10</v>
      </c>
      <c r="L100" s="5" t="s">
        <v>332</v>
      </c>
      <c r="M100" s="5" t="s">
        <v>527</v>
      </c>
      <c r="N100" s="5">
        <v>0.22259999999999999</v>
      </c>
      <c r="O100" s="5">
        <v>68093.63</v>
      </c>
      <c r="P100" s="5">
        <v>-8.4099999999999994E-2</v>
      </c>
      <c r="Q100" s="5">
        <v>0.04</v>
      </c>
    </row>
    <row r="101" spans="1:17" x14ac:dyDescent="0.3">
      <c r="A101" s="5">
        <v>53</v>
      </c>
      <c r="B101" s="5">
        <v>42848538</v>
      </c>
      <c r="C101" s="5">
        <v>39266886.240000002</v>
      </c>
      <c r="D101" s="5">
        <v>617</v>
      </c>
      <c r="E101" s="5">
        <v>1357</v>
      </c>
      <c r="F101" s="5">
        <v>3581651.76</v>
      </c>
      <c r="G101" s="5">
        <v>8.3599999999999994E-2</v>
      </c>
      <c r="H101" s="5">
        <v>69446.58</v>
      </c>
      <c r="I101" s="5" t="s">
        <v>528</v>
      </c>
      <c r="J101" s="5" t="s">
        <v>247</v>
      </c>
      <c r="K101" s="5">
        <v>15</v>
      </c>
      <c r="L101" s="5" t="s">
        <v>529</v>
      </c>
      <c r="M101" s="5" t="s">
        <v>530</v>
      </c>
      <c r="N101" s="5">
        <v>0.22259999999999999</v>
      </c>
      <c r="O101" s="5">
        <v>68093.63</v>
      </c>
      <c r="P101" s="5">
        <v>-0.13900000000000001</v>
      </c>
      <c r="Q101" s="5">
        <v>1.9900000000000001E-2</v>
      </c>
    </row>
    <row r="102" spans="1:17" x14ac:dyDescent="0.3">
      <c r="A102" s="5">
        <v>152</v>
      </c>
      <c r="B102" s="5">
        <v>42662861</v>
      </c>
      <c r="C102" s="5">
        <v>36850157.140000001</v>
      </c>
      <c r="D102" s="5">
        <v>569</v>
      </c>
      <c r="E102" s="5">
        <v>1213</v>
      </c>
      <c r="F102" s="5">
        <v>5812703.8600000003</v>
      </c>
      <c r="G102" s="5">
        <v>0.13619999999999999</v>
      </c>
      <c r="H102" s="5">
        <v>74978.67</v>
      </c>
      <c r="I102" s="5" t="s">
        <v>531</v>
      </c>
      <c r="J102" s="5" t="s">
        <v>223</v>
      </c>
      <c r="K102" s="5">
        <v>10</v>
      </c>
      <c r="L102" s="5" t="s">
        <v>532</v>
      </c>
      <c r="M102" s="5" t="s">
        <v>533</v>
      </c>
      <c r="N102" s="5">
        <v>0.22259999999999999</v>
      </c>
      <c r="O102" s="5">
        <v>68093.63</v>
      </c>
      <c r="P102" s="5">
        <v>-8.6400000000000005E-2</v>
      </c>
      <c r="Q102" s="5">
        <v>0.1011</v>
      </c>
    </row>
    <row r="103" spans="1:17" x14ac:dyDescent="0.3">
      <c r="A103" s="5">
        <v>130</v>
      </c>
      <c r="B103" s="5">
        <v>42597256</v>
      </c>
      <c r="C103" s="5">
        <v>37916999.520000003</v>
      </c>
      <c r="D103" s="5">
        <v>582</v>
      </c>
      <c r="E103" s="5">
        <v>1278</v>
      </c>
      <c r="F103" s="5">
        <v>4680256.4800000004</v>
      </c>
      <c r="G103" s="5">
        <v>0.1099</v>
      </c>
      <c r="H103" s="5">
        <v>73191.16</v>
      </c>
      <c r="I103" s="5" t="s">
        <v>534</v>
      </c>
      <c r="J103" s="5" t="s">
        <v>251</v>
      </c>
      <c r="K103" s="5">
        <v>12</v>
      </c>
      <c r="L103" s="5" t="s">
        <v>504</v>
      </c>
      <c r="M103" s="5" t="s">
        <v>535</v>
      </c>
      <c r="N103" s="5">
        <v>0.22259999999999999</v>
      </c>
      <c r="O103" s="5">
        <v>68093.63</v>
      </c>
      <c r="P103" s="5">
        <v>-0.11269999999999999</v>
      </c>
      <c r="Q103" s="5">
        <v>7.4899999999999994E-2</v>
      </c>
    </row>
    <row r="104" spans="1:17" x14ac:dyDescent="0.3">
      <c r="A104" s="5">
        <v>101</v>
      </c>
      <c r="B104" s="5">
        <v>42578665</v>
      </c>
      <c r="C104" s="5">
        <v>39057867.960000001</v>
      </c>
      <c r="D104" s="5">
        <v>638</v>
      </c>
      <c r="E104" s="5">
        <v>1366</v>
      </c>
      <c r="F104" s="5">
        <v>3520797.04</v>
      </c>
      <c r="G104" s="5">
        <v>8.2699999999999996E-2</v>
      </c>
      <c r="H104" s="5">
        <v>66737.72</v>
      </c>
      <c r="I104" s="5" t="s">
        <v>536</v>
      </c>
      <c r="J104" s="5" t="s">
        <v>282</v>
      </c>
      <c r="K104" s="5">
        <v>15</v>
      </c>
      <c r="L104" s="5" t="s">
        <v>537</v>
      </c>
      <c r="M104" s="5" t="s">
        <v>538</v>
      </c>
      <c r="N104" s="5">
        <v>0.22259999999999999</v>
      </c>
      <c r="O104" s="5">
        <v>68093.63</v>
      </c>
      <c r="P104" s="5">
        <v>-0.1399</v>
      </c>
      <c r="Q104" s="5">
        <v>-1.9900000000000001E-2</v>
      </c>
    </row>
    <row r="105" spans="1:17" x14ac:dyDescent="0.3">
      <c r="A105" s="5">
        <v>115</v>
      </c>
      <c r="B105" s="5">
        <v>42369113</v>
      </c>
      <c r="C105" s="5">
        <v>34792561.07</v>
      </c>
      <c r="D105" s="5">
        <v>553</v>
      </c>
      <c r="E105" s="5">
        <v>1181</v>
      </c>
      <c r="F105" s="5">
        <v>7576551.9299999997</v>
      </c>
      <c r="G105" s="5">
        <v>0.17879999999999999</v>
      </c>
      <c r="H105" s="5">
        <v>76616.84</v>
      </c>
      <c r="I105" s="5" t="s">
        <v>539</v>
      </c>
      <c r="J105" s="5" t="s">
        <v>251</v>
      </c>
      <c r="K105" s="5">
        <v>5</v>
      </c>
      <c r="L105" s="5" t="s">
        <v>540</v>
      </c>
      <c r="M105" s="5" t="s">
        <v>541</v>
      </c>
      <c r="N105" s="5">
        <v>0.22259999999999999</v>
      </c>
      <c r="O105" s="5">
        <v>68093.63</v>
      </c>
      <c r="P105" s="5">
        <v>-4.3799999999999999E-2</v>
      </c>
      <c r="Q105" s="5">
        <v>0.12520000000000001</v>
      </c>
    </row>
    <row r="106" spans="1:17" x14ac:dyDescent="0.3">
      <c r="A106" s="5">
        <v>66</v>
      </c>
      <c r="B106" s="5">
        <v>42320844</v>
      </c>
      <c r="C106" s="5">
        <v>38785390.619999997</v>
      </c>
      <c r="D106" s="5">
        <v>599</v>
      </c>
      <c r="E106" s="5">
        <v>1351</v>
      </c>
      <c r="F106" s="5">
        <v>3535453.38</v>
      </c>
      <c r="G106" s="5">
        <v>8.3500000000000005E-2</v>
      </c>
      <c r="H106" s="5">
        <v>70652.490000000005</v>
      </c>
      <c r="I106" s="5" t="s">
        <v>542</v>
      </c>
      <c r="J106" s="5" t="s">
        <v>223</v>
      </c>
      <c r="K106" s="5">
        <v>15</v>
      </c>
      <c r="L106" s="5" t="s">
        <v>543</v>
      </c>
      <c r="M106" s="5" t="s">
        <v>507</v>
      </c>
      <c r="N106" s="5">
        <v>0.22259999999999999</v>
      </c>
      <c r="O106" s="5">
        <v>68093.63</v>
      </c>
      <c r="P106" s="5">
        <v>-0.1391</v>
      </c>
      <c r="Q106" s="5">
        <v>3.7600000000000001E-2</v>
      </c>
    </row>
    <row r="107" spans="1:17" x14ac:dyDescent="0.3">
      <c r="A107" s="5">
        <v>13</v>
      </c>
      <c r="B107" s="5">
        <v>40724648</v>
      </c>
      <c r="C107" s="5">
        <v>35844784.770000003</v>
      </c>
      <c r="D107" s="5">
        <v>584</v>
      </c>
      <c r="E107" s="5">
        <v>1286</v>
      </c>
      <c r="F107" s="5">
        <v>4879863.2300000004</v>
      </c>
      <c r="G107" s="5">
        <v>0.1198</v>
      </c>
      <c r="H107" s="5">
        <v>69733.990000000005</v>
      </c>
      <c r="I107" s="5" t="s">
        <v>544</v>
      </c>
      <c r="J107" s="5" t="s">
        <v>223</v>
      </c>
      <c r="K107" s="5">
        <v>12</v>
      </c>
      <c r="L107" s="5" t="s">
        <v>545</v>
      </c>
      <c r="M107" s="5" t="s">
        <v>546</v>
      </c>
      <c r="N107" s="5">
        <v>0.22259999999999999</v>
      </c>
      <c r="O107" s="5">
        <v>68093.63</v>
      </c>
      <c r="P107" s="5">
        <v>-0.1028</v>
      </c>
      <c r="Q107" s="5">
        <v>2.41E-2</v>
      </c>
    </row>
    <row r="108" spans="1:17" x14ac:dyDescent="0.3">
      <c r="A108" s="5">
        <v>34</v>
      </c>
      <c r="B108" s="5">
        <v>40401984</v>
      </c>
      <c r="C108" s="5">
        <v>34800311.189999998</v>
      </c>
      <c r="D108" s="5">
        <v>576</v>
      </c>
      <c r="E108" s="5">
        <v>1268</v>
      </c>
      <c r="F108" s="5">
        <v>5601672.8099999996</v>
      </c>
      <c r="G108" s="5">
        <v>0.1386</v>
      </c>
      <c r="H108" s="5">
        <v>70142.33</v>
      </c>
      <c r="I108" s="5" t="s">
        <v>547</v>
      </c>
      <c r="J108" s="5" t="s">
        <v>223</v>
      </c>
      <c r="K108" s="5">
        <v>10</v>
      </c>
      <c r="L108" s="5" t="s">
        <v>548</v>
      </c>
      <c r="M108" s="5" t="s">
        <v>549</v>
      </c>
      <c r="N108" s="5">
        <v>0.22259999999999999</v>
      </c>
      <c r="O108" s="5">
        <v>68093.63</v>
      </c>
      <c r="P108" s="5">
        <v>-8.4000000000000005E-2</v>
      </c>
      <c r="Q108" s="5">
        <v>3.0099999999999998E-2</v>
      </c>
    </row>
    <row r="109" spans="1:17" x14ac:dyDescent="0.3">
      <c r="A109" s="5">
        <v>102</v>
      </c>
      <c r="B109" s="5">
        <v>39967561</v>
      </c>
      <c r="C109" s="5">
        <v>35230693.509999998</v>
      </c>
      <c r="D109" s="5">
        <v>555</v>
      </c>
      <c r="E109" s="5">
        <v>1231</v>
      </c>
      <c r="F109" s="5">
        <v>4736867.49</v>
      </c>
      <c r="G109" s="5">
        <v>0.11849999999999999</v>
      </c>
      <c r="H109" s="5">
        <v>72013.62</v>
      </c>
      <c r="I109" s="5" t="s">
        <v>550</v>
      </c>
      <c r="J109" s="5" t="s">
        <v>247</v>
      </c>
      <c r="K109" s="5">
        <v>12</v>
      </c>
      <c r="L109" s="5" t="s">
        <v>551</v>
      </c>
      <c r="M109" s="5" t="s">
        <v>552</v>
      </c>
      <c r="N109" s="5">
        <v>0.22259999999999999</v>
      </c>
      <c r="O109" s="5">
        <v>68093.63</v>
      </c>
      <c r="P109" s="5">
        <v>-0.1041</v>
      </c>
      <c r="Q109" s="5">
        <v>5.7599999999999998E-2</v>
      </c>
    </row>
    <row r="110" spans="1:17" x14ac:dyDescent="0.3">
      <c r="A110" s="5">
        <v>157</v>
      </c>
      <c r="B110" s="5">
        <v>39725474</v>
      </c>
      <c r="C110" s="5">
        <v>37342127.450000003</v>
      </c>
      <c r="D110" s="5">
        <v>661</v>
      </c>
      <c r="E110" s="5">
        <v>1366</v>
      </c>
      <c r="F110" s="5">
        <v>2383346.5499999998</v>
      </c>
      <c r="G110" s="5">
        <v>0.06</v>
      </c>
      <c r="H110" s="5">
        <v>60099.05</v>
      </c>
      <c r="I110" s="5" t="s">
        <v>494</v>
      </c>
      <c r="J110" s="5" t="s">
        <v>295</v>
      </c>
      <c r="K110" s="5">
        <v>18</v>
      </c>
      <c r="L110" s="5" t="s">
        <v>553</v>
      </c>
      <c r="M110" s="5" t="s">
        <v>554</v>
      </c>
      <c r="N110" s="5">
        <v>0.22259999999999999</v>
      </c>
      <c r="O110" s="5">
        <v>68093.63</v>
      </c>
      <c r="P110" s="5">
        <v>-0.16259999999999999</v>
      </c>
      <c r="Q110" s="5">
        <v>-0.1174</v>
      </c>
    </row>
    <row r="111" spans="1:17" x14ac:dyDescent="0.3">
      <c r="A111" s="5">
        <v>29</v>
      </c>
      <c r="B111" s="5">
        <v>39715124</v>
      </c>
      <c r="C111" s="5">
        <v>35184599.090000004</v>
      </c>
      <c r="D111" s="5">
        <v>524</v>
      </c>
      <c r="E111" s="5">
        <v>1166</v>
      </c>
      <c r="F111" s="5">
        <v>4530524.91</v>
      </c>
      <c r="G111" s="5">
        <v>0.11409999999999999</v>
      </c>
      <c r="H111" s="5">
        <v>75792.22</v>
      </c>
      <c r="I111" s="5" t="s">
        <v>555</v>
      </c>
      <c r="J111" s="5" t="s">
        <v>251</v>
      </c>
      <c r="K111" s="5">
        <v>12</v>
      </c>
      <c r="L111" s="5" t="s">
        <v>556</v>
      </c>
      <c r="M111" s="5" t="s">
        <v>557</v>
      </c>
      <c r="N111" s="5">
        <v>0.22259999999999999</v>
      </c>
      <c r="O111" s="5">
        <v>68093.63</v>
      </c>
      <c r="P111" s="5">
        <v>-0.1085</v>
      </c>
      <c r="Q111" s="5">
        <v>0.11310000000000001</v>
      </c>
    </row>
    <row r="112" spans="1:17" x14ac:dyDescent="0.3">
      <c r="A112" s="5">
        <v>189</v>
      </c>
      <c r="B112" s="5">
        <v>39624919</v>
      </c>
      <c r="C112" s="5">
        <v>35015932.939999998</v>
      </c>
      <c r="D112" s="5">
        <v>552</v>
      </c>
      <c r="E112" s="5">
        <v>1241</v>
      </c>
      <c r="F112" s="5">
        <v>4608986.0599999996</v>
      </c>
      <c r="G112" s="5">
        <v>0.1163</v>
      </c>
      <c r="H112" s="5">
        <v>71784.27</v>
      </c>
      <c r="I112" s="5" t="s">
        <v>558</v>
      </c>
      <c r="J112" s="5" t="s">
        <v>223</v>
      </c>
      <c r="K112" s="5">
        <v>12</v>
      </c>
      <c r="L112" s="5" t="s">
        <v>559</v>
      </c>
      <c r="M112" s="5" t="s">
        <v>560</v>
      </c>
      <c r="N112" s="5">
        <v>0.22259999999999999</v>
      </c>
      <c r="O112" s="5">
        <v>68093.63</v>
      </c>
      <c r="P112" s="5">
        <v>-0.10630000000000001</v>
      </c>
      <c r="Q112" s="5">
        <v>5.4199999999999998E-2</v>
      </c>
    </row>
    <row r="113" spans="1:17" x14ac:dyDescent="0.3">
      <c r="A113" s="5">
        <v>105</v>
      </c>
      <c r="B113" s="5">
        <v>39618388</v>
      </c>
      <c r="C113" s="5">
        <v>34056365.600000001</v>
      </c>
      <c r="D113" s="5">
        <v>575</v>
      </c>
      <c r="E113" s="5">
        <v>1263</v>
      </c>
      <c r="F113" s="5">
        <v>5562022.4000000004</v>
      </c>
      <c r="G113" s="5">
        <v>0.1404</v>
      </c>
      <c r="H113" s="5">
        <v>68901.539999999994</v>
      </c>
      <c r="I113" s="5" t="s">
        <v>561</v>
      </c>
      <c r="J113" s="5" t="s">
        <v>295</v>
      </c>
      <c r="K113" s="5">
        <v>10</v>
      </c>
      <c r="L113" s="5" t="s">
        <v>562</v>
      </c>
      <c r="M113" s="5" t="s">
        <v>563</v>
      </c>
      <c r="N113" s="5">
        <v>0.22259999999999999</v>
      </c>
      <c r="O113" s="5">
        <v>68093.63</v>
      </c>
      <c r="P113" s="5">
        <v>-8.2199999999999995E-2</v>
      </c>
      <c r="Q113" s="5">
        <v>1.1900000000000001E-2</v>
      </c>
    </row>
    <row r="114" spans="1:17" x14ac:dyDescent="0.3">
      <c r="A114" s="5">
        <v>123</v>
      </c>
      <c r="B114" s="5">
        <v>38583299</v>
      </c>
      <c r="C114" s="5">
        <v>33297156.920000002</v>
      </c>
      <c r="D114" s="5">
        <v>538</v>
      </c>
      <c r="E114" s="5">
        <v>1184</v>
      </c>
      <c r="F114" s="5">
        <v>5286142.08</v>
      </c>
      <c r="G114" s="5">
        <v>0.13700000000000001</v>
      </c>
      <c r="H114" s="5">
        <v>71716.17</v>
      </c>
      <c r="I114" s="5" t="s">
        <v>564</v>
      </c>
      <c r="J114" s="5" t="s">
        <v>223</v>
      </c>
      <c r="K114" s="5">
        <v>10</v>
      </c>
      <c r="L114" s="5" t="s">
        <v>565</v>
      </c>
      <c r="M114" s="5" t="s">
        <v>566</v>
      </c>
      <c r="N114" s="5">
        <v>0.22259999999999999</v>
      </c>
      <c r="O114" s="5">
        <v>68093.63</v>
      </c>
      <c r="P114" s="5">
        <v>-8.5599999999999996E-2</v>
      </c>
      <c r="Q114" s="5">
        <v>5.3199999999999997E-2</v>
      </c>
    </row>
    <row r="115" spans="1:17" x14ac:dyDescent="0.3">
      <c r="A115" s="5">
        <v>75</v>
      </c>
      <c r="B115" s="5">
        <v>38472760</v>
      </c>
      <c r="C115" s="5">
        <v>36704263.859999999</v>
      </c>
      <c r="D115" s="5">
        <v>532</v>
      </c>
      <c r="E115" s="5">
        <v>1174</v>
      </c>
      <c r="F115" s="5">
        <v>1768496.14</v>
      </c>
      <c r="G115" s="5">
        <v>4.5999999999999999E-2</v>
      </c>
      <c r="H115" s="5">
        <v>72317.22</v>
      </c>
      <c r="I115" s="5" t="s">
        <v>567</v>
      </c>
      <c r="J115" s="5" t="s">
        <v>251</v>
      </c>
      <c r="K115" s="5">
        <v>18</v>
      </c>
      <c r="L115" s="5" t="s">
        <v>568</v>
      </c>
      <c r="M115" s="5" t="s">
        <v>569</v>
      </c>
      <c r="N115" s="5">
        <v>0.22259999999999999</v>
      </c>
      <c r="O115" s="5">
        <v>68093.63</v>
      </c>
      <c r="P115" s="5">
        <v>-0.1767</v>
      </c>
      <c r="Q115" s="5">
        <v>6.2E-2</v>
      </c>
    </row>
    <row r="116" spans="1:17" x14ac:dyDescent="0.3">
      <c r="A116" s="5">
        <v>11</v>
      </c>
      <c r="B116" s="5">
        <v>37357055</v>
      </c>
      <c r="C116" s="5">
        <v>48454866.93</v>
      </c>
      <c r="D116" s="5">
        <v>757</v>
      </c>
      <c r="E116" s="5">
        <v>1671</v>
      </c>
      <c r="F116" s="5">
        <v>-11097811.93</v>
      </c>
      <c r="G116" s="5">
        <v>-0.29709999999999998</v>
      </c>
      <c r="H116" s="5">
        <v>49348.82</v>
      </c>
      <c r="I116" s="5" t="s">
        <v>570</v>
      </c>
      <c r="J116" s="5" t="s">
        <v>295</v>
      </c>
      <c r="K116" s="5">
        <v>40</v>
      </c>
      <c r="L116" s="5" t="s">
        <v>571</v>
      </c>
      <c r="M116" s="5" t="s">
        <v>572</v>
      </c>
      <c r="N116" s="5">
        <v>0.22259999999999999</v>
      </c>
      <c r="O116" s="5">
        <v>68093.63</v>
      </c>
      <c r="P116" s="5">
        <v>-0.51970000000000005</v>
      </c>
      <c r="Q116" s="5">
        <v>-0.27529999999999999</v>
      </c>
    </row>
    <row r="117" spans="1:17" x14ac:dyDescent="0.3">
      <c r="A117" s="5">
        <v>176</v>
      </c>
      <c r="B117" s="5">
        <v>37233278</v>
      </c>
      <c r="C117" s="5">
        <v>38732862.32</v>
      </c>
      <c r="D117" s="5">
        <v>594</v>
      </c>
      <c r="E117" s="5">
        <v>1313</v>
      </c>
      <c r="F117" s="5">
        <v>-1499584.32</v>
      </c>
      <c r="G117" s="5">
        <v>-4.0300000000000002E-2</v>
      </c>
      <c r="H117" s="5">
        <v>62682.29</v>
      </c>
      <c r="I117" s="5" t="s">
        <v>573</v>
      </c>
      <c r="J117" s="5" t="s">
        <v>223</v>
      </c>
      <c r="K117" s="5">
        <v>25</v>
      </c>
      <c r="L117" s="5" t="s">
        <v>574</v>
      </c>
      <c r="M117" s="5" t="s">
        <v>575</v>
      </c>
      <c r="N117" s="5">
        <v>0.22259999999999999</v>
      </c>
      <c r="O117" s="5">
        <v>68093.63</v>
      </c>
      <c r="P117" s="5">
        <v>-0.26290000000000002</v>
      </c>
      <c r="Q117" s="5">
        <v>-7.9500000000000001E-2</v>
      </c>
    </row>
    <row r="118" spans="1:17" x14ac:dyDescent="0.3">
      <c r="A118" s="5">
        <v>70</v>
      </c>
      <c r="B118" s="5">
        <v>36618452</v>
      </c>
      <c r="C118" s="5">
        <v>47590208.829999998</v>
      </c>
      <c r="D118" s="5">
        <v>750</v>
      </c>
      <c r="E118" s="5">
        <v>1614</v>
      </c>
      <c r="F118" s="5">
        <v>-10971756.83</v>
      </c>
      <c r="G118" s="5">
        <v>-0.29959999999999998</v>
      </c>
      <c r="H118" s="5">
        <v>48824.6</v>
      </c>
      <c r="I118" s="5" t="s">
        <v>576</v>
      </c>
      <c r="J118" s="5" t="s">
        <v>247</v>
      </c>
      <c r="K118" s="5">
        <v>40</v>
      </c>
      <c r="L118" s="5" t="s">
        <v>577</v>
      </c>
      <c r="M118" s="5" t="s">
        <v>406</v>
      </c>
      <c r="N118" s="5">
        <v>0.22259999999999999</v>
      </c>
      <c r="O118" s="5">
        <v>68093.63</v>
      </c>
      <c r="P118" s="5">
        <v>-0.5222</v>
      </c>
      <c r="Q118" s="5">
        <v>-0.28299999999999997</v>
      </c>
    </row>
    <row r="119" spans="1:17" x14ac:dyDescent="0.3">
      <c r="A119" s="5">
        <v>69</v>
      </c>
      <c r="B119" s="5">
        <v>36260613</v>
      </c>
      <c r="C119" s="5">
        <v>33490289.870000001</v>
      </c>
      <c r="D119" s="5">
        <v>519</v>
      </c>
      <c r="E119" s="5">
        <v>1082</v>
      </c>
      <c r="F119" s="5">
        <v>2770323.13</v>
      </c>
      <c r="G119" s="5">
        <v>7.6399999999999996E-2</v>
      </c>
      <c r="H119" s="5">
        <v>69866.31</v>
      </c>
      <c r="I119" s="5" t="s">
        <v>578</v>
      </c>
      <c r="J119" s="5" t="s">
        <v>295</v>
      </c>
      <c r="K119" s="5">
        <v>15</v>
      </c>
      <c r="L119" s="5" t="s">
        <v>579</v>
      </c>
      <c r="M119" s="5" t="s">
        <v>580</v>
      </c>
      <c r="N119" s="5">
        <v>0.22259999999999999</v>
      </c>
      <c r="O119" s="5">
        <v>68093.63</v>
      </c>
      <c r="P119" s="5">
        <v>-0.1462</v>
      </c>
      <c r="Q119" s="5">
        <v>2.5999999999999999E-2</v>
      </c>
    </row>
    <row r="120" spans="1:17" x14ac:dyDescent="0.3">
      <c r="A120" s="5">
        <v>7</v>
      </c>
      <c r="B120" s="5">
        <v>36033073</v>
      </c>
      <c r="C120" s="5">
        <v>33236592.18</v>
      </c>
      <c r="D120" s="5">
        <v>467</v>
      </c>
      <c r="E120" s="5">
        <v>1064</v>
      </c>
      <c r="F120" s="5">
        <v>2796480.82</v>
      </c>
      <c r="G120" s="5">
        <v>7.7600000000000002E-2</v>
      </c>
      <c r="H120" s="5">
        <v>77158.61</v>
      </c>
      <c r="I120" s="5" t="s">
        <v>581</v>
      </c>
      <c r="J120" s="5" t="s">
        <v>295</v>
      </c>
      <c r="K120" s="5">
        <v>15</v>
      </c>
      <c r="L120" s="5" t="s">
        <v>582</v>
      </c>
      <c r="M120" s="5" t="s">
        <v>394</v>
      </c>
      <c r="N120" s="5">
        <v>0.22259999999999999</v>
      </c>
      <c r="O120" s="5">
        <v>68093.63</v>
      </c>
      <c r="P120" s="5">
        <v>-0.14499999999999999</v>
      </c>
      <c r="Q120" s="5">
        <v>0.1331</v>
      </c>
    </row>
    <row r="121" spans="1:17" x14ac:dyDescent="0.3">
      <c r="A121" s="5">
        <v>26</v>
      </c>
      <c r="B121" s="5">
        <v>35768050</v>
      </c>
      <c r="C121" s="5">
        <v>33594610.549999997</v>
      </c>
      <c r="D121" s="5">
        <v>545</v>
      </c>
      <c r="E121" s="5">
        <v>1215</v>
      </c>
      <c r="F121" s="5">
        <v>2173439.4500000002</v>
      </c>
      <c r="G121" s="5">
        <v>6.08E-2</v>
      </c>
      <c r="H121" s="5">
        <v>65629.45</v>
      </c>
      <c r="I121" s="5" t="s">
        <v>583</v>
      </c>
      <c r="J121" s="5" t="s">
        <v>295</v>
      </c>
      <c r="K121" s="5">
        <v>18</v>
      </c>
      <c r="L121" s="5" t="s">
        <v>584</v>
      </c>
      <c r="M121" s="5" t="s">
        <v>585</v>
      </c>
      <c r="N121" s="5">
        <v>0.22259999999999999</v>
      </c>
      <c r="O121" s="5">
        <v>68093.63</v>
      </c>
      <c r="P121" s="5">
        <v>-0.16189999999999999</v>
      </c>
      <c r="Q121" s="5">
        <v>-3.6200000000000003E-2</v>
      </c>
    </row>
    <row r="122" spans="1:17" x14ac:dyDescent="0.3">
      <c r="A122" s="5">
        <v>194</v>
      </c>
      <c r="B122" s="5">
        <v>35593736</v>
      </c>
      <c r="C122" s="5">
        <v>33687420.420000002</v>
      </c>
      <c r="D122" s="5">
        <v>562</v>
      </c>
      <c r="E122" s="5">
        <v>1236</v>
      </c>
      <c r="F122" s="5">
        <v>1906315.58</v>
      </c>
      <c r="G122" s="5">
        <v>5.3600000000000002E-2</v>
      </c>
      <c r="H122" s="5">
        <v>63334.05</v>
      </c>
      <c r="I122" s="5" t="s">
        <v>586</v>
      </c>
      <c r="J122" s="5" t="s">
        <v>247</v>
      </c>
      <c r="K122" s="5">
        <v>18</v>
      </c>
      <c r="L122" s="5" t="s">
        <v>587</v>
      </c>
      <c r="M122" s="5" t="s">
        <v>588</v>
      </c>
      <c r="N122" s="5">
        <v>0.22259999999999999</v>
      </c>
      <c r="O122" s="5">
        <v>68093.63</v>
      </c>
      <c r="P122" s="5">
        <v>-0.1691</v>
      </c>
      <c r="Q122" s="5">
        <v>-6.9900000000000004E-2</v>
      </c>
    </row>
    <row r="123" spans="1:17" x14ac:dyDescent="0.3">
      <c r="A123" s="5">
        <v>143</v>
      </c>
      <c r="B123" s="5">
        <v>35557539</v>
      </c>
      <c r="C123" s="5">
        <v>30779648.120000001</v>
      </c>
      <c r="D123" s="5">
        <v>474</v>
      </c>
      <c r="E123" s="5">
        <v>1030</v>
      </c>
      <c r="F123" s="5">
        <v>4777890.88</v>
      </c>
      <c r="G123" s="5">
        <v>0.13439999999999999</v>
      </c>
      <c r="H123" s="5">
        <v>75015.91</v>
      </c>
      <c r="I123" s="5" t="s">
        <v>589</v>
      </c>
      <c r="J123" s="5" t="s">
        <v>223</v>
      </c>
      <c r="K123" s="5">
        <v>10</v>
      </c>
      <c r="L123" s="5" t="s">
        <v>590</v>
      </c>
      <c r="M123" s="5" t="s">
        <v>591</v>
      </c>
      <c r="N123" s="5">
        <v>0.22259999999999999</v>
      </c>
      <c r="O123" s="5">
        <v>68093.63</v>
      </c>
      <c r="P123" s="5">
        <v>-8.8200000000000001E-2</v>
      </c>
      <c r="Q123" s="5">
        <v>0.1017</v>
      </c>
    </row>
    <row r="124" spans="1:17" x14ac:dyDescent="0.3">
      <c r="A124" s="5">
        <v>180</v>
      </c>
      <c r="B124" s="5">
        <v>35261420</v>
      </c>
      <c r="C124" s="5">
        <v>36490396.090000004</v>
      </c>
      <c r="D124" s="5">
        <v>601</v>
      </c>
      <c r="E124" s="5">
        <v>1323</v>
      </c>
      <c r="F124" s="5">
        <v>-1228976.0900000001</v>
      </c>
      <c r="G124" s="5">
        <v>-3.49E-2</v>
      </c>
      <c r="H124" s="5">
        <v>58671.25</v>
      </c>
      <c r="I124" s="5" t="s">
        <v>592</v>
      </c>
      <c r="J124" s="5" t="s">
        <v>282</v>
      </c>
      <c r="K124" s="5">
        <v>25</v>
      </c>
      <c r="L124" s="5" t="s">
        <v>593</v>
      </c>
      <c r="M124" s="5" t="s">
        <v>594</v>
      </c>
      <c r="N124" s="5">
        <v>0.22259999999999999</v>
      </c>
      <c r="O124" s="5">
        <v>68093.63</v>
      </c>
      <c r="P124" s="5">
        <v>-0.25750000000000001</v>
      </c>
      <c r="Q124" s="5">
        <v>-0.1384</v>
      </c>
    </row>
    <row r="125" spans="1:17" x14ac:dyDescent="0.3">
      <c r="A125" s="5">
        <v>147</v>
      </c>
      <c r="B125" s="5">
        <v>35210698</v>
      </c>
      <c r="C125" s="5">
        <v>30461152.469999999</v>
      </c>
      <c r="D125" s="5">
        <v>480</v>
      </c>
      <c r="E125" s="5">
        <v>1021</v>
      </c>
      <c r="F125" s="5">
        <v>4749545.53</v>
      </c>
      <c r="G125" s="5">
        <v>0.13489999999999999</v>
      </c>
      <c r="H125" s="5">
        <v>73355.62</v>
      </c>
      <c r="I125" s="5" t="s">
        <v>595</v>
      </c>
      <c r="J125" s="5" t="s">
        <v>223</v>
      </c>
      <c r="K125" s="5">
        <v>10</v>
      </c>
      <c r="L125" s="5" t="s">
        <v>596</v>
      </c>
      <c r="M125" s="5" t="s">
        <v>597</v>
      </c>
      <c r="N125" s="5">
        <v>0.22259999999999999</v>
      </c>
      <c r="O125" s="5">
        <v>68093.63</v>
      </c>
      <c r="P125" s="5">
        <v>-8.77E-2</v>
      </c>
      <c r="Q125" s="5">
        <v>7.7299999999999994E-2</v>
      </c>
    </row>
    <row r="126" spans="1:17" x14ac:dyDescent="0.3">
      <c r="A126" s="5">
        <v>99</v>
      </c>
      <c r="B126" s="5">
        <v>34751406</v>
      </c>
      <c r="C126" s="5">
        <v>36194297.399999999</v>
      </c>
      <c r="D126" s="5">
        <v>569</v>
      </c>
      <c r="E126" s="5">
        <v>1251</v>
      </c>
      <c r="F126" s="5">
        <v>-1442891.4</v>
      </c>
      <c r="G126" s="5">
        <v>-4.1500000000000002E-2</v>
      </c>
      <c r="H126" s="5">
        <v>61074.53</v>
      </c>
      <c r="I126" s="5" t="s">
        <v>598</v>
      </c>
      <c r="J126" s="5" t="s">
        <v>251</v>
      </c>
      <c r="K126" s="5">
        <v>25</v>
      </c>
      <c r="L126" s="5" t="s">
        <v>599</v>
      </c>
      <c r="M126" s="5" t="s">
        <v>600</v>
      </c>
      <c r="N126" s="5">
        <v>0.22259999999999999</v>
      </c>
      <c r="O126" s="5">
        <v>68093.63</v>
      </c>
      <c r="P126" s="5">
        <v>-0.2641</v>
      </c>
      <c r="Q126" s="5">
        <v>-0.1031</v>
      </c>
    </row>
    <row r="127" spans="1:17" x14ac:dyDescent="0.3">
      <c r="A127" s="5">
        <v>117</v>
      </c>
      <c r="B127" s="5">
        <v>34648883</v>
      </c>
      <c r="C127" s="5">
        <v>32845833.27</v>
      </c>
      <c r="D127" s="5">
        <v>495</v>
      </c>
      <c r="E127" s="5">
        <v>1107</v>
      </c>
      <c r="F127" s="5">
        <v>1803049.73</v>
      </c>
      <c r="G127" s="5">
        <v>5.1999999999999998E-2</v>
      </c>
      <c r="H127" s="5">
        <v>69997.740000000005</v>
      </c>
      <c r="I127" s="5" t="s">
        <v>601</v>
      </c>
      <c r="J127" s="5" t="s">
        <v>223</v>
      </c>
      <c r="K127" s="5">
        <v>18</v>
      </c>
      <c r="L127" s="5" t="s">
        <v>602</v>
      </c>
      <c r="M127" s="5" t="s">
        <v>569</v>
      </c>
      <c r="N127" s="5">
        <v>0.22259999999999999</v>
      </c>
      <c r="O127" s="5">
        <v>68093.63</v>
      </c>
      <c r="P127" s="5">
        <v>-0.1706</v>
      </c>
      <c r="Q127" s="5">
        <v>2.8000000000000001E-2</v>
      </c>
    </row>
    <row r="128" spans="1:17" x14ac:dyDescent="0.3">
      <c r="A128" s="5">
        <v>144</v>
      </c>
      <c r="B128" s="5">
        <v>34584039</v>
      </c>
      <c r="C128" s="5">
        <v>31530774.190000001</v>
      </c>
      <c r="D128" s="5">
        <v>484</v>
      </c>
      <c r="E128" s="5">
        <v>1118</v>
      </c>
      <c r="F128" s="5">
        <v>3053264.81</v>
      </c>
      <c r="G128" s="5">
        <v>8.8300000000000003E-2</v>
      </c>
      <c r="H128" s="5">
        <v>71454.63</v>
      </c>
      <c r="I128" s="5" t="s">
        <v>603</v>
      </c>
      <c r="J128" s="5" t="s">
        <v>295</v>
      </c>
      <c r="K128" s="5">
        <v>15</v>
      </c>
      <c r="L128" s="5" t="s">
        <v>604</v>
      </c>
      <c r="M128" s="5" t="s">
        <v>605</v>
      </c>
      <c r="N128" s="5">
        <v>0.22259999999999999</v>
      </c>
      <c r="O128" s="5">
        <v>68093.63</v>
      </c>
      <c r="P128" s="5">
        <v>-0.1343</v>
      </c>
      <c r="Q128" s="5">
        <v>4.9399999999999999E-2</v>
      </c>
    </row>
    <row r="129" spans="1:17" x14ac:dyDescent="0.3">
      <c r="A129" s="5">
        <v>138</v>
      </c>
      <c r="B129" s="5">
        <v>34371302</v>
      </c>
      <c r="C129" s="5">
        <v>32838115.93</v>
      </c>
      <c r="D129" s="5">
        <v>534</v>
      </c>
      <c r="E129" s="5">
        <v>1182</v>
      </c>
      <c r="F129" s="5">
        <v>1533186.07</v>
      </c>
      <c r="G129" s="5">
        <v>4.4600000000000001E-2</v>
      </c>
      <c r="H129" s="5">
        <v>64365.73</v>
      </c>
      <c r="I129" s="5" t="s">
        <v>606</v>
      </c>
      <c r="J129" s="5" t="s">
        <v>282</v>
      </c>
      <c r="K129" s="5">
        <v>18</v>
      </c>
      <c r="L129" s="5" t="s">
        <v>607</v>
      </c>
      <c r="M129" s="5" t="s">
        <v>608</v>
      </c>
      <c r="N129" s="5">
        <v>0.22259999999999999</v>
      </c>
      <c r="O129" s="5">
        <v>68093.63</v>
      </c>
      <c r="P129" s="5">
        <v>-0.17799999999999999</v>
      </c>
      <c r="Q129" s="5">
        <v>-5.4699999999999999E-2</v>
      </c>
    </row>
    <row r="130" spans="1:17" x14ac:dyDescent="0.3">
      <c r="A130" s="5">
        <v>173</v>
      </c>
      <c r="B130" s="5">
        <v>34056708</v>
      </c>
      <c r="C130" s="5">
        <v>38054312.520000003</v>
      </c>
      <c r="D130" s="5">
        <v>581</v>
      </c>
      <c r="E130" s="5">
        <v>1239</v>
      </c>
      <c r="F130" s="5">
        <v>-3997604.52</v>
      </c>
      <c r="G130" s="5">
        <v>-0.1174</v>
      </c>
      <c r="H130" s="5">
        <v>58617.4</v>
      </c>
      <c r="I130" s="5" t="s">
        <v>609</v>
      </c>
      <c r="J130" s="5" t="s">
        <v>223</v>
      </c>
      <c r="K130" s="5">
        <v>30</v>
      </c>
      <c r="L130" s="5" t="s">
        <v>530</v>
      </c>
      <c r="M130" s="5" t="s">
        <v>610</v>
      </c>
      <c r="N130" s="5">
        <v>0.22259999999999999</v>
      </c>
      <c r="O130" s="5">
        <v>68093.63</v>
      </c>
      <c r="P130" s="5">
        <v>-0.34</v>
      </c>
      <c r="Q130" s="5">
        <v>-0.13919999999999999</v>
      </c>
    </row>
    <row r="131" spans="1:17" x14ac:dyDescent="0.3">
      <c r="A131" s="5">
        <v>59</v>
      </c>
      <c r="B131" s="5">
        <v>33945695</v>
      </c>
      <c r="C131" s="5">
        <v>27584477.329999998</v>
      </c>
      <c r="D131" s="5">
        <v>429</v>
      </c>
      <c r="E131" s="5">
        <v>926</v>
      </c>
      <c r="F131" s="5">
        <v>6361217.6699999999</v>
      </c>
      <c r="G131" s="5">
        <v>0.18740000000000001</v>
      </c>
      <c r="H131" s="5">
        <v>79127.490000000005</v>
      </c>
      <c r="I131" s="5" t="s">
        <v>611</v>
      </c>
      <c r="J131" s="5" t="s">
        <v>282</v>
      </c>
      <c r="K131" s="5">
        <v>5</v>
      </c>
      <c r="L131" s="5" t="s">
        <v>347</v>
      </c>
      <c r="M131" s="5" t="s">
        <v>612</v>
      </c>
      <c r="N131" s="5">
        <v>0.22259999999999999</v>
      </c>
      <c r="O131" s="5">
        <v>68093.63</v>
      </c>
      <c r="P131" s="5">
        <v>-3.5200000000000002E-2</v>
      </c>
      <c r="Q131" s="5">
        <v>0.16200000000000001</v>
      </c>
    </row>
    <row r="132" spans="1:17" x14ac:dyDescent="0.3">
      <c r="A132" s="5">
        <v>177</v>
      </c>
      <c r="B132" s="5">
        <v>33882522</v>
      </c>
      <c r="C132" s="5">
        <v>32012510.940000001</v>
      </c>
      <c r="D132" s="5">
        <v>577</v>
      </c>
      <c r="E132" s="5">
        <v>1285</v>
      </c>
      <c r="F132" s="5">
        <v>1870011.06</v>
      </c>
      <c r="G132" s="5">
        <v>5.5199999999999999E-2</v>
      </c>
      <c r="H132" s="5">
        <v>58721.88</v>
      </c>
      <c r="I132" s="5" t="s">
        <v>613</v>
      </c>
      <c r="J132" s="5" t="s">
        <v>251</v>
      </c>
      <c r="K132" s="5">
        <v>18</v>
      </c>
      <c r="L132" s="5" t="s">
        <v>552</v>
      </c>
      <c r="M132" s="5" t="s">
        <v>614</v>
      </c>
      <c r="N132" s="5">
        <v>0.22259999999999999</v>
      </c>
      <c r="O132" s="5">
        <v>68093.63</v>
      </c>
      <c r="P132" s="5">
        <v>-0.16739999999999999</v>
      </c>
      <c r="Q132" s="5">
        <v>-0.1376</v>
      </c>
    </row>
    <row r="133" spans="1:17" x14ac:dyDescent="0.3">
      <c r="A133" s="5">
        <v>20</v>
      </c>
      <c r="B133" s="5">
        <v>33861398</v>
      </c>
      <c r="C133" s="5">
        <v>30973722.699999999</v>
      </c>
      <c r="D133" s="5">
        <v>489</v>
      </c>
      <c r="E133" s="5">
        <v>1050</v>
      </c>
      <c r="F133" s="5">
        <v>2887675.3</v>
      </c>
      <c r="G133" s="5">
        <v>8.5300000000000001E-2</v>
      </c>
      <c r="H133" s="5">
        <v>69246.210000000006</v>
      </c>
      <c r="I133" s="5" t="s">
        <v>615</v>
      </c>
      <c r="J133" s="5" t="s">
        <v>223</v>
      </c>
      <c r="K133" s="5">
        <v>15</v>
      </c>
      <c r="L133" s="5" t="s">
        <v>616</v>
      </c>
      <c r="M133" s="5" t="s">
        <v>617</v>
      </c>
      <c r="N133" s="5">
        <v>0.22259999999999999</v>
      </c>
      <c r="O133" s="5">
        <v>68093.63</v>
      </c>
      <c r="P133" s="5">
        <v>-0.13730000000000001</v>
      </c>
      <c r="Q133" s="5">
        <v>1.6899999999999998E-2</v>
      </c>
    </row>
    <row r="134" spans="1:17" x14ac:dyDescent="0.3">
      <c r="A134" s="5">
        <v>58</v>
      </c>
      <c r="B134" s="5">
        <v>33232112</v>
      </c>
      <c r="C134" s="5">
        <v>34453718.770000003</v>
      </c>
      <c r="D134" s="5">
        <v>545</v>
      </c>
      <c r="E134" s="5">
        <v>1201</v>
      </c>
      <c r="F134" s="5">
        <v>-1221606.77</v>
      </c>
      <c r="G134" s="5">
        <v>-3.6799999999999999E-2</v>
      </c>
      <c r="H134" s="5">
        <v>60976.35</v>
      </c>
      <c r="I134" s="5" t="s">
        <v>618</v>
      </c>
      <c r="J134" s="5" t="s">
        <v>251</v>
      </c>
      <c r="K134" s="5">
        <v>25</v>
      </c>
      <c r="L134" s="5" t="s">
        <v>619</v>
      </c>
      <c r="M134" s="5" t="s">
        <v>620</v>
      </c>
      <c r="N134" s="5">
        <v>0.22259999999999999</v>
      </c>
      <c r="O134" s="5">
        <v>68093.63</v>
      </c>
      <c r="P134" s="5">
        <v>-0.25940000000000002</v>
      </c>
      <c r="Q134" s="5">
        <v>-0.1045</v>
      </c>
    </row>
    <row r="135" spans="1:17" x14ac:dyDescent="0.3">
      <c r="A135" s="5">
        <v>98</v>
      </c>
      <c r="B135" s="5">
        <v>33193398</v>
      </c>
      <c r="C135" s="5">
        <v>36604343.18</v>
      </c>
      <c r="D135" s="5">
        <v>648</v>
      </c>
      <c r="E135" s="5">
        <v>1401</v>
      </c>
      <c r="F135" s="5">
        <v>-3410945.18</v>
      </c>
      <c r="G135" s="5">
        <v>-0.1028</v>
      </c>
      <c r="H135" s="5">
        <v>51224.38</v>
      </c>
      <c r="I135" s="5" t="s">
        <v>621</v>
      </c>
      <c r="J135" s="5" t="s">
        <v>282</v>
      </c>
      <c r="K135" s="5">
        <v>30</v>
      </c>
      <c r="L135" s="5" t="s">
        <v>622</v>
      </c>
      <c r="M135" s="5" t="s">
        <v>524</v>
      </c>
      <c r="N135" s="5">
        <v>0.22259999999999999</v>
      </c>
      <c r="O135" s="5">
        <v>68093.63</v>
      </c>
      <c r="P135" s="5">
        <v>-0.32540000000000002</v>
      </c>
      <c r="Q135" s="5">
        <v>-0.2477</v>
      </c>
    </row>
    <row r="136" spans="1:17" x14ac:dyDescent="0.3">
      <c r="A136" s="5">
        <v>119</v>
      </c>
      <c r="B136" s="5">
        <v>32420135</v>
      </c>
      <c r="C136" s="5">
        <v>26454134.710000001</v>
      </c>
      <c r="D136" s="5">
        <v>405</v>
      </c>
      <c r="E136" s="5">
        <v>918</v>
      </c>
      <c r="F136" s="5">
        <v>5966000.29</v>
      </c>
      <c r="G136" s="5">
        <v>0.184</v>
      </c>
      <c r="H136" s="5">
        <v>80049.72</v>
      </c>
      <c r="I136" s="5" t="s">
        <v>623</v>
      </c>
      <c r="J136" s="5" t="s">
        <v>223</v>
      </c>
      <c r="K136" s="5">
        <v>5</v>
      </c>
      <c r="L136" s="5" t="s">
        <v>446</v>
      </c>
      <c r="M136" s="5" t="s">
        <v>624</v>
      </c>
      <c r="N136" s="5">
        <v>0.22259999999999999</v>
      </c>
      <c r="O136" s="5">
        <v>68093.63</v>
      </c>
      <c r="P136" s="5">
        <v>-3.8600000000000002E-2</v>
      </c>
      <c r="Q136" s="5">
        <v>0.17560000000000001</v>
      </c>
    </row>
    <row r="137" spans="1:17" x14ac:dyDescent="0.3">
      <c r="A137" s="5">
        <v>137</v>
      </c>
      <c r="B137" s="5">
        <v>32163471</v>
      </c>
      <c r="C137" s="5">
        <v>29439626.670000002</v>
      </c>
      <c r="D137" s="5">
        <v>448</v>
      </c>
      <c r="E137" s="5">
        <v>960</v>
      </c>
      <c r="F137" s="5">
        <v>2723844.33</v>
      </c>
      <c r="G137" s="5">
        <v>8.4699999999999998E-2</v>
      </c>
      <c r="H137" s="5">
        <v>71793.460000000006</v>
      </c>
      <c r="I137" s="5" t="s">
        <v>625</v>
      </c>
      <c r="J137" s="5" t="s">
        <v>251</v>
      </c>
      <c r="K137" s="5">
        <v>15</v>
      </c>
      <c r="L137" s="5" t="s">
        <v>626</v>
      </c>
      <c r="M137" s="5" t="s">
        <v>627</v>
      </c>
      <c r="N137" s="5">
        <v>0.22259999999999999</v>
      </c>
      <c r="O137" s="5">
        <v>68093.63</v>
      </c>
      <c r="P137" s="5">
        <v>-0.13789999999999999</v>
      </c>
      <c r="Q137" s="5">
        <v>5.4300000000000001E-2</v>
      </c>
    </row>
    <row r="138" spans="1:17" x14ac:dyDescent="0.3">
      <c r="A138" s="5">
        <v>145</v>
      </c>
      <c r="B138" s="5">
        <v>31864105</v>
      </c>
      <c r="C138" s="5">
        <v>25919630.449999999</v>
      </c>
      <c r="D138" s="5">
        <v>450</v>
      </c>
      <c r="E138" s="5">
        <v>965</v>
      </c>
      <c r="F138" s="5">
        <v>5944474.5499999998</v>
      </c>
      <c r="G138" s="5">
        <v>0.18659999999999999</v>
      </c>
      <c r="H138" s="5">
        <v>70809.119999999995</v>
      </c>
      <c r="I138" s="5" t="s">
        <v>628</v>
      </c>
      <c r="J138" s="5" t="s">
        <v>282</v>
      </c>
      <c r="K138" s="5">
        <v>5</v>
      </c>
      <c r="L138" s="5" t="s">
        <v>629</v>
      </c>
      <c r="M138" s="5" t="s">
        <v>630</v>
      </c>
      <c r="N138" s="5">
        <v>0.22259999999999999</v>
      </c>
      <c r="O138" s="5">
        <v>68093.63</v>
      </c>
      <c r="P138" s="5">
        <v>-3.61E-2</v>
      </c>
      <c r="Q138" s="5">
        <v>3.9899999999999998E-2</v>
      </c>
    </row>
    <row r="139" spans="1:17" x14ac:dyDescent="0.3">
      <c r="A139" s="5">
        <v>3</v>
      </c>
      <c r="B139" s="5">
        <v>31649269</v>
      </c>
      <c r="C139" s="5">
        <v>35144271.380000003</v>
      </c>
      <c r="D139" s="5">
        <v>536</v>
      </c>
      <c r="E139" s="5">
        <v>1234</v>
      </c>
      <c r="F139" s="5">
        <v>-3495002.38</v>
      </c>
      <c r="G139" s="5">
        <v>-0.1104</v>
      </c>
      <c r="H139" s="5">
        <v>59047.14</v>
      </c>
      <c r="I139" s="5" t="s">
        <v>631</v>
      </c>
      <c r="J139" s="5" t="s">
        <v>295</v>
      </c>
      <c r="K139" s="5">
        <v>30</v>
      </c>
      <c r="L139" s="5" t="s">
        <v>579</v>
      </c>
      <c r="M139" s="5" t="s">
        <v>632</v>
      </c>
      <c r="N139" s="5">
        <v>0.22259999999999999</v>
      </c>
      <c r="O139" s="5">
        <v>68093.63</v>
      </c>
      <c r="P139" s="5">
        <v>-0.33300000000000002</v>
      </c>
      <c r="Q139" s="5">
        <v>-0.13289999999999999</v>
      </c>
    </row>
    <row r="140" spans="1:17" x14ac:dyDescent="0.3">
      <c r="A140" s="5">
        <v>172</v>
      </c>
      <c r="B140" s="5">
        <v>31262351</v>
      </c>
      <c r="C140" s="5">
        <v>32444057.07</v>
      </c>
      <c r="D140" s="5">
        <v>527</v>
      </c>
      <c r="E140" s="5">
        <v>1125</v>
      </c>
      <c r="F140" s="5">
        <v>-1181706.07</v>
      </c>
      <c r="G140" s="5">
        <v>-3.78E-2</v>
      </c>
      <c r="H140" s="5">
        <v>59321.35</v>
      </c>
      <c r="I140" s="5" t="s">
        <v>633</v>
      </c>
      <c r="J140" s="5" t="s">
        <v>247</v>
      </c>
      <c r="K140" s="5">
        <v>25</v>
      </c>
      <c r="L140" s="5" t="s">
        <v>431</v>
      </c>
      <c r="M140" s="5" t="s">
        <v>585</v>
      </c>
      <c r="N140" s="5">
        <v>0.22259999999999999</v>
      </c>
      <c r="O140" s="5">
        <v>68093.63</v>
      </c>
      <c r="P140" s="5">
        <v>-0.26040000000000002</v>
      </c>
      <c r="Q140" s="5">
        <v>-0.1288</v>
      </c>
    </row>
    <row r="141" spans="1:17" x14ac:dyDescent="0.3">
      <c r="A141" s="5">
        <v>132</v>
      </c>
      <c r="B141" s="5">
        <v>31226578</v>
      </c>
      <c r="C141" s="5">
        <v>25493320.329999998</v>
      </c>
      <c r="D141" s="5">
        <v>414</v>
      </c>
      <c r="E141" s="5">
        <v>894</v>
      </c>
      <c r="F141" s="5">
        <v>5733257.6699999999</v>
      </c>
      <c r="G141" s="5">
        <v>0.18360000000000001</v>
      </c>
      <c r="H141" s="5">
        <v>75426.52</v>
      </c>
      <c r="I141" s="5" t="s">
        <v>634</v>
      </c>
      <c r="J141" s="5" t="s">
        <v>295</v>
      </c>
      <c r="K141" s="5">
        <v>5</v>
      </c>
      <c r="L141" s="5" t="s">
        <v>635</v>
      </c>
      <c r="M141" s="5" t="s">
        <v>636</v>
      </c>
      <c r="N141" s="5">
        <v>0.22259999999999999</v>
      </c>
      <c r="O141" s="5">
        <v>68093.63</v>
      </c>
      <c r="P141" s="5">
        <v>-3.9E-2</v>
      </c>
      <c r="Q141" s="5">
        <v>0.1077</v>
      </c>
    </row>
    <row r="142" spans="1:17" x14ac:dyDescent="0.3">
      <c r="A142" s="5">
        <v>200</v>
      </c>
      <c r="B142" s="5">
        <v>31109407</v>
      </c>
      <c r="C142" s="5">
        <v>25395189.190000001</v>
      </c>
      <c r="D142" s="5">
        <v>402</v>
      </c>
      <c r="E142" s="5">
        <v>903</v>
      </c>
      <c r="F142" s="5">
        <v>5714217.8099999996</v>
      </c>
      <c r="G142" s="5">
        <v>0.1837</v>
      </c>
      <c r="H142" s="5">
        <v>77386.58</v>
      </c>
      <c r="I142" s="5" t="s">
        <v>637</v>
      </c>
      <c r="J142" s="5" t="s">
        <v>282</v>
      </c>
      <c r="K142" s="5">
        <v>5</v>
      </c>
      <c r="L142" s="5" t="s">
        <v>638</v>
      </c>
      <c r="M142" s="5" t="s">
        <v>346</v>
      </c>
      <c r="N142" s="5">
        <v>0.22259999999999999</v>
      </c>
      <c r="O142" s="5">
        <v>68093.63</v>
      </c>
      <c r="P142" s="5">
        <v>-3.8899999999999997E-2</v>
      </c>
      <c r="Q142" s="5">
        <v>0.13650000000000001</v>
      </c>
    </row>
    <row r="143" spans="1:17" x14ac:dyDescent="0.3">
      <c r="A143" s="5">
        <v>142</v>
      </c>
      <c r="B143" s="5">
        <v>30999756</v>
      </c>
      <c r="C143" s="5">
        <v>25322010.539999999</v>
      </c>
      <c r="D143" s="5">
        <v>404</v>
      </c>
      <c r="E143" s="5">
        <v>900</v>
      </c>
      <c r="F143" s="5">
        <v>5677745.46</v>
      </c>
      <c r="G143" s="5">
        <v>0.1832</v>
      </c>
      <c r="H143" s="5">
        <v>76732.070000000007</v>
      </c>
      <c r="I143" s="5" t="s">
        <v>639</v>
      </c>
      <c r="J143" s="5" t="s">
        <v>223</v>
      </c>
      <c r="K143" s="5">
        <v>5</v>
      </c>
      <c r="L143" s="5" t="s">
        <v>640</v>
      </c>
      <c r="M143" s="5" t="s">
        <v>641</v>
      </c>
      <c r="N143" s="5">
        <v>0.22259999999999999</v>
      </c>
      <c r="O143" s="5">
        <v>68093.63</v>
      </c>
      <c r="P143" s="5">
        <v>-3.95E-2</v>
      </c>
      <c r="Q143" s="5">
        <v>0.12690000000000001</v>
      </c>
    </row>
    <row r="144" spans="1:17" x14ac:dyDescent="0.3">
      <c r="A144" s="5">
        <v>164</v>
      </c>
      <c r="B144" s="5">
        <v>30985269</v>
      </c>
      <c r="C144" s="5">
        <v>30124543.210000001</v>
      </c>
      <c r="D144" s="5">
        <v>504</v>
      </c>
      <c r="E144" s="5">
        <v>1113</v>
      </c>
      <c r="F144" s="5">
        <v>860725.79</v>
      </c>
      <c r="G144" s="5">
        <v>2.7799999999999998E-2</v>
      </c>
      <c r="H144" s="5">
        <v>61478.71</v>
      </c>
      <c r="I144" s="5" t="s">
        <v>642</v>
      </c>
      <c r="J144" s="5" t="s">
        <v>223</v>
      </c>
      <c r="K144" s="5">
        <v>20</v>
      </c>
      <c r="L144" s="5" t="s">
        <v>643</v>
      </c>
      <c r="M144" s="5" t="s">
        <v>632</v>
      </c>
      <c r="N144" s="5">
        <v>0.22259999999999999</v>
      </c>
      <c r="O144" s="5">
        <v>68093.63</v>
      </c>
      <c r="P144" s="5">
        <v>-0.1948</v>
      </c>
      <c r="Q144" s="5">
        <v>-9.7100000000000006E-2</v>
      </c>
    </row>
    <row r="145" spans="1:17" x14ac:dyDescent="0.3">
      <c r="A145" s="5">
        <v>163</v>
      </c>
      <c r="B145" s="5">
        <v>30779711</v>
      </c>
      <c r="C145" s="5">
        <v>32225855.710000001</v>
      </c>
      <c r="D145" s="5">
        <v>487</v>
      </c>
      <c r="E145" s="5">
        <v>1057</v>
      </c>
      <c r="F145" s="5">
        <v>-1446144.71</v>
      </c>
      <c r="G145" s="5">
        <v>-4.7E-2</v>
      </c>
      <c r="H145" s="5">
        <v>63202.69</v>
      </c>
      <c r="I145" s="5" t="s">
        <v>644</v>
      </c>
      <c r="J145" s="5" t="s">
        <v>251</v>
      </c>
      <c r="K145" s="5">
        <v>25</v>
      </c>
      <c r="L145" s="5" t="s">
        <v>645</v>
      </c>
      <c r="M145" s="5" t="s">
        <v>646</v>
      </c>
      <c r="N145" s="5">
        <v>0.22259999999999999</v>
      </c>
      <c r="O145" s="5">
        <v>68093.63</v>
      </c>
      <c r="P145" s="5">
        <v>-0.26960000000000001</v>
      </c>
      <c r="Q145" s="5">
        <v>-7.1800000000000003E-2</v>
      </c>
    </row>
    <row r="146" spans="1:17" x14ac:dyDescent="0.3">
      <c r="A146" s="5">
        <v>111</v>
      </c>
      <c r="B146" s="5">
        <v>30335972</v>
      </c>
      <c r="C146" s="5">
        <v>25032924.960000001</v>
      </c>
      <c r="D146" s="5">
        <v>387</v>
      </c>
      <c r="E146" s="5">
        <v>856</v>
      </c>
      <c r="F146" s="5">
        <v>5303047.04</v>
      </c>
      <c r="G146" s="5">
        <v>0.17480000000000001</v>
      </c>
      <c r="H146" s="5">
        <v>78387.520000000004</v>
      </c>
      <c r="I146" s="5" t="s">
        <v>647</v>
      </c>
      <c r="J146" s="5" t="s">
        <v>251</v>
      </c>
      <c r="K146" s="5">
        <v>5</v>
      </c>
      <c r="L146" s="5" t="s">
        <v>640</v>
      </c>
      <c r="M146" s="5" t="s">
        <v>648</v>
      </c>
      <c r="N146" s="5">
        <v>0.22259999999999999</v>
      </c>
      <c r="O146" s="5">
        <v>68093.63</v>
      </c>
      <c r="P146" s="5">
        <v>-4.7800000000000002E-2</v>
      </c>
      <c r="Q146" s="5">
        <v>0.1512</v>
      </c>
    </row>
    <row r="147" spans="1:17" x14ac:dyDescent="0.3">
      <c r="A147" s="5">
        <v>56</v>
      </c>
      <c r="B147" s="5">
        <v>30304372</v>
      </c>
      <c r="C147" s="5">
        <v>25187197.239999998</v>
      </c>
      <c r="D147" s="5">
        <v>349</v>
      </c>
      <c r="E147" s="5">
        <v>779</v>
      </c>
      <c r="F147" s="5">
        <v>5117174.76</v>
      </c>
      <c r="G147" s="5">
        <v>0.16889999999999999</v>
      </c>
      <c r="H147" s="5">
        <v>86832.01</v>
      </c>
      <c r="I147" s="5" t="s">
        <v>639</v>
      </c>
      <c r="J147" s="5" t="s">
        <v>223</v>
      </c>
      <c r="K147" s="5">
        <v>5</v>
      </c>
      <c r="L147" s="5" t="s">
        <v>648</v>
      </c>
      <c r="M147" s="5" t="s">
        <v>649</v>
      </c>
      <c r="N147" s="5">
        <v>0.22259999999999999</v>
      </c>
      <c r="O147" s="5">
        <v>68093.63</v>
      </c>
      <c r="P147" s="5">
        <v>-5.3800000000000001E-2</v>
      </c>
      <c r="Q147" s="5">
        <v>0.2752</v>
      </c>
    </row>
    <row r="148" spans="1:17" x14ac:dyDescent="0.3">
      <c r="A148" s="5">
        <v>103</v>
      </c>
      <c r="B148" s="5">
        <v>29983311</v>
      </c>
      <c r="C148" s="5">
        <v>25753611.84</v>
      </c>
      <c r="D148" s="5">
        <v>438</v>
      </c>
      <c r="E148" s="5">
        <v>955</v>
      </c>
      <c r="F148" s="5">
        <v>4229699.16</v>
      </c>
      <c r="G148" s="5">
        <v>0.1411</v>
      </c>
      <c r="H148" s="5">
        <v>68455.05</v>
      </c>
      <c r="I148" s="5" t="s">
        <v>650</v>
      </c>
      <c r="J148" s="5" t="s">
        <v>247</v>
      </c>
      <c r="K148" s="5">
        <v>10</v>
      </c>
      <c r="L148" s="5" t="s">
        <v>651</v>
      </c>
      <c r="M148" s="5" t="s">
        <v>652</v>
      </c>
      <c r="N148" s="5">
        <v>0.22259999999999999</v>
      </c>
      <c r="O148" s="5">
        <v>68093.63</v>
      </c>
      <c r="P148" s="5">
        <v>-8.1600000000000006E-2</v>
      </c>
      <c r="Q148" s="5">
        <v>5.3E-3</v>
      </c>
    </row>
    <row r="149" spans="1:17" x14ac:dyDescent="0.3">
      <c r="A149" s="5">
        <v>186</v>
      </c>
      <c r="B149" s="5">
        <v>29418406</v>
      </c>
      <c r="C149" s="5">
        <v>25068520.41</v>
      </c>
      <c r="D149" s="5">
        <v>432</v>
      </c>
      <c r="E149" s="5">
        <v>955</v>
      </c>
      <c r="F149" s="5">
        <v>4349885.59</v>
      </c>
      <c r="G149" s="5">
        <v>0.1479</v>
      </c>
      <c r="H149" s="5">
        <v>68098.16</v>
      </c>
      <c r="I149" s="5" t="s">
        <v>447</v>
      </c>
      <c r="J149" s="5" t="s">
        <v>295</v>
      </c>
      <c r="K149" s="5">
        <v>10</v>
      </c>
      <c r="L149" s="5" t="s">
        <v>653</v>
      </c>
      <c r="M149" s="5" t="s">
        <v>654</v>
      </c>
      <c r="N149" s="5">
        <v>0.22259999999999999</v>
      </c>
      <c r="O149" s="5">
        <v>68093.63</v>
      </c>
      <c r="P149" s="5">
        <v>-7.4800000000000005E-2</v>
      </c>
      <c r="Q149" s="5">
        <v>1E-4</v>
      </c>
    </row>
    <row r="150" spans="1:17" x14ac:dyDescent="0.3">
      <c r="A150" s="5">
        <v>97</v>
      </c>
      <c r="B150" s="5">
        <v>29316583</v>
      </c>
      <c r="C150" s="5">
        <v>24065399.559999999</v>
      </c>
      <c r="D150" s="5">
        <v>405</v>
      </c>
      <c r="E150" s="5">
        <v>854</v>
      </c>
      <c r="F150" s="5">
        <v>5251183.4400000004</v>
      </c>
      <c r="G150" s="5">
        <v>0.17910000000000001</v>
      </c>
      <c r="H150" s="5">
        <v>72386.62</v>
      </c>
      <c r="I150" s="5" t="s">
        <v>637</v>
      </c>
      <c r="J150" s="5" t="s">
        <v>282</v>
      </c>
      <c r="K150" s="5">
        <v>5</v>
      </c>
      <c r="L150" s="5" t="s">
        <v>655</v>
      </c>
      <c r="M150" s="5" t="s">
        <v>341</v>
      </c>
      <c r="N150" s="5">
        <v>0.22259999999999999</v>
      </c>
      <c r="O150" s="5">
        <v>68093.63</v>
      </c>
      <c r="P150" s="5">
        <v>-4.3499999999999997E-2</v>
      </c>
      <c r="Q150" s="5">
        <v>6.3E-2</v>
      </c>
    </row>
    <row r="151" spans="1:17" x14ac:dyDescent="0.3">
      <c r="A151" s="5">
        <v>118</v>
      </c>
      <c r="B151" s="5">
        <v>29084891</v>
      </c>
      <c r="C151" s="5">
        <v>23773156.27</v>
      </c>
      <c r="D151" s="5">
        <v>401</v>
      </c>
      <c r="E151" s="5">
        <v>857</v>
      </c>
      <c r="F151" s="5">
        <v>5311734.7300000004</v>
      </c>
      <c r="G151" s="5">
        <v>0.18260000000000001</v>
      </c>
      <c r="H151" s="5">
        <v>72530.899999999994</v>
      </c>
      <c r="I151" s="5" t="s">
        <v>656</v>
      </c>
      <c r="J151" s="5" t="s">
        <v>282</v>
      </c>
      <c r="K151" s="5">
        <v>5</v>
      </c>
      <c r="L151" s="5" t="s">
        <v>657</v>
      </c>
      <c r="M151" s="5" t="s">
        <v>648</v>
      </c>
      <c r="N151" s="5">
        <v>0.22259999999999999</v>
      </c>
      <c r="O151" s="5">
        <v>68093.63</v>
      </c>
      <c r="P151" s="5">
        <v>-0.04</v>
      </c>
      <c r="Q151" s="5">
        <v>6.5199999999999994E-2</v>
      </c>
    </row>
    <row r="152" spans="1:17" x14ac:dyDescent="0.3">
      <c r="A152" s="5">
        <v>45</v>
      </c>
      <c r="B152" s="5">
        <v>28680548</v>
      </c>
      <c r="C152" s="5">
        <v>27165695.27</v>
      </c>
      <c r="D152" s="5">
        <v>424</v>
      </c>
      <c r="E152" s="5">
        <v>943</v>
      </c>
      <c r="F152" s="5">
        <v>1514852.73</v>
      </c>
      <c r="G152" s="5">
        <v>5.28E-2</v>
      </c>
      <c r="H152" s="5">
        <v>67642.8</v>
      </c>
      <c r="I152" s="5" t="s">
        <v>658</v>
      </c>
      <c r="J152" s="5" t="s">
        <v>251</v>
      </c>
      <c r="K152" s="5">
        <v>18</v>
      </c>
      <c r="L152" s="5" t="s">
        <v>448</v>
      </c>
      <c r="M152" s="5" t="s">
        <v>511</v>
      </c>
      <c r="N152" s="5">
        <v>0.22259999999999999</v>
      </c>
      <c r="O152" s="5">
        <v>68093.63</v>
      </c>
      <c r="P152" s="5">
        <v>-0.16980000000000001</v>
      </c>
      <c r="Q152" s="5">
        <v>-6.6E-3</v>
      </c>
    </row>
    <row r="153" spans="1:17" x14ac:dyDescent="0.3">
      <c r="A153" s="5">
        <v>89</v>
      </c>
      <c r="B153" s="5">
        <v>28164943</v>
      </c>
      <c r="C153" s="5">
        <v>24901055.539999999</v>
      </c>
      <c r="D153" s="5">
        <v>430</v>
      </c>
      <c r="E153" s="5">
        <v>904</v>
      </c>
      <c r="F153" s="5">
        <v>3263887.46</v>
      </c>
      <c r="G153" s="5">
        <v>0.1159</v>
      </c>
      <c r="H153" s="5">
        <v>65499.87</v>
      </c>
      <c r="I153" s="5" t="s">
        <v>659</v>
      </c>
      <c r="J153" s="5" t="s">
        <v>251</v>
      </c>
      <c r="K153" s="5">
        <v>12</v>
      </c>
      <c r="L153" s="5" t="s">
        <v>660</v>
      </c>
      <c r="M153" s="5" t="s">
        <v>661</v>
      </c>
      <c r="N153" s="5">
        <v>0.22259999999999999</v>
      </c>
      <c r="O153" s="5">
        <v>68093.63</v>
      </c>
      <c r="P153" s="5">
        <v>-0.1067</v>
      </c>
      <c r="Q153" s="5">
        <v>-3.8100000000000002E-2</v>
      </c>
    </row>
    <row r="154" spans="1:17" x14ac:dyDescent="0.3">
      <c r="A154" s="5">
        <v>21</v>
      </c>
      <c r="B154" s="5">
        <v>27851096</v>
      </c>
      <c r="C154" s="5">
        <v>24615026.460000001</v>
      </c>
      <c r="D154" s="5">
        <v>379</v>
      </c>
      <c r="E154" s="5">
        <v>820</v>
      </c>
      <c r="F154" s="5">
        <v>3236069.54</v>
      </c>
      <c r="G154" s="5">
        <v>0.1162</v>
      </c>
      <c r="H154" s="5">
        <v>73485.740000000005</v>
      </c>
      <c r="I154" s="5" t="s">
        <v>662</v>
      </c>
      <c r="J154" s="5" t="s">
        <v>223</v>
      </c>
      <c r="K154" s="5">
        <v>12</v>
      </c>
      <c r="L154" s="5" t="s">
        <v>663</v>
      </c>
      <c r="M154" s="5" t="s">
        <v>664</v>
      </c>
      <c r="N154" s="5">
        <v>0.22259999999999999</v>
      </c>
      <c r="O154" s="5">
        <v>68093.63</v>
      </c>
      <c r="P154" s="5">
        <v>-0.10639999999999999</v>
      </c>
      <c r="Q154" s="5">
        <v>7.9200000000000007E-2</v>
      </c>
    </row>
    <row r="155" spans="1:17" x14ac:dyDescent="0.3">
      <c r="A155" s="5">
        <v>139</v>
      </c>
      <c r="B155" s="5">
        <v>27063298</v>
      </c>
      <c r="C155" s="5">
        <v>25623264.59</v>
      </c>
      <c r="D155" s="5">
        <v>420</v>
      </c>
      <c r="E155" s="5">
        <v>914</v>
      </c>
      <c r="F155" s="5">
        <v>1440033.41</v>
      </c>
      <c r="G155" s="5">
        <v>5.3199999999999997E-2</v>
      </c>
      <c r="H155" s="5">
        <v>64436.42</v>
      </c>
      <c r="I155" s="5" t="s">
        <v>665</v>
      </c>
      <c r="J155" s="5" t="s">
        <v>223</v>
      </c>
      <c r="K155" s="5">
        <v>18</v>
      </c>
      <c r="L155" s="5" t="s">
        <v>666</v>
      </c>
      <c r="M155" s="5" t="s">
        <v>495</v>
      </c>
      <c r="N155" s="5">
        <v>0.22259999999999999</v>
      </c>
      <c r="O155" s="5">
        <v>68093.63</v>
      </c>
      <c r="P155" s="5">
        <v>-0.1694</v>
      </c>
      <c r="Q155" s="5">
        <v>-5.3699999999999998E-2</v>
      </c>
    </row>
    <row r="156" spans="1:17" x14ac:dyDescent="0.3">
      <c r="A156" s="5">
        <v>149</v>
      </c>
      <c r="B156" s="5">
        <v>26732048</v>
      </c>
      <c r="C156" s="5">
        <v>26021794.489999998</v>
      </c>
      <c r="D156" s="5">
        <v>419</v>
      </c>
      <c r="E156" s="5">
        <v>876</v>
      </c>
      <c r="F156" s="5">
        <v>710253.51</v>
      </c>
      <c r="G156" s="5">
        <v>2.6599999999999999E-2</v>
      </c>
      <c r="H156" s="5">
        <v>63799.64</v>
      </c>
      <c r="I156" s="5" t="s">
        <v>667</v>
      </c>
      <c r="J156" s="5" t="s">
        <v>247</v>
      </c>
      <c r="K156" s="5">
        <v>20</v>
      </c>
      <c r="L156" s="5" t="s">
        <v>668</v>
      </c>
      <c r="M156" s="5" t="s">
        <v>669</v>
      </c>
      <c r="N156" s="5">
        <v>0.22259999999999999</v>
      </c>
      <c r="O156" s="5">
        <v>68093.63</v>
      </c>
      <c r="P156" s="5">
        <v>-0.19600000000000001</v>
      </c>
      <c r="Q156" s="5">
        <v>-6.3100000000000003E-2</v>
      </c>
    </row>
    <row r="157" spans="1:17" x14ac:dyDescent="0.3">
      <c r="A157" s="5">
        <v>169</v>
      </c>
      <c r="B157" s="5">
        <v>26205882</v>
      </c>
      <c r="C157" s="5">
        <v>24037620.41</v>
      </c>
      <c r="D157" s="5">
        <v>401</v>
      </c>
      <c r="E157" s="5">
        <v>858</v>
      </c>
      <c r="F157" s="5">
        <v>2168261.59</v>
      </c>
      <c r="G157" s="5">
        <v>8.2699999999999996E-2</v>
      </c>
      <c r="H157" s="5">
        <v>65351.33</v>
      </c>
      <c r="I157" s="5" t="s">
        <v>670</v>
      </c>
      <c r="J157" s="5" t="s">
        <v>295</v>
      </c>
      <c r="K157" s="5">
        <v>15</v>
      </c>
      <c r="L157" s="5" t="s">
        <v>663</v>
      </c>
      <c r="M157" s="5" t="s">
        <v>664</v>
      </c>
      <c r="N157" s="5">
        <v>0.22259999999999999</v>
      </c>
      <c r="O157" s="5">
        <v>68093.63</v>
      </c>
      <c r="P157" s="5">
        <v>-0.1399</v>
      </c>
      <c r="Q157" s="5">
        <v>-4.0300000000000002E-2</v>
      </c>
    </row>
    <row r="158" spans="1:17" x14ac:dyDescent="0.3">
      <c r="A158" s="5">
        <v>95</v>
      </c>
      <c r="B158" s="5">
        <v>26001460</v>
      </c>
      <c r="C158" s="5">
        <v>28893846.800000001</v>
      </c>
      <c r="D158" s="5">
        <v>405</v>
      </c>
      <c r="E158" s="5">
        <v>908</v>
      </c>
      <c r="F158" s="5">
        <v>-2892386.8</v>
      </c>
      <c r="G158" s="5">
        <v>-0.11119999999999999</v>
      </c>
      <c r="H158" s="5">
        <v>64201.14</v>
      </c>
      <c r="I158" s="5" t="s">
        <v>671</v>
      </c>
      <c r="J158" s="5" t="s">
        <v>223</v>
      </c>
      <c r="K158" s="5">
        <v>30</v>
      </c>
      <c r="L158" s="5" t="s">
        <v>672</v>
      </c>
      <c r="M158" s="5" t="s">
        <v>673</v>
      </c>
      <c r="N158" s="5">
        <v>0.22259999999999999</v>
      </c>
      <c r="O158" s="5">
        <v>68093.63</v>
      </c>
      <c r="P158" s="5">
        <v>-0.33389999999999997</v>
      </c>
      <c r="Q158" s="5">
        <v>-5.7200000000000001E-2</v>
      </c>
    </row>
    <row r="159" spans="1:17" x14ac:dyDescent="0.3">
      <c r="A159" s="5">
        <v>183</v>
      </c>
      <c r="B159" s="5">
        <v>25563909</v>
      </c>
      <c r="C159" s="5">
        <v>23565248.539999999</v>
      </c>
      <c r="D159" s="5">
        <v>328</v>
      </c>
      <c r="E159" s="5">
        <v>705</v>
      </c>
      <c r="F159" s="5">
        <v>1998660.46</v>
      </c>
      <c r="G159" s="5">
        <v>7.8200000000000006E-2</v>
      </c>
      <c r="H159" s="5">
        <v>77938.75</v>
      </c>
      <c r="I159" s="5" t="s">
        <v>674</v>
      </c>
      <c r="J159" s="5" t="s">
        <v>223</v>
      </c>
      <c r="K159" s="5">
        <v>15</v>
      </c>
      <c r="L159" s="5" t="s">
        <v>541</v>
      </c>
      <c r="M159" s="5" t="s">
        <v>675</v>
      </c>
      <c r="N159" s="5">
        <v>0.22259999999999999</v>
      </c>
      <c r="O159" s="5">
        <v>68093.63</v>
      </c>
      <c r="P159" s="5">
        <v>-0.1444</v>
      </c>
      <c r="Q159" s="5">
        <v>0.14460000000000001</v>
      </c>
    </row>
    <row r="160" spans="1:17" x14ac:dyDescent="0.3">
      <c r="A160" s="5">
        <v>197</v>
      </c>
      <c r="B160" s="5">
        <v>25243759</v>
      </c>
      <c r="C160" s="5">
        <v>32522440.989999998</v>
      </c>
      <c r="D160" s="5">
        <v>558</v>
      </c>
      <c r="E160" s="5">
        <v>1124</v>
      </c>
      <c r="F160" s="5">
        <v>-7278681.9900000002</v>
      </c>
      <c r="G160" s="5">
        <v>-0.2883</v>
      </c>
      <c r="H160" s="5">
        <v>45239.71</v>
      </c>
      <c r="I160" s="5" t="s">
        <v>676</v>
      </c>
      <c r="J160" s="5" t="s">
        <v>223</v>
      </c>
      <c r="K160" s="5">
        <v>40</v>
      </c>
      <c r="L160" s="5" t="s">
        <v>677</v>
      </c>
      <c r="M160" s="5" t="s">
        <v>678</v>
      </c>
      <c r="N160" s="5">
        <v>0.22259999999999999</v>
      </c>
      <c r="O160" s="5">
        <v>68093.63</v>
      </c>
      <c r="P160" s="5">
        <v>-0.51100000000000001</v>
      </c>
      <c r="Q160" s="5">
        <v>-0.33560000000000001</v>
      </c>
    </row>
    <row r="161" spans="1:17" x14ac:dyDescent="0.3">
      <c r="A161" s="5">
        <v>122</v>
      </c>
      <c r="B161" s="5">
        <v>24964958</v>
      </c>
      <c r="C161" s="5">
        <v>27651728.620000001</v>
      </c>
      <c r="D161" s="5">
        <v>460</v>
      </c>
      <c r="E161" s="5">
        <v>993</v>
      </c>
      <c r="F161" s="5">
        <v>-2686770.62</v>
      </c>
      <c r="G161" s="5">
        <v>-0.1076</v>
      </c>
      <c r="H161" s="5">
        <v>54271.65</v>
      </c>
      <c r="I161" s="5" t="s">
        <v>679</v>
      </c>
      <c r="J161" s="5" t="s">
        <v>251</v>
      </c>
      <c r="K161" s="5">
        <v>30</v>
      </c>
      <c r="L161" s="5" t="s">
        <v>680</v>
      </c>
      <c r="M161" s="5" t="s">
        <v>681</v>
      </c>
      <c r="N161" s="5">
        <v>0.22259999999999999</v>
      </c>
      <c r="O161" s="5">
        <v>68093.63</v>
      </c>
      <c r="P161" s="5">
        <v>-0.33019999999999999</v>
      </c>
      <c r="Q161" s="5">
        <v>-0.20300000000000001</v>
      </c>
    </row>
    <row r="162" spans="1:17" x14ac:dyDescent="0.3">
      <c r="A162" s="5">
        <v>114</v>
      </c>
      <c r="B162" s="5">
        <v>24731521</v>
      </c>
      <c r="C162" s="5">
        <v>22583745.579999998</v>
      </c>
      <c r="D162" s="5">
        <v>374</v>
      </c>
      <c r="E162" s="5">
        <v>795</v>
      </c>
      <c r="F162" s="5">
        <v>2147775.42</v>
      </c>
      <c r="G162" s="5">
        <v>8.6800000000000002E-2</v>
      </c>
      <c r="H162" s="5">
        <v>66127.06</v>
      </c>
      <c r="I162" s="5" t="s">
        <v>682</v>
      </c>
      <c r="J162" s="5" t="s">
        <v>247</v>
      </c>
      <c r="K162" s="5">
        <v>15</v>
      </c>
      <c r="L162" s="5" t="s">
        <v>683</v>
      </c>
      <c r="M162" s="5" t="s">
        <v>684</v>
      </c>
      <c r="N162" s="5">
        <v>0.22259999999999999</v>
      </c>
      <c r="O162" s="5">
        <v>68093.63</v>
      </c>
      <c r="P162" s="5">
        <v>-0.1358</v>
      </c>
      <c r="Q162" s="5">
        <v>-2.8899999999999999E-2</v>
      </c>
    </row>
    <row r="163" spans="1:17" x14ac:dyDescent="0.3">
      <c r="A163" s="5">
        <v>44</v>
      </c>
      <c r="B163" s="5">
        <v>24348964</v>
      </c>
      <c r="C163" s="5">
        <v>19718829.079999998</v>
      </c>
      <c r="D163" s="5">
        <v>332</v>
      </c>
      <c r="E163" s="5">
        <v>714</v>
      </c>
      <c r="F163" s="5">
        <v>4630134.92</v>
      </c>
      <c r="G163" s="5">
        <v>0.19020000000000001</v>
      </c>
      <c r="H163" s="5">
        <v>73340.25</v>
      </c>
      <c r="I163" s="5" t="s">
        <v>685</v>
      </c>
      <c r="J163" s="5" t="s">
        <v>295</v>
      </c>
      <c r="K163" s="5">
        <v>5</v>
      </c>
      <c r="L163" s="5" t="s">
        <v>686</v>
      </c>
      <c r="M163" s="5" t="s">
        <v>687</v>
      </c>
      <c r="N163" s="5">
        <v>0.22259999999999999</v>
      </c>
      <c r="O163" s="5">
        <v>68093.63</v>
      </c>
      <c r="P163" s="5">
        <v>-3.2500000000000001E-2</v>
      </c>
      <c r="Q163" s="5">
        <v>7.7100000000000002E-2</v>
      </c>
    </row>
    <row r="164" spans="1:17" x14ac:dyDescent="0.3">
      <c r="A164" s="5">
        <v>14</v>
      </c>
      <c r="B164" s="5">
        <v>24221275</v>
      </c>
      <c r="C164" s="5">
        <v>21405707.809999999</v>
      </c>
      <c r="D164" s="5">
        <v>348</v>
      </c>
      <c r="E164" s="5">
        <v>776</v>
      </c>
      <c r="F164" s="5">
        <v>2815567.19</v>
      </c>
      <c r="G164" s="5">
        <v>0.1162</v>
      </c>
      <c r="H164" s="5">
        <v>69601.36</v>
      </c>
      <c r="I164" s="5" t="s">
        <v>555</v>
      </c>
      <c r="J164" s="5" t="s">
        <v>251</v>
      </c>
      <c r="K164" s="5">
        <v>12</v>
      </c>
      <c r="L164" s="5" t="s">
        <v>688</v>
      </c>
      <c r="M164" s="5" t="s">
        <v>689</v>
      </c>
      <c r="N164" s="5">
        <v>0.22259999999999999</v>
      </c>
      <c r="O164" s="5">
        <v>68093.63</v>
      </c>
      <c r="P164" s="5">
        <v>-0.10639999999999999</v>
      </c>
      <c r="Q164" s="5">
        <v>2.2100000000000002E-2</v>
      </c>
    </row>
    <row r="165" spans="1:17" x14ac:dyDescent="0.3">
      <c r="A165" s="5">
        <v>190</v>
      </c>
      <c r="B165" s="5">
        <v>24189378</v>
      </c>
      <c r="C165" s="5">
        <v>19701995.09</v>
      </c>
      <c r="D165" s="5">
        <v>331</v>
      </c>
      <c r="E165" s="5">
        <v>717</v>
      </c>
      <c r="F165" s="5">
        <v>4487382.91</v>
      </c>
      <c r="G165" s="5">
        <v>0.1855</v>
      </c>
      <c r="H165" s="5">
        <v>73079.69</v>
      </c>
      <c r="I165" s="5" t="s">
        <v>690</v>
      </c>
      <c r="J165" s="5" t="s">
        <v>223</v>
      </c>
      <c r="K165" s="5">
        <v>5</v>
      </c>
      <c r="L165" s="5" t="s">
        <v>691</v>
      </c>
      <c r="M165" s="5" t="s">
        <v>692</v>
      </c>
      <c r="N165" s="5">
        <v>0.22259999999999999</v>
      </c>
      <c r="O165" s="5">
        <v>68093.63</v>
      </c>
      <c r="P165" s="5">
        <v>-3.7100000000000001E-2</v>
      </c>
      <c r="Q165" s="5">
        <v>7.3200000000000001E-2</v>
      </c>
    </row>
    <row r="166" spans="1:17" x14ac:dyDescent="0.3">
      <c r="A166" s="5">
        <v>38</v>
      </c>
      <c r="B166" s="5">
        <v>22833583</v>
      </c>
      <c r="C166" s="5">
        <v>19965098.039999999</v>
      </c>
      <c r="D166" s="5">
        <v>272</v>
      </c>
      <c r="E166" s="5">
        <v>622</v>
      </c>
      <c r="F166" s="5">
        <v>2868484.96</v>
      </c>
      <c r="G166" s="5">
        <v>0.12559999999999999</v>
      </c>
      <c r="H166" s="5">
        <v>83947</v>
      </c>
      <c r="I166" s="5" t="s">
        <v>693</v>
      </c>
      <c r="J166" s="5" t="s">
        <v>247</v>
      </c>
      <c r="K166" s="5">
        <v>10</v>
      </c>
      <c r="L166" s="5" t="s">
        <v>694</v>
      </c>
      <c r="M166" s="5" t="s">
        <v>599</v>
      </c>
      <c r="N166" s="5">
        <v>0.22259999999999999</v>
      </c>
      <c r="O166" s="5">
        <v>68093.63</v>
      </c>
      <c r="P166" s="5">
        <v>-9.7000000000000003E-2</v>
      </c>
      <c r="Q166" s="5">
        <v>0.23280000000000001</v>
      </c>
    </row>
    <row r="167" spans="1:17" x14ac:dyDescent="0.3">
      <c r="A167" s="5">
        <v>195</v>
      </c>
      <c r="B167" s="5">
        <v>22445243</v>
      </c>
      <c r="C167" s="5">
        <v>21858682.260000002</v>
      </c>
      <c r="D167" s="5">
        <v>325</v>
      </c>
      <c r="E167" s="5">
        <v>742</v>
      </c>
      <c r="F167" s="5">
        <v>586560.74</v>
      </c>
      <c r="G167" s="5">
        <v>2.6100000000000002E-2</v>
      </c>
      <c r="H167" s="5">
        <v>69062.289999999994</v>
      </c>
      <c r="I167" s="5" t="s">
        <v>695</v>
      </c>
      <c r="J167" s="5" t="s">
        <v>295</v>
      </c>
      <c r="K167" s="5">
        <v>20</v>
      </c>
      <c r="L167" s="5" t="s">
        <v>696</v>
      </c>
      <c r="M167" s="5" t="s">
        <v>697</v>
      </c>
      <c r="N167" s="5">
        <v>0.22259999999999999</v>
      </c>
      <c r="O167" s="5">
        <v>68093.63</v>
      </c>
      <c r="P167" s="5">
        <v>-0.19650000000000001</v>
      </c>
      <c r="Q167" s="5">
        <v>1.4200000000000001E-2</v>
      </c>
    </row>
    <row r="168" spans="1:17" x14ac:dyDescent="0.3">
      <c r="A168" s="5">
        <v>10</v>
      </c>
      <c r="B168" s="5">
        <v>21919289</v>
      </c>
      <c r="C168" s="5">
        <v>24247667.43</v>
      </c>
      <c r="D168" s="5">
        <v>422</v>
      </c>
      <c r="E168" s="5">
        <v>950</v>
      </c>
      <c r="F168" s="5">
        <v>-2328378.4300000002</v>
      </c>
      <c r="G168" s="5">
        <v>-0.1062</v>
      </c>
      <c r="H168" s="5">
        <v>51941.440000000002</v>
      </c>
      <c r="I168" s="5" t="s">
        <v>698</v>
      </c>
      <c r="J168" s="5" t="s">
        <v>251</v>
      </c>
      <c r="K168" s="5">
        <v>30</v>
      </c>
      <c r="L168" s="5" t="s">
        <v>663</v>
      </c>
      <c r="M168" s="5" t="s">
        <v>699</v>
      </c>
      <c r="N168" s="5">
        <v>0.22259999999999999</v>
      </c>
      <c r="O168" s="5">
        <v>68093.63</v>
      </c>
      <c r="P168" s="5">
        <v>-0.32879999999999998</v>
      </c>
      <c r="Q168" s="5">
        <v>-0.23719999999999999</v>
      </c>
    </row>
    <row r="169" spans="1:17" x14ac:dyDescent="0.3">
      <c r="A169" s="5">
        <v>150</v>
      </c>
      <c r="B169" s="5">
        <v>21766875</v>
      </c>
      <c r="C169" s="5">
        <v>20987142.460000001</v>
      </c>
      <c r="D169" s="5">
        <v>368</v>
      </c>
      <c r="E169" s="5">
        <v>781</v>
      </c>
      <c r="F169" s="5">
        <v>779732.54</v>
      </c>
      <c r="G169" s="5">
        <v>3.5799999999999998E-2</v>
      </c>
      <c r="H169" s="5">
        <v>59149.120000000003</v>
      </c>
      <c r="I169" s="5" t="s">
        <v>700</v>
      </c>
      <c r="J169" s="5" t="s">
        <v>282</v>
      </c>
      <c r="K169" s="5">
        <v>20</v>
      </c>
      <c r="L169" s="5" t="s">
        <v>701</v>
      </c>
      <c r="M169" s="5" t="s">
        <v>702</v>
      </c>
      <c r="N169" s="5">
        <v>0.22259999999999999</v>
      </c>
      <c r="O169" s="5">
        <v>68093.63</v>
      </c>
      <c r="P169" s="5">
        <v>-0.18679999999999999</v>
      </c>
      <c r="Q169" s="5">
        <v>-0.13139999999999999</v>
      </c>
    </row>
    <row r="170" spans="1:17" x14ac:dyDescent="0.3">
      <c r="A170" s="5">
        <v>62</v>
      </c>
      <c r="B170" s="5">
        <v>21624797</v>
      </c>
      <c r="C170" s="5">
        <v>25845859.850000001</v>
      </c>
      <c r="D170" s="5">
        <v>440</v>
      </c>
      <c r="E170" s="5">
        <v>982</v>
      </c>
      <c r="F170" s="5">
        <v>-4221062.8499999996</v>
      </c>
      <c r="G170" s="5">
        <v>-0.19520000000000001</v>
      </c>
      <c r="H170" s="5">
        <v>49147.27</v>
      </c>
      <c r="I170" s="5" t="s">
        <v>703</v>
      </c>
      <c r="J170" s="5" t="s">
        <v>223</v>
      </c>
      <c r="K170" s="5">
        <v>35</v>
      </c>
      <c r="L170" s="5" t="s">
        <v>704</v>
      </c>
      <c r="M170" s="5" t="s">
        <v>705</v>
      </c>
      <c r="N170" s="5">
        <v>0.22259999999999999</v>
      </c>
      <c r="O170" s="5">
        <v>68093.63</v>
      </c>
      <c r="P170" s="5">
        <v>-0.4178</v>
      </c>
      <c r="Q170" s="5">
        <v>-0.2782</v>
      </c>
    </row>
    <row r="171" spans="1:17" x14ac:dyDescent="0.3">
      <c r="A171" s="5">
        <v>2</v>
      </c>
      <c r="B171" s="5">
        <v>21485137</v>
      </c>
      <c r="C171" s="5">
        <v>20372394.66</v>
      </c>
      <c r="D171" s="5">
        <v>318</v>
      </c>
      <c r="E171" s="5">
        <v>703</v>
      </c>
      <c r="F171" s="5">
        <v>1112742.3400000001</v>
      </c>
      <c r="G171" s="5">
        <v>5.1799999999999999E-2</v>
      </c>
      <c r="H171" s="5">
        <v>67563.320000000007</v>
      </c>
      <c r="I171" s="5" t="s">
        <v>706</v>
      </c>
      <c r="J171" s="5" t="s">
        <v>251</v>
      </c>
      <c r="K171" s="5">
        <v>18</v>
      </c>
      <c r="L171" s="5" t="s">
        <v>707</v>
      </c>
      <c r="M171" s="5" t="s">
        <v>708</v>
      </c>
      <c r="N171" s="5">
        <v>0.22259999999999999</v>
      </c>
      <c r="O171" s="5">
        <v>68093.63</v>
      </c>
      <c r="P171" s="5">
        <v>-0.17080000000000001</v>
      </c>
      <c r="Q171" s="5">
        <v>-7.7999999999999996E-3</v>
      </c>
    </row>
    <row r="172" spans="1:17" x14ac:dyDescent="0.3">
      <c r="A172" s="5">
        <v>55</v>
      </c>
      <c r="B172" s="5">
        <v>21403935</v>
      </c>
      <c r="C172" s="5">
        <v>22224367.309999999</v>
      </c>
      <c r="D172" s="5">
        <v>365</v>
      </c>
      <c r="E172" s="5">
        <v>791</v>
      </c>
      <c r="F172" s="5">
        <v>-820432.31</v>
      </c>
      <c r="G172" s="5">
        <v>-3.8300000000000001E-2</v>
      </c>
      <c r="H172" s="5">
        <v>58640.92</v>
      </c>
      <c r="I172" s="5" t="s">
        <v>709</v>
      </c>
      <c r="J172" s="5" t="s">
        <v>251</v>
      </c>
      <c r="K172" s="5">
        <v>25</v>
      </c>
      <c r="L172" s="5" t="s">
        <v>563</v>
      </c>
      <c r="M172" s="5" t="s">
        <v>710</v>
      </c>
      <c r="N172" s="5">
        <v>0.22259999999999999</v>
      </c>
      <c r="O172" s="5">
        <v>68093.63</v>
      </c>
      <c r="P172" s="5">
        <v>-0.26090000000000002</v>
      </c>
      <c r="Q172" s="5">
        <v>-0.13880000000000001</v>
      </c>
    </row>
    <row r="173" spans="1:17" x14ac:dyDescent="0.3">
      <c r="A173" s="5">
        <v>28</v>
      </c>
      <c r="B173" s="5">
        <v>21215289</v>
      </c>
      <c r="C173" s="5">
        <v>25558389.41</v>
      </c>
      <c r="D173" s="5">
        <v>365</v>
      </c>
      <c r="E173" s="5">
        <v>816</v>
      </c>
      <c r="F173" s="5">
        <v>-4343100.41</v>
      </c>
      <c r="G173" s="5">
        <v>-0.20469999999999999</v>
      </c>
      <c r="H173" s="5">
        <v>58124.08</v>
      </c>
      <c r="I173" s="5" t="s">
        <v>711</v>
      </c>
      <c r="J173" s="5" t="s">
        <v>295</v>
      </c>
      <c r="K173" s="5">
        <v>35</v>
      </c>
      <c r="L173" s="5" t="s">
        <v>712</v>
      </c>
      <c r="M173" s="5" t="s">
        <v>713</v>
      </c>
      <c r="N173" s="5">
        <v>0.22259999999999999</v>
      </c>
      <c r="O173" s="5">
        <v>68093.63</v>
      </c>
      <c r="P173" s="5">
        <v>-0.42730000000000001</v>
      </c>
      <c r="Q173" s="5">
        <v>-0.1464</v>
      </c>
    </row>
    <row r="174" spans="1:17" x14ac:dyDescent="0.3">
      <c r="A174" s="5">
        <v>74</v>
      </c>
      <c r="B174" s="5">
        <v>21095923</v>
      </c>
      <c r="C174" s="5">
        <v>19231633.920000002</v>
      </c>
      <c r="D174" s="5">
        <v>315</v>
      </c>
      <c r="E174" s="5">
        <v>689</v>
      </c>
      <c r="F174" s="5">
        <v>1864289.08</v>
      </c>
      <c r="G174" s="5">
        <v>8.8400000000000006E-2</v>
      </c>
      <c r="H174" s="5">
        <v>66971.179999999993</v>
      </c>
      <c r="I174" s="5" t="s">
        <v>714</v>
      </c>
      <c r="J174" s="5" t="s">
        <v>251</v>
      </c>
      <c r="K174" s="5">
        <v>15</v>
      </c>
      <c r="L174" s="5" t="s">
        <v>715</v>
      </c>
      <c r="M174" s="5" t="s">
        <v>707</v>
      </c>
      <c r="N174" s="5">
        <v>0.22259999999999999</v>
      </c>
      <c r="O174" s="5">
        <v>68093.63</v>
      </c>
      <c r="P174" s="5">
        <v>-0.13420000000000001</v>
      </c>
      <c r="Q174" s="5">
        <v>-1.6500000000000001E-2</v>
      </c>
    </row>
    <row r="175" spans="1:17" x14ac:dyDescent="0.3">
      <c r="A175" s="5">
        <v>171</v>
      </c>
      <c r="B175" s="5">
        <v>20524110</v>
      </c>
      <c r="C175" s="5">
        <v>18673044.539999999</v>
      </c>
      <c r="D175" s="5">
        <v>309</v>
      </c>
      <c r="E175" s="5">
        <v>719</v>
      </c>
      <c r="F175" s="5">
        <v>1851065.46</v>
      </c>
      <c r="G175" s="5">
        <v>9.0200000000000002E-2</v>
      </c>
      <c r="H175" s="5">
        <v>66421.070000000007</v>
      </c>
      <c r="I175" s="5" t="s">
        <v>716</v>
      </c>
      <c r="J175" s="5" t="s">
        <v>295</v>
      </c>
      <c r="K175" s="5">
        <v>15</v>
      </c>
      <c r="L175" s="5" t="s">
        <v>546</v>
      </c>
      <c r="M175" s="5" t="s">
        <v>717</v>
      </c>
      <c r="N175" s="5">
        <v>0.22259999999999999</v>
      </c>
      <c r="O175" s="5">
        <v>68093.63</v>
      </c>
      <c r="P175" s="5">
        <v>-0.13239999999999999</v>
      </c>
      <c r="Q175" s="5">
        <v>-2.46E-2</v>
      </c>
    </row>
    <row r="176" spans="1:17" x14ac:dyDescent="0.3">
      <c r="A176" s="5">
        <v>188</v>
      </c>
      <c r="B176" s="5">
        <v>20242888</v>
      </c>
      <c r="C176" s="5">
        <v>18537248.739999998</v>
      </c>
      <c r="D176" s="5">
        <v>306</v>
      </c>
      <c r="E176" s="5">
        <v>662</v>
      </c>
      <c r="F176" s="5">
        <v>1705639.26</v>
      </c>
      <c r="G176" s="5">
        <v>8.43E-2</v>
      </c>
      <c r="H176" s="5">
        <v>66153.23</v>
      </c>
      <c r="I176" s="5" t="s">
        <v>718</v>
      </c>
      <c r="J176" s="5" t="s">
        <v>251</v>
      </c>
      <c r="K176" s="5">
        <v>15</v>
      </c>
      <c r="L176" s="5" t="s">
        <v>719</v>
      </c>
      <c r="M176" s="5" t="s">
        <v>691</v>
      </c>
      <c r="N176" s="5">
        <v>0.22259999999999999</v>
      </c>
      <c r="O176" s="5">
        <v>68093.63</v>
      </c>
      <c r="P176" s="5">
        <v>-0.1384</v>
      </c>
      <c r="Q176" s="5">
        <v>-2.8500000000000001E-2</v>
      </c>
    </row>
    <row r="177" spans="1:17" x14ac:dyDescent="0.3">
      <c r="A177" s="5">
        <v>153</v>
      </c>
      <c r="B177" s="5">
        <v>20067950</v>
      </c>
      <c r="C177" s="5">
        <v>18231257.920000002</v>
      </c>
      <c r="D177" s="5">
        <v>299</v>
      </c>
      <c r="E177" s="5">
        <v>649</v>
      </c>
      <c r="F177" s="5">
        <v>1836692.08</v>
      </c>
      <c r="G177" s="5">
        <v>9.1499999999999998E-2</v>
      </c>
      <c r="H177" s="5">
        <v>67116.89</v>
      </c>
      <c r="I177" s="5" t="s">
        <v>402</v>
      </c>
      <c r="J177" s="5" t="s">
        <v>223</v>
      </c>
      <c r="K177" s="5">
        <v>15</v>
      </c>
      <c r="L177" s="5" t="s">
        <v>720</v>
      </c>
      <c r="M177" s="5" t="s">
        <v>721</v>
      </c>
      <c r="N177" s="5">
        <v>0.22259999999999999</v>
      </c>
      <c r="O177" s="5">
        <v>68093.63</v>
      </c>
      <c r="P177" s="5">
        <v>-0.13109999999999999</v>
      </c>
      <c r="Q177" s="5">
        <v>-1.43E-2</v>
      </c>
    </row>
    <row r="178" spans="1:17" x14ac:dyDescent="0.3">
      <c r="A178" s="5">
        <v>31</v>
      </c>
      <c r="B178" s="5">
        <v>19982086</v>
      </c>
      <c r="C178" s="5">
        <v>17760105.640000001</v>
      </c>
      <c r="D178" s="5">
        <v>271</v>
      </c>
      <c r="E178" s="5">
        <v>597</v>
      </c>
      <c r="F178" s="5">
        <v>2221980.36</v>
      </c>
      <c r="G178" s="5">
        <v>0.11119999999999999</v>
      </c>
      <c r="H178" s="5">
        <v>73734.63</v>
      </c>
      <c r="I178" s="5" t="s">
        <v>722</v>
      </c>
      <c r="J178" s="5" t="s">
        <v>251</v>
      </c>
      <c r="K178" s="5">
        <v>12</v>
      </c>
      <c r="L178" s="5" t="s">
        <v>723</v>
      </c>
      <c r="M178" s="5" t="s">
        <v>724</v>
      </c>
      <c r="N178" s="5">
        <v>0.22259999999999999</v>
      </c>
      <c r="O178" s="5">
        <v>68093.63</v>
      </c>
      <c r="P178" s="5">
        <v>-0.1114</v>
      </c>
      <c r="Q178" s="5">
        <v>8.2799999999999999E-2</v>
      </c>
    </row>
    <row r="179" spans="1:17" x14ac:dyDescent="0.3">
      <c r="A179" s="5">
        <v>185</v>
      </c>
      <c r="B179" s="5">
        <v>19851804</v>
      </c>
      <c r="C179" s="5">
        <v>20452880.59</v>
      </c>
      <c r="D179" s="5">
        <v>351</v>
      </c>
      <c r="E179" s="5">
        <v>783</v>
      </c>
      <c r="F179" s="5">
        <v>-601076.59</v>
      </c>
      <c r="G179" s="5">
        <v>-3.0300000000000001E-2</v>
      </c>
      <c r="H179" s="5">
        <v>56557.85</v>
      </c>
      <c r="I179" s="5" t="s">
        <v>725</v>
      </c>
      <c r="J179" s="5" t="s">
        <v>223</v>
      </c>
      <c r="K179" s="5">
        <v>25</v>
      </c>
      <c r="L179" s="5" t="s">
        <v>726</v>
      </c>
      <c r="M179" s="5" t="s">
        <v>727</v>
      </c>
      <c r="N179" s="5">
        <v>0.22259999999999999</v>
      </c>
      <c r="O179" s="5">
        <v>68093.63</v>
      </c>
      <c r="P179" s="5">
        <v>-0.25290000000000001</v>
      </c>
      <c r="Q179" s="5">
        <v>-0.1694</v>
      </c>
    </row>
    <row r="180" spans="1:17" x14ac:dyDescent="0.3">
      <c r="A180" s="5">
        <v>12</v>
      </c>
      <c r="B180" s="5">
        <v>19639484</v>
      </c>
      <c r="C180" s="5">
        <v>20323345.329999998</v>
      </c>
      <c r="D180" s="5">
        <v>324</v>
      </c>
      <c r="E180" s="5">
        <v>722</v>
      </c>
      <c r="F180" s="5">
        <v>-683861.33</v>
      </c>
      <c r="G180" s="5">
        <v>-3.4799999999999998E-2</v>
      </c>
      <c r="H180" s="5">
        <v>60615.69</v>
      </c>
      <c r="I180" s="5" t="s">
        <v>728</v>
      </c>
      <c r="J180" s="5" t="s">
        <v>223</v>
      </c>
      <c r="K180" s="5">
        <v>25</v>
      </c>
      <c r="L180" s="5" t="s">
        <v>620</v>
      </c>
      <c r="M180" s="5" t="s">
        <v>729</v>
      </c>
      <c r="N180" s="5">
        <v>0.22259999999999999</v>
      </c>
      <c r="O180" s="5">
        <v>68093.63</v>
      </c>
      <c r="P180" s="5">
        <v>-0.25740000000000002</v>
      </c>
      <c r="Q180" s="5">
        <v>-0.10979999999999999</v>
      </c>
    </row>
    <row r="181" spans="1:17" x14ac:dyDescent="0.3">
      <c r="A181" s="5">
        <v>9</v>
      </c>
      <c r="B181" s="5">
        <v>19215203</v>
      </c>
      <c r="C181" s="5">
        <v>21294567.07</v>
      </c>
      <c r="D181" s="5">
        <v>344</v>
      </c>
      <c r="E181" s="5">
        <v>742</v>
      </c>
      <c r="F181" s="5">
        <v>-2079364.07</v>
      </c>
      <c r="G181" s="5">
        <v>-0.1082</v>
      </c>
      <c r="H181" s="5">
        <v>55858.15</v>
      </c>
      <c r="I181" s="5" t="s">
        <v>730</v>
      </c>
      <c r="J181" s="5" t="s">
        <v>282</v>
      </c>
      <c r="K181" s="5">
        <v>30</v>
      </c>
      <c r="L181" s="5" t="s">
        <v>507</v>
      </c>
      <c r="M181" s="5" t="s">
        <v>731</v>
      </c>
      <c r="N181" s="5">
        <v>0.22259999999999999</v>
      </c>
      <c r="O181" s="5">
        <v>68093.63</v>
      </c>
      <c r="P181" s="5">
        <v>-0.33079999999999998</v>
      </c>
      <c r="Q181" s="5">
        <v>-0.1797</v>
      </c>
    </row>
    <row r="182" spans="1:17" x14ac:dyDescent="0.3">
      <c r="A182" s="5">
        <v>50</v>
      </c>
      <c r="B182" s="5">
        <v>18891451</v>
      </c>
      <c r="C182" s="5">
        <v>24427169.170000002</v>
      </c>
      <c r="D182" s="5">
        <v>390</v>
      </c>
      <c r="E182" s="5">
        <v>852</v>
      </c>
      <c r="F182" s="5">
        <v>-5535718.1699999999</v>
      </c>
      <c r="G182" s="5">
        <v>-0.29299999999999998</v>
      </c>
      <c r="H182" s="5">
        <v>48439.62</v>
      </c>
      <c r="I182" s="5" t="s">
        <v>732</v>
      </c>
      <c r="J182" s="5" t="s">
        <v>295</v>
      </c>
      <c r="K182" s="5">
        <v>40</v>
      </c>
      <c r="L182" s="5" t="s">
        <v>733</v>
      </c>
      <c r="M182" s="5" t="s">
        <v>699</v>
      </c>
      <c r="N182" s="5">
        <v>0.22259999999999999</v>
      </c>
      <c r="O182" s="5">
        <v>68093.63</v>
      </c>
      <c r="P182" s="5">
        <v>-0.51559999999999995</v>
      </c>
      <c r="Q182" s="5">
        <v>-0.28860000000000002</v>
      </c>
    </row>
    <row r="183" spans="1:17" x14ac:dyDescent="0.3">
      <c r="A183" s="5">
        <v>90</v>
      </c>
      <c r="B183" s="5">
        <v>18690851</v>
      </c>
      <c r="C183" s="5">
        <v>17986448.809999999</v>
      </c>
      <c r="D183" s="5">
        <v>320</v>
      </c>
      <c r="E183" s="5">
        <v>682</v>
      </c>
      <c r="F183" s="5">
        <v>704402.19</v>
      </c>
      <c r="G183" s="5">
        <v>3.7699999999999997E-2</v>
      </c>
      <c r="H183" s="5">
        <v>58408.91</v>
      </c>
      <c r="I183" s="5" t="s">
        <v>734</v>
      </c>
      <c r="J183" s="5" t="s">
        <v>282</v>
      </c>
      <c r="K183" s="5">
        <v>20</v>
      </c>
      <c r="L183" s="5" t="s">
        <v>696</v>
      </c>
      <c r="M183" s="5" t="s">
        <v>735</v>
      </c>
      <c r="N183" s="5">
        <v>0.22259999999999999</v>
      </c>
      <c r="O183" s="5">
        <v>68093.63</v>
      </c>
      <c r="P183" s="5">
        <v>-0.18490000000000001</v>
      </c>
      <c r="Q183" s="5">
        <v>-0.14219999999999999</v>
      </c>
    </row>
    <row r="184" spans="1:17" x14ac:dyDescent="0.3">
      <c r="A184" s="5">
        <v>43</v>
      </c>
      <c r="B184" s="5">
        <v>18176032</v>
      </c>
      <c r="C184" s="5">
        <v>20266646.649999999</v>
      </c>
      <c r="D184" s="5">
        <v>302</v>
      </c>
      <c r="E184" s="5">
        <v>660</v>
      </c>
      <c r="F184" s="5">
        <v>-2090614.65</v>
      </c>
      <c r="G184" s="5">
        <v>-0.115</v>
      </c>
      <c r="H184" s="5">
        <v>60185.54</v>
      </c>
      <c r="I184" s="5" t="s">
        <v>736</v>
      </c>
      <c r="J184" s="5" t="s">
        <v>282</v>
      </c>
      <c r="K184" s="5">
        <v>30</v>
      </c>
      <c r="L184" s="5" t="s">
        <v>737</v>
      </c>
      <c r="M184" s="5" t="s">
        <v>738</v>
      </c>
      <c r="N184" s="5">
        <v>0.22259999999999999</v>
      </c>
      <c r="O184" s="5">
        <v>68093.63</v>
      </c>
      <c r="P184" s="5">
        <v>-0.33760000000000001</v>
      </c>
      <c r="Q184" s="5">
        <v>-0.11609999999999999</v>
      </c>
    </row>
    <row r="185" spans="1:17" x14ac:dyDescent="0.3">
      <c r="A185" s="5">
        <v>109</v>
      </c>
      <c r="B185" s="5">
        <v>18144627</v>
      </c>
      <c r="C185" s="5">
        <v>16086717.359999999</v>
      </c>
      <c r="D185" s="5">
        <v>232</v>
      </c>
      <c r="E185" s="5">
        <v>530</v>
      </c>
      <c r="F185" s="5">
        <v>2057909.64</v>
      </c>
      <c r="G185" s="5">
        <v>0.1134</v>
      </c>
      <c r="H185" s="5">
        <v>78209.600000000006</v>
      </c>
      <c r="I185" s="5" t="s">
        <v>505</v>
      </c>
      <c r="J185" s="5" t="s">
        <v>251</v>
      </c>
      <c r="K185" s="5">
        <v>12</v>
      </c>
      <c r="L185" s="5" t="s">
        <v>739</v>
      </c>
      <c r="M185" s="5" t="s">
        <v>554</v>
      </c>
      <c r="N185" s="5">
        <v>0.22259999999999999</v>
      </c>
      <c r="O185" s="5">
        <v>68093.63</v>
      </c>
      <c r="P185" s="5">
        <v>-0.10920000000000001</v>
      </c>
      <c r="Q185" s="5">
        <v>0.14860000000000001</v>
      </c>
    </row>
    <row r="186" spans="1:17" x14ac:dyDescent="0.3">
      <c r="A186" s="5">
        <v>23</v>
      </c>
      <c r="B186" s="5">
        <v>17587227</v>
      </c>
      <c r="C186" s="5">
        <v>15259187.949999999</v>
      </c>
      <c r="D186" s="5">
        <v>262</v>
      </c>
      <c r="E186" s="5">
        <v>539</v>
      </c>
      <c r="F186" s="5">
        <v>2328039.0499999998</v>
      </c>
      <c r="G186" s="5">
        <v>0.13239999999999999</v>
      </c>
      <c r="H186" s="5">
        <v>67126.820000000007</v>
      </c>
      <c r="I186" s="5" t="s">
        <v>740</v>
      </c>
      <c r="J186" s="5" t="s">
        <v>223</v>
      </c>
      <c r="K186" s="5">
        <v>10</v>
      </c>
      <c r="L186" s="5" t="s">
        <v>723</v>
      </c>
      <c r="M186" s="5" t="s">
        <v>741</v>
      </c>
      <c r="N186" s="5">
        <v>0.22259999999999999</v>
      </c>
      <c r="O186" s="5">
        <v>68093.63</v>
      </c>
      <c r="P186" s="5">
        <v>-9.0200000000000002E-2</v>
      </c>
      <c r="Q186" s="5">
        <v>-1.4200000000000001E-2</v>
      </c>
    </row>
    <row r="187" spans="1:17" x14ac:dyDescent="0.3">
      <c r="A187" s="5">
        <v>40</v>
      </c>
      <c r="B187" s="5">
        <v>17191645</v>
      </c>
      <c r="C187" s="5">
        <v>14808431.83</v>
      </c>
      <c r="D187" s="5">
        <v>226</v>
      </c>
      <c r="E187" s="5">
        <v>488</v>
      </c>
      <c r="F187" s="5">
        <v>2383213.17</v>
      </c>
      <c r="G187" s="5">
        <v>0.1386</v>
      </c>
      <c r="H187" s="5">
        <v>76069.23</v>
      </c>
      <c r="I187" s="5" t="s">
        <v>742</v>
      </c>
      <c r="J187" s="5" t="s">
        <v>251</v>
      </c>
      <c r="K187" s="5">
        <v>10</v>
      </c>
      <c r="L187" s="5" t="s">
        <v>743</v>
      </c>
      <c r="M187" s="5" t="s">
        <v>545</v>
      </c>
      <c r="N187" s="5">
        <v>0.22259999999999999</v>
      </c>
      <c r="O187" s="5">
        <v>68093.63</v>
      </c>
      <c r="P187" s="5">
        <v>-8.4000000000000005E-2</v>
      </c>
      <c r="Q187" s="5">
        <v>0.1171</v>
      </c>
    </row>
    <row r="188" spans="1:17" x14ac:dyDescent="0.3">
      <c r="A188" s="5">
        <v>198</v>
      </c>
      <c r="B188" s="5">
        <v>16907198</v>
      </c>
      <c r="C188" s="5">
        <v>16000602.84</v>
      </c>
      <c r="D188" s="5">
        <v>246</v>
      </c>
      <c r="E188" s="5">
        <v>574</v>
      </c>
      <c r="F188" s="5">
        <v>906595.16</v>
      </c>
      <c r="G188" s="5">
        <v>5.3600000000000002E-2</v>
      </c>
      <c r="H188" s="5">
        <v>68728.45</v>
      </c>
      <c r="I188" s="5" t="s">
        <v>744</v>
      </c>
      <c r="J188" s="5" t="s">
        <v>223</v>
      </c>
      <c r="K188" s="5">
        <v>18</v>
      </c>
      <c r="L188" s="5" t="s">
        <v>745</v>
      </c>
      <c r="M188" s="5" t="s">
        <v>746</v>
      </c>
      <c r="N188" s="5">
        <v>0.22259999999999999</v>
      </c>
      <c r="O188" s="5">
        <v>68093.63</v>
      </c>
      <c r="P188" s="5">
        <v>-0.16900000000000001</v>
      </c>
      <c r="Q188" s="5">
        <v>9.2999999999999992E-3</v>
      </c>
    </row>
    <row r="189" spans="1:17" x14ac:dyDescent="0.3">
      <c r="A189" s="5">
        <v>106</v>
      </c>
      <c r="B189" s="5">
        <v>16688478</v>
      </c>
      <c r="C189" s="5">
        <v>15199692.560000001</v>
      </c>
      <c r="D189" s="5">
        <v>240</v>
      </c>
      <c r="E189" s="5">
        <v>525</v>
      </c>
      <c r="F189" s="5">
        <v>1488785.44</v>
      </c>
      <c r="G189" s="5">
        <v>8.9200000000000002E-2</v>
      </c>
      <c r="H189" s="5">
        <v>69535.320000000007</v>
      </c>
      <c r="I189" s="5" t="s">
        <v>542</v>
      </c>
      <c r="J189" s="5" t="s">
        <v>223</v>
      </c>
      <c r="K189" s="5">
        <v>15</v>
      </c>
      <c r="L189" s="5" t="s">
        <v>739</v>
      </c>
      <c r="M189" s="5" t="s">
        <v>540</v>
      </c>
      <c r="N189" s="5">
        <v>0.22259999999999999</v>
      </c>
      <c r="O189" s="5">
        <v>68093.63</v>
      </c>
      <c r="P189" s="5">
        <v>-0.13339999999999999</v>
      </c>
      <c r="Q189" s="5">
        <v>2.12E-2</v>
      </c>
    </row>
    <row r="190" spans="1:17" x14ac:dyDescent="0.3">
      <c r="A190" s="5">
        <v>91</v>
      </c>
      <c r="B190" s="5">
        <v>16175221</v>
      </c>
      <c r="C190" s="5">
        <v>16752124.220000001</v>
      </c>
      <c r="D190" s="5">
        <v>258</v>
      </c>
      <c r="E190" s="5">
        <v>568</v>
      </c>
      <c r="F190" s="5">
        <v>-576903.22</v>
      </c>
      <c r="G190" s="5">
        <v>-3.5700000000000003E-2</v>
      </c>
      <c r="H190" s="5">
        <v>62694.66</v>
      </c>
      <c r="I190" s="5" t="s">
        <v>747</v>
      </c>
      <c r="J190" s="5" t="s">
        <v>282</v>
      </c>
      <c r="K190" s="5">
        <v>25</v>
      </c>
      <c r="L190" s="5" t="s">
        <v>724</v>
      </c>
      <c r="M190" s="5" t="s">
        <v>509</v>
      </c>
      <c r="N190" s="5">
        <v>0.22259999999999999</v>
      </c>
      <c r="O190" s="5">
        <v>68093.63</v>
      </c>
      <c r="P190" s="5">
        <v>-0.25829999999999997</v>
      </c>
      <c r="Q190" s="5">
        <v>-7.9299999999999995E-2</v>
      </c>
    </row>
    <row r="191" spans="1:17" x14ac:dyDescent="0.3">
      <c r="A191" s="5">
        <v>178</v>
      </c>
      <c r="B191" s="5">
        <v>15954420</v>
      </c>
      <c r="C191" s="5">
        <v>14062687.41</v>
      </c>
      <c r="D191" s="5">
        <v>237</v>
      </c>
      <c r="E191" s="5">
        <v>516</v>
      </c>
      <c r="F191" s="5">
        <v>1891732.59</v>
      </c>
      <c r="G191" s="5">
        <v>0.1186</v>
      </c>
      <c r="H191" s="5">
        <v>67318.23</v>
      </c>
      <c r="I191" s="5" t="s">
        <v>748</v>
      </c>
      <c r="J191" s="5" t="s">
        <v>247</v>
      </c>
      <c r="K191" s="5">
        <v>12</v>
      </c>
      <c r="L191" s="5" t="s">
        <v>749</v>
      </c>
      <c r="M191" s="5" t="s">
        <v>602</v>
      </c>
      <c r="N191" s="5">
        <v>0.22259999999999999</v>
      </c>
      <c r="O191" s="5">
        <v>68093.63</v>
      </c>
      <c r="P191" s="5">
        <v>-0.104</v>
      </c>
      <c r="Q191" s="5">
        <v>-1.14E-2</v>
      </c>
    </row>
    <row r="192" spans="1:17" x14ac:dyDescent="0.3">
      <c r="A192" s="5">
        <v>113</v>
      </c>
      <c r="B192" s="5">
        <v>15342004</v>
      </c>
      <c r="C192" s="5">
        <v>16044403.57</v>
      </c>
      <c r="D192" s="5">
        <v>241</v>
      </c>
      <c r="E192" s="5">
        <v>520</v>
      </c>
      <c r="F192" s="5">
        <v>-702399.57</v>
      </c>
      <c r="G192" s="5">
        <v>-4.58E-2</v>
      </c>
      <c r="H192" s="5">
        <v>63659.77</v>
      </c>
      <c r="I192" s="5" t="s">
        <v>750</v>
      </c>
      <c r="J192" s="5" t="s">
        <v>223</v>
      </c>
      <c r="K192" s="5">
        <v>25</v>
      </c>
      <c r="L192" s="5" t="s">
        <v>476</v>
      </c>
      <c r="M192" s="5" t="s">
        <v>486</v>
      </c>
      <c r="N192" s="5">
        <v>0.22259999999999999</v>
      </c>
      <c r="O192" s="5">
        <v>68093.63</v>
      </c>
      <c r="P192" s="5">
        <v>-0.26840000000000003</v>
      </c>
      <c r="Q192" s="5">
        <v>-6.5100000000000005E-2</v>
      </c>
    </row>
    <row r="193" spans="1:17" x14ac:dyDescent="0.3">
      <c r="A193" s="5">
        <v>64</v>
      </c>
      <c r="B193" s="5">
        <v>15076524</v>
      </c>
      <c r="C193" s="5">
        <v>14820431.67</v>
      </c>
      <c r="D193" s="5">
        <v>211</v>
      </c>
      <c r="E193" s="5">
        <v>451</v>
      </c>
      <c r="F193" s="5">
        <v>256092.33</v>
      </c>
      <c r="G193" s="5">
        <v>1.7000000000000001E-2</v>
      </c>
      <c r="H193" s="5">
        <v>71452.72</v>
      </c>
      <c r="I193" s="5" t="s">
        <v>751</v>
      </c>
      <c r="J193" s="5" t="s">
        <v>282</v>
      </c>
      <c r="K193" s="5">
        <v>20</v>
      </c>
      <c r="L193" s="5" t="s">
        <v>752</v>
      </c>
      <c r="M193" s="5" t="s">
        <v>753</v>
      </c>
      <c r="N193" s="5">
        <v>0.22259999999999999</v>
      </c>
      <c r="O193" s="5">
        <v>68093.63</v>
      </c>
      <c r="P193" s="5">
        <v>-0.2056</v>
      </c>
      <c r="Q193" s="5">
        <v>4.9299999999999997E-2</v>
      </c>
    </row>
    <row r="194" spans="1:17" x14ac:dyDescent="0.3">
      <c r="A194" s="5">
        <v>49</v>
      </c>
      <c r="B194" s="5">
        <v>14777330</v>
      </c>
      <c r="C194" s="5">
        <v>12030797.26</v>
      </c>
      <c r="D194" s="5">
        <v>238</v>
      </c>
      <c r="E194" s="5">
        <v>501</v>
      </c>
      <c r="F194" s="5">
        <v>2746532.74</v>
      </c>
      <c r="G194" s="5">
        <v>0.18590000000000001</v>
      </c>
      <c r="H194" s="5">
        <v>62089.62</v>
      </c>
      <c r="I194" s="5" t="s">
        <v>754</v>
      </c>
      <c r="J194" s="5" t="s">
        <v>251</v>
      </c>
      <c r="K194" s="5">
        <v>5</v>
      </c>
      <c r="L194" s="5" t="s">
        <v>755</v>
      </c>
      <c r="M194" s="5" t="s">
        <v>756</v>
      </c>
      <c r="N194" s="5">
        <v>0.22259999999999999</v>
      </c>
      <c r="O194" s="5">
        <v>68093.63</v>
      </c>
      <c r="P194" s="5">
        <v>-3.6799999999999999E-2</v>
      </c>
      <c r="Q194" s="5">
        <v>-8.8200000000000001E-2</v>
      </c>
    </row>
    <row r="195" spans="1:17" x14ac:dyDescent="0.3">
      <c r="A195" s="5">
        <v>107</v>
      </c>
      <c r="B195" s="5">
        <v>14360907</v>
      </c>
      <c r="C195" s="5">
        <v>14040431.5</v>
      </c>
      <c r="D195" s="5">
        <v>211</v>
      </c>
      <c r="E195" s="5">
        <v>459</v>
      </c>
      <c r="F195" s="5">
        <v>320475.5</v>
      </c>
      <c r="G195" s="5">
        <v>2.23E-2</v>
      </c>
      <c r="H195" s="5">
        <v>68061.17</v>
      </c>
      <c r="I195" s="5" t="s">
        <v>757</v>
      </c>
      <c r="J195" s="5" t="s">
        <v>251</v>
      </c>
      <c r="K195" s="5">
        <v>20</v>
      </c>
      <c r="L195" s="5" t="s">
        <v>758</v>
      </c>
      <c r="M195" s="5" t="s">
        <v>664</v>
      </c>
      <c r="N195" s="5">
        <v>0.22259999999999999</v>
      </c>
      <c r="O195" s="5">
        <v>68093.63</v>
      </c>
      <c r="P195" s="5">
        <v>-0.20030000000000001</v>
      </c>
      <c r="Q195" s="5">
        <v>-5.0000000000000001E-4</v>
      </c>
    </row>
    <row r="196" spans="1:17" x14ac:dyDescent="0.3">
      <c r="A196" s="5">
        <v>6</v>
      </c>
      <c r="B196" s="5">
        <v>14356457</v>
      </c>
      <c r="C196" s="5">
        <v>18467813.329999998</v>
      </c>
      <c r="D196" s="5">
        <v>342</v>
      </c>
      <c r="E196" s="5">
        <v>735</v>
      </c>
      <c r="F196" s="5">
        <v>-4111356.33</v>
      </c>
      <c r="G196" s="5">
        <v>-0.28639999999999999</v>
      </c>
      <c r="H196" s="5">
        <v>41977.94</v>
      </c>
      <c r="I196" s="5" t="s">
        <v>759</v>
      </c>
      <c r="J196" s="5" t="s">
        <v>251</v>
      </c>
      <c r="K196" s="5">
        <v>40</v>
      </c>
      <c r="L196" s="5" t="s">
        <v>760</v>
      </c>
      <c r="M196" s="5" t="s">
        <v>761</v>
      </c>
      <c r="N196" s="5">
        <v>0.22259999999999999</v>
      </c>
      <c r="O196" s="5">
        <v>68093.63</v>
      </c>
      <c r="P196" s="5">
        <v>-0.50900000000000001</v>
      </c>
      <c r="Q196" s="5">
        <v>-0.38350000000000001</v>
      </c>
    </row>
    <row r="197" spans="1:17" x14ac:dyDescent="0.3">
      <c r="A197" s="5">
        <v>84</v>
      </c>
      <c r="B197" s="5">
        <v>14303457</v>
      </c>
      <c r="C197" s="5">
        <v>12369500.82</v>
      </c>
      <c r="D197" s="5">
        <v>185</v>
      </c>
      <c r="E197" s="5">
        <v>417</v>
      </c>
      <c r="F197" s="5">
        <v>1933956.18</v>
      </c>
      <c r="G197" s="5">
        <v>0.13519999999999999</v>
      </c>
      <c r="H197" s="5">
        <v>77315.98</v>
      </c>
      <c r="I197" s="5" t="s">
        <v>762</v>
      </c>
      <c r="J197" s="5" t="s">
        <v>223</v>
      </c>
      <c r="K197" s="5">
        <v>10</v>
      </c>
      <c r="L197" s="5" t="s">
        <v>763</v>
      </c>
      <c r="M197" s="5" t="s">
        <v>764</v>
      </c>
      <c r="N197" s="5">
        <v>0.22259999999999999</v>
      </c>
      <c r="O197" s="5">
        <v>68093.63</v>
      </c>
      <c r="P197" s="5">
        <v>-8.7400000000000005E-2</v>
      </c>
      <c r="Q197" s="5">
        <v>0.13539999999999999</v>
      </c>
    </row>
    <row r="198" spans="1:17" x14ac:dyDescent="0.3">
      <c r="A198" s="5">
        <v>121</v>
      </c>
      <c r="B198" s="5">
        <v>14060331</v>
      </c>
      <c r="C198" s="5">
        <v>15665754.220000001</v>
      </c>
      <c r="D198" s="5">
        <v>234</v>
      </c>
      <c r="E198" s="5">
        <v>508</v>
      </c>
      <c r="F198" s="5">
        <v>-1605423.22</v>
      </c>
      <c r="G198" s="5">
        <v>-0.1142</v>
      </c>
      <c r="H198" s="5">
        <v>60086.879999999997</v>
      </c>
      <c r="I198" s="5" t="s">
        <v>765</v>
      </c>
      <c r="J198" s="5" t="s">
        <v>295</v>
      </c>
      <c r="K198" s="5">
        <v>30</v>
      </c>
      <c r="L198" s="5" t="s">
        <v>506</v>
      </c>
      <c r="M198" s="5" t="s">
        <v>562</v>
      </c>
      <c r="N198" s="5">
        <v>0.22259999999999999</v>
      </c>
      <c r="O198" s="5">
        <v>68093.63</v>
      </c>
      <c r="P198" s="5">
        <v>-0.33679999999999999</v>
      </c>
      <c r="Q198" s="5">
        <v>-0.1176</v>
      </c>
    </row>
    <row r="199" spans="1:17" x14ac:dyDescent="0.3">
      <c r="A199" s="5">
        <v>65</v>
      </c>
      <c r="B199" s="5">
        <v>13831121</v>
      </c>
      <c r="C199" s="5">
        <v>12098937.1</v>
      </c>
      <c r="D199" s="5">
        <v>187</v>
      </c>
      <c r="E199" s="5">
        <v>422</v>
      </c>
      <c r="F199" s="5">
        <v>1732183.9</v>
      </c>
      <c r="G199" s="5">
        <v>0.12520000000000001</v>
      </c>
      <c r="H199" s="5">
        <v>73963.210000000006</v>
      </c>
      <c r="I199" s="5" t="s">
        <v>762</v>
      </c>
      <c r="J199" s="5" t="s">
        <v>223</v>
      </c>
      <c r="K199" s="5">
        <v>10</v>
      </c>
      <c r="L199" s="5" t="s">
        <v>766</v>
      </c>
      <c r="M199" s="5" t="s">
        <v>767</v>
      </c>
      <c r="N199" s="5">
        <v>0.22259999999999999</v>
      </c>
      <c r="O199" s="5">
        <v>68093.63</v>
      </c>
      <c r="P199" s="5">
        <v>-9.74E-2</v>
      </c>
      <c r="Q199" s="5">
        <v>8.6199999999999999E-2</v>
      </c>
    </row>
    <row r="200" spans="1:17" x14ac:dyDescent="0.3">
      <c r="A200" s="5">
        <v>162</v>
      </c>
      <c r="B200" s="5">
        <v>13234908</v>
      </c>
      <c r="C200" s="5">
        <v>15857757.060000001</v>
      </c>
      <c r="D200" s="5">
        <v>227</v>
      </c>
      <c r="E200" s="5">
        <v>548</v>
      </c>
      <c r="F200" s="5">
        <v>-2622849.06</v>
      </c>
      <c r="G200" s="5">
        <v>-0.19819999999999999</v>
      </c>
      <c r="H200" s="5">
        <v>58303.56</v>
      </c>
      <c r="I200" s="5" t="s">
        <v>768</v>
      </c>
      <c r="J200" s="5" t="s">
        <v>223</v>
      </c>
      <c r="K200" s="5">
        <v>35</v>
      </c>
      <c r="L200" s="5" t="s">
        <v>449</v>
      </c>
      <c r="M200" s="5" t="s">
        <v>769</v>
      </c>
      <c r="N200" s="5">
        <v>0.22259999999999999</v>
      </c>
      <c r="O200" s="5">
        <v>68093.63</v>
      </c>
      <c r="P200" s="5">
        <v>-0.42080000000000001</v>
      </c>
      <c r="Q200" s="5">
        <v>-0.14380000000000001</v>
      </c>
    </row>
    <row r="201" spans="1:17" x14ac:dyDescent="0.3">
      <c r="A201" s="5">
        <v>192</v>
      </c>
      <c r="B201" s="5">
        <v>13029386</v>
      </c>
      <c r="C201" s="5">
        <v>12352536.449999999</v>
      </c>
      <c r="D201" s="5">
        <v>218</v>
      </c>
      <c r="E201" s="5">
        <v>480</v>
      </c>
      <c r="F201" s="5">
        <v>676849.55</v>
      </c>
      <c r="G201" s="5">
        <v>5.1900000000000002E-2</v>
      </c>
      <c r="H201" s="5">
        <v>59767.83</v>
      </c>
      <c r="I201" s="5" t="s">
        <v>770</v>
      </c>
      <c r="J201" s="5" t="s">
        <v>295</v>
      </c>
      <c r="K201" s="5">
        <v>18</v>
      </c>
      <c r="L201" s="5" t="s">
        <v>771</v>
      </c>
      <c r="M201" s="5" t="s">
        <v>772</v>
      </c>
      <c r="N201" s="5">
        <v>0.22259999999999999</v>
      </c>
      <c r="O201" s="5">
        <v>68093.63</v>
      </c>
      <c r="P201" s="5">
        <v>-0.17069999999999999</v>
      </c>
      <c r="Q201" s="5">
        <v>-0.12230000000000001</v>
      </c>
    </row>
    <row r="202" spans="1:17" x14ac:dyDescent="0.3">
      <c r="A202" s="5">
        <v>124</v>
      </c>
      <c r="B202" s="5">
        <v>12727031</v>
      </c>
      <c r="C202" s="5">
        <v>11209113.58</v>
      </c>
      <c r="D202" s="5">
        <v>205</v>
      </c>
      <c r="E202" s="5">
        <v>445</v>
      </c>
      <c r="F202" s="5">
        <v>1517917.42</v>
      </c>
      <c r="G202" s="5">
        <v>0.1193</v>
      </c>
      <c r="H202" s="5">
        <v>62083.08</v>
      </c>
      <c r="I202" s="5" t="s">
        <v>773</v>
      </c>
      <c r="J202" s="5" t="s">
        <v>282</v>
      </c>
      <c r="K202" s="5">
        <v>12</v>
      </c>
      <c r="L202" s="5" t="s">
        <v>774</v>
      </c>
      <c r="M202" s="5" t="s">
        <v>775</v>
      </c>
      <c r="N202" s="5">
        <v>0.22259999999999999</v>
      </c>
      <c r="O202" s="5">
        <v>68093.63</v>
      </c>
      <c r="P202" s="5">
        <v>-0.10340000000000001</v>
      </c>
      <c r="Q202" s="5">
        <v>-8.8300000000000003E-2</v>
      </c>
    </row>
    <row r="203" spans="1:17" x14ac:dyDescent="0.3">
      <c r="A203" s="5">
        <v>193</v>
      </c>
      <c r="B203" s="5">
        <v>10199470</v>
      </c>
      <c r="C203" s="5">
        <v>10693014.720000001</v>
      </c>
      <c r="D203" s="5">
        <v>190</v>
      </c>
      <c r="E203" s="5">
        <v>391</v>
      </c>
      <c r="F203" s="5">
        <v>-493544.72</v>
      </c>
      <c r="G203" s="5">
        <v>-4.8399999999999999E-2</v>
      </c>
      <c r="H203" s="5">
        <v>53681.42</v>
      </c>
      <c r="I203" s="5" t="s">
        <v>776</v>
      </c>
      <c r="J203" s="5" t="s">
        <v>247</v>
      </c>
      <c r="K203" s="5">
        <v>25</v>
      </c>
      <c r="L203" s="5" t="s">
        <v>775</v>
      </c>
      <c r="M203" s="5" t="s">
        <v>663</v>
      </c>
      <c r="N203" s="5">
        <v>0.22259999999999999</v>
      </c>
      <c r="O203" s="5">
        <v>68093.63</v>
      </c>
      <c r="P203" s="5">
        <v>-0.27100000000000002</v>
      </c>
      <c r="Q203" s="5">
        <v>-0.2117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F6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1" customWidth="1"/>
    <col min="2" max="3" width="18" customWidth="1"/>
    <col min="4" max="4" width="16" customWidth="1"/>
    <col min="5" max="5" width="12" customWidth="1"/>
    <col min="6" max="6" width="11" customWidth="1"/>
  </cols>
  <sheetData>
    <row r="1" spans="1:6" x14ac:dyDescent="0.3">
      <c r="A1" s="8" t="s">
        <v>777</v>
      </c>
    </row>
    <row r="3" spans="1:6" x14ac:dyDescent="0.3">
      <c r="A3" s="9" t="s">
        <v>71</v>
      </c>
      <c r="B3" s="9" t="s">
        <v>72</v>
      </c>
      <c r="C3" s="9" t="s">
        <v>778</v>
      </c>
      <c r="D3" s="9" t="s">
        <v>779</v>
      </c>
      <c r="E3" s="9" t="s">
        <v>780</v>
      </c>
      <c r="F3" s="9" t="s">
        <v>781</v>
      </c>
    </row>
    <row r="4" spans="1:6" x14ac:dyDescent="0.3">
      <c r="A4" s="5">
        <v>1</v>
      </c>
      <c r="B4" s="5" t="s">
        <v>76</v>
      </c>
      <c r="C4" s="5" t="s">
        <v>782</v>
      </c>
      <c r="D4" s="5">
        <v>3842</v>
      </c>
      <c r="E4" s="5">
        <v>337</v>
      </c>
      <c r="F4" s="5">
        <v>8.77E-2</v>
      </c>
    </row>
    <row r="5" spans="1:6" x14ac:dyDescent="0.3">
      <c r="A5" s="5">
        <v>1</v>
      </c>
      <c r="B5" s="5" t="s">
        <v>76</v>
      </c>
      <c r="C5" s="5" t="s">
        <v>783</v>
      </c>
      <c r="D5" s="5">
        <v>3886</v>
      </c>
      <c r="E5" s="5">
        <v>342</v>
      </c>
      <c r="F5" s="5">
        <v>8.7999999999999995E-2</v>
      </c>
    </row>
    <row r="6" spans="1:6" x14ac:dyDescent="0.3">
      <c r="A6" s="5">
        <v>1</v>
      </c>
      <c r="B6" s="5" t="s">
        <v>76</v>
      </c>
      <c r="C6" s="5" t="s">
        <v>784</v>
      </c>
      <c r="D6" s="5">
        <v>3889</v>
      </c>
      <c r="E6" s="5">
        <v>307</v>
      </c>
      <c r="F6" s="5">
        <v>7.8899999999999998E-2</v>
      </c>
    </row>
    <row r="7" spans="1:6" x14ac:dyDescent="0.3">
      <c r="A7" s="5">
        <v>1</v>
      </c>
      <c r="B7" s="5" t="s">
        <v>76</v>
      </c>
      <c r="C7" s="5" t="s">
        <v>785</v>
      </c>
      <c r="D7" s="5">
        <v>3868</v>
      </c>
      <c r="E7" s="5">
        <v>320</v>
      </c>
      <c r="F7" s="5">
        <v>8.2699999999999996E-2</v>
      </c>
    </row>
    <row r="8" spans="1:6" x14ac:dyDescent="0.3">
      <c r="A8" s="5">
        <v>1</v>
      </c>
      <c r="B8" s="5" t="s">
        <v>76</v>
      </c>
      <c r="C8" s="5" t="s">
        <v>786</v>
      </c>
      <c r="D8" s="5">
        <v>4017</v>
      </c>
      <c r="E8" s="5">
        <v>311</v>
      </c>
      <c r="F8" s="5">
        <v>7.7399999999999997E-2</v>
      </c>
    </row>
    <row r="9" spans="1:6" x14ac:dyDescent="0.3">
      <c r="A9" s="5">
        <v>4</v>
      </c>
      <c r="B9" s="5" t="s">
        <v>78</v>
      </c>
      <c r="C9" s="5" t="s">
        <v>782</v>
      </c>
      <c r="D9" s="5">
        <v>4142</v>
      </c>
      <c r="E9" s="5">
        <v>388</v>
      </c>
      <c r="F9" s="5">
        <v>9.3700000000000006E-2</v>
      </c>
    </row>
    <row r="10" spans="1:6" x14ac:dyDescent="0.3">
      <c r="A10" s="5">
        <v>4</v>
      </c>
      <c r="B10" s="5" t="s">
        <v>78</v>
      </c>
      <c r="C10" s="5" t="s">
        <v>783</v>
      </c>
      <c r="D10" s="5">
        <v>4009</v>
      </c>
      <c r="E10" s="5">
        <v>385</v>
      </c>
      <c r="F10" s="5">
        <v>9.6000000000000002E-2</v>
      </c>
    </row>
    <row r="11" spans="1:6" x14ac:dyDescent="0.3">
      <c r="A11" s="5">
        <v>4</v>
      </c>
      <c r="B11" s="5" t="s">
        <v>78</v>
      </c>
      <c r="C11" s="5" t="s">
        <v>784</v>
      </c>
      <c r="D11" s="5">
        <v>4153</v>
      </c>
      <c r="E11" s="5">
        <v>404</v>
      </c>
      <c r="F11" s="5">
        <v>9.7299999999999998E-2</v>
      </c>
    </row>
    <row r="12" spans="1:6" x14ac:dyDescent="0.3">
      <c r="A12" s="5">
        <v>4</v>
      </c>
      <c r="B12" s="5" t="s">
        <v>78</v>
      </c>
      <c r="C12" s="5" t="s">
        <v>785</v>
      </c>
      <c r="D12" s="5">
        <v>4172</v>
      </c>
      <c r="E12" s="5">
        <v>408</v>
      </c>
      <c r="F12" s="5">
        <v>9.7799999999999998E-2</v>
      </c>
    </row>
    <row r="13" spans="1:6" x14ac:dyDescent="0.3">
      <c r="A13" s="5">
        <v>4</v>
      </c>
      <c r="B13" s="5" t="s">
        <v>78</v>
      </c>
      <c r="C13" s="5" t="s">
        <v>786</v>
      </c>
      <c r="D13" s="5">
        <v>3986</v>
      </c>
      <c r="E13" s="5">
        <v>382</v>
      </c>
      <c r="F13" s="5">
        <v>9.5799999999999996E-2</v>
      </c>
    </row>
    <row r="14" spans="1:6" x14ac:dyDescent="0.3">
      <c r="A14" s="5">
        <v>5</v>
      </c>
      <c r="B14" s="5" t="s">
        <v>80</v>
      </c>
      <c r="C14" s="5" t="s">
        <v>782</v>
      </c>
      <c r="D14" s="5">
        <v>5349</v>
      </c>
      <c r="E14" s="5">
        <v>541</v>
      </c>
      <c r="F14" s="5">
        <v>0.1011</v>
      </c>
    </row>
    <row r="15" spans="1:6" x14ac:dyDescent="0.3">
      <c r="A15" s="5">
        <v>5</v>
      </c>
      <c r="B15" s="5" t="s">
        <v>80</v>
      </c>
      <c r="C15" s="5" t="s">
        <v>783</v>
      </c>
      <c r="D15" s="5">
        <v>5425</v>
      </c>
      <c r="E15" s="5">
        <v>525</v>
      </c>
      <c r="F15" s="5">
        <v>9.6799999999999997E-2</v>
      </c>
    </row>
    <row r="16" spans="1:6" x14ac:dyDescent="0.3">
      <c r="A16" s="5">
        <v>5</v>
      </c>
      <c r="B16" s="5" t="s">
        <v>80</v>
      </c>
      <c r="C16" s="5" t="s">
        <v>784</v>
      </c>
      <c r="D16" s="5">
        <v>5357</v>
      </c>
      <c r="E16" s="5">
        <v>536</v>
      </c>
      <c r="F16" s="5">
        <v>0.10009999999999999</v>
      </c>
    </row>
    <row r="17" spans="1:6" x14ac:dyDescent="0.3">
      <c r="A17" s="5">
        <v>5</v>
      </c>
      <c r="B17" s="5" t="s">
        <v>80</v>
      </c>
      <c r="C17" s="5" t="s">
        <v>785</v>
      </c>
      <c r="D17" s="5">
        <v>5484</v>
      </c>
      <c r="E17" s="5">
        <v>526</v>
      </c>
      <c r="F17" s="5">
        <v>9.5899999999999999E-2</v>
      </c>
    </row>
    <row r="18" spans="1:6" x14ac:dyDescent="0.3">
      <c r="A18" s="5">
        <v>5</v>
      </c>
      <c r="B18" s="5" t="s">
        <v>80</v>
      </c>
      <c r="C18" s="5" t="s">
        <v>786</v>
      </c>
      <c r="D18" s="5">
        <v>5247</v>
      </c>
      <c r="E18" s="5">
        <v>541</v>
      </c>
      <c r="F18" s="5">
        <v>0.1031</v>
      </c>
    </row>
    <row r="19" spans="1:6" x14ac:dyDescent="0.3">
      <c r="A19" s="5">
        <v>8</v>
      </c>
      <c r="B19" s="5" t="s">
        <v>82</v>
      </c>
      <c r="C19" s="5" t="s">
        <v>782</v>
      </c>
      <c r="D19" s="5">
        <v>3810</v>
      </c>
      <c r="E19" s="5">
        <v>280</v>
      </c>
      <c r="F19" s="5">
        <v>7.3499999999999996E-2</v>
      </c>
    </row>
    <row r="20" spans="1:6" x14ac:dyDescent="0.3">
      <c r="A20" s="5">
        <v>8</v>
      </c>
      <c r="B20" s="5" t="s">
        <v>82</v>
      </c>
      <c r="C20" s="5" t="s">
        <v>783</v>
      </c>
      <c r="D20" s="5">
        <v>3876</v>
      </c>
      <c r="E20" s="5">
        <v>289</v>
      </c>
      <c r="F20" s="5">
        <v>7.46E-2</v>
      </c>
    </row>
    <row r="21" spans="1:6" x14ac:dyDescent="0.3">
      <c r="A21" s="5">
        <v>8</v>
      </c>
      <c r="B21" s="5" t="s">
        <v>82</v>
      </c>
      <c r="C21" s="5" t="s">
        <v>784</v>
      </c>
      <c r="D21" s="5">
        <v>3783</v>
      </c>
      <c r="E21" s="5">
        <v>299</v>
      </c>
      <c r="F21" s="5">
        <v>7.9000000000000001E-2</v>
      </c>
    </row>
    <row r="22" spans="1:6" x14ac:dyDescent="0.3">
      <c r="A22" s="5">
        <v>8</v>
      </c>
      <c r="B22" s="5" t="s">
        <v>82</v>
      </c>
      <c r="C22" s="5" t="s">
        <v>785</v>
      </c>
      <c r="D22" s="5">
        <v>3777</v>
      </c>
      <c r="E22" s="5">
        <v>285</v>
      </c>
      <c r="F22" s="5">
        <v>7.5499999999999998E-2</v>
      </c>
    </row>
    <row r="23" spans="1:6" x14ac:dyDescent="0.3">
      <c r="A23" s="5">
        <v>8</v>
      </c>
      <c r="B23" s="5" t="s">
        <v>82</v>
      </c>
      <c r="C23" s="5" t="s">
        <v>786</v>
      </c>
      <c r="D23" s="5">
        <v>3768</v>
      </c>
      <c r="E23" s="5">
        <v>285</v>
      </c>
      <c r="F23" s="5">
        <v>7.5600000000000001E-2</v>
      </c>
    </row>
    <row r="24" spans="1:6" x14ac:dyDescent="0.3">
      <c r="A24" s="5">
        <v>11</v>
      </c>
      <c r="B24" s="5" t="s">
        <v>83</v>
      </c>
      <c r="C24" s="5" t="s">
        <v>782</v>
      </c>
      <c r="D24" s="5">
        <v>3060</v>
      </c>
      <c r="E24" s="5">
        <v>230</v>
      </c>
      <c r="F24" s="5">
        <v>7.5200000000000003E-2</v>
      </c>
    </row>
    <row r="25" spans="1:6" x14ac:dyDescent="0.3">
      <c r="A25" s="5">
        <v>11</v>
      </c>
      <c r="B25" s="5" t="s">
        <v>83</v>
      </c>
      <c r="C25" s="5" t="s">
        <v>783</v>
      </c>
      <c r="D25" s="5">
        <v>3067</v>
      </c>
      <c r="E25" s="5">
        <v>230</v>
      </c>
      <c r="F25" s="5">
        <v>7.4999999999999997E-2</v>
      </c>
    </row>
    <row r="26" spans="1:6" x14ac:dyDescent="0.3">
      <c r="A26" s="5">
        <v>11</v>
      </c>
      <c r="B26" s="5" t="s">
        <v>83</v>
      </c>
      <c r="C26" s="5" t="s">
        <v>784</v>
      </c>
      <c r="D26" s="5">
        <v>3087</v>
      </c>
      <c r="E26" s="5">
        <v>239</v>
      </c>
      <c r="F26" s="5">
        <v>7.7399999999999997E-2</v>
      </c>
    </row>
    <row r="27" spans="1:6" x14ac:dyDescent="0.3">
      <c r="A27" s="5">
        <v>11</v>
      </c>
      <c r="B27" s="5" t="s">
        <v>83</v>
      </c>
      <c r="C27" s="5" t="s">
        <v>785</v>
      </c>
      <c r="D27" s="5">
        <v>2967</v>
      </c>
      <c r="E27" s="5">
        <v>225</v>
      </c>
      <c r="F27" s="5">
        <v>7.5800000000000006E-2</v>
      </c>
    </row>
    <row r="28" spans="1:6" x14ac:dyDescent="0.3">
      <c r="A28" s="5">
        <v>11</v>
      </c>
      <c r="B28" s="5" t="s">
        <v>83</v>
      </c>
      <c r="C28" s="5" t="s">
        <v>786</v>
      </c>
      <c r="D28" s="5">
        <v>2982</v>
      </c>
      <c r="E28" s="5">
        <v>267</v>
      </c>
      <c r="F28" s="5">
        <v>8.9499999999999996E-2</v>
      </c>
    </row>
    <row r="29" spans="1:6" x14ac:dyDescent="0.3">
      <c r="A29" s="5">
        <v>3</v>
      </c>
      <c r="B29" s="5" t="s">
        <v>85</v>
      </c>
      <c r="C29" s="5" t="s">
        <v>782</v>
      </c>
      <c r="D29" s="5">
        <v>5576</v>
      </c>
      <c r="E29" s="5">
        <v>743</v>
      </c>
      <c r="F29" s="5">
        <v>0.13320000000000001</v>
      </c>
    </row>
    <row r="30" spans="1:6" x14ac:dyDescent="0.3">
      <c r="A30" s="5">
        <v>3</v>
      </c>
      <c r="B30" s="5" t="s">
        <v>85</v>
      </c>
      <c r="C30" s="5" t="s">
        <v>783</v>
      </c>
      <c r="D30" s="5">
        <v>5446</v>
      </c>
      <c r="E30" s="5">
        <v>722</v>
      </c>
      <c r="F30" s="5">
        <v>0.1326</v>
      </c>
    </row>
    <row r="31" spans="1:6" x14ac:dyDescent="0.3">
      <c r="A31" s="5">
        <v>3</v>
      </c>
      <c r="B31" s="5" t="s">
        <v>85</v>
      </c>
      <c r="C31" s="5" t="s">
        <v>784</v>
      </c>
      <c r="D31" s="5">
        <v>5345</v>
      </c>
      <c r="E31" s="5">
        <v>717</v>
      </c>
      <c r="F31" s="5">
        <v>0.1341</v>
      </c>
    </row>
    <row r="32" spans="1:6" x14ac:dyDescent="0.3">
      <c r="A32" s="5">
        <v>3</v>
      </c>
      <c r="B32" s="5" t="s">
        <v>85</v>
      </c>
      <c r="C32" s="5" t="s">
        <v>785</v>
      </c>
      <c r="D32" s="5">
        <v>5418</v>
      </c>
      <c r="E32" s="5">
        <v>687</v>
      </c>
      <c r="F32" s="5">
        <v>0.1268</v>
      </c>
    </row>
    <row r="33" spans="1:6" x14ac:dyDescent="0.3">
      <c r="A33" s="5">
        <v>3</v>
      </c>
      <c r="B33" s="5" t="s">
        <v>85</v>
      </c>
      <c r="C33" s="5" t="s">
        <v>786</v>
      </c>
      <c r="D33" s="5">
        <v>5310</v>
      </c>
      <c r="E33" s="5">
        <v>732</v>
      </c>
      <c r="F33" s="5">
        <v>0.13789999999999999</v>
      </c>
    </row>
    <row r="34" spans="1:6" x14ac:dyDescent="0.3">
      <c r="A34" s="5">
        <v>10</v>
      </c>
      <c r="B34" s="5" t="s">
        <v>86</v>
      </c>
      <c r="C34" s="5" t="s">
        <v>782</v>
      </c>
      <c r="D34" s="5">
        <v>2959</v>
      </c>
      <c r="E34" s="5">
        <v>195</v>
      </c>
      <c r="F34" s="5">
        <v>6.59E-2</v>
      </c>
    </row>
    <row r="35" spans="1:6" x14ac:dyDescent="0.3">
      <c r="A35" s="5">
        <v>10</v>
      </c>
      <c r="B35" s="5" t="s">
        <v>86</v>
      </c>
      <c r="C35" s="5" t="s">
        <v>783</v>
      </c>
      <c r="D35" s="5">
        <v>3001</v>
      </c>
      <c r="E35" s="5">
        <v>226</v>
      </c>
      <c r="F35" s="5">
        <v>7.5300000000000006E-2</v>
      </c>
    </row>
    <row r="36" spans="1:6" x14ac:dyDescent="0.3">
      <c r="A36" s="5">
        <v>10</v>
      </c>
      <c r="B36" s="5" t="s">
        <v>86</v>
      </c>
      <c r="C36" s="5" t="s">
        <v>784</v>
      </c>
      <c r="D36" s="5">
        <v>2996</v>
      </c>
      <c r="E36" s="5">
        <v>196</v>
      </c>
      <c r="F36" s="5">
        <v>6.54E-2</v>
      </c>
    </row>
    <row r="37" spans="1:6" x14ac:dyDescent="0.3">
      <c r="A37" s="5">
        <v>10</v>
      </c>
      <c r="B37" s="5" t="s">
        <v>86</v>
      </c>
      <c r="C37" s="5" t="s">
        <v>785</v>
      </c>
      <c r="D37" s="5">
        <v>2973</v>
      </c>
      <c r="E37" s="5">
        <v>205</v>
      </c>
      <c r="F37" s="5">
        <v>6.9000000000000006E-2</v>
      </c>
    </row>
    <row r="38" spans="1:6" x14ac:dyDescent="0.3">
      <c r="A38" s="5">
        <v>10</v>
      </c>
      <c r="B38" s="5" t="s">
        <v>86</v>
      </c>
      <c r="C38" s="5" t="s">
        <v>786</v>
      </c>
      <c r="D38" s="5">
        <v>3038</v>
      </c>
      <c r="E38" s="5">
        <v>236</v>
      </c>
      <c r="F38" s="5">
        <v>7.7700000000000005E-2</v>
      </c>
    </row>
    <row r="39" spans="1:6" x14ac:dyDescent="0.3">
      <c r="A39" s="5">
        <v>2</v>
      </c>
      <c r="B39" s="5" t="s">
        <v>88</v>
      </c>
      <c r="C39" s="5" t="s">
        <v>782</v>
      </c>
      <c r="D39" s="5">
        <v>6754</v>
      </c>
      <c r="E39" s="5">
        <v>626</v>
      </c>
      <c r="F39" s="5">
        <v>9.2700000000000005E-2</v>
      </c>
    </row>
    <row r="40" spans="1:6" x14ac:dyDescent="0.3">
      <c r="A40" s="5">
        <v>2</v>
      </c>
      <c r="B40" s="5" t="s">
        <v>88</v>
      </c>
      <c r="C40" s="5" t="s">
        <v>783</v>
      </c>
      <c r="D40" s="5">
        <v>6802</v>
      </c>
      <c r="E40" s="5">
        <v>606</v>
      </c>
      <c r="F40" s="5">
        <v>8.9099999999999999E-2</v>
      </c>
    </row>
    <row r="41" spans="1:6" x14ac:dyDescent="0.3">
      <c r="A41" s="5">
        <v>2</v>
      </c>
      <c r="B41" s="5" t="s">
        <v>88</v>
      </c>
      <c r="C41" s="5" t="s">
        <v>784</v>
      </c>
      <c r="D41" s="5">
        <v>6795</v>
      </c>
      <c r="E41" s="5">
        <v>579</v>
      </c>
      <c r="F41" s="5">
        <v>8.5199999999999998E-2</v>
      </c>
    </row>
    <row r="42" spans="1:6" x14ac:dyDescent="0.3">
      <c r="A42" s="5">
        <v>2</v>
      </c>
      <c r="B42" s="5" t="s">
        <v>88</v>
      </c>
      <c r="C42" s="5" t="s">
        <v>785</v>
      </c>
      <c r="D42" s="5">
        <v>6785</v>
      </c>
      <c r="E42" s="5">
        <v>644</v>
      </c>
      <c r="F42" s="5">
        <v>9.4899999999999998E-2</v>
      </c>
    </row>
    <row r="43" spans="1:6" x14ac:dyDescent="0.3">
      <c r="A43" s="5">
        <v>2</v>
      </c>
      <c r="B43" s="5" t="s">
        <v>88</v>
      </c>
      <c r="C43" s="5" t="s">
        <v>786</v>
      </c>
      <c r="D43" s="5">
        <v>6601</v>
      </c>
      <c r="E43" s="5">
        <v>620</v>
      </c>
      <c r="F43" s="5">
        <v>9.3899999999999997E-2</v>
      </c>
    </row>
    <row r="44" spans="1:6" x14ac:dyDescent="0.3">
      <c r="A44" s="5">
        <v>12</v>
      </c>
      <c r="B44" s="5" t="s">
        <v>89</v>
      </c>
      <c r="C44" s="5" t="s">
        <v>782</v>
      </c>
      <c r="D44" s="5">
        <v>4207</v>
      </c>
      <c r="E44" s="5">
        <v>447</v>
      </c>
      <c r="F44" s="5">
        <v>0.10630000000000001</v>
      </c>
    </row>
    <row r="45" spans="1:6" x14ac:dyDescent="0.3">
      <c r="A45" s="5">
        <v>12</v>
      </c>
      <c r="B45" s="5" t="s">
        <v>89</v>
      </c>
      <c r="C45" s="5" t="s">
        <v>783</v>
      </c>
      <c r="D45" s="5">
        <v>4076</v>
      </c>
      <c r="E45" s="5">
        <v>428</v>
      </c>
      <c r="F45" s="5">
        <v>0.105</v>
      </c>
    </row>
    <row r="46" spans="1:6" x14ac:dyDescent="0.3">
      <c r="A46" s="5">
        <v>12</v>
      </c>
      <c r="B46" s="5" t="s">
        <v>89</v>
      </c>
      <c r="C46" s="5" t="s">
        <v>784</v>
      </c>
      <c r="D46" s="5">
        <v>4064</v>
      </c>
      <c r="E46" s="5">
        <v>449</v>
      </c>
      <c r="F46" s="5">
        <v>0.1105</v>
      </c>
    </row>
    <row r="47" spans="1:6" x14ac:dyDescent="0.3">
      <c r="A47" s="5">
        <v>12</v>
      </c>
      <c r="B47" s="5" t="s">
        <v>89</v>
      </c>
      <c r="C47" s="5" t="s">
        <v>785</v>
      </c>
      <c r="D47" s="5">
        <v>4091</v>
      </c>
      <c r="E47" s="5">
        <v>427</v>
      </c>
      <c r="F47" s="5">
        <v>0.10440000000000001</v>
      </c>
    </row>
    <row r="48" spans="1:6" x14ac:dyDescent="0.3">
      <c r="A48" s="5">
        <v>12</v>
      </c>
      <c r="B48" s="5" t="s">
        <v>89</v>
      </c>
      <c r="C48" s="5" t="s">
        <v>786</v>
      </c>
      <c r="D48" s="5">
        <v>4334</v>
      </c>
      <c r="E48" s="5">
        <v>446</v>
      </c>
      <c r="F48" s="5">
        <v>0.10290000000000001</v>
      </c>
    </row>
    <row r="49" spans="1:6" x14ac:dyDescent="0.3">
      <c r="A49" s="5">
        <v>6</v>
      </c>
      <c r="B49" s="5" t="s">
        <v>90</v>
      </c>
      <c r="C49" s="5" t="s">
        <v>782</v>
      </c>
      <c r="D49" s="5">
        <v>5449</v>
      </c>
      <c r="E49" s="5">
        <v>522</v>
      </c>
      <c r="F49" s="5">
        <v>9.5799999999999996E-2</v>
      </c>
    </row>
    <row r="50" spans="1:6" x14ac:dyDescent="0.3">
      <c r="A50" s="5">
        <v>6</v>
      </c>
      <c r="B50" s="5" t="s">
        <v>90</v>
      </c>
      <c r="C50" s="5" t="s">
        <v>783</v>
      </c>
      <c r="D50" s="5">
        <v>5477</v>
      </c>
      <c r="E50" s="5">
        <v>510</v>
      </c>
      <c r="F50" s="5">
        <v>9.3100000000000002E-2</v>
      </c>
    </row>
    <row r="51" spans="1:6" x14ac:dyDescent="0.3">
      <c r="A51" s="5">
        <v>6</v>
      </c>
      <c r="B51" s="5" t="s">
        <v>90</v>
      </c>
      <c r="C51" s="5" t="s">
        <v>784</v>
      </c>
      <c r="D51" s="5">
        <v>5479</v>
      </c>
      <c r="E51" s="5">
        <v>445</v>
      </c>
      <c r="F51" s="5">
        <v>8.1199999999999994E-2</v>
      </c>
    </row>
    <row r="52" spans="1:6" x14ac:dyDescent="0.3">
      <c r="A52" s="5">
        <v>6</v>
      </c>
      <c r="B52" s="5" t="s">
        <v>90</v>
      </c>
      <c r="C52" s="5" t="s">
        <v>785</v>
      </c>
      <c r="D52" s="5">
        <v>5506</v>
      </c>
      <c r="E52" s="5">
        <v>490</v>
      </c>
      <c r="F52" s="5">
        <v>8.8999999999999996E-2</v>
      </c>
    </row>
    <row r="53" spans="1:6" x14ac:dyDescent="0.3">
      <c r="A53" s="5">
        <v>6</v>
      </c>
      <c r="B53" s="5" t="s">
        <v>90</v>
      </c>
      <c r="C53" s="5" t="s">
        <v>786</v>
      </c>
      <c r="D53" s="5">
        <v>5438</v>
      </c>
      <c r="E53" s="5">
        <v>488</v>
      </c>
      <c r="F53" s="5">
        <v>8.9700000000000002E-2</v>
      </c>
    </row>
    <row r="54" spans="1:6" x14ac:dyDescent="0.3">
      <c r="A54" s="5">
        <v>7</v>
      </c>
      <c r="B54" s="5" t="s">
        <v>91</v>
      </c>
      <c r="C54" s="5" t="s">
        <v>782</v>
      </c>
      <c r="D54" s="5">
        <v>2516</v>
      </c>
      <c r="E54" s="5">
        <v>197</v>
      </c>
      <c r="F54" s="5">
        <v>7.8299999999999995E-2</v>
      </c>
    </row>
    <row r="55" spans="1:6" x14ac:dyDescent="0.3">
      <c r="A55" s="5">
        <v>7</v>
      </c>
      <c r="B55" s="5" t="s">
        <v>91</v>
      </c>
      <c r="C55" s="5" t="s">
        <v>783</v>
      </c>
      <c r="D55" s="5">
        <v>2526</v>
      </c>
      <c r="E55" s="5">
        <v>194</v>
      </c>
      <c r="F55" s="5">
        <v>7.6799999999999993E-2</v>
      </c>
    </row>
    <row r="56" spans="1:6" x14ac:dyDescent="0.3">
      <c r="A56" s="5">
        <v>7</v>
      </c>
      <c r="B56" s="5" t="s">
        <v>91</v>
      </c>
      <c r="C56" s="5" t="s">
        <v>784</v>
      </c>
      <c r="D56" s="5">
        <v>2488</v>
      </c>
      <c r="E56" s="5">
        <v>209</v>
      </c>
      <c r="F56" s="5">
        <v>8.4000000000000005E-2</v>
      </c>
    </row>
    <row r="57" spans="1:6" x14ac:dyDescent="0.3">
      <c r="A57" s="5">
        <v>7</v>
      </c>
      <c r="B57" s="5" t="s">
        <v>91</v>
      </c>
      <c r="C57" s="5" t="s">
        <v>785</v>
      </c>
      <c r="D57" s="5">
        <v>2537</v>
      </c>
      <c r="E57" s="5">
        <v>169</v>
      </c>
      <c r="F57" s="5">
        <v>6.6600000000000006E-2</v>
      </c>
    </row>
    <row r="58" spans="1:6" x14ac:dyDescent="0.3">
      <c r="A58" s="5">
        <v>7</v>
      </c>
      <c r="B58" s="5" t="s">
        <v>91</v>
      </c>
      <c r="C58" s="5" t="s">
        <v>786</v>
      </c>
      <c r="D58" s="5">
        <v>2553</v>
      </c>
      <c r="E58" s="5">
        <v>193</v>
      </c>
      <c r="F58" s="5">
        <v>7.5600000000000001E-2</v>
      </c>
    </row>
    <row r="59" spans="1:6" x14ac:dyDescent="0.3">
      <c r="A59" s="5">
        <v>9</v>
      </c>
      <c r="B59" s="5" t="s">
        <v>92</v>
      </c>
      <c r="C59" s="5" t="s">
        <v>782</v>
      </c>
      <c r="D59" s="5">
        <v>8003</v>
      </c>
      <c r="E59" s="5">
        <v>708</v>
      </c>
      <c r="F59" s="5">
        <v>8.8499999999999995E-2</v>
      </c>
    </row>
    <row r="60" spans="1:6" x14ac:dyDescent="0.3">
      <c r="A60" s="5">
        <v>9</v>
      </c>
      <c r="B60" s="5" t="s">
        <v>92</v>
      </c>
      <c r="C60" s="5" t="s">
        <v>783</v>
      </c>
      <c r="D60" s="5">
        <v>7922</v>
      </c>
      <c r="E60" s="5">
        <v>715</v>
      </c>
      <c r="F60" s="5">
        <v>9.0300000000000005E-2</v>
      </c>
    </row>
    <row r="61" spans="1:6" x14ac:dyDescent="0.3">
      <c r="A61" s="5">
        <v>9</v>
      </c>
      <c r="B61" s="5" t="s">
        <v>92</v>
      </c>
      <c r="C61" s="5" t="s">
        <v>784</v>
      </c>
      <c r="D61" s="5">
        <v>7854</v>
      </c>
      <c r="E61" s="5">
        <v>702</v>
      </c>
      <c r="F61" s="5">
        <v>8.9399999999999993E-2</v>
      </c>
    </row>
    <row r="62" spans="1:6" x14ac:dyDescent="0.3">
      <c r="A62" s="5">
        <v>9</v>
      </c>
      <c r="B62" s="5" t="s">
        <v>92</v>
      </c>
      <c r="C62" s="5" t="s">
        <v>785</v>
      </c>
      <c r="D62" s="5">
        <v>8064</v>
      </c>
      <c r="E62" s="5">
        <v>737</v>
      </c>
      <c r="F62" s="5">
        <v>9.1399999999999995E-2</v>
      </c>
    </row>
    <row r="63" spans="1:6" x14ac:dyDescent="0.3">
      <c r="A63" s="5">
        <v>9</v>
      </c>
      <c r="B63" s="5" t="s">
        <v>92</v>
      </c>
      <c r="C63" s="5" t="s">
        <v>786</v>
      </c>
      <c r="D63" s="5">
        <v>8038</v>
      </c>
      <c r="E63" s="5">
        <v>743</v>
      </c>
      <c r="F63" s="5">
        <v>9.2399999999999996E-2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E26"/>
  <sheetViews>
    <sheetView showGridLines="0" workbookViewId="0"/>
  </sheetViews>
  <sheetFormatPr defaultRowHeight="14.4" x14ac:dyDescent="0.3"/>
  <cols>
    <col min="1" max="1" width="30" customWidth="1"/>
    <col min="2" max="7" width="16" customWidth="1"/>
  </cols>
  <sheetData>
    <row r="1" spans="1:5" ht="16.8" x14ac:dyDescent="0.3">
      <c r="A1" s="10" t="s">
        <v>787</v>
      </c>
    </row>
    <row r="2" spans="1:5" x14ac:dyDescent="0.3">
      <c r="A2" s="5" t="s">
        <v>788</v>
      </c>
    </row>
    <row r="4" spans="1:5" x14ac:dyDescent="0.3">
      <c r="A4" s="11" t="s">
        <v>789</v>
      </c>
    </row>
    <row r="5" spans="1:5" x14ac:dyDescent="0.3">
      <c r="A5" s="5" t="s">
        <v>790</v>
      </c>
      <c r="B5" s="12">
        <f>SUM(tblModelOverallMonth[revenue])</f>
        <v>18879364487</v>
      </c>
    </row>
    <row r="6" spans="1:5" x14ac:dyDescent="0.3">
      <c r="A6" s="5" t="s">
        <v>791</v>
      </c>
      <c r="B6" s="12">
        <f>SUM(tblModelOverallMonth[cost])</f>
        <v>16237585841.360004</v>
      </c>
    </row>
    <row r="7" spans="1:5" x14ac:dyDescent="0.3">
      <c r="A7" s="5" t="s">
        <v>792</v>
      </c>
      <c r="B7" s="12">
        <f>B5-B6</f>
        <v>2641778645.6399956</v>
      </c>
    </row>
    <row r="8" spans="1:5" x14ac:dyDescent="0.3">
      <c r="A8" s="5" t="s">
        <v>793</v>
      </c>
      <c r="B8" s="13">
        <f>B7/B5</f>
        <v>0.13992942651534049</v>
      </c>
    </row>
    <row r="9" spans="1:5" x14ac:dyDescent="0.3">
      <c r="A9" s="5" t="s">
        <v>794</v>
      </c>
      <c r="B9" s="13">
        <f>STDEV(tblModelOverallMonth[margin_pct])</f>
        <v>2.6464572783036849E-2</v>
      </c>
    </row>
    <row r="10" spans="1:5" x14ac:dyDescent="0.3">
      <c r="A10" s="5" t="s">
        <v>795</v>
      </c>
      <c r="B10" s="13">
        <f>MAX(tblModelOverallMonth[margin_pct])</f>
        <v>0.19900000000000001</v>
      </c>
    </row>
    <row r="11" spans="1:5" x14ac:dyDescent="0.3">
      <c r="A11" s="5" t="s">
        <v>796</v>
      </c>
      <c r="B11" s="13">
        <f>MIN(tblModelOverallMonth[margin_pct])</f>
        <v>5.8999999999999997E-2</v>
      </c>
    </row>
    <row r="12" spans="1:5" x14ac:dyDescent="0.3">
      <c r="A12" s="5" t="s">
        <v>797</v>
      </c>
      <c r="B12" s="13">
        <f>B10-B11</f>
        <v>0.14000000000000001</v>
      </c>
    </row>
    <row r="14" spans="1:5" x14ac:dyDescent="0.3">
      <c r="A14" s="11" t="s">
        <v>798</v>
      </c>
    </row>
    <row r="15" spans="1:5" x14ac:dyDescent="0.3">
      <c r="A15" s="14" t="s">
        <v>799</v>
      </c>
      <c r="B15" s="14" t="s">
        <v>800</v>
      </c>
      <c r="C15" s="14" t="s">
        <v>801</v>
      </c>
      <c r="D15" s="14" t="s">
        <v>802</v>
      </c>
      <c r="E15" s="14" t="s">
        <v>803</v>
      </c>
    </row>
    <row r="16" spans="1:5" x14ac:dyDescent="0.3">
      <c r="A16">
        <v>2021</v>
      </c>
      <c r="B16" s="12">
        <f>SUMIFS(tblModelOverallMonth[revenue],tblModelOverallMonth[year],A16)</f>
        <v>3032246133</v>
      </c>
      <c r="C16" s="12">
        <f>SUMIFS(tblModelOverallMonth[cost],tblModelOverallMonth[year],A16)</f>
        <v>2604953316.8599997</v>
      </c>
      <c r="D16" s="12">
        <f>B16-C16</f>
        <v>427292816.14000034</v>
      </c>
      <c r="E16" s="13">
        <f>D16/B16</f>
        <v>0.14091627044709973</v>
      </c>
    </row>
    <row r="17" spans="1:5" x14ac:dyDescent="0.3">
      <c r="A17">
        <v>2022</v>
      </c>
      <c r="B17" s="12">
        <f>SUMIFS(tblModelOverallMonth[revenue],tblModelOverallMonth[year],A17)</f>
        <v>4288277586</v>
      </c>
      <c r="C17" s="12">
        <f>SUMIFS(tblModelOverallMonth[cost],tblModelOverallMonth[year],A17)</f>
        <v>3715117940.4500003</v>
      </c>
      <c r="D17" s="12">
        <f>B17-C17</f>
        <v>573159645.54999971</v>
      </c>
      <c r="E17" s="13">
        <f>D17/B17</f>
        <v>0.13365730973694476</v>
      </c>
    </row>
    <row r="18" spans="1:5" x14ac:dyDescent="0.3">
      <c r="A18">
        <v>2023</v>
      </c>
      <c r="B18" s="12">
        <f>SUMIFS(tblModelOverallMonth[revenue],tblModelOverallMonth[year],A18)</f>
        <v>5394885335</v>
      </c>
      <c r="C18" s="12">
        <f>SUMIFS(tblModelOverallMonth[cost],tblModelOverallMonth[year],A18)</f>
        <v>4734770492.21</v>
      </c>
      <c r="D18" s="12">
        <f>B18-C18</f>
        <v>660114842.78999996</v>
      </c>
      <c r="E18" s="13">
        <f>D18/B18</f>
        <v>0.12235938334174065</v>
      </c>
    </row>
    <row r="19" spans="1:5" x14ac:dyDescent="0.3">
      <c r="A19">
        <v>2024</v>
      </c>
      <c r="B19" s="12">
        <f>SUMIFS(tblModelOverallMonth[revenue],tblModelOverallMonth[year],A19)</f>
        <v>6163955433</v>
      </c>
      <c r="C19" s="12">
        <f>SUMIFS(tblModelOverallMonth[cost],tblModelOverallMonth[year],A19)</f>
        <v>5182744091.8399992</v>
      </c>
      <c r="D19" s="12">
        <f>B19-C19</f>
        <v>981211341.1600008</v>
      </c>
      <c r="E19" s="13">
        <f>D19/B19</f>
        <v>0.15918533996967021</v>
      </c>
    </row>
    <row r="22" spans="1:5" x14ac:dyDescent="0.3">
      <c r="A22" s="11" t="s">
        <v>804</v>
      </c>
    </row>
    <row r="23" spans="1:5" x14ac:dyDescent="0.3">
      <c r="A23" s="14" t="s">
        <v>805</v>
      </c>
      <c r="B23" s="14" t="s">
        <v>800</v>
      </c>
      <c r="C23" s="14" t="s">
        <v>803</v>
      </c>
    </row>
    <row r="24" spans="1:5" x14ac:dyDescent="0.3">
      <c r="A24" s="5" t="s">
        <v>806</v>
      </c>
      <c r="B24" s="12">
        <f>SUMIFS(tblModelOverallMonth[revenue],tblModelOverallMonth[year],2024,tblModelOverallMonth[month],"&gt;=1",tblModelOverallMonth[month],"&lt;=6")</f>
        <v>2629402466</v>
      </c>
      <c r="C24" s="13">
        <f>SUMIFS(tblModelOverallMonth[margin],tblModelOverallMonth[year],2024,tblModelOverallMonth[month],"&gt;=1",tblModelOverallMonth[month],"&lt;=6")/B24</f>
        <v>0.13710958039772372</v>
      </c>
    </row>
    <row r="25" spans="1:5" x14ac:dyDescent="0.3">
      <c r="A25" s="5" t="s">
        <v>807</v>
      </c>
      <c r="B25" s="12">
        <f>SUMIFS(tblModelOverallMonth[revenue],tblModelOverallMonth[year],2024,tblModelOverallMonth[month],"&gt;=7",tblModelOverallMonth[month],"&lt;=12")</f>
        <v>3534552967</v>
      </c>
      <c r="C25" s="13">
        <f>SUMIFS(tblModelOverallMonth[margin],tblModelOverallMonth[year],2024,tblModelOverallMonth[month],"&gt;=7",tblModelOverallMonth[month],"&lt;=12")/B25</f>
        <v>0.17560780051821473</v>
      </c>
    </row>
    <row r="26" spans="1:5" x14ac:dyDescent="0.3">
      <c r="A26" s="11" t="s">
        <v>808</v>
      </c>
      <c r="C26" s="13">
        <f>C25-C24</f>
        <v>3.8498220120491006E-2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F16"/>
  <sheetViews>
    <sheetView showGridLines="0" workbookViewId="0"/>
  </sheetViews>
  <sheetFormatPr defaultRowHeight="14.4" x14ac:dyDescent="0.3"/>
  <cols>
    <col min="1" max="1" width="20" customWidth="1"/>
    <col min="2" max="7" width="16" customWidth="1"/>
  </cols>
  <sheetData>
    <row r="1" spans="1:6" ht="16.8" x14ac:dyDescent="0.3">
      <c r="A1" s="10" t="s">
        <v>809</v>
      </c>
    </row>
    <row r="3" spans="1:6" x14ac:dyDescent="0.3">
      <c r="A3" s="11" t="s">
        <v>810</v>
      </c>
    </row>
    <row r="4" spans="1:6" x14ac:dyDescent="0.3">
      <c r="A4" s="14" t="s">
        <v>811</v>
      </c>
      <c r="B4" s="14" t="s">
        <v>812</v>
      </c>
      <c r="C4" s="14" t="s">
        <v>813</v>
      </c>
      <c r="D4" s="14" t="s">
        <v>814</v>
      </c>
      <c r="E4" s="14" t="s">
        <v>815</v>
      </c>
      <c r="F4" s="14" t="s">
        <v>816</v>
      </c>
    </row>
    <row r="5" spans="1:6" x14ac:dyDescent="0.3">
      <c r="A5" t="s">
        <v>76</v>
      </c>
      <c r="B5" t="s">
        <v>77</v>
      </c>
      <c r="C5" s="12">
        <f>SUMIFS(tblModelRegionMonth[revenue],tblModelRegionMonth[region_name],A5,tblModelRegionMonth[year],2024)</f>
        <v>427064177</v>
      </c>
      <c r="D5" s="12">
        <f>SUMIFS(tblModelRegionMonth[target_amount],tblModelRegionMonth[region_name],A5,tblModelRegionMonth[year],2024)</f>
        <v>372579000</v>
      </c>
      <c r="E5" s="13">
        <f t="shared" ref="E5:E16" si="0">C5/D5</f>
        <v>1.1462379173276003</v>
      </c>
      <c r="F5" t="str">
        <f t="shared" ref="F5:F16" si="1">IF(E5&gt;=1,"On/Above Target","Below Target")</f>
        <v>On/Above Target</v>
      </c>
    </row>
    <row r="6" spans="1:6" x14ac:dyDescent="0.3">
      <c r="A6" t="s">
        <v>78</v>
      </c>
      <c r="B6" t="s">
        <v>79</v>
      </c>
      <c r="C6" s="12">
        <f>SUMIFS(tblModelRegionMonth[revenue],tblModelRegionMonth[region_name],A6,tblModelRegionMonth[year],2024)</f>
        <v>450052766</v>
      </c>
      <c r="D6" s="12">
        <f>SUMIFS(tblModelRegionMonth[target_amount],tblModelRegionMonth[region_name],A6,tblModelRegionMonth[year],2024)</f>
        <v>415613000</v>
      </c>
      <c r="E6" s="13">
        <f t="shared" si="0"/>
        <v>1.0828649873800869</v>
      </c>
      <c r="F6" t="str">
        <f t="shared" si="1"/>
        <v>On/Above Target</v>
      </c>
    </row>
    <row r="7" spans="1:6" x14ac:dyDescent="0.3">
      <c r="A7" t="s">
        <v>80</v>
      </c>
      <c r="B7" t="s">
        <v>81</v>
      </c>
      <c r="C7" s="12">
        <f>SUMIFS(tblModelRegionMonth[revenue],tblModelRegionMonth[region_name],A7,tblModelRegionMonth[year],2024)</f>
        <v>591917328</v>
      </c>
      <c r="D7" s="12">
        <f>SUMIFS(tblModelRegionMonth[target_amount],tblModelRegionMonth[region_name],A7,tblModelRegionMonth[year],2024)</f>
        <v>544739000</v>
      </c>
      <c r="E7" s="13">
        <f t="shared" si="0"/>
        <v>1.0866072155656195</v>
      </c>
      <c r="F7" t="str">
        <f t="shared" si="1"/>
        <v>On/Above Target</v>
      </c>
    </row>
    <row r="8" spans="1:6" x14ac:dyDescent="0.3">
      <c r="A8" t="s">
        <v>82</v>
      </c>
      <c r="B8" t="s">
        <v>81</v>
      </c>
      <c r="C8" s="12">
        <f>SUMIFS(tblModelRegionMonth[revenue],tblModelRegionMonth[region_name],A8,tblModelRegionMonth[year],2024)</f>
        <v>427842945</v>
      </c>
      <c r="D8" s="12">
        <f>SUMIFS(tblModelRegionMonth[target_amount],tblModelRegionMonth[region_name],A8,tblModelRegionMonth[year],2024)</f>
        <v>338539000</v>
      </c>
      <c r="E8" s="13">
        <f t="shared" si="0"/>
        <v>1.2637921923323459</v>
      </c>
      <c r="F8" t="str">
        <f t="shared" si="1"/>
        <v>On/Above Target</v>
      </c>
    </row>
    <row r="9" spans="1:6" x14ac:dyDescent="0.3">
      <c r="A9" t="s">
        <v>83</v>
      </c>
      <c r="B9" t="s">
        <v>84</v>
      </c>
      <c r="C9" s="12">
        <f>SUMIFS(tblModelRegionMonth[revenue],tblModelRegionMonth[region_name],A9,tblModelRegionMonth[year],2024)</f>
        <v>334767166</v>
      </c>
      <c r="D9" s="12">
        <f>SUMIFS(tblModelRegionMonth[target_amount],tblModelRegionMonth[region_name],A9,tblModelRegionMonth[year],2024)</f>
        <v>270092000</v>
      </c>
      <c r="E9" s="13">
        <f t="shared" si="0"/>
        <v>1.2394560594167914</v>
      </c>
      <c r="F9" t="str">
        <f t="shared" si="1"/>
        <v>On/Above Target</v>
      </c>
    </row>
    <row r="10" spans="1:6" x14ac:dyDescent="0.3">
      <c r="A10" t="s">
        <v>85</v>
      </c>
      <c r="B10" t="s">
        <v>79</v>
      </c>
      <c r="C10" s="12">
        <f>SUMIFS(tblModelRegionMonth[revenue],tblModelRegionMonth[region_name],A10,tblModelRegionMonth[year],2024)</f>
        <v>606425965</v>
      </c>
      <c r="D10" s="12">
        <f>SUMIFS(tblModelRegionMonth[target_amount],tblModelRegionMonth[region_name],A10,tblModelRegionMonth[year],2024)</f>
        <v>554212000</v>
      </c>
      <c r="E10" s="13">
        <f t="shared" si="0"/>
        <v>1.0942129816748825</v>
      </c>
      <c r="F10" t="str">
        <f t="shared" si="1"/>
        <v>On/Above Target</v>
      </c>
    </row>
    <row r="11" spans="1:6" x14ac:dyDescent="0.3">
      <c r="A11" t="s">
        <v>86</v>
      </c>
      <c r="B11" t="s">
        <v>87</v>
      </c>
      <c r="C11" s="12">
        <f>SUMIFS(tblModelRegionMonth[revenue],tblModelRegionMonth[region_name],A11,tblModelRegionMonth[year],2024)</f>
        <v>333544565</v>
      </c>
      <c r="D11" s="12">
        <f>SUMIFS(tblModelRegionMonth[target_amount],tblModelRegionMonth[region_name],A11,tblModelRegionMonth[year],2024)</f>
        <v>341602000</v>
      </c>
      <c r="E11" s="13">
        <f t="shared" si="0"/>
        <v>0.97641279910539169</v>
      </c>
      <c r="F11" t="str">
        <f t="shared" si="1"/>
        <v>Below Target</v>
      </c>
    </row>
    <row r="12" spans="1:6" x14ac:dyDescent="0.3">
      <c r="A12" t="s">
        <v>88</v>
      </c>
      <c r="B12" t="s">
        <v>77</v>
      </c>
      <c r="C12" s="12">
        <f>SUMIFS(tblModelRegionMonth[revenue],tblModelRegionMonth[region_name],A12,tblModelRegionMonth[year],2024)</f>
        <v>743332896</v>
      </c>
      <c r="D12" s="12">
        <f>SUMIFS(tblModelRegionMonth[target_amount],tblModelRegionMonth[region_name],A12,tblModelRegionMonth[year],2024)</f>
        <v>693045000</v>
      </c>
      <c r="E12" s="13">
        <f t="shared" si="0"/>
        <v>1.0725607947535873</v>
      </c>
      <c r="F12" t="str">
        <f t="shared" si="1"/>
        <v>On/Above Target</v>
      </c>
    </row>
    <row r="13" spans="1:6" x14ac:dyDescent="0.3">
      <c r="A13" t="s">
        <v>89</v>
      </c>
      <c r="B13" t="s">
        <v>77</v>
      </c>
      <c r="C13" s="12">
        <f>SUMIFS(tblModelRegionMonth[revenue],tblModelRegionMonth[region_name],A13,tblModelRegionMonth[year],2024)</f>
        <v>459325321</v>
      </c>
      <c r="D13" s="12">
        <f>SUMIFS(tblModelRegionMonth[target_amount],tblModelRegionMonth[region_name],A13,tblModelRegionMonth[year],2024)</f>
        <v>391442000</v>
      </c>
      <c r="E13" s="13">
        <f t="shared" si="0"/>
        <v>1.1734185933037333</v>
      </c>
      <c r="F13" t="str">
        <f t="shared" si="1"/>
        <v>On/Above Target</v>
      </c>
    </row>
    <row r="14" spans="1:6" x14ac:dyDescent="0.3">
      <c r="A14" t="s">
        <v>90</v>
      </c>
      <c r="B14" t="s">
        <v>81</v>
      </c>
      <c r="C14" s="12">
        <f>SUMIFS(tblModelRegionMonth[revenue],tblModelRegionMonth[region_name],A14,tblModelRegionMonth[year],2024)</f>
        <v>614337984</v>
      </c>
      <c r="D14" s="12">
        <f>SUMIFS(tblModelRegionMonth[target_amount],tblModelRegionMonth[region_name],A14,tblModelRegionMonth[year],2024)</f>
        <v>617125000</v>
      </c>
      <c r="E14" s="13">
        <f t="shared" si="0"/>
        <v>0.99548387117682802</v>
      </c>
      <c r="F14" t="str">
        <f t="shared" si="1"/>
        <v>Below Target</v>
      </c>
    </row>
    <row r="15" spans="1:6" x14ac:dyDescent="0.3">
      <c r="A15" t="s">
        <v>91</v>
      </c>
      <c r="B15" t="s">
        <v>81</v>
      </c>
      <c r="C15" s="12">
        <f>SUMIFS(tblModelRegionMonth[revenue],tblModelRegionMonth[region_name],A15,tblModelRegionMonth[year],2024)</f>
        <v>275671560</v>
      </c>
      <c r="D15" s="12">
        <f>SUMIFS(tblModelRegionMonth[target_amount],tblModelRegionMonth[region_name],A15,tblModelRegionMonth[year],2024)</f>
        <v>284519000</v>
      </c>
      <c r="E15" s="13">
        <f t="shared" si="0"/>
        <v>0.96890386933737294</v>
      </c>
      <c r="F15" t="str">
        <f t="shared" si="1"/>
        <v>Below Target</v>
      </c>
    </row>
    <row r="16" spans="1:6" x14ac:dyDescent="0.3">
      <c r="A16" t="s">
        <v>92</v>
      </c>
      <c r="B16" t="s">
        <v>87</v>
      </c>
      <c r="C16" s="12">
        <f>SUMIFS(tblModelRegionMonth[revenue],tblModelRegionMonth[region_name],A16,tblModelRegionMonth[year],2024)</f>
        <v>899672760</v>
      </c>
      <c r="D16" s="12">
        <f>SUMIFS(tblModelRegionMonth[target_amount],tblModelRegionMonth[region_name],A16,tblModelRegionMonth[year],2024)</f>
        <v>763106000</v>
      </c>
      <c r="E16" s="13">
        <f t="shared" si="0"/>
        <v>1.1789617169829618</v>
      </c>
      <c r="F16" t="str">
        <f t="shared" si="1"/>
        <v>On/Above Target</v>
      </c>
    </row>
  </sheetData>
  <conditionalFormatting sqref="F5:F16">
    <cfRule type="cellIs" dxfId="9" priority="1" operator="equal">
      <formula>"Below Target"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I24"/>
  <sheetViews>
    <sheetView showGridLines="0" workbookViewId="0"/>
  </sheetViews>
  <sheetFormatPr defaultRowHeight="14.4" x14ac:dyDescent="0.3"/>
  <cols>
    <col min="1" max="1" width="22" customWidth="1"/>
    <col min="2" max="9" width="15" customWidth="1"/>
  </cols>
  <sheetData>
    <row r="1" spans="1:9" ht="16.8" x14ac:dyDescent="0.3">
      <c r="A1" s="10" t="s">
        <v>817</v>
      </c>
      <c r="H1" t="s">
        <v>818</v>
      </c>
      <c r="I1">
        <f>AVERAGE(tblModelCategory[margin_pct])</f>
        <v>0.23779000000000003</v>
      </c>
    </row>
    <row r="2" spans="1:9" x14ac:dyDescent="0.3">
      <c r="A2" s="5" t="s">
        <v>819</v>
      </c>
      <c r="H2" t="s">
        <v>820</v>
      </c>
      <c r="I2">
        <f>MEDIAN(C5:C24)</f>
        <v>1.2622714957598032E-2</v>
      </c>
    </row>
    <row r="4" spans="1:9" ht="26.4" x14ac:dyDescent="0.3">
      <c r="A4" s="14" t="s">
        <v>821</v>
      </c>
      <c r="B4" s="14" t="s">
        <v>800</v>
      </c>
      <c r="C4" s="14" t="s">
        <v>822</v>
      </c>
      <c r="D4" s="14" t="s">
        <v>803</v>
      </c>
      <c r="E4" s="14" t="s">
        <v>823</v>
      </c>
      <c r="F4" s="14" t="s">
        <v>824</v>
      </c>
      <c r="G4" s="14" t="s">
        <v>825</v>
      </c>
    </row>
    <row r="5" spans="1:9" x14ac:dyDescent="0.3">
      <c r="A5" t="str">
        <f>INDEX(tblModelCategory[category_name],1)</f>
        <v>Refrigerators</v>
      </c>
      <c r="B5" s="12">
        <f>INDEX(tblModelCategory[revenue],1)</f>
        <v>4382590644</v>
      </c>
      <c r="C5" s="13">
        <f>B5/SUM(tblModelCategory[revenue])</f>
        <v>0.23213655560375326</v>
      </c>
      <c r="D5" s="13">
        <f>INDEX(tblModelCategory[margin_pct],1)</f>
        <v>0.1217</v>
      </c>
      <c r="E5" s="13">
        <f>INDEX(tblModelCategory[discount_leak_pct],1)</f>
        <v>9.8500000000000004E-2</v>
      </c>
      <c r="F5" s="13">
        <f>INDEX(tblModelCategory[return_rate],1)</f>
        <v>3.5499999999999997E-2</v>
      </c>
      <c r="G5" t="str">
        <f t="shared" ref="G5:G24" si="0">IF(AND(C5&gt;$I$2,D5&lt;$I$1),"High Revenue / Low Margin - review discount &amp; returns",IF(AND(C5&gt;$I$2,D5&gt;=$I$1),"High Revenue / Healthy Margin",IF(AND(C5&lt;=$I$2,D5&lt;$I$1),"Low Revenue / Low Margin - low priority","Low Revenue / Healthy Margin")))</f>
        <v>High Revenue / Low Margin - review discount &amp; returns</v>
      </c>
    </row>
    <row r="6" spans="1:9" x14ac:dyDescent="0.3">
      <c r="A6" t="str">
        <f>INDEX(tblModelCategory[category_name],2)</f>
        <v>Laptops &amp; Computers</v>
      </c>
      <c r="B6" s="12">
        <f>INDEX(tblModelCategory[revenue],2)</f>
        <v>2977044772</v>
      </c>
      <c r="C6" s="13">
        <f>B6/SUM(tblModelCategory[revenue])</f>
        <v>0.15768776401610027</v>
      </c>
      <c r="D6" s="13">
        <f>INDEX(tblModelCategory[margin_pct],2)</f>
        <v>5.7200000000000001E-2</v>
      </c>
      <c r="E6" s="13">
        <f>INDEX(tblModelCategory[discount_leak_pct],2)</f>
        <v>9.9400000000000002E-2</v>
      </c>
      <c r="F6" s="13">
        <f>INDEX(tblModelCategory[return_rate],2)</f>
        <v>4.65E-2</v>
      </c>
      <c r="G6" t="str">
        <f t="shared" si="0"/>
        <v>High Revenue / Low Margin - review discount &amp; returns</v>
      </c>
    </row>
    <row r="7" spans="1:9" x14ac:dyDescent="0.3">
      <c r="A7" t="str">
        <f>INDEX(tblModelCategory[category_name],3)</f>
        <v>Televisions</v>
      </c>
      <c r="B7" s="12">
        <f>INDEX(tblModelCategory[revenue],3)</f>
        <v>2296118310</v>
      </c>
      <c r="C7" s="13">
        <f>B7/SUM(tblModelCategory[revenue])</f>
        <v>0.12162052973663742</v>
      </c>
      <c r="D7" s="13">
        <f>INDEX(tblModelCategory[margin_pct],3)</f>
        <v>0.1195</v>
      </c>
      <c r="E7" s="13">
        <f>INDEX(tblModelCategory[discount_leak_pct],3)</f>
        <v>9.8599999999999993E-2</v>
      </c>
      <c r="F7" s="13">
        <f>INDEX(tblModelCategory[return_rate],3)</f>
        <v>4.1399999999999999E-2</v>
      </c>
      <c r="G7" t="str">
        <f t="shared" si="0"/>
        <v>High Revenue / Low Margin - review discount &amp; returns</v>
      </c>
    </row>
    <row r="8" spans="1:9" x14ac:dyDescent="0.3">
      <c r="A8" t="str">
        <f>INDEX(tblModelCategory[category_name],4)</f>
        <v>Furniture</v>
      </c>
      <c r="B8" s="12">
        <f>INDEX(tblModelCategory[revenue],4)</f>
        <v>1907350207</v>
      </c>
      <c r="C8" s="13">
        <f>B8/SUM(tblModelCategory[revenue])</f>
        <v>0.10102830570983297</v>
      </c>
      <c r="D8" s="13">
        <f>INDEX(tblModelCategory[margin_pct],4)</f>
        <v>0.1605</v>
      </c>
      <c r="E8" s="13">
        <f>INDEX(tblModelCategory[discount_leak_pct],4)</f>
        <v>9.9299999999999999E-2</v>
      </c>
      <c r="F8" s="13">
        <f>INDEX(tblModelCategory[return_rate],4)</f>
        <v>3.1300000000000001E-2</v>
      </c>
      <c r="G8" t="str">
        <f t="shared" si="0"/>
        <v>High Revenue / Low Margin - review discount &amp; returns</v>
      </c>
    </row>
    <row r="9" spans="1:9" x14ac:dyDescent="0.3">
      <c r="A9" t="str">
        <f>INDEX(tblModelCategory[category_name],5)</f>
        <v>Mobiles &amp; Accessories</v>
      </c>
      <c r="B9" s="12">
        <f>INDEX(tblModelCategory[revenue],5)</f>
        <v>1718375549</v>
      </c>
      <c r="C9" s="13">
        <f>B9/SUM(tblModelCategory[revenue])</f>
        <v>9.101871782724695E-2</v>
      </c>
      <c r="D9" s="13">
        <f>INDEX(tblModelCategory[margin_pct],5)</f>
        <v>0.1198</v>
      </c>
      <c r="E9" s="13">
        <f>INDEX(tblModelCategory[discount_leak_pct],5)</f>
        <v>9.8299999999999998E-2</v>
      </c>
      <c r="F9" s="13">
        <f>INDEX(tblModelCategory[return_rate],5)</f>
        <v>4.3499999999999997E-2</v>
      </c>
      <c r="G9" t="str">
        <f t="shared" si="0"/>
        <v>High Revenue / Low Margin - review discount &amp; returns</v>
      </c>
    </row>
    <row r="10" spans="1:9" x14ac:dyDescent="0.3">
      <c r="A10" t="str">
        <f>INDEX(tblModelCategory[category_name],6)</f>
        <v>Air Conditioners &amp; Coolers</v>
      </c>
      <c r="B10" s="12">
        <f>INDEX(tblModelCategory[revenue],6)</f>
        <v>1462422495</v>
      </c>
      <c r="C10" s="13">
        <f>B10/SUM(tblModelCategory[revenue])</f>
        <v>7.7461425992755129E-2</v>
      </c>
      <c r="D10" s="13">
        <f>INDEX(tblModelCategory[margin_pct],6)</f>
        <v>0.1046</v>
      </c>
      <c r="E10" s="13">
        <f>INDEX(tblModelCategory[discount_leak_pct],6)</f>
        <v>9.9900000000000003E-2</v>
      </c>
      <c r="F10" s="13">
        <f>INDEX(tblModelCategory[return_rate],6)</f>
        <v>3.5999999999999997E-2</v>
      </c>
      <c r="G10" t="str">
        <f t="shared" si="0"/>
        <v>High Revenue / Low Margin - review discount &amp; returns</v>
      </c>
    </row>
    <row r="11" spans="1:9" x14ac:dyDescent="0.3">
      <c r="A11" t="str">
        <f>INDEX(tblModelCategory[category_name],7)</f>
        <v>Washing Machines</v>
      </c>
      <c r="B11" s="12">
        <f>INDEX(tblModelCategory[revenue],7)</f>
        <v>1242288851</v>
      </c>
      <c r="C11" s="13">
        <f>B11/SUM(tblModelCategory[revenue])</f>
        <v>6.5801412534591319E-2</v>
      </c>
      <c r="D11" s="13">
        <f>INDEX(tblModelCategory[margin_pct],7)</f>
        <v>0.11559999999999999</v>
      </c>
      <c r="E11" s="13">
        <f>INDEX(tblModelCategory[discount_leak_pct],7)</f>
        <v>9.8100000000000007E-2</v>
      </c>
      <c r="F11" s="13">
        <f>INDEX(tblModelCategory[return_rate],7)</f>
        <v>3.4000000000000002E-2</v>
      </c>
      <c r="G11" t="str">
        <f t="shared" si="0"/>
        <v>High Revenue / Low Margin - review discount &amp; returns</v>
      </c>
    </row>
    <row r="12" spans="1:9" x14ac:dyDescent="0.3">
      <c r="A12" t="str">
        <f>INDEX(tblModelCategory[category_name],8)</f>
        <v>Kitchen Appliances</v>
      </c>
      <c r="B12" s="12">
        <f>INDEX(tblModelCategory[revenue],8)</f>
        <v>602723939</v>
      </c>
      <c r="C12" s="13">
        <f>B12/SUM(tblModelCategory[revenue])</f>
        <v>3.1925012063569465E-2</v>
      </c>
      <c r="D12" s="13">
        <f>INDEX(tblModelCategory[margin_pct],8)</f>
        <v>0.27810000000000001</v>
      </c>
      <c r="E12" s="13">
        <f>INDEX(tblModelCategory[discount_leak_pct],8)</f>
        <v>9.8599999999999993E-2</v>
      </c>
      <c r="F12" s="13">
        <f>INDEX(tblModelCategory[return_rate],8)</f>
        <v>2.86E-2</v>
      </c>
      <c r="G12" t="str">
        <f t="shared" si="0"/>
        <v>High Revenue / Healthy Margin</v>
      </c>
    </row>
    <row r="13" spans="1:9" x14ac:dyDescent="0.3">
      <c r="A13" t="str">
        <f>INDEX(tblModelCategory[category_name],9)</f>
        <v>Home Audio</v>
      </c>
      <c r="B13" s="12">
        <f>INDEX(tblModelCategory[revenue],9)</f>
        <v>520527346</v>
      </c>
      <c r="C13" s="13">
        <f>B13/SUM(tblModelCategory[revenue])</f>
        <v>2.7571232408719372E-2</v>
      </c>
      <c r="D13" s="13">
        <f>INDEX(tblModelCategory[margin_pct],9)</f>
        <v>0.18629999999999999</v>
      </c>
      <c r="E13" s="13">
        <f>INDEX(tblModelCategory[discount_leak_pct],9)</f>
        <v>9.8799999999999999E-2</v>
      </c>
      <c r="F13" s="13">
        <f>INDEX(tblModelCategory[return_rate],9)</f>
        <v>3.8699999999999998E-2</v>
      </c>
      <c r="G13" t="str">
        <f t="shared" si="0"/>
        <v>High Revenue / Low Margin - review discount &amp; returns</v>
      </c>
    </row>
    <row r="14" spans="1:9" x14ac:dyDescent="0.3">
      <c r="A14" t="str">
        <f>INDEX(tblModelCategory[category_name],10)</f>
        <v>Heaters &amp; Winter Appliances</v>
      </c>
      <c r="B14" s="12">
        <f>INDEX(tblModelCategory[revenue],10)</f>
        <v>258134495</v>
      </c>
      <c r="C14" s="13">
        <f>B14/SUM(tblModelCategory[revenue])</f>
        <v>1.3672838149702915E-2</v>
      </c>
      <c r="D14" s="13">
        <f>INDEX(tblModelCategory[margin_pct],10)</f>
        <v>0.26</v>
      </c>
      <c r="E14" s="13">
        <f>INDEX(tblModelCategory[discount_leak_pct],10)</f>
        <v>9.8299999999999998E-2</v>
      </c>
      <c r="F14" s="13">
        <f>INDEX(tblModelCategory[return_rate],10)</f>
        <v>2.6800000000000001E-2</v>
      </c>
      <c r="G14" t="str">
        <f t="shared" si="0"/>
        <v>High Revenue / Healthy Margin</v>
      </c>
    </row>
    <row r="15" spans="1:9" x14ac:dyDescent="0.3">
      <c r="A15" t="str">
        <f>INDEX(tblModelCategory[category_name],11)</f>
        <v>Footwear</v>
      </c>
      <c r="B15" s="12">
        <f>INDEX(tblModelCategory[revenue],11)</f>
        <v>218483178</v>
      </c>
      <c r="C15" s="13">
        <f>B15/SUM(tblModelCategory[revenue])</f>
        <v>1.157259176549315E-2</v>
      </c>
      <c r="D15" s="13">
        <f>INDEX(tblModelCategory[margin_pct],11)</f>
        <v>0.33350000000000002</v>
      </c>
      <c r="E15" s="13">
        <f>INDEX(tblModelCategory[discount_leak_pct],11)</f>
        <v>9.9299999999999999E-2</v>
      </c>
      <c r="F15" s="13">
        <f>INDEX(tblModelCategory[return_rate],11)</f>
        <v>6.7599999999999993E-2</v>
      </c>
      <c r="G15" t="str">
        <f t="shared" si="0"/>
        <v>Low Revenue / Healthy Margin</v>
      </c>
    </row>
    <row r="16" spans="1:9" x14ac:dyDescent="0.3">
      <c r="A16" t="str">
        <f>INDEX(tblModelCategory[category_name],12)</f>
        <v>Festive &amp; Gifting</v>
      </c>
      <c r="B16" s="12">
        <f>INDEX(tblModelCategory[revenue],12)</f>
        <v>216122731</v>
      </c>
      <c r="C16" s="13">
        <f>B16/SUM(tblModelCategory[revenue])</f>
        <v>1.1447563881126313E-2</v>
      </c>
      <c r="D16" s="13">
        <f>INDEX(tblModelCategory[margin_pct],12)</f>
        <v>0.34760000000000002</v>
      </c>
      <c r="E16" s="13">
        <f>INDEX(tblModelCategory[discount_leak_pct],12)</f>
        <v>9.8599999999999993E-2</v>
      </c>
      <c r="F16" s="13">
        <f>INDEX(tblModelCategory[return_rate],12)</f>
        <v>2.9899999999999999E-2</v>
      </c>
      <c r="G16" t="str">
        <f t="shared" si="0"/>
        <v>Low Revenue / Healthy Margin</v>
      </c>
    </row>
    <row r="17" spans="1:7" x14ac:dyDescent="0.3">
      <c r="A17" t="str">
        <f>INDEX(tblModelCategory[category_name],13)</f>
        <v>Home Decor</v>
      </c>
      <c r="B17" s="12">
        <f>INDEX(tblModelCategory[revenue],13)</f>
        <v>190662742</v>
      </c>
      <c r="C17" s="13">
        <f>B17/SUM(tblModelCategory[revenue])</f>
        <v>1.0099002121140626E-2</v>
      </c>
      <c r="D17" s="13">
        <f>INDEX(tblModelCategory[margin_pct],13)</f>
        <v>0.3881</v>
      </c>
      <c r="E17" s="13">
        <f>INDEX(tblModelCategory[discount_leak_pct],13)</f>
        <v>9.7799999999999998E-2</v>
      </c>
      <c r="F17" s="13">
        <f>INDEX(tblModelCategory[return_rate],13)</f>
        <v>2.8799999999999999E-2</v>
      </c>
      <c r="G17" t="str">
        <f t="shared" si="0"/>
        <v>Low Revenue / Healthy Margin</v>
      </c>
    </row>
    <row r="18" spans="1:7" x14ac:dyDescent="0.3">
      <c r="A18" t="str">
        <f>INDEX(tblModelCategory[category_name],14)</f>
        <v>Women's Apparel</v>
      </c>
      <c r="B18" s="12">
        <f>INDEX(tblModelCategory[revenue],14)</f>
        <v>180387906</v>
      </c>
      <c r="C18" s="13">
        <f>B18/SUM(tblModelCategory[revenue])</f>
        <v>9.5547657933195765E-3</v>
      </c>
      <c r="D18" s="13">
        <f>INDEX(tblModelCategory[margin_pct],14)</f>
        <v>0.40079999999999999</v>
      </c>
      <c r="E18" s="13">
        <f>INDEX(tblModelCategory[discount_leak_pct],14)</f>
        <v>9.8900000000000002E-2</v>
      </c>
      <c r="F18" s="13">
        <f>INDEX(tblModelCategory[return_rate],14)</f>
        <v>6.7199999999999996E-2</v>
      </c>
      <c r="G18" t="str">
        <f t="shared" si="0"/>
        <v>Low Revenue / Healthy Margin</v>
      </c>
    </row>
    <row r="19" spans="1:7" x14ac:dyDescent="0.3">
      <c r="A19" t="str">
        <f>INDEX(tblModelCategory[category_name],15)</f>
        <v>Men's Apparel</v>
      </c>
      <c r="B19" s="12">
        <f>INDEX(tblModelCategory[revenue],15)</f>
        <v>174253220</v>
      </c>
      <c r="C19" s="13">
        <f>B19/SUM(tblModelCategory[revenue])</f>
        <v>9.229824453041718E-3</v>
      </c>
      <c r="D19" s="13">
        <f>INDEX(tblModelCategory[margin_pct],15)</f>
        <v>0.38179999999999997</v>
      </c>
      <c r="E19" s="13">
        <f>INDEX(tblModelCategory[discount_leak_pct],15)</f>
        <v>9.7299999999999998E-2</v>
      </c>
      <c r="F19" s="13">
        <f>INDEX(tblModelCategory[return_rate],15)</f>
        <v>6.93E-2</v>
      </c>
      <c r="G19" t="str">
        <f t="shared" si="0"/>
        <v>Low Revenue / Healthy Margin</v>
      </c>
    </row>
    <row r="20" spans="1:7" x14ac:dyDescent="0.3">
      <c r="A20" t="str">
        <f>INDEX(tblModelCategory[category_name],16)</f>
        <v>Toys &amp; Games</v>
      </c>
      <c r="B20" s="12">
        <f>INDEX(tblModelCategory[revenue],16)</f>
        <v>152264378</v>
      </c>
      <c r="C20" s="13">
        <f>B20/SUM(tblModelCategory[revenue])</f>
        <v>8.0651220068793418E-3</v>
      </c>
      <c r="D20" s="13">
        <f>INDEX(tblModelCategory[margin_pct],16)</f>
        <v>0.2979</v>
      </c>
      <c r="E20" s="13">
        <f>INDEX(tblModelCategory[discount_leak_pct],16)</f>
        <v>9.8900000000000002E-2</v>
      </c>
      <c r="F20" s="13">
        <f>INDEX(tblModelCategory[return_rate],16)</f>
        <v>3.1399999999999997E-2</v>
      </c>
      <c r="G20" t="str">
        <f t="shared" si="0"/>
        <v>Low Revenue / Healthy Margin</v>
      </c>
    </row>
    <row r="21" spans="1:7" x14ac:dyDescent="0.3">
      <c r="A21" t="str">
        <f>INDEX(tblModelCategory[category_name],17)</f>
        <v>Kitchenware</v>
      </c>
      <c r="B21" s="12">
        <f>INDEX(tblModelCategory[revenue],17)</f>
        <v>150573007</v>
      </c>
      <c r="C21" s="13">
        <f>B21/SUM(tblModelCategory[revenue])</f>
        <v>7.9755336628879615E-3</v>
      </c>
      <c r="D21" s="13">
        <f>INDEX(tblModelCategory[margin_pct],17)</f>
        <v>0.34229999999999999</v>
      </c>
      <c r="E21" s="13">
        <f>INDEX(tblModelCategory[discount_leak_pct],17)</f>
        <v>0.1008</v>
      </c>
      <c r="F21" s="13">
        <f>INDEX(tblModelCategory[return_rate],17)</f>
        <v>2.6200000000000001E-2</v>
      </c>
      <c r="G21" t="str">
        <f t="shared" si="0"/>
        <v>Low Revenue / Healthy Margin</v>
      </c>
    </row>
    <row r="22" spans="1:7" x14ac:dyDescent="0.3">
      <c r="A22" t="str">
        <f>INDEX(tblModelCategory[category_name],18)</f>
        <v>Kids Apparel</v>
      </c>
      <c r="B22" s="12">
        <f>INDEX(tblModelCategory[revenue],18)</f>
        <v>109354906</v>
      </c>
      <c r="C22" s="13">
        <f>B22/SUM(tblModelCategory[revenue])</f>
        <v>5.7922980445289816E-3</v>
      </c>
      <c r="D22" s="13">
        <f>INDEX(tblModelCategory[margin_pct],18)</f>
        <v>0.37569999999999998</v>
      </c>
      <c r="E22" s="13">
        <f>INDEX(tblModelCategory[discount_leak_pct],18)</f>
        <v>0.10100000000000001</v>
      </c>
      <c r="F22" s="13">
        <f>INDEX(tblModelCategory[return_rate],18)</f>
        <v>6.9199999999999998E-2</v>
      </c>
      <c r="G22" t="str">
        <f t="shared" si="0"/>
        <v>Low Revenue / Healthy Margin</v>
      </c>
    </row>
    <row r="23" spans="1:7" x14ac:dyDescent="0.3">
      <c r="A23" t="str">
        <f>INDEX(tblModelCategory[category_name],19)</f>
        <v>Personal Care</v>
      </c>
      <c r="B23" s="12">
        <f>INDEX(tblModelCategory[revenue],19)</f>
        <v>74610385</v>
      </c>
      <c r="C23" s="13">
        <f>B23/SUM(tblModelCategory[revenue])</f>
        <v>3.95195426474103E-3</v>
      </c>
      <c r="D23" s="13">
        <f>INDEX(tblModelCategory[margin_pct],19)</f>
        <v>0.27689999999999998</v>
      </c>
      <c r="E23" s="13">
        <f>INDEX(tblModelCategory[discount_leak_pct],19)</f>
        <v>9.9900000000000003E-2</v>
      </c>
      <c r="F23" s="13">
        <f>INDEX(tblModelCategory[return_rate],19)</f>
        <v>7.6E-3</v>
      </c>
      <c r="G23" t="str">
        <f t="shared" si="0"/>
        <v>Low Revenue / Healthy Margin</v>
      </c>
    </row>
    <row r="24" spans="1:7" x14ac:dyDescent="0.3">
      <c r="A24" t="str">
        <f>INDEX(tblModelCategory[category_name],20)</f>
        <v>Groceries &amp; Staples</v>
      </c>
      <c r="B24" s="12">
        <f>INDEX(tblModelCategory[revenue],20)</f>
        <v>45075426</v>
      </c>
      <c r="C24" s="13">
        <f>B24/SUM(tblModelCategory[revenue])</f>
        <v>2.3875499639322154E-3</v>
      </c>
      <c r="D24" s="13">
        <f>INDEX(tblModelCategory[margin_pct],20)</f>
        <v>8.7900000000000006E-2</v>
      </c>
      <c r="E24" s="13">
        <f>INDEX(tblModelCategory[discount_leak_pct],20)</f>
        <v>9.9199999999999997E-2</v>
      </c>
      <c r="F24" s="13">
        <f>INDEX(tblModelCategory[return_rate],20)</f>
        <v>7.4999999999999997E-3</v>
      </c>
      <c r="G24" t="str">
        <f t="shared" si="0"/>
        <v>Low Revenue / Low Margin - low priority</v>
      </c>
    </row>
  </sheetData>
  <conditionalFormatting sqref="G5:G24">
    <cfRule type="cellIs" dxfId="8" priority="1" operator="equal">
      <formula>"High Revenue / Low Margin - review discount &amp; returns"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I24"/>
  <sheetViews>
    <sheetView showGridLines="0" workbookViewId="0"/>
  </sheetViews>
  <sheetFormatPr defaultRowHeight="14.4" x14ac:dyDescent="0.3"/>
  <cols>
    <col min="1" max="1" width="22" customWidth="1"/>
    <col min="2" max="6" width="16" customWidth="1"/>
  </cols>
  <sheetData>
    <row r="1" spans="1:9" ht="16.8" x14ac:dyDescent="0.3">
      <c r="A1" s="10" t="s">
        <v>826</v>
      </c>
      <c r="H1" t="s">
        <v>827</v>
      </c>
      <c r="I1">
        <f>AVERAGE(tblModelCategory[discount_leak_pct])</f>
        <v>9.8975000000000007E-2</v>
      </c>
    </row>
    <row r="2" spans="1:9" x14ac:dyDescent="0.3">
      <c r="A2" s="5" t="s">
        <v>828</v>
      </c>
    </row>
    <row r="4" spans="1:9" ht="26.4" x14ac:dyDescent="0.3">
      <c r="A4" s="14" t="s">
        <v>821</v>
      </c>
      <c r="B4" s="14" t="s">
        <v>800</v>
      </c>
      <c r="C4" s="14" t="s">
        <v>829</v>
      </c>
      <c r="D4" s="14" t="s">
        <v>830</v>
      </c>
      <c r="E4" s="14" t="s">
        <v>831</v>
      </c>
      <c r="F4" s="14" t="s">
        <v>832</v>
      </c>
    </row>
    <row r="5" spans="1:9" x14ac:dyDescent="0.3">
      <c r="A5" t="str">
        <f>INDEX(tblModelCategory[category_name],MATCH("Kids Apparel",tblModelCategory[category_name],0))</f>
        <v>Kids Apparel</v>
      </c>
      <c r="B5" s="12">
        <f>SUMIFS(tblModelCategory[revenue],tblModelCategory[category_name],A5)</f>
        <v>109354906</v>
      </c>
      <c r="C5" s="12">
        <f>SUMIFS(tblModelCategory[catalog_value],tblModelCategory[category_name],A5)</f>
        <v>121236720</v>
      </c>
      <c r="D5" s="12">
        <f>SUMIFS(tblModelCategory[discount_leak],tblModelCategory[category_name],A5)</f>
        <v>12241067</v>
      </c>
      <c r="E5" s="13">
        <f t="shared" ref="E5:E24" si="0">D5/C5</f>
        <v>0.10096831224071387</v>
      </c>
      <c r="F5" t="str">
        <f t="shared" ref="F5:F24" si="1">IF(E5&gt;$I$1,"Above Average - Review Discount Policy","Within Normal Range")</f>
        <v>Above Average - Review Discount Policy</v>
      </c>
    </row>
    <row r="6" spans="1:9" x14ac:dyDescent="0.3">
      <c r="A6" t="str">
        <f>INDEX(tblModelCategory[category_name],MATCH("Kitchenware",tblModelCategory[category_name],0))</f>
        <v>Kitchenware</v>
      </c>
      <c r="B6" s="12">
        <f>SUMIFS(tblModelCategory[revenue],tblModelCategory[category_name],A6)</f>
        <v>150573007</v>
      </c>
      <c r="C6" s="12">
        <f>SUMIFS(tblModelCategory[catalog_value],tblModelCategory[category_name],A6)</f>
        <v>166904040</v>
      </c>
      <c r="D6" s="12">
        <f>SUMIFS(tblModelCategory[discount_leak],tblModelCategory[category_name],A6)</f>
        <v>16830249</v>
      </c>
      <c r="E6" s="13">
        <f t="shared" si="0"/>
        <v>0.10083787666254214</v>
      </c>
      <c r="F6" t="str">
        <f t="shared" si="1"/>
        <v>Above Average - Review Discount Policy</v>
      </c>
    </row>
    <row r="7" spans="1:9" x14ac:dyDescent="0.3">
      <c r="A7" t="str">
        <f>INDEX(tblModelCategory[category_name],MATCH("Personal Care",tblModelCategory[category_name],0))</f>
        <v>Personal Care</v>
      </c>
      <c r="B7" s="12">
        <f>SUMIFS(tblModelCategory[revenue],tblModelCategory[category_name],A7)</f>
        <v>74610385</v>
      </c>
      <c r="C7" s="12">
        <f>SUMIFS(tblModelCategory[catalog_value],tblModelCategory[category_name],A7)</f>
        <v>82606690</v>
      </c>
      <c r="D7" s="12">
        <f>SUMIFS(tblModelCategory[discount_leak],tblModelCategory[category_name],A7)</f>
        <v>8249305</v>
      </c>
      <c r="E7" s="13">
        <f t="shared" si="0"/>
        <v>9.9862432449478372E-2</v>
      </c>
      <c r="F7" t="str">
        <f t="shared" si="1"/>
        <v>Above Average - Review Discount Policy</v>
      </c>
    </row>
    <row r="8" spans="1:9" x14ac:dyDescent="0.3">
      <c r="A8" t="str">
        <f>INDEX(tblModelCategory[category_name],MATCH("Air Conditioners &amp; Coolers",tblModelCategory[category_name],0))</f>
        <v>Air Conditioners &amp; Coolers</v>
      </c>
      <c r="B8" s="12">
        <f>SUMIFS(tblModelCategory[revenue],tblModelCategory[category_name],A8)</f>
        <v>1462422495</v>
      </c>
      <c r="C8" s="12">
        <f>SUMIFS(tblModelCategory[catalog_value],tblModelCategory[category_name],A8)</f>
        <v>1619237220</v>
      </c>
      <c r="D8" s="12">
        <f>SUMIFS(tblModelCategory[discount_leak],tblModelCategory[category_name],A8)</f>
        <v>161801886</v>
      </c>
      <c r="E8" s="13">
        <f t="shared" si="0"/>
        <v>9.9924757164364095E-2</v>
      </c>
      <c r="F8" t="str">
        <f t="shared" si="1"/>
        <v>Above Average - Review Discount Policy</v>
      </c>
    </row>
    <row r="9" spans="1:9" x14ac:dyDescent="0.3">
      <c r="A9" t="str">
        <f>INDEX(tblModelCategory[category_name],MATCH("Laptops &amp; Computers",tblModelCategory[category_name],0))</f>
        <v>Laptops &amp; Computers</v>
      </c>
      <c r="B9" s="12">
        <f>SUMIFS(tblModelCategory[revenue],tblModelCategory[category_name],A9)</f>
        <v>2977044772</v>
      </c>
      <c r="C9" s="12">
        <f>SUMIFS(tblModelCategory[catalog_value],tblModelCategory[category_name],A9)</f>
        <v>3294481190</v>
      </c>
      <c r="D9" s="12">
        <f>SUMIFS(tblModelCategory[discount_leak],tblModelCategory[category_name],A9)</f>
        <v>327405596</v>
      </c>
      <c r="E9" s="13">
        <f t="shared" si="0"/>
        <v>9.9380016797121246E-2</v>
      </c>
      <c r="F9" t="str">
        <f t="shared" si="1"/>
        <v>Above Average - Review Discount Policy</v>
      </c>
    </row>
    <row r="10" spans="1:9" x14ac:dyDescent="0.3">
      <c r="A10" t="str">
        <f>INDEX(tblModelCategory[category_name],MATCH("Footwear",tblModelCategory[category_name],0))</f>
        <v>Footwear</v>
      </c>
      <c r="B10" s="12">
        <f>SUMIFS(tblModelCategory[revenue],tblModelCategory[category_name],A10)</f>
        <v>218483178</v>
      </c>
      <c r="C10" s="12">
        <f>SUMIFS(tblModelCategory[catalog_value],tblModelCategory[category_name],A10)</f>
        <v>241743290</v>
      </c>
      <c r="D10" s="12">
        <f>SUMIFS(tblModelCategory[discount_leak],tblModelCategory[category_name],A10)</f>
        <v>24009501</v>
      </c>
      <c r="E10" s="13">
        <f t="shared" si="0"/>
        <v>9.931816928610511E-2</v>
      </c>
      <c r="F10" t="str">
        <f t="shared" si="1"/>
        <v>Above Average - Review Discount Policy</v>
      </c>
    </row>
    <row r="11" spans="1:9" x14ac:dyDescent="0.3">
      <c r="A11" t="str">
        <f>INDEX(tblModelCategory[category_name],MATCH("Furniture",tblModelCategory[category_name],0))</f>
        <v>Furniture</v>
      </c>
      <c r="B11" s="12">
        <f>SUMIFS(tblModelCategory[revenue],tblModelCategory[category_name],A11)</f>
        <v>1907350207</v>
      </c>
      <c r="C11" s="12">
        <f>SUMIFS(tblModelCategory[catalog_value],tblModelCategory[category_name],A11)</f>
        <v>2110496580</v>
      </c>
      <c r="D11" s="12">
        <f>SUMIFS(tblModelCategory[discount_leak],tblModelCategory[category_name],A11)</f>
        <v>209518887</v>
      </c>
      <c r="E11" s="13">
        <f t="shared" si="0"/>
        <v>9.9274686813280694E-2</v>
      </c>
      <c r="F11" t="str">
        <f t="shared" si="1"/>
        <v>Above Average - Review Discount Policy</v>
      </c>
    </row>
    <row r="12" spans="1:9" x14ac:dyDescent="0.3">
      <c r="A12" t="str">
        <f>INDEX(tblModelCategory[category_name],MATCH("Groceries &amp; Staples",tblModelCategory[category_name],0))</f>
        <v>Groceries &amp; Staples</v>
      </c>
      <c r="B12" s="12">
        <f>SUMIFS(tblModelCategory[revenue],tblModelCategory[category_name],A12)</f>
        <v>45075426</v>
      </c>
      <c r="C12" s="12">
        <f>SUMIFS(tblModelCategory[catalog_value],tblModelCategory[category_name],A12)</f>
        <v>49867370</v>
      </c>
      <c r="D12" s="12">
        <f>SUMIFS(tblModelCategory[discount_leak],tblModelCategory[category_name],A12)</f>
        <v>4946330</v>
      </c>
      <c r="E12" s="13">
        <f t="shared" si="0"/>
        <v>9.9189710626407607E-2</v>
      </c>
      <c r="F12" t="str">
        <f t="shared" si="1"/>
        <v>Above Average - Review Discount Policy</v>
      </c>
    </row>
    <row r="13" spans="1:9" x14ac:dyDescent="0.3">
      <c r="A13" t="str">
        <f>INDEX(tblModelCategory[category_name],MATCH("Women's Apparel",tblModelCategory[category_name],0))</f>
        <v>Women's Apparel</v>
      </c>
      <c r="B13" s="12">
        <f>SUMIFS(tblModelCategory[revenue],tblModelCategory[category_name],A13)</f>
        <v>180387906</v>
      </c>
      <c r="C13" s="12">
        <f>SUMIFS(tblModelCategory[catalog_value],tblModelCategory[category_name],A13)</f>
        <v>199503650</v>
      </c>
      <c r="D13" s="12">
        <f>SUMIFS(tblModelCategory[discount_leak],tblModelCategory[category_name],A13)</f>
        <v>19724058</v>
      </c>
      <c r="E13" s="13">
        <f t="shared" si="0"/>
        <v>9.8865649826456806E-2</v>
      </c>
      <c r="F13" t="str">
        <f t="shared" si="1"/>
        <v>Within Normal Range</v>
      </c>
    </row>
    <row r="14" spans="1:9" x14ac:dyDescent="0.3">
      <c r="A14" t="str">
        <f>INDEX(tblModelCategory[category_name],MATCH("Toys &amp; Games",tblModelCategory[category_name],0))</f>
        <v>Toys &amp; Games</v>
      </c>
      <c r="B14" s="12">
        <f>SUMIFS(tblModelCategory[revenue],tblModelCategory[category_name],A14)</f>
        <v>152264378</v>
      </c>
      <c r="C14" s="12">
        <f>SUMIFS(tblModelCategory[catalog_value],tblModelCategory[category_name],A14)</f>
        <v>168422050</v>
      </c>
      <c r="D14" s="12">
        <f>SUMIFS(tblModelCategory[discount_leak],tblModelCategory[category_name],A14)</f>
        <v>16662928</v>
      </c>
      <c r="E14" s="13">
        <f t="shared" si="0"/>
        <v>9.8935549116045074E-2</v>
      </c>
      <c r="F14" t="str">
        <f t="shared" si="1"/>
        <v>Within Normal Range</v>
      </c>
    </row>
    <row r="15" spans="1:9" x14ac:dyDescent="0.3">
      <c r="A15" t="str">
        <f>INDEX(tblModelCategory[category_name],MATCH("Home Audio",tblModelCategory[category_name],0))</f>
        <v>Home Audio</v>
      </c>
      <c r="B15" s="12">
        <f>SUMIFS(tblModelCategory[revenue],tblModelCategory[category_name],A15)</f>
        <v>520527346</v>
      </c>
      <c r="C15" s="12">
        <f>SUMIFS(tblModelCategory[catalog_value],tblModelCategory[category_name],A15)</f>
        <v>575620000</v>
      </c>
      <c r="D15" s="12">
        <f>SUMIFS(tblModelCategory[discount_leak],tblModelCategory[category_name],A15)</f>
        <v>56856404</v>
      </c>
      <c r="E15" s="13">
        <f t="shared" si="0"/>
        <v>9.8774198255793755E-2</v>
      </c>
      <c r="F15" t="str">
        <f t="shared" si="1"/>
        <v>Within Normal Range</v>
      </c>
    </row>
    <row r="16" spans="1:9" x14ac:dyDescent="0.3">
      <c r="A16" t="str">
        <f>INDEX(tblModelCategory[category_name],MATCH("Televisions",tblModelCategory[category_name],0))</f>
        <v>Televisions</v>
      </c>
      <c r="B16" s="12">
        <f>SUMIFS(tblModelCategory[revenue],tblModelCategory[category_name],A16)</f>
        <v>2296118310</v>
      </c>
      <c r="C16" s="12">
        <f>SUMIFS(tblModelCategory[catalog_value],tblModelCategory[category_name],A16)</f>
        <v>2538567220</v>
      </c>
      <c r="D16" s="12">
        <f>SUMIFS(tblModelCategory[discount_leak],tblModelCategory[category_name],A16)</f>
        <v>250368359</v>
      </c>
      <c r="E16" s="13">
        <f t="shared" si="0"/>
        <v>9.8625853602568772E-2</v>
      </c>
      <c r="F16" t="str">
        <f t="shared" si="1"/>
        <v>Within Normal Range</v>
      </c>
    </row>
    <row r="17" spans="1:6" x14ac:dyDescent="0.3">
      <c r="A17" t="str">
        <f>INDEX(tblModelCategory[category_name],MATCH("Festive &amp; Gifting",tblModelCategory[category_name],0))</f>
        <v>Festive &amp; Gifting</v>
      </c>
      <c r="B17" s="12">
        <f>SUMIFS(tblModelCategory[revenue],tblModelCategory[category_name],A17)</f>
        <v>216122731</v>
      </c>
      <c r="C17" s="12">
        <f>SUMIFS(tblModelCategory[catalog_value],tblModelCategory[category_name],A17)</f>
        <v>238954570</v>
      </c>
      <c r="D17" s="12">
        <f>SUMIFS(tblModelCategory[discount_leak],tblModelCategory[category_name],A17)</f>
        <v>23569987</v>
      </c>
      <c r="E17" s="13">
        <f t="shared" si="0"/>
        <v>9.8637941931807374E-2</v>
      </c>
      <c r="F17" t="str">
        <f t="shared" si="1"/>
        <v>Within Normal Range</v>
      </c>
    </row>
    <row r="18" spans="1:6" x14ac:dyDescent="0.3">
      <c r="A18" t="str">
        <f>INDEX(tblModelCategory[category_name],MATCH("Kitchen Appliances",tblModelCategory[category_name],0))</f>
        <v>Kitchen Appliances</v>
      </c>
      <c r="B18" s="12">
        <f>SUMIFS(tblModelCategory[revenue],tblModelCategory[category_name],A18)</f>
        <v>602723939</v>
      </c>
      <c r="C18" s="12">
        <f>SUMIFS(tblModelCategory[catalog_value],tblModelCategory[category_name],A18)</f>
        <v>666395200</v>
      </c>
      <c r="D18" s="12">
        <f>SUMIFS(tblModelCategory[discount_leak],tblModelCategory[category_name],A18)</f>
        <v>65733883</v>
      </c>
      <c r="E18" s="13">
        <f t="shared" si="0"/>
        <v>9.8640991111580631E-2</v>
      </c>
      <c r="F18" t="str">
        <f t="shared" si="1"/>
        <v>Within Normal Range</v>
      </c>
    </row>
    <row r="19" spans="1:6" x14ac:dyDescent="0.3">
      <c r="A19" t="str">
        <f>INDEX(tblModelCategory[category_name],MATCH("Refrigerators",tblModelCategory[category_name],0))</f>
        <v>Refrigerators</v>
      </c>
      <c r="B19" s="12">
        <f>SUMIFS(tblModelCategory[revenue],tblModelCategory[category_name],A19)</f>
        <v>4382590644</v>
      </c>
      <c r="C19" s="12">
        <f>SUMIFS(tblModelCategory[catalog_value],tblModelCategory[category_name],A19)</f>
        <v>4845220420</v>
      </c>
      <c r="D19" s="12">
        <f>SUMIFS(tblModelCategory[discount_leak],tblModelCategory[category_name],A19)</f>
        <v>477412556</v>
      </c>
      <c r="E19" s="13">
        <f t="shared" si="0"/>
        <v>9.8532680583394386E-2</v>
      </c>
      <c r="F19" t="str">
        <f t="shared" si="1"/>
        <v>Within Normal Range</v>
      </c>
    </row>
    <row r="20" spans="1:6" x14ac:dyDescent="0.3">
      <c r="A20" t="str">
        <f>INDEX(tblModelCategory[category_name],MATCH("Mobiles &amp; Accessories",tblModelCategory[category_name],0))</f>
        <v>Mobiles &amp; Accessories</v>
      </c>
      <c r="B20" s="12">
        <f>SUMIFS(tblModelCategory[revenue],tblModelCategory[category_name],A20)</f>
        <v>1718375549</v>
      </c>
      <c r="C20" s="12">
        <f>SUMIFS(tblModelCategory[catalog_value],tblModelCategory[category_name],A20)</f>
        <v>1899178170</v>
      </c>
      <c r="D20" s="12">
        <f>SUMIFS(tblModelCategory[discount_leak],tblModelCategory[category_name],A20)</f>
        <v>186700048</v>
      </c>
      <c r="E20" s="13">
        <f t="shared" si="0"/>
        <v>9.830570451428472E-2</v>
      </c>
      <c r="F20" t="str">
        <f t="shared" si="1"/>
        <v>Within Normal Range</v>
      </c>
    </row>
    <row r="21" spans="1:6" x14ac:dyDescent="0.3">
      <c r="A21" t="str">
        <f>INDEX(tblModelCategory[category_name],MATCH("Heaters &amp; Winter Appliances",tblModelCategory[category_name],0))</f>
        <v>Heaters &amp; Winter Appliances</v>
      </c>
      <c r="B21" s="12">
        <f>SUMIFS(tblModelCategory[revenue],tblModelCategory[category_name],A21)</f>
        <v>258134495</v>
      </c>
      <c r="C21" s="12">
        <f>SUMIFS(tblModelCategory[catalog_value],tblModelCategory[category_name],A21)</f>
        <v>285298830</v>
      </c>
      <c r="D21" s="12">
        <f>SUMIFS(tblModelCategory[discount_leak],tblModelCategory[category_name],A21)</f>
        <v>28051708</v>
      </c>
      <c r="E21" s="13">
        <f t="shared" si="0"/>
        <v>9.8323950364605422E-2</v>
      </c>
      <c r="F21" t="str">
        <f t="shared" si="1"/>
        <v>Within Normal Range</v>
      </c>
    </row>
    <row r="22" spans="1:6" x14ac:dyDescent="0.3">
      <c r="A22" t="str">
        <f>INDEX(tblModelCategory[category_name],MATCH("Washing Machines",tblModelCategory[category_name],0))</f>
        <v>Washing Machines</v>
      </c>
      <c r="B22" s="12">
        <f>SUMIFS(tblModelCategory[revenue],tblModelCategory[category_name],A22)</f>
        <v>1242288851</v>
      </c>
      <c r="C22" s="12">
        <f>SUMIFS(tblModelCategory[catalog_value],tblModelCategory[category_name],A22)</f>
        <v>1372667370</v>
      </c>
      <c r="D22" s="12">
        <f>SUMIFS(tblModelCategory[discount_leak],tblModelCategory[category_name],A22)</f>
        <v>134651075</v>
      </c>
      <c r="E22" s="13">
        <f t="shared" si="0"/>
        <v>9.8094467707788527E-2</v>
      </c>
      <c r="F22" t="str">
        <f t="shared" si="1"/>
        <v>Within Normal Range</v>
      </c>
    </row>
    <row r="23" spans="1:6" x14ac:dyDescent="0.3">
      <c r="A23" t="str">
        <f>INDEX(tblModelCategory[category_name],MATCH("Home Decor",tblModelCategory[category_name],0))</f>
        <v>Home Decor</v>
      </c>
      <c r="B23" s="12">
        <f>SUMIFS(tblModelCategory[revenue],tblModelCategory[category_name],A23)</f>
        <v>190662742</v>
      </c>
      <c r="C23" s="12">
        <f>SUMIFS(tblModelCategory[catalog_value],tblModelCategory[category_name],A23)</f>
        <v>210602220</v>
      </c>
      <c r="D23" s="12">
        <f>SUMIFS(tblModelCategory[discount_leak],tblModelCategory[category_name],A23)</f>
        <v>20606146</v>
      </c>
      <c r="E23" s="13">
        <f t="shared" si="0"/>
        <v>9.7843916365174116E-2</v>
      </c>
      <c r="F23" t="str">
        <f t="shared" si="1"/>
        <v>Within Normal Range</v>
      </c>
    </row>
    <row r="24" spans="1:6" x14ac:dyDescent="0.3">
      <c r="A24" t="str">
        <f>INDEX(tblModelCategory[category_name],MATCH("Men's Apparel",tblModelCategory[category_name],0))</f>
        <v>Men's Apparel</v>
      </c>
      <c r="B24" s="12">
        <f>SUMIFS(tblModelCategory[revenue],tblModelCategory[category_name],A24)</f>
        <v>174253220</v>
      </c>
      <c r="C24" s="12">
        <f>SUMIFS(tblModelCategory[catalog_value],tblModelCategory[category_name],A24)</f>
        <v>192360750</v>
      </c>
      <c r="D24" s="12">
        <f>SUMIFS(tblModelCategory[discount_leak],tblModelCategory[category_name],A24)</f>
        <v>18713357</v>
      </c>
      <c r="E24" s="13">
        <f t="shared" si="0"/>
        <v>9.728261612621078E-2</v>
      </c>
      <c r="F24" t="str">
        <f t="shared" si="1"/>
        <v>Within Normal Range</v>
      </c>
    </row>
  </sheetData>
  <conditionalFormatting sqref="F5:F24">
    <cfRule type="cellIs" dxfId="7" priority="1" operator="equal">
      <formula>"Above Average - Review Discount Policy"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</sheetPr>
  <dimension ref="A1:I24"/>
  <sheetViews>
    <sheetView showGridLines="0" workbookViewId="0"/>
  </sheetViews>
  <sheetFormatPr defaultRowHeight="14.4" x14ac:dyDescent="0.3"/>
  <cols>
    <col min="1" max="1" width="22" customWidth="1"/>
    <col min="2" max="6" width="16" customWidth="1"/>
  </cols>
  <sheetData>
    <row r="1" spans="1:9" ht="16.8" x14ac:dyDescent="0.3">
      <c r="A1" s="10" t="s">
        <v>833</v>
      </c>
      <c r="H1" t="s">
        <v>834</v>
      </c>
      <c r="I1">
        <f>AVERAGE(tblModelCategory[return_rate])</f>
        <v>3.8350000000000002E-2</v>
      </c>
    </row>
    <row r="4" spans="1:9" ht="26.4" x14ac:dyDescent="0.3">
      <c r="A4" s="14" t="s">
        <v>821</v>
      </c>
      <c r="B4" s="14" t="s">
        <v>835</v>
      </c>
      <c r="C4" s="14" t="s">
        <v>836</v>
      </c>
      <c r="D4" s="14" t="s">
        <v>824</v>
      </c>
      <c r="E4" s="14" t="s">
        <v>837</v>
      </c>
      <c r="F4" s="14" t="s">
        <v>832</v>
      </c>
    </row>
    <row r="5" spans="1:9" x14ac:dyDescent="0.3">
      <c r="A5" t="str">
        <f>INDEX(tblModelCategory[category_name],MATCH("Men's Apparel",tblModelCategory[category_name],0))</f>
        <v>Men's Apparel</v>
      </c>
      <c r="B5" s="12">
        <f>SUMIFS(tblModelCategory[lines],tblModelCategory[category_name],A5)</f>
        <v>23457</v>
      </c>
      <c r="C5" s="12">
        <f>SUMIFS(tblModelCategory[return_count],tblModelCategory[category_name],A5)</f>
        <v>1626</v>
      </c>
      <c r="D5" s="13">
        <f t="shared" ref="D5:D24" si="0">C5/B5</f>
        <v>6.9318327151809689E-2</v>
      </c>
      <c r="E5" s="12">
        <f>SUMIFS(tblModelCategory[refund_amount],tblModelCategory[category_name],A5)</f>
        <v>10202661</v>
      </c>
      <c r="F5" t="str">
        <f t="shared" ref="F5:F24" si="1">IF(D5&gt;$I$1,"Above Average - Investigate Return Reasons","Within Normal Range")</f>
        <v>Above Average - Investigate Return Reasons</v>
      </c>
    </row>
    <row r="6" spans="1:9" x14ac:dyDescent="0.3">
      <c r="A6" t="str">
        <f>INDEX(tblModelCategory[category_name],MATCH("Kids Apparel",tblModelCategory[category_name],0))</f>
        <v>Kids Apparel</v>
      </c>
      <c r="B6" s="12">
        <f>SUMIFS(tblModelCategory[lines],tblModelCategory[category_name],A6)</f>
        <v>27448</v>
      </c>
      <c r="C6" s="12">
        <f>SUMIFS(tblModelCategory[return_count],tblModelCategory[category_name],A6)</f>
        <v>1900</v>
      </c>
      <c r="D6" s="13">
        <f t="shared" si="0"/>
        <v>6.9221801224132906E-2</v>
      </c>
      <c r="E6" s="12">
        <f>SUMIFS(tblModelCategory[refund_amount],tblModelCategory[category_name],A6)</f>
        <v>6606248</v>
      </c>
      <c r="F6" t="str">
        <f t="shared" si="1"/>
        <v>Above Average - Investigate Return Reasons</v>
      </c>
    </row>
    <row r="7" spans="1:9" x14ac:dyDescent="0.3">
      <c r="A7" t="str">
        <f>INDEX(tblModelCategory[category_name],MATCH("Footwear",tblModelCategory[category_name],0))</f>
        <v>Footwear</v>
      </c>
      <c r="B7" s="12">
        <f>SUMIFS(tblModelCategory[lines],tblModelCategory[category_name],A7)</f>
        <v>25921</v>
      </c>
      <c r="C7" s="12">
        <f>SUMIFS(tblModelCategory[return_count],tblModelCategory[category_name],A7)</f>
        <v>1751</v>
      </c>
      <c r="D7" s="13">
        <f t="shared" si="0"/>
        <v>6.755140619574862E-2</v>
      </c>
      <c r="E7" s="12">
        <f>SUMIFS(tblModelCategory[refund_amount],tblModelCategory[category_name],A7)</f>
        <v>12659306</v>
      </c>
      <c r="F7" t="str">
        <f t="shared" si="1"/>
        <v>Above Average - Investigate Return Reasons</v>
      </c>
    </row>
    <row r="8" spans="1:9" x14ac:dyDescent="0.3">
      <c r="A8" t="str">
        <f>INDEX(tblModelCategory[category_name],MATCH("Women's Apparel",tblModelCategory[category_name],0))</f>
        <v>Women's Apparel</v>
      </c>
      <c r="B8" s="12">
        <f>SUMIFS(tblModelCategory[lines],tblModelCategory[category_name],A8)</f>
        <v>23635</v>
      </c>
      <c r="C8" s="12">
        <f>SUMIFS(tblModelCategory[return_count],tblModelCategory[category_name],A8)</f>
        <v>1588</v>
      </c>
      <c r="D8" s="13">
        <f t="shared" si="0"/>
        <v>6.7188491643748682E-2</v>
      </c>
      <c r="E8" s="12">
        <f>SUMIFS(tblModelCategory[refund_amount],tblModelCategory[category_name],A8)</f>
        <v>10512341</v>
      </c>
      <c r="F8" t="str">
        <f t="shared" si="1"/>
        <v>Above Average - Investigate Return Reasons</v>
      </c>
    </row>
    <row r="9" spans="1:9" x14ac:dyDescent="0.3">
      <c r="A9" t="str">
        <f>INDEX(tblModelCategory[category_name],MATCH("Laptops &amp; Computers",tblModelCategory[category_name],0))</f>
        <v>Laptops &amp; Computers</v>
      </c>
      <c r="B9" s="12">
        <f>SUMIFS(tblModelCategory[lines],tblModelCategory[category_name],A9)</f>
        <v>23849</v>
      </c>
      <c r="C9" s="12">
        <f>SUMIFS(tblModelCategory[return_count],tblModelCategory[category_name],A9)</f>
        <v>1108</v>
      </c>
      <c r="D9" s="13">
        <f t="shared" si="0"/>
        <v>4.6458971026038826E-2</v>
      </c>
      <c r="E9" s="12">
        <f>SUMIFS(tblModelCategory[refund_amount],tblModelCategory[category_name],A9)</f>
        <v>120142131</v>
      </c>
      <c r="F9" t="str">
        <f t="shared" si="1"/>
        <v>Above Average - Investigate Return Reasons</v>
      </c>
    </row>
    <row r="10" spans="1:9" x14ac:dyDescent="0.3">
      <c r="A10" t="str">
        <f>INDEX(tblModelCategory[category_name],MATCH("Mobiles &amp; Accessories",tblModelCategory[category_name],0))</f>
        <v>Mobiles &amp; Accessories</v>
      </c>
      <c r="B10" s="12">
        <f>SUMIFS(tblModelCategory[lines],tblModelCategory[category_name],A10)</f>
        <v>30469</v>
      </c>
      <c r="C10" s="12">
        <f>SUMIFS(tblModelCategory[return_count],tblModelCategory[category_name],A10)</f>
        <v>1326</v>
      </c>
      <c r="D10" s="13">
        <f t="shared" si="0"/>
        <v>4.3519642915750438E-2</v>
      </c>
      <c r="E10" s="12">
        <f>SUMIFS(tblModelCategory[refund_amount],tblModelCategory[category_name],A10)</f>
        <v>69832084</v>
      </c>
      <c r="F10" t="str">
        <f t="shared" si="1"/>
        <v>Above Average - Investigate Return Reasons</v>
      </c>
    </row>
    <row r="11" spans="1:9" x14ac:dyDescent="0.3">
      <c r="A11" t="str">
        <f>INDEX(tblModelCategory[category_name],MATCH("Televisions",tblModelCategory[category_name],0))</f>
        <v>Televisions</v>
      </c>
      <c r="B11" s="12">
        <f>SUMIFS(tblModelCategory[lines],tblModelCategory[category_name],A11)</f>
        <v>38075</v>
      </c>
      <c r="C11" s="12">
        <f>SUMIFS(tblModelCategory[return_count],tblModelCategory[category_name],A11)</f>
        <v>1575</v>
      </c>
      <c r="D11" s="13">
        <f t="shared" si="0"/>
        <v>4.1365725541694022E-2</v>
      </c>
      <c r="E11" s="12">
        <f>SUMIFS(tblModelCategory[refund_amount],tblModelCategory[category_name],A11)</f>
        <v>88979549</v>
      </c>
      <c r="F11" t="str">
        <f t="shared" si="1"/>
        <v>Above Average - Investigate Return Reasons</v>
      </c>
    </row>
    <row r="12" spans="1:9" x14ac:dyDescent="0.3">
      <c r="A12" t="str">
        <f>INDEX(tblModelCategory[category_name],MATCH("Home Audio",tblModelCategory[category_name],0))</f>
        <v>Home Audio</v>
      </c>
      <c r="B12" s="12">
        <f>SUMIFS(tblModelCategory[lines],tblModelCategory[category_name],A12)</f>
        <v>28038</v>
      </c>
      <c r="C12" s="12">
        <f>SUMIFS(tblModelCategory[return_count],tblModelCategory[category_name],A12)</f>
        <v>1084</v>
      </c>
      <c r="D12" s="13">
        <f t="shared" si="0"/>
        <v>3.8661816106712321E-2</v>
      </c>
      <c r="E12" s="12">
        <f>SUMIFS(tblModelCategory[refund_amount],tblModelCategory[category_name],A12)</f>
        <v>18808093</v>
      </c>
      <c r="F12" t="str">
        <f t="shared" si="1"/>
        <v>Above Average - Investigate Return Reasons</v>
      </c>
    </row>
    <row r="13" spans="1:9" x14ac:dyDescent="0.3">
      <c r="A13" t="str">
        <f>INDEX(tblModelCategory[category_name],MATCH("Air Conditioners &amp; Coolers",tblModelCategory[category_name],0))</f>
        <v>Air Conditioners &amp; Coolers</v>
      </c>
      <c r="B13" s="12">
        <f>SUMIFS(tblModelCategory[lines],tblModelCategory[category_name],A13)</f>
        <v>20282</v>
      </c>
      <c r="C13" s="12">
        <f>SUMIFS(tblModelCategory[return_count],tblModelCategory[category_name],A13)</f>
        <v>730</v>
      </c>
      <c r="D13" s="13">
        <f t="shared" si="0"/>
        <v>3.5992505670052265E-2</v>
      </c>
      <c r="E13" s="12">
        <f>SUMIFS(tblModelCategory[refund_amount],tblModelCategory[category_name],A13)</f>
        <v>47019318</v>
      </c>
      <c r="F13" t="str">
        <f t="shared" si="1"/>
        <v>Within Normal Range</v>
      </c>
    </row>
    <row r="14" spans="1:9" x14ac:dyDescent="0.3">
      <c r="A14" t="str">
        <f>INDEX(tblModelCategory[category_name],MATCH("Refrigerators",tblModelCategory[category_name],0))</f>
        <v>Refrigerators</v>
      </c>
      <c r="B14" s="12">
        <f>SUMIFS(tblModelCategory[lines],tblModelCategory[category_name],A14)</f>
        <v>60041</v>
      </c>
      <c r="C14" s="12">
        <f>SUMIFS(tblModelCategory[return_count],tblModelCategory[category_name],A14)</f>
        <v>2129</v>
      </c>
      <c r="D14" s="13">
        <f t="shared" si="0"/>
        <v>3.5459102946320015E-2</v>
      </c>
      <c r="E14" s="12">
        <f>SUMIFS(tblModelCategory[refund_amount],tblModelCategory[category_name],A14)</f>
        <v>139694518</v>
      </c>
      <c r="F14" t="str">
        <f t="shared" si="1"/>
        <v>Within Normal Range</v>
      </c>
    </row>
    <row r="15" spans="1:9" x14ac:dyDescent="0.3">
      <c r="A15" t="str">
        <f>INDEX(tblModelCategory[category_name],MATCH("Washing Machines",tblModelCategory[category_name],0))</f>
        <v>Washing Machines</v>
      </c>
      <c r="B15" s="12">
        <f>SUMIFS(tblModelCategory[lines],tblModelCategory[category_name],A15)</f>
        <v>20087</v>
      </c>
      <c r="C15" s="12">
        <f>SUMIFS(tblModelCategory[return_count],tblModelCategory[category_name],A15)</f>
        <v>682</v>
      </c>
      <c r="D15" s="13">
        <f t="shared" si="0"/>
        <v>3.395230746253796E-2</v>
      </c>
      <c r="E15" s="12">
        <f>SUMIFS(tblModelCategory[refund_amount],tblModelCategory[category_name],A15)</f>
        <v>39892561</v>
      </c>
      <c r="F15" t="str">
        <f t="shared" si="1"/>
        <v>Within Normal Range</v>
      </c>
    </row>
    <row r="16" spans="1:9" x14ac:dyDescent="0.3">
      <c r="A16" t="str">
        <f>INDEX(tblModelCategory[category_name],MATCH("Toys &amp; Games",tblModelCategory[category_name],0))</f>
        <v>Toys &amp; Games</v>
      </c>
      <c r="B16" s="12">
        <f>SUMIFS(tblModelCategory[lines],tblModelCategory[category_name],A16)</f>
        <v>30724</v>
      </c>
      <c r="C16" s="12">
        <f>SUMIFS(tblModelCategory[return_count],tblModelCategory[category_name],A16)</f>
        <v>964</v>
      </c>
      <c r="D16" s="13">
        <f t="shared" si="0"/>
        <v>3.1376122900663973E-2</v>
      </c>
      <c r="E16" s="12">
        <f>SUMIFS(tblModelCategory[refund_amount],tblModelCategory[category_name],A16)</f>
        <v>3945164</v>
      </c>
      <c r="F16" t="str">
        <f t="shared" si="1"/>
        <v>Within Normal Range</v>
      </c>
    </row>
    <row r="17" spans="1:6" x14ac:dyDescent="0.3">
      <c r="A17" t="str">
        <f>INDEX(tblModelCategory[category_name],MATCH("Furniture",tblModelCategory[category_name],0))</f>
        <v>Furniture</v>
      </c>
      <c r="B17" s="12">
        <f>SUMIFS(tblModelCategory[lines],tblModelCategory[category_name],A17)</f>
        <v>36122</v>
      </c>
      <c r="C17" s="12">
        <f>SUMIFS(tblModelCategory[return_count],tblModelCategory[category_name],A17)</f>
        <v>1131</v>
      </c>
      <c r="D17" s="13">
        <f t="shared" si="0"/>
        <v>3.1310558662311055E-2</v>
      </c>
      <c r="E17" s="12">
        <f>SUMIFS(tblModelCategory[refund_amount],tblModelCategory[category_name],A17)</f>
        <v>59141680</v>
      </c>
      <c r="F17" t="str">
        <f t="shared" si="1"/>
        <v>Within Normal Range</v>
      </c>
    </row>
    <row r="18" spans="1:6" x14ac:dyDescent="0.3">
      <c r="A18" t="str">
        <f>INDEX(tblModelCategory[category_name],MATCH("Festive &amp; Gifting",tblModelCategory[category_name],0))</f>
        <v>Festive &amp; Gifting</v>
      </c>
      <c r="B18" s="12">
        <f>SUMIFS(tblModelCategory[lines],tblModelCategory[category_name],A18)</f>
        <v>41399</v>
      </c>
      <c r="C18" s="12">
        <f>SUMIFS(tblModelCategory[return_count],tblModelCategory[category_name],A18)</f>
        <v>1238</v>
      </c>
      <c r="D18" s="13">
        <f t="shared" si="0"/>
        <v>2.9904103963863862E-2</v>
      </c>
      <c r="E18" s="12">
        <f>SUMIFS(tblModelCategory[refund_amount],tblModelCategory[category_name],A18)</f>
        <v>6073270</v>
      </c>
      <c r="F18" t="str">
        <f t="shared" si="1"/>
        <v>Within Normal Range</v>
      </c>
    </row>
    <row r="19" spans="1:6" x14ac:dyDescent="0.3">
      <c r="A19" t="str">
        <f>INDEX(tblModelCategory[category_name],MATCH("Home Decor",tblModelCategory[category_name],0))</f>
        <v>Home Decor</v>
      </c>
      <c r="B19" s="12">
        <f>SUMIFS(tblModelCategory[lines],tblModelCategory[category_name],A19)</f>
        <v>21871</v>
      </c>
      <c r="C19" s="12">
        <f>SUMIFS(tblModelCategory[return_count],tblModelCategory[category_name],A19)</f>
        <v>629</v>
      </c>
      <c r="D19" s="13">
        <f t="shared" si="0"/>
        <v>2.8759544602441588E-2</v>
      </c>
      <c r="E19" s="12">
        <f>SUMIFS(tblModelCategory[refund_amount],tblModelCategory[category_name],A19)</f>
        <v>4586453</v>
      </c>
      <c r="F19" t="str">
        <f t="shared" si="1"/>
        <v>Within Normal Range</v>
      </c>
    </row>
    <row r="20" spans="1:6" x14ac:dyDescent="0.3">
      <c r="A20" t="str">
        <f>INDEX(tblModelCategory[category_name],MATCH("Kitchen Appliances",tblModelCategory[category_name],0))</f>
        <v>Kitchen Appliances</v>
      </c>
      <c r="B20" s="12">
        <f>SUMIFS(tblModelCategory[lines],tblModelCategory[category_name],A20)</f>
        <v>36206</v>
      </c>
      <c r="C20" s="12">
        <f>SUMIFS(tblModelCategory[return_count],tblModelCategory[category_name],A20)</f>
        <v>1037</v>
      </c>
      <c r="D20" s="13">
        <f t="shared" si="0"/>
        <v>2.8641661603049217E-2</v>
      </c>
      <c r="E20" s="12">
        <f>SUMIFS(tblModelCategory[refund_amount],tblModelCategory[category_name],A20)</f>
        <v>16974845</v>
      </c>
      <c r="F20" t="str">
        <f t="shared" si="1"/>
        <v>Within Normal Range</v>
      </c>
    </row>
    <row r="21" spans="1:6" x14ac:dyDescent="0.3">
      <c r="A21" t="str">
        <f>INDEX(tblModelCategory[category_name],MATCH("Heaters &amp; Winter Appliances",tblModelCategory[category_name],0))</f>
        <v>Heaters &amp; Winter Appliances</v>
      </c>
      <c r="B21" s="12">
        <f>SUMIFS(tblModelCategory[lines],tblModelCategory[category_name],A21)</f>
        <v>26198</v>
      </c>
      <c r="C21" s="12">
        <f>SUMIFS(tblModelCategory[return_count],tblModelCategory[category_name],A21)</f>
        <v>703</v>
      </c>
      <c r="D21" s="13">
        <f t="shared" si="0"/>
        <v>2.6834109474005649E-2</v>
      </c>
      <c r="E21" s="12">
        <f>SUMIFS(tblModelCategory[refund_amount],tblModelCategory[category_name],A21)</f>
        <v>6392296</v>
      </c>
      <c r="F21" t="str">
        <f t="shared" si="1"/>
        <v>Within Normal Range</v>
      </c>
    </row>
    <row r="22" spans="1:6" x14ac:dyDescent="0.3">
      <c r="A22" t="str">
        <f>INDEX(tblModelCategory[category_name],MATCH("Kitchenware",tblModelCategory[category_name],0))</f>
        <v>Kitchenware</v>
      </c>
      <c r="B22" s="12">
        <f>SUMIFS(tblModelCategory[lines],tblModelCategory[category_name],A22)</f>
        <v>29968</v>
      </c>
      <c r="C22" s="12">
        <f>SUMIFS(tblModelCategory[return_count],tblModelCategory[category_name],A22)</f>
        <v>784</v>
      </c>
      <c r="D22" s="13">
        <f t="shared" si="0"/>
        <v>2.6161238654564871E-2</v>
      </c>
      <c r="E22" s="12">
        <f>SUMIFS(tblModelCategory[refund_amount],tblModelCategory[category_name],A22)</f>
        <v>3284893</v>
      </c>
      <c r="F22" t="str">
        <f t="shared" si="1"/>
        <v>Within Normal Range</v>
      </c>
    </row>
    <row r="23" spans="1:6" x14ac:dyDescent="0.3">
      <c r="A23" t="str">
        <f>INDEX(tblModelCategory[category_name],MATCH("Personal Care",tblModelCategory[category_name],0))</f>
        <v>Personal Care</v>
      </c>
      <c r="B23" s="12">
        <f>SUMIFS(tblModelCategory[lines],tblModelCategory[category_name],A23)</f>
        <v>35175</v>
      </c>
      <c r="C23" s="12">
        <f>SUMIFS(tblModelCategory[return_count],tblModelCategory[category_name],A23)</f>
        <v>266</v>
      </c>
      <c r="D23" s="13">
        <f t="shared" si="0"/>
        <v>7.5621890547263679E-3</v>
      </c>
      <c r="E23" s="12">
        <f>SUMIFS(tblModelCategory[refund_amount],tblModelCategory[category_name],A23)</f>
        <v>458580</v>
      </c>
      <c r="F23" t="str">
        <f t="shared" si="1"/>
        <v>Within Normal Range</v>
      </c>
    </row>
    <row r="24" spans="1:6" x14ac:dyDescent="0.3">
      <c r="A24" t="str">
        <f>INDEX(tblModelCategory[category_name],MATCH("Groceries &amp; Staples",tblModelCategory[category_name],0))</f>
        <v>Groceries &amp; Staples</v>
      </c>
      <c r="B24" s="12">
        <f>SUMIFS(tblModelCategory[lines],tblModelCategory[category_name],A24)</f>
        <v>32688</v>
      </c>
      <c r="C24" s="12">
        <f>SUMIFS(tblModelCategory[return_count],tblModelCategory[category_name],A24)</f>
        <v>244</v>
      </c>
      <c r="D24" s="13">
        <f t="shared" si="0"/>
        <v>7.4645129711209002E-3</v>
      </c>
      <c r="E24" s="12">
        <f>SUMIFS(tblModelCategory[refund_amount],tblModelCategory[category_name],A24)</f>
        <v>278695</v>
      </c>
      <c r="F24" t="str">
        <f t="shared" si="1"/>
        <v>Within Normal Range</v>
      </c>
    </row>
  </sheetData>
  <conditionalFormatting sqref="F5:F24">
    <cfRule type="cellIs" dxfId="6" priority="1" operator="equal">
      <formula>"Above Average - Investigate Return Reasons"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8080"/>
  </sheetPr>
  <dimension ref="A1:I64"/>
  <sheetViews>
    <sheetView showGridLines="0" workbookViewId="0">
      <selection activeCell="J9" sqref="J9"/>
    </sheetView>
  </sheetViews>
  <sheetFormatPr defaultRowHeight="14.4" x14ac:dyDescent="0.3"/>
  <cols>
    <col min="1" max="1" width="18" customWidth="1"/>
    <col min="2" max="6" width="16" customWidth="1"/>
  </cols>
  <sheetData>
    <row r="1" spans="1:9" ht="16.8" x14ac:dyDescent="0.3">
      <c r="A1" s="10" t="s">
        <v>838</v>
      </c>
      <c r="H1" t="s">
        <v>839</v>
      </c>
      <c r="I1">
        <f>AVERAGE(tblModelSLA[late_rate])</f>
        <v>9.0804999999999983E-2</v>
      </c>
    </row>
    <row r="2" spans="1:9" ht="16.2" customHeight="1" x14ac:dyDescent="0.3">
      <c r="A2" s="15"/>
    </row>
    <row r="4" spans="1:9" x14ac:dyDescent="0.3">
      <c r="A4" s="16" t="s">
        <v>811</v>
      </c>
      <c r="B4" s="16" t="s">
        <v>840</v>
      </c>
      <c r="C4" s="16" t="s">
        <v>841</v>
      </c>
      <c r="D4" s="16" t="s">
        <v>842</v>
      </c>
      <c r="E4" s="16" t="s">
        <v>843</v>
      </c>
      <c r="F4" s="16" t="s">
        <v>832</v>
      </c>
    </row>
    <row r="5" spans="1:9" x14ac:dyDescent="0.3">
      <c r="A5" t="s">
        <v>85</v>
      </c>
      <c r="B5" t="s">
        <v>786</v>
      </c>
      <c r="C5" s="12">
        <f>SUMIFS(tblModelSLA[shipment_count],tblModelSLA[region_name],A5,tblModelSLA[courier_partner],B5)</f>
        <v>5310</v>
      </c>
      <c r="D5" s="12">
        <f>SUMIFS(tblModelSLA[late_count],tblModelSLA[region_name],A5,tblModelSLA[courier_partner],B5)</f>
        <v>732</v>
      </c>
      <c r="E5" s="13">
        <f t="shared" ref="E5:E36" si="0">D5/C5</f>
        <v>0.13785310734463277</v>
      </c>
      <c r="F5" t="str">
        <f t="shared" ref="F5:F36" si="1">IF(E5&gt;$I$1,"Above Average Late Rate","Within Normal Range")</f>
        <v>Above Average Late Rate</v>
      </c>
    </row>
    <row r="6" spans="1:9" x14ac:dyDescent="0.3">
      <c r="A6" t="s">
        <v>85</v>
      </c>
      <c r="B6" t="s">
        <v>784</v>
      </c>
      <c r="C6" s="12">
        <f>SUMIFS(tblModelSLA[shipment_count],tblModelSLA[region_name],A6,tblModelSLA[courier_partner],B6)</f>
        <v>5345</v>
      </c>
      <c r="D6" s="12">
        <f>SUMIFS(tblModelSLA[late_count],tblModelSLA[region_name],A6,tblModelSLA[courier_partner],B6)</f>
        <v>717</v>
      </c>
      <c r="E6" s="13">
        <f t="shared" si="0"/>
        <v>0.13414405986903649</v>
      </c>
      <c r="F6" t="str">
        <f t="shared" si="1"/>
        <v>Above Average Late Rate</v>
      </c>
    </row>
    <row r="7" spans="1:9" x14ac:dyDescent="0.3">
      <c r="A7" t="s">
        <v>85</v>
      </c>
      <c r="B7" t="s">
        <v>782</v>
      </c>
      <c r="C7" s="12">
        <f>SUMIFS(tblModelSLA[shipment_count],tblModelSLA[region_name],A7,tblModelSLA[courier_partner],B7)</f>
        <v>5576</v>
      </c>
      <c r="D7" s="12">
        <f>SUMIFS(tblModelSLA[late_count],tblModelSLA[region_name],A7,tblModelSLA[courier_partner],B7)</f>
        <v>743</v>
      </c>
      <c r="E7" s="13">
        <f t="shared" si="0"/>
        <v>0.1332496413199426</v>
      </c>
      <c r="F7" t="str">
        <f t="shared" si="1"/>
        <v>Above Average Late Rate</v>
      </c>
    </row>
    <row r="8" spans="1:9" x14ac:dyDescent="0.3">
      <c r="A8" t="s">
        <v>85</v>
      </c>
      <c r="B8" t="s">
        <v>783</v>
      </c>
      <c r="C8" s="12">
        <f>SUMIFS(tblModelSLA[shipment_count],tblModelSLA[region_name],A8,tblModelSLA[courier_partner],B8)</f>
        <v>5446</v>
      </c>
      <c r="D8" s="12">
        <f>SUMIFS(tblModelSLA[late_count],tblModelSLA[region_name],A8,tblModelSLA[courier_partner],B8)</f>
        <v>722</v>
      </c>
      <c r="E8" s="13">
        <f t="shared" si="0"/>
        <v>0.13257436650752846</v>
      </c>
      <c r="F8" t="str">
        <f t="shared" si="1"/>
        <v>Above Average Late Rate</v>
      </c>
    </row>
    <row r="9" spans="1:9" x14ac:dyDescent="0.3">
      <c r="A9" t="s">
        <v>85</v>
      </c>
      <c r="B9" t="s">
        <v>785</v>
      </c>
      <c r="C9" s="12">
        <f>SUMIFS(tblModelSLA[shipment_count],tblModelSLA[region_name],A9,tblModelSLA[courier_partner],B9)</f>
        <v>5418</v>
      </c>
      <c r="D9" s="12">
        <f>SUMIFS(tblModelSLA[late_count],tblModelSLA[region_name],A9,tblModelSLA[courier_partner],B9)</f>
        <v>687</v>
      </c>
      <c r="E9" s="13">
        <f t="shared" si="0"/>
        <v>0.12679955703211518</v>
      </c>
      <c r="F9" t="str">
        <f t="shared" si="1"/>
        <v>Above Average Late Rate</v>
      </c>
    </row>
    <row r="10" spans="1:9" x14ac:dyDescent="0.3">
      <c r="A10" t="s">
        <v>89</v>
      </c>
      <c r="B10" t="s">
        <v>784</v>
      </c>
      <c r="C10" s="12">
        <f>SUMIFS(tblModelSLA[shipment_count],tblModelSLA[region_name],A10,tblModelSLA[courier_partner],B10)</f>
        <v>4064</v>
      </c>
      <c r="D10" s="12">
        <f>SUMIFS(tblModelSLA[late_count],tblModelSLA[region_name],A10,tblModelSLA[courier_partner],B10)</f>
        <v>449</v>
      </c>
      <c r="E10" s="13">
        <f t="shared" si="0"/>
        <v>0.11048228346456693</v>
      </c>
      <c r="F10" t="str">
        <f t="shared" si="1"/>
        <v>Above Average Late Rate</v>
      </c>
    </row>
    <row r="11" spans="1:9" x14ac:dyDescent="0.3">
      <c r="A11" t="s">
        <v>89</v>
      </c>
      <c r="B11" t="s">
        <v>782</v>
      </c>
      <c r="C11" s="12">
        <f>SUMIFS(tblModelSLA[shipment_count],tblModelSLA[region_name],A11,tblModelSLA[courier_partner],B11)</f>
        <v>4207</v>
      </c>
      <c r="D11" s="12">
        <f>SUMIFS(tblModelSLA[late_count],tblModelSLA[region_name],A11,tblModelSLA[courier_partner],B11)</f>
        <v>447</v>
      </c>
      <c r="E11" s="13">
        <f t="shared" si="0"/>
        <v>0.10625148561920608</v>
      </c>
      <c r="F11" t="str">
        <f t="shared" si="1"/>
        <v>Above Average Late Rate</v>
      </c>
    </row>
    <row r="12" spans="1:9" x14ac:dyDescent="0.3">
      <c r="A12" t="s">
        <v>89</v>
      </c>
      <c r="B12" t="s">
        <v>783</v>
      </c>
      <c r="C12" s="12">
        <f>SUMIFS(tblModelSLA[shipment_count],tblModelSLA[region_name],A12,tblModelSLA[courier_partner],B12)</f>
        <v>4076</v>
      </c>
      <c r="D12" s="12">
        <f>SUMIFS(tblModelSLA[late_count],tblModelSLA[region_name],A12,tblModelSLA[courier_partner],B12)</f>
        <v>428</v>
      </c>
      <c r="E12" s="13">
        <f t="shared" si="0"/>
        <v>0.10500490677134446</v>
      </c>
      <c r="F12" t="str">
        <f t="shared" si="1"/>
        <v>Above Average Late Rate</v>
      </c>
    </row>
    <row r="13" spans="1:9" x14ac:dyDescent="0.3">
      <c r="A13" t="s">
        <v>89</v>
      </c>
      <c r="B13" t="s">
        <v>785</v>
      </c>
      <c r="C13" s="12">
        <f>SUMIFS(tblModelSLA[shipment_count],tblModelSLA[region_name],A13,tblModelSLA[courier_partner],B13)</f>
        <v>4091</v>
      </c>
      <c r="D13" s="12">
        <f>SUMIFS(tblModelSLA[late_count],tblModelSLA[region_name],A13,tblModelSLA[courier_partner],B13)</f>
        <v>427</v>
      </c>
      <c r="E13" s="13">
        <f t="shared" si="0"/>
        <v>0.10437545832314837</v>
      </c>
      <c r="F13" t="str">
        <f t="shared" si="1"/>
        <v>Above Average Late Rate</v>
      </c>
    </row>
    <row r="14" spans="1:9" x14ac:dyDescent="0.3">
      <c r="A14" t="s">
        <v>80</v>
      </c>
      <c r="B14" t="s">
        <v>786</v>
      </c>
      <c r="C14" s="12">
        <f>SUMIFS(tblModelSLA[shipment_count],tblModelSLA[region_name],A14,tblModelSLA[courier_partner],B14)</f>
        <v>5247</v>
      </c>
      <c r="D14" s="12">
        <f>SUMIFS(tblModelSLA[late_count],tblModelSLA[region_name],A14,tblModelSLA[courier_partner],B14)</f>
        <v>541</v>
      </c>
      <c r="E14" s="13">
        <f t="shared" si="0"/>
        <v>0.10310653706880121</v>
      </c>
      <c r="F14" t="str">
        <f t="shared" si="1"/>
        <v>Above Average Late Rate</v>
      </c>
    </row>
    <row r="15" spans="1:9" x14ac:dyDescent="0.3">
      <c r="A15" t="s">
        <v>89</v>
      </c>
      <c r="B15" t="s">
        <v>786</v>
      </c>
      <c r="C15" s="12">
        <f>SUMIFS(tblModelSLA[shipment_count],tblModelSLA[region_name],A15,tblModelSLA[courier_partner],B15)</f>
        <v>4334</v>
      </c>
      <c r="D15" s="12">
        <f>SUMIFS(tblModelSLA[late_count],tblModelSLA[region_name],A15,tblModelSLA[courier_partner],B15)</f>
        <v>446</v>
      </c>
      <c r="E15" s="13">
        <f t="shared" si="0"/>
        <v>0.10290724503922473</v>
      </c>
      <c r="F15" t="str">
        <f t="shared" si="1"/>
        <v>Above Average Late Rate</v>
      </c>
    </row>
    <row r="16" spans="1:9" x14ac:dyDescent="0.3">
      <c r="A16" t="s">
        <v>80</v>
      </c>
      <c r="B16" t="s">
        <v>782</v>
      </c>
      <c r="C16" s="12">
        <f>SUMIFS(tblModelSLA[shipment_count],tblModelSLA[region_name],A16,tblModelSLA[courier_partner],B16)</f>
        <v>5349</v>
      </c>
      <c r="D16" s="12">
        <f>SUMIFS(tblModelSLA[late_count],tblModelSLA[region_name],A16,tblModelSLA[courier_partner],B16)</f>
        <v>541</v>
      </c>
      <c r="E16" s="13">
        <f t="shared" si="0"/>
        <v>0.10114040007478033</v>
      </c>
      <c r="F16" t="str">
        <f t="shared" si="1"/>
        <v>Above Average Late Rate</v>
      </c>
    </row>
    <row r="17" spans="1:6" x14ac:dyDescent="0.3">
      <c r="A17" t="s">
        <v>80</v>
      </c>
      <c r="B17" t="s">
        <v>784</v>
      </c>
      <c r="C17" s="12">
        <f>SUMIFS(tblModelSLA[shipment_count],tblModelSLA[region_name],A17,tblModelSLA[courier_partner],B17)</f>
        <v>5357</v>
      </c>
      <c r="D17" s="12">
        <f>SUMIFS(tblModelSLA[late_count],tblModelSLA[region_name],A17,tblModelSLA[courier_partner],B17)</f>
        <v>536</v>
      </c>
      <c r="E17" s="13">
        <f t="shared" si="0"/>
        <v>0.10005600149337315</v>
      </c>
      <c r="F17" t="str">
        <f t="shared" si="1"/>
        <v>Above Average Late Rate</v>
      </c>
    </row>
    <row r="18" spans="1:6" x14ac:dyDescent="0.3">
      <c r="A18" t="s">
        <v>78</v>
      </c>
      <c r="B18" t="s">
        <v>785</v>
      </c>
      <c r="C18" s="12">
        <f>SUMIFS(tblModelSLA[shipment_count],tblModelSLA[region_name],A18,tblModelSLA[courier_partner],B18)</f>
        <v>4172</v>
      </c>
      <c r="D18" s="12">
        <f>SUMIFS(tblModelSLA[late_count],tblModelSLA[region_name],A18,tblModelSLA[courier_partner],B18)</f>
        <v>408</v>
      </c>
      <c r="E18" s="13">
        <f t="shared" si="0"/>
        <v>9.7794822627037398E-2</v>
      </c>
      <c r="F18" t="str">
        <f t="shared" si="1"/>
        <v>Above Average Late Rate</v>
      </c>
    </row>
    <row r="19" spans="1:6" x14ac:dyDescent="0.3">
      <c r="A19" t="s">
        <v>78</v>
      </c>
      <c r="B19" t="s">
        <v>784</v>
      </c>
      <c r="C19" s="12">
        <f>SUMIFS(tblModelSLA[shipment_count],tblModelSLA[region_name],A19,tblModelSLA[courier_partner],B19)</f>
        <v>4153</v>
      </c>
      <c r="D19" s="12">
        <f>SUMIFS(tblModelSLA[late_count],tblModelSLA[region_name],A19,tblModelSLA[courier_partner],B19)</f>
        <v>404</v>
      </c>
      <c r="E19" s="13">
        <f t="shared" si="0"/>
        <v>9.7279075367204426E-2</v>
      </c>
      <c r="F19" t="str">
        <f t="shared" si="1"/>
        <v>Above Average Late Rate</v>
      </c>
    </row>
    <row r="20" spans="1:6" x14ac:dyDescent="0.3">
      <c r="A20" t="s">
        <v>80</v>
      </c>
      <c r="B20" t="s">
        <v>783</v>
      </c>
      <c r="C20" s="12">
        <f>SUMIFS(tblModelSLA[shipment_count],tblModelSLA[region_name],A20,tblModelSLA[courier_partner],B20)</f>
        <v>5425</v>
      </c>
      <c r="D20" s="12">
        <f>SUMIFS(tblModelSLA[late_count],tblModelSLA[region_name],A20,tblModelSLA[courier_partner],B20)</f>
        <v>525</v>
      </c>
      <c r="E20" s="13">
        <f t="shared" si="0"/>
        <v>9.6774193548387094E-2</v>
      </c>
      <c r="F20" t="str">
        <f t="shared" si="1"/>
        <v>Above Average Late Rate</v>
      </c>
    </row>
    <row r="21" spans="1:6" x14ac:dyDescent="0.3">
      <c r="A21" t="s">
        <v>78</v>
      </c>
      <c r="B21" t="s">
        <v>783</v>
      </c>
      <c r="C21" s="12">
        <f>SUMIFS(tblModelSLA[shipment_count],tblModelSLA[region_name],A21,tblModelSLA[courier_partner],B21)</f>
        <v>4009</v>
      </c>
      <c r="D21" s="12">
        <f>SUMIFS(tblModelSLA[late_count],tblModelSLA[region_name],A21,tblModelSLA[courier_partner],B21)</f>
        <v>385</v>
      </c>
      <c r="E21" s="13">
        <f t="shared" si="0"/>
        <v>9.6033923671738589E-2</v>
      </c>
      <c r="F21" t="str">
        <f t="shared" si="1"/>
        <v>Above Average Late Rate</v>
      </c>
    </row>
    <row r="22" spans="1:6" x14ac:dyDescent="0.3">
      <c r="A22" t="s">
        <v>80</v>
      </c>
      <c r="B22" t="s">
        <v>785</v>
      </c>
      <c r="C22" s="12">
        <f>SUMIFS(tblModelSLA[shipment_count],tblModelSLA[region_name],A22,tblModelSLA[courier_partner],B22)</f>
        <v>5484</v>
      </c>
      <c r="D22" s="12">
        <f>SUMIFS(tblModelSLA[late_count],tblModelSLA[region_name],A22,tblModelSLA[courier_partner],B22)</f>
        <v>526</v>
      </c>
      <c r="E22" s="13">
        <f t="shared" si="0"/>
        <v>9.5915390226112326E-2</v>
      </c>
      <c r="F22" t="str">
        <f t="shared" si="1"/>
        <v>Above Average Late Rate</v>
      </c>
    </row>
    <row r="23" spans="1:6" x14ac:dyDescent="0.3">
      <c r="A23" t="s">
        <v>90</v>
      </c>
      <c r="B23" t="s">
        <v>782</v>
      </c>
      <c r="C23" s="12">
        <f>SUMIFS(tblModelSLA[shipment_count],tblModelSLA[region_name],A23,tblModelSLA[courier_partner],B23)</f>
        <v>5449</v>
      </c>
      <c r="D23" s="12">
        <f>SUMIFS(tblModelSLA[late_count],tblModelSLA[region_name],A23,tblModelSLA[courier_partner],B23)</f>
        <v>522</v>
      </c>
      <c r="E23" s="13">
        <f t="shared" si="0"/>
        <v>9.5797394017250875E-2</v>
      </c>
      <c r="F23" t="str">
        <f t="shared" si="1"/>
        <v>Above Average Late Rate</v>
      </c>
    </row>
    <row r="24" spans="1:6" x14ac:dyDescent="0.3">
      <c r="A24" t="s">
        <v>78</v>
      </c>
      <c r="B24" t="s">
        <v>786</v>
      </c>
      <c r="C24" s="12">
        <f>SUMIFS(tblModelSLA[shipment_count],tblModelSLA[region_name],A24,tblModelSLA[courier_partner],B24)</f>
        <v>3986</v>
      </c>
      <c r="D24" s="12">
        <f>SUMIFS(tblModelSLA[late_count],tblModelSLA[region_name],A24,tblModelSLA[courier_partner],B24)</f>
        <v>382</v>
      </c>
      <c r="E24" s="13">
        <f t="shared" si="0"/>
        <v>9.5835423983943804E-2</v>
      </c>
      <c r="F24" t="str">
        <f t="shared" si="1"/>
        <v>Above Average Late Rate</v>
      </c>
    </row>
    <row r="25" spans="1:6" x14ac:dyDescent="0.3">
      <c r="A25" t="s">
        <v>88</v>
      </c>
      <c r="B25" t="s">
        <v>785</v>
      </c>
      <c r="C25" s="12">
        <f>SUMIFS(tblModelSLA[shipment_count],tblModelSLA[region_name],A25,tblModelSLA[courier_partner],B25)</f>
        <v>6785</v>
      </c>
      <c r="D25" s="12">
        <f>SUMIFS(tblModelSLA[late_count],tblModelSLA[region_name],A25,tblModelSLA[courier_partner],B25)</f>
        <v>644</v>
      </c>
      <c r="E25" s="13">
        <f t="shared" si="0"/>
        <v>9.4915254237288138E-2</v>
      </c>
      <c r="F25" t="str">
        <f t="shared" si="1"/>
        <v>Above Average Late Rate</v>
      </c>
    </row>
    <row r="26" spans="1:6" x14ac:dyDescent="0.3">
      <c r="A26" t="s">
        <v>88</v>
      </c>
      <c r="B26" t="s">
        <v>786</v>
      </c>
      <c r="C26" s="12">
        <f>SUMIFS(tblModelSLA[shipment_count],tblModelSLA[region_name],A26,tblModelSLA[courier_partner],B26)</f>
        <v>6601</v>
      </c>
      <c r="D26" s="12">
        <f>SUMIFS(tblModelSLA[late_count],tblModelSLA[region_name],A26,tblModelSLA[courier_partner],B26)</f>
        <v>620</v>
      </c>
      <c r="E26" s="13">
        <f t="shared" si="0"/>
        <v>9.3925162854113009E-2</v>
      </c>
      <c r="F26" t="str">
        <f t="shared" si="1"/>
        <v>Above Average Late Rate</v>
      </c>
    </row>
    <row r="27" spans="1:6" x14ac:dyDescent="0.3">
      <c r="A27" t="s">
        <v>78</v>
      </c>
      <c r="B27" t="s">
        <v>782</v>
      </c>
      <c r="C27" s="12">
        <f>SUMIFS(tblModelSLA[shipment_count],tblModelSLA[region_name],A27,tblModelSLA[courier_partner],B27)</f>
        <v>4142</v>
      </c>
      <c r="D27" s="12">
        <f>SUMIFS(tblModelSLA[late_count],tblModelSLA[region_name],A27,tblModelSLA[courier_partner],B27)</f>
        <v>388</v>
      </c>
      <c r="E27" s="13">
        <f t="shared" si="0"/>
        <v>9.3674553355866733E-2</v>
      </c>
      <c r="F27" t="str">
        <f t="shared" si="1"/>
        <v>Above Average Late Rate</v>
      </c>
    </row>
    <row r="28" spans="1:6" x14ac:dyDescent="0.3">
      <c r="A28" t="s">
        <v>90</v>
      </c>
      <c r="B28" t="s">
        <v>783</v>
      </c>
      <c r="C28" s="12">
        <f>SUMIFS(tblModelSLA[shipment_count],tblModelSLA[region_name],A28,tblModelSLA[courier_partner],B28)</f>
        <v>5477</v>
      </c>
      <c r="D28" s="12">
        <f>SUMIFS(tblModelSLA[late_count],tblModelSLA[region_name],A28,tblModelSLA[courier_partner],B28)</f>
        <v>510</v>
      </c>
      <c r="E28" s="13">
        <f t="shared" si="0"/>
        <v>9.3116669709695093E-2</v>
      </c>
      <c r="F28" t="str">
        <f t="shared" si="1"/>
        <v>Above Average Late Rate</v>
      </c>
    </row>
    <row r="29" spans="1:6" x14ac:dyDescent="0.3">
      <c r="A29" t="s">
        <v>88</v>
      </c>
      <c r="B29" t="s">
        <v>782</v>
      </c>
      <c r="C29" s="12">
        <f>SUMIFS(tblModelSLA[shipment_count],tblModelSLA[region_name],A29,tblModelSLA[courier_partner],B29)</f>
        <v>6754</v>
      </c>
      <c r="D29" s="12">
        <f>SUMIFS(tblModelSLA[late_count],tblModelSLA[region_name],A29,tblModelSLA[courier_partner],B29)</f>
        <v>626</v>
      </c>
      <c r="E29" s="13">
        <f t="shared" si="0"/>
        <v>9.2685815812851638E-2</v>
      </c>
      <c r="F29" t="str">
        <f t="shared" si="1"/>
        <v>Above Average Late Rate</v>
      </c>
    </row>
    <row r="30" spans="1:6" x14ac:dyDescent="0.3">
      <c r="A30" t="s">
        <v>92</v>
      </c>
      <c r="B30" t="s">
        <v>786</v>
      </c>
      <c r="C30" s="12">
        <f>SUMIFS(tblModelSLA[shipment_count],tblModelSLA[region_name],A30,tblModelSLA[courier_partner],B30)</f>
        <v>8038</v>
      </c>
      <c r="D30" s="12">
        <f>SUMIFS(tblModelSLA[late_count],tblModelSLA[region_name],A30,tblModelSLA[courier_partner],B30)</f>
        <v>743</v>
      </c>
      <c r="E30" s="13">
        <f t="shared" si="0"/>
        <v>9.2435929335655642E-2</v>
      </c>
      <c r="F30" t="str">
        <f t="shared" si="1"/>
        <v>Above Average Late Rate</v>
      </c>
    </row>
    <row r="31" spans="1:6" x14ac:dyDescent="0.3">
      <c r="A31" t="s">
        <v>92</v>
      </c>
      <c r="B31" t="s">
        <v>785</v>
      </c>
      <c r="C31" s="12">
        <f>SUMIFS(tblModelSLA[shipment_count],tblModelSLA[region_name],A31,tblModelSLA[courier_partner],B31)</f>
        <v>8064</v>
      </c>
      <c r="D31" s="12">
        <f>SUMIFS(tblModelSLA[late_count],tblModelSLA[region_name],A31,tblModelSLA[courier_partner],B31)</f>
        <v>737</v>
      </c>
      <c r="E31" s="13">
        <f t="shared" si="0"/>
        <v>9.1393849206349201E-2</v>
      </c>
      <c r="F31" t="str">
        <f t="shared" si="1"/>
        <v>Above Average Late Rate</v>
      </c>
    </row>
    <row r="32" spans="1:6" x14ac:dyDescent="0.3">
      <c r="A32" t="s">
        <v>92</v>
      </c>
      <c r="B32" t="s">
        <v>783</v>
      </c>
      <c r="C32" s="12">
        <f>SUMIFS(tblModelSLA[shipment_count],tblModelSLA[region_name],A32,tblModelSLA[courier_partner],B32)</f>
        <v>7922</v>
      </c>
      <c r="D32" s="12">
        <f>SUMIFS(tblModelSLA[late_count],tblModelSLA[region_name],A32,tblModelSLA[courier_partner],B32)</f>
        <v>715</v>
      </c>
      <c r="E32" s="13">
        <f t="shared" si="0"/>
        <v>9.0254986114617519E-2</v>
      </c>
      <c r="F32" t="str">
        <f t="shared" si="1"/>
        <v>Within Normal Range</v>
      </c>
    </row>
    <row r="33" spans="1:6" x14ac:dyDescent="0.3">
      <c r="A33" t="s">
        <v>90</v>
      </c>
      <c r="B33" t="s">
        <v>786</v>
      </c>
      <c r="C33" s="12">
        <f>SUMIFS(tblModelSLA[shipment_count],tblModelSLA[region_name],A33,tblModelSLA[courier_partner],B33)</f>
        <v>5438</v>
      </c>
      <c r="D33" s="12">
        <f>SUMIFS(tblModelSLA[late_count],tblModelSLA[region_name],A33,tblModelSLA[courier_partner],B33)</f>
        <v>488</v>
      </c>
      <c r="E33" s="13">
        <f t="shared" si="0"/>
        <v>8.9738874586244938E-2</v>
      </c>
      <c r="F33" t="str">
        <f t="shared" si="1"/>
        <v>Within Normal Range</v>
      </c>
    </row>
    <row r="34" spans="1:6" x14ac:dyDescent="0.3">
      <c r="A34" t="s">
        <v>83</v>
      </c>
      <c r="B34" t="s">
        <v>786</v>
      </c>
      <c r="C34" s="12">
        <f>SUMIFS(tblModelSLA[shipment_count],tblModelSLA[region_name],A34,tblModelSLA[courier_partner],B34)</f>
        <v>2982</v>
      </c>
      <c r="D34" s="12">
        <f>SUMIFS(tblModelSLA[late_count],tblModelSLA[region_name],A34,tblModelSLA[courier_partner],B34)</f>
        <v>267</v>
      </c>
      <c r="E34" s="13">
        <f t="shared" si="0"/>
        <v>8.9537223340040245E-2</v>
      </c>
      <c r="F34" t="str">
        <f t="shared" si="1"/>
        <v>Within Normal Range</v>
      </c>
    </row>
    <row r="35" spans="1:6" x14ac:dyDescent="0.3">
      <c r="A35" t="s">
        <v>92</v>
      </c>
      <c r="B35" t="s">
        <v>784</v>
      </c>
      <c r="C35" s="12">
        <f>SUMIFS(tblModelSLA[shipment_count],tblModelSLA[region_name],A35,tblModelSLA[courier_partner],B35)</f>
        <v>7854</v>
      </c>
      <c r="D35" s="12">
        <f>SUMIFS(tblModelSLA[late_count],tblModelSLA[region_name],A35,tblModelSLA[courier_partner],B35)</f>
        <v>702</v>
      </c>
      <c r="E35" s="13">
        <f t="shared" si="0"/>
        <v>8.9381207028265852E-2</v>
      </c>
      <c r="F35" t="str">
        <f t="shared" si="1"/>
        <v>Within Normal Range</v>
      </c>
    </row>
    <row r="36" spans="1:6" x14ac:dyDescent="0.3">
      <c r="A36" t="s">
        <v>88</v>
      </c>
      <c r="B36" t="s">
        <v>783</v>
      </c>
      <c r="C36" s="12">
        <f>SUMIFS(tblModelSLA[shipment_count],tblModelSLA[region_name],A36,tblModelSLA[courier_partner],B36)</f>
        <v>6802</v>
      </c>
      <c r="D36" s="12">
        <f>SUMIFS(tblModelSLA[late_count],tblModelSLA[region_name],A36,tblModelSLA[courier_partner],B36)</f>
        <v>606</v>
      </c>
      <c r="E36" s="13">
        <f t="shared" si="0"/>
        <v>8.9091443693031458E-2</v>
      </c>
      <c r="F36" t="str">
        <f t="shared" si="1"/>
        <v>Within Normal Range</v>
      </c>
    </row>
    <row r="37" spans="1:6" x14ac:dyDescent="0.3">
      <c r="A37" t="s">
        <v>90</v>
      </c>
      <c r="B37" t="s">
        <v>785</v>
      </c>
      <c r="C37" s="12">
        <f>SUMIFS(tblModelSLA[shipment_count],tblModelSLA[region_name],A37,tblModelSLA[courier_partner],B37)</f>
        <v>5506</v>
      </c>
      <c r="D37" s="12">
        <f>SUMIFS(tblModelSLA[late_count],tblModelSLA[region_name],A37,tblModelSLA[courier_partner],B37)</f>
        <v>490</v>
      </c>
      <c r="E37" s="13">
        <f t="shared" ref="E37:E64" si="2">D37/C37</f>
        <v>8.8993824918270972E-2</v>
      </c>
      <c r="F37" t="str">
        <f t="shared" ref="F37:F64" si="3">IF(E37&gt;$I$1,"Above Average Late Rate","Within Normal Range")</f>
        <v>Within Normal Range</v>
      </c>
    </row>
    <row r="38" spans="1:6" x14ac:dyDescent="0.3">
      <c r="A38" t="s">
        <v>92</v>
      </c>
      <c r="B38" t="s">
        <v>782</v>
      </c>
      <c r="C38" s="12">
        <f>SUMIFS(tblModelSLA[shipment_count],tblModelSLA[region_name],A38,tblModelSLA[courier_partner],B38)</f>
        <v>8003</v>
      </c>
      <c r="D38" s="12">
        <f>SUMIFS(tblModelSLA[late_count],tblModelSLA[region_name],A38,tblModelSLA[courier_partner],B38)</f>
        <v>708</v>
      </c>
      <c r="E38" s="13">
        <f t="shared" si="2"/>
        <v>8.8466824940647254E-2</v>
      </c>
      <c r="F38" t="str">
        <f t="shared" si="3"/>
        <v>Within Normal Range</v>
      </c>
    </row>
    <row r="39" spans="1:6" x14ac:dyDescent="0.3">
      <c r="A39" t="s">
        <v>76</v>
      </c>
      <c r="B39" t="s">
        <v>783</v>
      </c>
      <c r="C39" s="12">
        <f>SUMIFS(tblModelSLA[shipment_count],tblModelSLA[region_name],A39,tblModelSLA[courier_partner],B39)</f>
        <v>3886</v>
      </c>
      <c r="D39" s="12">
        <f>SUMIFS(tblModelSLA[late_count],tblModelSLA[region_name],A39,tblModelSLA[courier_partner],B39)</f>
        <v>342</v>
      </c>
      <c r="E39" s="13">
        <f t="shared" si="2"/>
        <v>8.8008234688625842E-2</v>
      </c>
      <c r="F39" t="str">
        <f t="shared" si="3"/>
        <v>Within Normal Range</v>
      </c>
    </row>
    <row r="40" spans="1:6" x14ac:dyDescent="0.3">
      <c r="A40" t="s">
        <v>76</v>
      </c>
      <c r="B40" t="s">
        <v>782</v>
      </c>
      <c r="C40" s="12">
        <f>SUMIFS(tblModelSLA[shipment_count],tblModelSLA[region_name],A40,tblModelSLA[courier_partner],B40)</f>
        <v>3842</v>
      </c>
      <c r="D40" s="12">
        <f>SUMIFS(tblModelSLA[late_count],tblModelSLA[region_name],A40,tblModelSLA[courier_partner],B40)</f>
        <v>337</v>
      </c>
      <c r="E40" s="13">
        <f t="shared" si="2"/>
        <v>8.7714731910463306E-2</v>
      </c>
      <c r="F40" t="str">
        <f t="shared" si="3"/>
        <v>Within Normal Range</v>
      </c>
    </row>
    <row r="41" spans="1:6" x14ac:dyDescent="0.3">
      <c r="A41" t="s">
        <v>88</v>
      </c>
      <c r="B41" t="s">
        <v>784</v>
      </c>
      <c r="C41" s="12">
        <f>SUMIFS(tblModelSLA[shipment_count],tblModelSLA[region_name],A41,tblModelSLA[courier_partner],B41)</f>
        <v>6795</v>
      </c>
      <c r="D41" s="12">
        <f>SUMIFS(tblModelSLA[late_count],tblModelSLA[region_name],A41,tblModelSLA[courier_partner],B41)</f>
        <v>579</v>
      </c>
      <c r="E41" s="13">
        <f t="shared" si="2"/>
        <v>8.5209713024282555E-2</v>
      </c>
      <c r="F41" t="str">
        <f t="shared" si="3"/>
        <v>Within Normal Range</v>
      </c>
    </row>
    <row r="42" spans="1:6" x14ac:dyDescent="0.3">
      <c r="A42" t="s">
        <v>91</v>
      </c>
      <c r="B42" t="s">
        <v>784</v>
      </c>
      <c r="C42" s="12">
        <f>SUMIFS(tblModelSLA[shipment_count],tblModelSLA[region_name],A42,tblModelSLA[courier_partner],B42)</f>
        <v>2488</v>
      </c>
      <c r="D42" s="12">
        <f>SUMIFS(tblModelSLA[late_count],tblModelSLA[region_name],A42,tblModelSLA[courier_partner],B42)</f>
        <v>209</v>
      </c>
      <c r="E42" s="13">
        <f t="shared" si="2"/>
        <v>8.4003215434083595E-2</v>
      </c>
      <c r="F42" t="str">
        <f t="shared" si="3"/>
        <v>Within Normal Range</v>
      </c>
    </row>
    <row r="43" spans="1:6" x14ac:dyDescent="0.3">
      <c r="A43" t="s">
        <v>76</v>
      </c>
      <c r="B43" t="s">
        <v>785</v>
      </c>
      <c r="C43" s="12">
        <f>SUMIFS(tblModelSLA[shipment_count],tblModelSLA[region_name],A43,tblModelSLA[courier_partner],B43)</f>
        <v>3868</v>
      </c>
      <c r="D43" s="12">
        <f>SUMIFS(tblModelSLA[late_count],tblModelSLA[region_name],A43,tblModelSLA[courier_partner],B43)</f>
        <v>320</v>
      </c>
      <c r="E43" s="13">
        <f t="shared" si="2"/>
        <v>8.2730093071354704E-2</v>
      </c>
      <c r="F43" t="str">
        <f t="shared" si="3"/>
        <v>Within Normal Range</v>
      </c>
    </row>
    <row r="44" spans="1:6" x14ac:dyDescent="0.3">
      <c r="A44" t="s">
        <v>90</v>
      </c>
      <c r="B44" t="s">
        <v>784</v>
      </c>
      <c r="C44" s="12">
        <f>SUMIFS(tblModelSLA[shipment_count],tblModelSLA[region_name],A44,tblModelSLA[courier_partner],B44)</f>
        <v>5479</v>
      </c>
      <c r="D44" s="12">
        <f>SUMIFS(tblModelSLA[late_count],tblModelSLA[region_name],A44,tblModelSLA[courier_partner],B44)</f>
        <v>445</v>
      </c>
      <c r="E44" s="13">
        <f t="shared" si="2"/>
        <v>8.121920058404819E-2</v>
      </c>
      <c r="F44" t="str">
        <f t="shared" si="3"/>
        <v>Within Normal Range</v>
      </c>
    </row>
    <row r="45" spans="1:6" x14ac:dyDescent="0.3">
      <c r="A45" t="s">
        <v>82</v>
      </c>
      <c r="B45" t="s">
        <v>784</v>
      </c>
      <c r="C45" s="12">
        <f>SUMIFS(tblModelSLA[shipment_count],tblModelSLA[region_name],A45,tblModelSLA[courier_partner],B45)</f>
        <v>3783</v>
      </c>
      <c r="D45" s="12">
        <f>SUMIFS(tblModelSLA[late_count],tblModelSLA[region_name],A45,tblModelSLA[courier_partner],B45)</f>
        <v>299</v>
      </c>
      <c r="E45" s="13">
        <f t="shared" si="2"/>
        <v>7.903780068728522E-2</v>
      </c>
      <c r="F45" t="str">
        <f t="shared" si="3"/>
        <v>Within Normal Range</v>
      </c>
    </row>
    <row r="46" spans="1:6" x14ac:dyDescent="0.3">
      <c r="A46" t="s">
        <v>76</v>
      </c>
      <c r="B46" t="s">
        <v>784</v>
      </c>
      <c r="C46" s="12">
        <f>SUMIFS(tblModelSLA[shipment_count],tblModelSLA[region_name],A46,tblModelSLA[courier_partner],B46)</f>
        <v>3889</v>
      </c>
      <c r="D46" s="12">
        <f>SUMIFS(tblModelSLA[late_count],tblModelSLA[region_name],A46,tblModelSLA[courier_partner],B46)</f>
        <v>307</v>
      </c>
      <c r="E46" s="13">
        <f t="shared" si="2"/>
        <v>7.8940601697094367E-2</v>
      </c>
      <c r="F46" t="str">
        <f t="shared" si="3"/>
        <v>Within Normal Range</v>
      </c>
    </row>
    <row r="47" spans="1:6" x14ac:dyDescent="0.3">
      <c r="A47" t="s">
        <v>91</v>
      </c>
      <c r="B47" t="s">
        <v>782</v>
      </c>
      <c r="C47" s="12">
        <f>SUMIFS(tblModelSLA[shipment_count],tblModelSLA[region_name],A47,tblModelSLA[courier_partner],B47)</f>
        <v>2516</v>
      </c>
      <c r="D47" s="12">
        <f>SUMIFS(tblModelSLA[late_count],tblModelSLA[region_name],A47,tblModelSLA[courier_partner],B47)</f>
        <v>197</v>
      </c>
      <c r="E47" s="13">
        <f t="shared" si="2"/>
        <v>7.8298887122416533E-2</v>
      </c>
      <c r="F47" t="str">
        <f t="shared" si="3"/>
        <v>Within Normal Range</v>
      </c>
    </row>
    <row r="48" spans="1:6" x14ac:dyDescent="0.3">
      <c r="A48" t="s">
        <v>86</v>
      </c>
      <c r="B48" t="s">
        <v>786</v>
      </c>
      <c r="C48" s="12">
        <f>SUMIFS(tblModelSLA[shipment_count],tblModelSLA[region_name],A48,tblModelSLA[courier_partner],B48)</f>
        <v>3038</v>
      </c>
      <c r="D48" s="12">
        <f>SUMIFS(tblModelSLA[late_count],tblModelSLA[region_name],A48,tblModelSLA[courier_partner],B48)</f>
        <v>236</v>
      </c>
      <c r="E48" s="13">
        <f t="shared" si="2"/>
        <v>7.768268597761685E-2</v>
      </c>
      <c r="F48" t="str">
        <f t="shared" si="3"/>
        <v>Within Normal Range</v>
      </c>
    </row>
    <row r="49" spans="1:6" x14ac:dyDescent="0.3">
      <c r="A49" t="s">
        <v>76</v>
      </c>
      <c r="B49" t="s">
        <v>786</v>
      </c>
      <c r="C49" s="12">
        <f>SUMIFS(tblModelSLA[shipment_count],tblModelSLA[region_name],A49,tblModelSLA[courier_partner],B49)</f>
        <v>4017</v>
      </c>
      <c r="D49" s="12">
        <f>SUMIFS(tblModelSLA[late_count],tblModelSLA[region_name],A49,tblModelSLA[courier_partner],B49)</f>
        <v>311</v>
      </c>
      <c r="E49" s="13">
        <f t="shared" si="2"/>
        <v>7.7420960916106549E-2</v>
      </c>
      <c r="F49" t="str">
        <f t="shared" si="3"/>
        <v>Within Normal Range</v>
      </c>
    </row>
    <row r="50" spans="1:6" x14ac:dyDescent="0.3">
      <c r="A50" t="s">
        <v>83</v>
      </c>
      <c r="B50" t="s">
        <v>784</v>
      </c>
      <c r="C50" s="12">
        <f>SUMIFS(tblModelSLA[shipment_count],tblModelSLA[region_name],A50,tblModelSLA[courier_partner],B50)</f>
        <v>3087</v>
      </c>
      <c r="D50" s="12">
        <f>SUMIFS(tblModelSLA[late_count],tblModelSLA[region_name],A50,tblModelSLA[courier_partner],B50)</f>
        <v>239</v>
      </c>
      <c r="E50" s="13">
        <f t="shared" si="2"/>
        <v>7.7421444768383543E-2</v>
      </c>
      <c r="F50" t="str">
        <f t="shared" si="3"/>
        <v>Within Normal Range</v>
      </c>
    </row>
    <row r="51" spans="1:6" x14ac:dyDescent="0.3">
      <c r="A51" t="s">
        <v>91</v>
      </c>
      <c r="B51" t="s">
        <v>783</v>
      </c>
      <c r="C51" s="12">
        <f>SUMIFS(tblModelSLA[shipment_count],tblModelSLA[region_name],A51,tblModelSLA[courier_partner],B51)</f>
        <v>2526</v>
      </c>
      <c r="D51" s="12">
        <f>SUMIFS(tblModelSLA[late_count],tblModelSLA[region_name],A51,tblModelSLA[courier_partner],B51)</f>
        <v>194</v>
      </c>
      <c r="E51" s="13">
        <f t="shared" si="2"/>
        <v>7.6801266825019796E-2</v>
      </c>
      <c r="F51" t="str">
        <f t="shared" si="3"/>
        <v>Within Normal Range</v>
      </c>
    </row>
    <row r="52" spans="1:6" x14ac:dyDescent="0.3">
      <c r="A52" t="s">
        <v>83</v>
      </c>
      <c r="B52" t="s">
        <v>785</v>
      </c>
      <c r="C52" s="12">
        <f>SUMIFS(tblModelSLA[shipment_count],tblModelSLA[region_name],A52,tblModelSLA[courier_partner],B52)</f>
        <v>2967</v>
      </c>
      <c r="D52" s="12">
        <f>SUMIFS(tblModelSLA[late_count],tblModelSLA[region_name],A52,tblModelSLA[courier_partner],B52)</f>
        <v>225</v>
      </c>
      <c r="E52" s="13">
        <f t="shared" si="2"/>
        <v>7.583417593528817E-2</v>
      </c>
      <c r="F52" t="str">
        <f t="shared" si="3"/>
        <v>Within Normal Range</v>
      </c>
    </row>
    <row r="53" spans="1:6" x14ac:dyDescent="0.3">
      <c r="A53" t="s">
        <v>91</v>
      </c>
      <c r="B53" t="s">
        <v>786</v>
      </c>
      <c r="C53" s="12">
        <f>SUMIFS(tblModelSLA[shipment_count],tblModelSLA[region_name],A53,tblModelSLA[courier_partner],B53)</f>
        <v>2553</v>
      </c>
      <c r="D53" s="12">
        <f>SUMIFS(tblModelSLA[late_count],tblModelSLA[region_name],A53,tblModelSLA[courier_partner],B53)</f>
        <v>193</v>
      </c>
      <c r="E53" s="13">
        <f t="shared" si="2"/>
        <v>7.5597336466901685E-2</v>
      </c>
      <c r="F53" t="str">
        <f t="shared" si="3"/>
        <v>Within Normal Range</v>
      </c>
    </row>
    <row r="54" spans="1:6" x14ac:dyDescent="0.3">
      <c r="A54" t="s">
        <v>82</v>
      </c>
      <c r="B54" t="s">
        <v>786</v>
      </c>
      <c r="C54" s="12">
        <f>SUMIFS(tblModelSLA[shipment_count],tblModelSLA[region_name],A54,tblModelSLA[courier_partner],B54)</f>
        <v>3768</v>
      </c>
      <c r="D54" s="12">
        <f>SUMIFS(tblModelSLA[late_count],tblModelSLA[region_name],A54,tblModelSLA[courier_partner],B54)</f>
        <v>285</v>
      </c>
      <c r="E54" s="13">
        <f t="shared" si="2"/>
        <v>7.5636942675159233E-2</v>
      </c>
      <c r="F54" t="str">
        <f t="shared" si="3"/>
        <v>Within Normal Range</v>
      </c>
    </row>
    <row r="55" spans="1:6" x14ac:dyDescent="0.3">
      <c r="A55" t="s">
        <v>82</v>
      </c>
      <c r="B55" t="s">
        <v>785</v>
      </c>
      <c r="C55" s="12">
        <f>SUMIFS(tblModelSLA[shipment_count],tblModelSLA[region_name],A55,tblModelSLA[courier_partner],B55)</f>
        <v>3777</v>
      </c>
      <c r="D55" s="12">
        <f>SUMIFS(tblModelSLA[late_count],tblModelSLA[region_name],A55,tblModelSLA[courier_partner],B55)</f>
        <v>285</v>
      </c>
      <c r="E55" s="13">
        <f t="shared" si="2"/>
        <v>7.5456711675933277E-2</v>
      </c>
      <c r="F55" t="str">
        <f t="shared" si="3"/>
        <v>Within Normal Range</v>
      </c>
    </row>
    <row r="56" spans="1:6" x14ac:dyDescent="0.3">
      <c r="A56" t="s">
        <v>86</v>
      </c>
      <c r="B56" t="s">
        <v>783</v>
      </c>
      <c r="C56" s="12">
        <f>SUMIFS(tblModelSLA[shipment_count],tblModelSLA[region_name],A56,tblModelSLA[courier_partner],B56)</f>
        <v>3001</v>
      </c>
      <c r="D56" s="12">
        <f>SUMIFS(tblModelSLA[late_count],tblModelSLA[region_name],A56,tblModelSLA[courier_partner],B56)</f>
        <v>226</v>
      </c>
      <c r="E56" s="13">
        <f t="shared" si="2"/>
        <v>7.5308230589803404E-2</v>
      </c>
      <c r="F56" t="str">
        <f t="shared" si="3"/>
        <v>Within Normal Range</v>
      </c>
    </row>
    <row r="57" spans="1:6" x14ac:dyDescent="0.3">
      <c r="A57" t="s">
        <v>83</v>
      </c>
      <c r="B57" t="s">
        <v>782</v>
      </c>
      <c r="C57" s="12">
        <f>SUMIFS(tblModelSLA[shipment_count],tblModelSLA[region_name],A57,tblModelSLA[courier_partner],B57)</f>
        <v>3060</v>
      </c>
      <c r="D57" s="12">
        <f>SUMIFS(tblModelSLA[late_count],tblModelSLA[region_name],A57,tblModelSLA[courier_partner],B57)</f>
        <v>230</v>
      </c>
      <c r="E57" s="13">
        <f t="shared" si="2"/>
        <v>7.5163398692810454E-2</v>
      </c>
      <c r="F57" t="str">
        <f t="shared" si="3"/>
        <v>Within Normal Range</v>
      </c>
    </row>
    <row r="58" spans="1:6" x14ac:dyDescent="0.3">
      <c r="A58" t="s">
        <v>83</v>
      </c>
      <c r="B58" t="s">
        <v>783</v>
      </c>
      <c r="C58" s="12">
        <f>SUMIFS(tblModelSLA[shipment_count],tblModelSLA[region_name],A58,tblModelSLA[courier_partner],B58)</f>
        <v>3067</v>
      </c>
      <c r="D58" s="12">
        <f>SUMIFS(tblModelSLA[late_count],tblModelSLA[region_name],A58,tblModelSLA[courier_partner],B58)</f>
        <v>230</v>
      </c>
      <c r="E58" s="13">
        <f t="shared" si="2"/>
        <v>7.4991848712096507E-2</v>
      </c>
      <c r="F58" t="str">
        <f t="shared" si="3"/>
        <v>Within Normal Range</v>
      </c>
    </row>
    <row r="59" spans="1:6" x14ac:dyDescent="0.3">
      <c r="A59" t="s">
        <v>82</v>
      </c>
      <c r="B59" t="s">
        <v>783</v>
      </c>
      <c r="C59" s="12">
        <f>SUMIFS(tblModelSLA[shipment_count],tblModelSLA[region_name],A59,tblModelSLA[courier_partner],B59)</f>
        <v>3876</v>
      </c>
      <c r="D59" s="12">
        <f>SUMIFS(tblModelSLA[late_count],tblModelSLA[region_name],A59,tblModelSLA[courier_partner],B59)</f>
        <v>289</v>
      </c>
      <c r="E59" s="13">
        <f t="shared" si="2"/>
        <v>7.4561403508771926E-2</v>
      </c>
      <c r="F59" t="str">
        <f t="shared" si="3"/>
        <v>Within Normal Range</v>
      </c>
    </row>
    <row r="60" spans="1:6" x14ac:dyDescent="0.3">
      <c r="A60" t="s">
        <v>82</v>
      </c>
      <c r="B60" t="s">
        <v>782</v>
      </c>
      <c r="C60" s="12">
        <f>SUMIFS(tblModelSLA[shipment_count],tblModelSLA[region_name],A60,tblModelSLA[courier_partner],B60)</f>
        <v>3810</v>
      </c>
      <c r="D60" s="12">
        <f>SUMIFS(tblModelSLA[late_count],tblModelSLA[region_name],A60,tblModelSLA[courier_partner],B60)</f>
        <v>280</v>
      </c>
      <c r="E60" s="13">
        <f t="shared" si="2"/>
        <v>7.3490813648293962E-2</v>
      </c>
      <c r="F60" t="str">
        <f t="shared" si="3"/>
        <v>Within Normal Range</v>
      </c>
    </row>
    <row r="61" spans="1:6" x14ac:dyDescent="0.3">
      <c r="A61" t="s">
        <v>86</v>
      </c>
      <c r="B61" t="s">
        <v>785</v>
      </c>
      <c r="C61" s="12">
        <f>SUMIFS(tblModelSLA[shipment_count],tblModelSLA[region_name],A61,tblModelSLA[courier_partner],B61)</f>
        <v>2973</v>
      </c>
      <c r="D61" s="12">
        <f>SUMIFS(tblModelSLA[late_count],tblModelSLA[region_name],A61,tblModelSLA[courier_partner],B61)</f>
        <v>205</v>
      </c>
      <c r="E61" s="13">
        <f t="shared" si="2"/>
        <v>6.8953918600739988E-2</v>
      </c>
      <c r="F61" t="str">
        <f t="shared" si="3"/>
        <v>Within Normal Range</v>
      </c>
    </row>
    <row r="62" spans="1:6" x14ac:dyDescent="0.3">
      <c r="A62" t="s">
        <v>91</v>
      </c>
      <c r="B62" t="s">
        <v>785</v>
      </c>
      <c r="C62" s="12">
        <f>SUMIFS(tblModelSLA[shipment_count],tblModelSLA[region_name],A62,tblModelSLA[courier_partner],B62)</f>
        <v>2537</v>
      </c>
      <c r="D62" s="12">
        <f>SUMIFS(tblModelSLA[late_count],tblModelSLA[region_name],A62,tblModelSLA[courier_partner],B62)</f>
        <v>169</v>
      </c>
      <c r="E62" s="13">
        <f t="shared" si="2"/>
        <v>6.6614111154907368E-2</v>
      </c>
      <c r="F62" t="str">
        <f t="shared" si="3"/>
        <v>Within Normal Range</v>
      </c>
    </row>
    <row r="63" spans="1:6" x14ac:dyDescent="0.3">
      <c r="A63" t="s">
        <v>86</v>
      </c>
      <c r="B63" t="s">
        <v>782</v>
      </c>
      <c r="C63" s="12">
        <f>SUMIFS(tblModelSLA[shipment_count],tblModelSLA[region_name],A63,tblModelSLA[courier_partner],B63)</f>
        <v>2959</v>
      </c>
      <c r="D63" s="12">
        <f>SUMIFS(tblModelSLA[late_count],tblModelSLA[region_name],A63,tblModelSLA[courier_partner],B63)</f>
        <v>195</v>
      </c>
      <c r="E63" s="13">
        <f t="shared" si="2"/>
        <v>6.5900642108820545E-2</v>
      </c>
      <c r="F63" t="str">
        <f t="shared" si="3"/>
        <v>Within Normal Range</v>
      </c>
    </row>
    <row r="64" spans="1:6" x14ac:dyDescent="0.3">
      <c r="A64" t="s">
        <v>86</v>
      </c>
      <c r="B64" t="s">
        <v>784</v>
      </c>
      <c r="C64" s="12">
        <f>SUMIFS(tblModelSLA[shipment_count],tblModelSLA[region_name],A64,tblModelSLA[courier_partner],B64)</f>
        <v>2996</v>
      </c>
      <c r="D64" s="12">
        <f>SUMIFS(tblModelSLA[late_count],tblModelSLA[region_name],A64,tblModelSLA[courier_partner],B64)</f>
        <v>196</v>
      </c>
      <c r="E64" s="13">
        <f t="shared" si="2"/>
        <v>6.5420560747663545E-2</v>
      </c>
      <c r="F64" t="str">
        <f t="shared" si="3"/>
        <v>Within Normal Range</v>
      </c>
    </row>
  </sheetData>
  <conditionalFormatting sqref="F5:F64">
    <cfRule type="cellIs" dxfId="5" priority="1" operator="equal">
      <formula>"Above Average Late Rate"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5B6"/>
  </sheetPr>
  <dimension ref="A1:L204"/>
  <sheetViews>
    <sheetView showGridLines="0" workbookViewId="0">
      <selection activeCell="A2" sqref="A2"/>
    </sheetView>
  </sheetViews>
  <sheetFormatPr defaultRowHeight="14.4" x14ac:dyDescent="0.3"/>
  <cols>
    <col min="1" max="1" width="26" customWidth="1"/>
    <col min="2" max="9" width="15" customWidth="1"/>
  </cols>
  <sheetData>
    <row r="1" spans="1:12" ht="16.8" x14ac:dyDescent="0.3">
      <c r="A1" s="10" t="s">
        <v>844</v>
      </c>
      <c r="K1" t="s">
        <v>845</v>
      </c>
      <c r="L1" s="13">
        <f>MEDIAN(G5:G204)</f>
        <v>-0.13950000000000001</v>
      </c>
    </row>
    <row r="2" spans="1:12" ht="42" customHeight="1" x14ac:dyDescent="0.3">
      <c r="A2" s="17"/>
      <c r="K2" t="s">
        <v>846</v>
      </c>
      <c r="L2" s="13">
        <f>MEDIAN(H5:H204)</f>
        <v>8.5000000000000006E-4</v>
      </c>
    </row>
    <row r="3" spans="1:12" x14ac:dyDescent="0.3">
      <c r="K3" t="s">
        <v>847</v>
      </c>
      <c r="L3" s="13">
        <f>QUARTILE(G5:G204,1)</f>
        <v>-0.20067499999999999</v>
      </c>
    </row>
    <row r="4" spans="1:12" ht="39.6" x14ac:dyDescent="0.3">
      <c r="A4" s="14" t="s">
        <v>848</v>
      </c>
      <c r="B4" s="14" t="s">
        <v>849</v>
      </c>
      <c r="C4" s="14" t="s">
        <v>850</v>
      </c>
      <c r="D4" s="14" t="s">
        <v>800</v>
      </c>
      <c r="E4" s="14" t="s">
        <v>851</v>
      </c>
      <c r="F4" s="14" t="s">
        <v>852</v>
      </c>
      <c r="G4" s="14" t="s">
        <v>853</v>
      </c>
      <c r="H4" s="14" t="s">
        <v>854</v>
      </c>
      <c r="I4" s="14" t="s">
        <v>855</v>
      </c>
    </row>
    <row r="5" spans="1:12" x14ac:dyDescent="0.3">
      <c r="A5" t="str">
        <f>INDEX(tblModelPromotion[promotion_name],MATCH("Clearance May2021 - 5% Off",tblModelPromotion[promotion_name],0))</f>
        <v>Clearance May2021 - 5% Off</v>
      </c>
      <c r="B5" t="str">
        <f>INDEX(tblModelPromotion[promotion_type],MATCH(A5,tblModelPromotion[promotion_name],0))</f>
        <v>Clearance</v>
      </c>
      <c r="C5" s="13">
        <f>INDEX(tblModelPromotion[discount_pct],MATCH(A5,tblModelPromotion[promotion_name],0))/100</f>
        <v>0.05</v>
      </c>
      <c r="D5" s="12">
        <f>INDEX(tblModelPromotion[revenue],MATCH(A5,tblModelPromotion[promotion_name],0))</f>
        <v>24348964</v>
      </c>
      <c r="E5" s="13">
        <f>INDEX(tblModelPromotion[margin_pct],MATCH(A5,tblModelPromotion[promotion_name],0))</f>
        <v>0.19020000000000001</v>
      </c>
      <c r="F5" s="13">
        <f>INDEX(tblModelPromotion[baseline_margin_pct],MATCH(A5,tblModelPromotion[promotion_name],0))</f>
        <v>0.22259999999999999</v>
      </c>
      <c r="G5" s="13">
        <f t="shared" ref="G5:G36" si="0">E5-F5</f>
        <v>-3.2399999999999984E-2</v>
      </c>
      <c r="H5" s="13">
        <f>INDEX(tblModelPromotion[aov_lift_pct],MATCH(A5,tblModelPromotion[promotion_name],0))</f>
        <v>7.7100000000000002E-2</v>
      </c>
      <c r="I5" t="str">
        <f t="shared" ref="I5:I36" si="1">IF(AND(G5&gt;=$L$1,H5&gt;=$L$2),"Continue - efficient lift for margin cost",IF(AND(G5&lt;=$L$3,H5&lt;$L$2),"Discontinue - high margin cost, weak lift","Review - mixed signal"))</f>
        <v>Continue - efficient lift for margin cost</v>
      </c>
    </row>
    <row r="6" spans="1:12" x14ac:dyDescent="0.3">
      <c r="A6" t="str">
        <f>INDEX(tblModelPromotion[promotion_name],MATCH("Flash Sale Mar2022 - 5% Off",tblModelPromotion[promotion_name],0))</f>
        <v>Flash Sale Mar2022 - 5% Off</v>
      </c>
      <c r="B6" t="str">
        <f>INDEX(tblModelPromotion[promotion_type],MATCH(A6,tblModelPromotion[promotion_name],0))</f>
        <v>Flash Sale</v>
      </c>
      <c r="C6" s="13">
        <f>INDEX(tblModelPromotion[discount_pct],MATCH(A6,tblModelPromotion[promotion_name],0))/100</f>
        <v>0.05</v>
      </c>
      <c r="D6" s="12">
        <f>INDEX(tblModelPromotion[revenue],MATCH(A6,tblModelPromotion[promotion_name],0))</f>
        <v>33945695</v>
      </c>
      <c r="E6" s="13">
        <f>INDEX(tblModelPromotion[margin_pct],MATCH(A6,tblModelPromotion[promotion_name],0))</f>
        <v>0.18740000000000001</v>
      </c>
      <c r="F6" s="13">
        <f>INDEX(tblModelPromotion[baseline_margin_pct],MATCH(A6,tblModelPromotion[promotion_name],0))</f>
        <v>0.22259999999999999</v>
      </c>
      <c r="G6" s="13">
        <f t="shared" si="0"/>
        <v>-3.5199999999999981E-2</v>
      </c>
      <c r="H6" s="13">
        <f>INDEX(tblModelPromotion[aov_lift_pct],MATCH(A6,tblModelPromotion[promotion_name],0))</f>
        <v>0.16200000000000001</v>
      </c>
      <c r="I6" t="str">
        <f t="shared" si="1"/>
        <v>Continue - efficient lift for margin cost</v>
      </c>
    </row>
    <row r="7" spans="1:12" x14ac:dyDescent="0.3">
      <c r="A7" t="str">
        <f>INDEX(tblModelPromotion[promotion_name],MATCH("Flash Sale Oct2021 - 5% Off",tblModelPromotion[promotion_name],0))</f>
        <v>Flash Sale Oct2021 - 5% Off</v>
      </c>
      <c r="B7" t="str">
        <f>INDEX(tblModelPromotion[promotion_type],MATCH(A7,tblModelPromotion[promotion_name],0))</f>
        <v>Flash Sale</v>
      </c>
      <c r="C7" s="13">
        <f>INDEX(tblModelPromotion[discount_pct],MATCH(A7,tblModelPromotion[promotion_name],0))/100</f>
        <v>0.05</v>
      </c>
      <c r="D7" s="12">
        <f>INDEX(tblModelPromotion[revenue],MATCH(A7,tblModelPromotion[promotion_name],0))</f>
        <v>31864105</v>
      </c>
      <c r="E7" s="13">
        <f>INDEX(tblModelPromotion[margin_pct],MATCH(A7,tblModelPromotion[promotion_name],0))</f>
        <v>0.18659999999999999</v>
      </c>
      <c r="F7" s="13">
        <f>INDEX(tblModelPromotion[baseline_margin_pct],MATCH(A7,tblModelPromotion[promotion_name],0))</f>
        <v>0.22259999999999999</v>
      </c>
      <c r="G7" s="13">
        <f t="shared" si="0"/>
        <v>-3.6000000000000004E-2</v>
      </c>
      <c r="H7" s="13">
        <f>INDEX(tblModelPromotion[aov_lift_pct],MATCH(A7,tblModelPromotion[promotion_name],0))</f>
        <v>3.9899999999999998E-2</v>
      </c>
      <c r="I7" t="str">
        <f t="shared" si="1"/>
        <v>Continue - efficient lift for margin cost</v>
      </c>
    </row>
    <row r="8" spans="1:12" x14ac:dyDescent="0.3">
      <c r="A8" t="str">
        <f>INDEX(tblModelPromotion[promotion_name],MATCH("Festive Feb2023 - 5% Off",tblModelPromotion[promotion_name],0))</f>
        <v>Festive Feb2023 - 5% Off</v>
      </c>
      <c r="B8" t="str">
        <f>INDEX(tblModelPromotion[promotion_type],MATCH(A8,tblModelPromotion[promotion_name],0))</f>
        <v>Festive</v>
      </c>
      <c r="C8" s="13">
        <f>INDEX(tblModelPromotion[discount_pct],MATCH(A8,tblModelPromotion[promotion_name],0))/100</f>
        <v>0.05</v>
      </c>
      <c r="D8" s="12">
        <f>INDEX(tblModelPromotion[revenue],MATCH(A8,tblModelPromotion[promotion_name],0))</f>
        <v>14777330</v>
      </c>
      <c r="E8" s="13">
        <f>INDEX(tblModelPromotion[margin_pct],MATCH(A8,tblModelPromotion[promotion_name],0))</f>
        <v>0.18590000000000001</v>
      </c>
      <c r="F8" s="13">
        <f>INDEX(tblModelPromotion[baseline_margin_pct],MATCH(A8,tblModelPromotion[promotion_name],0))</f>
        <v>0.22259999999999999</v>
      </c>
      <c r="G8" s="13">
        <f t="shared" si="0"/>
        <v>-3.6699999999999983E-2</v>
      </c>
      <c r="H8" s="13">
        <f>INDEX(tblModelPromotion[aov_lift_pct],MATCH(A8,tblModelPromotion[promotion_name],0))</f>
        <v>-8.8200000000000001E-2</v>
      </c>
      <c r="I8" t="str">
        <f t="shared" si="1"/>
        <v>Review - mixed signal</v>
      </c>
    </row>
    <row r="9" spans="1:12" x14ac:dyDescent="0.3">
      <c r="A9" t="str">
        <f>INDEX(tblModelPromotion[promotion_name],MATCH("Seasonal Feb2021 - 5% Off",tblModelPromotion[promotion_name],0))</f>
        <v>Seasonal Feb2021 - 5% Off</v>
      </c>
      <c r="B9" t="str">
        <f>INDEX(tblModelPromotion[promotion_type],MATCH(A9,tblModelPromotion[promotion_name],0))</f>
        <v>Seasonal</v>
      </c>
      <c r="C9" s="13">
        <f>INDEX(tblModelPromotion[discount_pct],MATCH(A9,tblModelPromotion[promotion_name],0))/100</f>
        <v>0.05</v>
      </c>
      <c r="D9" s="12">
        <f>INDEX(tblModelPromotion[revenue],MATCH(A9,tblModelPromotion[promotion_name],0))</f>
        <v>24189378</v>
      </c>
      <c r="E9" s="13">
        <f>INDEX(tblModelPromotion[margin_pct],MATCH(A9,tblModelPromotion[promotion_name],0))</f>
        <v>0.1855</v>
      </c>
      <c r="F9" s="13">
        <f>INDEX(tblModelPromotion[baseline_margin_pct],MATCH(A9,tblModelPromotion[promotion_name],0))</f>
        <v>0.22259999999999999</v>
      </c>
      <c r="G9" s="13">
        <f t="shared" si="0"/>
        <v>-3.7099999999999994E-2</v>
      </c>
      <c r="H9" s="13">
        <f>INDEX(tblModelPromotion[aov_lift_pct],MATCH(A9,tblModelPromotion[promotion_name],0))</f>
        <v>7.3200000000000001E-2</v>
      </c>
      <c r="I9" t="str">
        <f t="shared" si="1"/>
        <v>Continue - efficient lift for margin cost</v>
      </c>
    </row>
    <row r="10" spans="1:12" x14ac:dyDescent="0.3">
      <c r="A10" t="str">
        <f>INDEX(tblModelPromotion[promotion_name],MATCH("Flash Sale Nov2024 - 5% Off",tblModelPromotion[promotion_name],0))</f>
        <v>Flash Sale Nov2024 - 5% Off</v>
      </c>
      <c r="B10" t="str">
        <f>INDEX(tblModelPromotion[promotion_type],MATCH(A10,tblModelPromotion[promotion_name],0))</f>
        <v>Flash Sale</v>
      </c>
      <c r="C10" s="13">
        <f>INDEX(tblModelPromotion[discount_pct],MATCH(A10,tblModelPromotion[promotion_name],0))/100</f>
        <v>0.05</v>
      </c>
      <c r="D10" s="12">
        <f>INDEX(tblModelPromotion[revenue],MATCH(A10,tblModelPromotion[promotion_name],0))</f>
        <v>58224407</v>
      </c>
      <c r="E10" s="13">
        <f>INDEX(tblModelPromotion[margin_pct],MATCH(A10,tblModelPromotion[promotion_name],0))</f>
        <v>0.18509999999999999</v>
      </c>
      <c r="F10" s="13">
        <f>INDEX(tblModelPromotion[baseline_margin_pct],MATCH(A10,tblModelPromotion[promotion_name],0))</f>
        <v>0.22259999999999999</v>
      </c>
      <c r="G10" s="13">
        <f t="shared" si="0"/>
        <v>-3.7500000000000006E-2</v>
      </c>
      <c r="H10" s="13">
        <f>INDEX(tblModelPromotion[aov_lift_pct],MATCH(A10,tblModelPromotion[promotion_name],0))</f>
        <v>8.3000000000000001E-3</v>
      </c>
      <c r="I10" t="str">
        <f t="shared" si="1"/>
        <v>Continue - efficient lift for margin cost</v>
      </c>
    </row>
    <row r="11" spans="1:12" x14ac:dyDescent="0.3">
      <c r="A11" t="str">
        <f>INDEX(tblModelPromotion[promotion_name],MATCH("Festive Mar2021 - 5% Off",tblModelPromotion[promotion_name],0))</f>
        <v>Festive Mar2021 - 5% Off</v>
      </c>
      <c r="B11" t="str">
        <f>INDEX(tblModelPromotion[promotion_type],MATCH(A11,tblModelPromotion[promotion_name],0))</f>
        <v>Festive</v>
      </c>
      <c r="C11" s="13">
        <f>INDEX(tblModelPromotion[discount_pct],MATCH(A11,tblModelPromotion[promotion_name],0))/100</f>
        <v>0.05</v>
      </c>
      <c r="D11" s="12">
        <f>INDEX(tblModelPromotion[revenue],MATCH(A11,tblModelPromotion[promotion_name],0))</f>
        <v>63050549</v>
      </c>
      <c r="E11" s="13">
        <f>INDEX(tblModelPromotion[margin_pct],MATCH(A11,tblModelPromotion[promotion_name],0))</f>
        <v>0.18459999999999999</v>
      </c>
      <c r="F11" s="13">
        <f>INDEX(tblModelPromotion[baseline_margin_pct],MATCH(A11,tblModelPromotion[promotion_name],0))</f>
        <v>0.22259999999999999</v>
      </c>
      <c r="G11" s="13">
        <f t="shared" si="0"/>
        <v>-3.8000000000000006E-2</v>
      </c>
      <c r="H11" s="13">
        <f>INDEX(tblModelPromotion[aov_lift_pct],MATCH(A11,tblModelPromotion[promotion_name],0))</f>
        <v>0.1142</v>
      </c>
      <c r="I11" t="str">
        <f t="shared" si="1"/>
        <v>Continue - efficient lift for margin cost</v>
      </c>
    </row>
    <row r="12" spans="1:12" x14ac:dyDescent="0.3">
      <c r="A12" t="str">
        <f>INDEX(tblModelPromotion[promotion_name],MATCH("Seasonal Apr2022 - 5% Off",tblModelPromotion[promotion_name],0))</f>
        <v>Seasonal Apr2022 - 5% Off</v>
      </c>
      <c r="B12" t="str">
        <f>INDEX(tblModelPromotion[promotion_type],MATCH(A12,tblModelPromotion[promotion_name],0))</f>
        <v>Seasonal</v>
      </c>
      <c r="C12" s="13">
        <f>INDEX(tblModelPromotion[discount_pct],MATCH(A12,tblModelPromotion[promotion_name],0))/100</f>
        <v>0.05</v>
      </c>
      <c r="D12" s="12">
        <f>INDEX(tblModelPromotion[revenue],MATCH(A12,tblModelPromotion[promotion_name],0))</f>
        <v>32420135</v>
      </c>
      <c r="E12" s="13">
        <f>INDEX(tblModelPromotion[margin_pct],MATCH(A12,tblModelPromotion[promotion_name],0))</f>
        <v>0.184</v>
      </c>
      <c r="F12" s="13">
        <f>INDEX(tblModelPromotion[baseline_margin_pct],MATCH(A12,tblModelPromotion[promotion_name],0))</f>
        <v>0.22259999999999999</v>
      </c>
      <c r="G12" s="13">
        <f t="shared" si="0"/>
        <v>-3.8599999999999995E-2</v>
      </c>
      <c r="H12" s="13">
        <f>INDEX(tblModelPromotion[aov_lift_pct],MATCH(A12,tblModelPromotion[promotion_name],0))</f>
        <v>0.17560000000000001</v>
      </c>
      <c r="I12" t="str">
        <f t="shared" si="1"/>
        <v>Continue - efficient lift for margin cost</v>
      </c>
    </row>
    <row r="13" spans="1:12" x14ac:dyDescent="0.3">
      <c r="A13" t="str">
        <f>INDEX(tblModelPromotion[promotion_name],MATCH("Flash Sale Feb2022 - 5% Off",tblModelPromotion[promotion_name],0))</f>
        <v>Flash Sale Feb2022 - 5% Off</v>
      </c>
      <c r="B13" t="str">
        <f>INDEX(tblModelPromotion[promotion_type],MATCH(A13,tblModelPromotion[promotion_name],0))</f>
        <v>Flash Sale</v>
      </c>
      <c r="C13" s="13">
        <f>INDEX(tblModelPromotion[discount_pct],MATCH(A13,tblModelPromotion[promotion_name],0))/100</f>
        <v>0.05</v>
      </c>
      <c r="D13" s="12">
        <f>INDEX(tblModelPromotion[revenue],MATCH(A13,tblModelPromotion[promotion_name],0))</f>
        <v>31109407</v>
      </c>
      <c r="E13" s="13">
        <f>INDEX(tblModelPromotion[margin_pct],MATCH(A13,tblModelPromotion[promotion_name],0))</f>
        <v>0.1837</v>
      </c>
      <c r="F13" s="13">
        <f>INDEX(tblModelPromotion[baseline_margin_pct],MATCH(A13,tblModelPromotion[promotion_name],0))</f>
        <v>0.22259999999999999</v>
      </c>
      <c r="G13" s="13">
        <f t="shared" si="0"/>
        <v>-3.889999999999999E-2</v>
      </c>
      <c r="H13" s="13">
        <f>INDEX(tblModelPromotion[aov_lift_pct],MATCH(A13,tblModelPromotion[promotion_name],0))</f>
        <v>0.13650000000000001</v>
      </c>
      <c r="I13" t="str">
        <f t="shared" si="1"/>
        <v>Continue - efficient lift for margin cost</v>
      </c>
    </row>
    <row r="14" spans="1:12" x14ac:dyDescent="0.3">
      <c r="A14" t="str">
        <f>INDEX(tblModelPromotion[promotion_name],MATCH("Clearance Mar2022 - 5% Off",tblModelPromotion[promotion_name],0))</f>
        <v>Clearance Mar2022 - 5% Off</v>
      </c>
      <c r="B14" t="str">
        <f>INDEX(tblModelPromotion[promotion_type],MATCH(A14,tblModelPromotion[promotion_name],0))</f>
        <v>Clearance</v>
      </c>
      <c r="C14" s="13">
        <f>INDEX(tblModelPromotion[discount_pct],MATCH(A14,tblModelPromotion[promotion_name],0))/100</f>
        <v>0.05</v>
      </c>
      <c r="D14" s="12">
        <f>INDEX(tblModelPromotion[revenue],MATCH(A14,tblModelPromotion[promotion_name],0))</f>
        <v>31226578</v>
      </c>
      <c r="E14" s="13">
        <f>INDEX(tblModelPromotion[margin_pct],MATCH(A14,tblModelPromotion[promotion_name],0))</f>
        <v>0.18360000000000001</v>
      </c>
      <c r="F14" s="13">
        <f>INDEX(tblModelPromotion[baseline_margin_pct],MATCH(A14,tblModelPromotion[promotion_name],0))</f>
        <v>0.22259999999999999</v>
      </c>
      <c r="G14" s="13">
        <f t="shared" si="0"/>
        <v>-3.8999999999999979E-2</v>
      </c>
      <c r="H14" s="13">
        <f>INDEX(tblModelPromotion[aov_lift_pct],MATCH(A14,tblModelPromotion[promotion_name],0))</f>
        <v>0.1077</v>
      </c>
      <c r="I14" t="str">
        <f t="shared" si="1"/>
        <v>Continue - efficient lift for margin cost</v>
      </c>
    </row>
    <row r="15" spans="1:12" x14ac:dyDescent="0.3">
      <c r="A15" t="str">
        <f>INDEX(tblModelPromotion[promotion_name],MATCH("Seasonal Dec2021 - 5% Off",tblModelPromotion[promotion_name],0))</f>
        <v>Seasonal Dec2021 - 5% Off</v>
      </c>
      <c r="B15" t="str">
        <f>INDEX(tblModelPromotion[promotion_type],MATCH(A15,tblModelPromotion[promotion_name],0))</f>
        <v>Seasonal</v>
      </c>
      <c r="C15" s="13">
        <f>INDEX(tblModelPromotion[discount_pct],MATCH(A15,tblModelPromotion[promotion_name],0))/100</f>
        <v>0.05</v>
      </c>
      <c r="D15" s="12">
        <f>INDEX(tblModelPromotion[revenue],MATCH(A15,tblModelPromotion[promotion_name],0))</f>
        <v>30999756</v>
      </c>
      <c r="E15" s="13">
        <f>INDEX(tblModelPromotion[margin_pct],MATCH(A15,tblModelPromotion[promotion_name],0))</f>
        <v>0.1832</v>
      </c>
      <c r="F15" s="13">
        <f>INDEX(tblModelPromotion[baseline_margin_pct],MATCH(A15,tblModelPromotion[promotion_name],0))</f>
        <v>0.22259999999999999</v>
      </c>
      <c r="G15" s="13">
        <f t="shared" si="0"/>
        <v>-3.9399999999999991E-2</v>
      </c>
      <c r="H15" s="13">
        <f>INDEX(tblModelPromotion[aov_lift_pct],MATCH(A15,tblModelPromotion[promotion_name],0))</f>
        <v>0.12690000000000001</v>
      </c>
      <c r="I15" t="str">
        <f t="shared" si="1"/>
        <v>Continue - efficient lift for margin cost</v>
      </c>
    </row>
    <row r="16" spans="1:12" x14ac:dyDescent="0.3">
      <c r="A16" t="str">
        <f>INDEX(tblModelPromotion[promotion_name],MATCH("Flash Sale Dec2021 - 5% Off",tblModelPromotion[promotion_name],0))</f>
        <v>Flash Sale Dec2021 - 5% Off</v>
      </c>
      <c r="B16" t="str">
        <f>INDEX(tblModelPromotion[promotion_type],MATCH(A16,tblModelPromotion[promotion_name],0))</f>
        <v>Flash Sale</v>
      </c>
      <c r="C16" s="13">
        <f>INDEX(tblModelPromotion[discount_pct],MATCH(A16,tblModelPromotion[promotion_name],0))/100</f>
        <v>0.05</v>
      </c>
      <c r="D16" s="12">
        <f>INDEX(tblModelPromotion[revenue],MATCH(A16,tblModelPromotion[promotion_name],0))</f>
        <v>29084891</v>
      </c>
      <c r="E16" s="13">
        <f>INDEX(tblModelPromotion[margin_pct],MATCH(A16,tblModelPromotion[promotion_name],0))</f>
        <v>0.18260000000000001</v>
      </c>
      <c r="F16" s="13">
        <f>INDEX(tblModelPromotion[baseline_margin_pct],MATCH(A16,tblModelPromotion[promotion_name],0))</f>
        <v>0.22259999999999999</v>
      </c>
      <c r="G16" s="13">
        <f t="shared" si="0"/>
        <v>-3.999999999999998E-2</v>
      </c>
      <c r="H16" s="13">
        <f>INDEX(tblModelPromotion[aov_lift_pct],MATCH(A16,tblModelPromotion[promotion_name],0))</f>
        <v>6.5199999999999994E-2</v>
      </c>
      <c r="I16" t="str">
        <f t="shared" si="1"/>
        <v>Continue - efficient lift for margin cost</v>
      </c>
    </row>
    <row r="17" spans="1:9" x14ac:dyDescent="0.3">
      <c r="A17" t="str">
        <f>INDEX(tblModelPromotion[promotion_name],MATCH("Festive Oct2021 - 5% Off",tblModelPromotion[promotion_name],0))</f>
        <v>Festive Oct2021 - 5% Off</v>
      </c>
      <c r="B17" t="str">
        <f>INDEX(tblModelPromotion[promotion_type],MATCH(A17,tblModelPromotion[promotion_name],0))</f>
        <v>Festive</v>
      </c>
      <c r="C17" s="13">
        <f>INDEX(tblModelPromotion[discount_pct],MATCH(A17,tblModelPromotion[promotion_name],0))/100</f>
        <v>0.05</v>
      </c>
      <c r="D17" s="12">
        <f>INDEX(tblModelPromotion[revenue],MATCH(A17,tblModelPromotion[promotion_name],0))</f>
        <v>136643946</v>
      </c>
      <c r="E17" s="13">
        <f>INDEX(tblModelPromotion[margin_pct],MATCH(A17,tblModelPromotion[promotion_name],0))</f>
        <v>0.18190000000000001</v>
      </c>
      <c r="F17" s="13">
        <f>INDEX(tblModelPromotion[baseline_margin_pct],MATCH(A17,tblModelPromotion[promotion_name],0))</f>
        <v>0.22259999999999999</v>
      </c>
      <c r="G17" s="13">
        <f t="shared" si="0"/>
        <v>-4.0699999999999986E-2</v>
      </c>
      <c r="H17" s="13">
        <f>INDEX(tblModelPromotion[aov_lift_pct],MATCH(A17,tblModelPromotion[promotion_name],0))</f>
        <v>8.3500000000000005E-2</v>
      </c>
      <c r="I17" t="str">
        <f t="shared" si="1"/>
        <v>Continue - efficient lift for margin cost</v>
      </c>
    </row>
    <row r="18" spans="1:9" x14ac:dyDescent="0.3">
      <c r="A18" t="str">
        <f>INDEX(tblModelPromotion[promotion_name],MATCH("Seasonal Nov2024 - 5% Off",tblModelPromotion[promotion_name],0))</f>
        <v>Seasonal Nov2024 - 5% Off</v>
      </c>
      <c r="B18" t="str">
        <f>INDEX(tblModelPromotion[promotion_type],MATCH(A18,tblModelPromotion[promotion_name],0))</f>
        <v>Seasonal</v>
      </c>
      <c r="C18" s="13">
        <f>INDEX(tblModelPromotion[discount_pct],MATCH(A18,tblModelPromotion[promotion_name],0))/100</f>
        <v>0.05</v>
      </c>
      <c r="D18" s="12">
        <f>INDEX(tblModelPromotion[revenue],MATCH(A18,tblModelPromotion[promotion_name],0))</f>
        <v>261412791</v>
      </c>
      <c r="E18" s="13">
        <f>INDEX(tblModelPromotion[margin_pct],MATCH(A18,tblModelPromotion[promotion_name],0))</f>
        <v>0.18140000000000001</v>
      </c>
      <c r="F18" s="13">
        <f>INDEX(tblModelPromotion[baseline_margin_pct],MATCH(A18,tblModelPromotion[promotion_name],0))</f>
        <v>0.22259999999999999</v>
      </c>
      <c r="G18" s="13">
        <f t="shared" si="0"/>
        <v>-4.1199999999999987E-2</v>
      </c>
      <c r="H18" s="13">
        <f>INDEX(tblModelPromotion[aov_lift_pct],MATCH(A18,tblModelPromotion[promotion_name],0))</f>
        <v>0.1265</v>
      </c>
      <c r="I18" t="str">
        <f t="shared" si="1"/>
        <v>Continue - efficient lift for margin cost</v>
      </c>
    </row>
    <row r="19" spans="1:9" x14ac:dyDescent="0.3">
      <c r="A19" t="str">
        <f>INDEX(tblModelPromotion[promotion_name],MATCH("Festive Nov2022 - 5% Off",tblModelPromotion[promotion_name],0))</f>
        <v>Festive Nov2022 - 5% Off</v>
      </c>
      <c r="B19" t="str">
        <f>INDEX(tblModelPromotion[promotion_type],MATCH(A19,tblModelPromotion[promotion_name],0))</f>
        <v>Festive</v>
      </c>
      <c r="C19" s="13">
        <f>INDEX(tblModelPromotion[discount_pct],MATCH(A19,tblModelPromotion[promotion_name],0))/100</f>
        <v>0.05</v>
      </c>
      <c r="D19" s="12">
        <f>INDEX(tblModelPromotion[revenue],MATCH(A19,tblModelPromotion[promotion_name],0))</f>
        <v>150307327</v>
      </c>
      <c r="E19" s="13">
        <f>INDEX(tblModelPromotion[margin_pct],MATCH(A19,tblModelPromotion[promotion_name],0))</f>
        <v>0.18129999999999999</v>
      </c>
      <c r="F19" s="13">
        <f>INDEX(tblModelPromotion[baseline_margin_pct],MATCH(A19,tblModelPromotion[promotion_name],0))</f>
        <v>0.22259999999999999</v>
      </c>
      <c r="G19" s="13">
        <f t="shared" si="0"/>
        <v>-4.1300000000000003E-2</v>
      </c>
      <c r="H19" s="13">
        <f>INDEX(tblModelPromotion[aov_lift_pct],MATCH(A19,tblModelPromotion[promotion_name],0))</f>
        <v>0.1605</v>
      </c>
      <c r="I19" t="str">
        <f t="shared" si="1"/>
        <v>Continue - efficient lift for margin cost</v>
      </c>
    </row>
    <row r="20" spans="1:9" x14ac:dyDescent="0.3">
      <c r="A20" t="str">
        <f>INDEX(tblModelPromotion[promotion_name],MATCH("Festive Jun2024 - 5% Off",tblModelPromotion[promotion_name],0))</f>
        <v>Festive Jun2024 - 5% Off</v>
      </c>
      <c r="B20" t="str">
        <f>INDEX(tblModelPromotion[promotion_type],MATCH(A20,tblModelPromotion[promotion_name],0))</f>
        <v>Festive</v>
      </c>
      <c r="C20" s="13">
        <f>INDEX(tblModelPromotion[discount_pct],MATCH(A20,tblModelPromotion[promotion_name],0))/100</f>
        <v>0.05</v>
      </c>
      <c r="D20" s="12">
        <f>INDEX(tblModelPromotion[revenue],MATCH(A20,tblModelPromotion[promotion_name],0))</f>
        <v>59507362</v>
      </c>
      <c r="E20" s="13">
        <f>INDEX(tblModelPromotion[margin_pct],MATCH(A20,tblModelPromotion[promotion_name],0))</f>
        <v>0.18079999999999999</v>
      </c>
      <c r="F20" s="13">
        <f>INDEX(tblModelPromotion[baseline_margin_pct],MATCH(A20,tblModelPromotion[promotion_name],0))</f>
        <v>0.22259999999999999</v>
      </c>
      <c r="G20" s="13">
        <f t="shared" si="0"/>
        <v>-4.1800000000000004E-2</v>
      </c>
      <c r="H20" s="13">
        <f>INDEX(tblModelPromotion[aov_lift_pct],MATCH(A20,tblModelPromotion[promotion_name],0))</f>
        <v>0.11749999999999999</v>
      </c>
      <c r="I20" t="str">
        <f t="shared" si="1"/>
        <v>Continue - efficient lift for margin cost</v>
      </c>
    </row>
    <row r="21" spans="1:9" x14ac:dyDescent="0.3">
      <c r="A21" t="str">
        <f>INDEX(tblModelPromotion[promotion_name],MATCH("Seasonal Sep2024 - 5% Off",tblModelPromotion[promotion_name],0))</f>
        <v>Seasonal Sep2024 - 5% Off</v>
      </c>
      <c r="B21" t="str">
        <f>INDEX(tblModelPromotion[promotion_type],MATCH(A21,tblModelPromotion[promotion_name],0))</f>
        <v>Seasonal</v>
      </c>
      <c r="C21" s="13">
        <f>INDEX(tblModelPromotion[discount_pct],MATCH(A21,tblModelPromotion[promotion_name],0))/100</f>
        <v>0.05</v>
      </c>
      <c r="D21" s="12">
        <f>INDEX(tblModelPromotion[revenue],MATCH(A21,tblModelPromotion[promotion_name],0))</f>
        <v>60585042</v>
      </c>
      <c r="E21" s="13">
        <f>INDEX(tblModelPromotion[margin_pct],MATCH(A21,tblModelPromotion[promotion_name],0))</f>
        <v>0.18029999999999999</v>
      </c>
      <c r="F21" s="13">
        <f>INDEX(tblModelPromotion[baseline_margin_pct],MATCH(A21,tblModelPromotion[promotion_name],0))</f>
        <v>0.22259999999999999</v>
      </c>
      <c r="G21" s="13">
        <f t="shared" si="0"/>
        <v>-4.2300000000000004E-2</v>
      </c>
      <c r="H21" s="13">
        <f>INDEX(tblModelPromotion[aov_lift_pct],MATCH(A21,tblModelPromotion[promotion_name],0))</f>
        <v>7.9799999999999996E-2</v>
      </c>
      <c r="I21" t="str">
        <f t="shared" si="1"/>
        <v>Continue - efficient lift for margin cost</v>
      </c>
    </row>
    <row r="22" spans="1:9" x14ac:dyDescent="0.3">
      <c r="A22" t="str">
        <f>INDEX(tblModelPromotion[promotion_name],MATCH("Festive Nov2024 - 5% Off",tblModelPromotion[promotion_name],0))</f>
        <v>Festive Nov2024 - 5% Off</v>
      </c>
      <c r="B22" t="str">
        <f>INDEX(tblModelPromotion[promotion_type],MATCH(A22,tblModelPromotion[promotion_name],0))</f>
        <v>Festive</v>
      </c>
      <c r="C22" s="13">
        <f>INDEX(tblModelPromotion[discount_pct],MATCH(A22,tblModelPromotion[promotion_name],0))/100</f>
        <v>0.05</v>
      </c>
      <c r="D22" s="12">
        <f>INDEX(tblModelPromotion[revenue],MATCH(A22,tblModelPromotion[promotion_name],0))</f>
        <v>265770437</v>
      </c>
      <c r="E22" s="13">
        <f>INDEX(tblModelPromotion[margin_pct],MATCH(A22,tblModelPromotion[promotion_name],0))</f>
        <v>0.18</v>
      </c>
      <c r="F22" s="13">
        <f>INDEX(tblModelPromotion[baseline_margin_pct],MATCH(A22,tblModelPromotion[promotion_name],0))</f>
        <v>0.22259999999999999</v>
      </c>
      <c r="G22" s="13">
        <f t="shared" si="0"/>
        <v>-4.2599999999999999E-2</v>
      </c>
      <c r="H22" s="13">
        <f>INDEX(tblModelPromotion[aov_lift_pct],MATCH(A22,tblModelPromotion[promotion_name],0))</f>
        <v>0.1323</v>
      </c>
      <c r="I22" t="str">
        <f t="shared" si="1"/>
        <v>Continue - efficient lift for margin cost</v>
      </c>
    </row>
    <row r="23" spans="1:9" x14ac:dyDescent="0.3">
      <c r="A23" t="str">
        <f>INDEX(tblModelPromotion[promotion_name],MATCH("Loyalty Feb2022 - 5% Off",tblModelPromotion[promotion_name],0))</f>
        <v>Loyalty Feb2022 - 5% Off</v>
      </c>
      <c r="B23" t="str">
        <f>INDEX(tblModelPromotion[promotion_type],MATCH(A23,tblModelPromotion[promotion_name],0))</f>
        <v>Loyalty</v>
      </c>
      <c r="C23" s="13">
        <f>INDEX(tblModelPromotion[discount_pct],MATCH(A23,tblModelPromotion[promotion_name],0))/100</f>
        <v>0.05</v>
      </c>
      <c r="D23" s="12">
        <f>INDEX(tblModelPromotion[revenue],MATCH(A23,tblModelPromotion[promotion_name],0))</f>
        <v>68835124</v>
      </c>
      <c r="E23" s="13">
        <f>INDEX(tblModelPromotion[margin_pct],MATCH(A23,tblModelPromotion[promotion_name],0))</f>
        <v>0.1799</v>
      </c>
      <c r="F23" s="13">
        <f>INDEX(tblModelPromotion[baseline_margin_pct],MATCH(A23,tblModelPromotion[promotion_name],0))</f>
        <v>0.22259999999999999</v>
      </c>
      <c r="G23" s="13">
        <f t="shared" si="0"/>
        <v>-4.2699999999999988E-2</v>
      </c>
      <c r="H23" s="13">
        <f>INDEX(tblModelPromotion[aov_lift_pct],MATCH(A23,tblModelPromotion[promotion_name],0))</f>
        <v>0.17549999999999999</v>
      </c>
      <c r="I23" t="str">
        <f t="shared" si="1"/>
        <v>Continue - efficient lift for margin cost</v>
      </c>
    </row>
    <row r="24" spans="1:9" x14ac:dyDescent="0.3">
      <c r="A24" t="str">
        <f>INDEX(tblModelPromotion[promotion_name],MATCH("Festive Apr2022 - 5% Off",tblModelPromotion[promotion_name],0))</f>
        <v>Festive Apr2022 - 5% Off</v>
      </c>
      <c r="B24" t="str">
        <f>INDEX(tblModelPromotion[promotion_type],MATCH(A24,tblModelPromotion[promotion_name],0))</f>
        <v>Festive</v>
      </c>
      <c r="C24" s="13">
        <f>INDEX(tblModelPromotion[discount_pct],MATCH(A24,tblModelPromotion[promotion_name],0))/100</f>
        <v>0.05</v>
      </c>
      <c r="D24" s="12">
        <f>INDEX(tblModelPromotion[revenue],MATCH(A24,tblModelPromotion[promotion_name],0))</f>
        <v>64926882</v>
      </c>
      <c r="E24" s="13">
        <f>INDEX(tblModelPromotion[margin_pct],MATCH(A24,tblModelPromotion[promotion_name],0))</f>
        <v>0.1799</v>
      </c>
      <c r="F24" s="13">
        <f>INDEX(tblModelPromotion[baseline_margin_pct],MATCH(A24,tblModelPromotion[promotion_name],0))</f>
        <v>0.22259999999999999</v>
      </c>
      <c r="G24" s="13">
        <f t="shared" si="0"/>
        <v>-4.2699999999999988E-2</v>
      </c>
      <c r="H24" s="13">
        <f>INDEX(tblModelPromotion[aov_lift_pct],MATCH(A24,tblModelPromotion[promotion_name],0))</f>
        <v>0.15160000000000001</v>
      </c>
      <c r="I24" t="str">
        <f t="shared" si="1"/>
        <v>Continue - efficient lift for margin cost</v>
      </c>
    </row>
    <row r="25" spans="1:9" x14ac:dyDescent="0.3">
      <c r="A25" t="str">
        <f>INDEX(tblModelPromotion[promotion_name],MATCH("Seasonal Jan2023 - 5% Off",tblModelPromotion[promotion_name],0))</f>
        <v>Seasonal Jan2023 - 5% Off</v>
      </c>
      <c r="B25" t="str">
        <f>INDEX(tblModelPromotion[promotion_type],MATCH(A25,tblModelPromotion[promotion_name],0))</f>
        <v>Seasonal</v>
      </c>
      <c r="C25" s="13">
        <f>INDEX(tblModelPromotion[discount_pct],MATCH(A25,tblModelPromotion[promotion_name],0))/100</f>
        <v>0.05</v>
      </c>
      <c r="D25" s="12">
        <f>INDEX(tblModelPromotion[revenue],MATCH(A25,tblModelPromotion[promotion_name],0))</f>
        <v>66605073</v>
      </c>
      <c r="E25" s="13">
        <f>INDEX(tblModelPromotion[margin_pct],MATCH(A25,tblModelPromotion[promotion_name],0))</f>
        <v>0.17949999999999999</v>
      </c>
      <c r="F25" s="13">
        <f>INDEX(tblModelPromotion[baseline_margin_pct],MATCH(A25,tblModelPromotion[promotion_name],0))</f>
        <v>0.22259999999999999</v>
      </c>
      <c r="G25" s="13">
        <f t="shared" si="0"/>
        <v>-4.3099999999999999E-2</v>
      </c>
      <c r="H25" s="13">
        <f>INDEX(tblModelPromotion[aov_lift_pct],MATCH(A25,tblModelPromotion[promotion_name],0))</f>
        <v>0.16719999999999999</v>
      </c>
      <c r="I25" t="str">
        <f t="shared" si="1"/>
        <v>Continue - efficient lift for margin cost</v>
      </c>
    </row>
    <row r="26" spans="1:9" x14ac:dyDescent="0.3">
      <c r="A26" t="str">
        <f>INDEX(tblModelPromotion[promotion_name],MATCH("Flash Sale Feb2022 - 5% Off",tblModelPromotion[promotion_name],0))</f>
        <v>Flash Sale Feb2022 - 5% Off</v>
      </c>
      <c r="B26" t="str">
        <f>INDEX(tblModelPromotion[promotion_type],MATCH(A26,tblModelPromotion[promotion_name],0))</f>
        <v>Flash Sale</v>
      </c>
      <c r="C26" s="13">
        <f>INDEX(tblModelPromotion[discount_pct],MATCH(A26,tblModelPromotion[promotion_name],0))/100</f>
        <v>0.05</v>
      </c>
      <c r="D26" s="12">
        <f>INDEX(tblModelPromotion[revenue],MATCH(A26,tblModelPromotion[promotion_name],0))</f>
        <v>31109407</v>
      </c>
      <c r="E26" s="13">
        <f>INDEX(tblModelPromotion[margin_pct],MATCH(A26,tblModelPromotion[promotion_name],0))</f>
        <v>0.1837</v>
      </c>
      <c r="F26" s="13">
        <f>INDEX(tblModelPromotion[baseline_margin_pct],MATCH(A26,tblModelPromotion[promotion_name],0))</f>
        <v>0.22259999999999999</v>
      </c>
      <c r="G26" s="13">
        <f t="shared" si="0"/>
        <v>-3.889999999999999E-2</v>
      </c>
      <c r="H26" s="13">
        <f>INDEX(tblModelPromotion[aov_lift_pct],MATCH(A26,tblModelPromotion[promotion_name],0))</f>
        <v>0.13650000000000001</v>
      </c>
      <c r="I26" t="str">
        <f t="shared" si="1"/>
        <v>Continue - efficient lift for margin cost</v>
      </c>
    </row>
    <row r="27" spans="1:9" x14ac:dyDescent="0.3">
      <c r="A27" t="str">
        <f>INDEX(tblModelPromotion[promotion_name],MATCH("Loyalty Dec2021 - 5% Off",tblModelPromotion[promotion_name],0))</f>
        <v>Loyalty Dec2021 - 5% Off</v>
      </c>
      <c r="B27" t="str">
        <f>INDEX(tblModelPromotion[promotion_type],MATCH(A27,tblModelPromotion[promotion_name],0))</f>
        <v>Loyalty</v>
      </c>
      <c r="C27" s="13">
        <f>INDEX(tblModelPromotion[discount_pct],MATCH(A27,tblModelPromotion[promotion_name],0))/100</f>
        <v>0.05</v>
      </c>
      <c r="D27" s="12">
        <f>INDEX(tblModelPromotion[revenue],MATCH(A27,tblModelPromotion[promotion_name],0))</f>
        <v>88869563</v>
      </c>
      <c r="E27" s="13">
        <f>INDEX(tblModelPromotion[margin_pct],MATCH(A27,tblModelPromotion[promotion_name],0))</f>
        <v>0.17910000000000001</v>
      </c>
      <c r="F27" s="13">
        <f>INDEX(tblModelPromotion[baseline_margin_pct],MATCH(A27,tblModelPromotion[promotion_name],0))</f>
        <v>0.22259999999999999</v>
      </c>
      <c r="G27" s="13">
        <f t="shared" si="0"/>
        <v>-4.3499999999999983E-2</v>
      </c>
      <c r="H27" s="13">
        <f>INDEX(tblModelPromotion[aov_lift_pct],MATCH(A27,tblModelPromotion[promotion_name],0))</f>
        <v>0.1032</v>
      </c>
      <c r="I27" t="str">
        <f t="shared" si="1"/>
        <v>Continue - efficient lift for margin cost</v>
      </c>
    </row>
    <row r="28" spans="1:9" x14ac:dyDescent="0.3">
      <c r="A28" t="str">
        <f>INDEX(tblModelPromotion[promotion_name],MATCH("Loyalty Sep2024 - 5% Off",tblModelPromotion[promotion_name],0))</f>
        <v>Loyalty Sep2024 - 5% Off</v>
      </c>
      <c r="B28" t="str">
        <f>INDEX(tblModelPromotion[promotion_type],MATCH(A28,tblModelPromotion[promotion_name],0))</f>
        <v>Loyalty</v>
      </c>
      <c r="C28" s="13">
        <f>INDEX(tblModelPromotion[discount_pct],MATCH(A28,tblModelPromotion[promotion_name],0))/100</f>
        <v>0.05</v>
      </c>
      <c r="D28" s="12">
        <f>INDEX(tblModelPromotion[revenue],MATCH(A28,tblModelPromotion[promotion_name],0))</f>
        <v>478598231</v>
      </c>
      <c r="E28" s="13">
        <f>INDEX(tblModelPromotion[margin_pct],MATCH(A28,tblModelPromotion[promotion_name],0))</f>
        <v>0.17910000000000001</v>
      </c>
      <c r="F28" s="13">
        <f>INDEX(tblModelPromotion[baseline_margin_pct],MATCH(A28,tblModelPromotion[promotion_name],0))</f>
        <v>0.22259999999999999</v>
      </c>
      <c r="G28" s="13">
        <f t="shared" si="0"/>
        <v>-4.3499999999999983E-2</v>
      </c>
      <c r="H28" s="13">
        <f>INDEX(tblModelPromotion[aov_lift_pct],MATCH(A28,tblModelPromotion[promotion_name],0))</f>
        <v>0.13900000000000001</v>
      </c>
      <c r="I28" t="str">
        <f t="shared" si="1"/>
        <v>Continue - efficient lift for margin cost</v>
      </c>
    </row>
    <row r="29" spans="1:9" x14ac:dyDescent="0.3">
      <c r="A29" t="str">
        <f>INDEX(tblModelPromotion[promotion_name],MATCH("Seasonal Jun2024 - 5% Off",tblModelPromotion[promotion_name],0))</f>
        <v>Seasonal Jun2024 - 5% Off</v>
      </c>
      <c r="B29" t="str">
        <f>INDEX(tblModelPromotion[promotion_type],MATCH(A29,tblModelPromotion[promotion_name],0))</f>
        <v>Seasonal</v>
      </c>
      <c r="C29" s="13">
        <f>INDEX(tblModelPromotion[discount_pct],MATCH(A29,tblModelPromotion[promotion_name],0))/100</f>
        <v>0.05</v>
      </c>
      <c r="D29" s="12">
        <f>INDEX(tblModelPromotion[revenue],MATCH(A29,tblModelPromotion[promotion_name],0))</f>
        <v>96683502</v>
      </c>
      <c r="E29" s="13">
        <f>INDEX(tblModelPromotion[margin_pct],MATCH(A29,tblModelPromotion[promotion_name],0))</f>
        <v>0.17910000000000001</v>
      </c>
      <c r="F29" s="13">
        <f>INDEX(tblModelPromotion[baseline_margin_pct],MATCH(A29,tblModelPromotion[promotion_name],0))</f>
        <v>0.22259999999999999</v>
      </c>
      <c r="G29" s="13">
        <f t="shared" si="0"/>
        <v>-4.3499999999999983E-2</v>
      </c>
      <c r="H29" s="13">
        <f>INDEX(tblModelPromotion[aov_lift_pct],MATCH(A29,tblModelPromotion[promotion_name],0))</f>
        <v>0.15809999999999999</v>
      </c>
      <c r="I29" t="str">
        <f t="shared" si="1"/>
        <v>Continue - efficient lift for margin cost</v>
      </c>
    </row>
    <row r="30" spans="1:9" x14ac:dyDescent="0.3">
      <c r="A30" t="str">
        <f>INDEX(tblModelPromotion[promotion_name],MATCH("Festive Mar2024 - 5% Off",tblModelPromotion[promotion_name],0))</f>
        <v>Festive Mar2024 - 5% Off</v>
      </c>
      <c r="B30" t="str">
        <f>INDEX(tblModelPromotion[promotion_type],MATCH(A30,tblModelPromotion[promotion_name],0))</f>
        <v>Festive</v>
      </c>
      <c r="C30" s="13">
        <f>INDEX(tblModelPromotion[discount_pct],MATCH(A30,tblModelPromotion[promotion_name],0))/100</f>
        <v>0.05</v>
      </c>
      <c r="D30" s="12">
        <f>INDEX(tblModelPromotion[revenue],MATCH(A30,tblModelPromotion[promotion_name],0))</f>
        <v>42369113</v>
      </c>
      <c r="E30" s="13">
        <f>INDEX(tblModelPromotion[margin_pct],MATCH(A30,tblModelPromotion[promotion_name],0))</f>
        <v>0.17879999999999999</v>
      </c>
      <c r="F30" s="13">
        <f>INDEX(tblModelPromotion[baseline_margin_pct],MATCH(A30,tblModelPromotion[promotion_name],0))</f>
        <v>0.22259999999999999</v>
      </c>
      <c r="G30" s="13">
        <f t="shared" si="0"/>
        <v>-4.3800000000000006E-2</v>
      </c>
      <c r="H30" s="13">
        <f>INDEX(tblModelPromotion[aov_lift_pct],MATCH(A30,tblModelPromotion[promotion_name],0))</f>
        <v>0.12520000000000001</v>
      </c>
      <c r="I30" t="str">
        <f t="shared" si="1"/>
        <v>Continue - efficient lift for margin cost</v>
      </c>
    </row>
    <row r="31" spans="1:9" x14ac:dyDescent="0.3">
      <c r="A31" t="str">
        <f>INDEX(tblModelPromotion[promotion_name],MATCH("Seasonal Jan2022 - 5% Off",tblModelPromotion[promotion_name],0))</f>
        <v>Seasonal Jan2022 - 5% Off</v>
      </c>
      <c r="B31" t="str">
        <f>INDEX(tblModelPromotion[promotion_type],MATCH(A31,tblModelPromotion[promotion_name],0))</f>
        <v>Seasonal</v>
      </c>
      <c r="C31" s="13">
        <f>INDEX(tblModelPromotion[discount_pct],MATCH(A31,tblModelPromotion[promotion_name],0))/100</f>
        <v>0.05</v>
      </c>
      <c r="D31" s="12">
        <f>INDEX(tblModelPromotion[revenue],MATCH(A31,tblModelPromotion[promotion_name],0))</f>
        <v>57271842</v>
      </c>
      <c r="E31" s="13">
        <f>INDEX(tblModelPromotion[margin_pct],MATCH(A31,tblModelPromotion[promotion_name],0))</f>
        <v>0.17810000000000001</v>
      </c>
      <c r="F31" s="13">
        <f>INDEX(tblModelPromotion[baseline_margin_pct],MATCH(A31,tblModelPromotion[promotion_name],0))</f>
        <v>0.22259999999999999</v>
      </c>
      <c r="G31" s="13">
        <f t="shared" si="0"/>
        <v>-4.4499999999999984E-2</v>
      </c>
      <c r="H31" s="13">
        <f>INDEX(tblModelPromotion[aov_lift_pct],MATCH(A31,tblModelPromotion[promotion_name],0))</f>
        <v>0.14280000000000001</v>
      </c>
      <c r="I31" t="str">
        <f t="shared" si="1"/>
        <v>Continue - efficient lift for margin cost</v>
      </c>
    </row>
    <row r="32" spans="1:9" x14ac:dyDescent="0.3">
      <c r="A32" t="str">
        <f>INDEX(tblModelPromotion[promotion_name],MATCH("Festive Dec2021 - 5% Off",tblModelPromotion[promotion_name],0))</f>
        <v>Festive Dec2021 - 5% Off</v>
      </c>
      <c r="B32" t="str">
        <f>INDEX(tblModelPromotion[promotion_type],MATCH(A32,tblModelPromotion[promotion_name],0))</f>
        <v>Festive</v>
      </c>
      <c r="C32" s="13">
        <f>INDEX(tblModelPromotion[discount_pct],MATCH(A32,tblModelPromotion[promotion_name],0))/100</f>
        <v>0.05</v>
      </c>
      <c r="D32" s="12">
        <f>INDEX(tblModelPromotion[revenue],MATCH(A32,tblModelPromotion[promotion_name],0))</f>
        <v>30335972</v>
      </c>
      <c r="E32" s="13">
        <f>INDEX(tblModelPromotion[margin_pct],MATCH(A32,tblModelPromotion[promotion_name],0))</f>
        <v>0.17480000000000001</v>
      </c>
      <c r="F32" s="13">
        <f>INDEX(tblModelPromotion[baseline_margin_pct],MATCH(A32,tblModelPromotion[promotion_name],0))</f>
        <v>0.22259999999999999</v>
      </c>
      <c r="G32" s="13">
        <f t="shared" si="0"/>
        <v>-4.7799999999999981E-2</v>
      </c>
      <c r="H32" s="13">
        <f>INDEX(tblModelPromotion[aov_lift_pct],MATCH(A32,tblModelPromotion[promotion_name],0))</f>
        <v>0.1512</v>
      </c>
      <c r="I32" t="str">
        <f t="shared" si="1"/>
        <v>Continue - efficient lift for margin cost</v>
      </c>
    </row>
    <row r="33" spans="1:9" x14ac:dyDescent="0.3">
      <c r="A33" t="str">
        <f>INDEX(tblModelPromotion[promotion_name],MATCH("Seasonal Dec2021 - 5% Off",tblModelPromotion[promotion_name],0))</f>
        <v>Seasonal Dec2021 - 5% Off</v>
      </c>
      <c r="B33" t="str">
        <f>INDEX(tblModelPromotion[promotion_type],MATCH(A33,tblModelPromotion[promotion_name],0))</f>
        <v>Seasonal</v>
      </c>
      <c r="C33" s="13">
        <f>INDEX(tblModelPromotion[discount_pct],MATCH(A33,tblModelPromotion[promotion_name],0))/100</f>
        <v>0.05</v>
      </c>
      <c r="D33" s="12">
        <f>INDEX(tblModelPromotion[revenue],MATCH(A33,tblModelPromotion[promotion_name],0))</f>
        <v>30999756</v>
      </c>
      <c r="E33" s="13">
        <f>INDEX(tblModelPromotion[margin_pct],MATCH(A33,tblModelPromotion[promotion_name],0))</f>
        <v>0.1832</v>
      </c>
      <c r="F33" s="13">
        <f>INDEX(tblModelPromotion[baseline_margin_pct],MATCH(A33,tblModelPromotion[promotion_name],0))</f>
        <v>0.22259999999999999</v>
      </c>
      <c r="G33" s="13">
        <f t="shared" si="0"/>
        <v>-3.9399999999999991E-2</v>
      </c>
      <c r="H33" s="13">
        <f>INDEX(tblModelPromotion[aov_lift_pct],MATCH(A33,tblModelPromotion[promotion_name],0))</f>
        <v>0.12690000000000001</v>
      </c>
      <c r="I33" t="str">
        <f t="shared" si="1"/>
        <v>Continue - efficient lift for margin cost</v>
      </c>
    </row>
    <row r="34" spans="1:9" x14ac:dyDescent="0.3">
      <c r="A34" t="str">
        <f>INDEX(tblModelPromotion[promotion_name],MATCH("Clearance Feb2024 - 10% Off",tblModelPromotion[promotion_name],0))</f>
        <v>Clearance Feb2024 - 10% Off</v>
      </c>
      <c r="B34" t="str">
        <f>INDEX(tblModelPromotion[promotion_type],MATCH(A34,tblModelPromotion[promotion_name],0))</f>
        <v>Clearance</v>
      </c>
      <c r="C34" s="13">
        <f>INDEX(tblModelPromotion[discount_pct],MATCH(A34,tblModelPromotion[promotion_name],0))/100</f>
        <v>0.1</v>
      </c>
      <c r="D34" s="12">
        <f>INDEX(tblModelPromotion[revenue],MATCH(A34,tblModelPromotion[promotion_name],0))</f>
        <v>54702959</v>
      </c>
      <c r="E34" s="13">
        <f>INDEX(tblModelPromotion[margin_pct],MATCH(A34,tblModelPromotion[promotion_name],0))</f>
        <v>0.13200000000000001</v>
      </c>
      <c r="F34" s="13">
        <f>INDEX(tblModelPromotion[baseline_margin_pct],MATCH(A34,tblModelPromotion[promotion_name],0))</f>
        <v>0.22259999999999999</v>
      </c>
      <c r="G34" s="13">
        <f t="shared" si="0"/>
        <v>-9.0599999999999986E-2</v>
      </c>
      <c r="H34" s="13">
        <f>INDEX(tblModelPromotion[aov_lift_pct],MATCH(A34,tblModelPromotion[promotion_name],0))</f>
        <v>0.15590000000000001</v>
      </c>
      <c r="I34" t="str">
        <f t="shared" si="1"/>
        <v>Continue - efficient lift for margin cost</v>
      </c>
    </row>
    <row r="35" spans="1:9" x14ac:dyDescent="0.3">
      <c r="A35" t="str">
        <f>INDEX(tblModelPromotion[promotion_name],MATCH("Loyalty Jul2024 - 10% Off",tblModelPromotion[promotion_name],0))</f>
        <v>Loyalty Jul2024 - 10% Off</v>
      </c>
      <c r="B35" t="str">
        <f>INDEX(tblModelPromotion[promotion_type],MATCH(A35,tblModelPromotion[promotion_name],0))</f>
        <v>Loyalty</v>
      </c>
      <c r="C35" s="13">
        <f>INDEX(tblModelPromotion[discount_pct],MATCH(A35,tblModelPromotion[promotion_name],0))/100</f>
        <v>0.1</v>
      </c>
      <c r="D35" s="12">
        <f>INDEX(tblModelPromotion[revenue],MATCH(A35,tblModelPromotion[promotion_name],0))</f>
        <v>29983311</v>
      </c>
      <c r="E35" s="13">
        <f>INDEX(tblModelPromotion[margin_pct],MATCH(A35,tblModelPromotion[promotion_name],0))</f>
        <v>0.1411</v>
      </c>
      <c r="F35" s="13">
        <f>INDEX(tblModelPromotion[baseline_margin_pct],MATCH(A35,tblModelPromotion[promotion_name],0))</f>
        <v>0.22259999999999999</v>
      </c>
      <c r="G35" s="13">
        <f t="shared" si="0"/>
        <v>-8.1499999999999989E-2</v>
      </c>
      <c r="H35" s="13">
        <f>INDEX(tblModelPromotion[aov_lift_pct],MATCH(A35,tblModelPromotion[promotion_name],0))</f>
        <v>5.3E-3</v>
      </c>
      <c r="I35" t="str">
        <f t="shared" si="1"/>
        <v>Continue - efficient lift for margin cost</v>
      </c>
    </row>
    <row r="36" spans="1:9" x14ac:dyDescent="0.3">
      <c r="A36" t="str">
        <f>INDEX(tblModelPromotion[promotion_name],MATCH("Clearance Mar2024 - 10% Off",tblModelPromotion[promotion_name],0))</f>
        <v>Clearance Mar2024 - 10% Off</v>
      </c>
      <c r="B36" t="str">
        <f>INDEX(tblModelPromotion[promotion_type],MATCH(A36,tblModelPromotion[promotion_name],0))</f>
        <v>Clearance</v>
      </c>
      <c r="C36" s="13">
        <f>INDEX(tblModelPromotion[discount_pct],MATCH(A36,tblModelPromotion[promotion_name],0))/100</f>
        <v>0.1</v>
      </c>
      <c r="D36" s="12">
        <f>INDEX(tblModelPromotion[revenue],MATCH(A36,tblModelPromotion[promotion_name],0))</f>
        <v>39618388</v>
      </c>
      <c r="E36" s="13">
        <f>INDEX(tblModelPromotion[margin_pct],MATCH(A36,tblModelPromotion[promotion_name],0))</f>
        <v>0.1404</v>
      </c>
      <c r="F36" s="13">
        <f>INDEX(tblModelPromotion[baseline_margin_pct],MATCH(A36,tblModelPromotion[promotion_name],0))</f>
        <v>0.22259999999999999</v>
      </c>
      <c r="G36" s="13">
        <f t="shared" si="0"/>
        <v>-8.2199999999999995E-2</v>
      </c>
      <c r="H36" s="13">
        <f>INDEX(tblModelPromotion[aov_lift_pct],MATCH(A36,tblModelPromotion[promotion_name],0))</f>
        <v>1.1900000000000001E-2</v>
      </c>
      <c r="I36" t="str">
        <f t="shared" si="1"/>
        <v>Continue - efficient lift for margin cost</v>
      </c>
    </row>
    <row r="37" spans="1:9" x14ac:dyDescent="0.3">
      <c r="A37" t="str">
        <f>INDEX(tblModelPromotion[promotion_name],MATCH("Seasonal Jun2024 - 10% Off",tblModelPromotion[promotion_name],0))</f>
        <v>Seasonal Jun2024 - 10% Off</v>
      </c>
      <c r="B37" t="str">
        <f>INDEX(tblModelPromotion[promotion_type],MATCH(A37,tblModelPromotion[promotion_name],0))</f>
        <v>Seasonal</v>
      </c>
      <c r="C37" s="13">
        <f>INDEX(tblModelPromotion[discount_pct],MATCH(A37,tblModelPromotion[promotion_name],0))/100</f>
        <v>0.1</v>
      </c>
      <c r="D37" s="12">
        <f>INDEX(tblModelPromotion[revenue],MATCH(A37,tblModelPromotion[promotion_name],0))</f>
        <v>85707135</v>
      </c>
      <c r="E37" s="13">
        <f>INDEX(tblModelPromotion[margin_pct],MATCH(A37,tblModelPromotion[promotion_name],0))</f>
        <v>0.13900000000000001</v>
      </c>
      <c r="F37" s="13">
        <f>INDEX(tblModelPromotion[baseline_margin_pct],MATCH(A37,tblModelPromotion[promotion_name],0))</f>
        <v>0.22259999999999999</v>
      </c>
      <c r="G37" s="13">
        <f t="shared" ref="G37:G68" si="2">E37-F37</f>
        <v>-8.359999999999998E-2</v>
      </c>
      <c r="H37" s="13">
        <f>INDEX(tblModelPromotion[aov_lift_pct],MATCH(A37,tblModelPromotion[promotion_name],0))</f>
        <v>3.1699999999999999E-2</v>
      </c>
      <c r="I37" t="str">
        <f t="shared" ref="I37:I68" si="3">IF(AND(G37&gt;=$L$1,H37&gt;=$L$2),"Continue - efficient lift for margin cost",IF(AND(G37&lt;=$L$3,H37&lt;$L$2),"Discontinue - high margin cost, weak lift","Review - mixed signal"))</f>
        <v>Continue - efficient lift for margin cost</v>
      </c>
    </row>
    <row r="38" spans="1:9" x14ac:dyDescent="0.3">
      <c r="A38" t="str">
        <f>INDEX(tblModelPromotion[promotion_name],MATCH("Flash Sale Sep2024 - 10% Off",tblModelPromotion[promotion_name],0))</f>
        <v>Flash Sale Sep2024 - 10% Off</v>
      </c>
      <c r="B38" t="str">
        <f>INDEX(tblModelPromotion[promotion_type],MATCH(A38,tblModelPromotion[promotion_name],0))</f>
        <v>Flash Sale</v>
      </c>
      <c r="C38" s="13">
        <f>INDEX(tblModelPromotion[discount_pct],MATCH(A38,tblModelPromotion[promotion_name],0))/100</f>
        <v>0.1</v>
      </c>
      <c r="D38" s="12">
        <f>INDEX(tblModelPromotion[revenue],MATCH(A38,tblModelPromotion[promotion_name],0))</f>
        <v>65154956</v>
      </c>
      <c r="E38" s="13">
        <f>INDEX(tblModelPromotion[margin_pct],MATCH(A38,tblModelPromotion[promotion_name],0))</f>
        <v>0.1389</v>
      </c>
      <c r="F38" s="13">
        <f>INDEX(tblModelPromotion[baseline_margin_pct],MATCH(A38,tblModelPromotion[promotion_name],0))</f>
        <v>0.22259999999999999</v>
      </c>
      <c r="G38" s="13">
        <f t="shared" si="2"/>
        <v>-8.3699999999999997E-2</v>
      </c>
      <c r="H38" s="13">
        <f>INDEX(tblModelPromotion[aov_lift_pct],MATCH(A38,tblModelPromotion[promotion_name],0))</f>
        <v>0.12970000000000001</v>
      </c>
      <c r="I38" t="str">
        <f t="shared" si="3"/>
        <v>Continue - efficient lift for margin cost</v>
      </c>
    </row>
    <row r="39" spans="1:9" x14ac:dyDescent="0.3">
      <c r="A39" t="str">
        <f>INDEX(tblModelPromotion[promotion_name],MATCH("Seasonal Feb2023 - 10% Off",tblModelPromotion[promotion_name],0))</f>
        <v>Seasonal Feb2023 - 10% Off</v>
      </c>
      <c r="B39" t="str">
        <f>INDEX(tblModelPromotion[promotion_type],MATCH(A39,tblModelPromotion[promotion_name],0))</f>
        <v>Seasonal</v>
      </c>
      <c r="C39" s="13">
        <f>INDEX(tblModelPromotion[discount_pct],MATCH(A39,tblModelPromotion[promotion_name],0))/100</f>
        <v>0.1</v>
      </c>
      <c r="D39" s="12">
        <f>INDEX(tblModelPromotion[revenue],MATCH(A39,tblModelPromotion[promotion_name],0))</f>
        <v>40401984</v>
      </c>
      <c r="E39" s="13">
        <f>INDEX(tblModelPromotion[margin_pct],MATCH(A39,tblModelPromotion[promotion_name],0))</f>
        <v>0.1386</v>
      </c>
      <c r="F39" s="13">
        <f>INDEX(tblModelPromotion[baseline_margin_pct],MATCH(A39,tblModelPromotion[promotion_name],0))</f>
        <v>0.22259999999999999</v>
      </c>
      <c r="G39" s="13">
        <f t="shared" si="2"/>
        <v>-8.3999999999999991E-2</v>
      </c>
      <c r="H39" s="13">
        <f>INDEX(tblModelPromotion[aov_lift_pct],MATCH(A39,tblModelPromotion[promotion_name],0))</f>
        <v>3.0099999999999998E-2</v>
      </c>
      <c r="I39" t="str">
        <f t="shared" si="3"/>
        <v>Continue - efficient lift for margin cost</v>
      </c>
    </row>
    <row r="40" spans="1:9" x14ac:dyDescent="0.3">
      <c r="A40" t="str">
        <f>INDEX(tblModelPromotion[promotion_name],MATCH("Festive Feb2023 - 10% Off",tblModelPromotion[promotion_name],0))</f>
        <v>Festive Feb2023 - 10% Off</v>
      </c>
      <c r="B40" t="str">
        <f>INDEX(tblModelPromotion[promotion_type],MATCH(A40,tblModelPromotion[promotion_name],0))</f>
        <v>Festive</v>
      </c>
      <c r="C40" s="13">
        <f>INDEX(tblModelPromotion[discount_pct],MATCH(A40,tblModelPromotion[promotion_name],0))/100</f>
        <v>0.1</v>
      </c>
      <c r="D40" s="12">
        <f>INDEX(tblModelPromotion[revenue],MATCH(A40,tblModelPromotion[promotion_name],0))</f>
        <v>17191645</v>
      </c>
      <c r="E40" s="13">
        <f>INDEX(tblModelPromotion[margin_pct],MATCH(A40,tblModelPromotion[promotion_name],0))</f>
        <v>0.1386</v>
      </c>
      <c r="F40" s="13">
        <f>INDEX(tblModelPromotion[baseline_margin_pct],MATCH(A40,tblModelPromotion[promotion_name],0))</f>
        <v>0.22259999999999999</v>
      </c>
      <c r="G40" s="13">
        <f t="shared" si="2"/>
        <v>-8.3999999999999991E-2</v>
      </c>
      <c r="H40" s="13">
        <f>INDEX(tblModelPromotion[aov_lift_pct],MATCH(A40,tblModelPromotion[promotion_name],0))</f>
        <v>0.1171</v>
      </c>
      <c r="I40" t="str">
        <f t="shared" si="3"/>
        <v>Continue - efficient lift for margin cost</v>
      </c>
    </row>
    <row r="41" spans="1:9" x14ac:dyDescent="0.3">
      <c r="A41" t="str">
        <f>INDEX(tblModelPromotion[promotion_name],MATCH("Seasonal May2023 - 10% Off",tblModelPromotion[promotion_name],0))</f>
        <v>Seasonal May2023 - 10% Off</v>
      </c>
      <c r="B41" t="str">
        <f>INDEX(tblModelPromotion[promotion_type],MATCH(A41,tblModelPromotion[promotion_name],0))</f>
        <v>Seasonal</v>
      </c>
      <c r="C41" s="13">
        <f>INDEX(tblModelPromotion[discount_pct],MATCH(A41,tblModelPromotion[promotion_name],0))/100</f>
        <v>0.1</v>
      </c>
      <c r="D41" s="12">
        <f>INDEX(tblModelPromotion[revenue],MATCH(A41,tblModelPromotion[promotion_name],0))</f>
        <v>43411088</v>
      </c>
      <c r="E41" s="13">
        <f>INDEX(tblModelPromotion[margin_pct],MATCH(A41,tblModelPromotion[promotion_name],0))</f>
        <v>0.13850000000000001</v>
      </c>
      <c r="F41" s="13">
        <f>INDEX(tblModelPromotion[baseline_margin_pct],MATCH(A41,tblModelPromotion[promotion_name],0))</f>
        <v>0.22259999999999999</v>
      </c>
      <c r="G41" s="13">
        <f t="shared" si="2"/>
        <v>-8.409999999999998E-2</v>
      </c>
      <c r="H41" s="13">
        <f>INDEX(tblModelPromotion[aov_lift_pct],MATCH(A41,tblModelPromotion[promotion_name],0))</f>
        <v>0.04</v>
      </c>
      <c r="I41" t="str">
        <f t="shared" si="3"/>
        <v>Continue - efficient lift for margin cost</v>
      </c>
    </row>
    <row r="42" spans="1:9" x14ac:dyDescent="0.3">
      <c r="A42" t="str">
        <f>INDEX(tblModelPromotion[promotion_name],MATCH("Loyalty Sep2024 - 10% Off",tblModelPromotion[promotion_name],0))</f>
        <v>Loyalty Sep2024 - 10% Off</v>
      </c>
      <c r="B42" t="str">
        <f>INDEX(tblModelPromotion[promotion_type],MATCH(A42,tblModelPromotion[promotion_name],0))</f>
        <v>Loyalty</v>
      </c>
      <c r="C42" s="13">
        <f>INDEX(tblModelPromotion[discount_pct],MATCH(A42,tblModelPromotion[promotion_name],0))/100</f>
        <v>0.1</v>
      </c>
      <c r="D42" s="12">
        <f>INDEX(tblModelPromotion[revenue],MATCH(A42,tblModelPromotion[promotion_name],0))</f>
        <v>61052571</v>
      </c>
      <c r="E42" s="13">
        <f>INDEX(tblModelPromotion[margin_pct],MATCH(A42,tblModelPromotion[promotion_name],0))</f>
        <v>0.13780000000000001</v>
      </c>
      <c r="F42" s="13">
        <f>INDEX(tblModelPromotion[baseline_margin_pct],MATCH(A42,tblModelPromotion[promotion_name],0))</f>
        <v>0.22259999999999999</v>
      </c>
      <c r="G42" s="13">
        <f t="shared" si="2"/>
        <v>-8.4799999999999986E-2</v>
      </c>
      <c r="H42" s="13">
        <f>INDEX(tblModelPromotion[aov_lift_pct],MATCH(A42,tblModelPromotion[promotion_name],0))</f>
        <v>0.1221</v>
      </c>
      <c r="I42" t="str">
        <f t="shared" si="3"/>
        <v>Continue - efficient lift for margin cost</v>
      </c>
    </row>
    <row r="43" spans="1:9" x14ac:dyDescent="0.3">
      <c r="A43" t="str">
        <f>INDEX(tblModelPromotion[promotion_name],MATCH("Festive Jun2022 - 10% Off",tblModelPromotion[promotion_name],0))</f>
        <v>Festive Jun2022 - 10% Off</v>
      </c>
      <c r="B43" t="str">
        <f>INDEX(tblModelPromotion[promotion_type],MATCH(A43,tblModelPromotion[promotion_name],0))</f>
        <v>Festive</v>
      </c>
      <c r="C43" s="13">
        <f>INDEX(tblModelPromotion[discount_pct],MATCH(A43,tblModelPromotion[promotion_name],0))/100</f>
        <v>0.1</v>
      </c>
      <c r="D43" s="12">
        <f>INDEX(tblModelPromotion[revenue],MATCH(A43,tblModelPromotion[promotion_name],0))</f>
        <v>132548651</v>
      </c>
      <c r="E43" s="13">
        <f>INDEX(tblModelPromotion[margin_pct],MATCH(A43,tblModelPromotion[promotion_name],0))</f>
        <v>0.13750000000000001</v>
      </c>
      <c r="F43" s="13">
        <f>INDEX(tblModelPromotion[baseline_margin_pct],MATCH(A43,tblModelPromotion[promotion_name],0))</f>
        <v>0.22259999999999999</v>
      </c>
      <c r="G43" s="13">
        <f t="shared" si="2"/>
        <v>-8.5099999999999981E-2</v>
      </c>
      <c r="H43" s="13">
        <f>INDEX(tblModelPromotion[aov_lift_pct],MATCH(A43,tblModelPromotion[promotion_name],0))</f>
        <v>3.8199999999999998E-2</v>
      </c>
      <c r="I43" t="str">
        <f t="shared" si="3"/>
        <v>Continue - efficient lift for margin cost</v>
      </c>
    </row>
    <row r="44" spans="1:9" x14ac:dyDescent="0.3">
      <c r="A44" t="str">
        <f>INDEX(tblModelPromotion[promotion_name],MATCH("Loyalty Jun2023 - 10% Off",tblModelPromotion[promotion_name],0))</f>
        <v>Loyalty Jun2023 - 10% Off</v>
      </c>
      <c r="B44" t="str">
        <f>INDEX(tblModelPromotion[promotion_type],MATCH(A44,tblModelPromotion[promotion_name],0))</f>
        <v>Loyalty</v>
      </c>
      <c r="C44" s="13">
        <f>INDEX(tblModelPromotion[discount_pct],MATCH(A44,tblModelPromotion[promotion_name],0))/100</f>
        <v>0.1</v>
      </c>
      <c r="D44" s="12">
        <f>INDEX(tblModelPromotion[revenue],MATCH(A44,tblModelPromotion[promotion_name],0))</f>
        <v>65406079</v>
      </c>
      <c r="E44" s="13">
        <f>INDEX(tblModelPromotion[margin_pct],MATCH(A44,tblModelPromotion[promotion_name],0))</f>
        <v>0.13730000000000001</v>
      </c>
      <c r="F44" s="13">
        <f>INDEX(tblModelPromotion[baseline_margin_pct],MATCH(A44,tblModelPromotion[promotion_name],0))</f>
        <v>0.22259999999999999</v>
      </c>
      <c r="G44" s="13">
        <f t="shared" si="2"/>
        <v>-8.5299999999999987E-2</v>
      </c>
      <c r="H44" s="13">
        <f>INDEX(tblModelPromotion[aov_lift_pct],MATCH(A44,tblModelPromotion[promotion_name],0))</f>
        <v>0.1028</v>
      </c>
      <c r="I44" t="str">
        <f t="shared" si="3"/>
        <v>Continue - efficient lift for margin cost</v>
      </c>
    </row>
    <row r="45" spans="1:9" x14ac:dyDescent="0.3">
      <c r="A45" t="str">
        <f>INDEX(tblModelPromotion[promotion_name],MATCH("Seasonal Aug2024 - 10% Off",tblModelPromotion[promotion_name],0))</f>
        <v>Seasonal Aug2024 - 10% Off</v>
      </c>
      <c r="B45" t="str">
        <f>INDEX(tblModelPromotion[promotion_type],MATCH(A45,tblModelPromotion[promotion_name],0))</f>
        <v>Seasonal</v>
      </c>
      <c r="C45" s="13">
        <f>INDEX(tblModelPromotion[discount_pct],MATCH(A45,tblModelPromotion[promotion_name],0))/100</f>
        <v>0.1</v>
      </c>
      <c r="D45" s="12">
        <f>INDEX(tblModelPromotion[revenue],MATCH(A45,tblModelPromotion[promotion_name],0))</f>
        <v>38583299</v>
      </c>
      <c r="E45" s="13">
        <f>INDEX(tblModelPromotion[margin_pct],MATCH(A45,tblModelPromotion[promotion_name],0))</f>
        <v>0.13700000000000001</v>
      </c>
      <c r="F45" s="13">
        <f>INDEX(tblModelPromotion[baseline_margin_pct],MATCH(A45,tblModelPromotion[promotion_name],0))</f>
        <v>0.22259999999999999</v>
      </c>
      <c r="G45" s="13">
        <f t="shared" si="2"/>
        <v>-8.5599999999999982E-2</v>
      </c>
      <c r="H45" s="13">
        <f>INDEX(tblModelPromotion[aov_lift_pct],MATCH(A45,tblModelPromotion[promotion_name],0))</f>
        <v>5.3199999999999997E-2</v>
      </c>
      <c r="I45" t="str">
        <f t="shared" si="3"/>
        <v>Continue - efficient lift for margin cost</v>
      </c>
    </row>
    <row r="46" spans="1:9" x14ac:dyDescent="0.3">
      <c r="A46" t="str">
        <f>INDEX(tblModelPromotion[promotion_name],MATCH("Flash Sale Jun2023 - 10% Off",tblModelPromotion[promotion_name],0))</f>
        <v>Flash Sale Jun2023 - 10% Off</v>
      </c>
      <c r="B46" t="str">
        <f>INDEX(tblModelPromotion[promotion_type],MATCH(A46,tblModelPromotion[promotion_name],0))</f>
        <v>Flash Sale</v>
      </c>
      <c r="C46" s="13">
        <f>INDEX(tblModelPromotion[discount_pct],MATCH(A46,tblModelPromotion[promotion_name],0))/100</f>
        <v>0.1</v>
      </c>
      <c r="D46" s="12">
        <f>INDEX(tblModelPromotion[revenue],MATCH(A46,tblModelPromotion[promotion_name],0))</f>
        <v>103437743</v>
      </c>
      <c r="E46" s="13">
        <f>INDEX(tblModelPromotion[margin_pct],MATCH(A46,tblModelPromotion[promotion_name],0))</f>
        <v>0.13689999999999999</v>
      </c>
      <c r="F46" s="13">
        <f>INDEX(tblModelPromotion[baseline_margin_pct],MATCH(A46,tblModelPromotion[promotion_name],0))</f>
        <v>0.22259999999999999</v>
      </c>
      <c r="G46" s="13">
        <f t="shared" si="2"/>
        <v>-8.5699999999999998E-2</v>
      </c>
      <c r="H46" s="13">
        <f>INDEX(tblModelPromotion[aov_lift_pct],MATCH(A46,tblModelPromotion[promotion_name],0))</f>
        <v>8.9700000000000002E-2</v>
      </c>
      <c r="I46" t="str">
        <f t="shared" si="3"/>
        <v>Continue - efficient lift for margin cost</v>
      </c>
    </row>
    <row r="47" spans="1:9" x14ac:dyDescent="0.3">
      <c r="A47" t="str">
        <f>INDEX(tblModelPromotion[promotion_name],MATCH("Flash Sale Nov2023 - 10% Off",tblModelPromotion[promotion_name],0))</f>
        <v>Flash Sale Nov2023 - 10% Off</v>
      </c>
      <c r="B47" t="str">
        <f>INDEX(tblModelPromotion[promotion_type],MATCH(A47,tblModelPromotion[promotion_name],0))</f>
        <v>Flash Sale</v>
      </c>
      <c r="C47" s="13">
        <f>INDEX(tblModelPromotion[discount_pct],MATCH(A47,tblModelPromotion[promotion_name],0))/100</f>
        <v>0.1</v>
      </c>
      <c r="D47" s="12">
        <f>INDEX(tblModelPromotion[revenue],MATCH(A47,tblModelPromotion[promotion_name],0))</f>
        <v>70726320</v>
      </c>
      <c r="E47" s="13">
        <f>INDEX(tblModelPromotion[margin_pct],MATCH(A47,tblModelPromotion[promotion_name],0))</f>
        <v>0.13689999999999999</v>
      </c>
      <c r="F47" s="13">
        <f>INDEX(tblModelPromotion[baseline_margin_pct],MATCH(A47,tblModelPromotion[promotion_name],0))</f>
        <v>0.22259999999999999</v>
      </c>
      <c r="G47" s="13">
        <f t="shared" si="2"/>
        <v>-8.5699999999999998E-2</v>
      </c>
      <c r="H47" s="13">
        <f>INDEX(tblModelPromotion[aov_lift_pct],MATCH(A47,tblModelPromotion[promotion_name],0))</f>
        <v>5.1299999999999998E-2</v>
      </c>
      <c r="I47" t="str">
        <f t="shared" si="3"/>
        <v>Continue - efficient lift for margin cost</v>
      </c>
    </row>
    <row r="48" spans="1:9" x14ac:dyDescent="0.3">
      <c r="A48" t="str">
        <f>INDEX(tblModelPromotion[promotion_name],MATCH("Seasonal Aug2023 - 10% Off",tblModelPromotion[promotion_name],0))</f>
        <v>Seasonal Aug2023 - 10% Off</v>
      </c>
      <c r="B48" t="str">
        <f>INDEX(tblModelPromotion[promotion_type],MATCH(A48,tblModelPromotion[promotion_name],0))</f>
        <v>Seasonal</v>
      </c>
      <c r="C48" s="13">
        <f>INDEX(tblModelPromotion[discount_pct],MATCH(A48,tblModelPromotion[promotion_name],0))/100</f>
        <v>0.1</v>
      </c>
      <c r="D48" s="12">
        <f>INDEX(tblModelPromotion[revenue],MATCH(A48,tblModelPromotion[promotion_name],0))</f>
        <v>42662861</v>
      </c>
      <c r="E48" s="13">
        <f>INDEX(tblModelPromotion[margin_pct],MATCH(A48,tblModelPromotion[promotion_name],0))</f>
        <v>0.13619999999999999</v>
      </c>
      <c r="F48" s="13">
        <f>INDEX(tblModelPromotion[baseline_margin_pct],MATCH(A48,tblModelPromotion[promotion_name],0))</f>
        <v>0.22259999999999999</v>
      </c>
      <c r="G48" s="13">
        <f t="shared" si="2"/>
        <v>-8.6400000000000005E-2</v>
      </c>
      <c r="H48" s="13">
        <f>INDEX(tblModelPromotion[aov_lift_pct],MATCH(A48,tblModelPromotion[promotion_name],0))</f>
        <v>0.1011</v>
      </c>
      <c r="I48" t="str">
        <f t="shared" si="3"/>
        <v>Continue - efficient lift for margin cost</v>
      </c>
    </row>
    <row r="49" spans="1:9" x14ac:dyDescent="0.3">
      <c r="A49" t="str">
        <f>INDEX(tblModelPromotion[promotion_name],MATCH("Loyalty Oct2023 - 10% Off",tblModelPromotion[promotion_name],0))</f>
        <v>Loyalty Oct2023 - 10% Off</v>
      </c>
      <c r="B49" t="str">
        <f>INDEX(tblModelPromotion[promotion_type],MATCH(A49,tblModelPromotion[promotion_name],0))</f>
        <v>Loyalty</v>
      </c>
      <c r="C49" s="13">
        <f>INDEX(tblModelPromotion[discount_pct],MATCH(A49,tblModelPromotion[promotion_name],0))/100</f>
        <v>0.1</v>
      </c>
      <c r="D49" s="12">
        <f>INDEX(tblModelPromotion[revenue],MATCH(A49,tblModelPromotion[promotion_name],0))</f>
        <v>62132738</v>
      </c>
      <c r="E49" s="13">
        <f>INDEX(tblModelPromotion[margin_pct],MATCH(A49,tblModelPromotion[promotion_name],0))</f>
        <v>0.13600000000000001</v>
      </c>
      <c r="F49" s="13">
        <f>INDEX(tblModelPromotion[baseline_margin_pct],MATCH(A49,tblModelPromotion[promotion_name],0))</f>
        <v>0.22259999999999999</v>
      </c>
      <c r="G49" s="13">
        <f t="shared" si="2"/>
        <v>-8.6599999999999983E-2</v>
      </c>
      <c r="H49" s="13">
        <f>INDEX(tblModelPromotion[aov_lift_pct],MATCH(A49,tblModelPromotion[promotion_name],0))</f>
        <v>0.15210000000000001</v>
      </c>
      <c r="I49" t="str">
        <f t="shared" si="3"/>
        <v>Continue - efficient lift for margin cost</v>
      </c>
    </row>
    <row r="50" spans="1:9" x14ac:dyDescent="0.3">
      <c r="A50" t="str">
        <f>INDEX(tblModelPromotion[promotion_name],MATCH("Festive May2022 - 10% Off",tblModelPromotion[promotion_name],0))</f>
        <v>Festive May2022 - 10% Off</v>
      </c>
      <c r="B50" t="str">
        <f>INDEX(tblModelPromotion[promotion_type],MATCH(A50,tblModelPromotion[promotion_name],0))</f>
        <v>Festive</v>
      </c>
      <c r="C50" s="13">
        <f>INDEX(tblModelPromotion[discount_pct],MATCH(A50,tblModelPromotion[promotion_name],0))/100</f>
        <v>0.1</v>
      </c>
      <c r="D50" s="12">
        <f>INDEX(tblModelPromotion[revenue],MATCH(A50,tblModelPromotion[promotion_name],0))</f>
        <v>74118462</v>
      </c>
      <c r="E50" s="13">
        <f>INDEX(tblModelPromotion[margin_pct],MATCH(A50,tblModelPromotion[promotion_name],0))</f>
        <v>0.1353</v>
      </c>
      <c r="F50" s="13">
        <f>INDEX(tblModelPromotion[baseline_margin_pct],MATCH(A50,tblModelPromotion[promotion_name],0))</f>
        <v>0.22259999999999999</v>
      </c>
      <c r="G50" s="13">
        <f t="shared" si="2"/>
        <v>-8.7299999999999989E-2</v>
      </c>
      <c r="H50" s="13">
        <f>INDEX(tblModelPromotion[aov_lift_pct],MATCH(A50,tblModelPromotion[promotion_name],0))</f>
        <v>5.1700000000000003E-2</v>
      </c>
      <c r="I50" t="str">
        <f t="shared" si="3"/>
        <v>Continue - efficient lift for margin cost</v>
      </c>
    </row>
    <row r="51" spans="1:9" x14ac:dyDescent="0.3">
      <c r="A51" t="str">
        <f>INDEX(tblModelPromotion[promotion_name],MATCH("Seasonal Jun2021 - 10% Off",tblModelPromotion[promotion_name],0))</f>
        <v>Seasonal Jun2021 - 10% Off</v>
      </c>
      <c r="B51" t="str">
        <f>INDEX(tblModelPromotion[promotion_type],MATCH(A51,tblModelPromotion[promotion_name],0))</f>
        <v>Seasonal</v>
      </c>
      <c r="C51" s="13">
        <f>INDEX(tblModelPromotion[discount_pct],MATCH(A51,tblModelPromotion[promotion_name],0))/100</f>
        <v>0.1</v>
      </c>
      <c r="D51" s="12">
        <f>INDEX(tblModelPromotion[revenue],MATCH(A51,tblModelPromotion[promotion_name],0))</f>
        <v>14303457</v>
      </c>
      <c r="E51" s="13">
        <f>INDEX(tblModelPromotion[margin_pct],MATCH(A51,tblModelPromotion[promotion_name],0))</f>
        <v>0.13519999999999999</v>
      </c>
      <c r="F51" s="13">
        <f>INDEX(tblModelPromotion[baseline_margin_pct],MATCH(A51,tblModelPromotion[promotion_name],0))</f>
        <v>0.22259999999999999</v>
      </c>
      <c r="G51" s="13">
        <f t="shared" si="2"/>
        <v>-8.7400000000000005E-2</v>
      </c>
      <c r="H51" s="13">
        <f>INDEX(tblModelPromotion[aov_lift_pct],MATCH(A51,tblModelPromotion[promotion_name],0))</f>
        <v>0.13539999999999999</v>
      </c>
      <c r="I51" t="str">
        <f t="shared" si="3"/>
        <v>Continue - efficient lift for margin cost</v>
      </c>
    </row>
    <row r="52" spans="1:9" x14ac:dyDescent="0.3">
      <c r="A52" t="str">
        <f>INDEX(tblModelPromotion[promotion_name],MATCH("Seasonal Apr2023 - 10% Off",tblModelPromotion[promotion_name],0))</f>
        <v>Seasonal Apr2023 - 10% Off</v>
      </c>
      <c r="B52" t="str">
        <f>INDEX(tblModelPromotion[promotion_type],MATCH(A52,tblModelPromotion[promotion_name],0))</f>
        <v>Seasonal</v>
      </c>
      <c r="C52" s="13">
        <f>INDEX(tblModelPromotion[discount_pct],MATCH(A52,tblModelPromotion[promotion_name],0))/100</f>
        <v>0.1</v>
      </c>
      <c r="D52" s="12">
        <f>INDEX(tblModelPromotion[revenue],MATCH(A52,tblModelPromotion[promotion_name],0))</f>
        <v>35210698</v>
      </c>
      <c r="E52" s="13">
        <f>INDEX(tblModelPromotion[margin_pct],MATCH(A52,tblModelPromotion[promotion_name],0))</f>
        <v>0.13489999999999999</v>
      </c>
      <c r="F52" s="13">
        <f>INDEX(tblModelPromotion[baseline_margin_pct],MATCH(A52,tblModelPromotion[promotion_name],0))</f>
        <v>0.22259999999999999</v>
      </c>
      <c r="G52" s="13">
        <f t="shared" si="2"/>
        <v>-8.77E-2</v>
      </c>
      <c r="H52" s="13">
        <f>INDEX(tblModelPromotion[aov_lift_pct],MATCH(A52,tblModelPromotion[promotion_name],0))</f>
        <v>7.7299999999999994E-2</v>
      </c>
      <c r="I52" t="str">
        <f t="shared" si="3"/>
        <v>Continue - efficient lift for margin cost</v>
      </c>
    </row>
    <row r="53" spans="1:9" x14ac:dyDescent="0.3">
      <c r="A53" t="str">
        <f>INDEX(tblModelPromotion[promotion_name],MATCH("Festive Jan2023 - 10% Off",tblModelPromotion[promotion_name],0))</f>
        <v>Festive Jan2023 - 10% Off</v>
      </c>
      <c r="B53" t="str">
        <f>INDEX(tblModelPromotion[promotion_type],MATCH(A53,tblModelPromotion[promotion_name],0))</f>
        <v>Festive</v>
      </c>
      <c r="C53" s="13">
        <f>INDEX(tblModelPromotion[discount_pct],MATCH(A53,tblModelPromotion[promotion_name],0))/100</f>
        <v>0.1</v>
      </c>
      <c r="D53" s="12">
        <f>INDEX(tblModelPromotion[revenue],MATCH(A53,tblModelPromotion[promotion_name],0))</f>
        <v>64163824</v>
      </c>
      <c r="E53" s="13">
        <f>INDEX(tblModelPromotion[margin_pct],MATCH(A53,tblModelPromotion[promotion_name],0))</f>
        <v>0.13439999999999999</v>
      </c>
      <c r="F53" s="13">
        <f>INDEX(tblModelPromotion[baseline_margin_pct],MATCH(A53,tblModelPromotion[promotion_name],0))</f>
        <v>0.22259999999999999</v>
      </c>
      <c r="G53" s="13">
        <f t="shared" si="2"/>
        <v>-8.8200000000000001E-2</v>
      </c>
      <c r="H53" s="13">
        <f>INDEX(tblModelPromotion[aov_lift_pct],MATCH(A53,tblModelPromotion[promotion_name],0))</f>
        <v>0.12709999999999999</v>
      </c>
      <c r="I53" t="str">
        <f t="shared" si="3"/>
        <v>Continue - efficient lift for margin cost</v>
      </c>
    </row>
    <row r="54" spans="1:9" x14ac:dyDescent="0.3">
      <c r="A54" t="str">
        <f>INDEX(tblModelPromotion[promotion_name],MATCH("Seasonal Aug2021 - 10% Off",tblModelPromotion[promotion_name],0))</f>
        <v>Seasonal Aug2021 - 10% Off</v>
      </c>
      <c r="B54" t="str">
        <f>INDEX(tblModelPromotion[promotion_type],MATCH(A54,tblModelPromotion[promotion_name],0))</f>
        <v>Seasonal</v>
      </c>
      <c r="C54" s="13">
        <f>INDEX(tblModelPromotion[discount_pct],MATCH(A54,tblModelPromotion[promotion_name],0))/100</f>
        <v>0.1</v>
      </c>
      <c r="D54" s="12">
        <f>INDEX(tblModelPromotion[revenue],MATCH(A54,tblModelPromotion[promotion_name],0))</f>
        <v>35557539</v>
      </c>
      <c r="E54" s="13">
        <f>INDEX(tblModelPromotion[margin_pct],MATCH(A54,tblModelPromotion[promotion_name],0))</f>
        <v>0.13439999999999999</v>
      </c>
      <c r="F54" s="13">
        <f>INDEX(tblModelPromotion[baseline_margin_pct],MATCH(A54,tblModelPromotion[promotion_name],0))</f>
        <v>0.22259999999999999</v>
      </c>
      <c r="G54" s="13">
        <f t="shared" si="2"/>
        <v>-8.8200000000000001E-2</v>
      </c>
      <c r="H54" s="13">
        <f>INDEX(tblModelPromotion[aov_lift_pct],MATCH(A54,tblModelPromotion[promotion_name],0))</f>
        <v>0.1017</v>
      </c>
      <c r="I54" t="str">
        <f t="shared" si="3"/>
        <v>Continue - efficient lift for margin cost</v>
      </c>
    </row>
    <row r="55" spans="1:9" x14ac:dyDescent="0.3">
      <c r="A55" t="str">
        <f>INDEX(tblModelPromotion[promotion_name],MATCH("Clearance Nov2022 - 10% Off",tblModelPromotion[promotion_name],0))</f>
        <v>Clearance Nov2022 - 10% Off</v>
      </c>
      <c r="B55" t="str">
        <f>INDEX(tblModelPromotion[promotion_type],MATCH(A55,tblModelPromotion[promotion_name],0))</f>
        <v>Clearance</v>
      </c>
      <c r="C55" s="13">
        <f>INDEX(tblModelPromotion[discount_pct],MATCH(A55,tblModelPromotion[promotion_name],0))/100</f>
        <v>0.1</v>
      </c>
      <c r="D55" s="12">
        <f>INDEX(tblModelPromotion[revenue],MATCH(A55,tblModelPromotion[promotion_name],0))</f>
        <v>66708635</v>
      </c>
      <c r="E55" s="13">
        <f>INDEX(tblModelPromotion[margin_pct],MATCH(A55,tblModelPromotion[promotion_name],0))</f>
        <v>0.13250000000000001</v>
      </c>
      <c r="F55" s="13">
        <f>INDEX(tblModelPromotion[baseline_margin_pct],MATCH(A55,tblModelPromotion[promotion_name],0))</f>
        <v>0.22259999999999999</v>
      </c>
      <c r="G55" s="13">
        <f t="shared" si="2"/>
        <v>-9.0099999999999986E-2</v>
      </c>
      <c r="H55" s="13">
        <f>INDEX(tblModelPromotion[aov_lift_pct],MATCH(A55,tblModelPromotion[promotion_name],0))</f>
        <v>1.0999999999999999E-2</v>
      </c>
      <c r="I55" t="str">
        <f t="shared" si="3"/>
        <v>Continue - efficient lift for margin cost</v>
      </c>
    </row>
    <row r="56" spans="1:9" x14ac:dyDescent="0.3">
      <c r="A56" t="str">
        <f>INDEX(tblModelPromotion[promotion_name],MATCH("Seasonal Sep2021 - 10% Off",tblModelPromotion[promotion_name],0))</f>
        <v>Seasonal Sep2021 - 10% Off</v>
      </c>
      <c r="B56" t="str">
        <f>INDEX(tblModelPromotion[promotion_type],MATCH(A56,tblModelPromotion[promotion_name],0))</f>
        <v>Seasonal</v>
      </c>
      <c r="C56" s="13">
        <f>INDEX(tblModelPromotion[discount_pct],MATCH(A56,tblModelPromotion[promotion_name],0))/100</f>
        <v>0.1</v>
      </c>
      <c r="D56" s="12">
        <f>INDEX(tblModelPromotion[revenue],MATCH(A56,tblModelPromotion[promotion_name],0))</f>
        <v>17587227</v>
      </c>
      <c r="E56" s="13">
        <f>INDEX(tblModelPromotion[margin_pct],MATCH(A56,tblModelPromotion[promotion_name],0))</f>
        <v>0.13239999999999999</v>
      </c>
      <c r="F56" s="13">
        <f>INDEX(tblModelPromotion[baseline_margin_pct],MATCH(A56,tblModelPromotion[promotion_name],0))</f>
        <v>0.22259999999999999</v>
      </c>
      <c r="G56" s="13">
        <f t="shared" si="2"/>
        <v>-9.0200000000000002E-2</v>
      </c>
      <c r="H56" s="13">
        <f>INDEX(tblModelPromotion[aov_lift_pct],MATCH(A56,tblModelPromotion[promotion_name],0))</f>
        <v>-1.4200000000000001E-2</v>
      </c>
      <c r="I56" t="str">
        <f t="shared" si="3"/>
        <v>Review - mixed signal</v>
      </c>
    </row>
    <row r="57" spans="1:9" x14ac:dyDescent="0.3">
      <c r="A57" t="str">
        <f>INDEX(tblModelPromotion[promotion_name],MATCH("Clearance Feb2024 - 10% Off",tblModelPromotion[promotion_name],0))</f>
        <v>Clearance Feb2024 - 10% Off</v>
      </c>
      <c r="B57" t="str">
        <f>INDEX(tblModelPromotion[promotion_type],MATCH(A57,tblModelPromotion[promotion_name],0))</f>
        <v>Clearance</v>
      </c>
      <c r="C57" s="13">
        <f>INDEX(tblModelPromotion[discount_pct],MATCH(A57,tblModelPromotion[promotion_name],0))/100</f>
        <v>0.1</v>
      </c>
      <c r="D57" s="12">
        <f>INDEX(tblModelPromotion[revenue],MATCH(A57,tblModelPromotion[promotion_name],0))</f>
        <v>54702959</v>
      </c>
      <c r="E57" s="13">
        <f>INDEX(tblModelPromotion[margin_pct],MATCH(A57,tblModelPromotion[promotion_name],0))</f>
        <v>0.13200000000000001</v>
      </c>
      <c r="F57" s="13">
        <f>INDEX(tblModelPromotion[baseline_margin_pct],MATCH(A57,tblModelPromotion[promotion_name],0))</f>
        <v>0.22259999999999999</v>
      </c>
      <c r="G57" s="13">
        <f t="shared" si="2"/>
        <v>-9.0599999999999986E-2</v>
      </c>
      <c r="H57" s="13">
        <f>INDEX(tblModelPromotion[aov_lift_pct],MATCH(A57,tblModelPromotion[promotion_name],0))</f>
        <v>0.15590000000000001</v>
      </c>
      <c r="I57" t="str">
        <f t="shared" si="3"/>
        <v>Continue - efficient lift for margin cost</v>
      </c>
    </row>
    <row r="58" spans="1:9" x14ac:dyDescent="0.3">
      <c r="A58" t="str">
        <f>INDEX(tblModelPromotion[promotion_name],MATCH("Seasonal May2024 - 10% Off",tblModelPromotion[promotion_name],0))</f>
        <v>Seasonal May2024 - 10% Off</v>
      </c>
      <c r="B58" t="str">
        <f>INDEX(tblModelPromotion[promotion_type],MATCH(A58,tblModelPromotion[promotion_name],0))</f>
        <v>Seasonal</v>
      </c>
      <c r="C58" s="13">
        <f>INDEX(tblModelPromotion[discount_pct],MATCH(A58,tblModelPromotion[promotion_name],0))/100</f>
        <v>0.1</v>
      </c>
      <c r="D58" s="12">
        <f>INDEX(tblModelPromotion[revenue],MATCH(A58,tblModelPromotion[promotion_name],0))</f>
        <v>62410944</v>
      </c>
      <c r="E58" s="13">
        <f>INDEX(tblModelPromotion[margin_pct],MATCH(A58,tblModelPromotion[promotion_name],0))</f>
        <v>0.13059999999999999</v>
      </c>
      <c r="F58" s="13">
        <f>INDEX(tblModelPromotion[baseline_margin_pct],MATCH(A58,tblModelPromotion[promotion_name],0))</f>
        <v>0.22259999999999999</v>
      </c>
      <c r="G58" s="13">
        <f t="shared" si="2"/>
        <v>-9.1999999999999998E-2</v>
      </c>
      <c r="H58" s="13">
        <f>INDEX(tblModelPromotion[aov_lift_pct],MATCH(A58,tblModelPromotion[promotion_name],0))</f>
        <v>6.9500000000000006E-2</v>
      </c>
      <c r="I58" t="str">
        <f t="shared" si="3"/>
        <v>Continue - efficient lift for margin cost</v>
      </c>
    </row>
    <row r="59" spans="1:9" x14ac:dyDescent="0.3">
      <c r="A59" t="str">
        <f>INDEX(tblModelPromotion[promotion_name],MATCH("Loyalty Mar2024 - 10% Off",tblModelPromotion[promotion_name],0))</f>
        <v>Loyalty Mar2024 - 10% Off</v>
      </c>
      <c r="B59" t="str">
        <f>INDEX(tblModelPromotion[promotion_type],MATCH(A59,tblModelPromotion[promotion_name],0))</f>
        <v>Loyalty</v>
      </c>
      <c r="C59" s="13">
        <f>INDEX(tblModelPromotion[discount_pct],MATCH(A59,tblModelPromotion[promotion_name],0))/100</f>
        <v>0.1</v>
      </c>
      <c r="D59" s="12">
        <f>INDEX(tblModelPromotion[revenue],MATCH(A59,tblModelPromotion[promotion_name],0))</f>
        <v>22833583</v>
      </c>
      <c r="E59" s="13">
        <f>INDEX(tblModelPromotion[margin_pct],MATCH(A59,tblModelPromotion[promotion_name],0))</f>
        <v>0.12559999999999999</v>
      </c>
      <c r="F59" s="13">
        <f>INDEX(tblModelPromotion[baseline_margin_pct],MATCH(A59,tblModelPromotion[promotion_name],0))</f>
        <v>0.22259999999999999</v>
      </c>
      <c r="G59" s="13">
        <f t="shared" si="2"/>
        <v>-9.7000000000000003E-2</v>
      </c>
      <c r="H59" s="13">
        <f>INDEX(tblModelPromotion[aov_lift_pct],MATCH(A59,tblModelPromotion[promotion_name],0))</f>
        <v>0.23280000000000001</v>
      </c>
      <c r="I59" t="str">
        <f t="shared" si="3"/>
        <v>Continue - efficient lift for margin cost</v>
      </c>
    </row>
    <row r="60" spans="1:9" x14ac:dyDescent="0.3">
      <c r="A60" t="str">
        <f>INDEX(tblModelPromotion[promotion_name],MATCH("Seasonal Jun2021 - 10% Off",tblModelPromotion[promotion_name],0))</f>
        <v>Seasonal Jun2021 - 10% Off</v>
      </c>
      <c r="B60" t="str">
        <f>INDEX(tblModelPromotion[promotion_type],MATCH(A60,tblModelPromotion[promotion_name],0))</f>
        <v>Seasonal</v>
      </c>
      <c r="C60" s="13">
        <f>INDEX(tblModelPromotion[discount_pct],MATCH(A60,tblModelPromotion[promotion_name],0))/100</f>
        <v>0.1</v>
      </c>
      <c r="D60" s="12">
        <f>INDEX(tblModelPromotion[revenue],MATCH(A60,tblModelPromotion[promotion_name],0))</f>
        <v>14303457</v>
      </c>
      <c r="E60" s="13">
        <f>INDEX(tblModelPromotion[margin_pct],MATCH(A60,tblModelPromotion[promotion_name],0))</f>
        <v>0.13519999999999999</v>
      </c>
      <c r="F60" s="13">
        <f>INDEX(tblModelPromotion[baseline_margin_pct],MATCH(A60,tblModelPromotion[promotion_name],0))</f>
        <v>0.22259999999999999</v>
      </c>
      <c r="G60" s="13">
        <f t="shared" si="2"/>
        <v>-8.7400000000000005E-2</v>
      </c>
      <c r="H60" s="13">
        <f>INDEX(tblModelPromotion[aov_lift_pct],MATCH(A60,tblModelPromotion[promotion_name],0))</f>
        <v>0.13539999999999999</v>
      </c>
      <c r="I60" t="str">
        <f t="shared" si="3"/>
        <v>Continue - efficient lift for margin cost</v>
      </c>
    </row>
    <row r="61" spans="1:9" x14ac:dyDescent="0.3">
      <c r="A61" t="str">
        <f>INDEX(tblModelPromotion[promotion_name],MATCH("Seasonal Jul2024 - 12% Off",tblModelPromotion[promotion_name],0))</f>
        <v>Seasonal Jul2024 - 12% Off</v>
      </c>
      <c r="B61" t="str">
        <f>INDEX(tblModelPromotion[promotion_type],MATCH(A61,tblModelPromotion[promotion_name],0))</f>
        <v>Seasonal</v>
      </c>
      <c r="C61" s="13">
        <f>INDEX(tblModelPromotion[discount_pct],MATCH(A61,tblModelPromotion[promotion_name],0))/100</f>
        <v>0.12</v>
      </c>
      <c r="D61" s="12">
        <f>INDEX(tblModelPromotion[revenue],MATCH(A61,tblModelPromotion[promotion_name],0))</f>
        <v>63959652</v>
      </c>
      <c r="E61" s="13">
        <f>INDEX(tblModelPromotion[margin_pct],MATCH(A61,tblModelPromotion[promotion_name],0))</f>
        <v>0.1229</v>
      </c>
      <c r="F61" s="13">
        <f>INDEX(tblModelPromotion[baseline_margin_pct],MATCH(A61,tblModelPromotion[promotion_name],0))</f>
        <v>0.22259999999999999</v>
      </c>
      <c r="G61" s="13">
        <f t="shared" si="2"/>
        <v>-9.9699999999999997E-2</v>
      </c>
      <c r="H61" s="13">
        <f>INDEX(tblModelPromotion[aov_lift_pct],MATCH(A61,tblModelPromotion[promotion_name],0))</f>
        <v>-4.8300000000000003E-2</v>
      </c>
      <c r="I61" t="str">
        <f t="shared" si="3"/>
        <v>Review - mixed signal</v>
      </c>
    </row>
    <row r="62" spans="1:9" x14ac:dyDescent="0.3">
      <c r="A62" t="str">
        <f>INDEX(tblModelPromotion[promotion_name],MATCH("Festive Apr2024 - 12% Off",tblModelPromotion[promotion_name],0))</f>
        <v>Festive Apr2024 - 12% Off</v>
      </c>
      <c r="B62" t="str">
        <f>INDEX(tblModelPromotion[promotion_type],MATCH(A62,tblModelPromotion[promotion_name],0))</f>
        <v>Festive</v>
      </c>
      <c r="C62" s="13">
        <f>INDEX(tblModelPromotion[discount_pct],MATCH(A62,tblModelPromotion[promotion_name],0))/100</f>
        <v>0.12</v>
      </c>
      <c r="D62" s="12">
        <f>INDEX(tblModelPromotion[revenue],MATCH(A62,tblModelPromotion[promotion_name],0))</f>
        <v>75489956</v>
      </c>
      <c r="E62" s="13">
        <f>INDEX(tblModelPromotion[margin_pct],MATCH(A62,tblModelPromotion[promotion_name],0))</f>
        <v>0.1202</v>
      </c>
      <c r="F62" s="13">
        <f>INDEX(tblModelPromotion[baseline_margin_pct],MATCH(A62,tblModelPromotion[promotion_name],0))</f>
        <v>0.22259999999999999</v>
      </c>
      <c r="G62" s="13">
        <f t="shared" si="2"/>
        <v>-0.10239999999999999</v>
      </c>
      <c r="H62" s="13">
        <f>INDEX(tblModelPromotion[aov_lift_pct],MATCH(A62,tblModelPromotion[promotion_name],0))</f>
        <v>5.0799999999999998E-2</v>
      </c>
      <c r="I62" t="str">
        <f t="shared" si="3"/>
        <v>Continue - efficient lift for margin cost</v>
      </c>
    </row>
    <row r="63" spans="1:9" x14ac:dyDescent="0.3">
      <c r="A63" t="str">
        <f>INDEX(tblModelPromotion[promotion_name],MATCH("Festive Nov2024 - 12% Off",tblModelPromotion[promotion_name],0))</f>
        <v>Festive Nov2024 - 12% Off</v>
      </c>
      <c r="B63" t="str">
        <f>INDEX(tblModelPromotion[promotion_type],MATCH(A63,tblModelPromotion[promotion_name],0))</f>
        <v>Festive</v>
      </c>
      <c r="C63" s="13">
        <f>INDEX(tblModelPromotion[discount_pct],MATCH(A63,tblModelPromotion[promotion_name],0))/100</f>
        <v>0.12</v>
      </c>
      <c r="D63" s="12">
        <f>INDEX(tblModelPromotion[revenue],MATCH(A63,tblModelPromotion[promotion_name],0))</f>
        <v>53757613</v>
      </c>
      <c r="E63" s="13">
        <f>INDEX(tblModelPromotion[margin_pct],MATCH(A63,tblModelPromotion[promotion_name],0))</f>
        <v>0.1198</v>
      </c>
      <c r="F63" s="13">
        <f>INDEX(tblModelPromotion[baseline_margin_pct],MATCH(A63,tblModelPromotion[promotion_name],0))</f>
        <v>0.22259999999999999</v>
      </c>
      <c r="G63" s="13">
        <f t="shared" si="2"/>
        <v>-0.10279999999999999</v>
      </c>
      <c r="H63" s="13">
        <f>INDEX(tblModelPromotion[aov_lift_pct],MATCH(A63,tblModelPromotion[promotion_name],0))</f>
        <v>3.7400000000000003E-2</v>
      </c>
      <c r="I63" t="str">
        <f t="shared" si="3"/>
        <v>Continue - efficient lift for margin cost</v>
      </c>
    </row>
    <row r="64" spans="1:9" x14ac:dyDescent="0.3">
      <c r="A64" t="str">
        <f>INDEX(tblModelPromotion[promotion_name],MATCH("Seasonal Feb2023 - 12% Off",tblModelPromotion[promotion_name],0))</f>
        <v>Seasonal Feb2023 - 12% Off</v>
      </c>
      <c r="B64" t="str">
        <f>INDEX(tblModelPromotion[promotion_type],MATCH(A64,tblModelPromotion[promotion_name],0))</f>
        <v>Seasonal</v>
      </c>
      <c r="C64" s="13">
        <f>INDEX(tblModelPromotion[discount_pct],MATCH(A64,tblModelPromotion[promotion_name],0))/100</f>
        <v>0.12</v>
      </c>
      <c r="D64" s="12">
        <f>INDEX(tblModelPromotion[revenue],MATCH(A64,tblModelPromotion[promotion_name],0))</f>
        <v>40724648</v>
      </c>
      <c r="E64" s="13">
        <f>INDEX(tblModelPromotion[margin_pct],MATCH(A64,tblModelPromotion[promotion_name],0))</f>
        <v>0.1198</v>
      </c>
      <c r="F64" s="13">
        <f>INDEX(tblModelPromotion[baseline_margin_pct],MATCH(A64,tblModelPromotion[promotion_name],0))</f>
        <v>0.22259999999999999</v>
      </c>
      <c r="G64" s="13">
        <f t="shared" si="2"/>
        <v>-0.10279999999999999</v>
      </c>
      <c r="H64" s="13">
        <f>INDEX(tblModelPromotion[aov_lift_pct],MATCH(A64,tblModelPromotion[promotion_name],0))</f>
        <v>2.41E-2</v>
      </c>
      <c r="I64" t="str">
        <f t="shared" si="3"/>
        <v>Continue - efficient lift for margin cost</v>
      </c>
    </row>
    <row r="65" spans="1:9" x14ac:dyDescent="0.3">
      <c r="A65" t="str">
        <f>INDEX(tblModelPromotion[promotion_name],MATCH("Flash Sale Jun2021 - 12% Off",tblModelPromotion[promotion_name],0))</f>
        <v>Flash Sale Jun2021 - 12% Off</v>
      </c>
      <c r="B65" t="str">
        <f>INDEX(tblModelPromotion[promotion_type],MATCH(A65,tblModelPromotion[promotion_name],0))</f>
        <v>Flash Sale</v>
      </c>
      <c r="C65" s="13">
        <f>INDEX(tblModelPromotion[discount_pct],MATCH(A65,tblModelPromotion[promotion_name],0))/100</f>
        <v>0.12</v>
      </c>
      <c r="D65" s="12">
        <f>INDEX(tblModelPromotion[revenue],MATCH(A65,tblModelPromotion[promotion_name],0))</f>
        <v>12727031</v>
      </c>
      <c r="E65" s="13">
        <f>INDEX(tblModelPromotion[margin_pct],MATCH(A65,tblModelPromotion[promotion_name],0))</f>
        <v>0.1193</v>
      </c>
      <c r="F65" s="13">
        <f>INDEX(tblModelPromotion[baseline_margin_pct],MATCH(A65,tblModelPromotion[promotion_name],0))</f>
        <v>0.22259999999999999</v>
      </c>
      <c r="G65" s="13">
        <f t="shared" si="2"/>
        <v>-0.10329999999999999</v>
      </c>
      <c r="H65" s="13">
        <f>INDEX(tblModelPromotion[aov_lift_pct],MATCH(A65,tblModelPromotion[promotion_name],0))</f>
        <v>-8.8300000000000003E-2</v>
      </c>
      <c r="I65" t="str">
        <f t="shared" si="3"/>
        <v>Review - mixed signal</v>
      </c>
    </row>
    <row r="66" spans="1:9" x14ac:dyDescent="0.3">
      <c r="A66" t="str">
        <f>INDEX(tblModelPromotion[promotion_name],MATCH("Seasonal Aug2021 - 12% Off",tblModelPromotion[promotion_name],0))</f>
        <v>Seasonal Aug2021 - 12% Off</v>
      </c>
      <c r="B66" t="str">
        <f>INDEX(tblModelPromotion[promotion_type],MATCH(A66,tblModelPromotion[promotion_name],0))</f>
        <v>Seasonal</v>
      </c>
      <c r="C66" s="13">
        <f>INDEX(tblModelPromotion[discount_pct],MATCH(A66,tblModelPromotion[promotion_name],0))/100</f>
        <v>0.12</v>
      </c>
      <c r="D66" s="12">
        <f>INDEX(tblModelPromotion[revenue],MATCH(A66,tblModelPromotion[promotion_name],0))</f>
        <v>50813992</v>
      </c>
      <c r="E66" s="13">
        <f>INDEX(tblModelPromotion[margin_pct],MATCH(A66,tblModelPromotion[promotion_name],0))</f>
        <v>0.1188</v>
      </c>
      <c r="F66" s="13">
        <f>INDEX(tblModelPromotion[baseline_margin_pct],MATCH(A66,tblModelPromotion[promotion_name],0))</f>
        <v>0.22259999999999999</v>
      </c>
      <c r="G66" s="13">
        <f t="shared" si="2"/>
        <v>-0.10379999999999999</v>
      </c>
      <c r="H66" s="13">
        <f>INDEX(tblModelPromotion[aov_lift_pct],MATCH(A66,tblModelPromotion[promotion_name],0))</f>
        <v>0.1105</v>
      </c>
      <c r="I66" t="str">
        <f t="shared" si="3"/>
        <v>Continue - efficient lift for margin cost</v>
      </c>
    </row>
    <row r="67" spans="1:9" x14ac:dyDescent="0.3">
      <c r="A67" t="str">
        <f>INDEX(tblModelPromotion[promotion_name],MATCH("Loyalty Feb2023 - 12% Off",tblModelPromotion[promotion_name],0))</f>
        <v>Loyalty Feb2023 - 12% Off</v>
      </c>
      <c r="B67" t="str">
        <f>INDEX(tblModelPromotion[promotion_type],MATCH(A67,tblModelPromotion[promotion_name],0))</f>
        <v>Loyalty</v>
      </c>
      <c r="C67" s="13">
        <f>INDEX(tblModelPromotion[discount_pct],MATCH(A67,tblModelPromotion[promotion_name],0))/100</f>
        <v>0.12</v>
      </c>
      <c r="D67" s="12">
        <f>INDEX(tblModelPromotion[revenue],MATCH(A67,tblModelPromotion[promotion_name],0))</f>
        <v>15954420</v>
      </c>
      <c r="E67" s="13">
        <f>INDEX(tblModelPromotion[margin_pct],MATCH(A67,tblModelPromotion[promotion_name],0))</f>
        <v>0.1186</v>
      </c>
      <c r="F67" s="13">
        <f>INDEX(tblModelPromotion[baseline_margin_pct],MATCH(A67,tblModelPromotion[promotion_name],0))</f>
        <v>0.22259999999999999</v>
      </c>
      <c r="G67" s="13">
        <f t="shared" si="2"/>
        <v>-0.104</v>
      </c>
      <c r="H67" s="13">
        <f>INDEX(tblModelPromotion[aov_lift_pct],MATCH(A67,tblModelPromotion[promotion_name],0))</f>
        <v>-1.14E-2</v>
      </c>
      <c r="I67" t="str">
        <f t="shared" si="3"/>
        <v>Review - mixed signal</v>
      </c>
    </row>
    <row r="68" spans="1:9" x14ac:dyDescent="0.3">
      <c r="A68" t="str">
        <f>INDEX(tblModelPromotion[promotion_name],MATCH("Loyalty Aug2024 - 12% Off",tblModelPromotion[promotion_name],0))</f>
        <v>Loyalty Aug2024 - 12% Off</v>
      </c>
      <c r="B68" t="str">
        <f>INDEX(tblModelPromotion[promotion_type],MATCH(A68,tblModelPromotion[promotion_name],0))</f>
        <v>Loyalty</v>
      </c>
      <c r="C68" s="13">
        <f>INDEX(tblModelPromotion[discount_pct],MATCH(A68,tblModelPromotion[promotion_name],0))/100</f>
        <v>0.12</v>
      </c>
      <c r="D68" s="12">
        <f>INDEX(tblModelPromotion[revenue],MATCH(A68,tblModelPromotion[promotion_name],0))</f>
        <v>39967561</v>
      </c>
      <c r="E68" s="13">
        <f>INDEX(tblModelPromotion[margin_pct],MATCH(A68,tblModelPromotion[promotion_name],0))</f>
        <v>0.11849999999999999</v>
      </c>
      <c r="F68" s="13">
        <f>INDEX(tblModelPromotion[baseline_margin_pct],MATCH(A68,tblModelPromotion[promotion_name],0))</f>
        <v>0.22259999999999999</v>
      </c>
      <c r="G68" s="13">
        <f t="shared" si="2"/>
        <v>-0.1041</v>
      </c>
      <c r="H68" s="13">
        <f>INDEX(tblModelPromotion[aov_lift_pct],MATCH(A68,tblModelPromotion[promotion_name],0))</f>
        <v>5.7599999999999998E-2</v>
      </c>
      <c r="I68" t="str">
        <f t="shared" si="3"/>
        <v>Continue - efficient lift for margin cost</v>
      </c>
    </row>
    <row r="69" spans="1:9" x14ac:dyDescent="0.3">
      <c r="A69" t="str">
        <f>INDEX(tblModelPromotion[promotion_name],MATCH("Flash Sale May2024 - 12% Off",tblModelPromotion[promotion_name],0))</f>
        <v>Flash Sale May2024 - 12% Off</v>
      </c>
      <c r="B69" t="str">
        <f>INDEX(tblModelPromotion[promotion_type],MATCH(A69,tblModelPromotion[promotion_name],0))</f>
        <v>Flash Sale</v>
      </c>
      <c r="C69" s="13">
        <f>INDEX(tblModelPromotion[discount_pct],MATCH(A69,tblModelPromotion[promotion_name],0))/100</f>
        <v>0.12</v>
      </c>
      <c r="D69" s="12">
        <f>INDEX(tblModelPromotion[revenue],MATCH(A69,tblModelPromotion[promotion_name],0))</f>
        <v>56475275</v>
      </c>
      <c r="E69" s="13">
        <f>INDEX(tblModelPromotion[margin_pct],MATCH(A69,tblModelPromotion[promotion_name],0))</f>
        <v>0.1176</v>
      </c>
      <c r="F69" s="13">
        <f>INDEX(tblModelPromotion[baseline_margin_pct],MATCH(A69,tblModelPromotion[promotion_name],0))</f>
        <v>0.22259999999999999</v>
      </c>
      <c r="G69" s="13">
        <f t="shared" ref="G69:G100" si="4">E69-F69</f>
        <v>-0.105</v>
      </c>
      <c r="H69" s="13">
        <f>INDEX(tblModelPromotion[aov_lift_pct],MATCH(A69,tblModelPromotion[promotion_name],0))</f>
        <v>5.1200000000000002E-2</v>
      </c>
      <c r="I69" t="str">
        <f t="shared" ref="I69:I100" si="5">IF(AND(G69&gt;=$L$1,H69&gt;=$L$2),"Continue - efficient lift for margin cost",IF(AND(G69&lt;=$L$3,H69&lt;$L$2),"Discontinue - high margin cost, weak lift","Review - mixed signal"))</f>
        <v>Continue - efficient lift for margin cost</v>
      </c>
    </row>
    <row r="70" spans="1:9" x14ac:dyDescent="0.3">
      <c r="A70" t="str">
        <f>INDEX(tblModelPromotion[promotion_name],MATCH("Festive Dec2022 - 12% Off",tblModelPromotion[promotion_name],0))</f>
        <v>Festive Dec2022 - 12% Off</v>
      </c>
      <c r="B70" t="str">
        <f>INDEX(tblModelPromotion[promotion_type],MATCH(A70,tblModelPromotion[promotion_name],0))</f>
        <v>Festive</v>
      </c>
      <c r="C70" s="13">
        <f>INDEX(tblModelPromotion[discount_pct],MATCH(A70,tblModelPromotion[promotion_name],0))/100</f>
        <v>0.12</v>
      </c>
      <c r="D70" s="12">
        <f>INDEX(tblModelPromotion[revenue],MATCH(A70,tblModelPromotion[promotion_name],0))</f>
        <v>63007288</v>
      </c>
      <c r="E70" s="13">
        <f>INDEX(tblModelPromotion[margin_pct],MATCH(A70,tblModelPromotion[promotion_name],0))</f>
        <v>0.1168</v>
      </c>
      <c r="F70" s="13">
        <f>INDEX(tblModelPromotion[baseline_margin_pct],MATCH(A70,tblModelPromotion[promotion_name],0))</f>
        <v>0.22259999999999999</v>
      </c>
      <c r="G70" s="13">
        <f t="shared" si="4"/>
        <v>-0.10579999999999999</v>
      </c>
      <c r="H70" s="13">
        <f>INDEX(tblModelPromotion[aov_lift_pct],MATCH(A70,tblModelPromotion[promotion_name],0))</f>
        <v>4.7000000000000002E-3</v>
      </c>
      <c r="I70" t="str">
        <f t="shared" si="5"/>
        <v>Continue - efficient lift for margin cost</v>
      </c>
    </row>
    <row r="71" spans="1:9" x14ac:dyDescent="0.3">
      <c r="A71" t="str">
        <f>INDEX(tblModelPromotion[promotion_name],MATCH("Seasonal Jun2022 - 12% Off",tblModelPromotion[promotion_name],0))</f>
        <v>Seasonal Jun2022 - 12% Off</v>
      </c>
      <c r="B71" t="str">
        <f>INDEX(tblModelPromotion[promotion_type],MATCH(A71,tblModelPromotion[promotion_name],0))</f>
        <v>Seasonal</v>
      </c>
      <c r="C71" s="13">
        <f>INDEX(tblModelPromotion[discount_pct],MATCH(A71,tblModelPromotion[promotion_name],0))/100</f>
        <v>0.12</v>
      </c>
      <c r="D71" s="12">
        <f>INDEX(tblModelPromotion[revenue],MATCH(A71,tblModelPromotion[promotion_name],0))</f>
        <v>39624919</v>
      </c>
      <c r="E71" s="13">
        <f>INDEX(tblModelPromotion[margin_pct],MATCH(A71,tblModelPromotion[promotion_name],0))</f>
        <v>0.1163</v>
      </c>
      <c r="F71" s="13">
        <f>INDEX(tblModelPromotion[baseline_margin_pct],MATCH(A71,tblModelPromotion[promotion_name],0))</f>
        <v>0.22259999999999999</v>
      </c>
      <c r="G71" s="13">
        <f t="shared" si="4"/>
        <v>-0.10629999999999999</v>
      </c>
      <c r="H71" s="13">
        <f>INDEX(tblModelPromotion[aov_lift_pct],MATCH(A71,tblModelPromotion[promotion_name],0))</f>
        <v>5.4199999999999998E-2</v>
      </c>
      <c r="I71" t="str">
        <f t="shared" si="5"/>
        <v>Continue - efficient lift for margin cost</v>
      </c>
    </row>
    <row r="72" spans="1:9" x14ac:dyDescent="0.3">
      <c r="A72" t="str">
        <f>INDEX(tblModelPromotion[promotion_name],MATCH("Festive May2021 - 12% Off",tblModelPromotion[promotion_name],0))</f>
        <v>Festive May2021 - 12% Off</v>
      </c>
      <c r="B72" t="str">
        <f>INDEX(tblModelPromotion[promotion_type],MATCH(A72,tblModelPromotion[promotion_name],0))</f>
        <v>Festive</v>
      </c>
      <c r="C72" s="13">
        <f>INDEX(tblModelPromotion[discount_pct],MATCH(A72,tblModelPromotion[promotion_name],0))/100</f>
        <v>0.12</v>
      </c>
      <c r="D72" s="12">
        <f>INDEX(tblModelPromotion[revenue],MATCH(A72,tblModelPromotion[promotion_name],0))</f>
        <v>39715124</v>
      </c>
      <c r="E72" s="13">
        <f>INDEX(tblModelPromotion[margin_pct],MATCH(A72,tblModelPromotion[promotion_name],0))</f>
        <v>0.11409999999999999</v>
      </c>
      <c r="F72" s="13">
        <f>INDEX(tblModelPromotion[baseline_margin_pct],MATCH(A72,tblModelPromotion[promotion_name],0))</f>
        <v>0.22259999999999999</v>
      </c>
      <c r="G72" s="13">
        <f t="shared" si="4"/>
        <v>-0.1085</v>
      </c>
      <c r="H72" s="13">
        <f>INDEX(tblModelPromotion[aov_lift_pct],MATCH(A72,tblModelPromotion[promotion_name],0))</f>
        <v>0.11310000000000001</v>
      </c>
      <c r="I72" t="str">
        <f t="shared" si="5"/>
        <v>Continue - efficient lift for margin cost</v>
      </c>
    </row>
    <row r="73" spans="1:9" x14ac:dyDescent="0.3">
      <c r="A73" t="str">
        <f>INDEX(tblModelPromotion[promotion_name],MATCH("Seasonal Jun2021 - 12% Off",tblModelPromotion[promotion_name],0))</f>
        <v>Seasonal Jun2021 - 12% Off</v>
      </c>
      <c r="B73" t="str">
        <f>INDEX(tblModelPromotion[promotion_type],MATCH(A73,tblModelPromotion[promotion_name],0))</f>
        <v>Seasonal</v>
      </c>
      <c r="C73" s="13">
        <f>INDEX(tblModelPromotion[discount_pct],MATCH(A73,tblModelPromotion[promotion_name],0))/100</f>
        <v>0.12</v>
      </c>
      <c r="D73" s="12">
        <f>INDEX(tblModelPromotion[revenue],MATCH(A73,tblModelPromotion[promotion_name],0))</f>
        <v>27851096</v>
      </c>
      <c r="E73" s="13">
        <f>INDEX(tblModelPromotion[margin_pct],MATCH(A73,tblModelPromotion[promotion_name],0))</f>
        <v>0.1162</v>
      </c>
      <c r="F73" s="13">
        <f>INDEX(tblModelPromotion[baseline_margin_pct],MATCH(A73,tblModelPromotion[promotion_name],0))</f>
        <v>0.22259999999999999</v>
      </c>
      <c r="G73" s="13">
        <f t="shared" si="4"/>
        <v>-0.10639999999999999</v>
      </c>
      <c r="H73" s="13">
        <f>INDEX(tblModelPromotion[aov_lift_pct],MATCH(A73,tblModelPromotion[promotion_name],0))</f>
        <v>7.9200000000000007E-2</v>
      </c>
      <c r="I73" t="str">
        <f t="shared" si="5"/>
        <v>Continue - efficient lift for margin cost</v>
      </c>
    </row>
    <row r="74" spans="1:9" x14ac:dyDescent="0.3">
      <c r="A74" t="str">
        <f>INDEX(tblModelPromotion[promotion_name],MATCH("Festive Apr2021 - 12% Off",tblModelPromotion[promotion_name],0))</f>
        <v>Festive Apr2021 - 12% Off</v>
      </c>
      <c r="B74" t="str">
        <f>INDEX(tblModelPromotion[promotion_type],MATCH(A74,tblModelPromotion[promotion_name],0))</f>
        <v>Festive</v>
      </c>
      <c r="C74" s="13">
        <f>INDEX(tblModelPromotion[discount_pct],MATCH(A74,tblModelPromotion[promotion_name],0))/100</f>
        <v>0.12</v>
      </c>
      <c r="D74" s="12">
        <f>INDEX(tblModelPromotion[revenue],MATCH(A74,tblModelPromotion[promotion_name],0))</f>
        <v>28164943</v>
      </c>
      <c r="E74" s="13">
        <f>INDEX(tblModelPromotion[margin_pct],MATCH(A74,tblModelPromotion[promotion_name],0))</f>
        <v>0.1159</v>
      </c>
      <c r="F74" s="13">
        <f>INDEX(tblModelPromotion[baseline_margin_pct],MATCH(A74,tblModelPromotion[promotion_name],0))</f>
        <v>0.22259999999999999</v>
      </c>
      <c r="G74" s="13">
        <f t="shared" si="4"/>
        <v>-0.10669999999999999</v>
      </c>
      <c r="H74" s="13">
        <f>INDEX(tblModelPromotion[aov_lift_pct],MATCH(A74,tblModelPromotion[promotion_name],0))</f>
        <v>-3.8100000000000002E-2</v>
      </c>
      <c r="I74" t="str">
        <f t="shared" si="5"/>
        <v>Review - mixed signal</v>
      </c>
    </row>
    <row r="75" spans="1:9" x14ac:dyDescent="0.3">
      <c r="A75" t="str">
        <f>INDEX(tblModelPromotion[promotion_name],MATCH("Seasonal Nov2022 - 12% Off",tblModelPromotion[promotion_name],0))</f>
        <v>Seasonal Nov2022 - 12% Off</v>
      </c>
      <c r="B75" t="str">
        <f>INDEX(tblModelPromotion[promotion_type],MATCH(A75,tblModelPromotion[promotion_name],0))</f>
        <v>Seasonal</v>
      </c>
      <c r="C75" s="13">
        <f>INDEX(tblModelPromotion[discount_pct],MATCH(A75,tblModelPromotion[promotion_name],0))/100</f>
        <v>0.12</v>
      </c>
      <c r="D75" s="12">
        <f>INDEX(tblModelPromotion[revenue],MATCH(A75,tblModelPromotion[promotion_name],0))</f>
        <v>130476222</v>
      </c>
      <c r="E75" s="13">
        <f>INDEX(tblModelPromotion[margin_pct],MATCH(A75,tblModelPromotion[promotion_name],0))</f>
        <v>0.11509999999999999</v>
      </c>
      <c r="F75" s="13">
        <f>INDEX(tblModelPromotion[baseline_margin_pct],MATCH(A75,tblModelPromotion[promotion_name],0))</f>
        <v>0.22259999999999999</v>
      </c>
      <c r="G75" s="13">
        <f t="shared" si="4"/>
        <v>-0.1075</v>
      </c>
      <c r="H75" s="13">
        <f>INDEX(tblModelPromotion[aov_lift_pct],MATCH(A75,tblModelPromotion[promotion_name],0))</f>
        <v>1.12E-2</v>
      </c>
      <c r="I75" t="str">
        <f t="shared" si="5"/>
        <v>Continue - efficient lift for margin cost</v>
      </c>
    </row>
    <row r="76" spans="1:9" x14ac:dyDescent="0.3">
      <c r="A76" t="str">
        <f>INDEX(tblModelPromotion[promotion_name],MATCH("Loyalty Aug2022 - 12% Off",tblModelPromotion[promotion_name],0))</f>
        <v>Loyalty Aug2022 - 12% Off</v>
      </c>
      <c r="B76" t="str">
        <f>INDEX(tblModelPromotion[promotion_type],MATCH(A76,tblModelPromotion[promotion_name],0))</f>
        <v>Loyalty</v>
      </c>
      <c r="C76" s="13">
        <f>INDEX(tblModelPromotion[discount_pct],MATCH(A76,tblModelPromotion[promotion_name],0))/100</f>
        <v>0.12</v>
      </c>
      <c r="D76" s="12">
        <f>INDEX(tblModelPromotion[revenue],MATCH(A76,tblModelPromotion[promotion_name],0))</f>
        <v>63984834</v>
      </c>
      <c r="E76" s="13">
        <f>INDEX(tblModelPromotion[margin_pct],MATCH(A76,tblModelPromotion[promotion_name],0))</f>
        <v>0.1144</v>
      </c>
      <c r="F76" s="13">
        <f>INDEX(tblModelPromotion[baseline_margin_pct],MATCH(A76,tblModelPromotion[promotion_name],0))</f>
        <v>0.22259999999999999</v>
      </c>
      <c r="G76" s="13">
        <f t="shared" si="4"/>
        <v>-0.10819999999999999</v>
      </c>
      <c r="H76" s="13">
        <f>INDEX(tblModelPromotion[aov_lift_pct],MATCH(A76,tblModelPromotion[promotion_name],0))</f>
        <v>4.0599999999999997E-2</v>
      </c>
      <c r="I76" t="str">
        <f t="shared" si="5"/>
        <v>Continue - efficient lift for margin cost</v>
      </c>
    </row>
    <row r="77" spans="1:9" x14ac:dyDescent="0.3">
      <c r="A77" t="str">
        <f>INDEX(tblModelPromotion[promotion_name],MATCH("Seasonal Nov2023 - 12% Off",tblModelPromotion[promotion_name],0))</f>
        <v>Seasonal Nov2023 - 12% Off</v>
      </c>
      <c r="B77" t="str">
        <f>INDEX(tblModelPromotion[promotion_type],MATCH(A77,tblModelPromotion[promotion_name],0))</f>
        <v>Seasonal</v>
      </c>
      <c r="C77" s="13">
        <f>INDEX(tblModelPromotion[discount_pct],MATCH(A77,tblModelPromotion[promotion_name],0))/100</f>
        <v>0.12</v>
      </c>
      <c r="D77" s="12">
        <f>INDEX(tblModelPromotion[revenue],MATCH(A77,tblModelPromotion[promotion_name],0))</f>
        <v>69467874</v>
      </c>
      <c r="E77" s="13">
        <f>INDEX(tblModelPromotion[margin_pct],MATCH(A77,tblModelPromotion[promotion_name],0))</f>
        <v>0.1142</v>
      </c>
      <c r="F77" s="13">
        <f>INDEX(tblModelPromotion[baseline_margin_pct],MATCH(A77,tblModelPromotion[promotion_name],0))</f>
        <v>0.22259999999999999</v>
      </c>
      <c r="G77" s="13">
        <f t="shared" si="4"/>
        <v>-0.1084</v>
      </c>
      <c r="H77" s="13">
        <f>INDEX(tblModelPromotion[aov_lift_pct],MATCH(A77,tblModelPromotion[promotion_name],0))</f>
        <v>0.1186</v>
      </c>
      <c r="I77" t="str">
        <f t="shared" si="5"/>
        <v>Continue - efficient lift for margin cost</v>
      </c>
    </row>
    <row r="78" spans="1:9" x14ac:dyDescent="0.3">
      <c r="A78" t="str">
        <f>INDEX(tblModelPromotion[promotion_name],MATCH("Loyalty May2023 - 12% Off",tblModelPromotion[promotion_name],0))</f>
        <v>Loyalty May2023 - 12% Off</v>
      </c>
      <c r="B78" t="str">
        <f>INDEX(tblModelPromotion[promotion_type],MATCH(A78,tblModelPromotion[promotion_name],0))</f>
        <v>Loyalty</v>
      </c>
      <c r="C78" s="13">
        <f>INDEX(tblModelPromotion[discount_pct],MATCH(A78,tblModelPromotion[promotion_name],0))/100</f>
        <v>0.12</v>
      </c>
      <c r="D78" s="12">
        <f>INDEX(tblModelPromotion[revenue],MATCH(A78,tblModelPromotion[promotion_name],0))</f>
        <v>45949738</v>
      </c>
      <c r="E78" s="13">
        <f>INDEX(tblModelPromotion[margin_pct],MATCH(A78,tblModelPromotion[promotion_name],0))</f>
        <v>0.1142</v>
      </c>
      <c r="F78" s="13">
        <f>INDEX(tblModelPromotion[baseline_margin_pct],MATCH(A78,tblModelPromotion[promotion_name],0))</f>
        <v>0.22259999999999999</v>
      </c>
      <c r="G78" s="13">
        <f t="shared" si="4"/>
        <v>-0.1084</v>
      </c>
      <c r="H78" s="13">
        <f>INDEX(tblModelPromotion[aov_lift_pct],MATCH(A78,tblModelPromotion[promotion_name],0))</f>
        <v>4.6199999999999998E-2</v>
      </c>
      <c r="I78" t="str">
        <f t="shared" si="5"/>
        <v>Continue - efficient lift for margin cost</v>
      </c>
    </row>
    <row r="79" spans="1:9" x14ac:dyDescent="0.3">
      <c r="A79" t="str">
        <f>INDEX(tblModelPromotion[promotion_name],MATCH("Festive May2021 - 12% Off",tblModelPromotion[promotion_name],0))</f>
        <v>Festive May2021 - 12% Off</v>
      </c>
      <c r="B79" t="str">
        <f>INDEX(tblModelPromotion[promotion_type],MATCH(A79,tblModelPromotion[promotion_name],0))</f>
        <v>Festive</v>
      </c>
      <c r="C79" s="13">
        <f>INDEX(tblModelPromotion[discount_pct],MATCH(A79,tblModelPromotion[promotion_name],0))/100</f>
        <v>0.12</v>
      </c>
      <c r="D79" s="12">
        <f>INDEX(tblModelPromotion[revenue],MATCH(A79,tblModelPromotion[promotion_name],0))</f>
        <v>39715124</v>
      </c>
      <c r="E79" s="13">
        <f>INDEX(tblModelPromotion[margin_pct],MATCH(A79,tblModelPromotion[promotion_name],0))</f>
        <v>0.11409999999999999</v>
      </c>
      <c r="F79" s="13">
        <f>INDEX(tblModelPromotion[baseline_margin_pct],MATCH(A79,tblModelPromotion[promotion_name],0))</f>
        <v>0.22259999999999999</v>
      </c>
      <c r="G79" s="13">
        <f t="shared" si="4"/>
        <v>-0.1085</v>
      </c>
      <c r="H79" s="13">
        <f>INDEX(tblModelPromotion[aov_lift_pct],MATCH(A79,tblModelPromotion[promotion_name],0))</f>
        <v>0.11310000000000001</v>
      </c>
      <c r="I79" t="str">
        <f t="shared" si="5"/>
        <v>Continue - efficient lift for margin cost</v>
      </c>
    </row>
    <row r="80" spans="1:9" x14ac:dyDescent="0.3">
      <c r="A80" t="str">
        <f>INDEX(tblModelPromotion[promotion_name],MATCH("Festive Mar2024 - 12% Off",tblModelPromotion[promotion_name],0))</f>
        <v>Festive Mar2024 - 12% Off</v>
      </c>
      <c r="B80" t="str">
        <f>INDEX(tblModelPromotion[promotion_type],MATCH(A80,tblModelPromotion[promotion_name],0))</f>
        <v>Festive</v>
      </c>
      <c r="C80" s="13">
        <f>INDEX(tblModelPromotion[discount_pct],MATCH(A80,tblModelPromotion[promotion_name],0))/100</f>
        <v>0.12</v>
      </c>
      <c r="D80" s="12">
        <f>INDEX(tblModelPromotion[revenue],MATCH(A80,tblModelPromotion[promotion_name],0))</f>
        <v>45722219</v>
      </c>
      <c r="E80" s="13">
        <f>INDEX(tblModelPromotion[margin_pct],MATCH(A80,tblModelPromotion[promotion_name],0))</f>
        <v>0.10920000000000001</v>
      </c>
      <c r="F80" s="13">
        <f>INDEX(tblModelPromotion[baseline_margin_pct],MATCH(A80,tblModelPromotion[promotion_name],0))</f>
        <v>0.22259999999999999</v>
      </c>
      <c r="G80" s="13">
        <f t="shared" si="4"/>
        <v>-0.11339999999999999</v>
      </c>
      <c r="H80" s="13">
        <f>INDEX(tblModelPromotion[aov_lift_pct],MATCH(A80,tblModelPromotion[promotion_name],0))</f>
        <v>0.16370000000000001</v>
      </c>
      <c r="I80" t="str">
        <f t="shared" si="5"/>
        <v>Continue - efficient lift for margin cost</v>
      </c>
    </row>
    <row r="81" spans="1:9" x14ac:dyDescent="0.3">
      <c r="A81" t="str">
        <f>INDEX(tblModelPromotion[promotion_name],MATCH("Clearance Jul2021 - 12% Off",tblModelPromotion[promotion_name],0))</f>
        <v>Clearance Jul2021 - 12% Off</v>
      </c>
      <c r="B81" t="str">
        <f>INDEX(tblModelPromotion[promotion_type],MATCH(A81,tblModelPromotion[promotion_name],0))</f>
        <v>Clearance</v>
      </c>
      <c r="C81" s="13">
        <f>INDEX(tblModelPromotion[discount_pct],MATCH(A81,tblModelPromotion[promotion_name],0))/100</f>
        <v>0.12</v>
      </c>
      <c r="D81" s="12">
        <f>INDEX(tblModelPromotion[revenue],MATCH(A81,tblModelPromotion[promotion_name],0))</f>
        <v>48601622</v>
      </c>
      <c r="E81" s="13">
        <f>INDEX(tblModelPromotion[margin_pct],MATCH(A81,tblModelPromotion[promotion_name],0))</f>
        <v>0.11210000000000001</v>
      </c>
      <c r="F81" s="13">
        <f>INDEX(tblModelPromotion[baseline_margin_pct],MATCH(A81,tblModelPromotion[promotion_name],0))</f>
        <v>0.22259999999999999</v>
      </c>
      <c r="G81" s="13">
        <f t="shared" si="4"/>
        <v>-0.11049999999999999</v>
      </c>
      <c r="H81" s="13">
        <f>INDEX(tblModelPromotion[aov_lift_pct],MATCH(A81,tblModelPromotion[promotion_name],0))</f>
        <v>5.8999999999999997E-2</v>
      </c>
      <c r="I81" t="str">
        <f t="shared" si="5"/>
        <v>Continue - efficient lift for margin cost</v>
      </c>
    </row>
    <row r="82" spans="1:9" x14ac:dyDescent="0.3">
      <c r="A82" t="str">
        <f>INDEX(tblModelPromotion[promotion_name],MATCH("Festive Sep2021 - 12% Off",tblModelPromotion[promotion_name],0))</f>
        <v>Festive Sep2021 - 12% Off</v>
      </c>
      <c r="B82" t="str">
        <f>INDEX(tblModelPromotion[promotion_type],MATCH(A82,tblModelPromotion[promotion_name],0))</f>
        <v>Festive</v>
      </c>
      <c r="C82" s="13">
        <f>INDEX(tblModelPromotion[discount_pct],MATCH(A82,tblModelPromotion[promotion_name],0))/100</f>
        <v>0.12</v>
      </c>
      <c r="D82" s="12">
        <f>INDEX(tblModelPromotion[revenue],MATCH(A82,tblModelPromotion[promotion_name],0))</f>
        <v>19982086</v>
      </c>
      <c r="E82" s="13">
        <f>INDEX(tblModelPromotion[margin_pct],MATCH(A82,tblModelPromotion[promotion_name],0))</f>
        <v>0.11119999999999999</v>
      </c>
      <c r="F82" s="13">
        <f>INDEX(tblModelPromotion[baseline_margin_pct],MATCH(A82,tblModelPromotion[promotion_name],0))</f>
        <v>0.22259999999999999</v>
      </c>
      <c r="G82" s="13">
        <f t="shared" si="4"/>
        <v>-0.1114</v>
      </c>
      <c r="H82" s="13">
        <f>INDEX(tblModelPromotion[aov_lift_pct],MATCH(A82,tblModelPromotion[promotion_name],0))</f>
        <v>8.2799999999999999E-2</v>
      </c>
      <c r="I82" t="str">
        <f t="shared" si="5"/>
        <v>Continue - efficient lift for margin cost</v>
      </c>
    </row>
    <row r="83" spans="1:9" x14ac:dyDescent="0.3">
      <c r="A83" t="str">
        <f>INDEX(tblModelPromotion[promotion_name],MATCH("Festive May2023 - 12% Off",tblModelPromotion[promotion_name],0))</f>
        <v>Festive May2023 - 12% Off</v>
      </c>
      <c r="B83" t="str">
        <f>INDEX(tblModelPromotion[promotion_type],MATCH(A83,tblModelPromotion[promotion_name],0))</f>
        <v>Festive</v>
      </c>
      <c r="C83" s="13">
        <f>INDEX(tblModelPromotion[discount_pct],MATCH(A83,tblModelPromotion[promotion_name],0))/100</f>
        <v>0.12</v>
      </c>
      <c r="D83" s="12">
        <f>INDEX(tblModelPromotion[revenue],MATCH(A83,tblModelPromotion[promotion_name],0))</f>
        <v>42597256</v>
      </c>
      <c r="E83" s="13">
        <f>INDEX(tblModelPromotion[margin_pct],MATCH(A83,tblModelPromotion[promotion_name],0))</f>
        <v>0.1099</v>
      </c>
      <c r="F83" s="13">
        <f>INDEX(tblModelPromotion[baseline_margin_pct],MATCH(A83,tblModelPromotion[promotion_name],0))</f>
        <v>0.22259999999999999</v>
      </c>
      <c r="G83" s="13">
        <f t="shared" si="4"/>
        <v>-0.11269999999999999</v>
      </c>
      <c r="H83" s="13">
        <f>INDEX(tblModelPromotion[aov_lift_pct],MATCH(A83,tblModelPromotion[promotion_name],0))</f>
        <v>7.4899999999999994E-2</v>
      </c>
      <c r="I83" t="str">
        <f t="shared" si="5"/>
        <v>Continue - efficient lift for margin cost</v>
      </c>
    </row>
    <row r="84" spans="1:9" x14ac:dyDescent="0.3">
      <c r="A84" t="str">
        <f>INDEX(tblModelPromotion[promotion_name],MATCH("Festive Mar2024 - 12% Off",tblModelPromotion[promotion_name],0))</f>
        <v>Festive Mar2024 - 12% Off</v>
      </c>
      <c r="B84" t="str">
        <f>INDEX(tblModelPromotion[promotion_type],MATCH(A84,tblModelPromotion[promotion_name],0))</f>
        <v>Festive</v>
      </c>
      <c r="C84" s="13">
        <f>INDEX(tblModelPromotion[discount_pct],MATCH(A84,tblModelPromotion[promotion_name],0))/100</f>
        <v>0.12</v>
      </c>
      <c r="D84" s="12">
        <f>INDEX(tblModelPromotion[revenue],MATCH(A84,tblModelPromotion[promotion_name],0))</f>
        <v>45722219</v>
      </c>
      <c r="E84" s="13">
        <f>INDEX(tblModelPromotion[margin_pct],MATCH(A84,tblModelPromotion[promotion_name],0))</f>
        <v>0.10920000000000001</v>
      </c>
      <c r="F84" s="13">
        <f>INDEX(tblModelPromotion[baseline_margin_pct],MATCH(A84,tblModelPromotion[promotion_name],0))</f>
        <v>0.22259999999999999</v>
      </c>
      <c r="G84" s="13">
        <f t="shared" si="4"/>
        <v>-0.11339999999999999</v>
      </c>
      <c r="H84" s="13">
        <f>INDEX(tblModelPromotion[aov_lift_pct],MATCH(A84,tblModelPromotion[promotion_name],0))</f>
        <v>0.16370000000000001</v>
      </c>
      <c r="I84" t="str">
        <f t="shared" si="5"/>
        <v>Continue - efficient lift for margin cost</v>
      </c>
    </row>
    <row r="85" spans="1:9" x14ac:dyDescent="0.3">
      <c r="A85" t="str">
        <f>INDEX(tblModelPromotion[promotion_name],MATCH("Loyalty Jun2024 - 12% Off",tblModelPromotion[promotion_name],0))</f>
        <v>Loyalty Jun2024 - 12% Off</v>
      </c>
      <c r="B85" t="str">
        <f>INDEX(tblModelPromotion[promotion_type],MATCH(A85,tblModelPromotion[promotion_name],0))</f>
        <v>Loyalty</v>
      </c>
      <c r="C85" s="13">
        <f>INDEX(tblModelPromotion[discount_pct],MATCH(A85,tblModelPromotion[promotion_name],0))/100</f>
        <v>0.12</v>
      </c>
      <c r="D85" s="12">
        <f>INDEX(tblModelPromotion[revenue],MATCH(A85,tblModelPromotion[promotion_name],0))</f>
        <v>58991108</v>
      </c>
      <c r="E85" s="13">
        <f>INDEX(tblModelPromotion[margin_pct],MATCH(A85,tblModelPromotion[promotion_name],0))</f>
        <v>0.1076</v>
      </c>
      <c r="F85" s="13">
        <f>INDEX(tblModelPromotion[baseline_margin_pct],MATCH(A85,tblModelPromotion[promotion_name],0))</f>
        <v>0.22259999999999999</v>
      </c>
      <c r="G85" s="13">
        <f t="shared" si="4"/>
        <v>-0.11499999999999999</v>
      </c>
      <c r="H85" s="13">
        <f>INDEX(tblModelPromotion[aov_lift_pct],MATCH(A85,tblModelPromotion[promotion_name],0))</f>
        <v>0.1459</v>
      </c>
      <c r="I85" t="str">
        <f t="shared" si="5"/>
        <v>Continue - efficient lift for margin cost</v>
      </c>
    </row>
    <row r="86" spans="1:9" x14ac:dyDescent="0.3">
      <c r="A86" t="str">
        <f>INDEX(tblModelPromotion[promotion_name],MATCH("Seasonal Mar2023 - 15% Off",tblModelPromotion[promotion_name],0))</f>
        <v>Seasonal Mar2023 - 15% Off</v>
      </c>
      <c r="B86" t="str">
        <f>INDEX(tblModelPromotion[promotion_type],MATCH(A86,tblModelPromotion[promotion_name],0))</f>
        <v>Seasonal</v>
      </c>
      <c r="C86" s="13">
        <f>INDEX(tblModelPromotion[discount_pct],MATCH(A86,tblModelPromotion[promotion_name],0))/100</f>
        <v>0.15</v>
      </c>
      <c r="D86" s="12">
        <f>INDEX(tblModelPromotion[revenue],MATCH(A86,tblModelPromotion[promotion_name],0))</f>
        <v>62418438</v>
      </c>
      <c r="E86" s="13">
        <f>INDEX(tblModelPromotion[margin_pct],MATCH(A86,tblModelPromotion[promotion_name],0))</f>
        <v>8.1600000000000006E-2</v>
      </c>
      <c r="F86" s="13">
        <f>INDEX(tblModelPromotion[baseline_margin_pct],MATCH(A86,tblModelPromotion[promotion_name],0))</f>
        <v>0.22259999999999999</v>
      </c>
      <c r="G86" s="13">
        <f t="shared" si="4"/>
        <v>-0.14099999999999999</v>
      </c>
      <c r="H86" s="13">
        <f>INDEX(tblModelPromotion[aov_lift_pct],MATCH(A86,tblModelPromotion[promotion_name],0))</f>
        <v>3.2300000000000002E-2</v>
      </c>
      <c r="I86" t="str">
        <f t="shared" si="5"/>
        <v>Review - mixed signal</v>
      </c>
    </row>
    <row r="87" spans="1:9" x14ac:dyDescent="0.3">
      <c r="A87" t="str">
        <f>INDEX(tblModelPromotion[promotion_name],MATCH("Clearance Mar2023 - 15% Off",tblModelPromotion[promotion_name],0))</f>
        <v>Clearance Mar2023 - 15% Off</v>
      </c>
      <c r="B87" t="str">
        <f>INDEX(tblModelPromotion[promotion_type],MATCH(A87,tblModelPromotion[promotion_name],0))</f>
        <v>Clearance</v>
      </c>
      <c r="C87" s="13">
        <f>INDEX(tblModelPromotion[discount_pct],MATCH(A87,tblModelPromotion[promotion_name],0))/100</f>
        <v>0.15</v>
      </c>
      <c r="D87" s="12">
        <f>INDEX(tblModelPromotion[revenue],MATCH(A87,tblModelPromotion[promotion_name],0))</f>
        <v>20524110</v>
      </c>
      <c r="E87" s="13">
        <f>INDEX(tblModelPromotion[margin_pct],MATCH(A87,tblModelPromotion[promotion_name],0))</f>
        <v>9.0200000000000002E-2</v>
      </c>
      <c r="F87" s="13">
        <f>INDEX(tblModelPromotion[baseline_margin_pct],MATCH(A87,tblModelPromotion[promotion_name],0))</f>
        <v>0.22259999999999999</v>
      </c>
      <c r="G87" s="13">
        <f t="shared" si="4"/>
        <v>-0.13239999999999999</v>
      </c>
      <c r="H87" s="13">
        <f>INDEX(tblModelPromotion[aov_lift_pct],MATCH(A87,tblModelPromotion[promotion_name],0))</f>
        <v>-2.46E-2</v>
      </c>
      <c r="I87" t="str">
        <f t="shared" si="5"/>
        <v>Review - mixed signal</v>
      </c>
    </row>
    <row r="88" spans="1:9" x14ac:dyDescent="0.3">
      <c r="A88" t="str">
        <f>INDEX(tblModelPromotion[promotion_name],MATCH("Seasonal Jul2023 - 15% Off",tblModelPromotion[promotion_name],0))</f>
        <v>Seasonal Jul2023 - 15% Off</v>
      </c>
      <c r="B88" t="str">
        <f>INDEX(tblModelPromotion[promotion_type],MATCH(A88,tblModelPromotion[promotion_name],0))</f>
        <v>Seasonal</v>
      </c>
      <c r="C88" s="13">
        <f>INDEX(tblModelPromotion[discount_pct],MATCH(A88,tblModelPromotion[promotion_name],0))/100</f>
        <v>0.15</v>
      </c>
      <c r="D88" s="12">
        <f>INDEX(tblModelPromotion[revenue],MATCH(A88,tblModelPromotion[promotion_name],0))</f>
        <v>45123159</v>
      </c>
      <c r="E88" s="13">
        <f>INDEX(tblModelPromotion[margin_pct],MATCH(A88,tblModelPromotion[promotion_name],0))</f>
        <v>8.9700000000000002E-2</v>
      </c>
      <c r="F88" s="13">
        <f>INDEX(tblModelPromotion[baseline_margin_pct],MATCH(A88,tblModelPromotion[promotion_name],0))</f>
        <v>0.22259999999999999</v>
      </c>
      <c r="G88" s="13">
        <f t="shared" si="4"/>
        <v>-0.13289999999999999</v>
      </c>
      <c r="H88" s="13">
        <f>INDEX(tblModelPromotion[aov_lift_pct],MATCH(A88,tblModelPromotion[promotion_name],0))</f>
        <v>0.11749999999999999</v>
      </c>
      <c r="I88" t="str">
        <f t="shared" si="5"/>
        <v>Continue - efficient lift for margin cost</v>
      </c>
    </row>
    <row r="89" spans="1:9" x14ac:dyDescent="0.3">
      <c r="A89" t="str">
        <f>INDEX(tblModelPromotion[promotion_name],MATCH("Seasonal Mar2024 - 15% Off",tblModelPromotion[promotion_name],0))</f>
        <v>Seasonal Mar2024 - 15% Off</v>
      </c>
      <c r="B89" t="str">
        <f>INDEX(tblModelPromotion[promotion_type],MATCH(A89,tblModelPromotion[promotion_name],0))</f>
        <v>Seasonal</v>
      </c>
      <c r="C89" s="13">
        <f>INDEX(tblModelPromotion[discount_pct],MATCH(A89,tblModelPromotion[promotion_name],0))/100</f>
        <v>0.15</v>
      </c>
      <c r="D89" s="12">
        <f>INDEX(tblModelPromotion[revenue],MATCH(A89,tblModelPromotion[promotion_name],0))</f>
        <v>42320844</v>
      </c>
      <c r="E89" s="13">
        <f>INDEX(tblModelPromotion[margin_pct],MATCH(A89,tblModelPromotion[promotion_name],0))</f>
        <v>8.3500000000000005E-2</v>
      </c>
      <c r="F89" s="13">
        <f>INDEX(tblModelPromotion[baseline_margin_pct],MATCH(A89,tblModelPromotion[promotion_name],0))</f>
        <v>0.22259999999999999</v>
      </c>
      <c r="G89" s="13">
        <f t="shared" si="4"/>
        <v>-0.1391</v>
      </c>
      <c r="H89" s="13">
        <f>INDEX(tblModelPromotion[aov_lift_pct],MATCH(A89,tblModelPromotion[promotion_name],0))</f>
        <v>3.7600000000000001E-2</v>
      </c>
      <c r="I89" t="str">
        <f t="shared" si="5"/>
        <v>Continue - efficient lift for margin cost</v>
      </c>
    </row>
    <row r="90" spans="1:9" x14ac:dyDescent="0.3">
      <c r="A90" t="str">
        <f>INDEX(tblModelPromotion[promotion_name],MATCH("Festive Apr2024 - 15% Off",tblModelPromotion[promotion_name],0))</f>
        <v>Festive Apr2024 - 15% Off</v>
      </c>
      <c r="B90" t="str">
        <f>INDEX(tblModelPromotion[promotion_type],MATCH(A90,tblModelPromotion[promotion_name],0))</f>
        <v>Festive</v>
      </c>
      <c r="C90" s="13">
        <f>INDEX(tblModelPromotion[discount_pct],MATCH(A90,tblModelPromotion[promotion_name],0))/100</f>
        <v>0.15</v>
      </c>
      <c r="D90" s="12">
        <f>INDEX(tblModelPromotion[revenue],MATCH(A90,tblModelPromotion[promotion_name],0))</f>
        <v>21095923</v>
      </c>
      <c r="E90" s="13">
        <f>INDEX(tblModelPromotion[margin_pct],MATCH(A90,tblModelPromotion[promotion_name],0))</f>
        <v>8.8400000000000006E-2</v>
      </c>
      <c r="F90" s="13">
        <f>INDEX(tblModelPromotion[baseline_margin_pct],MATCH(A90,tblModelPromotion[promotion_name],0))</f>
        <v>0.22259999999999999</v>
      </c>
      <c r="G90" s="13">
        <f t="shared" si="4"/>
        <v>-0.13419999999999999</v>
      </c>
      <c r="H90" s="13">
        <f>INDEX(tblModelPromotion[aov_lift_pct],MATCH(A90,tblModelPromotion[promotion_name],0))</f>
        <v>-1.6500000000000001E-2</v>
      </c>
      <c r="I90" t="str">
        <f t="shared" si="5"/>
        <v>Review - mixed signal</v>
      </c>
    </row>
    <row r="91" spans="1:9" x14ac:dyDescent="0.3">
      <c r="A91" t="str">
        <f>INDEX(tblModelPromotion[promotion_name],MATCH("Festive Jul2024 - 15% Off",tblModelPromotion[promotion_name],0))</f>
        <v>Festive Jul2024 - 15% Off</v>
      </c>
      <c r="B91" t="str">
        <f>INDEX(tblModelPromotion[promotion_type],MATCH(A91,tblModelPromotion[promotion_name],0))</f>
        <v>Festive</v>
      </c>
      <c r="C91" s="13">
        <f>INDEX(tblModelPromotion[discount_pct],MATCH(A91,tblModelPromotion[promotion_name],0))/100</f>
        <v>0.15</v>
      </c>
      <c r="D91" s="12">
        <f>INDEX(tblModelPromotion[revenue],MATCH(A91,tblModelPromotion[promotion_name],0))</f>
        <v>66212341</v>
      </c>
      <c r="E91" s="13">
        <f>INDEX(tblModelPromotion[margin_pct],MATCH(A91,tblModelPromotion[promotion_name],0))</f>
        <v>8.8300000000000003E-2</v>
      </c>
      <c r="F91" s="13">
        <f>INDEX(tblModelPromotion[baseline_margin_pct],MATCH(A91,tblModelPromotion[promotion_name],0))</f>
        <v>0.22259999999999999</v>
      </c>
      <c r="G91" s="13">
        <f t="shared" si="4"/>
        <v>-0.13429999999999997</v>
      </c>
      <c r="H91" s="13">
        <f>INDEX(tblModelPromotion[aov_lift_pct],MATCH(A91,tblModelPromotion[promotion_name],0))</f>
        <v>-5.9999999999999995E-4</v>
      </c>
      <c r="I91" t="str">
        <f t="shared" si="5"/>
        <v>Review - mixed signal</v>
      </c>
    </row>
    <row r="92" spans="1:9" x14ac:dyDescent="0.3">
      <c r="A92" t="str">
        <f>INDEX(tblModelPromotion[promotion_name],MATCH("Clearance Oct2021 - 15% Off",tblModelPromotion[promotion_name],0))</f>
        <v>Clearance Oct2021 - 15% Off</v>
      </c>
      <c r="B92" t="str">
        <f>INDEX(tblModelPromotion[promotion_type],MATCH(A92,tblModelPromotion[promotion_name],0))</f>
        <v>Clearance</v>
      </c>
      <c r="C92" s="13">
        <f>INDEX(tblModelPromotion[discount_pct],MATCH(A92,tblModelPromotion[promotion_name],0))/100</f>
        <v>0.15</v>
      </c>
      <c r="D92" s="12">
        <f>INDEX(tblModelPromotion[revenue],MATCH(A92,tblModelPromotion[promotion_name],0))</f>
        <v>34584039</v>
      </c>
      <c r="E92" s="13">
        <f>INDEX(tblModelPromotion[margin_pct],MATCH(A92,tblModelPromotion[promotion_name],0))</f>
        <v>8.8300000000000003E-2</v>
      </c>
      <c r="F92" s="13">
        <f>INDEX(tblModelPromotion[baseline_margin_pct],MATCH(A92,tblModelPromotion[promotion_name],0))</f>
        <v>0.22259999999999999</v>
      </c>
      <c r="G92" s="13">
        <f t="shared" si="4"/>
        <v>-0.13429999999999997</v>
      </c>
      <c r="H92" s="13">
        <f>INDEX(tblModelPromotion[aov_lift_pct],MATCH(A92,tblModelPromotion[promotion_name],0))</f>
        <v>4.9399999999999999E-2</v>
      </c>
      <c r="I92" t="str">
        <f t="shared" si="5"/>
        <v>Continue - efficient lift for margin cost</v>
      </c>
    </row>
    <row r="93" spans="1:9" x14ac:dyDescent="0.3">
      <c r="A93" t="str">
        <f>INDEX(tblModelPromotion[promotion_name],MATCH("Flash Sale Jun2023 - 15% Off",tblModelPromotion[promotion_name],0))</f>
        <v>Flash Sale Jun2023 - 15% Off</v>
      </c>
      <c r="B93" t="str">
        <f>INDEX(tblModelPromotion[promotion_type],MATCH(A93,tblModelPromotion[promotion_name],0))</f>
        <v>Flash Sale</v>
      </c>
      <c r="C93" s="13">
        <f>INDEX(tblModelPromotion[discount_pct],MATCH(A93,tblModelPromotion[promotion_name],0))/100</f>
        <v>0.15</v>
      </c>
      <c r="D93" s="12">
        <f>INDEX(tblModelPromotion[revenue],MATCH(A93,tblModelPromotion[promotion_name],0))</f>
        <v>65188184</v>
      </c>
      <c r="E93" s="13">
        <f>INDEX(tblModelPromotion[margin_pct],MATCH(A93,tblModelPromotion[promotion_name],0))</f>
        <v>8.6999999999999994E-2</v>
      </c>
      <c r="F93" s="13">
        <f>INDEX(tblModelPromotion[baseline_margin_pct],MATCH(A93,tblModelPromotion[promotion_name],0))</f>
        <v>0.22259999999999999</v>
      </c>
      <c r="G93" s="13">
        <f t="shared" si="4"/>
        <v>-0.1356</v>
      </c>
      <c r="H93" s="13">
        <f>INDEX(tblModelPromotion[aov_lift_pct],MATCH(A93,tblModelPromotion[promotion_name],0))</f>
        <v>7.6899999999999996E-2</v>
      </c>
      <c r="I93" t="str">
        <f t="shared" si="5"/>
        <v>Continue - efficient lift for margin cost</v>
      </c>
    </row>
    <row r="94" spans="1:9" x14ac:dyDescent="0.3">
      <c r="A94" t="str">
        <f>INDEX(tblModelPromotion[promotion_name],MATCH("Loyalty Jun2021 - 15% Off",tblModelPromotion[promotion_name],0))</f>
        <v>Loyalty Jun2021 - 15% Off</v>
      </c>
      <c r="B94" t="str">
        <f>INDEX(tblModelPromotion[promotion_type],MATCH(A94,tblModelPromotion[promotion_name],0))</f>
        <v>Loyalty</v>
      </c>
      <c r="C94" s="13">
        <f>INDEX(tblModelPromotion[discount_pct],MATCH(A94,tblModelPromotion[promotion_name],0))/100</f>
        <v>0.15</v>
      </c>
      <c r="D94" s="12">
        <f>INDEX(tblModelPromotion[revenue],MATCH(A94,tblModelPromotion[promotion_name],0))</f>
        <v>24731521</v>
      </c>
      <c r="E94" s="13">
        <f>INDEX(tblModelPromotion[margin_pct],MATCH(A94,tblModelPromotion[promotion_name],0))</f>
        <v>8.6800000000000002E-2</v>
      </c>
      <c r="F94" s="13">
        <f>INDEX(tblModelPromotion[baseline_margin_pct],MATCH(A94,tblModelPromotion[promotion_name],0))</f>
        <v>0.22259999999999999</v>
      </c>
      <c r="G94" s="13">
        <f t="shared" si="4"/>
        <v>-0.13579999999999998</v>
      </c>
      <c r="H94" s="13">
        <f>INDEX(tblModelPromotion[aov_lift_pct],MATCH(A94,tblModelPromotion[promotion_name],0))</f>
        <v>-2.8899999999999999E-2</v>
      </c>
      <c r="I94" t="str">
        <f t="shared" si="5"/>
        <v>Review - mixed signal</v>
      </c>
    </row>
    <row r="95" spans="1:9" x14ac:dyDescent="0.3">
      <c r="A95" t="str">
        <f>INDEX(tblModelPromotion[promotion_name],MATCH("Clearance Mar2022 - 15% Off",tblModelPromotion[promotion_name],0))</f>
        <v>Clearance Mar2022 - 15% Off</v>
      </c>
      <c r="B95" t="str">
        <f>INDEX(tblModelPromotion[promotion_type],MATCH(A95,tblModelPromotion[promotion_name],0))</f>
        <v>Clearance</v>
      </c>
      <c r="C95" s="13">
        <f>INDEX(tblModelPromotion[discount_pct],MATCH(A95,tblModelPromotion[promotion_name],0))/100</f>
        <v>0.15</v>
      </c>
      <c r="D95" s="12">
        <f>INDEX(tblModelPromotion[revenue],MATCH(A95,tblModelPromotion[promotion_name],0))</f>
        <v>56011145</v>
      </c>
      <c r="E95" s="13">
        <f>INDEX(tblModelPromotion[margin_pct],MATCH(A95,tblModelPromotion[promotion_name],0))</f>
        <v>8.6499999999999994E-2</v>
      </c>
      <c r="F95" s="13">
        <f>INDEX(tblModelPromotion[baseline_margin_pct],MATCH(A95,tblModelPromotion[promotion_name],0))</f>
        <v>0.22259999999999999</v>
      </c>
      <c r="G95" s="13">
        <f t="shared" si="4"/>
        <v>-0.1361</v>
      </c>
      <c r="H95" s="13">
        <f>INDEX(tblModelPromotion[aov_lift_pct],MATCH(A95,tblModelPromotion[promotion_name],0))</f>
        <v>2.0500000000000001E-2</v>
      </c>
      <c r="I95" t="str">
        <f t="shared" si="5"/>
        <v>Continue - efficient lift for margin cost</v>
      </c>
    </row>
    <row r="96" spans="1:9" x14ac:dyDescent="0.3">
      <c r="A96" t="str">
        <f>INDEX(tblModelPromotion[promotion_name],MATCH("Clearance Dec2022 - 15% Off",tblModelPromotion[promotion_name],0))</f>
        <v>Clearance Dec2022 - 15% Off</v>
      </c>
      <c r="B96" t="str">
        <f>INDEX(tblModelPromotion[promotion_type],MATCH(A96,tblModelPromotion[promotion_name],0))</f>
        <v>Clearance</v>
      </c>
      <c r="C96" s="13">
        <f>INDEX(tblModelPromotion[discount_pct],MATCH(A96,tblModelPromotion[promotion_name],0))/100</f>
        <v>0.15</v>
      </c>
      <c r="D96" s="12">
        <f>INDEX(tblModelPromotion[revenue],MATCH(A96,tblModelPromotion[promotion_name],0))</f>
        <v>65974319</v>
      </c>
      <c r="E96" s="13">
        <f>INDEX(tblModelPromotion[margin_pct],MATCH(A96,tblModelPromotion[promotion_name],0))</f>
        <v>8.6400000000000005E-2</v>
      </c>
      <c r="F96" s="13">
        <f>INDEX(tblModelPromotion[baseline_margin_pct],MATCH(A96,tblModelPromotion[promotion_name],0))</f>
        <v>0.22259999999999999</v>
      </c>
      <c r="G96" s="13">
        <f t="shared" si="4"/>
        <v>-0.13619999999999999</v>
      </c>
      <c r="H96" s="13">
        <f>INDEX(tblModelPromotion[aov_lift_pct],MATCH(A96,tblModelPromotion[promotion_name],0))</f>
        <v>-3.3099999999999997E-2</v>
      </c>
      <c r="I96" t="str">
        <f t="shared" si="5"/>
        <v>Review - mixed signal</v>
      </c>
    </row>
    <row r="97" spans="1:9" x14ac:dyDescent="0.3">
      <c r="A97" t="str">
        <f>INDEX(tblModelPromotion[promotion_name],MATCH("Seasonal Dec2023 - 15% Off",tblModelPromotion[promotion_name],0))</f>
        <v>Seasonal Dec2023 - 15% Off</v>
      </c>
      <c r="B97" t="str">
        <f>INDEX(tblModelPromotion[promotion_type],MATCH(A97,tblModelPromotion[promotion_name],0))</f>
        <v>Seasonal</v>
      </c>
      <c r="C97" s="13">
        <f>INDEX(tblModelPromotion[discount_pct],MATCH(A97,tblModelPromotion[promotion_name],0))/100</f>
        <v>0.15</v>
      </c>
      <c r="D97" s="12">
        <f>INDEX(tblModelPromotion[revenue],MATCH(A97,tblModelPromotion[promotion_name],0))</f>
        <v>171291786</v>
      </c>
      <c r="E97" s="13">
        <f>INDEX(tblModelPromotion[margin_pct],MATCH(A97,tblModelPromotion[promotion_name],0))</f>
        <v>8.6199999999999999E-2</v>
      </c>
      <c r="F97" s="13">
        <f>INDEX(tblModelPromotion[baseline_margin_pct],MATCH(A97,tblModelPromotion[promotion_name],0))</f>
        <v>0.22259999999999999</v>
      </c>
      <c r="G97" s="13">
        <f t="shared" si="4"/>
        <v>-0.13639999999999999</v>
      </c>
      <c r="H97" s="13">
        <f>INDEX(tblModelPromotion[aov_lift_pct],MATCH(A97,tblModelPromotion[promotion_name],0))</f>
        <v>4.4200000000000003E-2</v>
      </c>
      <c r="I97" t="str">
        <f t="shared" si="5"/>
        <v>Continue - efficient lift for margin cost</v>
      </c>
    </row>
    <row r="98" spans="1:9" x14ac:dyDescent="0.3">
      <c r="A98" t="str">
        <f>INDEX(tblModelPromotion[promotion_name],MATCH("Seasonal Apr2023 - 15% Off",tblModelPromotion[promotion_name],0))</f>
        <v>Seasonal Apr2023 - 15% Off</v>
      </c>
      <c r="B98" t="str">
        <f>INDEX(tblModelPromotion[promotion_type],MATCH(A98,tblModelPromotion[promotion_name],0))</f>
        <v>Seasonal</v>
      </c>
      <c r="C98" s="13">
        <f>INDEX(tblModelPromotion[discount_pct],MATCH(A98,tblModelPromotion[promotion_name],0))/100</f>
        <v>0.15</v>
      </c>
      <c r="D98" s="12">
        <f>INDEX(tblModelPromotion[revenue],MATCH(A98,tblModelPromotion[promotion_name],0))</f>
        <v>33861398</v>
      </c>
      <c r="E98" s="13">
        <f>INDEX(tblModelPromotion[margin_pct],MATCH(A98,tblModelPromotion[promotion_name],0))</f>
        <v>8.5300000000000001E-2</v>
      </c>
      <c r="F98" s="13">
        <f>INDEX(tblModelPromotion[baseline_margin_pct],MATCH(A98,tblModelPromotion[promotion_name],0))</f>
        <v>0.22259999999999999</v>
      </c>
      <c r="G98" s="13">
        <f t="shared" si="4"/>
        <v>-0.13729999999999998</v>
      </c>
      <c r="H98" s="13">
        <f>INDEX(tblModelPromotion[aov_lift_pct],MATCH(A98,tblModelPromotion[promotion_name],0))</f>
        <v>1.6899999999999998E-2</v>
      </c>
      <c r="I98" t="str">
        <f t="shared" si="5"/>
        <v>Continue - efficient lift for margin cost</v>
      </c>
    </row>
    <row r="99" spans="1:9" x14ac:dyDescent="0.3">
      <c r="A99" t="str">
        <f>INDEX(tblModelPromotion[promotion_name],MATCH("Festive Sep2024 - 15% Off",tblModelPromotion[promotion_name],0))</f>
        <v>Festive Sep2024 - 15% Off</v>
      </c>
      <c r="B99" t="str">
        <f>INDEX(tblModelPromotion[promotion_type],MATCH(A99,tblModelPromotion[promotion_name],0))</f>
        <v>Festive</v>
      </c>
      <c r="C99" s="13">
        <f>INDEX(tblModelPromotion[discount_pct],MATCH(A99,tblModelPromotion[promotion_name],0))/100</f>
        <v>0.15</v>
      </c>
      <c r="D99" s="12">
        <f>INDEX(tblModelPromotion[revenue],MATCH(A99,tblModelPromotion[promotion_name],0))</f>
        <v>58258851</v>
      </c>
      <c r="E99" s="13">
        <f>INDEX(tblModelPromotion[margin_pct],MATCH(A99,tblModelPromotion[promotion_name],0))</f>
        <v>8.4900000000000003E-2</v>
      </c>
      <c r="F99" s="13">
        <f>INDEX(tblModelPromotion[baseline_margin_pct],MATCH(A99,tblModelPromotion[promotion_name],0))</f>
        <v>0.22259999999999999</v>
      </c>
      <c r="G99" s="13">
        <f t="shared" si="4"/>
        <v>-0.13769999999999999</v>
      </c>
      <c r="H99" s="13">
        <f>INDEX(tblModelPromotion[aov_lift_pct],MATCH(A99,tblModelPromotion[promotion_name],0))</f>
        <v>-4.0000000000000001E-3</v>
      </c>
      <c r="I99" t="str">
        <f t="shared" si="5"/>
        <v>Review - mixed signal</v>
      </c>
    </row>
    <row r="100" spans="1:9" x14ac:dyDescent="0.3">
      <c r="A100" t="str">
        <f>INDEX(tblModelPromotion[promotion_name],MATCH("Festive Apr2021 - 15% Off",tblModelPromotion[promotion_name],0))</f>
        <v>Festive Apr2021 - 15% Off</v>
      </c>
      <c r="B100" t="str">
        <f>INDEX(tblModelPromotion[promotion_type],MATCH(A100,tblModelPromotion[promotion_name],0))</f>
        <v>Festive</v>
      </c>
      <c r="C100" s="13">
        <f>INDEX(tblModelPromotion[discount_pct],MATCH(A100,tblModelPromotion[promotion_name],0))/100</f>
        <v>0.15</v>
      </c>
      <c r="D100" s="12">
        <f>INDEX(tblModelPromotion[revenue],MATCH(A100,tblModelPromotion[promotion_name],0))</f>
        <v>32163471</v>
      </c>
      <c r="E100" s="13">
        <f>INDEX(tblModelPromotion[margin_pct],MATCH(A100,tblModelPromotion[promotion_name],0))</f>
        <v>8.4699999999999998E-2</v>
      </c>
      <c r="F100" s="13">
        <f>INDEX(tblModelPromotion[baseline_margin_pct],MATCH(A100,tblModelPromotion[promotion_name],0))</f>
        <v>0.22259999999999999</v>
      </c>
      <c r="G100" s="13">
        <f t="shared" si="4"/>
        <v>-0.13789999999999999</v>
      </c>
      <c r="H100" s="13">
        <f>INDEX(tblModelPromotion[aov_lift_pct],MATCH(A100,tblModelPromotion[promotion_name],0))</f>
        <v>5.4300000000000001E-2</v>
      </c>
      <c r="I100" t="str">
        <f t="shared" si="5"/>
        <v>Continue - efficient lift for margin cost</v>
      </c>
    </row>
    <row r="101" spans="1:9" x14ac:dyDescent="0.3">
      <c r="A101" t="str">
        <f>INDEX(tblModelPromotion[promotion_name],MATCH("Seasonal Oct2023 - 15% Off",tblModelPromotion[promotion_name],0))</f>
        <v>Seasonal Oct2023 - 15% Off</v>
      </c>
      <c r="B101" t="str">
        <f>INDEX(tblModelPromotion[promotion_type],MATCH(A101,tblModelPromotion[promotion_name],0))</f>
        <v>Seasonal</v>
      </c>
      <c r="C101" s="13">
        <f>INDEX(tblModelPromotion[discount_pct],MATCH(A101,tblModelPromotion[promotion_name],0))/100</f>
        <v>0.15</v>
      </c>
      <c r="D101" s="12">
        <f>INDEX(tblModelPromotion[revenue],MATCH(A101,tblModelPromotion[promotion_name],0))</f>
        <v>51997439</v>
      </c>
      <c r="E101" s="13">
        <f>INDEX(tblModelPromotion[margin_pct],MATCH(A101,tblModelPromotion[promotion_name],0))</f>
        <v>8.4400000000000003E-2</v>
      </c>
      <c r="F101" s="13">
        <f>INDEX(tblModelPromotion[baseline_margin_pct],MATCH(A101,tblModelPromotion[promotion_name],0))</f>
        <v>0.22259999999999999</v>
      </c>
      <c r="G101" s="13">
        <f t="shared" ref="G101:G132" si="6">E101-F101</f>
        <v>-0.13819999999999999</v>
      </c>
      <c r="H101" s="13">
        <f>INDEX(tblModelPromotion[aov_lift_pct],MATCH(A101,tblModelPromotion[promotion_name],0))</f>
        <v>-5.7000000000000002E-3</v>
      </c>
      <c r="I101" t="str">
        <f t="shared" ref="I101:I132" si="7">IF(AND(G101&gt;=$L$1,H101&gt;=$L$2),"Continue - efficient lift for margin cost",IF(AND(G101&lt;=$L$3,H101&lt;$L$2),"Discontinue - high margin cost, weak lift","Review - mixed signal"))</f>
        <v>Review - mixed signal</v>
      </c>
    </row>
    <row r="102" spans="1:9" x14ac:dyDescent="0.3">
      <c r="A102" t="str">
        <f>INDEX(tblModelPromotion[promotion_name],MATCH("Festive Oct2022 - 15% Off",tblModelPromotion[promotion_name],0))</f>
        <v>Festive Oct2022 - 15% Off</v>
      </c>
      <c r="B102" t="str">
        <f>INDEX(tblModelPromotion[promotion_type],MATCH(A102,tblModelPromotion[promotion_name],0))</f>
        <v>Festive</v>
      </c>
      <c r="C102" s="13">
        <f>INDEX(tblModelPromotion[discount_pct],MATCH(A102,tblModelPromotion[promotion_name],0))/100</f>
        <v>0.15</v>
      </c>
      <c r="D102" s="12">
        <f>INDEX(tblModelPromotion[revenue],MATCH(A102,tblModelPromotion[promotion_name],0))</f>
        <v>43472332</v>
      </c>
      <c r="E102" s="13">
        <f>INDEX(tblModelPromotion[margin_pct],MATCH(A102,tblModelPromotion[promotion_name],0))</f>
        <v>8.4400000000000003E-2</v>
      </c>
      <c r="F102" s="13">
        <f>INDEX(tblModelPromotion[baseline_margin_pct],MATCH(A102,tblModelPromotion[promotion_name],0))</f>
        <v>0.22259999999999999</v>
      </c>
      <c r="G102" s="13">
        <f t="shared" si="6"/>
        <v>-0.13819999999999999</v>
      </c>
      <c r="H102" s="13">
        <f>INDEX(tblModelPromotion[aov_lift_pct],MATCH(A102,tblModelPromotion[promotion_name],0))</f>
        <v>2.2000000000000001E-3</v>
      </c>
      <c r="I102" t="str">
        <f t="shared" si="7"/>
        <v>Continue - efficient lift for margin cost</v>
      </c>
    </row>
    <row r="103" spans="1:9" x14ac:dyDescent="0.3">
      <c r="A103" t="str">
        <f>INDEX(tblModelPromotion[promotion_name],MATCH("Festive Feb2021 - 15% Off",tblModelPromotion[promotion_name],0))</f>
        <v>Festive Feb2021 - 15% Off</v>
      </c>
      <c r="B103" t="str">
        <f>INDEX(tblModelPromotion[promotion_type],MATCH(A103,tblModelPromotion[promotion_name],0))</f>
        <v>Festive</v>
      </c>
      <c r="C103" s="13">
        <f>INDEX(tblModelPromotion[discount_pct],MATCH(A103,tblModelPromotion[promotion_name],0))/100</f>
        <v>0.15</v>
      </c>
      <c r="D103" s="12">
        <f>INDEX(tblModelPromotion[revenue],MATCH(A103,tblModelPromotion[promotion_name],0))</f>
        <v>20242888</v>
      </c>
      <c r="E103" s="13">
        <f>INDEX(tblModelPromotion[margin_pct],MATCH(A103,tblModelPromotion[promotion_name],0))</f>
        <v>8.43E-2</v>
      </c>
      <c r="F103" s="13">
        <f>INDEX(tblModelPromotion[baseline_margin_pct],MATCH(A103,tblModelPromotion[promotion_name],0))</f>
        <v>0.22259999999999999</v>
      </c>
      <c r="G103" s="13">
        <f t="shared" si="6"/>
        <v>-0.13829999999999998</v>
      </c>
      <c r="H103" s="13">
        <f>INDEX(tblModelPromotion[aov_lift_pct],MATCH(A103,tblModelPromotion[promotion_name],0))</f>
        <v>-2.8500000000000001E-2</v>
      </c>
      <c r="I103" t="str">
        <f t="shared" si="7"/>
        <v>Review - mixed signal</v>
      </c>
    </row>
    <row r="104" spans="1:9" x14ac:dyDescent="0.3">
      <c r="A104" t="str">
        <f>INDEX(tblModelPromotion[promotion_name],MATCH("Loyalty Jan2023 - 15% Off",tblModelPromotion[promotion_name],0))</f>
        <v>Loyalty Jan2023 - 15% Off</v>
      </c>
      <c r="B104" t="str">
        <f>INDEX(tblModelPromotion[promotion_type],MATCH(A104,tblModelPromotion[promotion_name],0))</f>
        <v>Loyalty</v>
      </c>
      <c r="C104" s="13">
        <f>INDEX(tblModelPromotion[discount_pct],MATCH(A104,tblModelPromotion[promotion_name],0))/100</f>
        <v>0.15</v>
      </c>
      <c r="D104" s="12">
        <f>INDEX(tblModelPromotion[revenue],MATCH(A104,tblModelPromotion[promotion_name],0))</f>
        <v>42848538</v>
      </c>
      <c r="E104" s="13">
        <f>INDEX(tblModelPromotion[margin_pct],MATCH(A104,tblModelPromotion[promotion_name],0))</f>
        <v>8.3599999999999994E-2</v>
      </c>
      <c r="F104" s="13">
        <f>INDEX(tblModelPromotion[baseline_margin_pct],MATCH(A104,tblModelPromotion[promotion_name],0))</f>
        <v>0.22259999999999999</v>
      </c>
      <c r="G104" s="13">
        <f t="shared" si="6"/>
        <v>-0.13900000000000001</v>
      </c>
      <c r="H104" s="13">
        <f>INDEX(tblModelPromotion[aov_lift_pct],MATCH(A104,tblModelPromotion[promotion_name],0))</f>
        <v>1.9900000000000001E-2</v>
      </c>
      <c r="I104" t="str">
        <f t="shared" si="7"/>
        <v>Continue - efficient lift for margin cost</v>
      </c>
    </row>
    <row r="105" spans="1:9" x14ac:dyDescent="0.3">
      <c r="A105" t="str">
        <f>INDEX(tblModelPromotion[promotion_name],MATCH("Seasonal Mar2024 - 15% Off",tblModelPromotion[promotion_name],0))</f>
        <v>Seasonal Mar2024 - 15% Off</v>
      </c>
      <c r="B105" t="str">
        <f>INDEX(tblModelPromotion[promotion_type],MATCH(A105,tblModelPromotion[promotion_name],0))</f>
        <v>Seasonal</v>
      </c>
      <c r="C105" s="13">
        <f>INDEX(tblModelPromotion[discount_pct],MATCH(A105,tblModelPromotion[promotion_name],0))/100</f>
        <v>0.15</v>
      </c>
      <c r="D105" s="12">
        <f>INDEX(tblModelPromotion[revenue],MATCH(A105,tblModelPromotion[promotion_name],0))</f>
        <v>42320844</v>
      </c>
      <c r="E105" s="13">
        <f>INDEX(tblModelPromotion[margin_pct],MATCH(A105,tblModelPromotion[promotion_name],0))</f>
        <v>8.3500000000000005E-2</v>
      </c>
      <c r="F105" s="13">
        <f>INDEX(tblModelPromotion[baseline_margin_pct],MATCH(A105,tblModelPromotion[promotion_name],0))</f>
        <v>0.22259999999999999</v>
      </c>
      <c r="G105" s="13">
        <f t="shared" si="6"/>
        <v>-0.1391</v>
      </c>
      <c r="H105" s="13">
        <f>INDEX(tblModelPromotion[aov_lift_pct],MATCH(A105,tblModelPromotion[promotion_name],0))</f>
        <v>3.7600000000000001E-2</v>
      </c>
      <c r="I105" t="str">
        <f t="shared" si="7"/>
        <v>Continue - efficient lift for margin cost</v>
      </c>
    </row>
    <row r="106" spans="1:9" x14ac:dyDescent="0.3">
      <c r="A106" t="str">
        <f>INDEX(tblModelPromotion[promotion_name],MATCH("Flash Sale Oct2022 - 15% Off",tblModelPromotion[promotion_name],0))</f>
        <v>Flash Sale Oct2022 - 15% Off</v>
      </c>
      <c r="B106" t="str">
        <f>INDEX(tblModelPromotion[promotion_type],MATCH(A106,tblModelPromotion[promotion_name],0))</f>
        <v>Flash Sale</v>
      </c>
      <c r="C106" s="13">
        <f>INDEX(tblModelPromotion[discount_pct],MATCH(A106,tblModelPromotion[promotion_name],0))/100</f>
        <v>0.15</v>
      </c>
      <c r="D106" s="12">
        <f>INDEX(tblModelPromotion[revenue],MATCH(A106,tblModelPromotion[promotion_name],0))</f>
        <v>42578665</v>
      </c>
      <c r="E106" s="13">
        <f>INDEX(tblModelPromotion[margin_pct],MATCH(A106,tblModelPromotion[promotion_name],0))</f>
        <v>8.2699999999999996E-2</v>
      </c>
      <c r="F106" s="13">
        <f>INDEX(tblModelPromotion[baseline_margin_pct],MATCH(A106,tblModelPromotion[promotion_name],0))</f>
        <v>0.22259999999999999</v>
      </c>
      <c r="G106" s="13">
        <f t="shared" si="6"/>
        <v>-0.1399</v>
      </c>
      <c r="H106" s="13">
        <f>INDEX(tblModelPromotion[aov_lift_pct],MATCH(A106,tblModelPromotion[promotion_name],0))</f>
        <v>-1.9900000000000001E-2</v>
      </c>
      <c r="I106" t="str">
        <f t="shared" si="7"/>
        <v>Review - mixed signal</v>
      </c>
    </row>
    <row r="107" spans="1:9" x14ac:dyDescent="0.3">
      <c r="A107" t="str">
        <f>INDEX(tblModelPromotion[promotion_name],MATCH("Clearance Jun2021 - 15% Off",tblModelPromotion[promotion_name],0))</f>
        <v>Clearance Jun2021 - 15% Off</v>
      </c>
      <c r="B107" t="str">
        <f>INDEX(tblModelPromotion[promotion_type],MATCH(A107,tblModelPromotion[promotion_name],0))</f>
        <v>Clearance</v>
      </c>
      <c r="C107" s="13">
        <f>INDEX(tblModelPromotion[discount_pct],MATCH(A107,tblModelPromotion[promotion_name],0))/100</f>
        <v>0.15</v>
      </c>
      <c r="D107" s="12">
        <f>INDEX(tblModelPromotion[revenue],MATCH(A107,tblModelPromotion[promotion_name],0))</f>
        <v>26205882</v>
      </c>
      <c r="E107" s="13">
        <f>INDEX(tblModelPromotion[margin_pct],MATCH(A107,tblModelPromotion[promotion_name],0))</f>
        <v>8.2699999999999996E-2</v>
      </c>
      <c r="F107" s="13">
        <f>INDEX(tblModelPromotion[baseline_margin_pct],MATCH(A107,tblModelPromotion[promotion_name],0))</f>
        <v>0.22259999999999999</v>
      </c>
      <c r="G107" s="13">
        <f t="shared" si="6"/>
        <v>-0.1399</v>
      </c>
      <c r="H107" s="13">
        <f>INDEX(tblModelPromotion[aov_lift_pct],MATCH(A107,tblModelPromotion[promotion_name],0))</f>
        <v>-4.0300000000000002E-2</v>
      </c>
      <c r="I107" t="str">
        <f t="shared" si="7"/>
        <v>Review - mixed signal</v>
      </c>
    </row>
    <row r="108" spans="1:9" x14ac:dyDescent="0.3">
      <c r="A108" t="str">
        <f>INDEX(tblModelPromotion[promotion_name],MATCH("Seasonal Mar2023 - 15% Off",tblModelPromotion[promotion_name],0))</f>
        <v>Seasonal Mar2023 - 15% Off</v>
      </c>
      <c r="B108" t="str">
        <f>INDEX(tblModelPromotion[promotion_type],MATCH(A108,tblModelPromotion[promotion_name],0))</f>
        <v>Seasonal</v>
      </c>
      <c r="C108" s="13">
        <f>INDEX(tblModelPromotion[discount_pct],MATCH(A108,tblModelPromotion[promotion_name],0))/100</f>
        <v>0.15</v>
      </c>
      <c r="D108" s="12">
        <f>INDEX(tblModelPromotion[revenue],MATCH(A108,tblModelPromotion[promotion_name],0))</f>
        <v>62418438</v>
      </c>
      <c r="E108" s="13">
        <f>INDEX(tblModelPromotion[margin_pct],MATCH(A108,tblModelPromotion[promotion_name],0))</f>
        <v>8.1600000000000006E-2</v>
      </c>
      <c r="F108" s="13">
        <f>INDEX(tblModelPromotion[baseline_margin_pct],MATCH(A108,tblModelPromotion[promotion_name],0))</f>
        <v>0.22259999999999999</v>
      </c>
      <c r="G108" s="13">
        <f t="shared" si="6"/>
        <v>-0.14099999999999999</v>
      </c>
      <c r="H108" s="13">
        <f>INDEX(tblModelPromotion[aov_lift_pct],MATCH(A108,tblModelPromotion[promotion_name],0))</f>
        <v>3.2300000000000002E-2</v>
      </c>
      <c r="I108" t="str">
        <f t="shared" si="7"/>
        <v>Review - mixed signal</v>
      </c>
    </row>
    <row r="109" spans="1:9" x14ac:dyDescent="0.3">
      <c r="A109" t="str">
        <f>INDEX(tblModelPromotion[promotion_name],MATCH("Seasonal Sep2022 - 15% Off",tblModelPromotion[promotion_name],0))</f>
        <v>Seasonal Sep2022 - 15% Off</v>
      </c>
      <c r="B109" t="str">
        <f>INDEX(tblModelPromotion[promotion_type],MATCH(A109,tblModelPromotion[promotion_name],0))</f>
        <v>Seasonal</v>
      </c>
      <c r="C109" s="13">
        <f>INDEX(tblModelPromotion[discount_pct],MATCH(A109,tblModelPromotion[promotion_name],0))/100</f>
        <v>0.15</v>
      </c>
      <c r="D109" s="12">
        <f>INDEX(tblModelPromotion[revenue],MATCH(A109,tblModelPromotion[promotion_name],0))</f>
        <v>66978792</v>
      </c>
      <c r="E109" s="13">
        <f>INDEX(tblModelPromotion[margin_pct],MATCH(A109,tblModelPromotion[promotion_name],0))</f>
        <v>8.14E-2</v>
      </c>
      <c r="F109" s="13">
        <f>INDEX(tblModelPromotion[baseline_margin_pct],MATCH(A109,tblModelPromotion[promotion_name],0))</f>
        <v>0.22259999999999999</v>
      </c>
      <c r="G109" s="13">
        <f t="shared" si="6"/>
        <v>-0.14119999999999999</v>
      </c>
      <c r="H109" s="13">
        <f>INDEX(tblModelPromotion[aov_lift_pct],MATCH(A109,tblModelPromotion[promotion_name],0))</f>
        <v>-5.4000000000000003E-3</v>
      </c>
      <c r="I109" t="str">
        <f t="shared" si="7"/>
        <v>Review - mixed signal</v>
      </c>
    </row>
    <row r="110" spans="1:9" x14ac:dyDescent="0.3">
      <c r="A110" t="str">
        <f>INDEX(tblModelPromotion[promotion_name],MATCH("Festive Oct2021 - 15% Off",tblModelPromotion[promotion_name],0))</f>
        <v>Festive Oct2021 - 15% Off</v>
      </c>
      <c r="B110" t="str">
        <f>INDEX(tblModelPromotion[promotion_type],MATCH(A110,tblModelPromotion[promotion_name],0))</f>
        <v>Festive</v>
      </c>
      <c r="C110" s="13">
        <f>INDEX(tblModelPromotion[discount_pct],MATCH(A110,tblModelPromotion[promotion_name],0))/100</f>
        <v>0.15</v>
      </c>
      <c r="D110" s="12">
        <f>INDEX(tblModelPromotion[revenue],MATCH(A110,tblModelPromotion[promotion_name],0))</f>
        <v>127756385</v>
      </c>
      <c r="E110" s="13">
        <f>INDEX(tblModelPromotion[margin_pct],MATCH(A110,tblModelPromotion[promotion_name],0))</f>
        <v>8.0799999999999997E-2</v>
      </c>
      <c r="F110" s="13">
        <f>INDEX(tblModelPromotion[baseline_margin_pct],MATCH(A110,tblModelPromotion[promotion_name],0))</f>
        <v>0.22259999999999999</v>
      </c>
      <c r="G110" s="13">
        <f t="shared" si="6"/>
        <v>-0.14179999999999998</v>
      </c>
      <c r="H110" s="13">
        <f>INDEX(tblModelPromotion[aov_lift_pct],MATCH(A110,tblModelPromotion[promotion_name],0))</f>
        <v>3.2000000000000001E-2</v>
      </c>
      <c r="I110" t="str">
        <f t="shared" si="7"/>
        <v>Review - mixed signal</v>
      </c>
    </row>
    <row r="111" spans="1:9" x14ac:dyDescent="0.3">
      <c r="A111" t="str">
        <f>INDEX(tblModelPromotion[promotion_name],MATCH("Seasonal Apr2024 - 15% Off",tblModelPromotion[promotion_name],0))</f>
        <v>Seasonal Apr2024 - 15% Off</v>
      </c>
      <c r="B111" t="str">
        <f>INDEX(tblModelPromotion[promotion_type],MATCH(A111,tblModelPromotion[promotion_name],0))</f>
        <v>Seasonal</v>
      </c>
      <c r="C111" s="13">
        <f>INDEX(tblModelPromotion[discount_pct],MATCH(A111,tblModelPromotion[promotion_name],0))/100</f>
        <v>0.15</v>
      </c>
      <c r="D111" s="12">
        <f>INDEX(tblModelPromotion[revenue],MATCH(A111,tblModelPromotion[promotion_name],0))</f>
        <v>25563909</v>
      </c>
      <c r="E111" s="13">
        <f>INDEX(tblModelPromotion[margin_pct],MATCH(A111,tblModelPromotion[promotion_name],0))</f>
        <v>7.8200000000000006E-2</v>
      </c>
      <c r="F111" s="13">
        <f>INDEX(tblModelPromotion[baseline_margin_pct],MATCH(A111,tblModelPromotion[promotion_name],0))</f>
        <v>0.22259999999999999</v>
      </c>
      <c r="G111" s="13">
        <f t="shared" si="6"/>
        <v>-0.14439999999999997</v>
      </c>
      <c r="H111" s="13">
        <f>INDEX(tblModelPromotion[aov_lift_pct],MATCH(A111,tblModelPromotion[promotion_name],0))</f>
        <v>0.14460000000000001</v>
      </c>
      <c r="I111" t="str">
        <f t="shared" si="7"/>
        <v>Review - mixed signal</v>
      </c>
    </row>
    <row r="112" spans="1:9" x14ac:dyDescent="0.3">
      <c r="A112" t="str">
        <f>INDEX(tblModelPromotion[promotion_name],MATCH("Clearance Jul2024 - 15% Off",tblModelPromotion[promotion_name],0))</f>
        <v>Clearance Jul2024 - 15% Off</v>
      </c>
      <c r="B112" t="str">
        <f>INDEX(tblModelPromotion[promotion_type],MATCH(A112,tblModelPromotion[promotion_name],0))</f>
        <v>Clearance</v>
      </c>
      <c r="C112" s="13">
        <f>INDEX(tblModelPromotion[discount_pct],MATCH(A112,tblModelPromotion[promotion_name],0))/100</f>
        <v>0.15</v>
      </c>
      <c r="D112" s="12">
        <f>INDEX(tblModelPromotion[revenue],MATCH(A112,tblModelPromotion[promotion_name],0))</f>
        <v>36033073</v>
      </c>
      <c r="E112" s="13">
        <f>INDEX(tblModelPromotion[margin_pct],MATCH(A112,tblModelPromotion[promotion_name],0))</f>
        <v>7.7600000000000002E-2</v>
      </c>
      <c r="F112" s="13">
        <f>INDEX(tblModelPromotion[baseline_margin_pct],MATCH(A112,tblModelPromotion[promotion_name],0))</f>
        <v>0.22259999999999999</v>
      </c>
      <c r="G112" s="13">
        <f t="shared" si="6"/>
        <v>-0.14499999999999999</v>
      </c>
      <c r="H112" s="13">
        <f>INDEX(tblModelPromotion[aov_lift_pct],MATCH(A112,tblModelPromotion[promotion_name],0))</f>
        <v>0.1331</v>
      </c>
      <c r="I112" t="str">
        <f t="shared" si="7"/>
        <v>Review - mixed signal</v>
      </c>
    </row>
    <row r="113" spans="1:9" x14ac:dyDescent="0.3">
      <c r="A113" t="str">
        <f>INDEX(tblModelPromotion[promotion_name],MATCH("Clearance Sep2023 - 15% Off",tblModelPromotion[promotion_name],0))</f>
        <v>Clearance Sep2023 - 15% Off</v>
      </c>
      <c r="B113" t="str">
        <f>INDEX(tblModelPromotion[promotion_type],MATCH(A113,tblModelPromotion[promotion_name],0))</f>
        <v>Clearance</v>
      </c>
      <c r="C113" s="13">
        <f>INDEX(tblModelPromotion[discount_pct],MATCH(A113,tblModelPromotion[promotion_name],0))/100</f>
        <v>0.15</v>
      </c>
      <c r="D113" s="12">
        <f>INDEX(tblModelPromotion[revenue],MATCH(A113,tblModelPromotion[promotion_name],0))</f>
        <v>36260613</v>
      </c>
      <c r="E113" s="13">
        <f>INDEX(tblModelPromotion[margin_pct],MATCH(A113,tblModelPromotion[promotion_name],0))</f>
        <v>7.6399999999999996E-2</v>
      </c>
      <c r="F113" s="13">
        <f>INDEX(tblModelPromotion[baseline_margin_pct],MATCH(A113,tblModelPromotion[promotion_name],0))</f>
        <v>0.22259999999999999</v>
      </c>
      <c r="G113" s="13">
        <f t="shared" si="6"/>
        <v>-0.1462</v>
      </c>
      <c r="H113" s="13">
        <f>INDEX(tblModelPromotion[aov_lift_pct],MATCH(A113,tblModelPromotion[promotion_name],0))</f>
        <v>2.5999999999999999E-2</v>
      </c>
      <c r="I113" t="str">
        <f t="shared" si="7"/>
        <v>Review - mixed signal</v>
      </c>
    </row>
    <row r="114" spans="1:9" x14ac:dyDescent="0.3">
      <c r="A114" t="str">
        <f>INDEX(tblModelPromotion[promotion_name],MATCH("Clearance Aug2023 - 18% Off",tblModelPromotion[promotion_name],0))</f>
        <v>Clearance Aug2023 - 18% Off</v>
      </c>
      <c r="B114" t="str">
        <f>INDEX(tblModelPromotion[promotion_type],MATCH(A114,tblModelPromotion[promotion_name],0))</f>
        <v>Clearance</v>
      </c>
      <c r="C114" s="13">
        <f>INDEX(tblModelPromotion[discount_pct],MATCH(A114,tblModelPromotion[promotion_name],0))/100</f>
        <v>0.18</v>
      </c>
      <c r="D114" s="12">
        <f>INDEX(tblModelPromotion[revenue],MATCH(A114,tblModelPromotion[promotion_name],0))</f>
        <v>35768050</v>
      </c>
      <c r="E114" s="13">
        <f>INDEX(tblModelPromotion[margin_pct],MATCH(A114,tblModelPromotion[promotion_name],0))</f>
        <v>6.08E-2</v>
      </c>
      <c r="F114" s="13">
        <f>INDEX(tblModelPromotion[baseline_margin_pct],MATCH(A114,tblModelPromotion[promotion_name],0))</f>
        <v>0.22259999999999999</v>
      </c>
      <c r="G114" s="13">
        <f t="shared" si="6"/>
        <v>-0.1618</v>
      </c>
      <c r="H114" s="13">
        <f>INDEX(tblModelPromotion[aov_lift_pct],MATCH(A114,tblModelPromotion[promotion_name],0))</f>
        <v>-3.6200000000000003E-2</v>
      </c>
      <c r="I114" t="str">
        <f t="shared" si="7"/>
        <v>Review - mixed signal</v>
      </c>
    </row>
    <row r="115" spans="1:9" x14ac:dyDescent="0.3">
      <c r="A115" t="str">
        <f>INDEX(tblModelPromotion[promotion_name],MATCH("Clearance Feb2024 - 18% Off",tblModelPromotion[promotion_name],0))</f>
        <v>Clearance Feb2024 - 18% Off</v>
      </c>
      <c r="B115" t="str">
        <f>INDEX(tblModelPromotion[promotion_type],MATCH(A115,tblModelPromotion[promotion_name],0))</f>
        <v>Clearance</v>
      </c>
      <c r="C115" s="13">
        <f>INDEX(tblModelPromotion[discount_pct],MATCH(A115,tblModelPromotion[promotion_name],0))/100</f>
        <v>0.18</v>
      </c>
      <c r="D115" s="12">
        <f>INDEX(tblModelPromotion[revenue],MATCH(A115,tblModelPromotion[promotion_name],0))</f>
        <v>47553853</v>
      </c>
      <c r="E115" s="13">
        <f>INDEX(tblModelPromotion[margin_pct],MATCH(A115,tblModelPromotion[promotion_name],0))</f>
        <v>4.6100000000000002E-2</v>
      </c>
      <c r="F115" s="13">
        <f>INDEX(tblModelPromotion[baseline_margin_pct],MATCH(A115,tblModelPromotion[promotion_name],0))</f>
        <v>0.22259999999999999</v>
      </c>
      <c r="G115" s="13">
        <f t="shared" si="6"/>
        <v>-0.17649999999999999</v>
      </c>
      <c r="H115" s="13">
        <f>INDEX(tblModelPromotion[aov_lift_pct],MATCH(A115,tblModelPromotion[promotion_name],0))</f>
        <v>-6.6E-3</v>
      </c>
      <c r="I115" t="str">
        <f t="shared" si="7"/>
        <v>Review - mixed signal</v>
      </c>
    </row>
    <row r="116" spans="1:9" x14ac:dyDescent="0.3">
      <c r="A116" t="str">
        <f>INDEX(tblModelPromotion[promotion_name],MATCH("Festive Aug2024 - 18% Off",tblModelPromotion[promotion_name],0))</f>
        <v>Festive Aug2024 - 18% Off</v>
      </c>
      <c r="B116" t="str">
        <f>INDEX(tblModelPromotion[promotion_type],MATCH(A116,tblModelPromotion[promotion_name],0))</f>
        <v>Festive</v>
      </c>
      <c r="C116" s="13">
        <f>INDEX(tblModelPromotion[discount_pct],MATCH(A116,tblModelPromotion[promotion_name],0))/100</f>
        <v>0.18</v>
      </c>
      <c r="D116" s="12">
        <f>INDEX(tblModelPromotion[revenue],MATCH(A116,tblModelPromotion[promotion_name],0))</f>
        <v>33882522</v>
      </c>
      <c r="E116" s="13">
        <f>INDEX(tblModelPromotion[margin_pct],MATCH(A116,tblModelPromotion[promotion_name],0))</f>
        <v>5.5199999999999999E-2</v>
      </c>
      <c r="F116" s="13">
        <f>INDEX(tblModelPromotion[baseline_margin_pct],MATCH(A116,tblModelPromotion[promotion_name],0))</f>
        <v>0.22259999999999999</v>
      </c>
      <c r="G116" s="13">
        <f t="shared" si="6"/>
        <v>-0.16739999999999999</v>
      </c>
      <c r="H116" s="13">
        <f>INDEX(tblModelPromotion[aov_lift_pct],MATCH(A116,tblModelPromotion[promotion_name],0))</f>
        <v>-0.1376</v>
      </c>
      <c r="I116" t="str">
        <f t="shared" si="7"/>
        <v>Review - mixed signal</v>
      </c>
    </row>
    <row r="117" spans="1:9" x14ac:dyDescent="0.3">
      <c r="A117" t="str">
        <f>INDEX(tblModelPromotion[promotion_name],MATCH("Seasonal Jul2021 - 18% Off",tblModelPromotion[promotion_name],0))</f>
        <v>Seasonal Jul2021 - 18% Off</v>
      </c>
      <c r="B117" t="str">
        <f>INDEX(tblModelPromotion[promotion_type],MATCH(A117,tblModelPromotion[promotion_name],0))</f>
        <v>Seasonal</v>
      </c>
      <c r="C117" s="13">
        <f>INDEX(tblModelPromotion[discount_pct],MATCH(A117,tblModelPromotion[promotion_name],0))/100</f>
        <v>0.18</v>
      </c>
      <c r="D117" s="12">
        <f>INDEX(tblModelPromotion[revenue],MATCH(A117,tblModelPromotion[promotion_name],0))</f>
        <v>16907198</v>
      </c>
      <c r="E117" s="13">
        <f>INDEX(tblModelPromotion[margin_pct],MATCH(A117,tblModelPromotion[promotion_name],0))</f>
        <v>5.3600000000000002E-2</v>
      </c>
      <c r="F117" s="13">
        <f>INDEX(tblModelPromotion[baseline_margin_pct],MATCH(A117,tblModelPromotion[promotion_name],0))</f>
        <v>0.22259999999999999</v>
      </c>
      <c r="G117" s="13">
        <f t="shared" si="6"/>
        <v>-0.16899999999999998</v>
      </c>
      <c r="H117" s="13">
        <f>INDEX(tblModelPromotion[aov_lift_pct],MATCH(A117,tblModelPromotion[promotion_name],0))</f>
        <v>9.2999999999999992E-3</v>
      </c>
      <c r="I117" t="str">
        <f t="shared" si="7"/>
        <v>Review - mixed signal</v>
      </c>
    </row>
    <row r="118" spans="1:9" x14ac:dyDescent="0.3">
      <c r="A118" t="str">
        <f>INDEX(tblModelPromotion[promotion_name],MATCH("Loyalty Aug2024 - 18% Off",tblModelPromotion[promotion_name],0))</f>
        <v>Loyalty Aug2024 - 18% Off</v>
      </c>
      <c r="B118" t="str">
        <f>INDEX(tblModelPromotion[promotion_type],MATCH(A118,tblModelPromotion[promotion_name],0))</f>
        <v>Loyalty</v>
      </c>
      <c r="C118" s="13">
        <f>INDEX(tblModelPromotion[discount_pct],MATCH(A118,tblModelPromotion[promotion_name],0))/100</f>
        <v>0.18</v>
      </c>
      <c r="D118" s="12">
        <f>INDEX(tblModelPromotion[revenue],MATCH(A118,tblModelPromotion[promotion_name],0))</f>
        <v>35593736</v>
      </c>
      <c r="E118" s="13">
        <f>INDEX(tblModelPromotion[margin_pct],MATCH(A118,tblModelPromotion[promotion_name],0))</f>
        <v>5.3600000000000002E-2</v>
      </c>
      <c r="F118" s="13">
        <f>INDEX(tblModelPromotion[baseline_margin_pct],MATCH(A118,tblModelPromotion[promotion_name],0))</f>
        <v>0.22259999999999999</v>
      </c>
      <c r="G118" s="13">
        <f t="shared" si="6"/>
        <v>-0.16899999999999998</v>
      </c>
      <c r="H118" s="13">
        <f>INDEX(tblModelPromotion[aov_lift_pct],MATCH(A118,tblModelPromotion[promotion_name],0))</f>
        <v>-6.9900000000000004E-2</v>
      </c>
      <c r="I118" t="str">
        <f t="shared" si="7"/>
        <v>Review - mixed signal</v>
      </c>
    </row>
    <row r="119" spans="1:9" x14ac:dyDescent="0.3">
      <c r="A119" t="str">
        <f>INDEX(tblModelPromotion[promotion_name],MATCH("Clearance Nov2024 - 18% Off",tblModelPromotion[promotion_name],0))</f>
        <v>Clearance Nov2024 - 18% Off</v>
      </c>
      <c r="B119" t="str">
        <f>INDEX(tblModelPromotion[promotion_type],MATCH(A119,tblModelPromotion[promotion_name],0))</f>
        <v>Clearance</v>
      </c>
      <c r="C119" s="13">
        <f>INDEX(tblModelPromotion[discount_pct],MATCH(A119,tblModelPromotion[promotion_name],0))/100</f>
        <v>0.18</v>
      </c>
      <c r="D119" s="12">
        <f>INDEX(tblModelPromotion[revenue],MATCH(A119,tblModelPromotion[promotion_name],0))</f>
        <v>50952505</v>
      </c>
      <c r="E119" s="13">
        <f>INDEX(tblModelPromotion[margin_pct],MATCH(A119,tblModelPromotion[promotion_name],0))</f>
        <v>5.33E-2</v>
      </c>
      <c r="F119" s="13">
        <f>INDEX(tblModelPromotion[baseline_margin_pct],MATCH(A119,tblModelPromotion[promotion_name],0))</f>
        <v>0.22259999999999999</v>
      </c>
      <c r="G119" s="13">
        <f t="shared" si="6"/>
        <v>-0.16930000000000001</v>
      </c>
      <c r="H119" s="13">
        <f>INDEX(tblModelPromotion[aov_lift_pct],MATCH(A119,tblModelPromotion[promotion_name],0))</f>
        <v>-6.3500000000000001E-2</v>
      </c>
      <c r="I119" t="str">
        <f t="shared" si="7"/>
        <v>Review - mixed signal</v>
      </c>
    </row>
    <row r="120" spans="1:9" x14ac:dyDescent="0.3">
      <c r="A120" t="str">
        <f>INDEX(tblModelPromotion[promotion_name],MATCH("Seasonal Feb2024 - 18% Off",tblModelPromotion[promotion_name],0))</f>
        <v>Seasonal Feb2024 - 18% Off</v>
      </c>
      <c r="B120" t="str">
        <f>INDEX(tblModelPromotion[promotion_type],MATCH(A120,tblModelPromotion[promotion_name],0))</f>
        <v>Seasonal</v>
      </c>
      <c r="C120" s="13">
        <f>INDEX(tblModelPromotion[discount_pct],MATCH(A120,tblModelPromotion[promotion_name],0))/100</f>
        <v>0.18</v>
      </c>
      <c r="D120" s="12">
        <f>INDEX(tblModelPromotion[revenue],MATCH(A120,tblModelPromotion[promotion_name],0))</f>
        <v>27063298</v>
      </c>
      <c r="E120" s="13">
        <f>INDEX(tblModelPromotion[margin_pct],MATCH(A120,tblModelPromotion[promotion_name],0))</f>
        <v>5.3199999999999997E-2</v>
      </c>
      <c r="F120" s="13">
        <f>INDEX(tblModelPromotion[baseline_margin_pct],MATCH(A120,tblModelPromotion[promotion_name],0))</f>
        <v>0.22259999999999999</v>
      </c>
      <c r="G120" s="13">
        <f t="shared" si="6"/>
        <v>-0.1694</v>
      </c>
      <c r="H120" s="13">
        <f>INDEX(tblModelPromotion[aov_lift_pct],MATCH(A120,tblModelPromotion[promotion_name],0))</f>
        <v>-5.3699999999999998E-2</v>
      </c>
      <c r="I120" t="str">
        <f t="shared" si="7"/>
        <v>Review - mixed signal</v>
      </c>
    </row>
    <row r="121" spans="1:9" x14ac:dyDescent="0.3">
      <c r="A121" t="str">
        <f>INDEX(tblModelPromotion[promotion_name],MATCH("Clearance Sep2021 - 18% Off",tblModelPromotion[promotion_name],0))</f>
        <v>Clearance Sep2021 - 18% Off</v>
      </c>
      <c r="B121" t="str">
        <f>INDEX(tblModelPromotion[promotion_type],MATCH(A121,tblModelPromotion[promotion_name],0))</f>
        <v>Clearance</v>
      </c>
      <c r="C121" s="13">
        <f>INDEX(tblModelPromotion[discount_pct],MATCH(A121,tblModelPromotion[promotion_name],0))/100</f>
        <v>0.18</v>
      </c>
      <c r="D121" s="12">
        <f>INDEX(tblModelPromotion[revenue],MATCH(A121,tblModelPromotion[promotion_name],0))</f>
        <v>45507930</v>
      </c>
      <c r="E121" s="13">
        <f>INDEX(tblModelPromotion[margin_pct],MATCH(A121,tblModelPromotion[promotion_name],0))</f>
        <v>5.3199999999999997E-2</v>
      </c>
      <c r="F121" s="13">
        <f>INDEX(tblModelPromotion[baseline_margin_pct],MATCH(A121,tblModelPromotion[promotion_name],0))</f>
        <v>0.22259999999999999</v>
      </c>
      <c r="G121" s="13">
        <f t="shared" si="6"/>
        <v>-0.1694</v>
      </c>
      <c r="H121" s="13">
        <f>INDEX(tblModelPromotion[aov_lift_pct],MATCH(A121,tblModelPromotion[promotion_name],0))</f>
        <v>-4.0000000000000001E-3</v>
      </c>
      <c r="I121" t="str">
        <f t="shared" si="7"/>
        <v>Review - mixed signal</v>
      </c>
    </row>
    <row r="122" spans="1:9" x14ac:dyDescent="0.3">
      <c r="A122" t="str">
        <f>INDEX(tblModelPromotion[promotion_name],MATCH("Loyalty Jul2024 - 18% Off",tblModelPromotion[promotion_name],0))</f>
        <v>Loyalty Jul2024 - 18% Off</v>
      </c>
      <c r="B122" t="str">
        <f>INDEX(tblModelPromotion[promotion_type],MATCH(A122,tblModelPromotion[promotion_name],0))</f>
        <v>Loyalty</v>
      </c>
      <c r="C122" s="13">
        <f>INDEX(tblModelPromotion[discount_pct],MATCH(A122,tblModelPromotion[promotion_name],0))/100</f>
        <v>0.18</v>
      </c>
      <c r="D122" s="12">
        <f>INDEX(tblModelPromotion[revenue],MATCH(A122,tblModelPromotion[promotion_name],0))</f>
        <v>63827699</v>
      </c>
      <c r="E122" s="13">
        <f>INDEX(tblModelPromotion[margin_pct],MATCH(A122,tblModelPromotion[promotion_name],0))</f>
        <v>5.2900000000000003E-2</v>
      </c>
      <c r="F122" s="13">
        <f>INDEX(tblModelPromotion[baseline_margin_pct],MATCH(A122,tblModelPromotion[promotion_name],0))</f>
        <v>0.22259999999999999</v>
      </c>
      <c r="G122" s="13">
        <f t="shared" si="6"/>
        <v>-0.16969999999999999</v>
      </c>
      <c r="H122" s="13">
        <f>INDEX(tblModelPromotion[aov_lift_pct],MATCH(A122,tblModelPromotion[promotion_name],0))</f>
        <v>-8.4599999999999995E-2</v>
      </c>
      <c r="I122" t="str">
        <f t="shared" si="7"/>
        <v>Review - mixed signal</v>
      </c>
    </row>
    <row r="123" spans="1:9" x14ac:dyDescent="0.3">
      <c r="A123" t="str">
        <f>INDEX(tblModelPromotion[promotion_name],MATCH("Festive Feb2024 - 18% Off",tblModelPromotion[promotion_name],0))</f>
        <v>Festive Feb2024 - 18% Off</v>
      </c>
      <c r="B123" t="str">
        <f>INDEX(tblModelPromotion[promotion_type],MATCH(A123,tblModelPromotion[promotion_name],0))</f>
        <v>Festive</v>
      </c>
      <c r="C123" s="13">
        <f>INDEX(tblModelPromotion[discount_pct],MATCH(A123,tblModelPromotion[promotion_name],0))/100</f>
        <v>0.18</v>
      </c>
      <c r="D123" s="12">
        <f>INDEX(tblModelPromotion[revenue],MATCH(A123,tblModelPromotion[promotion_name],0))</f>
        <v>28680548</v>
      </c>
      <c r="E123" s="13">
        <f>INDEX(tblModelPromotion[margin_pct],MATCH(A123,tblModelPromotion[promotion_name],0))</f>
        <v>5.28E-2</v>
      </c>
      <c r="F123" s="13">
        <f>INDEX(tblModelPromotion[baseline_margin_pct],MATCH(A123,tblModelPromotion[promotion_name],0))</f>
        <v>0.22259999999999999</v>
      </c>
      <c r="G123" s="13">
        <f t="shared" si="6"/>
        <v>-0.16980000000000001</v>
      </c>
      <c r="H123" s="13">
        <f>INDEX(tblModelPromotion[aov_lift_pct],MATCH(A123,tblModelPromotion[promotion_name],0))</f>
        <v>-6.6E-3</v>
      </c>
      <c r="I123" t="str">
        <f t="shared" si="7"/>
        <v>Review - mixed signal</v>
      </c>
    </row>
    <row r="124" spans="1:9" x14ac:dyDescent="0.3">
      <c r="A124" t="str">
        <f>INDEX(tblModelPromotion[promotion_name],MATCH("Seasonal Feb2023 - 18% Off",tblModelPromotion[promotion_name],0))</f>
        <v>Seasonal Feb2023 - 18% Off</v>
      </c>
      <c r="B124" t="str">
        <f>INDEX(tblModelPromotion[promotion_type],MATCH(A124,tblModelPromotion[promotion_name],0))</f>
        <v>Seasonal</v>
      </c>
      <c r="C124" s="13">
        <f>INDEX(tblModelPromotion[discount_pct],MATCH(A124,tblModelPromotion[promotion_name],0))/100</f>
        <v>0.18</v>
      </c>
      <c r="D124" s="12">
        <f>INDEX(tblModelPromotion[revenue],MATCH(A124,tblModelPromotion[promotion_name],0))</f>
        <v>34648883</v>
      </c>
      <c r="E124" s="13">
        <f>INDEX(tblModelPromotion[margin_pct],MATCH(A124,tblModelPromotion[promotion_name],0))</f>
        <v>5.1999999999999998E-2</v>
      </c>
      <c r="F124" s="13">
        <f>INDEX(tblModelPromotion[baseline_margin_pct],MATCH(A124,tblModelPromotion[promotion_name],0))</f>
        <v>0.22259999999999999</v>
      </c>
      <c r="G124" s="13">
        <f t="shared" si="6"/>
        <v>-0.1706</v>
      </c>
      <c r="H124" s="13">
        <f>INDEX(tblModelPromotion[aov_lift_pct],MATCH(A124,tblModelPromotion[promotion_name],0))</f>
        <v>2.8000000000000001E-2</v>
      </c>
      <c r="I124" t="str">
        <f t="shared" si="7"/>
        <v>Review - mixed signal</v>
      </c>
    </row>
    <row r="125" spans="1:9" x14ac:dyDescent="0.3">
      <c r="A125" t="str">
        <f>INDEX(tblModelPromotion[promotion_name],MATCH("Clearance Jul2021 - 18% Off",tblModelPromotion[promotion_name],0))</f>
        <v>Clearance Jul2021 - 18% Off</v>
      </c>
      <c r="B125" t="str">
        <f>INDEX(tblModelPromotion[promotion_type],MATCH(A125,tblModelPromotion[promotion_name],0))</f>
        <v>Clearance</v>
      </c>
      <c r="C125" s="13">
        <f>INDEX(tblModelPromotion[discount_pct],MATCH(A125,tblModelPromotion[promotion_name],0))/100</f>
        <v>0.18</v>
      </c>
      <c r="D125" s="12">
        <f>INDEX(tblModelPromotion[revenue],MATCH(A125,tblModelPromotion[promotion_name],0))</f>
        <v>13029386</v>
      </c>
      <c r="E125" s="13">
        <f>INDEX(tblModelPromotion[margin_pct],MATCH(A125,tblModelPromotion[promotion_name],0))</f>
        <v>5.1900000000000002E-2</v>
      </c>
      <c r="F125" s="13">
        <f>INDEX(tblModelPromotion[baseline_margin_pct],MATCH(A125,tblModelPromotion[promotion_name],0))</f>
        <v>0.22259999999999999</v>
      </c>
      <c r="G125" s="13">
        <f t="shared" si="6"/>
        <v>-0.17069999999999999</v>
      </c>
      <c r="H125" s="13">
        <f>INDEX(tblModelPromotion[aov_lift_pct],MATCH(A125,tblModelPromotion[promotion_name],0))</f>
        <v>-0.12230000000000001</v>
      </c>
      <c r="I125" t="str">
        <f t="shared" si="7"/>
        <v>Review - mixed signal</v>
      </c>
    </row>
    <row r="126" spans="1:9" x14ac:dyDescent="0.3">
      <c r="A126" t="str">
        <f>INDEX(tblModelPromotion[promotion_name],MATCH("Festive Apr2024 - 18% Off",tblModelPromotion[promotion_name],0))</f>
        <v>Festive Apr2024 - 18% Off</v>
      </c>
      <c r="B126" t="str">
        <f>INDEX(tblModelPromotion[promotion_type],MATCH(A126,tblModelPromotion[promotion_name],0))</f>
        <v>Festive</v>
      </c>
      <c r="C126" s="13">
        <f>INDEX(tblModelPromotion[discount_pct],MATCH(A126,tblModelPromotion[promotion_name],0))/100</f>
        <v>0.18</v>
      </c>
      <c r="D126" s="12">
        <f>INDEX(tblModelPromotion[revenue],MATCH(A126,tblModelPromotion[promotion_name],0))</f>
        <v>21485137</v>
      </c>
      <c r="E126" s="13">
        <f>INDEX(tblModelPromotion[margin_pct],MATCH(A126,tblModelPromotion[promotion_name],0))</f>
        <v>5.1799999999999999E-2</v>
      </c>
      <c r="F126" s="13">
        <f>INDEX(tblModelPromotion[baseline_margin_pct],MATCH(A126,tblModelPromotion[promotion_name],0))</f>
        <v>0.22259999999999999</v>
      </c>
      <c r="G126" s="13">
        <f t="shared" si="6"/>
        <v>-0.17080000000000001</v>
      </c>
      <c r="H126" s="13">
        <f>INDEX(tblModelPromotion[aov_lift_pct],MATCH(A126,tblModelPromotion[promotion_name],0))</f>
        <v>-7.7999999999999996E-3</v>
      </c>
      <c r="I126" t="str">
        <f t="shared" si="7"/>
        <v>Review - mixed signal</v>
      </c>
    </row>
    <row r="127" spans="1:9" x14ac:dyDescent="0.3">
      <c r="A127" t="str">
        <f>INDEX(tblModelPromotion[promotion_name],MATCH("Loyalty Oct2023 - 18% Off",tblModelPromotion[promotion_name],0))</f>
        <v>Loyalty Oct2023 - 18% Off</v>
      </c>
      <c r="B127" t="str">
        <f>INDEX(tblModelPromotion[promotion_type],MATCH(A127,tblModelPromotion[promotion_name],0))</f>
        <v>Loyalty</v>
      </c>
      <c r="C127" s="13">
        <f>INDEX(tblModelPromotion[discount_pct],MATCH(A127,tblModelPromotion[promotion_name],0))/100</f>
        <v>0.18</v>
      </c>
      <c r="D127" s="12">
        <f>INDEX(tblModelPromotion[revenue],MATCH(A127,tblModelPromotion[promotion_name],0))</f>
        <v>51263971</v>
      </c>
      <c r="E127" s="13">
        <f>INDEX(tblModelPromotion[margin_pct],MATCH(A127,tblModelPromotion[promotion_name],0))</f>
        <v>5.1700000000000003E-2</v>
      </c>
      <c r="F127" s="13">
        <f>INDEX(tblModelPromotion[baseline_margin_pct],MATCH(A127,tblModelPromotion[promotion_name],0))</f>
        <v>0.22259999999999999</v>
      </c>
      <c r="G127" s="13">
        <f t="shared" si="6"/>
        <v>-0.1709</v>
      </c>
      <c r="H127" s="13">
        <f>INDEX(tblModelPromotion[aov_lift_pct],MATCH(A127,tblModelPromotion[promotion_name],0))</f>
        <v>-3.73E-2</v>
      </c>
      <c r="I127" t="str">
        <f t="shared" si="7"/>
        <v>Review - mixed signal</v>
      </c>
    </row>
    <row r="128" spans="1:9" x14ac:dyDescent="0.3">
      <c r="A128" t="str">
        <f>INDEX(tblModelPromotion[promotion_name],MATCH("Festive Sep2023 - 18% Off",tblModelPromotion[promotion_name],0))</f>
        <v>Festive Sep2023 - 18% Off</v>
      </c>
      <c r="B128" t="str">
        <f>INDEX(tblModelPromotion[promotion_type],MATCH(A128,tblModelPromotion[promotion_name],0))</f>
        <v>Festive</v>
      </c>
      <c r="C128" s="13">
        <f>INDEX(tblModelPromotion[discount_pct],MATCH(A128,tblModelPromotion[promotion_name],0))/100</f>
        <v>0.18</v>
      </c>
      <c r="D128" s="12">
        <f>INDEX(tblModelPromotion[revenue],MATCH(A128,tblModelPromotion[promotion_name],0))</f>
        <v>85318926</v>
      </c>
      <c r="E128" s="13">
        <f>INDEX(tblModelPromotion[margin_pct],MATCH(A128,tblModelPromotion[promotion_name],0))</f>
        <v>5.1299999999999998E-2</v>
      </c>
      <c r="F128" s="13">
        <f>INDEX(tblModelPromotion[baseline_margin_pct],MATCH(A128,tblModelPromotion[promotion_name],0))</f>
        <v>0.22259999999999999</v>
      </c>
      <c r="G128" s="13">
        <f t="shared" si="6"/>
        <v>-0.17130000000000001</v>
      </c>
      <c r="H128" s="13">
        <f>INDEX(tblModelPromotion[aov_lift_pct],MATCH(A128,tblModelPromotion[promotion_name],0))</f>
        <v>-6.4000000000000003E-3</v>
      </c>
      <c r="I128" t="str">
        <f t="shared" si="7"/>
        <v>Review - mixed signal</v>
      </c>
    </row>
    <row r="129" spans="1:9" x14ac:dyDescent="0.3">
      <c r="A129" t="str">
        <f>INDEX(tblModelPromotion[promotion_name],MATCH("Festive Apr2023 - 18% Off",tblModelPromotion[promotion_name],0))</f>
        <v>Festive Apr2023 - 18% Off</v>
      </c>
      <c r="B129" t="str">
        <f>INDEX(tblModelPromotion[promotion_type],MATCH(A129,tblModelPromotion[promotion_name],0))</f>
        <v>Festive</v>
      </c>
      <c r="C129" s="13">
        <f>INDEX(tblModelPromotion[discount_pct],MATCH(A129,tblModelPromotion[promotion_name],0))/100</f>
        <v>0.18</v>
      </c>
      <c r="D129" s="12">
        <f>INDEX(tblModelPromotion[revenue],MATCH(A129,tblModelPromotion[promotion_name],0))</f>
        <v>67545915</v>
      </c>
      <c r="E129" s="13">
        <f>INDEX(tblModelPromotion[margin_pct],MATCH(A129,tblModelPromotion[promotion_name],0))</f>
        <v>5.0799999999999998E-2</v>
      </c>
      <c r="F129" s="13">
        <f>INDEX(tblModelPromotion[baseline_margin_pct],MATCH(A129,tblModelPromotion[promotion_name],0))</f>
        <v>0.22259999999999999</v>
      </c>
      <c r="G129" s="13">
        <f t="shared" si="6"/>
        <v>-0.17180000000000001</v>
      </c>
      <c r="H129" s="13">
        <f>INDEX(tblModelPromotion[aov_lift_pct],MATCH(A129,tblModelPromotion[promotion_name],0))</f>
        <v>-5.8900000000000001E-2</v>
      </c>
      <c r="I129" t="str">
        <f t="shared" si="7"/>
        <v>Review - mixed signal</v>
      </c>
    </row>
    <row r="130" spans="1:9" x14ac:dyDescent="0.3">
      <c r="A130" t="str">
        <f>INDEX(tblModelPromotion[promotion_name],MATCH("Clearance Feb2024 - 18% Off",tblModelPromotion[promotion_name],0))</f>
        <v>Clearance Feb2024 - 18% Off</v>
      </c>
      <c r="B130" t="str">
        <f>INDEX(tblModelPromotion[promotion_type],MATCH(A130,tblModelPromotion[promotion_name],0))</f>
        <v>Clearance</v>
      </c>
      <c r="C130" s="13">
        <f>INDEX(tblModelPromotion[discount_pct],MATCH(A130,tblModelPromotion[promotion_name],0))/100</f>
        <v>0.18</v>
      </c>
      <c r="D130" s="12">
        <f>INDEX(tblModelPromotion[revenue],MATCH(A130,tblModelPromotion[promotion_name],0))</f>
        <v>47553853</v>
      </c>
      <c r="E130" s="13">
        <f>INDEX(tblModelPromotion[margin_pct],MATCH(A130,tblModelPromotion[promotion_name],0))</f>
        <v>4.6100000000000002E-2</v>
      </c>
      <c r="F130" s="13">
        <f>INDEX(tblModelPromotion[baseline_margin_pct],MATCH(A130,tblModelPromotion[promotion_name],0))</f>
        <v>0.22259999999999999</v>
      </c>
      <c r="G130" s="13">
        <f t="shared" si="6"/>
        <v>-0.17649999999999999</v>
      </c>
      <c r="H130" s="13">
        <f>INDEX(tblModelPromotion[aov_lift_pct],MATCH(A130,tblModelPromotion[promotion_name],0))</f>
        <v>-6.6E-3</v>
      </c>
      <c r="I130" t="str">
        <f t="shared" si="7"/>
        <v>Review - mixed signal</v>
      </c>
    </row>
    <row r="131" spans="1:9" x14ac:dyDescent="0.3">
      <c r="A131" t="str">
        <f>INDEX(tblModelPromotion[promotion_name],MATCH("Clearance Jul2023 - 18% Off",tblModelPromotion[promotion_name],0))</f>
        <v>Clearance Jul2023 - 18% Off</v>
      </c>
      <c r="B131" t="str">
        <f>INDEX(tblModelPromotion[promotion_type],MATCH(A131,tblModelPromotion[promotion_name],0))</f>
        <v>Clearance</v>
      </c>
      <c r="C131" s="13">
        <f>INDEX(tblModelPromotion[discount_pct],MATCH(A131,tblModelPromotion[promotion_name],0))/100</f>
        <v>0.18</v>
      </c>
      <c r="D131" s="12">
        <f>INDEX(tblModelPromotion[revenue],MATCH(A131,tblModelPromotion[promotion_name],0))</f>
        <v>76086459</v>
      </c>
      <c r="E131" s="13">
        <f>INDEX(tblModelPromotion[margin_pct],MATCH(A131,tblModelPromotion[promotion_name],0))</f>
        <v>4.8800000000000003E-2</v>
      </c>
      <c r="F131" s="13">
        <f>INDEX(tblModelPromotion[baseline_margin_pct],MATCH(A131,tblModelPromotion[promotion_name],0))</f>
        <v>0.22259999999999999</v>
      </c>
      <c r="G131" s="13">
        <f t="shared" si="6"/>
        <v>-0.17379999999999998</v>
      </c>
      <c r="H131" s="13">
        <f>INDEX(tblModelPromotion[aov_lift_pct],MATCH(A131,tblModelPromotion[promotion_name],0))</f>
        <v>-1.9E-2</v>
      </c>
      <c r="I131" t="str">
        <f t="shared" si="7"/>
        <v>Review - mixed signal</v>
      </c>
    </row>
    <row r="132" spans="1:9" x14ac:dyDescent="0.3">
      <c r="A132" t="str">
        <f>INDEX(tblModelPromotion[promotion_name],MATCH("Seasonal Jan2021 - 18% Off",tblModelPromotion[promotion_name],0))</f>
        <v>Seasonal Jan2021 - 18% Off</v>
      </c>
      <c r="B132" t="str">
        <f>INDEX(tblModelPromotion[promotion_type],MATCH(A132,tblModelPromotion[promotion_name],0))</f>
        <v>Seasonal</v>
      </c>
      <c r="C132" s="13">
        <f>INDEX(tblModelPromotion[discount_pct],MATCH(A132,tblModelPromotion[promotion_name],0))/100</f>
        <v>0.18</v>
      </c>
      <c r="D132" s="12">
        <f>INDEX(tblModelPromotion[revenue],MATCH(A132,tblModelPromotion[promotion_name],0))</f>
        <v>57587764</v>
      </c>
      <c r="E132" s="13">
        <f>INDEX(tblModelPromotion[margin_pct],MATCH(A132,tblModelPromotion[promotion_name],0))</f>
        <v>4.7600000000000003E-2</v>
      </c>
      <c r="F132" s="13">
        <f>INDEX(tblModelPromotion[baseline_margin_pct],MATCH(A132,tblModelPromotion[promotion_name],0))</f>
        <v>0.22259999999999999</v>
      </c>
      <c r="G132" s="13">
        <f t="shared" si="6"/>
        <v>-0.17499999999999999</v>
      </c>
      <c r="H132" s="13">
        <f>INDEX(tblModelPromotion[aov_lift_pct],MATCH(A132,tblModelPromotion[promotion_name],0))</f>
        <v>-1.89E-2</v>
      </c>
      <c r="I132" t="str">
        <f t="shared" si="7"/>
        <v>Review - mixed signal</v>
      </c>
    </row>
    <row r="133" spans="1:9" x14ac:dyDescent="0.3">
      <c r="A133" t="str">
        <f>INDEX(tblModelPromotion[promotion_name],MATCH("Loyalty Jul2023 - 18% Off",tblModelPromotion[promotion_name],0))</f>
        <v>Loyalty Jul2023 - 18% Off</v>
      </c>
      <c r="B133" t="str">
        <f>INDEX(tblModelPromotion[promotion_type],MATCH(A133,tblModelPromotion[promotion_name],0))</f>
        <v>Loyalty</v>
      </c>
      <c r="C133" s="13">
        <f>INDEX(tblModelPromotion[discount_pct],MATCH(A133,tblModelPromotion[promotion_name],0))/100</f>
        <v>0.18</v>
      </c>
      <c r="D133" s="12">
        <f>INDEX(tblModelPromotion[revenue],MATCH(A133,tblModelPromotion[promotion_name],0))</f>
        <v>75258075</v>
      </c>
      <c r="E133" s="13">
        <f>INDEX(tblModelPromotion[margin_pct],MATCH(A133,tblModelPromotion[promotion_name],0))</f>
        <v>4.6800000000000001E-2</v>
      </c>
      <c r="F133" s="13">
        <f>INDEX(tblModelPromotion[baseline_margin_pct],MATCH(A133,tblModelPromotion[promotion_name],0))</f>
        <v>0.22259999999999999</v>
      </c>
      <c r="G133" s="13">
        <f t="shared" ref="G133:G164" si="8">E133-F133</f>
        <v>-0.17579999999999998</v>
      </c>
      <c r="H133" s="13">
        <f>INDEX(tblModelPromotion[aov_lift_pct],MATCH(A133,tblModelPromotion[promotion_name],0))</f>
        <v>4.7000000000000002E-3</v>
      </c>
      <c r="I133" t="str">
        <f t="shared" ref="I133:I164" si="9">IF(AND(G133&gt;=$L$1,H133&gt;=$L$2),"Continue - efficient lift for margin cost",IF(AND(G133&lt;=$L$3,H133&lt;$L$2),"Discontinue - high margin cost, weak lift","Review - mixed signal"))</f>
        <v>Review - mixed signal</v>
      </c>
    </row>
    <row r="134" spans="1:9" x14ac:dyDescent="0.3">
      <c r="A134" t="str">
        <f>INDEX(tblModelPromotion[promotion_name],MATCH("Clearance Feb2024 - 18% Off",tblModelPromotion[promotion_name],0))</f>
        <v>Clearance Feb2024 - 18% Off</v>
      </c>
      <c r="B134" t="str">
        <f>INDEX(tblModelPromotion[promotion_type],MATCH(A134,tblModelPromotion[promotion_name],0))</f>
        <v>Clearance</v>
      </c>
      <c r="C134" s="13">
        <f>INDEX(tblModelPromotion[discount_pct],MATCH(A134,tblModelPromotion[promotion_name],0))/100</f>
        <v>0.18</v>
      </c>
      <c r="D134" s="12">
        <f>INDEX(tblModelPromotion[revenue],MATCH(A134,tblModelPromotion[promotion_name],0))</f>
        <v>47553853</v>
      </c>
      <c r="E134" s="13">
        <f>INDEX(tblModelPromotion[margin_pct],MATCH(A134,tblModelPromotion[promotion_name],0))</f>
        <v>4.6100000000000002E-2</v>
      </c>
      <c r="F134" s="13">
        <f>INDEX(tblModelPromotion[baseline_margin_pct],MATCH(A134,tblModelPromotion[promotion_name],0))</f>
        <v>0.22259999999999999</v>
      </c>
      <c r="G134" s="13">
        <f t="shared" si="8"/>
        <v>-0.17649999999999999</v>
      </c>
      <c r="H134" s="13">
        <f>INDEX(tblModelPromotion[aov_lift_pct],MATCH(A134,tblModelPromotion[promotion_name],0))</f>
        <v>-6.6E-3</v>
      </c>
      <c r="I134" t="str">
        <f t="shared" si="9"/>
        <v>Review - mixed signal</v>
      </c>
    </row>
    <row r="135" spans="1:9" x14ac:dyDescent="0.3">
      <c r="A135" t="str">
        <f>INDEX(tblModelPromotion[promotion_name],MATCH("Festive Feb2023 - 18% Off",tblModelPromotion[promotion_name],0))</f>
        <v>Festive Feb2023 - 18% Off</v>
      </c>
      <c r="B135" t="str">
        <f>INDEX(tblModelPromotion[promotion_type],MATCH(A135,tblModelPromotion[promotion_name],0))</f>
        <v>Festive</v>
      </c>
      <c r="C135" s="13">
        <f>INDEX(tblModelPromotion[discount_pct],MATCH(A135,tblModelPromotion[promotion_name],0))/100</f>
        <v>0.18</v>
      </c>
      <c r="D135" s="12">
        <f>INDEX(tblModelPromotion[revenue],MATCH(A135,tblModelPromotion[promotion_name],0))</f>
        <v>38472760</v>
      </c>
      <c r="E135" s="13">
        <f>INDEX(tblModelPromotion[margin_pct],MATCH(A135,tblModelPromotion[promotion_name],0))</f>
        <v>4.5999999999999999E-2</v>
      </c>
      <c r="F135" s="13">
        <f>INDEX(tblModelPromotion[baseline_margin_pct],MATCH(A135,tblModelPromotion[promotion_name],0))</f>
        <v>0.22259999999999999</v>
      </c>
      <c r="G135" s="13">
        <f t="shared" si="8"/>
        <v>-0.17659999999999998</v>
      </c>
      <c r="H135" s="13">
        <f>INDEX(tblModelPromotion[aov_lift_pct],MATCH(A135,tblModelPromotion[promotion_name],0))</f>
        <v>6.2E-2</v>
      </c>
      <c r="I135" t="str">
        <f t="shared" si="9"/>
        <v>Review - mixed signal</v>
      </c>
    </row>
    <row r="136" spans="1:9" x14ac:dyDescent="0.3">
      <c r="A136" t="str">
        <f>INDEX(tblModelPromotion[promotion_name],MATCH("Flash Sale Sep2023 - 18% Off",tblModelPromotion[promotion_name],0))</f>
        <v>Flash Sale Sep2023 - 18% Off</v>
      </c>
      <c r="B136" t="str">
        <f>INDEX(tblModelPromotion[promotion_type],MATCH(A136,tblModelPromotion[promotion_name],0))</f>
        <v>Flash Sale</v>
      </c>
      <c r="C136" s="13">
        <f>INDEX(tblModelPromotion[discount_pct],MATCH(A136,tblModelPromotion[promotion_name],0))/100</f>
        <v>0.18</v>
      </c>
      <c r="D136" s="12">
        <f>INDEX(tblModelPromotion[revenue],MATCH(A136,tblModelPromotion[promotion_name],0))</f>
        <v>34371302</v>
      </c>
      <c r="E136" s="13">
        <f>INDEX(tblModelPromotion[margin_pct],MATCH(A136,tblModelPromotion[promotion_name],0))</f>
        <v>4.4600000000000001E-2</v>
      </c>
      <c r="F136" s="13">
        <f>INDEX(tblModelPromotion[baseline_margin_pct],MATCH(A136,tblModelPromotion[promotion_name],0))</f>
        <v>0.22259999999999999</v>
      </c>
      <c r="G136" s="13">
        <f t="shared" si="8"/>
        <v>-0.17799999999999999</v>
      </c>
      <c r="H136" s="13">
        <f>INDEX(tblModelPromotion[aov_lift_pct],MATCH(A136,tblModelPromotion[promotion_name],0))</f>
        <v>-5.4699999999999999E-2</v>
      </c>
      <c r="I136" t="str">
        <f t="shared" si="9"/>
        <v>Review - mixed signal</v>
      </c>
    </row>
    <row r="137" spans="1:9" x14ac:dyDescent="0.3">
      <c r="A137" t="str">
        <f>INDEX(tblModelPromotion[promotion_name],MATCH("Flash Sale Feb2021 - 20% Off",tblModelPromotion[promotion_name],0))</f>
        <v>Flash Sale Feb2021 - 20% Off</v>
      </c>
      <c r="B137" t="str">
        <f>INDEX(tblModelPromotion[promotion_type],MATCH(A137,tblModelPromotion[promotion_name],0))</f>
        <v>Flash Sale</v>
      </c>
      <c r="C137" s="13">
        <f>INDEX(tblModelPromotion[discount_pct],MATCH(A137,tblModelPromotion[promotion_name],0))/100</f>
        <v>0.2</v>
      </c>
      <c r="D137" s="12">
        <f>INDEX(tblModelPromotion[revenue],MATCH(A137,tblModelPromotion[promotion_name],0))</f>
        <v>18690851</v>
      </c>
      <c r="E137" s="13">
        <f>INDEX(tblModelPromotion[margin_pct],MATCH(A137,tblModelPromotion[promotion_name],0))</f>
        <v>3.7699999999999997E-2</v>
      </c>
      <c r="F137" s="13">
        <f>INDEX(tblModelPromotion[baseline_margin_pct],MATCH(A137,tblModelPromotion[promotion_name],0))</f>
        <v>0.22259999999999999</v>
      </c>
      <c r="G137" s="13">
        <f t="shared" si="8"/>
        <v>-0.18490000000000001</v>
      </c>
      <c r="H137" s="13">
        <f>INDEX(tblModelPromotion[aov_lift_pct],MATCH(A137,tblModelPromotion[promotion_name],0))</f>
        <v>-0.14219999999999999</v>
      </c>
      <c r="I137" t="str">
        <f t="shared" si="9"/>
        <v>Review - mixed signal</v>
      </c>
    </row>
    <row r="138" spans="1:9" x14ac:dyDescent="0.3">
      <c r="A138" t="str">
        <f>INDEX(tblModelPromotion[promotion_name],MATCH("Flash Sale Apr2022 - 20% Off",tblModelPromotion[promotion_name],0))</f>
        <v>Flash Sale Apr2022 - 20% Off</v>
      </c>
      <c r="B138" t="str">
        <f>INDEX(tblModelPromotion[promotion_type],MATCH(A138,tblModelPromotion[promotion_name],0))</f>
        <v>Flash Sale</v>
      </c>
      <c r="C138" s="13">
        <f>INDEX(tblModelPromotion[discount_pct],MATCH(A138,tblModelPromotion[promotion_name],0))/100</f>
        <v>0.2</v>
      </c>
      <c r="D138" s="12">
        <f>INDEX(tblModelPromotion[revenue],MATCH(A138,tblModelPromotion[promotion_name],0))</f>
        <v>21766875</v>
      </c>
      <c r="E138" s="13">
        <f>INDEX(tblModelPromotion[margin_pct],MATCH(A138,tblModelPromotion[promotion_name],0))</f>
        <v>3.5799999999999998E-2</v>
      </c>
      <c r="F138" s="13">
        <f>INDEX(tblModelPromotion[baseline_margin_pct],MATCH(A138,tblModelPromotion[promotion_name],0))</f>
        <v>0.22259999999999999</v>
      </c>
      <c r="G138" s="13">
        <f t="shared" si="8"/>
        <v>-0.18679999999999999</v>
      </c>
      <c r="H138" s="13">
        <f>INDEX(tblModelPromotion[aov_lift_pct],MATCH(A138,tblModelPromotion[promotion_name],0))</f>
        <v>-0.13139999999999999</v>
      </c>
      <c r="I138" t="str">
        <f t="shared" si="9"/>
        <v>Review - mixed signal</v>
      </c>
    </row>
    <row r="139" spans="1:9" x14ac:dyDescent="0.3">
      <c r="A139" t="str">
        <f>INDEX(tblModelPromotion[promotion_name],MATCH("Flash Sale Oct2023 - 20% Off",tblModelPromotion[promotion_name],0))</f>
        <v>Flash Sale Oct2023 - 20% Off</v>
      </c>
      <c r="B139" t="str">
        <f>INDEX(tblModelPromotion[promotion_type],MATCH(A139,tblModelPromotion[promotion_name],0))</f>
        <v>Flash Sale</v>
      </c>
      <c r="C139" s="13">
        <f>INDEX(tblModelPromotion[discount_pct],MATCH(A139,tblModelPromotion[promotion_name],0))/100</f>
        <v>0.2</v>
      </c>
      <c r="D139" s="12">
        <f>INDEX(tblModelPromotion[revenue],MATCH(A139,tblModelPromotion[promotion_name],0))</f>
        <v>49230744</v>
      </c>
      <c r="E139" s="13">
        <f>INDEX(tblModelPromotion[margin_pct],MATCH(A139,tblModelPromotion[promotion_name],0))</f>
        <v>3.1899999999999998E-2</v>
      </c>
      <c r="F139" s="13">
        <f>INDEX(tblModelPromotion[baseline_margin_pct],MATCH(A139,tblModelPromotion[promotion_name],0))</f>
        <v>0.22259999999999999</v>
      </c>
      <c r="G139" s="13">
        <f t="shared" si="8"/>
        <v>-0.19069999999999998</v>
      </c>
      <c r="H139" s="13">
        <f>INDEX(tblModelPromotion[aov_lift_pct],MATCH(A139,tblModelPromotion[promotion_name],0))</f>
        <v>-6.4699999999999994E-2</v>
      </c>
      <c r="I139" t="str">
        <f t="shared" si="9"/>
        <v>Review - mixed signal</v>
      </c>
    </row>
    <row r="140" spans="1:9" x14ac:dyDescent="0.3">
      <c r="A140" t="str">
        <f>INDEX(tblModelPromotion[promotion_name],MATCH("Festive Apr2021 - 20% Off",tblModelPromotion[promotion_name],0))</f>
        <v>Festive Apr2021 - 20% Off</v>
      </c>
      <c r="B140" t="str">
        <f>INDEX(tblModelPromotion[promotion_type],MATCH(A140,tblModelPromotion[promotion_name],0))</f>
        <v>Festive</v>
      </c>
      <c r="C140" s="13">
        <f>INDEX(tblModelPromotion[discount_pct],MATCH(A140,tblModelPromotion[promotion_name],0))/100</f>
        <v>0.2</v>
      </c>
      <c r="D140" s="12">
        <f>INDEX(tblModelPromotion[revenue],MATCH(A140,tblModelPromotion[promotion_name],0))</f>
        <v>51345818</v>
      </c>
      <c r="E140" s="13">
        <f>INDEX(tblModelPromotion[margin_pct],MATCH(A140,tblModelPromotion[promotion_name],0))</f>
        <v>3.1E-2</v>
      </c>
      <c r="F140" s="13">
        <f>INDEX(tblModelPromotion[baseline_margin_pct],MATCH(A140,tblModelPromotion[promotion_name],0))</f>
        <v>0.22259999999999999</v>
      </c>
      <c r="G140" s="13">
        <f t="shared" si="8"/>
        <v>-0.19159999999999999</v>
      </c>
      <c r="H140" s="13">
        <f>INDEX(tblModelPromotion[aov_lift_pct],MATCH(A140,tblModelPromotion[promotion_name],0))</f>
        <v>-2.9499999999999998E-2</v>
      </c>
      <c r="I140" t="str">
        <f t="shared" si="9"/>
        <v>Review - mixed signal</v>
      </c>
    </row>
    <row r="141" spans="1:9" x14ac:dyDescent="0.3">
      <c r="A141" t="str">
        <f>INDEX(tblModelPromotion[promotion_name],MATCH("Seasonal Jan2024 - 20% Off",tblModelPromotion[promotion_name],0))</f>
        <v>Seasonal Jan2024 - 20% Off</v>
      </c>
      <c r="B141" t="str">
        <f>INDEX(tblModelPromotion[promotion_type],MATCH(A141,tblModelPromotion[promotion_name],0))</f>
        <v>Seasonal</v>
      </c>
      <c r="C141" s="13">
        <f>INDEX(tblModelPromotion[discount_pct],MATCH(A141,tblModelPromotion[promotion_name],0))/100</f>
        <v>0.2</v>
      </c>
      <c r="D141" s="12">
        <f>INDEX(tblModelPromotion[revenue],MATCH(A141,tblModelPromotion[promotion_name],0))</f>
        <v>67577002</v>
      </c>
      <c r="E141" s="13">
        <f>INDEX(tblModelPromotion[margin_pct],MATCH(A141,tblModelPromotion[promotion_name],0))</f>
        <v>3.0200000000000001E-2</v>
      </c>
      <c r="F141" s="13">
        <f>INDEX(tblModelPromotion[baseline_margin_pct],MATCH(A141,tblModelPromotion[promotion_name],0))</f>
        <v>0.22259999999999999</v>
      </c>
      <c r="G141" s="13">
        <f t="shared" si="8"/>
        <v>-0.19239999999999999</v>
      </c>
      <c r="H141" s="13">
        <f>INDEX(tblModelPromotion[aov_lift_pct],MATCH(A141,tblModelPromotion[promotion_name],0))</f>
        <v>-0.10349999999999999</v>
      </c>
      <c r="I141" t="str">
        <f t="shared" si="9"/>
        <v>Review - mixed signal</v>
      </c>
    </row>
    <row r="142" spans="1:9" x14ac:dyDescent="0.3">
      <c r="A142" t="str">
        <f>INDEX(tblModelPromotion[promotion_name],MATCH("Loyalty May2022 - 20% Off",tblModelPromotion[promotion_name],0))</f>
        <v>Loyalty May2022 - 20% Off</v>
      </c>
      <c r="B142" t="str">
        <f>INDEX(tblModelPromotion[promotion_type],MATCH(A142,tblModelPromotion[promotion_name],0))</f>
        <v>Loyalty</v>
      </c>
      <c r="C142" s="13">
        <f>INDEX(tblModelPromotion[discount_pct],MATCH(A142,tblModelPromotion[promotion_name],0))/100</f>
        <v>0.2</v>
      </c>
      <c r="D142" s="12">
        <f>INDEX(tblModelPromotion[revenue],MATCH(A142,tblModelPromotion[promotion_name],0))</f>
        <v>64055360</v>
      </c>
      <c r="E142" s="13">
        <f>INDEX(tblModelPromotion[margin_pct],MATCH(A142,tblModelPromotion[promotion_name],0))</f>
        <v>3.0200000000000001E-2</v>
      </c>
      <c r="F142" s="13">
        <f>INDEX(tblModelPromotion[baseline_margin_pct],MATCH(A142,tblModelPromotion[promotion_name],0))</f>
        <v>0.22259999999999999</v>
      </c>
      <c r="G142" s="13">
        <f t="shared" si="8"/>
        <v>-0.19239999999999999</v>
      </c>
      <c r="H142" s="13">
        <f>INDEX(tblModelPromotion[aov_lift_pct],MATCH(A142,tblModelPromotion[promotion_name],0))</f>
        <v>-8.8499999999999995E-2</v>
      </c>
      <c r="I142" t="str">
        <f t="shared" si="9"/>
        <v>Review - mixed signal</v>
      </c>
    </row>
    <row r="143" spans="1:9" x14ac:dyDescent="0.3">
      <c r="A143" t="str">
        <f>INDEX(tblModelPromotion[promotion_name],MATCH("Festive Nov2024 - 20% Off",tblModelPromotion[promotion_name],0))</f>
        <v>Festive Nov2024 - 20% Off</v>
      </c>
      <c r="B143" t="str">
        <f>INDEX(tblModelPromotion[promotion_type],MATCH(A143,tblModelPromotion[promotion_name],0))</f>
        <v>Festive</v>
      </c>
      <c r="C143" s="13">
        <f>INDEX(tblModelPromotion[discount_pct],MATCH(A143,tblModelPromotion[promotion_name],0))/100</f>
        <v>0.2</v>
      </c>
      <c r="D143" s="12">
        <f>INDEX(tblModelPromotion[revenue],MATCH(A143,tblModelPromotion[promotion_name],0))</f>
        <v>49402581</v>
      </c>
      <c r="E143" s="13">
        <f>INDEX(tblModelPromotion[margin_pct],MATCH(A143,tblModelPromotion[promotion_name],0))</f>
        <v>2.9700000000000001E-2</v>
      </c>
      <c r="F143" s="13">
        <f>INDEX(tblModelPromotion[baseline_margin_pct],MATCH(A143,tblModelPromotion[promotion_name],0))</f>
        <v>0.22259999999999999</v>
      </c>
      <c r="G143" s="13">
        <f t="shared" si="8"/>
        <v>-0.19289999999999999</v>
      </c>
      <c r="H143" s="13">
        <f>INDEX(tblModelPromotion[aov_lift_pct],MATCH(A143,tblModelPromotion[promotion_name],0))</f>
        <v>-2.6200000000000001E-2</v>
      </c>
      <c r="I143" t="str">
        <f t="shared" si="9"/>
        <v>Review - mixed signal</v>
      </c>
    </row>
    <row r="144" spans="1:9" x14ac:dyDescent="0.3">
      <c r="A144" t="str">
        <f>INDEX(tblModelPromotion[promotion_name],MATCH("Seasonal Aug2021 - 20% Off",tblModelPromotion[promotion_name],0))</f>
        <v>Seasonal Aug2021 - 20% Off</v>
      </c>
      <c r="B144" t="str">
        <f>INDEX(tblModelPromotion[promotion_type],MATCH(A144,tblModelPromotion[promotion_name],0))</f>
        <v>Seasonal</v>
      </c>
      <c r="C144" s="13">
        <f>INDEX(tblModelPromotion[discount_pct],MATCH(A144,tblModelPromotion[promotion_name],0))/100</f>
        <v>0.2</v>
      </c>
      <c r="D144" s="12">
        <f>INDEX(tblModelPromotion[revenue],MATCH(A144,tblModelPromotion[promotion_name],0))</f>
        <v>43950008</v>
      </c>
      <c r="E144" s="13">
        <f>INDEX(tblModelPromotion[margin_pct],MATCH(A144,tblModelPromotion[promotion_name],0))</f>
        <v>2.81E-2</v>
      </c>
      <c r="F144" s="13">
        <f>INDEX(tblModelPromotion[baseline_margin_pct],MATCH(A144,tblModelPromotion[promotion_name],0))</f>
        <v>0.22259999999999999</v>
      </c>
      <c r="G144" s="13">
        <f t="shared" si="8"/>
        <v>-0.19450000000000001</v>
      </c>
      <c r="H144" s="13">
        <f>INDEX(tblModelPromotion[aov_lift_pct],MATCH(A144,tblModelPromotion[promotion_name],0))</f>
        <v>-8.9700000000000002E-2</v>
      </c>
      <c r="I144" t="str">
        <f t="shared" si="9"/>
        <v>Review - mixed signal</v>
      </c>
    </row>
    <row r="145" spans="1:9" x14ac:dyDescent="0.3">
      <c r="A145" t="str">
        <f>INDEX(tblModelPromotion[promotion_name],MATCH("Clearance Nov2024 - 20% Off",tblModelPromotion[promotion_name],0))</f>
        <v>Clearance Nov2024 - 20% Off</v>
      </c>
      <c r="B145" t="str">
        <f>INDEX(tblModelPromotion[promotion_type],MATCH(A145,tblModelPromotion[promotion_name],0))</f>
        <v>Clearance</v>
      </c>
      <c r="C145" s="13">
        <f>INDEX(tblModelPromotion[discount_pct],MATCH(A145,tblModelPromotion[promotion_name],0))/100</f>
        <v>0.2</v>
      </c>
      <c r="D145" s="12">
        <f>INDEX(tblModelPromotion[revenue],MATCH(A145,tblModelPromotion[promotion_name],0))</f>
        <v>51711090</v>
      </c>
      <c r="E145" s="13">
        <f>INDEX(tblModelPromotion[margin_pct],MATCH(A145,tblModelPromotion[promotion_name],0))</f>
        <v>2.81E-2</v>
      </c>
      <c r="F145" s="13">
        <f>INDEX(tblModelPromotion[baseline_margin_pct],MATCH(A145,tblModelPromotion[promotion_name],0))</f>
        <v>0.22259999999999999</v>
      </c>
      <c r="G145" s="13">
        <f t="shared" si="8"/>
        <v>-0.19450000000000001</v>
      </c>
      <c r="H145" s="13">
        <f>INDEX(tblModelPromotion[aov_lift_pct],MATCH(A145,tblModelPromotion[promotion_name],0))</f>
        <v>-5.8999999999999997E-2</v>
      </c>
      <c r="I145" t="str">
        <f t="shared" si="9"/>
        <v>Review - mixed signal</v>
      </c>
    </row>
    <row r="146" spans="1:9" x14ac:dyDescent="0.3">
      <c r="A146" t="str">
        <f>INDEX(tblModelPromotion[promotion_name],MATCH("Seasonal Sep2023 - 20% Off",tblModelPromotion[promotion_name],0))</f>
        <v>Seasonal Sep2023 - 20% Off</v>
      </c>
      <c r="B146" t="str">
        <f>INDEX(tblModelPromotion[promotion_type],MATCH(A146,tblModelPromotion[promotion_name],0))</f>
        <v>Seasonal</v>
      </c>
      <c r="C146" s="13">
        <f>INDEX(tblModelPromotion[discount_pct],MATCH(A146,tblModelPromotion[promotion_name],0))/100</f>
        <v>0.2</v>
      </c>
      <c r="D146" s="12">
        <f>INDEX(tblModelPromotion[revenue],MATCH(A146,tblModelPromotion[promotion_name],0))</f>
        <v>30985269</v>
      </c>
      <c r="E146" s="13">
        <f>INDEX(tblModelPromotion[margin_pct],MATCH(A146,tblModelPromotion[promotion_name],0))</f>
        <v>2.7799999999999998E-2</v>
      </c>
      <c r="F146" s="13">
        <f>INDEX(tblModelPromotion[baseline_margin_pct],MATCH(A146,tblModelPromotion[promotion_name],0))</f>
        <v>0.22259999999999999</v>
      </c>
      <c r="G146" s="13">
        <f t="shared" si="8"/>
        <v>-0.1948</v>
      </c>
      <c r="H146" s="13">
        <f>INDEX(tblModelPromotion[aov_lift_pct],MATCH(A146,tblModelPromotion[promotion_name],0))</f>
        <v>-9.7100000000000006E-2</v>
      </c>
      <c r="I146" t="str">
        <f t="shared" si="9"/>
        <v>Review - mixed signal</v>
      </c>
    </row>
    <row r="147" spans="1:9" x14ac:dyDescent="0.3">
      <c r="A147" t="str">
        <f>INDEX(tblModelPromotion[promotion_name],MATCH("Festive Sep2022 - 20% Off",tblModelPromotion[promotion_name],0))</f>
        <v>Festive Sep2022 - 20% Off</v>
      </c>
      <c r="B147" t="str">
        <f>INDEX(tblModelPromotion[promotion_type],MATCH(A147,tblModelPromotion[promotion_name],0))</f>
        <v>Festive</v>
      </c>
      <c r="C147" s="13">
        <f>INDEX(tblModelPromotion[discount_pct],MATCH(A147,tblModelPromotion[promotion_name],0))/100</f>
        <v>0.2</v>
      </c>
      <c r="D147" s="12">
        <f>INDEX(tblModelPromotion[revenue],MATCH(A147,tblModelPromotion[promotion_name],0))</f>
        <v>103110783</v>
      </c>
      <c r="E147" s="13">
        <f>INDEX(tblModelPromotion[margin_pct],MATCH(A147,tblModelPromotion[promotion_name],0))</f>
        <v>2.7400000000000001E-2</v>
      </c>
      <c r="F147" s="13">
        <f>INDEX(tblModelPromotion[baseline_margin_pct],MATCH(A147,tblModelPromotion[promotion_name],0))</f>
        <v>0.22259999999999999</v>
      </c>
      <c r="G147" s="13">
        <f t="shared" si="8"/>
        <v>-0.19519999999999998</v>
      </c>
      <c r="H147" s="13">
        <f>INDEX(tblModelPromotion[aov_lift_pct],MATCH(A147,tblModelPromotion[promotion_name],0))</f>
        <v>-6.0100000000000001E-2</v>
      </c>
      <c r="I147" t="str">
        <f t="shared" si="9"/>
        <v>Review - mixed signal</v>
      </c>
    </row>
    <row r="148" spans="1:9" x14ac:dyDescent="0.3">
      <c r="A148" t="str">
        <f>INDEX(tblModelPromotion[promotion_name],MATCH("Seasonal Sep2021 - 20% Off",tblModelPromotion[promotion_name],0))</f>
        <v>Seasonal Sep2021 - 20% Off</v>
      </c>
      <c r="B148" t="str">
        <f>INDEX(tblModelPromotion[promotion_type],MATCH(A148,tblModelPromotion[promotion_name],0))</f>
        <v>Seasonal</v>
      </c>
      <c r="C148" s="13">
        <f>INDEX(tblModelPromotion[discount_pct],MATCH(A148,tblModelPromotion[promotion_name],0))/100</f>
        <v>0.2</v>
      </c>
      <c r="D148" s="12">
        <f>INDEX(tblModelPromotion[revenue],MATCH(A148,tblModelPromotion[promotion_name],0))</f>
        <v>48535222</v>
      </c>
      <c r="E148" s="13">
        <f>INDEX(tblModelPromotion[margin_pct],MATCH(A148,tblModelPromotion[promotion_name],0))</f>
        <v>2.69E-2</v>
      </c>
      <c r="F148" s="13">
        <f>INDEX(tblModelPromotion[baseline_margin_pct],MATCH(A148,tblModelPromotion[promotion_name],0))</f>
        <v>0.22259999999999999</v>
      </c>
      <c r="G148" s="13">
        <f t="shared" si="8"/>
        <v>-0.19569999999999999</v>
      </c>
      <c r="H148" s="13">
        <f>INDEX(tblModelPromotion[aov_lift_pct],MATCH(A148,tblModelPromotion[promotion_name],0))</f>
        <v>-2.8899999999999999E-2</v>
      </c>
      <c r="I148" t="str">
        <f t="shared" si="9"/>
        <v>Review - mixed signal</v>
      </c>
    </row>
    <row r="149" spans="1:9" x14ac:dyDescent="0.3">
      <c r="A149" t="str">
        <f>INDEX(tblModelPromotion[promotion_name],MATCH("Seasonal Mar2021 - 20% Off",tblModelPromotion[promotion_name],0))</f>
        <v>Seasonal Mar2021 - 20% Off</v>
      </c>
      <c r="B149" t="str">
        <f>INDEX(tblModelPromotion[promotion_type],MATCH(A149,tblModelPromotion[promotion_name],0))</f>
        <v>Seasonal</v>
      </c>
      <c r="C149" s="13">
        <f>INDEX(tblModelPromotion[discount_pct],MATCH(A149,tblModelPromotion[promotion_name],0))/100</f>
        <v>0.2</v>
      </c>
      <c r="D149" s="12">
        <f>INDEX(tblModelPromotion[revenue],MATCH(A149,tblModelPromotion[promotion_name],0))</f>
        <v>56396953</v>
      </c>
      <c r="E149" s="13">
        <f>INDEX(tblModelPromotion[margin_pct],MATCH(A149,tblModelPromotion[promotion_name],0))</f>
        <v>2.6700000000000002E-2</v>
      </c>
      <c r="F149" s="13">
        <f>INDEX(tblModelPromotion[baseline_margin_pct],MATCH(A149,tblModelPromotion[promotion_name],0))</f>
        <v>0.22259999999999999</v>
      </c>
      <c r="G149" s="13">
        <f t="shared" si="8"/>
        <v>-0.19589999999999999</v>
      </c>
      <c r="H149" s="13">
        <f>INDEX(tblModelPromotion[aov_lift_pct],MATCH(A149,tblModelPromotion[promotion_name],0))</f>
        <v>-2.6800000000000001E-2</v>
      </c>
      <c r="I149" t="str">
        <f t="shared" si="9"/>
        <v>Review - mixed signal</v>
      </c>
    </row>
    <row r="150" spans="1:9" x14ac:dyDescent="0.3">
      <c r="A150" t="str">
        <f>INDEX(tblModelPromotion[promotion_name],MATCH("Loyalty Feb2022 - 20% Off",tblModelPromotion[promotion_name],0))</f>
        <v>Loyalty Feb2022 - 20% Off</v>
      </c>
      <c r="B150" t="str">
        <f>INDEX(tblModelPromotion[promotion_type],MATCH(A150,tblModelPromotion[promotion_name],0))</f>
        <v>Loyalty</v>
      </c>
      <c r="C150" s="13">
        <f>INDEX(tblModelPromotion[discount_pct],MATCH(A150,tblModelPromotion[promotion_name],0))/100</f>
        <v>0.2</v>
      </c>
      <c r="D150" s="12">
        <f>INDEX(tblModelPromotion[revenue],MATCH(A150,tblModelPromotion[promotion_name],0))</f>
        <v>26732048</v>
      </c>
      <c r="E150" s="13">
        <f>INDEX(tblModelPromotion[margin_pct],MATCH(A150,tblModelPromotion[promotion_name],0))</f>
        <v>2.6599999999999999E-2</v>
      </c>
      <c r="F150" s="13">
        <f>INDEX(tblModelPromotion[baseline_margin_pct],MATCH(A150,tblModelPromotion[promotion_name],0))</f>
        <v>0.22259999999999999</v>
      </c>
      <c r="G150" s="13">
        <f t="shared" si="8"/>
        <v>-0.19600000000000001</v>
      </c>
      <c r="H150" s="13">
        <f>INDEX(tblModelPromotion[aov_lift_pct],MATCH(A150,tblModelPromotion[promotion_name],0))</f>
        <v>-6.3100000000000003E-2</v>
      </c>
      <c r="I150" t="str">
        <f t="shared" si="9"/>
        <v>Review - mixed signal</v>
      </c>
    </row>
    <row r="151" spans="1:9" x14ac:dyDescent="0.3">
      <c r="A151" t="str">
        <f>INDEX(tblModelPromotion[promotion_name],MATCH("Clearance Feb2021 - 20% Off",tblModelPromotion[promotion_name],0))</f>
        <v>Clearance Feb2021 - 20% Off</v>
      </c>
      <c r="B151" t="str">
        <f>INDEX(tblModelPromotion[promotion_type],MATCH(A151,tblModelPromotion[promotion_name],0))</f>
        <v>Clearance</v>
      </c>
      <c r="C151" s="13">
        <f>INDEX(tblModelPromotion[discount_pct],MATCH(A151,tblModelPromotion[promotion_name],0))/100</f>
        <v>0.2</v>
      </c>
      <c r="D151" s="12">
        <f>INDEX(tblModelPromotion[revenue],MATCH(A151,tblModelPromotion[promotion_name],0))</f>
        <v>22445243</v>
      </c>
      <c r="E151" s="13">
        <f>INDEX(tblModelPromotion[margin_pct],MATCH(A151,tblModelPromotion[promotion_name],0))</f>
        <v>2.6100000000000002E-2</v>
      </c>
      <c r="F151" s="13">
        <f>INDEX(tblModelPromotion[baseline_margin_pct],MATCH(A151,tblModelPromotion[promotion_name],0))</f>
        <v>0.22259999999999999</v>
      </c>
      <c r="G151" s="13">
        <f t="shared" si="8"/>
        <v>-0.19649999999999998</v>
      </c>
      <c r="H151" s="13">
        <f>INDEX(tblModelPromotion[aov_lift_pct],MATCH(A151,tblModelPromotion[promotion_name],0))</f>
        <v>1.4200000000000001E-2</v>
      </c>
      <c r="I151" t="str">
        <f t="shared" si="9"/>
        <v>Review - mixed signal</v>
      </c>
    </row>
    <row r="152" spans="1:9" x14ac:dyDescent="0.3">
      <c r="A152" t="str">
        <f>INDEX(tblModelPromotion[promotion_name],MATCH("Flash Sale Sep2022 - 20% Off",tblModelPromotion[promotion_name],0))</f>
        <v>Flash Sale Sep2022 - 20% Off</v>
      </c>
      <c r="B152" t="str">
        <f>INDEX(tblModelPromotion[promotion_type],MATCH(A152,tblModelPromotion[promotion_name],0))</f>
        <v>Flash Sale</v>
      </c>
      <c r="C152" s="13">
        <f>INDEX(tblModelPromotion[discount_pct],MATCH(A152,tblModelPromotion[promotion_name],0))/100</f>
        <v>0.2</v>
      </c>
      <c r="D152" s="12">
        <f>INDEX(tblModelPromotion[revenue],MATCH(A152,tblModelPromotion[promotion_name],0))</f>
        <v>71146447</v>
      </c>
      <c r="E152" s="13">
        <f>INDEX(tblModelPromotion[margin_pct],MATCH(A152,tblModelPromotion[promotion_name],0))</f>
        <v>2.5999999999999999E-2</v>
      </c>
      <c r="F152" s="13">
        <f>INDEX(tblModelPromotion[baseline_margin_pct],MATCH(A152,tblModelPromotion[promotion_name],0))</f>
        <v>0.22259999999999999</v>
      </c>
      <c r="G152" s="13">
        <f t="shared" si="8"/>
        <v>-0.1966</v>
      </c>
      <c r="H152" s="13">
        <f>INDEX(tblModelPromotion[aov_lift_pct],MATCH(A152,tblModelPromotion[promotion_name],0))</f>
        <v>6.6E-3</v>
      </c>
      <c r="I152" t="str">
        <f t="shared" si="9"/>
        <v>Review - mixed signal</v>
      </c>
    </row>
    <row r="153" spans="1:9" x14ac:dyDescent="0.3">
      <c r="A153" t="str">
        <f>INDEX(tblModelPromotion[promotion_name],MATCH("Clearance Sep2023 - 20% Off",tblModelPromotion[promotion_name],0))</f>
        <v>Clearance Sep2023 - 20% Off</v>
      </c>
      <c r="B153" t="str">
        <f>INDEX(tblModelPromotion[promotion_type],MATCH(A153,tblModelPromotion[promotion_name],0))</f>
        <v>Clearance</v>
      </c>
      <c r="C153" s="13">
        <f>INDEX(tblModelPromotion[discount_pct],MATCH(A153,tblModelPromotion[promotion_name],0))/100</f>
        <v>0.2</v>
      </c>
      <c r="D153" s="12">
        <f>INDEX(tblModelPromotion[revenue],MATCH(A153,tblModelPromotion[promotion_name],0))</f>
        <v>92234855</v>
      </c>
      <c r="E153" s="13">
        <f>INDEX(tblModelPromotion[margin_pct],MATCH(A153,tblModelPromotion[promotion_name],0))</f>
        <v>2.5600000000000001E-2</v>
      </c>
      <c r="F153" s="13">
        <f>INDEX(tblModelPromotion[baseline_margin_pct],MATCH(A153,tblModelPromotion[promotion_name],0))</f>
        <v>0.22259999999999999</v>
      </c>
      <c r="G153" s="13">
        <f t="shared" si="8"/>
        <v>-0.19699999999999998</v>
      </c>
      <c r="H153" s="13">
        <f>INDEX(tblModelPromotion[aov_lift_pct],MATCH(A153,tblModelPromotion[promotion_name],0))</f>
        <v>-1.1299999999999999E-2</v>
      </c>
      <c r="I153" t="str">
        <f t="shared" si="9"/>
        <v>Review - mixed signal</v>
      </c>
    </row>
    <row r="154" spans="1:9" x14ac:dyDescent="0.3">
      <c r="A154" t="str">
        <f>INDEX(tblModelPromotion[promotion_name],MATCH("Festive Jul2021 - 20% Off",tblModelPromotion[promotion_name],0))</f>
        <v>Festive Jul2021 - 20% Off</v>
      </c>
      <c r="B154" t="str">
        <f>INDEX(tblModelPromotion[promotion_type],MATCH(A154,tblModelPromotion[promotion_name],0))</f>
        <v>Festive</v>
      </c>
      <c r="C154" s="13">
        <f>INDEX(tblModelPromotion[discount_pct],MATCH(A154,tblModelPromotion[promotion_name],0))/100</f>
        <v>0.2</v>
      </c>
      <c r="D154" s="12">
        <f>INDEX(tblModelPromotion[revenue],MATCH(A154,tblModelPromotion[promotion_name],0))</f>
        <v>14360907</v>
      </c>
      <c r="E154" s="13">
        <f>INDEX(tblModelPromotion[margin_pct],MATCH(A154,tblModelPromotion[promotion_name],0))</f>
        <v>2.23E-2</v>
      </c>
      <c r="F154" s="13">
        <f>INDEX(tblModelPromotion[baseline_margin_pct],MATCH(A154,tblModelPromotion[promotion_name],0))</f>
        <v>0.22259999999999999</v>
      </c>
      <c r="G154" s="13">
        <f t="shared" si="8"/>
        <v>-0.20029999999999998</v>
      </c>
      <c r="H154" s="13">
        <f>INDEX(tblModelPromotion[aov_lift_pct],MATCH(A154,tblModelPromotion[promotion_name],0))</f>
        <v>-5.0000000000000001E-4</v>
      </c>
      <c r="I154" t="str">
        <f t="shared" si="9"/>
        <v>Review - mixed signal</v>
      </c>
    </row>
    <row r="155" spans="1:9" x14ac:dyDescent="0.3">
      <c r="A155" t="str">
        <f>INDEX(tblModelPromotion[promotion_name],MATCH("Seasonal Apr2022 - 20% Off",tblModelPromotion[promotion_name],0))</f>
        <v>Seasonal Apr2022 - 20% Off</v>
      </c>
      <c r="B155" t="str">
        <f>INDEX(tblModelPromotion[promotion_type],MATCH(A155,tblModelPromotion[promotion_name],0))</f>
        <v>Seasonal</v>
      </c>
      <c r="C155" s="13">
        <f>INDEX(tblModelPromotion[discount_pct],MATCH(A155,tblModelPromotion[promotion_name],0))/100</f>
        <v>0.2</v>
      </c>
      <c r="D155" s="12">
        <f>INDEX(tblModelPromotion[revenue],MATCH(A155,tblModelPromotion[promotion_name],0))</f>
        <v>58550059</v>
      </c>
      <c r="E155" s="13">
        <f>INDEX(tblModelPromotion[margin_pct],MATCH(A155,tblModelPromotion[promotion_name],0))</f>
        <v>2.0799999999999999E-2</v>
      </c>
      <c r="F155" s="13">
        <f>INDEX(tblModelPromotion[baseline_margin_pct],MATCH(A155,tblModelPromotion[promotion_name],0))</f>
        <v>0.22259999999999999</v>
      </c>
      <c r="G155" s="13">
        <f t="shared" si="8"/>
        <v>-0.20179999999999998</v>
      </c>
      <c r="H155" s="13">
        <f>INDEX(tblModelPromotion[aov_lift_pct],MATCH(A155,tblModelPromotion[promotion_name],0))</f>
        <v>4.4999999999999997E-3</v>
      </c>
      <c r="I155" t="str">
        <f t="shared" si="9"/>
        <v>Review - mixed signal</v>
      </c>
    </row>
    <row r="156" spans="1:9" x14ac:dyDescent="0.3">
      <c r="A156" t="str">
        <f>INDEX(tblModelPromotion[promotion_name],MATCH("Flash Sale Feb2023 - 20% Off",tblModelPromotion[promotion_name],0))</f>
        <v>Flash Sale Feb2023 - 20% Off</v>
      </c>
      <c r="B156" t="str">
        <f>INDEX(tblModelPromotion[promotion_type],MATCH(A156,tblModelPromotion[promotion_name],0))</f>
        <v>Flash Sale</v>
      </c>
      <c r="C156" s="13">
        <f>INDEX(tblModelPromotion[discount_pct],MATCH(A156,tblModelPromotion[promotion_name],0))/100</f>
        <v>0.2</v>
      </c>
      <c r="D156" s="12">
        <f>INDEX(tblModelPromotion[revenue],MATCH(A156,tblModelPromotion[promotion_name],0))</f>
        <v>15076524</v>
      </c>
      <c r="E156" s="13">
        <f>INDEX(tblModelPromotion[margin_pct],MATCH(A156,tblModelPromotion[promotion_name],0))</f>
        <v>1.7000000000000001E-2</v>
      </c>
      <c r="F156" s="13">
        <f>INDEX(tblModelPromotion[baseline_margin_pct],MATCH(A156,tblModelPromotion[promotion_name],0))</f>
        <v>0.22259999999999999</v>
      </c>
      <c r="G156" s="13">
        <f t="shared" si="8"/>
        <v>-0.2056</v>
      </c>
      <c r="H156" s="13">
        <f>INDEX(tblModelPromotion[aov_lift_pct],MATCH(A156,tblModelPromotion[promotion_name],0))</f>
        <v>4.9299999999999997E-2</v>
      </c>
      <c r="I156" t="str">
        <f t="shared" si="9"/>
        <v>Review - mixed signal</v>
      </c>
    </row>
    <row r="157" spans="1:9" x14ac:dyDescent="0.3">
      <c r="A157" t="str">
        <f>INDEX(tblModelPromotion[promotion_name],MATCH("Seasonal Dec2021 - 25% Off",tblModelPromotion[promotion_name],0))</f>
        <v>Seasonal Dec2021 - 25% Off</v>
      </c>
      <c r="B157" t="str">
        <f>INDEX(tblModelPromotion[promotion_type],MATCH(A157,tblModelPromotion[promotion_name],0))</f>
        <v>Seasonal</v>
      </c>
      <c r="C157" s="13">
        <f>INDEX(tblModelPromotion[discount_pct],MATCH(A157,tblModelPromotion[promotion_name],0))/100</f>
        <v>0.25</v>
      </c>
      <c r="D157" s="12">
        <f>INDEX(tblModelPromotion[revenue],MATCH(A157,tblModelPromotion[promotion_name],0))</f>
        <v>19851804</v>
      </c>
      <c r="E157" s="13">
        <f>INDEX(tblModelPromotion[margin_pct],MATCH(A157,tblModelPromotion[promotion_name],0))</f>
        <v>-3.0300000000000001E-2</v>
      </c>
      <c r="F157" s="13">
        <f>INDEX(tblModelPromotion[baseline_margin_pct],MATCH(A157,tblModelPromotion[promotion_name],0))</f>
        <v>0.22259999999999999</v>
      </c>
      <c r="G157" s="13">
        <f t="shared" si="8"/>
        <v>-0.25290000000000001</v>
      </c>
      <c r="H157" s="13">
        <f>INDEX(tblModelPromotion[aov_lift_pct],MATCH(A157,tblModelPromotion[promotion_name],0))</f>
        <v>-0.1694</v>
      </c>
      <c r="I157" t="str">
        <f t="shared" si="9"/>
        <v>Discontinue - high margin cost, weak lift</v>
      </c>
    </row>
    <row r="158" spans="1:9" x14ac:dyDescent="0.3">
      <c r="A158" t="str">
        <f>INDEX(tblModelPromotion[promotion_name],MATCH("Clearance May2024 - 25% Off",tblModelPromotion[promotion_name],0))</f>
        <v>Clearance May2024 - 25% Off</v>
      </c>
      <c r="B158" t="str">
        <f>INDEX(tblModelPromotion[promotion_type],MATCH(A158,tblModelPromotion[promotion_name],0))</f>
        <v>Clearance</v>
      </c>
      <c r="C158" s="13">
        <f>INDEX(tblModelPromotion[discount_pct],MATCH(A158,tblModelPromotion[promotion_name],0))/100</f>
        <v>0.25</v>
      </c>
      <c r="D158" s="12">
        <f>INDEX(tblModelPromotion[revenue],MATCH(A158,tblModelPromotion[promotion_name],0))</f>
        <v>92264489</v>
      </c>
      <c r="E158" s="13">
        <f>INDEX(tblModelPromotion[margin_pct],MATCH(A158,tblModelPromotion[promotion_name],0))</f>
        <v>-3.2500000000000001E-2</v>
      </c>
      <c r="F158" s="13">
        <f>INDEX(tblModelPromotion[baseline_margin_pct],MATCH(A158,tblModelPromotion[promotion_name],0))</f>
        <v>0.22259999999999999</v>
      </c>
      <c r="G158" s="13">
        <f t="shared" si="8"/>
        <v>-0.25509999999999999</v>
      </c>
      <c r="H158" s="13">
        <f>INDEX(tblModelPromotion[aov_lift_pct],MATCH(A158,tblModelPromotion[promotion_name],0))</f>
        <v>-0.1258</v>
      </c>
      <c r="I158" t="str">
        <f t="shared" si="9"/>
        <v>Discontinue - high margin cost, weak lift</v>
      </c>
    </row>
    <row r="159" spans="1:9" x14ac:dyDescent="0.3">
      <c r="A159" t="str">
        <f>INDEX(tblModelPromotion[promotion_name],MATCH("Festive Mar2023 - 25% Off",tblModelPromotion[promotion_name],0))</f>
        <v>Festive Mar2023 - 25% Off</v>
      </c>
      <c r="B159" t="str">
        <f>INDEX(tblModelPromotion[promotion_type],MATCH(A159,tblModelPromotion[promotion_name],0))</f>
        <v>Festive</v>
      </c>
      <c r="C159" s="13">
        <f>INDEX(tblModelPromotion[discount_pct],MATCH(A159,tblModelPromotion[promotion_name],0))/100</f>
        <v>0.25</v>
      </c>
      <c r="D159" s="12">
        <f>INDEX(tblModelPromotion[revenue],MATCH(A159,tblModelPromotion[promotion_name],0))</f>
        <v>47164643</v>
      </c>
      <c r="E159" s="13">
        <f>INDEX(tblModelPromotion[margin_pct],MATCH(A159,tblModelPromotion[promotion_name],0))</f>
        <v>-3.2500000000000001E-2</v>
      </c>
      <c r="F159" s="13">
        <f>INDEX(tblModelPromotion[baseline_margin_pct],MATCH(A159,tblModelPromotion[promotion_name],0))</f>
        <v>0.22259999999999999</v>
      </c>
      <c r="G159" s="13">
        <f t="shared" si="8"/>
        <v>-0.25509999999999999</v>
      </c>
      <c r="H159" s="13">
        <f>INDEX(tblModelPromotion[aov_lift_pct],MATCH(A159,tblModelPromotion[promotion_name],0))</f>
        <v>-0.1028</v>
      </c>
      <c r="I159" t="str">
        <f t="shared" si="9"/>
        <v>Discontinue - high margin cost, weak lift</v>
      </c>
    </row>
    <row r="160" spans="1:9" x14ac:dyDescent="0.3">
      <c r="A160" t="str">
        <f>INDEX(tblModelPromotion[promotion_name],MATCH("Flash Sale Dec2023 - 25% Off",tblModelPromotion[promotion_name],0))</f>
        <v>Flash Sale Dec2023 - 25% Off</v>
      </c>
      <c r="B160" t="str">
        <f>INDEX(tblModelPromotion[promotion_type],MATCH(A160,tblModelPromotion[promotion_name],0))</f>
        <v>Flash Sale</v>
      </c>
      <c r="C160" s="13">
        <f>INDEX(tblModelPromotion[discount_pct],MATCH(A160,tblModelPromotion[promotion_name],0))/100</f>
        <v>0.25</v>
      </c>
      <c r="D160" s="12">
        <f>INDEX(tblModelPromotion[revenue],MATCH(A160,tblModelPromotion[promotion_name],0))</f>
        <v>72700209</v>
      </c>
      <c r="E160" s="13">
        <f>INDEX(tblModelPromotion[margin_pct],MATCH(A160,tblModelPromotion[promotion_name],0))</f>
        <v>-3.3000000000000002E-2</v>
      </c>
      <c r="F160" s="13">
        <f>INDEX(tblModelPromotion[baseline_margin_pct],MATCH(A160,tblModelPromotion[promotion_name],0))</f>
        <v>0.22259999999999999</v>
      </c>
      <c r="G160" s="13">
        <f t="shared" si="8"/>
        <v>-0.25559999999999999</v>
      </c>
      <c r="H160" s="13">
        <f>INDEX(tblModelPromotion[aov_lift_pct],MATCH(A160,tblModelPromotion[promotion_name],0))</f>
        <v>-0.1452</v>
      </c>
      <c r="I160" t="str">
        <f t="shared" si="9"/>
        <v>Discontinue - high margin cost, weak lift</v>
      </c>
    </row>
    <row r="161" spans="1:9" x14ac:dyDescent="0.3">
      <c r="A161" t="str">
        <f>INDEX(tblModelPromotion[promotion_name],MATCH("Seasonal Jun2023 - 25% Off",tblModelPromotion[promotion_name],0))</f>
        <v>Seasonal Jun2023 - 25% Off</v>
      </c>
      <c r="B161" t="str">
        <f>INDEX(tblModelPromotion[promotion_type],MATCH(A161,tblModelPromotion[promotion_name],0))</f>
        <v>Seasonal</v>
      </c>
      <c r="C161" s="13">
        <f>INDEX(tblModelPromotion[discount_pct],MATCH(A161,tblModelPromotion[promotion_name],0))/100</f>
        <v>0.25</v>
      </c>
      <c r="D161" s="12">
        <f>INDEX(tblModelPromotion[revenue],MATCH(A161,tblModelPromotion[promotion_name],0))</f>
        <v>84199012</v>
      </c>
      <c r="E161" s="13">
        <f>INDEX(tblModelPromotion[margin_pct],MATCH(A161,tblModelPromotion[promotion_name],0))</f>
        <v>-3.4799999999999998E-2</v>
      </c>
      <c r="F161" s="13">
        <f>INDEX(tblModelPromotion[baseline_margin_pct],MATCH(A161,tblModelPromotion[promotion_name],0))</f>
        <v>0.22259999999999999</v>
      </c>
      <c r="G161" s="13">
        <f t="shared" si="8"/>
        <v>-0.25739999999999996</v>
      </c>
      <c r="H161" s="13">
        <f>INDEX(tblModelPromotion[aov_lift_pct],MATCH(A161,tblModelPromotion[promotion_name],0))</f>
        <v>-0.11169999999999999</v>
      </c>
      <c r="I161" t="str">
        <f t="shared" si="9"/>
        <v>Discontinue - high margin cost, weak lift</v>
      </c>
    </row>
    <row r="162" spans="1:9" x14ac:dyDescent="0.3">
      <c r="A162" t="str">
        <f>INDEX(tblModelPromotion[promotion_name],MATCH("Seasonal Mar2023 - 25% Off",tblModelPromotion[promotion_name],0))</f>
        <v>Seasonal Mar2023 - 25% Off</v>
      </c>
      <c r="B162" t="str">
        <f>INDEX(tblModelPromotion[promotion_type],MATCH(A162,tblModelPromotion[promotion_name],0))</f>
        <v>Seasonal</v>
      </c>
      <c r="C162" s="13">
        <f>INDEX(tblModelPromotion[discount_pct],MATCH(A162,tblModelPromotion[promotion_name],0))/100</f>
        <v>0.25</v>
      </c>
      <c r="D162" s="12">
        <f>INDEX(tblModelPromotion[revenue],MATCH(A162,tblModelPromotion[promotion_name],0))</f>
        <v>19639484</v>
      </c>
      <c r="E162" s="13">
        <f>INDEX(tblModelPromotion[margin_pct],MATCH(A162,tblModelPromotion[promotion_name],0))</f>
        <v>-3.4799999999999998E-2</v>
      </c>
      <c r="F162" s="13">
        <f>INDEX(tblModelPromotion[baseline_margin_pct],MATCH(A162,tblModelPromotion[promotion_name],0))</f>
        <v>0.22259999999999999</v>
      </c>
      <c r="G162" s="13">
        <f t="shared" si="8"/>
        <v>-0.25739999999999996</v>
      </c>
      <c r="H162" s="13">
        <f>INDEX(tblModelPromotion[aov_lift_pct],MATCH(A162,tblModelPromotion[promotion_name],0))</f>
        <v>-0.10979999999999999</v>
      </c>
      <c r="I162" t="str">
        <f t="shared" si="9"/>
        <v>Discontinue - high margin cost, weak lift</v>
      </c>
    </row>
    <row r="163" spans="1:9" x14ac:dyDescent="0.3">
      <c r="A163" t="str">
        <f>INDEX(tblModelPromotion[promotion_name],MATCH("Flash Sale Oct2022 - 25% Off",tblModelPromotion[promotion_name],0))</f>
        <v>Flash Sale Oct2022 - 25% Off</v>
      </c>
      <c r="B163" t="str">
        <f>INDEX(tblModelPromotion[promotion_type],MATCH(A163,tblModelPromotion[promotion_name],0))</f>
        <v>Flash Sale</v>
      </c>
      <c r="C163" s="13">
        <f>INDEX(tblModelPromotion[discount_pct],MATCH(A163,tblModelPromotion[promotion_name],0))/100</f>
        <v>0.25</v>
      </c>
      <c r="D163" s="12">
        <f>INDEX(tblModelPromotion[revenue],MATCH(A163,tblModelPromotion[promotion_name],0))</f>
        <v>35261420</v>
      </c>
      <c r="E163" s="13">
        <f>INDEX(tblModelPromotion[margin_pct],MATCH(A163,tblModelPromotion[promotion_name],0))</f>
        <v>-3.49E-2</v>
      </c>
      <c r="F163" s="13">
        <f>INDEX(tblModelPromotion[baseline_margin_pct],MATCH(A163,tblModelPromotion[promotion_name],0))</f>
        <v>0.22259999999999999</v>
      </c>
      <c r="G163" s="13">
        <f t="shared" si="8"/>
        <v>-0.25750000000000001</v>
      </c>
      <c r="H163" s="13">
        <f>INDEX(tblModelPromotion[aov_lift_pct],MATCH(A163,tblModelPromotion[promotion_name],0))</f>
        <v>-0.1384</v>
      </c>
      <c r="I163" t="str">
        <f t="shared" si="9"/>
        <v>Discontinue - high margin cost, weak lift</v>
      </c>
    </row>
    <row r="164" spans="1:9" x14ac:dyDescent="0.3">
      <c r="A164" t="str">
        <f>INDEX(tblModelPromotion[promotion_name],MATCH("Flash Sale Sep2021 - 25% Off",tblModelPromotion[promotion_name],0))</f>
        <v>Flash Sale Sep2021 - 25% Off</v>
      </c>
      <c r="B164" t="str">
        <f>INDEX(tblModelPromotion[promotion_type],MATCH(A164,tblModelPromotion[promotion_name],0))</f>
        <v>Flash Sale</v>
      </c>
      <c r="C164" s="13">
        <f>INDEX(tblModelPromotion[discount_pct],MATCH(A164,tblModelPromotion[promotion_name],0))/100</f>
        <v>0.25</v>
      </c>
      <c r="D164" s="12">
        <f>INDEX(tblModelPromotion[revenue],MATCH(A164,tblModelPromotion[promotion_name],0))</f>
        <v>16175221</v>
      </c>
      <c r="E164" s="13">
        <f>INDEX(tblModelPromotion[margin_pct],MATCH(A164,tblModelPromotion[promotion_name],0))</f>
        <v>-3.5700000000000003E-2</v>
      </c>
      <c r="F164" s="13">
        <f>INDEX(tblModelPromotion[baseline_margin_pct],MATCH(A164,tblModelPromotion[promotion_name],0))</f>
        <v>0.22259999999999999</v>
      </c>
      <c r="G164" s="13">
        <f t="shared" si="8"/>
        <v>-0.25829999999999997</v>
      </c>
      <c r="H164" s="13">
        <f>INDEX(tblModelPromotion[aov_lift_pct],MATCH(A164,tblModelPromotion[promotion_name],0))</f>
        <v>-7.9299999999999995E-2</v>
      </c>
      <c r="I164" t="str">
        <f t="shared" si="9"/>
        <v>Discontinue - high margin cost, weak lift</v>
      </c>
    </row>
    <row r="165" spans="1:9" x14ac:dyDescent="0.3">
      <c r="A165" t="str">
        <f>INDEX(tblModelPromotion[promotion_name],MATCH("Festive Nov2023 - 25% Off",tblModelPromotion[promotion_name],0))</f>
        <v>Festive Nov2023 - 25% Off</v>
      </c>
      <c r="B165" t="str">
        <f>INDEX(tblModelPromotion[promotion_type],MATCH(A165,tblModelPromotion[promotion_name],0))</f>
        <v>Festive</v>
      </c>
      <c r="C165" s="13">
        <f>INDEX(tblModelPromotion[discount_pct],MATCH(A165,tblModelPromotion[promotion_name],0))/100</f>
        <v>0.25</v>
      </c>
      <c r="D165" s="12">
        <f>INDEX(tblModelPromotion[revenue],MATCH(A165,tblModelPromotion[promotion_name],0))</f>
        <v>130796895</v>
      </c>
      <c r="E165" s="13">
        <f>INDEX(tblModelPromotion[margin_pct],MATCH(A165,tblModelPromotion[promotion_name],0))</f>
        <v>-3.5999999999999997E-2</v>
      </c>
      <c r="F165" s="13">
        <f>INDEX(tblModelPromotion[baseline_margin_pct],MATCH(A165,tblModelPromotion[promotion_name],0))</f>
        <v>0.22259999999999999</v>
      </c>
      <c r="G165" s="13">
        <f t="shared" ref="G165:G196" si="10">E165-F165</f>
        <v>-0.2586</v>
      </c>
      <c r="H165" s="13">
        <f>INDEX(tblModelPromotion[aov_lift_pct],MATCH(A165,tblModelPromotion[promotion_name],0))</f>
        <v>-0.13439999999999999</v>
      </c>
      <c r="I165" t="str">
        <f t="shared" ref="I165:I196" si="11">IF(AND(G165&gt;=$L$1,H165&gt;=$L$2),"Continue - efficient lift for margin cost",IF(AND(G165&lt;=$L$3,H165&lt;$L$2),"Discontinue - high margin cost, weak lift","Review - mixed signal"))</f>
        <v>Discontinue - high margin cost, weak lift</v>
      </c>
    </row>
    <row r="166" spans="1:9" x14ac:dyDescent="0.3">
      <c r="A166" t="str">
        <f>INDEX(tblModelPromotion[promotion_name],MATCH("Festive Feb2023 - 25% Off",tblModelPromotion[promotion_name],0))</f>
        <v>Festive Feb2023 - 25% Off</v>
      </c>
      <c r="B166" t="str">
        <f>INDEX(tblModelPromotion[promotion_type],MATCH(A166,tblModelPromotion[promotion_name],0))</f>
        <v>Festive</v>
      </c>
      <c r="C166" s="13">
        <f>INDEX(tblModelPromotion[discount_pct],MATCH(A166,tblModelPromotion[promotion_name],0))/100</f>
        <v>0.25</v>
      </c>
      <c r="D166" s="12">
        <f>INDEX(tblModelPromotion[revenue],MATCH(A166,tblModelPromotion[promotion_name],0))</f>
        <v>33232112</v>
      </c>
      <c r="E166" s="13">
        <f>INDEX(tblModelPromotion[margin_pct],MATCH(A166,tblModelPromotion[promotion_name],0))</f>
        <v>-3.6799999999999999E-2</v>
      </c>
      <c r="F166" s="13">
        <f>INDEX(tblModelPromotion[baseline_margin_pct],MATCH(A166,tblModelPromotion[promotion_name],0))</f>
        <v>0.22259999999999999</v>
      </c>
      <c r="G166" s="13">
        <f t="shared" si="10"/>
        <v>-0.25939999999999996</v>
      </c>
      <c r="H166" s="13">
        <f>INDEX(tblModelPromotion[aov_lift_pct],MATCH(A166,tblModelPromotion[promotion_name],0))</f>
        <v>-0.1045</v>
      </c>
      <c r="I166" t="str">
        <f t="shared" si="11"/>
        <v>Discontinue - high margin cost, weak lift</v>
      </c>
    </row>
    <row r="167" spans="1:9" x14ac:dyDescent="0.3">
      <c r="A167" t="str">
        <f>INDEX(tblModelPromotion[promotion_name],MATCH("Loyalty Jan2024 - 25% Off",tblModelPromotion[promotion_name],0))</f>
        <v>Loyalty Jan2024 - 25% Off</v>
      </c>
      <c r="B167" t="str">
        <f>INDEX(tblModelPromotion[promotion_type],MATCH(A167,tblModelPromotion[promotion_name],0))</f>
        <v>Loyalty</v>
      </c>
      <c r="C167" s="13">
        <f>INDEX(tblModelPromotion[discount_pct],MATCH(A167,tblModelPromotion[promotion_name],0))/100</f>
        <v>0.25</v>
      </c>
      <c r="D167" s="12">
        <f>INDEX(tblModelPromotion[revenue],MATCH(A167,tblModelPromotion[promotion_name],0))</f>
        <v>67541094</v>
      </c>
      <c r="E167" s="13">
        <f>INDEX(tblModelPromotion[margin_pct],MATCH(A167,tblModelPromotion[promotion_name],0))</f>
        <v>-3.7100000000000001E-2</v>
      </c>
      <c r="F167" s="13">
        <f>INDEX(tblModelPromotion[baseline_margin_pct],MATCH(A167,tblModelPromotion[promotion_name],0))</f>
        <v>0.22259999999999999</v>
      </c>
      <c r="G167" s="13">
        <f t="shared" si="10"/>
        <v>-0.25969999999999999</v>
      </c>
      <c r="H167" s="13">
        <f>INDEX(tblModelPromotion[aov_lift_pct],MATCH(A167,tblModelPromotion[promotion_name],0))</f>
        <v>-9.4200000000000006E-2</v>
      </c>
      <c r="I167" t="str">
        <f t="shared" si="11"/>
        <v>Discontinue - high margin cost, weak lift</v>
      </c>
    </row>
    <row r="168" spans="1:9" x14ac:dyDescent="0.3">
      <c r="A168" t="str">
        <f>INDEX(tblModelPromotion[promotion_name],MATCH("Loyalty Apr2023 - 25% Off",tblModelPromotion[promotion_name],0))</f>
        <v>Loyalty Apr2023 - 25% Off</v>
      </c>
      <c r="B168" t="str">
        <f>INDEX(tblModelPromotion[promotion_type],MATCH(A168,tblModelPromotion[promotion_name],0))</f>
        <v>Loyalty</v>
      </c>
      <c r="C168" s="13">
        <f>INDEX(tblModelPromotion[discount_pct],MATCH(A168,tblModelPromotion[promotion_name],0))/100</f>
        <v>0.25</v>
      </c>
      <c r="D168" s="12">
        <f>INDEX(tblModelPromotion[revenue],MATCH(A168,tblModelPromotion[promotion_name],0))</f>
        <v>71511551</v>
      </c>
      <c r="E168" s="13">
        <f>INDEX(tblModelPromotion[margin_pct],MATCH(A168,tblModelPromotion[promotion_name],0))</f>
        <v>-3.7699999999999997E-2</v>
      </c>
      <c r="F168" s="13">
        <f>INDEX(tblModelPromotion[baseline_margin_pct],MATCH(A168,tblModelPromotion[promotion_name],0))</f>
        <v>0.22259999999999999</v>
      </c>
      <c r="G168" s="13">
        <f t="shared" si="10"/>
        <v>-0.26029999999999998</v>
      </c>
      <c r="H168" s="13">
        <f>INDEX(tblModelPromotion[aov_lift_pct],MATCH(A168,tblModelPromotion[promotion_name],0))</f>
        <v>-8.9200000000000002E-2</v>
      </c>
      <c r="I168" t="str">
        <f t="shared" si="11"/>
        <v>Discontinue - high margin cost, weak lift</v>
      </c>
    </row>
    <row r="169" spans="1:9" x14ac:dyDescent="0.3">
      <c r="A169" t="str">
        <f>INDEX(tblModelPromotion[promotion_name],MATCH("Loyalty Aug2023 - 25% Off",tblModelPromotion[promotion_name],0))</f>
        <v>Loyalty Aug2023 - 25% Off</v>
      </c>
      <c r="B169" t="str">
        <f>INDEX(tblModelPromotion[promotion_type],MATCH(A169,tblModelPromotion[promotion_name],0))</f>
        <v>Loyalty</v>
      </c>
      <c r="C169" s="13">
        <f>INDEX(tblModelPromotion[discount_pct],MATCH(A169,tblModelPromotion[promotion_name],0))/100</f>
        <v>0.25</v>
      </c>
      <c r="D169" s="12">
        <f>INDEX(tblModelPromotion[revenue],MATCH(A169,tblModelPromotion[promotion_name],0))</f>
        <v>31262351</v>
      </c>
      <c r="E169" s="13">
        <f>INDEX(tblModelPromotion[margin_pct],MATCH(A169,tblModelPromotion[promotion_name],0))</f>
        <v>-3.78E-2</v>
      </c>
      <c r="F169" s="13">
        <f>INDEX(tblModelPromotion[baseline_margin_pct],MATCH(A169,tblModelPromotion[promotion_name],0))</f>
        <v>0.22259999999999999</v>
      </c>
      <c r="G169" s="13">
        <f t="shared" si="10"/>
        <v>-0.26039999999999996</v>
      </c>
      <c r="H169" s="13">
        <f>INDEX(tblModelPromotion[aov_lift_pct],MATCH(A169,tblModelPromotion[promotion_name],0))</f>
        <v>-0.1288</v>
      </c>
      <c r="I169" t="str">
        <f t="shared" si="11"/>
        <v>Discontinue - high margin cost, weak lift</v>
      </c>
    </row>
    <row r="170" spans="1:9" x14ac:dyDescent="0.3">
      <c r="A170" t="str">
        <f>INDEX(tblModelPromotion[promotion_name],MATCH("Festive Apr2024 - 25% Off",tblModelPromotion[promotion_name],0))</f>
        <v>Festive Apr2024 - 25% Off</v>
      </c>
      <c r="B170" t="str">
        <f>INDEX(tblModelPromotion[promotion_type],MATCH(A170,tblModelPromotion[promotion_name],0))</f>
        <v>Festive</v>
      </c>
      <c r="C170" s="13">
        <f>INDEX(tblModelPromotion[discount_pct],MATCH(A170,tblModelPromotion[promotion_name],0))/100</f>
        <v>0.25</v>
      </c>
      <c r="D170" s="12">
        <f>INDEX(tblModelPromotion[revenue],MATCH(A170,tblModelPromotion[promotion_name],0))</f>
        <v>21403935</v>
      </c>
      <c r="E170" s="13">
        <f>INDEX(tblModelPromotion[margin_pct],MATCH(A170,tblModelPromotion[promotion_name],0))</f>
        <v>-3.8300000000000001E-2</v>
      </c>
      <c r="F170" s="13">
        <f>INDEX(tblModelPromotion[baseline_margin_pct],MATCH(A170,tblModelPromotion[promotion_name],0))</f>
        <v>0.22259999999999999</v>
      </c>
      <c r="G170" s="13">
        <f t="shared" si="10"/>
        <v>-0.26090000000000002</v>
      </c>
      <c r="H170" s="13">
        <f>INDEX(tblModelPromotion[aov_lift_pct],MATCH(A170,tblModelPromotion[promotion_name],0))</f>
        <v>-0.13880000000000001</v>
      </c>
      <c r="I170" t="str">
        <f t="shared" si="11"/>
        <v>Discontinue - high margin cost, weak lift</v>
      </c>
    </row>
    <row r="171" spans="1:9" x14ac:dyDescent="0.3">
      <c r="A171" t="str">
        <f>INDEX(tblModelPromotion[promotion_name],MATCH("Festive Jan2022 - 25% Off",tblModelPromotion[promotion_name],0))</f>
        <v>Festive Jan2022 - 25% Off</v>
      </c>
      <c r="B171" t="str">
        <f>INDEX(tblModelPromotion[promotion_type],MATCH(A171,tblModelPromotion[promotion_name],0))</f>
        <v>Festive</v>
      </c>
      <c r="C171" s="13">
        <f>INDEX(tblModelPromotion[discount_pct],MATCH(A171,tblModelPromotion[promotion_name],0))/100</f>
        <v>0.25</v>
      </c>
      <c r="D171" s="12">
        <f>INDEX(tblModelPromotion[revenue],MATCH(A171,tblModelPromotion[promotion_name],0))</f>
        <v>70324026</v>
      </c>
      <c r="E171" s="13">
        <f>INDEX(tblModelPromotion[margin_pct],MATCH(A171,tblModelPromotion[promotion_name],0))</f>
        <v>-3.8399999999999997E-2</v>
      </c>
      <c r="F171" s="13">
        <f>INDEX(tblModelPromotion[baseline_margin_pct],MATCH(A171,tblModelPromotion[promotion_name],0))</f>
        <v>0.22259999999999999</v>
      </c>
      <c r="G171" s="13">
        <f t="shared" si="10"/>
        <v>-0.26100000000000001</v>
      </c>
      <c r="H171" s="13">
        <f>INDEX(tblModelPromotion[aov_lift_pct],MATCH(A171,tblModelPromotion[promotion_name],0))</f>
        <v>-0.1074</v>
      </c>
      <c r="I171" t="str">
        <f t="shared" si="11"/>
        <v>Discontinue - high margin cost, weak lift</v>
      </c>
    </row>
    <row r="172" spans="1:9" x14ac:dyDescent="0.3">
      <c r="A172" t="str">
        <f>INDEX(tblModelPromotion[promotion_name],MATCH("Festive Apr2022 - 25% Off",tblModelPromotion[promotion_name],0))</f>
        <v>Festive Apr2022 - 25% Off</v>
      </c>
      <c r="B172" t="str">
        <f>INDEX(tblModelPromotion[promotion_type],MATCH(A172,tblModelPromotion[promotion_name],0))</f>
        <v>Festive</v>
      </c>
      <c r="C172" s="13">
        <f>INDEX(tblModelPromotion[discount_pct],MATCH(A172,tblModelPromotion[promotion_name],0))/100</f>
        <v>0.25</v>
      </c>
      <c r="D172" s="12">
        <f>INDEX(tblModelPromotion[revenue],MATCH(A172,tblModelPromotion[promotion_name],0))</f>
        <v>53827228</v>
      </c>
      <c r="E172" s="13">
        <f>INDEX(tblModelPromotion[margin_pct],MATCH(A172,tblModelPromotion[promotion_name],0))</f>
        <v>-0.04</v>
      </c>
      <c r="F172" s="13">
        <f>INDEX(tblModelPromotion[baseline_margin_pct],MATCH(A172,tblModelPromotion[promotion_name],0))</f>
        <v>0.22259999999999999</v>
      </c>
      <c r="G172" s="13">
        <f t="shared" si="10"/>
        <v>-0.2626</v>
      </c>
      <c r="H172" s="13">
        <f>INDEX(tblModelPromotion[aov_lift_pct],MATCH(A172,tblModelPromotion[promotion_name],0))</f>
        <v>-9.5600000000000004E-2</v>
      </c>
      <c r="I172" t="str">
        <f t="shared" si="11"/>
        <v>Discontinue - high margin cost, weak lift</v>
      </c>
    </row>
    <row r="173" spans="1:9" x14ac:dyDescent="0.3">
      <c r="A173" t="str">
        <f>INDEX(tblModelPromotion[promotion_name],MATCH("Seasonal May2023 - 25% Off",tblModelPromotion[promotion_name],0))</f>
        <v>Seasonal May2023 - 25% Off</v>
      </c>
      <c r="B173" t="str">
        <f>INDEX(tblModelPromotion[promotion_type],MATCH(A173,tblModelPromotion[promotion_name],0))</f>
        <v>Seasonal</v>
      </c>
      <c r="C173" s="13">
        <f>INDEX(tblModelPromotion[discount_pct],MATCH(A173,tblModelPromotion[promotion_name],0))/100</f>
        <v>0.25</v>
      </c>
      <c r="D173" s="12">
        <f>INDEX(tblModelPromotion[revenue],MATCH(A173,tblModelPromotion[promotion_name],0))</f>
        <v>37233278</v>
      </c>
      <c r="E173" s="13">
        <f>INDEX(tblModelPromotion[margin_pct],MATCH(A173,tblModelPromotion[promotion_name],0))</f>
        <v>-4.0300000000000002E-2</v>
      </c>
      <c r="F173" s="13">
        <f>INDEX(tblModelPromotion[baseline_margin_pct],MATCH(A173,tblModelPromotion[promotion_name],0))</f>
        <v>0.22259999999999999</v>
      </c>
      <c r="G173" s="13">
        <f t="shared" si="10"/>
        <v>-0.26290000000000002</v>
      </c>
      <c r="H173" s="13">
        <f>INDEX(tblModelPromotion[aov_lift_pct],MATCH(A173,tblModelPromotion[promotion_name],0))</f>
        <v>-7.9500000000000001E-2</v>
      </c>
      <c r="I173" t="str">
        <f t="shared" si="11"/>
        <v>Discontinue - high margin cost, weak lift</v>
      </c>
    </row>
    <row r="174" spans="1:9" x14ac:dyDescent="0.3">
      <c r="A174" t="str">
        <f>INDEX(tblModelPromotion[promotion_name],MATCH("Festive Mar2024 - 25% Off",tblModelPromotion[promotion_name],0))</f>
        <v>Festive Mar2024 - 25% Off</v>
      </c>
      <c r="B174" t="str">
        <f>INDEX(tblModelPromotion[promotion_type],MATCH(A174,tblModelPromotion[promotion_name],0))</f>
        <v>Festive</v>
      </c>
      <c r="C174" s="13">
        <f>INDEX(tblModelPromotion[discount_pct],MATCH(A174,tblModelPromotion[promotion_name],0))/100</f>
        <v>0.25</v>
      </c>
      <c r="D174" s="12">
        <f>INDEX(tblModelPromotion[revenue],MATCH(A174,tblModelPromotion[promotion_name],0))</f>
        <v>34751406</v>
      </c>
      <c r="E174" s="13">
        <f>INDEX(tblModelPromotion[margin_pct],MATCH(A174,tblModelPromotion[promotion_name],0))</f>
        <v>-4.1500000000000002E-2</v>
      </c>
      <c r="F174" s="13">
        <f>INDEX(tblModelPromotion[baseline_margin_pct],MATCH(A174,tblModelPromotion[promotion_name],0))</f>
        <v>0.22259999999999999</v>
      </c>
      <c r="G174" s="13">
        <f t="shared" si="10"/>
        <v>-0.2641</v>
      </c>
      <c r="H174" s="13">
        <f>INDEX(tblModelPromotion[aov_lift_pct],MATCH(A174,tblModelPromotion[promotion_name],0))</f>
        <v>-0.1031</v>
      </c>
      <c r="I174" t="str">
        <f t="shared" si="11"/>
        <v>Discontinue - high margin cost, weak lift</v>
      </c>
    </row>
    <row r="175" spans="1:9" x14ac:dyDescent="0.3">
      <c r="A175" t="str">
        <f>INDEX(tblModelPromotion[promotion_name],MATCH("Seasonal Sep2021 - 25% Off",tblModelPromotion[promotion_name],0))</f>
        <v>Seasonal Sep2021 - 25% Off</v>
      </c>
      <c r="B175" t="str">
        <f>INDEX(tblModelPromotion[promotion_type],MATCH(A175,tblModelPromotion[promotion_name],0))</f>
        <v>Seasonal</v>
      </c>
      <c r="C175" s="13">
        <f>INDEX(tblModelPromotion[discount_pct],MATCH(A175,tblModelPromotion[promotion_name],0))/100</f>
        <v>0.25</v>
      </c>
      <c r="D175" s="12">
        <f>INDEX(tblModelPromotion[revenue],MATCH(A175,tblModelPromotion[promotion_name],0))</f>
        <v>15342004</v>
      </c>
      <c r="E175" s="13">
        <f>INDEX(tblModelPromotion[margin_pct],MATCH(A175,tblModelPromotion[promotion_name],0))</f>
        <v>-4.58E-2</v>
      </c>
      <c r="F175" s="13">
        <f>INDEX(tblModelPromotion[baseline_margin_pct],MATCH(A175,tblModelPromotion[promotion_name],0))</f>
        <v>0.22259999999999999</v>
      </c>
      <c r="G175" s="13">
        <f t="shared" si="10"/>
        <v>-0.26839999999999997</v>
      </c>
      <c r="H175" s="13">
        <f>INDEX(tblModelPromotion[aov_lift_pct],MATCH(A175,tblModelPromotion[promotion_name],0))</f>
        <v>-6.5100000000000005E-2</v>
      </c>
      <c r="I175" t="str">
        <f t="shared" si="11"/>
        <v>Discontinue - high margin cost, weak lift</v>
      </c>
    </row>
    <row r="176" spans="1:9" x14ac:dyDescent="0.3">
      <c r="A176" t="str">
        <f>INDEX(tblModelPromotion[promotion_name],MATCH("Festive Apr2023 - 25% Off",tblModelPromotion[promotion_name],0))</f>
        <v>Festive Apr2023 - 25% Off</v>
      </c>
      <c r="B176" t="str">
        <f>INDEX(tblModelPromotion[promotion_type],MATCH(A176,tblModelPromotion[promotion_name],0))</f>
        <v>Festive</v>
      </c>
      <c r="C176" s="13">
        <f>INDEX(tblModelPromotion[discount_pct],MATCH(A176,tblModelPromotion[promotion_name],0))/100</f>
        <v>0.25</v>
      </c>
      <c r="D176" s="12">
        <f>INDEX(tblModelPromotion[revenue],MATCH(A176,tblModelPromotion[promotion_name],0))</f>
        <v>30779711</v>
      </c>
      <c r="E176" s="13">
        <f>INDEX(tblModelPromotion[margin_pct],MATCH(A176,tblModelPromotion[promotion_name],0))</f>
        <v>-4.7E-2</v>
      </c>
      <c r="F176" s="13">
        <f>INDEX(tblModelPromotion[baseline_margin_pct],MATCH(A176,tblModelPromotion[promotion_name],0))</f>
        <v>0.22259999999999999</v>
      </c>
      <c r="G176" s="13">
        <f t="shared" si="10"/>
        <v>-0.26960000000000001</v>
      </c>
      <c r="H176" s="13">
        <f>INDEX(tblModelPromotion[aov_lift_pct],MATCH(A176,tblModelPromotion[promotion_name],0))</f>
        <v>-7.1800000000000003E-2</v>
      </c>
      <c r="I176" t="str">
        <f t="shared" si="11"/>
        <v>Discontinue - high margin cost, weak lift</v>
      </c>
    </row>
    <row r="177" spans="1:9" x14ac:dyDescent="0.3">
      <c r="A177" t="str">
        <f>INDEX(tblModelPromotion[promotion_name],MATCH("Loyalty Jun2021 - 25% Off",tblModelPromotion[promotion_name],0))</f>
        <v>Loyalty Jun2021 - 25% Off</v>
      </c>
      <c r="B177" t="str">
        <f>INDEX(tblModelPromotion[promotion_type],MATCH(A177,tblModelPromotion[promotion_name],0))</f>
        <v>Loyalty</v>
      </c>
      <c r="C177" s="13">
        <f>INDEX(tblModelPromotion[discount_pct],MATCH(A177,tblModelPromotion[promotion_name],0))/100</f>
        <v>0.25</v>
      </c>
      <c r="D177" s="12">
        <f>INDEX(tblModelPromotion[revenue],MATCH(A177,tblModelPromotion[promotion_name],0))</f>
        <v>10199470</v>
      </c>
      <c r="E177" s="13">
        <f>INDEX(tblModelPromotion[margin_pct],MATCH(A177,tblModelPromotion[promotion_name],0))</f>
        <v>-4.8399999999999999E-2</v>
      </c>
      <c r="F177" s="13">
        <f>INDEX(tblModelPromotion[baseline_margin_pct],MATCH(A177,tblModelPromotion[promotion_name],0))</f>
        <v>0.22259999999999999</v>
      </c>
      <c r="G177" s="13">
        <f t="shared" si="10"/>
        <v>-0.27100000000000002</v>
      </c>
      <c r="H177" s="13">
        <f>INDEX(tblModelPromotion[aov_lift_pct],MATCH(A177,tblModelPromotion[promotion_name],0))</f>
        <v>-0.2117</v>
      </c>
      <c r="I177" t="str">
        <f t="shared" si="11"/>
        <v>Discontinue - high margin cost, weak lift</v>
      </c>
    </row>
    <row r="178" spans="1:9" x14ac:dyDescent="0.3">
      <c r="A178" t="str">
        <f>INDEX(tblModelPromotion[promotion_name],MATCH("Flash Sale Oct2022 - 30% Off",tblModelPromotion[promotion_name],0))</f>
        <v>Flash Sale Oct2022 - 30% Off</v>
      </c>
      <c r="B178" t="str">
        <f>INDEX(tblModelPromotion[promotion_type],MATCH(A178,tblModelPromotion[promotion_name],0))</f>
        <v>Flash Sale</v>
      </c>
      <c r="C178" s="13">
        <f>INDEX(tblModelPromotion[discount_pct],MATCH(A178,tblModelPromotion[promotion_name],0))/100</f>
        <v>0.3</v>
      </c>
      <c r="D178" s="12">
        <f>INDEX(tblModelPromotion[revenue],MATCH(A178,tblModelPromotion[promotion_name],0))</f>
        <v>33193398</v>
      </c>
      <c r="E178" s="13">
        <f>INDEX(tblModelPromotion[margin_pct],MATCH(A178,tblModelPromotion[promotion_name],0))</f>
        <v>-0.1028</v>
      </c>
      <c r="F178" s="13">
        <f>INDEX(tblModelPromotion[baseline_margin_pct],MATCH(A178,tblModelPromotion[promotion_name],0))</f>
        <v>0.22259999999999999</v>
      </c>
      <c r="G178" s="13">
        <f t="shared" si="10"/>
        <v>-0.32540000000000002</v>
      </c>
      <c r="H178" s="13">
        <f>INDEX(tblModelPromotion[aov_lift_pct],MATCH(A178,tblModelPromotion[promotion_name],0))</f>
        <v>-0.2477</v>
      </c>
      <c r="I178" t="str">
        <f t="shared" si="11"/>
        <v>Discontinue - high margin cost, weak lift</v>
      </c>
    </row>
    <row r="179" spans="1:9" x14ac:dyDescent="0.3">
      <c r="A179" t="str">
        <f>INDEX(tblModelPromotion[promotion_name],MATCH("Festive Nov2023 - 30% Off",tblModelPromotion[promotion_name],0))</f>
        <v>Festive Nov2023 - 30% Off</v>
      </c>
      <c r="B179" t="str">
        <f>INDEX(tblModelPromotion[promotion_type],MATCH(A179,tblModelPromotion[promotion_name],0))</f>
        <v>Festive</v>
      </c>
      <c r="C179" s="13">
        <f>INDEX(tblModelPromotion[discount_pct],MATCH(A179,tblModelPromotion[promotion_name],0))/100</f>
        <v>0.3</v>
      </c>
      <c r="D179" s="12">
        <f>INDEX(tblModelPromotion[revenue],MATCH(A179,tblModelPromotion[promotion_name],0))</f>
        <v>52028556</v>
      </c>
      <c r="E179" s="13">
        <f>INDEX(tblModelPromotion[margin_pct],MATCH(A179,tblModelPromotion[promotion_name],0))</f>
        <v>-0.1045</v>
      </c>
      <c r="F179" s="13">
        <f>INDEX(tblModelPromotion[baseline_margin_pct],MATCH(A179,tblModelPromotion[promotion_name],0))</f>
        <v>0.22259999999999999</v>
      </c>
      <c r="G179" s="13">
        <f t="shared" si="10"/>
        <v>-0.3271</v>
      </c>
      <c r="H179" s="13">
        <f>INDEX(tblModelPromotion[aov_lift_pct],MATCH(A179,tblModelPromotion[promotion_name],0))</f>
        <v>-0.18459999999999999</v>
      </c>
      <c r="I179" t="str">
        <f t="shared" si="11"/>
        <v>Discontinue - high margin cost, weak lift</v>
      </c>
    </row>
    <row r="180" spans="1:9" x14ac:dyDescent="0.3">
      <c r="A180" t="str">
        <f>INDEX(tblModelPromotion[promotion_name],MATCH("Flash Sale Jan2021 - 30% Off",tblModelPromotion[promotion_name],0))</f>
        <v>Flash Sale Jan2021 - 30% Off</v>
      </c>
      <c r="B180" t="str">
        <f>INDEX(tblModelPromotion[promotion_type],MATCH(A180,tblModelPromotion[promotion_name],0))</f>
        <v>Flash Sale</v>
      </c>
      <c r="C180" s="13">
        <f>INDEX(tblModelPromotion[discount_pct],MATCH(A180,tblModelPromotion[promotion_name],0))/100</f>
        <v>0.3</v>
      </c>
      <c r="D180" s="12">
        <f>INDEX(tblModelPromotion[revenue],MATCH(A180,tblModelPromotion[promotion_name],0))</f>
        <v>44083942</v>
      </c>
      <c r="E180" s="13">
        <f>INDEX(tblModelPromotion[margin_pct],MATCH(A180,tblModelPromotion[promotion_name],0))</f>
        <v>-0.1055</v>
      </c>
      <c r="F180" s="13">
        <f>INDEX(tblModelPromotion[baseline_margin_pct],MATCH(A180,tblModelPromotion[promotion_name],0))</f>
        <v>0.22259999999999999</v>
      </c>
      <c r="G180" s="13">
        <f t="shared" si="10"/>
        <v>-0.3281</v>
      </c>
      <c r="H180" s="13">
        <f>INDEX(tblModelPromotion[aov_lift_pct],MATCH(A180,tblModelPromotion[promotion_name],0))</f>
        <v>-0.20949999999999999</v>
      </c>
      <c r="I180" t="str">
        <f t="shared" si="11"/>
        <v>Discontinue - high margin cost, weak lift</v>
      </c>
    </row>
    <row r="181" spans="1:9" x14ac:dyDescent="0.3">
      <c r="A181" t="str">
        <f>INDEX(tblModelPromotion[promotion_name],MATCH("Festive Jun2021 - 30% Off",tblModelPromotion[promotion_name],0))</f>
        <v>Festive Jun2021 - 30% Off</v>
      </c>
      <c r="B181" t="str">
        <f>INDEX(tblModelPromotion[promotion_type],MATCH(A181,tblModelPromotion[promotion_name],0))</f>
        <v>Festive</v>
      </c>
      <c r="C181" s="13">
        <f>INDEX(tblModelPromotion[discount_pct],MATCH(A181,tblModelPromotion[promotion_name],0))/100</f>
        <v>0.3</v>
      </c>
      <c r="D181" s="12">
        <f>INDEX(tblModelPromotion[revenue],MATCH(A181,tblModelPromotion[promotion_name],0))</f>
        <v>21919289</v>
      </c>
      <c r="E181" s="13">
        <f>INDEX(tblModelPromotion[margin_pct],MATCH(A181,tblModelPromotion[promotion_name],0))</f>
        <v>-0.1062</v>
      </c>
      <c r="F181" s="13">
        <f>INDEX(tblModelPromotion[baseline_margin_pct],MATCH(A181,tblModelPromotion[promotion_name],0))</f>
        <v>0.22259999999999999</v>
      </c>
      <c r="G181" s="13">
        <f t="shared" si="10"/>
        <v>-0.32879999999999998</v>
      </c>
      <c r="H181" s="13">
        <f>INDEX(tblModelPromotion[aov_lift_pct],MATCH(A181,tblModelPromotion[promotion_name],0))</f>
        <v>-0.23719999999999999</v>
      </c>
      <c r="I181" t="str">
        <f t="shared" si="11"/>
        <v>Discontinue - high margin cost, weak lift</v>
      </c>
    </row>
    <row r="182" spans="1:9" x14ac:dyDescent="0.3">
      <c r="A182" t="str">
        <f>INDEX(tblModelPromotion[promotion_name],MATCH("Festive May2022 - 30% Off",tblModelPromotion[promotion_name],0))</f>
        <v>Festive May2022 - 30% Off</v>
      </c>
      <c r="B182" t="str">
        <f>INDEX(tblModelPromotion[promotion_type],MATCH(A182,tblModelPromotion[promotion_name],0))</f>
        <v>Festive</v>
      </c>
      <c r="C182" s="13">
        <f>INDEX(tblModelPromotion[discount_pct],MATCH(A182,tblModelPromotion[promotion_name],0))/100</f>
        <v>0.3</v>
      </c>
      <c r="D182" s="12">
        <f>INDEX(tblModelPromotion[revenue],MATCH(A182,tblModelPromotion[promotion_name],0))</f>
        <v>24964958</v>
      </c>
      <c r="E182" s="13">
        <f>INDEX(tblModelPromotion[margin_pct],MATCH(A182,tblModelPromotion[promotion_name],0))</f>
        <v>-0.1076</v>
      </c>
      <c r="F182" s="13">
        <f>INDEX(tblModelPromotion[baseline_margin_pct],MATCH(A182,tblModelPromotion[promotion_name],0))</f>
        <v>0.22259999999999999</v>
      </c>
      <c r="G182" s="13">
        <f t="shared" si="10"/>
        <v>-0.33019999999999999</v>
      </c>
      <c r="H182" s="13">
        <f>INDEX(tblModelPromotion[aov_lift_pct],MATCH(A182,tblModelPromotion[promotion_name],0))</f>
        <v>-0.20300000000000001</v>
      </c>
      <c r="I182" t="str">
        <f t="shared" si="11"/>
        <v>Discontinue - high margin cost, weak lift</v>
      </c>
    </row>
    <row r="183" spans="1:9" x14ac:dyDescent="0.3">
      <c r="A183" t="str">
        <f>INDEX(tblModelPromotion[promotion_name],MATCH("Flash Sale Apr2024 - 30% Off",tblModelPromotion[promotion_name],0))</f>
        <v>Flash Sale Apr2024 - 30% Off</v>
      </c>
      <c r="B183" t="str">
        <f>INDEX(tblModelPromotion[promotion_type],MATCH(A183,tblModelPromotion[promotion_name],0))</f>
        <v>Flash Sale</v>
      </c>
      <c r="C183" s="13">
        <f>INDEX(tblModelPromotion[discount_pct],MATCH(A183,tblModelPromotion[promotion_name],0))/100</f>
        <v>0.3</v>
      </c>
      <c r="D183" s="12">
        <f>INDEX(tblModelPromotion[revenue],MATCH(A183,tblModelPromotion[promotion_name],0))</f>
        <v>19215203</v>
      </c>
      <c r="E183" s="13">
        <f>INDEX(tblModelPromotion[margin_pct],MATCH(A183,tblModelPromotion[promotion_name],0))</f>
        <v>-0.1082</v>
      </c>
      <c r="F183" s="13">
        <f>INDEX(tblModelPromotion[baseline_margin_pct],MATCH(A183,tblModelPromotion[promotion_name],0))</f>
        <v>0.22259999999999999</v>
      </c>
      <c r="G183" s="13">
        <f t="shared" si="10"/>
        <v>-0.33079999999999998</v>
      </c>
      <c r="H183" s="13">
        <f>INDEX(tblModelPromotion[aov_lift_pct],MATCH(A183,tblModelPromotion[promotion_name],0))</f>
        <v>-0.1797</v>
      </c>
      <c r="I183" t="str">
        <f t="shared" si="11"/>
        <v>Discontinue - high margin cost, weak lift</v>
      </c>
    </row>
    <row r="184" spans="1:9" x14ac:dyDescent="0.3">
      <c r="A184" t="str">
        <f>INDEX(tblModelPromotion[promotion_name],MATCH("Clearance Sep2023 - 30% Off",tblModelPromotion[promotion_name],0))</f>
        <v>Clearance Sep2023 - 30% Off</v>
      </c>
      <c r="B184" t="str">
        <f>INDEX(tblModelPromotion[promotion_type],MATCH(A184,tblModelPromotion[promotion_name],0))</f>
        <v>Clearance</v>
      </c>
      <c r="C184" s="13">
        <f>INDEX(tblModelPromotion[discount_pct],MATCH(A184,tblModelPromotion[promotion_name],0))/100</f>
        <v>0.3</v>
      </c>
      <c r="D184" s="12">
        <f>INDEX(tblModelPromotion[revenue],MATCH(A184,tblModelPromotion[promotion_name],0))</f>
        <v>31649269</v>
      </c>
      <c r="E184" s="13">
        <f>INDEX(tblModelPromotion[margin_pct],MATCH(A184,tblModelPromotion[promotion_name],0))</f>
        <v>-0.1104</v>
      </c>
      <c r="F184" s="13">
        <f>INDEX(tblModelPromotion[baseline_margin_pct],MATCH(A184,tblModelPromotion[promotion_name],0))</f>
        <v>0.22259999999999999</v>
      </c>
      <c r="G184" s="13">
        <f t="shared" si="10"/>
        <v>-0.33299999999999996</v>
      </c>
      <c r="H184" s="13">
        <f>INDEX(tblModelPromotion[aov_lift_pct],MATCH(A184,tblModelPromotion[promotion_name],0))</f>
        <v>-0.13289999999999999</v>
      </c>
      <c r="I184" t="str">
        <f t="shared" si="11"/>
        <v>Discontinue - high margin cost, weak lift</v>
      </c>
    </row>
    <row r="185" spans="1:9" x14ac:dyDescent="0.3">
      <c r="A185" t="str">
        <f>INDEX(tblModelPromotion[promotion_name],MATCH("Festive Mar2022 - 30% Off",tblModelPromotion[promotion_name],0))</f>
        <v>Festive Mar2022 - 30% Off</v>
      </c>
      <c r="B185" t="str">
        <f>INDEX(tblModelPromotion[promotion_type],MATCH(A185,tblModelPromotion[promotion_name],0))</f>
        <v>Festive</v>
      </c>
      <c r="C185" s="13">
        <f>INDEX(tblModelPromotion[discount_pct],MATCH(A185,tblModelPromotion[promotion_name],0))/100</f>
        <v>0.3</v>
      </c>
      <c r="D185" s="12">
        <f>INDEX(tblModelPromotion[revenue],MATCH(A185,tblModelPromotion[promotion_name],0))</f>
        <v>48141896</v>
      </c>
      <c r="E185" s="13">
        <f>INDEX(tblModelPromotion[margin_pct],MATCH(A185,tblModelPromotion[promotion_name],0))</f>
        <v>-0.1105</v>
      </c>
      <c r="F185" s="13">
        <f>INDEX(tblModelPromotion[baseline_margin_pct],MATCH(A185,tblModelPromotion[promotion_name],0))</f>
        <v>0.22259999999999999</v>
      </c>
      <c r="G185" s="13">
        <f t="shared" si="10"/>
        <v>-0.33310000000000001</v>
      </c>
      <c r="H185" s="13">
        <f>INDEX(tblModelPromotion[aov_lift_pct],MATCH(A185,tblModelPromotion[promotion_name],0))</f>
        <v>-0.11509999999999999</v>
      </c>
      <c r="I185" t="str">
        <f t="shared" si="11"/>
        <v>Discontinue - high margin cost, weak lift</v>
      </c>
    </row>
    <row r="186" spans="1:9" x14ac:dyDescent="0.3">
      <c r="A186" t="str">
        <f>INDEX(tblModelPromotion[promotion_name],MATCH("Loyalty Nov2023 - 30% Off",tblModelPromotion[promotion_name],0))</f>
        <v>Loyalty Nov2023 - 30% Off</v>
      </c>
      <c r="B186" t="str">
        <f>INDEX(tblModelPromotion[promotion_type],MATCH(A186,tblModelPromotion[promotion_name],0))</f>
        <v>Loyalty</v>
      </c>
      <c r="C186" s="13">
        <f>INDEX(tblModelPromotion[discount_pct],MATCH(A186,tblModelPromotion[promotion_name],0))/100</f>
        <v>0.3</v>
      </c>
      <c r="D186" s="12">
        <f>INDEX(tblModelPromotion[revenue],MATCH(A186,tblModelPromotion[promotion_name],0))</f>
        <v>124049338</v>
      </c>
      <c r="E186" s="13">
        <f>INDEX(tblModelPromotion[margin_pct],MATCH(A186,tblModelPromotion[promotion_name],0))</f>
        <v>-0.1105</v>
      </c>
      <c r="F186" s="13">
        <f>INDEX(tblModelPromotion[baseline_margin_pct],MATCH(A186,tblModelPromotion[promotion_name],0))</f>
        <v>0.22259999999999999</v>
      </c>
      <c r="G186" s="13">
        <f t="shared" si="10"/>
        <v>-0.33310000000000001</v>
      </c>
      <c r="H186" s="13">
        <f>INDEX(tblModelPromotion[aov_lift_pct],MATCH(A186,tblModelPromotion[promotion_name],0))</f>
        <v>-0.186</v>
      </c>
      <c r="I186" t="str">
        <f t="shared" si="11"/>
        <v>Discontinue - high margin cost, weak lift</v>
      </c>
    </row>
    <row r="187" spans="1:9" x14ac:dyDescent="0.3">
      <c r="A187" t="str">
        <f>INDEX(tblModelPromotion[promotion_name],MATCH("Seasonal Mar2022 - 30% Off",tblModelPromotion[promotion_name],0))</f>
        <v>Seasonal Mar2022 - 30% Off</v>
      </c>
      <c r="B187" t="str">
        <f>INDEX(tblModelPromotion[promotion_type],MATCH(A187,tblModelPromotion[promotion_name],0))</f>
        <v>Seasonal</v>
      </c>
      <c r="C187" s="13">
        <f>INDEX(tblModelPromotion[discount_pct],MATCH(A187,tblModelPromotion[promotion_name],0))/100</f>
        <v>0.3</v>
      </c>
      <c r="D187" s="12">
        <f>INDEX(tblModelPromotion[revenue],MATCH(A187,tblModelPromotion[promotion_name],0))</f>
        <v>26001460</v>
      </c>
      <c r="E187" s="13">
        <f>INDEX(tblModelPromotion[margin_pct],MATCH(A187,tblModelPromotion[promotion_name],0))</f>
        <v>-0.11119999999999999</v>
      </c>
      <c r="F187" s="13">
        <f>INDEX(tblModelPromotion[baseline_margin_pct],MATCH(A187,tblModelPromotion[promotion_name],0))</f>
        <v>0.22259999999999999</v>
      </c>
      <c r="G187" s="13">
        <f t="shared" si="10"/>
        <v>-0.33379999999999999</v>
      </c>
      <c r="H187" s="13">
        <f>INDEX(tblModelPromotion[aov_lift_pct],MATCH(A187,tblModelPromotion[promotion_name],0))</f>
        <v>-5.7200000000000001E-2</v>
      </c>
      <c r="I187" t="str">
        <f t="shared" si="11"/>
        <v>Discontinue - high margin cost, weak lift</v>
      </c>
    </row>
    <row r="188" spans="1:9" x14ac:dyDescent="0.3">
      <c r="A188" t="str">
        <f>INDEX(tblModelPromotion[promotion_name],MATCH("Flash Sale Jun2022 - 30% Off",tblModelPromotion[promotion_name],0))</f>
        <v>Flash Sale Jun2022 - 30% Off</v>
      </c>
      <c r="B188" t="str">
        <f>INDEX(tblModelPromotion[promotion_type],MATCH(A188,tblModelPromotion[promotion_name],0))</f>
        <v>Flash Sale</v>
      </c>
      <c r="C188" s="13">
        <f>INDEX(tblModelPromotion[discount_pct],MATCH(A188,tblModelPromotion[promotion_name],0))/100</f>
        <v>0.3</v>
      </c>
      <c r="D188" s="12">
        <f>INDEX(tblModelPromotion[revenue],MATCH(A188,tblModelPromotion[promotion_name],0))</f>
        <v>111883993</v>
      </c>
      <c r="E188" s="13">
        <f>INDEX(tblModelPromotion[margin_pct],MATCH(A188,tblModelPromotion[promotion_name],0))</f>
        <v>-0.1123</v>
      </c>
      <c r="F188" s="13">
        <f>INDEX(tblModelPromotion[baseline_margin_pct],MATCH(A188,tblModelPromotion[promotion_name],0))</f>
        <v>0.22259999999999999</v>
      </c>
      <c r="G188" s="13">
        <f t="shared" si="10"/>
        <v>-0.33489999999999998</v>
      </c>
      <c r="H188" s="13">
        <f>INDEX(tblModelPromotion[aov_lift_pct],MATCH(A188,tblModelPromotion[promotion_name],0))</f>
        <v>-0.1552</v>
      </c>
      <c r="I188" t="str">
        <f t="shared" si="11"/>
        <v>Discontinue - high margin cost, weak lift</v>
      </c>
    </row>
    <row r="189" spans="1:9" x14ac:dyDescent="0.3">
      <c r="A189" t="str">
        <f>INDEX(tblModelPromotion[promotion_name],MATCH("Clearance Mar2024 - 30% Off",tblModelPromotion[promotion_name],0))</f>
        <v>Clearance Mar2024 - 30% Off</v>
      </c>
      <c r="B189" t="str">
        <f>INDEX(tblModelPromotion[promotion_type],MATCH(A189,tblModelPromotion[promotion_name],0))</f>
        <v>Clearance</v>
      </c>
      <c r="C189" s="13">
        <f>INDEX(tblModelPromotion[discount_pct],MATCH(A189,tblModelPromotion[promotion_name],0))/100</f>
        <v>0.3</v>
      </c>
      <c r="D189" s="12">
        <f>INDEX(tblModelPromotion[revenue],MATCH(A189,tblModelPromotion[promotion_name],0))</f>
        <v>14060331</v>
      </c>
      <c r="E189" s="13">
        <f>INDEX(tblModelPromotion[margin_pct],MATCH(A189,tblModelPromotion[promotion_name],0))</f>
        <v>-0.1142</v>
      </c>
      <c r="F189" s="13">
        <f>INDEX(tblModelPromotion[baseline_margin_pct],MATCH(A189,tblModelPromotion[promotion_name],0))</f>
        <v>0.22259999999999999</v>
      </c>
      <c r="G189" s="13">
        <f t="shared" si="10"/>
        <v>-0.33679999999999999</v>
      </c>
      <c r="H189" s="13">
        <f>INDEX(tblModelPromotion[aov_lift_pct],MATCH(A189,tblModelPromotion[promotion_name],0))</f>
        <v>-0.1176</v>
      </c>
      <c r="I189" t="str">
        <f t="shared" si="11"/>
        <v>Discontinue - high margin cost, weak lift</v>
      </c>
    </row>
    <row r="190" spans="1:9" x14ac:dyDescent="0.3">
      <c r="A190" t="str">
        <f>INDEX(tblModelPromotion[promotion_name],MATCH("Flash Sale Feb2021 - 30% Off",tblModelPromotion[promotion_name],0))</f>
        <v>Flash Sale Feb2021 - 30% Off</v>
      </c>
      <c r="B190" t="str">
        <f>INDEX(tblModelPromotion[promotion_type],MATCH(A190,tblModelPromotion[promotion_name],0))</f>
        <v>Flash Sale</v>
      </c>
      <c r="C190" s="13">
        <f>INDEX(tblModelPromotion[discount_pct],MATCH(A190,tblModelPromotion[promotion_name],0))/100</f>
        <v>0.3</v>
      </c>
      <c r="D190" s="12">
        <f>INDEX(tblModelPromotion[revenue],MATCH(A190,tblModelPromotion[promotion_name],0))</f>
        <v>18176032</v>
      </c>
      <c r="E190" s="13">
        <f>INDEX(tblModelPromotion[margin_pct],MATCH(A190,tblModelPromotion[promotion_name],0))</f>
        <v>-0.115</v>
      </c>
      <c r="F190" s="13">
        <f>INDEX(tblModelPromotion[baseline_margin_pct],MATCH(A190,tblModelPromotion[promotion_name],0))</f>
        <v>0.22259999999999999</v>
      </c>
      <c r="G190" s="13">
        <f t="shared" si="10"/>
        <v>-0.33760000000000001</v>
      </c>
      <c r="H190" s="13">
        <f>INDEX(tblModelPromotion[aov_lift_pct],MATCH(A190,tblModelPromotion[promotion_name],0))</f>
        <v>-0.11609999999999999</v>
      </c>
      <c r="I190" t="str">
        <f t="shared" si="11"/>
        <v>Discontinue - high margin cost, weak lift</v>
      </c>
    </row>
    <row r="191" spans="1:9" x14ac:dyDescent="0.3">
      <c r="A191" t="str">
        <f>INDEX(tblModelPromotion[promotion_name],MATCH("Festive Apr2021 - 30% Off",tblModelPromotion[promotion_name],0))</f>
        <v>Festive Apr2021 - 30% Off</v>
      </c>
      <c r="B191" t="str">
        <f>INDEX(tblModelPromotion[promotion_type],MATCH(A191,tblModelPromotion[promotion_name],0))</f>
        <v>Festive</v>
      </c>
      <c r="C191" s="13">
        <f>INDEX(tblModelPromotion[discount_pct],MATCH(A191,tblModelPromotion[promotion_name],0))/100</f>
        <v>0.3</v>
      </c>
      <c r="D191" s="12">
        <f>INDEX(tblModelPromotion[revenue],MATCH(A191,tblModelPromotion[promotion_name],0))</f>
        <v>46360686</v>
      </c>
      <c r="E191" s="13">
        <f>INDEX(tblModelPromotion[margin_pct],MATCH(A191,tblModelPromotion[promotion_name],0))</f>
        <v>-0.1162</v>
      </c>
      <c r="F191" s="13">
        <f>INDEX(tblModelPromotion[baseline_margin_pct],MATCH(A191,tblModelPromotion[promotion_name],0))</f>
        <v>0.22259999999999999</v>
      </c>
      <c r="G191" s="13">
        <f t="shared" si="10"/>
        <v>-0.33879999999999999</v>
      </c>
      <c r="H191" s="13">
        <f>INDEX(tblModelPromotion[aov_lift_pct],MATCH(A191,tblModelPromotion[promotion_name],0))</f>
        <v>-0.14249999999999999</v>
      </c>
      <c r="I191" t="str">
        <f t="shared" si="11"/>
        <v>Discontinue - high margin cost, weak lift</v>
      </c>
    </row>
    <row r="192" spans="1:9" x14ac:dyDescent="0.3">
      <c r="A192" t="str">
        <f>INDEX(tblModelPromotion[promotion_name],MATCH("Seasonal Jan2023 - 30% Off",tblModelPromotion[promotion_name],0))</f>
        <v>Seasonal Jan2023 - 30% Off</v>
      </c>
      <c r="B192" t="str">
        <f>INDEX(tblModelPromotion[promotion_type],MATCH(A192,tblModelPromotion[promotion_name],0))</f>
        <v>Seasonal</v>
      </c>
      <c r="C192" s="13">
        <f>INDEX(tblModelPromotion[discount_pct],MATCH(A192,tblModelPromotion[promotion_name],0))/100</f>
        <v>0.3</v>
      </c>
      <c r="D192" s="12">
        <f>INDEX(tblModelPromotion[revenue],MATCH(A192,tblModelPromotion[promotion_name],0))</f>
        <v>34056708</v>
      </c>
      <c r="E192" s="13">
        <f>INDEX(tblModelPromotion[margin_pct],MATCH(A192,tblModelPromotion[promotion_name],0))</f>
        <v>-0.1174</v>
      </c>
      <c r="F192" s="13">
        <f>INDEX(tblModelPromotion[baseline_margin_pct],MATCH(A192,tblModelPromotion[promotion_name],0))</f>
        <v>0.22259999999999999</v>
      </c>
      <c r="G192" s="13">
        <f t="shared" si="10"/>
        <v>-0.33999999999999997</v>
      </c>
      <c r="H192" s="13">
        <f>INDEX(tblModelPromotion[aov_lift_pct],MATCH(A192,tblModelPromotion[promotion_name],0))</f>
        <v>-0.13919999999999999</v>
      </c>
      <c r="I192" t="str">
        <f t="shared" si="11"/>
        <v>Discontinue - high margin cost, weak lift</v>
      </c>
    </row>
    <row r="193" spans="1:9" x14ac:dyDescent="0.3">
      <c r="A193" t="str">
        <f>INDEX(tblModelPromotion[promotion_name],MATCH("Festive Oct2022 - 35% Off",tblModelPromotion[promotion_name],0))</f>
        <v>Festive Oct2022 - 35% Off</v>
      </c>
      <c r="B193" t="str">
        <f>INDEX(tblModelPromotion[promotion_type],MATCH(A193,tblModelPromotion[promotion_name],0))</f>
        <v>Festive</v>
      </c>
      <c r="C193" s="13">
        <f>INDEX(tblModelPromotion[discount_pct],MATCH(A193,tblModelPromotion[promotion_name],0))/100</f>
        <v>0.35</v>
      </c>
      <c r="D193" s="12">
        <f>INDEX(tblModelPromotion[revenue],MATCH(A193,tblModelPromotion[promotion_name],0))</f>
        <v>77413346</v>
      </c>
      <c r="E193" s="13">
        <f>INDEX(tblModelPromotion[margin_pct],MATCH(A193,tblModelPromotion[promotion_name],0))</f>
        <v>-0.1885</v>
      </c>
      <c r="F193" s="13">
        <f>INDEX(tblModelPromotion[baseline_margin_pct],MATCH(A193,tblModelPromotion[promotion_name],0))</f>
        <v>0.22259999999999999</v>
      </c>
      <c r="G193" s="13">
        <f t="shared" si="10"/>
        <v>-0.41110000000000002</v>
      </c>
      <c r="H193" s="13">
        <f>INDEX(tblModelPromotion[aov_lift_pct],MATCH(A193,tblModelPromotion[promotion_name],0))</f>
        <v>-0.3201</v>
      </c>
      <c r="I193" t="str">
        <f t="shared" si="11"/>
        <v>Discontinue - high margin cost, weak lift</v>
      </c>
    </row>
    <row r="194" spans="1:9" x14ac:dyDescent="0.3">
      <c r="A194" t="str">
        <f>INDEX(tblModelPromotion[promotion_name],MATCH("Seasonal Aug2023 - 35% Off",tblModelPromotion[promotion_name],0))</f>
        <v>Seasonal Aug2023 - 35% Off</v>
      </c>
      <c r="B194" t="str">
        <f>INDEX(tblModelPromotion[promotion_type],MATCH(A194,tblModelPromotion[promotion_name],0))</f>
        <v>Seasonal</v>
      </c>
      <c r="C194" s="13">
        <f>INDEX(tblModelPromotion[discount_pct],MATCH(A194,tblModelPromotion[promotion_name],0))/100</f>
        <v>0.35</v>
      </c>
      <c r="D194" s="12">
        <f>INDEX(tblModelPromotion[revenue],MATCH(A194,tblModelPromotion[promotion_name],0))</f>
        <v>57930630</v>
      </c>
      <c r="E194" s="13">
        <f>INDEX(tblModelPromotion[margin_pct],MATCH(A194,tblModelPromotion[promotion_name],0))</f>
        <v>-0.1915</v>
      </c>
      <c r="F194" s="13">
        <f>INDEX(tblModelPromotion[baseline_margin_pct],MATCH(A194,tblModelPromotion[promotion_name],0))</f>
        <v>0.22259999999999999</v>
      </c>
      <c r="G194" s="13">
        <f t="shared" si="10"/>
        <v>-0.41410000000000002</v>
      </c>
      <c r="H194" s="13">
        <f>INDEX(tblModelPromotion[aov_lift_pct],MATCH(A194,tblModelPromotion[promotion_name],0))</f>
        <v>-0.25700000000000001</v>
      </c>
      <c r="I194" t="str">
        <f t="shared" si="11"/>
        <v>Discontinue - high margin cost, weak lift</v>
      </c>
    </row>
    <row r="195" spans="1:9" x14ac:dyDescent="0.3">
      <c r="A195" t="str">
        <f>INDEX(tblModelPromotion[promotion_name],MATCH("Clearance Aug2022 - 35% Off",tblModelPromotion[promotion_name],0))</f>
        <v>Clearance Aug2022 - 35% Off</v>
      </c>
      <c r="B195" t="str">
        <f>INDEX(tblModelPromotion[promotion_type],MATCH(A195,tblModelPromotion[promotion_name],0))</f>
        <v>Clearance</v>
      </c>
      <c r="C195" s="13">
        <f>INDEX(tblModelPromotion[discount_pct],MATCH(A195,tblModelPromotion[promotion_name],0))/100</f>
        <v>0.35</v>
      </c>
      <c r="D195" s="12">
        <f>INDEX(tblModelPromotion[revenue],MATCH(A195,tblModelPromotion[promotion_name],0))</f>
        <v>48008482</v>
      </c>
      <c r="E195" s="13">
        <f>INDEX(tblModelPromotion[margin_pct],MATCH(A195,tblModelPromotion[promotion_name],0))</f>
        <v>-0.1925</v>
      </c>
      <c r="F195" s="13">
        <f>INDEX(tblModelPromotion[baseline_margin_pct],MATCH(A195,tblModelPromotion[promotion_name],0))</f>
        <v>0.22259999999999999</v>
      </c>
      <c r="G195" s="13">
        <f t="shared" si="10"/>
        <v>-0.41510000000000002</v>
      </c>
      <c r="H195" s="13">
        <f>INDEX(tblModelPromotion[aov_lift_pct],MATCH(A195,tblModelPromotion[promotion_name],0))</f>
        <v>-0.2261</v>
      </c>
      <c r="I195" t="str">
        <f t="shared" si="11"/>
        <v>Discontinue - high margin cost, weak lift</v>
      </c>
    </row>
    <row r="196" spans="1:9" x14ac:dyDescent="0.3">
      <c r="A196" t="str">
        <f>INDEX(tblModelPromotion[promotion_name],MATCH("Seasonal Jul2024 - 35% Off",tblModelPromotion[promotion_name],0))</f>
        <v>Seasonal Jul2024 - 35% Off</v>
      </c>
      <c r="B196" t="str">
        <f>INDEX(tblModelPromotion[promotion_type],MATCH(A196,tblModelPromotion[promotion_name],0))</f>
        <v>Seasonal</v>
      </c>
      <c r="C196" s="13">
        <f>INDEX(tblModelPromotion[discount_pct],MATCH(A196,tblModelPromotion[promotion_name],0))/100</f>
        <v>0.35</v>
      </c>
      <c r="D196" s="12">
        <f>INDEX(tblModelPromotion[revenue],MATCH(A196,tblModelPromotion[promotion_name],0))</f>
        <v>21624797</v>
      </c>
      <c r="E196" s="13">
        <f>INDEX(tblModelPromotion[margin_pct],MATCH(A196,tblModelPromotion[promotion_name],0))</f>
        <v>-0.19520000000000001</v>
      </c>
      <c r="F196" s="13">
        <f>INDEX(tblModelPromotion[baseline_margin_pct],MATCH(A196,tblModelPromotion[promotion_name],0))</f>
        <v>0.22259999999999999</v>
      </c>
      <c r="G196" s="13">
        <f t="shared" si="10"/>
        <v>-0.4178</v>
      </c>
      <c r="H196" s="13">
        <f>INDEX(tblModelPromotion[aov_lift_pct],MATCH(A196,tblModelPromotion[promotion_name],0))</f>
        <v>-0.2782</v>
      </c>
      <c r="I196" t="str">
        <f t="shared" si="11"/>
        <v>Discontinue - high margin cost, weak lift</v>
      </c>
    </row>
    <row r="197" spans="1:9" x14ac:dyDescent="0.3">
      <c r="A197" t="str">
        <f>INDEX(tblModelPromotion[promotion_name],MATCH("Seasonal Mar2024 - 35% Off",tblModelPromotion[promotion_name],0))</f>
        <v>Seasonal Mar2024 - 35% Off</v>
      </c>
      <c r="B197" t="str">
        <f>INDEX(tblModelPromotion[promotion_type],MATCH(A197,tblModelPromotion[promotion_name],0))</f>
        <v>Seasonal</v>
      </c>
      <c r="C197" s="13">
        <f>INDEX(tblModelPromotion[discount_pct],MATCH(A197,tblModelPromotion[promotion_name],0))/100</f>
        <v>0.35</v>
      </c>
      <c r="D197" s="12">
        <f>INDEX(tblModelPromotion[revenue],MATCH(A197,tblModelPromotion[promotion_name],0))</f>
        <v>13234908</v>
      </c>
      <c r="E197" s="13">
        <f>INDEX(tblModelPromotion[margin_pct],MATCH(A197,tblModelPromotion[promotion_name],0))</f>
        <v>-0.19819999999999999</v>
      </c>
      <c r="F197" s="13">
        <f>INDEX(tblModelPromotion[baseline_margin_pct],MATCH(A197,tblModelPromotion[promotion_name],0))</f>
        <v>0.22259999999999999</v>
      </c>
      <c r="G197" s="13">
        <f t="shared" ref="G197:G204" si="12">E197-F197</f>
        <v>-0.42079999999999995</v>
      </c>
      <c r="H197" s="13">
        <f>INDEX(tblModelPromotion[aov_lift_pct],MATCH(A197,tblModelPromotion[promotion_name],0))</f>
        <v>-0.14380000000000001</v>
      </c>
      <c r="I197" t="str">
        <f t="shared" ref="I197:I204" si="13">IF(AND(G197&gt;=$L$1,H197&gt;=$L$2),"Continue - efficient lift for margin cost",IF(AND(G197&lt;=$L$3,H197&lt;$L$2),"Discontinue - high margin cost, weak lift","Review - mixed signal"))</f>
        <v>Discontinue - high margin cost, weak lift</v>
      </c>
    </row>
    <row r="198" spans="1:9" x14ac:dyDescent="0.3">
      <c r="A198" t="str">
        <f>INDEX(tblModelPromotion[promotion_name],MATCH("Clearance Dec2021 - 35% Off",tblModelPromotion[promotion_name],0))</f>
        <v>Clearance Dec2021 - 35% Off</v>
      </c>
      <c r="B198" t="str">
        <f>INDEX(tblModelPromotion[promotion_type],MATCH(A198,tblModelPromotion[promotion_name],0))</f>
        <v>Clearance</v>
      </c>
      <c r="C198" s="13">
        <f>INDEX(tblModelPromotion[discount_pct],MATCH(A198,tblModelPromotion[promotion_name],0))/100</f>
        <v>0.35</v>
      </c>
      <c r="D198" s="12">
        <f>INDEX(tblModelPromotion[revenue],MATCH(A198,tblModelPromotion[promotion_name],0))</f>
        <v>21215289</v>
      </c>
      <c r="E198" s="13">
        <f>INDEX(tblModelPromotion[margin_pct],MATCH(A198,tblModelPromotion[promotion_name],0))</f>
        <v>-0.20469999999999999</v>
      </c>
      <c r="F198" s="13">
        <f>INDEX(tblModelPromotion[baseline_margin_pct],MATCH(A198,tblModelPromotion[promotion_name],0))</f>
        <v>0.22259999999999999</v>
      </c>
      <c r="G198" s="13">
        <f t="shared" si="12"/>
        <v>-0.42730000000000001</v>
      </c>
      <c r="H198" s="13">
        <f>INDEX(tblModelPromotion[aov_lift_pct],MATCH(A198,tblModelPromotion[promotion_name],0))</f>
        <v>-0.1464</v>
      </c>
      <c r="I198" t="str">
        <f t="shared" si="13"/>
        <v>Discontinue - high margin cost, weak lift</v>
      </c>
    </row>
    <row r="199" spans="1:9" x14ac:dyDescent="0.3">
      <c r="A199" t="str">
        <f>INDEX(tblModelPromotion[promotion_name],MATCH("Festive May2021 - 40% Off",tblModelPromotion[promotion_name],0))</f>
        <v>Festive May2021 - 40% Off</v>
      </c>
      <c r="B199" t="str">
        <f>INDEX(tblModelPromotion[promotion_type],MATCH(A199,tblModelPromotion[promotion_name],0))</f>
        <v>Festive</v>
      </c>
      <c r="C199" s="13">
        <f>INDEX(tblModelPromotion[discount_pct],MATCH(A199,tblModelPromotion[promotion_name],0))/100</f>
        <v>0.4</v>
      </c>
      <c r="D199" s="12">
        <f>INDEX(tblModelPromotion[revenue],MATCH(A199,tblModelPromotion[promotion_name],0))</f>
        <v>14356457</v>
      </c>
      <c r="E199" s="13">
        <f>INDEX(tblModelPromotion[margin_pct],MATCH(A199,tblModelPromotion[promotion_name],0))</f>
        <v>-0.28639999999999999</v>
      </c>
      <c r="F199" s="13">
        <f>INDEX(tblModelPromotion[baseline_margin_pct],MATCH(A199,tblModelPromotion[promotion_name],0))</f>
        <v>0.22259999999999999</v>
      </c>
      <c r="G199" s="13">
        <f t="shared" si="12"/>
        <v>-0.50900000000000001</v>
      </c>
      <c r="H199" s="13">
        <f>INDEX(tblModelPromotion[aov_lift_pct],MATCH(A199,tblModelPromotion[promotion_name],0))</f>
        <v>-0.38350000000000001</v>
      </c>
      <c r="I199" t="str">
        <f t="shared" si="13"/>
        <v>Discontinue - high margin cost, weak lift</v>
      </c>
    </row>
    <row r="200" spans="1:9" x14ac:dyDescent="0.3">
      <c r="A200" t="str">
        <f>INDEX(tblModelPromotion[promotion_name],MATCH("Seasonal Jul2023 - 40% Off",tblModelPromotion[promotion_name],0))</f>
        <v>Seasonal Jul2023 - 40% Off</v>
      </c>
      <c r="B200" t="str">
        <f>INDEX(tblModelPromotion[promotion_type],MATCH(A200,tblModelPromotion[promotion_name],0))</f>
        <v>Seasonal</v>
      </c>
      <c r="C200" s="13">
        <f>INDEX(tblModelPromotion[discount_pct],MATCH(A200,tblModelPromotion[promotion_name],0))/100</f>
        <v>0.4</v>
      </c>
      <c r="D200" s="12">
        <f>INDEX(tblModelPromotion[revenue],MATCH(A200,tblModelPromotion[promotion_name],0))</f>
        <v>25243759</v>
      </c>
      <c r="E200" s="13">
        <f>INDEX(tblModelPromotion[margin_pct],MATCH(A200,tblModelPromotion[promotion_name],0))</f>
        <v>-0.2883</v>
      </c>
      <c r="F200" s="13">
        <f>INDEX(tblModelPromotion[baseline_margin_pct],MATCH(A200,tblModelPromotion[promotion_name],0))</f>
        <v>0.22259999999999999</v>
      </c>
      <c r="G200" s="13">
        <f t="shared" si="12"/>
        <v>-0.51090000000000002</v>
      </c>
      <c r="H200" s="13">
        <f>INDEX(tblModelPromotion[aov_lift_pct],MATCH(A200,tblModelPromotion[promotion_name],0))</f>
        <v>-0.33560000000000001</v>
      </c>
      <c r="I200" t="str">
        <f t="shared" si="13"/>
        <v>Discontinue - high margin cost, weak lift</v>
      </c>
    </row>
    <row r="201" spans="1:9" x14ac:dyDescent="0.3">
      <c r="A201" t="str">
        <f>INDEX(tblModelPromotion[promotion_name],MATCH("Clearance Jun2021 - 40% Off",tblModelPromotion[promotion_name],0))</f>
        <v>Clearance Jun2021 - 40% Off</v>
      </c>
      <c r="B201" t="str">
        <f>INDEX(tblModelPromotion[promotion_type],MATCH(A201,tblModelPromotion[promotion_name],0))</f>
        <v>Clearance</v>
      </c>
      <c r="C201" s="13">
        <f>INDEX(tblModelPromotion[discount_pct],MATCH(A201,tblModelPromotion[promotion_name],0))/100</f>
        <v>0.4</v>
      </c>
      <c r="D201" s="12">
        <f>INDEX(tblModelPromotion[revenue],MATCH(A201,tblModelPromotion[promotion_name],0))</f>
        <v>18891451</v>
      </c>
      <c r="E201" s="13">
        <f>INDEX(tblModelPromotion[margin_pct],MATCH(A201,tblModelPromotion[promotion_name],0))</f>
        <v>-0.29299999999999998</v>
      </c>
      <c r="F201" s="13">
        <f>INDEX(tblModelPromotion[baseline_margin_pct],MATCH(A201,tblModelPromotion[promotion_name],0))</f>
        <v>0.22259999999999999</v>
      </c>
      <c r="G201" s="13">
        <f t="shared" si="12"/>
        <v>-0.51559999999999995</v>
      </c>
      <c r="H201" s="13">
        <f>INDEX(tblModelPromotion[aov_lift_pct],MATCH(A201,tblModelPromotion[promotion_name],0))</f>
        <v>-0.28860000000000002</v>
      </c>
      <c r="I201" t="str">
        <f t="shared" si="13"/>
        <v>Discontinue - high margin cost, weak lift</v>
      </c>
    </row>
    <row r="202" spans="1:9" x14ac:dyDescent="0.3">
      <c r="A202" t="str">
        <f>INDEX(tblModelPromotion[promotion_name],MATCH("Clearance Jan2023 - 40% Off",tblModelPromotion[promotion_name],0))</f>
        <v>Clearance Jan2023 - 40% Off</v>
      </c>
      <c r="B202" t="str">
        <f>INDEX(tblModelPromotion[promotion_type],MATCH(A202,tblModelPromotion[promotion_name],0))</f>
        <v>Clearance</v>
      </c>
      <c r="C202" s="13">
        <f>INDEX(tblModelPromotion[discount_pct],MATCH(A202,tblModelPromotion[promotion_name],0))/100</f>
        <v>0.4</v>
      </c>
      <c r="D202" s="12">
        <f>INDEX(tblModelPromotion[revenue],MATCH(A202,tblModelPromotion[promotion_name],0))</f>
        <v>37357055</v>
      </c>
      <c r="E202" s="13">
        <f>INDEX(tblModelPromotion[margin_pct],MATCH(A202,tblModelPromotion[promotion_name],0))</f>
        <v>-0.29709999999999998</v>
      </c>
      <c r="F202" s="13">
        <f>INDEX(tblModelPromotion[baseline_margin_pct],MATCH(A202,tblModelPromotion[promotion_name],0))</f>
        <v>0.22259999999999999</v>
      </c>
      <c r="G202" s="13">
        <f t="shared" si="12"/>
        <v>-0.51969999999999994</v>
      </c>
      <c r="H202" s="13">
        <f>INDEX(tblModelPromotion[aov_lift_pct],MATCH(A202,tblModelPromotion[promotion_name],0))</f>
        <v>-0.27529999999999999</v>
      </c>
      <c r="I202" t="str">
        <f t="shared" si="13"/>
        <v>Discontinue - high margin cost, weak lift</v>
      </c>
    </row>
    <row r="203" spans="1:9" x14ac:dyDescent="0.3">
      <c r="A203" t="str">
        <f>INDEX(tblModelPromotion[promotion_name],MATCH("Clearance Aug2022 - 40% Off",tblModelPromotion[promotion_name],0))</f>
        <v>Clearance Aug2022 - 40% Off</v>
      </c>
      <c r="B203" t="str">
        <f>INDEX(tblModelPromotion[promotion_type],MATCH(A203,tblModelPromotion[promotion_name],0))</f>
        <v>Clearance</v>
      </c>
      <c r="C203" s="13">
        <f>INDEX(tblModelPromotion[discount_pct],MATCH(A203,tblModelPromotion[promotion_name],0))/100</f>
        <v>0.4</v>
      </c>
      <c r="D203" s="12">
        <f>INDEX(tblModelPromotion[revenue],MATCH(A203,tblModelPromotion[promotion_name],0))</f>
        <v>44414990</v>
      </c>
      <c r="E203" s="13">
        <f>INDEX(tblModelPromotion[margin_pct],MATCH(A203,tblModelPromotion[promotion_name],0))</f>
        <v>-0.29809999999999998</v>
      </c>
      <c r="F203" s="13">
        <f>INDEX(tblModelPromotion[baseline_margin_pct],MATCH(A203,tblModelPromotion[promotion_name],0))</f>
        <v>0.22259999999999999</v>
      </c>
      <c r="G203" s="13">
        <f t="shared" si="12"/>
        <v>-0.52069999999999994</v>
      </c>
      <c r="H203" s="13">
        <f>INDEX(tblModelPromotion[aov_lift_pct],MATCH(A203,tblModelPromotion[promotion_name],0))</f>
        <v>-0.2994</v>
      </c>
      <c r="I203" t="str">
        <f t="shared" si="13"/>
        <v>Discontinue - high margin cost, weak lift</v>
      </c>
    </row>
    <row r="204" spans="1:9" x14ac:dyDescent="0.3">
      <c r="A204" t="str">
        <f>INDEX(tblModelPromotion[promotion_name],MATCH("Loyalty May2024 - 40% Off",tblModelPromotion[promotion_name],0))</f>
        <v>Loyalty May2024 - 40% Off</v>
      </c>
      <c r="B204" t="str">
        <f>INDEX(tblModelPromotion[promotion_type],MATCH(A204,tblModelPromotion[promotion_name],0))</f>
        <v>Loyalty</v>
      </c>
      <c r="C204" s="13">
        <f>INDEX(tblModelPromotion[discount_pct],MATCH(A204,tblModelPromotion[promotion_name],0))/100</f>
        <v>0.4</v>
      </c>
      <c r="D204" s="12">
        <f>INDEX(tblModelPromotion[revenue],MATCH(A204,tblModelPromotion[promotion_name],0))</f>
        <v>36618452</v>
      </c>
      <c r="E204" s="13">
        <f>INDEX(tblModelPromotion[margin_pct],MATCH(A204,tblModelPromotion[promotion_name],0))</f>
        <v>-0.29959999999999998</v>
      </c>
      <c r="F204" s="13">
        <f>INDEX(tblModelPromotion[baseline_margin_pct],MATCH(A204,tblModelPromotion[promotion_name],0))</f>
        <v>0.22259999999999999</v>
      </c>
      <c r="G204" s="13">
        <f t="shared" si="12"/>
        <v>-0.5222</v>
      </c>
      <c r="H204" s="13">
        <f>INDEX(tblModelPromotion[aov_lift_pct],MATCH(A204,tblModelPromotion[promotion_name],0))</f>
        <v>-0.28299999999999997</v>
      </c>
      <c r="I204" t="str">
        <f t="shared" si="13"/>
        <v>Discontinue - high margin cost, weak lift</v>
      </c>
    </row>
  </sheetData>
  <conditionalFormatting sqref="I5:I204">
    <cfRule type="cellIs" dxfId="4" priority="1" operator="equal">
      <formula>"Discontinue - high margin cost, weak lift"</formula>
    </cfRule>
    <cfRule type="cellIs" dxfId="3" priority="2" operator="equal">
      <formula>"Continue - efficient lift for margin cost"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O134"/>
  <sheetViews>
    <sheetView showGridLines="0" workbookViewId="0">
      <pane xSplit="1" ySplit="14" topLeftCell="B1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6" width="13" customWidth="1"/>
  </cols>
  <sheetData>
    <row r="1" spans="1:15" ht="16.8" x14ac:dyDescent="0.3">
      <c r="A1" s="10" t="s">
        <v>856</v>
      </c>
    </row>
    <row r="2" spans="1:15" ht="28.05" customHeight="1" x14ac:dyDescent="0.3">
      <c r="A2" s="17" t="s">
        <v>857</v>
      </c>
    </row>
    <row r="3" spans="1:15" x14ac:dyDescent="0.3">
      <c r="C3" s="13"/>
      <c r="D3" s="13"/>
      <c r="E3" s="13"/>
      <c r="F3" s="13"/>
      <c r="G3" s="13"/>
    </row>
    <row r="4" spans="1:15" x14ac:dyDescent="0.3">
      <c r="A4" s="11" t="s">
        <v>858</v>
      </c>
      <c r="C4" s="13"/>
      <c r="D4" s="13"/>
      <c r="E4" s="13"/>
      <c r="F4" s="13"/>
      <c r="G4" s="13"/>
    </row>
    <row r="5" spans="1:15" ht="26.4" x14ac:dyDescent="0.3">
      <c r="A5" s="18" t="s">
        <v>859</v>
      </c>
      <c r="B5" s="18" t="s">
        <v>860</v>
      </c>
      <c r="C5" s="19" t="s">
        <v>861</v>
      </c>
      <c r="D5" s="19" t="s">
        <v>862</v>
      </c>
      <c r="E5" s="13"/>
      <c r="F5" s="13"/>
      <c r="G5" s="13"/>
    </row>
    <row r="6" spans="1:15" x14ac:dyDescent="0.3">
      <c r="A6" t="s">
        <v>863</v>
      </c>
      <c r="B6" s="13">
        <v>0.3</v>
      </c>
      <c r="C6" s="13" t="s">
        <v>864</v>
      </c>
      <c r="D6" s="20" t="s">
        <v>865</v>
      </c>
      <c r="E6" s="13"/>
      <c r="F6" s="13"/>
      <c r="G6" s="13"/>
    </row>
    <row r="7" spans="1:15" x14ac:dyDescent="0.3">
      <c r="A7" t="s">
        <v>866</v>
      </c>
      <c r="B7" s="13">
        <v>0.25</v>
      </c>
      <c r="C7" s="13" t="s">
        <v>864</v>
      </c>
      <c r="D7" s="20" t="s">
        <v>867</v>
      </c>
      <c r="E7" s="13"/>
      <c r="F7" s="13"/>
      <c r="G7" s="13"/>
    </row>
    <row r="8" spans="1:15" x14ac:dyDescent="0.3">
      <c r="A8" t="s">
        <v>824</v>
      </c>
      <c r="B8" s="13">
        <v>0.2</v>
      </c>
      <c r="C8" s="13" t="s">
        <v>868</v>
      </c>
      <c r="D8" s="20" t="s">
        <v>869</v>
      </c>
      <c r="E8" s="13"/>
      <c r="F8" s="13"/>
      <c r="G8" s="13"/>
    </row>
    <row r="9" spans="1:15" x14ac:dyDescent="0.3">
      <c r="A9" t="s">
        <v>831</v>
      </c>
      <c r="B9" s="13">
        <v>0.15</v>
      </c>
      <c r="C9" s="13" t="s">
        <v>868</v>
      </c>
      <c r="D9" s="20" t="s">
        <v>870</v>
      </c>
      <c r="E9" s="13"/>
      <c r="F9" s="13"/>
      <c r="G9" s="13"/>
    </row>
    <row r="10" spans="1:15" x14ac:dyDescent="0.3">
      <c r="A10" t="s">
        <v>871</v>
      </c>
      <c r="B10" s="13">
        <v>0.1</v>
      </c>
      <c r="C10" s="13" t="s">
        <v>864</v>
      </c>
      <c r="D10" s="20" t="s">
        <v>872</v>
      </c>
      <c r="E10" s="13"/>
      <c r="F10" s="13"/>
      <c r="G10" s="13"/>
    </row>
    <row r="11" spans="1:15" x14ac:dyDescent="0.3">
      <c r="A11" t="s">
        <v>873</v>
      </c>
      <c r="B11" s="13">
        <f>SUM(B6:B10)</f>
        <v>1</v>
      </c>
      <c r="C11" s="13"/>
      <c r="D11" s="13"/>
      <c r="E11" s="13"/>
      <c r="F11" s="13"/>
      <c r="G11" s="13"/>
    </row>
    <row r="12" spans="1:15" x14ac:dyDescent="0.3">
      <c r="C12" s="13"/>
      <c r="D12" s="13"/>
      <c r="E12" s="13"/>
      <c r="F12" s="13"/>
      <c r="G12" s="13"/>
    </row>
    <row r="13" spans="1:15" x14ac:dyDescent="0.3">
      <c r="C13" s="13"/>
      <c r="D13" s="13"/>
      <c r="E13" s="13"/>
      <c r="F13" s="13"/>
      <c r="G13" s="13"/>
    </row>
    <row r="14" spans="1:15" ht="26.4" x14ac:dyDescent="0.3">
      <c r="A14" s="14" t="s">
        <v>874</v>
      </c>
      <c r="B14" s="14" t="s">
        <v>811</v>
      </c>
      <c r="C14" s="21" t="s">
        <v>875</v>
      </c>
      <c r="D14" s="21" t="s">
        <v>876</v>
      </c>
      <c r="E14" s="21" t="s">
        <v>824</v>
      </c>
      <c r="F14" s="21" t="s">
        <v>823</v>
      </c>
      <c r="G14" s="21" t="s">
        <v>871</v>
      </c>
      <c r="H14" s="14" t="s">
        <v>877</v>
      </c>
      <c r="I14" s="14" t="s">
        <v>878</v>
      </c>
      <c r="J14" s="14" t="s">
        <v>879</v>
      </c>
      <c r="K14" s="14" t="s">
        <v>880</v>
      </c>
      <c r="L14" s="14" t="s">
        <v>881</v>
      </c>
      <c r="M14" s="14" t="s">
        <v>882</v>
      </c>
      <c r="N14" s="14" t="s">
        <v>883</v>
      </c>
      <c r="O14" s="14" t="s">
        <v>884</v>
      </c>
    </row>
    <row r="15" spans="1:15" x14ac:dyDescent="0.3">
      <c r="A15" t="str">
        <f>INDEX(tblModelStoreScore[store_name],MATCH(82,tblModelStoreScore[store_id],0))</f>
        <v>Nova Retail - Ahmedabad Flagship</v>
      </c>
      <c r="B15" t="str">
        <f>INDEX(tblModelStoreScore[region_name],MATCH(82,tblModelStoreScore[store_id],0))</f>
        <v>Gujarat</v>
      </c>
      <c r="C15" s="13">
        <f>INDEX(tblModelStoreScore[margin_pct_last6],MATCH(82,tblModelStoreScore[store_id],0))</f>
        <v>0.18</v>
      </c>
      <c r="D15" s="13">
        <f>INDEX(tblModelStoreScore[margin_trend_pp],MATCH(82,tblModelStoreScore[store_id],0))</f>
        <v>0.04</v>
      </c>
      <c r="E15" s="13">
        <f>INDEX(tblModelStoreScore[return_rate_last6],MATCH(82,tblModelStoreScore[store_id],0))</f>
        <v>3.4299999999999997E-2</v>
      </c>
      <c r="F15" s="13">
        <f>INDEX(tblModelStoreScore[discount_leak_pct_last6],MATCH(82,tblModelStoreScore[store_id],0))</f>
        <v>5.5E-2</v>
      </c>
      <c r="G15" s="13">
        <f>INDEX(tblModelStoreScore[revenue_growth_pct],MATCH(82,tblModelStoreScore[store_id],0))</f>
        <v>0.4894</v>
      </c>
      <c r="H15" s="22">
        <f t="shared" ref="H15:H46" si="0">(C15-MIN($C$15:$C$134))/(MAX($C$15:$C$134)-MIN($C$15:$C$134))*100</f>
        <v>60.410557184750722</v>
      </c>
      <c r="I15" s="22">
        <f t="shared" ref="I15:I46" si="1">(D15-MIN($D$15:$D$134))/(MAX($D$15:$D$134)-MIN($D$15:$D$134))*100</f>
        <v>37.5</v>
      </c>
      <c r="J15" s="22">
        <f t="shared" ref="J15:J46" si="2">(MAX($E$15:$E$134)-E15)/(MAX($E$15:$E$134)-MIN($E$15:$E$134))*100</f>
        <v>62.869198312236293</v>
      </c>
      <c r="K15" s="22">
        <f t="shared" ref="K15:K46" si="3">(MAX($F$15:$F$134)-F15)/(MAX($F$15:$F$134)-MIN($F$15:$F$134))*100</f>
        <v>66.666666666666671</v>
      </c>
      <c r="L15" s="22">
        <f t="shared" ref="L15:L46" si="4">(G15-MIN($G$15:$G$134))/(MAX($G$15:$G$134)-MIN($G$15:$G$134))*100</f>
        <v>53.437644519808856</v>
      </c>
      <c r="M15" s="23">
        <f t="shared" ref="M15:M46" si="5">H15*wMarginWeight+I15*wTrendWeight+J15*wReturnWeight+K15*wDiscountWeight+L15*wGrowthWeight</f>
        <v>55.415771269853366</v>
      </c>
      <c r="N15">
        <f t="shared" ref="N15:N46" si="6">RANK(M15,$M$15:$M$134,0)</f>
        <v>30</v>
      </c>
      <c r="O15" t="str">
        <f t="shared" ref="O15:O46" si="7">IF(M15&lt;=QUARTILE($M$15:$M$134,1),"Priority Intervention","")</f>
        <v/>
      </c>
    </row>
    <row r="16" spans="1:15" x14ac:dyDescent="0.3">
      <c r="A16" t="str">
        <f>INDEX(tblModelStoreScore[store_name],MATCH(42,tblModelStoreScore[store_id],0))</f>
        <v>Nova Retail - Ahmedabad Standard</v>
      </c>
      <c r="B16" t="str">
        <f>INDEX(tblModelStoreScore[region_name],MATCH(42,tblModelStoreScore[store_id],0))</f>
        <v>Gujarat</v>
      </c>
      <c r="C16" s="13">
        <f>INDEX(tblModelStoreScore[margin_pct_last6],MATCH(42,tblModelStoreScore[store_id],0))</f>
        <v>0.1845</v>
      </c>
      <c r="D16" s="13">
        <f>INDEX(tblModelStoreScore[margin_trend_pp],MATCH(42,tblModelStoreScore[store_id],0))</f>
        <v>0.06</v>
      </c>
      <c r="E16" s="13">
        <f>INDEX(tblModelStoreScore[return_rate_last6],MATCH(42,tblModelStoreScore[store_id],0))</f>
        <v>3.4200000000000001E-2</v>
      </c>
      <c r="F16" s="13">
        <f>INDEX(tblModelStoreScore[discount_leak_pct_last6],MATCH(42,tblModelStoreScore[store_id],0))</f>
        <v>5.7099999999999998E-2</v>
      </c>
      <c r="G16" s="13">
        <f>INDEX(tblModelStoreScore[revenue_growth_pct],MATCH(42,tblModelStoreScore[store_id],0))</f>
        <v>0.37230000000000002</v>
      </c>
      <c r="H16" s="22">
        <f t="shared" si="0"/>
        <v>73.607038123167143</v>
      </c>
      <c r="I16" s="22">
        <f t="shared" si="1"/>
        <v>62.499999999999986</v>
      </c>
      <c r="J16" s="22">
        <f t="shared" si="2"/>
        <v>63.080168776371302</v>
      </c>
      <c r="K16" s="22">
        <f t="shared" si="3"/>
        <v>60.632183908045988</v>
      </c>
      <c r="L16" s="22">
        <f t="shared" si="4"/>
        <v>44.411900724525985</v>
      </c>
      <c r="M16" s="23">
        <f t="shared" si="5"/>
        <v>63.859162850883898</v>
      </c>
      <c r="N16">
        <f t="shared" si="6"/>
        <v>12</v>
      </c>
      <c r="O16" t="str">
        <f t="shared" si="7"/>
        <v/>
      </c>
    </row>
    <row r="17" spans="1:15" x14ac:dyDescent="0.3">
      <c r="A17" t="str">
        <f>INDEX(tblModelStoreScore[store_name],MATCH(33,tblModelStoreScore[store_id],0))</f>
        <v>Nova Retail - Amritsar Compact</v>
      </c>
      <c r="B17" t="str">
        <f>INDEX(tblModelStoreScore[region_name],MATCH(33,tblModelStoreScore[store_id],0))</f>
        <v>Punjab-Haryana</v>
      </c>
      <c r="C17" s="13">
        <f>INDEX(tblModelStoreScore[margin_pct_last6],MATCH(33,tblModelStoreScore[store_id],0))</f>
        <v>0.19159999999999999</v>
      </c>
      <c r="D17" s="13">
        <f>INDEX(tblModelStoreScore[margin_trend_pp],MATCH(33,tblModelStoreScore[store_id],0))</f>
        <v>7.0000000000000007E-2</v>
      </c>
      <c r="E17" s="13">
        <f>INDEX(tblModelStoreScore[return_rate_last6],MATCH(33,tblModelStoreScore[store_id],0))</f>
        <v>4.8399999999999999E-2</v>
      </c>
      <c r="F17" s="13">
        <f>INDEX(tblModelStoreScore[discount_leak_pct_last6],MATCH(33,tblModelStoreScore[store_id],0))</f>
        <v>5.4199999999999998E-2</v>
      </c>
      <c r="G17" s="13">
        <f>INDEX(tblModelStoreScore[revenue_growth_pct],MATCH(33,tblModelStoreScore[store_id],0))</f>
        <v>0.26079999999999998</v>
      </c>
      <c r="H17" s="22">
        <f t="shared" si="0"/>
        <v>94.428152492668588</v>
      </c>
      <c r="I17" s="22">
        <f t="shared" si="1"/>
        <v>75</v>
      </c>
      <c r="J17" s="22">
        <f t="shared" si="2"/>
        <v>33.122362869198319</v>
      </c>
      <c r="K17" s="22">
        <f t="shared" si="3"/>
        <v>68.965517241379331</v>
      </c>
      <c r="L17" s="22">
        <f t="shared" si="4"/>
        <v>35.817789425003859</v>
      </c>
      <c r="M17" s="23">
        <f t="shared" si="5"/>
        <v>67.629524850347536</v>
      </c>
      <c r="N17">
        <f t="shared" si="6"/>
        <v>7</v>
      </c>
      <c r="O17" t="str">
        <f t="shared" si="7"/>
        <v/>
      </c>
    </row>
    <row r="18" spans="1:15" x14ac:dyDescent="0.3">
      <c r="A18" t="str">
        <f>INDEX(tblModelStoreScore[store_name],MATCH(105,tblModelStoreScore[store_id],0))</f>
        <v>Nova Retail - Amritsar Compact</v>
      </c>
      <c r="B18" t="str">
        <f>INDEX(tblModelStoreScore[region_name],MATCH(105,tblModelStoreScore[store_id],0))</f>
        <v>Punjab-Haryana</v>
      </c>
      <c r="C18" s="13">
        <f>INDEX(tblModelStoreScore[margin_pct_last6],MATCH(105,tblModelStoreScore[store_id],0))</f>
        <v>0.18840000000000001</v>
      </c>
      <c r="D18" s="13">
        <f>INDEX(tblModelStoreScore[margin_trend_pp],MATCH(105,tblModelStoreScore[store_id],0))</f>
        <v>0.05</v>
      </c>
      <c r="E18" s="13">
        <f>INDEX(tblModelStoreScore[return_rate_last6],MATCH(105,tblModelStoreScore[store_id],0))</f>
        <v>2.4799999999999999E-2</v>
      </c>
      <c r="F18" s="13">
        <f>INDEX(tblModelStoreScore[discount_leak_pct_last6],MATCH(105,tblModelStoreScore[store_id],0))</f>
        <v>4.58E-2</v>
      </c>
      <c r="G18" s="13">
        <f>INDEX(tblModelStoreScore[revenue_growth_pct],MATCH(105,tblModelStoreScore[store_id],0))</f>
        <v>0.26879999999999998</v>
      </c>
      <c r="H18" s="22">
        <f t="shared" si="0"/>
        <v>85.043988269794752</v>
      </c>
      <c r="I18" s="22">
        <f t="shared" si="1"/>
        <v>50</v>
      </c>
      <c r="J18" s="22">
        <f t="shared" si="2"/>
        <v>82.911392405063282</v>
      </c>
      <c r="K18" s="22">
        <f t="shared" si="3"/>
        <v>93.103448275862064</v>
      </c>
      <c r="L18" s="22">
        <f t="shared" si="4"/>
        <v>36.434407276090646</v>
      </c>
      <c r="M18" s="23">
        <f t="shared" si="5"/>
        <v>72.204432930939447</v>
      </c>
      <c r="N18">
        <f t="shared" si="6"/>
        <v>3</v>
      </c>
      <c r="O18" t="str">
        <f t="shared" si="7"/>
        <v/>
      </c>
    </row>
    <row r="19" spans="1:15" x14ac:dyDescent="0.3">
      <c r="A19" t="str">
        <f>INDEX(tblModelStoreScore[store_name],MATCH(3,tblModelStoreScore[store_id],0))</f>
        <v>Nova Retail - Amritsar Flagship</v>
      </c>
      <c r="B19" t="str">
        <f>INDEX(tblModelStoreScore[region_name],MATCH(3,tblModelStoreScore[store_id],0))</f>
        <v>Punjab-Haryana</v>
      </c>
      <c r="C19" s="13">
        <f>INDEX(tblModelStoreScore[margin_pct_last6],MATCH(3,tblModelStoreScore[store_id],0))</f>
        <v>0.18079999999999999</v>
      </c>
      <c r="D19" s="13">
        <f>INDEX(tblModelStoreScore[margin_trend_pp],MATCH(3,tblModelStoreScore[store_id],0))</f>
        <v>0.04</v>
      </c>
      <c r="E19" s="13">
        <f>INDEX(tblModelStoreScore[return_rate_last6],MATCH(3,tblModelStoreScore[store_id],0))</f>
        <v>3.4500000000000003E-2</v>
      </c>
      <c r="F19" s="13">
        <f>INDEX(tblModelStoreScore[discount_leak_pct_last6],MATCH(3,tblModelStoreScore[store_id],0))</f>
        <v>5.9299999999999999E-2</v>
      </c>
      <c r="G19" s="13">
        <f>INDEX(tblModelStoreScore[revenue_growth_pct],MATCH(3,tblModelStoreScore[store_id],0))</f>
        <v>0.31230000000000002</v>
      </c>
      <c r="H19" s="22">
        <f t="shared" si="0"/>
        <v>62.756598240469174</v>
      </c>
      <c r="I19" s="22">
        <f t="shared" si="1"/>
        <v>37.5</v>
      </c>
      <c r="J19" s="22">
        <f t="shared" si="2"/>
        <v>62.447257383966239</v>
      </c>
      <c r="K19" s="22">
        <f t="shared" si="3"/>
        <v>54.310344827586221</v>
      </c>
      <c r="L19" s="22">
        <f t="shared" si="4"/>
        <v>39.787266841375065</v>
      </c>
      <c r="M19" s="23">
        <f t="shared" si="5"/>
        <v>52.81670935720944</v>
      </c>
      <c r="N19">
        <f t="shared" si="6"/>
        <v>37</v>
      </c>
      <c r="O19" t="str">
        <f t="shared" si="7"/>
        <v/>
      </c>
    </row>
    <row r="20" spans="1:15" x14ac:dyDescent="0.3">
      <c r="A20" t="str">
        <f>INDEX(tblModelStoreScore[store_name],MATCH(60,tblModelStoreScore[store_id],0))</f>
        <v>Nova Retail - Amritsar Standard</v>
      </c>
      <c r="B20" t="str">
        <f>INDEX(tblModelStoreScore[region_name],MATCH(60,tblModelStoreScore[store_id],0))</f>
        <v>Punjab-Haryana</v>
      </c>
      <c r="C20" s="13">
        <f>INDEX(tblModelStoreScore[margin_pct_last6],MATCH(60,tblModelStoreScore[store_id],0))</f>
        <v>0.18079999999999999</v>
      </c>
      <c r="D20" s="13">
        <f>INDEX(tblModelStoreScore[margin_trend_pp],MATCH(60,tblModelStoreScore[store_id],0))</f>
        <v>0.01</v>
      </c>
      <c r="E20" s="13">
        <f>INDEX(tblModelStoreScore[return_rate_last6],MATCH(60,tblModelStoreScore[store_id],0))</f>
        <v>3.3300000000000003E-2</v>
      </c>
      <c r="F20" s="13">
        <f>INDEX(tblModelStoreScore[discount_leak_pct_last6],MATCH(60,tblModelStoreScore[store_id],0))</f>
        <v>5.7700000000000001E-2</v>
      </c>
      <c r="G20" s="13">
        <f>INDEX(tblModelStoreScore[revenue_growth_pct],MATCH(60,tblModelStoreScore[store_id],0))</f>
        <v>0.1336</v>
      </c>
      <c r="H20" s="22">
        <f t="shared" si="0"/>
        <v>62.756598240469174</v>
      </c>
      <c r="I20" s="22">
        <f t="shared" si="1"/>
        <v>0</v>
      </c>
      <c r="J20" s="22">
        <f t="shared" si="2"/>
        <v>64.978902953586498</v>
      </c>
      <c r="K20" s="22">
        <f t="shared" si="3"/>
        <v>58.908045977011504</v>
      </c>
      <c r="L20" s="22">
        <f t="shared" si="4"/>
        <v>26.013565592723914</v>
      </c>
      <c r="M20" s="23">
        <f t="shared" si="5"/>
        <v>43.260323518682171</v>
      </c>
      <c r="N20">
        <f t="shared" si="6"/>
        <v>83</v>
      </c>
      <c r="O20" t="str">
        <f t="shared" si="7"/>
        <v/>
      </c>
    </row>
    <row r="21" spans="1:15" x14ac:dyDescent="0.3">
      <c r="A21" t="str">
        <f>INDEX(tblModelStoreScore[store_name],MATCH(72,tblModelStoreScore[store_id],0))</f>
        <v>Nova Retail - Amritsar Standard</v>
      </c>
      <c r="B21" t="str">
        <f>INDEX(tblModelStoreScore[region_name],MATCH(72,tblModelStoreScore[store_id],0))</f>
        <v>Punjab-Haryana</v>
      </c>
      <c r="C21" s="13">
        <f>INDEX(tblModelStoreScore[margin_pct_last6],MATCH(72,tblModelStoreScore[store_id],0))</f>
        <v>0.1799</v>
      </c>
      <c r="D21" s="13">
        <f>INDEX(tblModelStoreScore[margin_trend_pp],MATCH(72,tblModelStoreScore[store_id],0))</f>
        <v>0.06</v>
      </c>
      <c r="E21" s="13">
        <f>INDEX(tblModelStoreScore[return_rate_last6],MATCH(72,tblModelStoreScore[store_id],0))</f>
        <v>3.5999999999999997E-2</v>
      </c>
      <c r="F21" s="13">
        <f>INDEX(tblModelStoreScore[discount_leak_pct_last6],MATCH(72,tblModelStoreScore[store_id],0))</f>
        <v>5.9799999999999999E-2</v>
      </c>
      <c r="G21" s="13">
        <f>INDEX(tblModelStoreScore[revenue_growth_pct],MATCH(72,tblModelStoreScore[store_id],0))</f>
        <v>0.45910000000000001</v>
      </c>
      <c r="H21" s="22">
        <f t="shared" si="0"/>
        <v>60.117302052785945</v>
      </c>
      <c r="I21" s="22">
        <f t="shared" si="1"/>
        <v>62.499999999999986</v>
      </c>
      <c r="J21" s="22">
        <f t="shared" si="2"/>
        <v>59.282700421940937</v>
      </c>
      <c r="K21" s="22">
        <f t="shared" si="3"/>
        <v>52.873563218390821</v>
      </c>
      <c r="L21" s="22">
        <f t="shared" si="4"/>
        <v>51.102204408817641</v>
      </c>
      <c r="M21" s="23">
        <f t="shared" si="5"/>
        <v>58.557985623864354</v>
      </c>
      <c r="N21">
        <f t="shared" si="6"/>
        <v>23</v>
      </c>
      <c r="O21" t="str">
        <f t="shared" si="7"/>
        <v/>
      </c>
    </row>
    <row r="22" spans="1:15" x14ac:dyDescent="0.3">
      <c r="A22" t="str">
        <f>INDEX(tblModelStoreScore[store_name],MATCH(7,tblModelStoreScore[store_id],0))</f>
        <v>Nova Retail - Bengaluru Compact</v>
      </c>
      <c r="B22" t="str">
        <f>INDEX(tblModelStoreScore[region_name],MATCH(7,tblModelStoreScore[store_id],0))</f>
        <v>Karnataka</v>
      </c>
      <c r="C22" s="13">
        <f>INDEX(tblModelStoreScore[margin_pct_last6],MATCH(7,tblModelStoreScore[store_id],0))</f>
        <v>0.18429999999999999</v>
      </c>
      <c r="D22" s="13">
        <f>INDEX(tblModelStoreScore[margin_trend_pp],MATCH(7,tblModelStoreScore[store_id],0))</f>
        <v>0.04</v>
      </c>
      <c r="E22" s="13">
        <f>INDEX(tblModelStoreScore[return_rate_last6],MATCH(7,tblModelStoreScore[store_id],0))</f>
        <v>2.6599999999999999E-2</v>
      </c>
      <c r="F22" s="13">
        <f>INDEX(tblModelStoreScore[discount_leak_pct_last6],MATCH(7,tblModelStoreScore[store_id],0))</f>
        <v>5.1900000000000002E-2</v>
      </c>
      <c r="G22" s="13">
        <f>INDEX(tblModelStoreScore[revenue_growth_pct],MATCH(7,tblModelStoreScore[store_id],0))</f>
        <v>0.30149999999999999</v>
      </c>
      <c r="H22" s="22">
        <f t="shared" si="0"/>
        <v>73.020527859237518</v>
      </c>
      <c r="I22" s="22">
        <f t="shared" si="1"/>
        <v>37.5</v>
      </c>
      <c r="J22" s="22">
        <f t="shared" si="2"/>
        <v>79.113924050632917</v>
      </c>
      <c r="K22" s="22">
        <f t="shared" si="3"/>
        <v>75.574712643678168</v>
      </c>
      <c r="L22" s="22">
        <f t="shared" si="4"/>
        <v>38.954832742407888</v>
      </c>
      <c r="M22" s="23">
        <f t="shared" si="5"/>
        <v>62.33563333869035</v>
      </c>
      <c r="N22">
        <f t="shared" si="6"/>
        <v>14</v>
      </c>
      <c r="O22" t="str">
        <f t="shared" si="7"/>
        <v/>
      </c>
    </row>
    <row r="23" spans="1:15" x14ac:dyDescent="0.3">
      <c r="A23" t="str">
        <f>INDEX(tblModelStoreScore[store_name],MATCH(68,tblModelStoreScore[store_id],0))</f>
        <v>Nova Retail - Bengaluru Standard</v>
      </c>
      <c r="B23" t="str">
        <f>INDEX(tblModelStoreScore[region_name],MATCH(68,tblModelStoreScore[store_id],0))</f>
        <v>Karnataka</v>
      </c>
      <c r="C23" s="13">
        <f>INDEX(tblModelStoreScore[margin_pct_last6],MATCH(68,tblModelStoreScore[store_id],0))</f>
        <v>0.17380000000000001</v>
      </c>
      <c r="D23" s="13">
        <f>INDEX(tblModelStoreScore[margin_trend_pp],MATCH(68,tblModelStoreScore[store_id],0))</f>
        <v>0.03</v>
      </c>
      <c r="E23" s="13">
        <f>INDEX(tblModelStoreScore[return_rate_last6],MATCH(68,tblModelStoreScore[store_id],0))</f>
        <v>3.0499999999999999E-2</v>
      </c>
      <c r="F23" s="13">
        <f>INDEX(tblModelStoreScore[discount_leak_pct_last6],MATCH(68,tblModelStoreScore[store_id],0))</f>
        <v>6.0600000000000001E-2</v>
      </c>
      <c r="G23" s="13">
        <f>INDEX(tblModelStoreScore[revenue_growth_pct],MATCH(68,tblModelStoreScore[store_id],0))</f>
        <v>0.36470000000000002</v>
      </c>
      <c r="H23" s="22">
        <f t="shared" si="0"/>
        <v>42.228739002932599</v>
      </c>
      <c r="I23" s="22">
        <f t="shared" si="1"/>
        <v>24.999999999999993</v>
      </c>
      <c r="J23" s="22">
        <f t="shared" si="2"/>
        <v>70.886075949367083</v>
      </c>
      <c r="K23" s="22">
        <f t="shared" si="3"/>
        <v>50.574712643678168</v>
      </c>
      <c r="L23" s="22">
        <f t="shared" si="4"/>
        <v>43.826113765993533</v>
      </c>
      <c r="M23" s="23">
        <f t="shared" si="5"/>
        <v>45.064655163904263</v>
      </c>
      <c r="N23">
        <f t="shared" si="6"/>
        <v>71</v>
      </c>
      <c r="O23" t="str">
        <f t="shared" si="7"/>
        <v/>
      </c>
    </row>
    <row r="24" spans="1:15" x14ac:dyDescent="0.3">
      <c r="A24" t="str">
        <f>INDEX(tblModelStoreScore[store_name],MATCH(98,tblModelStoreScore[store_id],0))</f>
        <v>Nova Retail - Bengaluru Standard</v>
      </c>
      <c r="B24" t="str">
        <f>INDEX(tblModelStoreScore[region_name],MATCH(98,tblModelStoreScore[store_id],0))</f>
        <v>Karnataka</v>
      </c>
      <c r="C24" s="13">
        <f>INDEX(tblModelStoreScore[margin_pct_last6],MATCH(98,tblModelStoreScore[store_id],0))</f>
        <v>0.17710000000000001</v>
      </c>
      <c r="D24" s="13">
        <f>INDEX(tblModelStoreScore[margin_trend_pp],MATCH(98,tblModelStoreScore[store_id],0))</f>
        <v>0.04</v>
      </c>
      <c r="E24" s="13">
        <f>INDEX(tblModelStoreScore[return_rate_last6],MATCH(98,tblModelStoreScore[store_id],0))</f>
        <v>3.85E-2</v>
      </c>
      <c r="F24" s="13">
        <f>INDEX(tblModelStoreScore[discount_leak_pct_last6],MATCH(98,tblModelStoreScore[store_id],0))</f>
        <v>5.8799999999999998E-2</v>
      </c>
      <c r="G24" s="13">
        <f>INDEX(tblModelStoreScore[revenue_growth_pct],MATCH(98,tblModelStoreScore[store_id],0))</f>
        <v>0.29959999999999998</v>
      </c>
      <c r="H24" s="22">
        <f t="shared" si="0"/>
        <v>51.90615835777129</v>
      </c>
      <c r="I24" s="22">
        <f t="shared" si="1"/>
        <v>37.5</v>
      </c>
      <c r="J24" s="22">
        <f t="shared" si="2"/>
        <v>54.008438818565409</v>
      </c>
      <c r="K24" s="22">
        <f t="shared" si="3"/>
        <v>55.747126436781627</v>
      </c>
      <c r="L24" s="22">
        <f t="shared" si="4"/>
        <v>38.808386002774782</v>
      </c>
      <c r="M24" s="23">
        <f t="shared" si="5"/>
        <v>47.991442836839191</v>
      </c>
      <c r="N24">
        <f t="shared" si="6"/>
        <v>60</v>
      </c>
      <c r="O24" t="str">
        <f t="shared" si="7"/>
        <v/>
      </c>
    </row>
    <row r="25" spans="1:15" x14ac:dyDescent="0.3">
      <c r="A25" t="str">
        <f>INDEX(tblModelStoreScore[store_name],MATCH(90,tblModelStoreScore[store_id],0))</f>
        <v>Nova Retail - Bhopal Standard</v>
      </c>
      <c r="B25" t="str">
        <f>INDEX(tblModelStoreScore[region_name],MATCH(90,tblModelStoreScore[store_id],0))</f>
        <v>Madhya Pradesh</v>
      </c>
      <c r="C25" s="13">
        <f>INDEX(tblModelStoreScore[margin_pct_last6],MATCH(90,tblModelStoreScore[store_id],0))</f>
        <v>0.17660000000000001</v>
      </c>
      <c r="D25" s="13">
        <f>INDEX(tblModelStoreScore[margin_trend_pp],MATCH(90,tblModelStoreScore[store_id],0))</f>
        <v>0.03</v>
      </c>
      <c r="E25" s="13">
        <f>INDEX(tblModelStoreScore[return_rate_last6],MATCH(90,tblModelStoreScore[store_id],0))</f>
        <v>2.2599999999999999E-2</v>
      </c>
      <c r="F25" s="13">
        <f>INDEX(tblModelStoreScore[discount_leak_pct_last6],MATCH(90,tblModelStoreScore[store_id],0))</f>
        <v>5.3699999999999998E-2</v>
      </c>
      <c r="G25" s="13">
        <f>INDEX(tblModelStoreScore[revenue_growth_pct],MATCH(90,tblModelStoreScore[store_id],0))</f>
        <v>0.90590000000000004</v>
      </c>
      <c r="H25" s="22">
        <f t="shared" si="0"/>
        <v>50.439882697947247</v>
      </c>
      <c r="I25" s="22">
        <f t="shared" si="1"/>
        <v>24.999999999999993</v>
      </c>
      <c r="J25" s="22">
        <f t="shared" si="2"/>
        <v>87.552742616033768</v>
      </c>
      <c r="K25" s="22">
        <f t="shared" si="3"/>
        <v>70.402298850574724</v>
      </c>
      <c r="L25" s="22">
        <f t="shared" si="4"/>
        <v>85.540311392014814</v>
      </c>
      <c r="M25" s="23">
        <f t="shared" si="5"/>
        <v>58.006889299378614</v>
      </c>
      <c r="N25">
        <f t="shared" si="6"/>
        <v>24</v>
      </c>
      <c r="O25" t="str">
        <f t="shared" si="7"/>
        <v/>
      </c>
    </row>
    <row r="26" spans="1:15" x14ac:dyDescent="0.3">
      <c r="A26" t="str">
        <f>INDEX(tblModelStoreScore[store_name],MATCH(20,tblModelStoreScore[store_id],0))</f>
        <v>Nova Retail - Bhubaneswar Standard</v>
      </c>
      <c r="B26" t="str">
        <f>INDEX(tblModelStoreScore[region_name],MATCH(20,tblModelStoreScore[store_id],0))</f>
        <v>Odisha-Jharkhand</v>
      </c>
      <c r="C26" s="13">
        <f>INDEX(tblModelStoreScore[margin_pct_last6],MATCH(20,tblModelStoreScore[store_id],0))</f>
        <v>0.17399999999999999</v>
      </c>
      <c r="D26" s="13">
        <f>INDEX(tblModelStoreScore[margin_trend_pp],MATCH(20,tblModelStoreScore[store_id],0))</f>
        <v>0.04</v>
      </c>
      <c r="E26" s="13">
        <f>INDEX(tblModelStoreScore[return_rate_last6],MATCH(20,tblModelStoreScore[store_id],0))</f>
        <v>3.49E-2</v>
      </c>
      <c r="F26" s="13">
        <f>INDEX(tblModelStoreScore[discount_leak_pct_last6],MATCH(20,tblModelStoreScore[store_id],0))</f>
        <v>6.0199999999999997E-2</v>
      </c>
      <c r="G26" s="13">
        <f>INDEX(tblModelStoreScore[revenue_growth_pct],MATCH(20,tblModelStoreScore[store_id],0))</f>
        <v>0.52210000000000001</v>
      </c>
      <c r="H26" s="22">
        <f t="shared" si="0"/>
        <v>42.815249266862146</v>
      </c>
      <c r="I26" s="22">
        <f t="shared" si="1"/>
        <v>37.5</v>
      </c>
      <c r="J26" s="22">
        <f t="shared" si="2"/>
        <v>61.603375527426167</v>
      </c>
      <c r="K26" s="22">
        <f t="shared" si="3"/>
        <v>51.724137931034498</v>
      </c>
      <c r="L26" s="22">
        <f t="shared" si="4"/>
        <v>55.958069986126105</v>
      </c>
      <c r="M26" s="23">
        <f t="shared" si="5"/>
        <v>47.894677573811663</v>
      </c>
      <c r="N26">
        <f t="shared" si="6"/>
        <v>61</v>
      </c>
      <c r="O26" t="str">
        <f t="shared" si="7"/>
        <v/>
      </c>
    </row>
    <row r="27" spans="1:15" x14ac:dyDescent="0.3">
      <c r="A27" t="str">
        <f>INDEX(tblModelStoreScore[store_name],MATCH(83,tblModelStoreScore[store_id],0))</f>
        <v>Nova Retail - Chandigarh Compact</v>
      </c>
      <c r="B27" t="str">
        <f>INDEX(tblModelStoreScore[region_name],MATCH(83,tblModelStoreScore[store_id],0))</f>
        <v>Punjab-Haryana</v>
      </c>
      <c r="C27" s="13">
        <f>INDEX(tblModelStoreScore[margin_pct_last6],MATCH(83,tblModelStoreScore[store_id],0))</f>
        <v>0.18770000000000001</v>
      </c>
      <c r="D27" s="13">
        <f>INDEX(tblModelStoreScore[margin_trend_pp],MATCH(83,tblModelStoreScore[store_id],0))</f>
        <v>7.0000000000000007E-2</v>
      </c>
      <c r="E27" s="13">
        <f>INDEX(tblModelStoreScore[return_rate_last6],MATCH(83,tblModelStoreScore[store_id],0))</f>
        <v>4.2500000000000003E-2</v>
      </c>
      <c r="F27" s="13">
        <f>INDEX(tblModelStoreScore[discount_leak_pct_last6],MATCH(83,tblModelStoreScore[store_id],0))</f>
        <v>4.8899999999999999E-2</v>
      </c>
      <c r="G27" s="13">
        <f>INDEX(tblModelStoreScore[revenue_growth_pct],MATCH(83,tblModelStoreScore[store_id],0))</f>
        <v>0.1981</v>
      </c>
      <c r="H27" s="22">
        <f t="shared" si="0"/>
        <v>82.991202346041064</v>
      </c>
      <c r="I27" s="22">
        <f t="shared" si="1"/>
        <v>75</v>
      </c>
      <c r="J27" s="22">
        <f t="shared" si="2"/>
        <v>45.569620253164558</v>
      </c>
      <c r="K27" s="22">
        <f t="shared" si="3"/>
        <v>84.195402298850581</v>
      </c>
      <c r="L27" s="22">
        <f t="shared" si="4"/>
        <v>30.98504701711115</v>
      </c>
      <c r="M27" s="23">
        <f t="shared" si="5"/>
        <v>68.489099800983936</v>
      </c>
      <c r="N27">
        <f t="shared" si="6"/>
        <v>5</v>
      </c>
      <c r="O27" t="str">
        <f t="shared" si="7"/>
        <v/>
      </c>
    </row>
    <row r="28" spans="1:15" x14ac:dyDescent="0.3">
      <c r="A28" t="str">
        <f>INDEX(tblModelStoreScore[store_name],MATCH(11,tblModelStoreScore[store_id],0))</f>
        <v>Nova Retail - Chandigarh Standard</v>
      </c>
      <c r="B28" t="str">
        <f>INDEX(tblModelStoreScore[region_name],MATCH(11,tblModelStoreScore[store_id],0))</f>
        <v>Punjab-Haryana</v>
      </c>
      <c r="C28" s="13">
        <f>INDEX(tblModelStoreScore[margin_pct_last6],MATCH(11,tblModelStoreScore[store_id],0))</f>
        <v>0.1704</v>
      </c>
      <c r="D28" s="13">
        <f>INDEX(tblModelStoreScore[margin_trend_pp],MATCH(11,tblModelStoreScore[store_id],0))</f>
        <v>0.04</v>
      </c>
      <c r="E28" s="13">
        <f>INDEX(tblModelStoreScore[return_rate_last6],MATCH(11,tblModelStoreScore[store_id],0))</f>
        <v>3.4099999999999998E-2</v>
      </c>
      <c r="F28" s="13">
        <f>INDEX(tblModelStoreScore[discount_leak_pct_last6],MATCH(11,tblModelStoreScore[store_id],0))</f>
        <v>6.1100000000000002E-2</v>
      </c>
      <c r="G28" s="13">
        <f>INDEX(tblModelStoreScore[revenue_growth_pct],MATCH(11,tblModelStoreScore[store_id],0))</f>
        <v>9.5500000000000002E-2</v>
      </c>
      <c r="H28" s="22">
        <f t="shared" si="0"/>
        <v>32.258064516129039</v>
      </c>
      <c r="I28" s="22">
        <f t="shared" si="1"/>
        <v>37.5</v>
      </c>
      <c r="J28" s="22">
        <f t="shared" si="2"/>
        <v>63.291139240506332</v>
      </c>
      <c r="K28" s="22">
        <f t="shared" si="3"/>
        <v>49.137931034482762</v>
      </c>
      <c r="L28" s="22">
        <f t="shared" si="4"/>
        <v>23.076923076923077</v>
      </c>
      <c r="M28" s="23">
        <f t="shared" si="5"/>
        <v>41.3890291658047</v>
      </c>
      <c r="N28">
        <f t="shared" si="6"/>
        <v>91</v>
      </c>
      <c r="O28" t="str">
        <f t="shared" si="7"/>
        <v>Priority Intervention</v>
      </c>
    </row>
    <row r="29" spans="1:15" x14ac:dyDescent="0.3">
      <c r="A29" t="str">
        <f>INDEX(tblModelStoreScore[store_name],MATCH(65,tblModelStoreScore[store_id],0))</f>
        <v>Nova Retail - Chandigarh Standard</v>
      </c>
      <c r="B29" t="str">
        <f>INDEX(tblModelStoreScore[region_name],MATCH(65,tblModelStoreScore[store_id],0))</f>
        <v>Punjab-Haryana</v>
      </c>
      <c r="C29" s="13">
        <f>INDEX(tblModelStoreScore[margin_pct_last6],MATCH(65,tblModelStoreScore[store_id],0))</f>
        <v>0.17649999999999999</v>
      </c>
      <c r="D29" s="13">
        <f>INDEX(tblModelStoreScore[margin_trend_pp],MATCH(65,tblModelStoreScore[store_id],0))</f>
        <v>0.03</v>
      </c>
      <c r="E29" s="13">
        <f>INDEX(tblModelStoreScore[return_rate_last6],MATCH(65,tblModelStoreScore[store_id],0))</f>
        <v>3.6200000000000003E-2</v>
      </c>
      <c r="F29" s="13">
        <f>INDEX(tblModelStoreScore[discount_leak_pct_last6],MATCH(65,tblModelStoreScore[store_id],0))</f>
        <v>5.1200000000000002E-2</v>
      </c>
      <c r="G29" s="13">
        <f>INDEX(tblModelStoreScore[revenue_growth_pct],MATCH(65,tblModelStoreScore[store_id],0))</f>
        <v>0.33879999999999999</v>
      </c>
      <c r="H29" s="22">
        <f t="shared" si="0"/>
        <v>50.146627565982392</v>
      </c>
      <c r="I29" s="22">
        <f t="shared" si="1"/>
        <v>24.999999999999993</v>
      </c>
      <c r="J29" s="22">
        <f t="shared" si="2"/>
        <v>58.860759493670876</v>
      </c>
      <c r="K29" s="22">
        <f t="shared" si="3"/>
        <v>77.58620689655173</v>
      </c>
      <c r="L29" s="22">
        <f t="shared" si="4"/>
        <v>41.829813473100046</v>
      </c>
      <c r="M29" s="23">
        <f t="shared" si="5"/>
        <v>48.887052550321656</v>
      </c>
      <c r="N29">
        <f t="shared" si="6"/>
        <v>56</v>
      </c>
      <c r="O29" t="str">
        <f t="shared" si="7"/>
        <v/>
      </c>
    </row>
    <row r="30" spans="1:15" x14ac:dyDescent="0.3">
      <c r="A30" t="str">
        <f>INDEX(tblModelStoreScore[store_name],MATCH(89,tblModelStoreScore[store_id],0))</f>
        <v>Nova Retail - Chandigarh Standard</v>
      </c>
      <c r="B30" t="str">
        <f>INDEX(tblModelStoreScore[region_name],MATCH(89,tblModelStoreScore[store_id],0))</f>
        <v>Punjab-Haryana</v>
      </c>
      <c r="C30" s="13">
        <f>INDEX(tblModelStoreScore[margin_pct_last6],MATCH(89,tblModelStoreScore[store_id],0))</f>
        <v>0.16589999999999999</v>
      </c>
      <c r="D30" s="13">
        <f>INDEX(tblModelStoreScore[margin_trend_pp],MATCH(89,tblModelStoreScore[store_id],0))</f>
        <v>0.03</v>
      </c>
      <c r="E30" s="13">
        <f>INDEX(tblModelStoreScore[return_rate_last6],MATCH(89,tblModelStoreScore[store_id],0))</f>
        <v>3.6400000000000002E-2</v>
      </c>
      <c r="F30" s="13">
        <f>INDEX(tblModelStoreScore[discount_leak_pct_last6],MATCH(89,tblModelStoreScore[store_id],0))</f>
        <v>6.8599999999999994E-2</v>
      </c>
      <c r="G30" s="13">
        <f>INDEX(tblModelStoreScore[revenue_growth_pct],MATCH(89,tblModelStoreScore[store_id],0))</f>
        <v>0.1956</v>
      </c>
      <c r="H30" s="22">
        <f t="shared" si="0"/>
        <v>19.061583577712614</v>
      </c>
      <c r="I30" s="22">
        <f t="shared" si="1"/>
        <v>24.999999999999993</v>
      </c>
      <c r="J30" s="22">
        <f t="shared" si="2"/>
        <v>58.438818565400844</v>
      </c>
      <c r="K30" s="22">
        <f t="shared" si="3"/>
        <v>27.586206896551751</v>
      </c>
      <c r="L30" s="22">
        <f t="shared" si="4"/>
        <v>30.792353938646521</v>
      </c>
      <c r="M30" s="23">
        <f t="shared" si="5"/>
        <v>30.873405214741368</v>
      </c>
      <c r="N30">
        <f t="shared" si="6"/>
        <v>117</v>
      </c>
      <c r="O30" t="str">
        <f t="shared" si="7"/>
        <v>Priority Intervention</v>
      </c>
    </row>
    <row r="31" spans="1:15" x14ac:dyDescent="0.3">
      <c r="A31" t="str">
        <f>INDEX(tblModelStoreScore[store_name],MATCH(103,tblModelStoreScore[store_id],0))</f>
        <v>Nova Retail - Chandigarh Standard</v>
      </c>
      <c r="B31" t="str">
        <f>INDEX(tblModelStoreScore[region_name],MATCH(103,tblModelStoreScore[store_id],0))</f>
        <v>Punjab-Haryana</v>
      </c>
      <c r="C31" s="13">
        <f>INDEX(tblModelStoreScore[margin_pct_last6],MATCH(103,tblModelStoreScore[store_id],0))</f>
        <v>0.17469999999999999</v>
      </c>
      <c r="D31" s="13">
        <f>INDEX(tblModelStoreScore[margin_trend_pp],MATCH(103,tblModelStoreScore[store_id],0))</f>
        <v>0.03</v>
      </c>
      <c r="E31" s="13">
        <f>INDEX(tblModelStoreScore[return_rate_last6],MATCH(103,tblModelStoreScore[store_id],0))</f>
        <v>3.0300000000000001E-2</v>
      </c>
      <c r="F31" s="13">
        <f>INDEX(tblModelStoreScore[discount_leak_pct_last6],MATCH(103,tblModelStoreScore[store_id],0))</f>
        <v>6.4000000000000001E-2</v>
      </c>
      <c r="G31" s="13">
        <f>INDEX(tblModelStoreScore[revenue_growth_pct],MATCH(103,tblModelStoreScore[store_id],0))</f>
        <v>0.30180000000000001</v>
      </c>
      <c r="H31" s="22">
        <f t="shared" si="0"/>
        <v>44.868035190615835</v>
      </c>
      <c r="I31" s="22">
        <f t="shared" si="1"/>
        <v>24.999999999999993</v>
      </c>
      <c r="J31" s="22">
        <f t="shared" si="2"/>
        <v>71.308016877637144</v>
      </c>
      <c r="K31" s="22">
        <f t="shared" si="3"/>
        <v>40.804597701149433</v>
      </c>
      <c r="L31" s="22">
        <f t="shared" si="4"/>
        <v>38.977955911823656</v>
      </c>
      <c r="M31" s="23">
        <f t="shared" si="5"/>
        <v>43.990499179066951</v>
      </c>
      <c r="N31">
        <f t="shared" si="6"/>
        <v>80</v>
      </c>
      <c r="O31" t="str">
        <f t="shared" si="7"/>
        <v/>
      </c>
    </row>
    <row r="32" spans="1:15" x14ac:dyDescent="0.3">
      <c r="A32" t="str">
        <f>INDEX(tblModelStoreScore[store_name],MATCH(114,tblModelStoreScore[store_id],0))</f>
        <v>Nova Retail - Chandigarh Standard</v>
      </c>
      <c r="B32" t="str">
        <f>INDEX(tblModelStoreScore[region_name],MATCH(114,tblModelStoreScore[store_id],0))</f>
        <v>Punjab-Haryana</v>
      </c>
      <c r="C32" s="13">
        <f>INDEX(tblModelStoreScore[margin_pct_last6],MATCH(114,tblModelStoreScore[store_id],0))</f>
        <v>0.17549999999999999</v>
      </c>
      <c r="D32" s="13">
        <f>INDEX(tblModelStoreScore[margin_trend_pp],MATCH(114,tblModelStoreScore[store_id],0))</f>
        <v>0.04</v>
      </c>
      <c r="E32" s="13">
        <f>INDEX(tblModelStoreScore[return_rate_last6],MATCH(114,tblModelStoreScore[store_id],0))</f>
        <v>4.5199999999999997E-2</v>
      </c>
      <c r="F32" s="13">
        <f>INDEX(tblModelStoreScore[discount_leak_pct_last6],MATCH(114,tblModelStoreScore[store_id],0))</f>
        <v>5.6399999999999999E-2</v>
      </c>
      <c r="G32" s="13">
        <f>INDEX(tblModelStoreScore[revenue_growth_pct],MATCH(114,tblModelStoreScore[store_id],0))</f>
        <v>0.29459999999999997</v>
      </c>
      <c r="H32" s="22">
        <f t="shared" si="0"/>
        <v>47.214076246334294</v>
      </c>
      <c r="I32" s="22">
        <f t="shared" si="1"/>
        <v>37.5</v>
      </c>
      <c r="J32" s="22">
        <f t="shared" si="2"/>
        <v>39.873417721518997</v>
      </c>
      <c r="K32" s="22">
        <f t="shared" si="3"/>
        <v>62.643678160919549</v>
      </c>
      <c r="L32" s="22">
        <f t="shared" si="4"/>
        <v>38.422999845845531</v>
      </c>
      <c r="M32" s="23">
        <f t="shared" si="5"/>
        <v>44.75275812692658</v>
      </c>
      <c r="N32">
        <f t="shared" si="6"/>
        <v>74</v>
      </c>
      <c r="O32" t="str">
        <f t="shared" si="7"/>
        <v/>
      </c>
    </row>
    <row r="33" spans="1:15" x14ac:dyDescent="0.3">
      <c r="A33" t="str">
        <f>INDEX(tblModelStoreScore[store_name],MATCH(44,tblModelStoreScore[store_id],0))</f>
        <v>Nova Retail - Chennai Compact</v>
      </c>
      <c r="B33" t="str">
        <f>INDEX(tblModelStoreScore[region_name],MATCH(44,tblModelStoreScore[store_id],0))</f>
        <v>Tamil Nadu</v>
      </c>
      <c r="C33" s="13">
        <f>INDEX(tblModelStoreScore[margin_pct_last6],MATCH(44,tblModelStoreScore[store_id],0))</f>
        <v>0.1759</v>
      </c>
      <c r="D33" s="13">
        <f>INDEX(tblModelStoreScore[margin_trend_pp],MATCH(44,tblModelStoreScore[store_id],0))</f>
        <v>0.06</v>
      </c>
      <c r="E33" s="13">
        <f>INDEX(tblModelStoreScore[return_rate_last6],MATCH(44,tblModelStoreScore[store_id],0))</f>
        <v>3.2099999999999997E-2</v>
      </c>
      <c r="F33" s="13">
        <f>INDEX(tblModelStoreScore[discount_leak_pct_last6],MATCH(44,tblModelStoreScore[store_id],0))</f>
        <v>5.4800000000000001E-2</v>
      </c>
      <c r="G33" s="13">
        <f>INDEX(tblModelStoreScore[revenue_growth_pct],MATCH(44,tblModelStoreScore[store_id],0))</f>
        <v>0.2661</v>
      </c>
      <c r="H33" s="22">
        <f t="shared" si="0"/>
        <v>48.387096774193566</v>
      </c>
      <c r="I33" s="22">
        <f t="shared" si="1"/>
        <v>62.499999999999986</v>
      </c>
      <c r="J33" s="22">
        <f t="shared" si="2"/>
        <v>67.510548523206765</v>
      </c>
      <c r="K33" s="22">
        <f t="shared" si="3"/>
        <v>67.241379310344826</v>
      </c>
      <c r="L33" s="22">
        <f t="shared" si="4"/>
        <v>36.22629875134885</v>
      </c>
      <c r="M33" s="23">
        <f t="shared" si="5"/>
        <v>57.352075508586026</v>
      </c>
      <c r="N33">
        <f t="shared" si="6"/>
        <v>26</v>
      </c>
      <c r="O33" t="str">
        <f t="shared" si="7"/>
        <v/>
      </c>
    </row>
    <row r="34" spans="1:15" x14ac:dyDescent="0.3">
      <c r="A34" t="str">
        <f>INDEX(tblModelStoreScore[store_name],MATCH(62,tblModelStoreScore[store_id],0))</f>
        <v>Nova Retail - Chennai Standard</v>
      </c>
      <c r="B34" t="str">
        <f>INDEX(tblModelStoreScore[region_name],MATCH(62,tblModelStoreScore[store_id],0))</f>
        <v>Tamil Nadu</v>
      </c>
      <c r="C34" s="13">
        <f>INDEX(tblModelStoreScore[margin_pct_last6],MATCH(62,tblModelStoreScore[store_id],0))</f>
        <v>0.17030000000000001</v>
      </c>
      <c r="D34" s="13">
        <f>INDEX(tblModelStoreScore[margin_trend_pp],MATCH(62,tblModelStoreScore[store_id],0))</f>
        <v>0.04</v>
      </c>
      <c r="E34" s="13">
        <f>INDEX(tblModelStoreScore[return_rate_last6],MATCH(62,tblModelStoreScore[store_id],0))</f>
        <v>3.5900000000000001E-2</v>
      </c>
      <c r="F34" s="13">
        <f>INDEX(tblModelStoreScore[discount_leak_pct_last6],MATCH(62,tblModelStoreScore[store_id],0))</f>
        <v>6.4000000000000001E-2</v>
      </c>
      <c r="G34" s="13">
        <f>INDEX(tblModelStoreScore[revenue_growth_pct],MATCH(62,tblModelStoreScore[store_id],0))</f>
        <v>0.52349999999999997</v>
      </c>
      <c r="H34" s="22">
        <f t="shared" si="0"/>
        <v>31.964809384164266</v>
      </c>
      <c r="I34" s="22">
        <f t="shared" si="1"/>
        <v>37.5</v>
      </c>
      <c r="J34" s="22">
        <f t="shared" si="2"/>
        <v>59.493670886075947</v>
      </c>
      <c r="K34" s="22">
        <f t="shared" si="3"/>
        <v>40.804597701149433</v>
      </c>
      <c r="L34" s="22">
        <f t="shared" si="4"/>
        <v>56.065978110066283</v>
      </c>
      <c r="M34" s="23">
        <f t="shared" si="5"/>
        <v>42.59046445864351</v>
      </c>
      <c r="N34">
        <f t="shared" si="6"/>
        <v>88</v>
      </c>
      <c r="O34" t="str">
        <f t="shared" si="7"/>
        <v/>
      </c>
    </row>
    <row r="35" spans="1:15" x14ac:dyDescent="0.3">
      <c r="A35" t="str">
        <f>INDEX(tblModelStoreScore[store_name],MATCH(93,tblModelStoreScore[store_id],0))</f>
        <v>Nova Retail - Coimbatore Compact</v>
      </c>
      <c r="B35" t="str">
        <f>INDEX(tblModelStoreScore[region_name],MATCH(93,tblModelStoreScore[store_id],0))</f>
        <v>Tamil Nadu</v>
      </c>
      <c r="C35" s="13">
        <f>INDEX(tblModelStoreScore[margin_pct_last6],MATCH(93,tblModelStoreScore[store_id],0))</f>
        <v>0.1668</v>
      </c>
      <c r="D35" s="13">
        <f>INDEX(tblModelStoreScore[margin_trend_pp],MATCH(93,tblModelStoreScore[store_id],0))</f>
        <v>0.05</v>
      </c>
      <c r="E35" s="13">
        <f>INDEX(tblModelStoreScore[return_rate_last6],MATCH(93,tblModelStoreScore[store_id],0))</f>
        <v>1.9800000000000002E-2</v>
      </c>
      <c r="F35" s="13">
        <f>INDEX(tblModelStoreScore[discount_leak_pct_last6],MATCH(93,tblModelStoreScore[store_id],0))</f>
        <v>6.9400000000000003E-2</v>
      </c>
      <c r="G35" s="13">
        <f>INDEX(tblModelStoreScore[revenue_growth_pct],MATCH(93,tblModelStoreScore[store_id],0))</f>
        <v>0.24909999999999999</v>
      </c>
      <c r="H35" s="22">
        <f t="shared" si="0"/>
        <v>21.700879765395932</v>
      </c>
      <c r="I35" s="22">
        <f t="shared" si="1"/>
        <v>50</v>
      </c>
      <c r="J35" s="22">
        <f t="shared" si="2"/>
        <v>93.459915611814353</v>
      </c>
      <c r="K35" s="22">
        <f t="shared" si="3"/>
        <v>25.287356321839084</v>
      </c>
      <c r="L35" s="22">
        <f t="shared" si="4"/>
        <v>34.915985817789426</v>
      </c>
      <c r="M35" s="23">
        <f t="shared" si="5"/>
        <v>44.98694908203646</v>
      </c>
      <c r="N35">
        <f t="shared" si="6"/>
        <v>72</v>
      </c>
      <c r="O35" t="str">
        <f t="shared" si="7"/>
        <v/>
      </c>
    </row>
    <row r="36" spans="1:15" x14ac:dyDescent="0.3">
      <c r="A36" t="str">
        <f>INDEX(tblModelStoreScore[store_name],MATCH(30,tblModelStoreScore[store_id],0))</f>
        <v>Nova Retail - Cuttack Standard</v>
      </c>
      <c r="B36" t="str">
        <f>INDEX(tblModelStoreScore[region_name],MATCH(30,tblModelStoreScore[store_id],0))</f>
        <v>Odisha-Jharkhand</v>
      </c>
      <c r="C36" s="13">
        <f>INDEX(tblModelStoreScore[margin_pct_last6],MATCH(30,tblModelStoreScore[store_id],0))</f>
        <v>0.1759</v>
      </c>
      <c r="D36" s="13">
        <f>INDEX(tblModelStoreScore[margin_trend_pp],MATCH(30,tblModelStoreScore[store_id],0))</f>
        <v>0.02</v>
      </c>
      <c r="E36" s="13">
        <f>INDEX(tblModelStoreScore[return_rate_last6],MATCH(30,tblModelStoreScore[store_id],0))</f>
        <v>3.39E-2</v>
      </c>
      <c r="F36" s="13">
        <f>INDEX(tblModelStoreScore[discount_leak_pct_last6],MATCH(30,tblModelStoreScore[store_id],0))</f>
        <v>5.4600000000000003E-2</v>
      </c>
      <c r="G36" s="13">
        <f>INDEX(tblModelStoreScore[revenue_growth_pct],MATCH(30,tblModelStoreScore[store_id],0))</f>
        <v>0.53949999999999998</v>
      </c>
      <c r="H36" s="22">
        <f t="shared" si="0"/>
        <v>48.387096774193566</v>
      </c>
      <c r="I36" s="22">
        <f t="shared" si="1"/>
        <v>12.5</v>
      </c>
      <c r="J36" s="22">
        <f t="shared" si="2"/>
        <v>63.713080168776372</v>
      </c>
      <c r="K36" s="22">
        <f t="shared" si="3"/>
        <v>67.81609195402298</v>
      </c>
      <c r="L36" s="22">
        <f t="shared" si="4"/>
        <v>57.29921381223987</v>
      </c>
      <c r="M36" s="23">
        <f t="shared" si="5"/>
        <v>46.28608024034078</v>
      </c>
      <c r="N36">
        <f t="shared" si="6"/>
        <v>66</v>
      </c>
      <c r="O36" t="str">
        <f t="shared" si="7"/>
        <v/>
      </c>
    </row>
    <row r="37" spans="1:15" x14ac:dyDescent="0.3">
      <c r="A37" t="str">
        <f>INDEX(tblModelStoreScore[store_name],MATCH(79,tblModelStoreScore[store_id],0))</f>
        <v>Nova Retail - Cuttack Standard</v>
      </c>
      <c r="B37" t="str">
        <f>INDEX(tblModelStoreScore[region_name],MATCH(79,tblModelStoreScore[store_id],0))</f>
        <v>Odisha-Jharkhand</v>
      </c>
      <c r="C37" s="13">
        <f>INDEX(tblModelStoreScore[margin_pct_last6],MATCH(79,tblModelStoreScore[store_id],0))</f>
        <v>0.1741</v>
      </c>
      <c r="D37" s="13">
        <f>INDEX(tblModelStoreScore[margin_trend_pp],MATCH(79,tblModelStoreScore[store_id],0))</f>
        <v>0.02</v>
      </c>
      <c r="E37" s="13">
        <f>INDEX(tblModelStoreScore[return_rate_last6],MATCH(79,tblModelStoreScore[store_id],0))</f>
        <v>2.4199999999999999E-2</v>
      </c>
      <c r="F37" s="13">
        <f>INDEX(tblModelStoreScore[discount_leak_pct_last6],MATCH(79,tblModelStoreScore[store_id],0))</f>
        <v>5.7299999999999997E-2</v>
      </c>
      <c r="G37" s="13">
        <f>INDEX(tblModelStoreScore[revenue_growth_pct],MATCH(79,tblModelStoreScore[store_id],0))</f>
        <v>0.94499999999999995</v>
      </c>
      <c r="H37" s="22">
        <f t="shared" si="0"/>
        <v>43.108504398827009</v>
      </c>
      <c r="I37" s="22">
        <f t="shared" si="1"/>
        <v>12.5</v>
      </c>
      <c r="J37" s="22">
        <f t="shared" si="2"/>
        <v>84.177215189873422</v>
      </c>
      <c r="K37" s="22">
        <f t="shared" si="3"/>
        <v>60.057471264367834</v>
      </c>
      <c r="L37" s="22">
        <f t="shared" si="4"/>
        <v>88.554031139201498</v>
      </c>
      <c r="M37" s="23">
        <f t="shared" si="5"/>
        <v>50.757018161198104</v>
      </c>
      <c r="N37">
        <f t="shared" si="6"/>
        <v>49</v>
      </c>
      <c r="O37" t="str">
        <f t="shared" si="7"/>
        <v/>
      </c>
    </row>
    <row r="38" spans="1:15" x14ac:dyDescent="0.3">
      <c r="A38" t="str">
        <f>INDEX(tblModelStoreScore[store_name],MATCH(14,tblModelStoreScore[store_id],0))</f>
        <v>Nova Retail - Durgapur Standard</v>
      </c>
      <c r="B38" t="str">
        <f>INDEX(tblModelStoreScore[region_name],MATCH(14,tblModelStoreScore[store_id],0))</f>
        <v>West Bengal</v>
      </c>
      <c r="C38" s="13">
        <f>INDEX(tblModelStoreScore[margin_pct_last6],MATCH(14,tblModelStoreScore[store_id],0))</f>
        <v>0.1714</v>
      </c>
      <c r="D38" s="13">
        <f>INDEX(tblModelStoreScore[margin_trend_pp],MATCH(14,tblModelStoreScore[store_id],0))</f>
        <v>0.02</v>
      </c>
      <c r="E38" s="13">
        <f>INDEX(tblModelStoreScore[return_rate_last6],MATCH(14,tblModelStoreScore[store_id],0))</f>
        <v>2.4899999999999999E-2</v>
      </c>
      <c r="F38" s="13">
        <f>INDEX(tblModelStoreScore[discount_leak_pct_last6],MATCH(14,tblModelStoreScore[store_id],0))</f>
        <v>6.2E-2</v>
      </c>
      <c r="G38" s="13">
        <f>INDEX(tblModelStoreScore[revenue_growth_pct],MATCH(14,tblModelStoreScore[store_id],0))</f>
        <v>0.58809999999999996</v>
      </c>
      <c r="H38" s="22">
        <f t="shared" si="0"/>
        <v>35.190615835777137</v>
      </c>
      <c r="I38" s="22">
        <f t="shared" si="1"/>
        <v>12.5</v>
      </c>
      <c r="J38" s="22">
        <f t="shared" si="2"/>
        <v>82.700421940928265</v>
      </c>
      <c r="K38" s="22">
        <f t="shared" si="3"/>
        <v>46.551724137931046</v>
      </c>
      <c r="L38" s="22">
        <f t="shared" si="4"/>
        <v>61.045167257592105</v>
      </c>
      <c r="M38" s="23">
        <f t="shared" si="5"/>
        <v>43.309544485367667</v>
      </c>
      <c r="N38">
        <f t="shared" si="6"/>
        <v>82</v>
      </c>
      <c r="O38" t="str">
        <f t="shared" si="7"/>
        <v/>
      </c>
    </row>
    <row r="39" spans="1:15" x14ac:dyDescent="0.3">
      <c r="A39" t="str">
        <f>INDEX(tblModelStoreScore[store_name],MATCH(23,tblModelStoreScore[store_id],0))</f>
        <v>Nova Retail - Durgapur Standard</v>
      </c>
      <c r="B39" t="str">
        <f>INDEX(tblModelStoreScore[region_name],MATCH(23,tblModelStoreScore[store_id],0))</f>
        <v>West Bengal</v>
      </c>
      <c r="C39" s="13">
        <f>INDEX(tblModelStoreScore[margin_pct_last6],MATCH(23,tblModelStoreScore[store_id],0))</f>
        <v>0.17069999999999999</v>
      </c>
      <c r="D39" s="13">
        <f>INDEX(tblModelStoreScore[margin_trend_pp],MATCH(23,tblModelStoreScore[store_id],0))</f>
        <v>0.04</v>
      </c>
      <c r="E39" s="13">
        <f>INDEX(tblModelStoreScore[return_rate_last6],MATCH(23,tblModelStoreScore[store_id],0))</f>
        <v>3.56E-2</v>
      </c>
      <c r="F39" s="13">
        <f>INDEX(tblModelStoreScore[discount_leak_pct_last6],MATCH(23,tblModelStoreScore[store_id],0))</f>
        <v>6.08E-2</v>
      </c>
      <c r="G39" s="13">
        <f>INDEX(tblModelStoreScore[revenue_growth_pct],MATCH(23,tblModelStoreScore[store_id],0))</f>
        <v>0.49709999999999999</v>
      </c>
      <c r="H39" s="22">
        <f t="shared" si="0"/>
        <v>33.137829912023456</v>
      </c>
      <c r="I39" s="22">
        <f t="shared" si="1"/>
        <v>37.5</v>
      </c>
      <c r="J39" s="22">
        <f t="shared" si="2"/>
        <v>60.12658227848101</v>
      </c>
      <c r="K39" s="22">
        <f t="shared" si="3"/>
        <v>50.000000000000014</v>
      </c>
      <c r="L39" s="22">
        <f t="shared" si="4"/>
        <v>54.031139201479881</v>
      </c>
      <c r="M39" s="23">
        <f t="shared" si="5"/>
        <v>44.244779349451228</v>
      </c>
      <c r="N39">
        <f t="shared" si="6"/>
        <v>77</v>
      </c>
      <c r="O39" t="str">
        <f t="shared" si="7"/>
        <v/>
      </c>
    </row>
    <row r="40" spans="1:15" x14ac:dyDescent="0.3">
      <c r="A40" t="str">
        <f>INDEX(tblModelStoreScore[store_name],MATCH(55,tblModelStoreScore[store_id],0))</f>
        <v>Nova Retail - Durgapur Standard</v>
      </c>
      <c r="B40" t="str">
        <f>INDEX(tblModelStoreScore[region_name],MATCH(55,tblModelStoreScore[store_id],0))</f>
        <v>West Bengal</v>
      </c>
      <c r="C40" s="13">
        <f>INDEX(tblModelStoreScore[margin_pct_last6],MATCH(55,tblModelStoreScore[store_id],0))</f>
        <v>0.18210000000000001</v>
      </c>
      <c r="D40" s="13">
        <f>INDEX(tblModelStoreScore[margin_trend_pp],MATCH(55,tblModelStoreScore[store_id],0))</f>
        <v>0.03</v>
      </c>
      <c r="E40" s="13">
        <f>INDEX(tblModelStoreScore[return_rate_last6],MATCH(55,tblModelStoreScore[store_id],0))</f>
        <v>3.1699999999999999E-2</v>
      </c>
      <c r="F40" s="13">
        <f>INDEX(tblModelStoreScore[discount_leak_pct_last6],MATCH(55,tblModelStoreScore[store_id],0))</f>
        <v>5.7500000000000002E-2</v>
      </c>
      <c r="G40" s="13">
        <f>INDEX(tblModelStoreScore[revenue_growth_pct],MATCH(55,tblModelStoreScore[store_id],0))</f>
        <v>0.6361</v>
      </c>
      <c r="H40" s="22">
        <f t="shared" si="0"/>
        <v>66.568914956011767</v>
      </c>
      <c r="I40" s="22">
        <f t="shared" si="1"/>
        <v>24.999999999999993</v>
      </c>
      <c r="J40" s="22">
        <f t="shared" si="2"/>
        <v>68.354430379746844</v>
      </c>
      <c r="K40" s="22">
        <f t="shared" si="3"/>
        <v>59.482758620689658</v>
      </c>
      <c r="L40" s="22">
        <f t="shared" si="4"/>
        <v>64.744874364112846</v>
      </c>
      <c r="M40" s="23">
        <f t="shared" si="5"/>
        <v>55.288461792267633</v>
      </c>
      <c r="N40">
        <f t="shared" si="6"/>
        <v>31</v>
      </c>
      <c r="O40" t="str">
        <f t="shared" si="7"/>
        <v/>
      </c>
    </row>
    <row r="41" spans="1:15" x14ac:dyDescent="0.3">
      <c r="A41" t="str">
        <f>INDEX(tblModelStoreScore[store_name],MATCH(80,tblModelStoreScore[store_id],0))</f>
        <v>Nova Retail - Durgapur Standard</v>
      </c>
      <c r="B41" t="str">
        <f>INDEX(tblModelStoreScore[region_name],MATCH(80,tblModelStoreScore[store_id],0))</f>
        <v>West Bengal</v>
      </c>
      <c r="C41" s="13">
        <f>INDEX(tblModelStoreScore[margin_pct_last6],MATCH(80,tblModelStoreScore[store_id],0))</f>
        <v>0.15939999999999999</v>
      </c>
      <c r="D41" s="13">
        <f>INDEX(tblModelStoreScore[margin_trend_pp],MATCH(80,tblModelStoreScore[store_id],0))</f>
        <v>0.04</v>
      </c>
      <c r="E41" s="13">
        <f>INDEX(tblModelStoreScore[return_rate_last6],MATCH(80,tblModelStoreScore[store_id],0))</f>
        <v>4.9099999999999998E-2</v>
      </c>
      <c r="F41" s="13">
        <f>INDEX(tblModelStoreScore[discount_leak_pct_last6],MATCH(80,tblModelStoreScore[store_id],0))</f>
        <v>7.8200000000000006E-2</v>
      </c>
      <c r="G41" s="13">
        <f>INDEX(tblModelStoreScore[revenue_growth_pct],MATCH(80,tblModelStoreScore[store_id],0))</f>
        <v>4.24E-2</v>
      </c>
      <c r="H41" s="22">
        <f t="shared" si="0"/>
        <v>0</v>
      </c>
      <c r="I41" s="22">
        <f t="shared" si="1"/>
        <v>37.5</v>
      </c>
      <c r="J41" s="22">
        <f t="shared" si="2"/>
        <v>31.645569620253173</v>
      </c>
      <c r="K41" s="22">
        <f t="shared" si="3"/>
        <v>0</v>
      </c>
      <c r="L41" s="22">
        <f t="shared" si="4"/>
        <v>18.984122090334516</v>
      </c>
      <c r="M41" s="23">
        <f t="shared" si="5"/>
        <v>17.602526133084087</v>
      </c>
      <c r="N41">
        <f t="shared" si="6"/>
        <v>120</v>
      </c>
      <c r="O41" t="str">
        <f t="shared" si="7"/>
        <v>Priority Intervention</v>
      </c>
    </row>
    <row r="42" spans="1:15" x14ac:dyDescent="0.3">
      <c r="A42" t="str">
        <f>INDEX(tblModelStoreScore[store_name],MATCH(99,tblModelStoreScore[store_id],0))</f>
        <v>Nova Retail - Faridabad Standard</v>
      </c>
      <c r="B42" t="str">
        <f>INDEX(tblModelStoreScore[region_name],MATCH(99,tblModelStoreScore[store_id],0))</f>
        <v>Delhi NCR</v>
      </c>
      <c r="C42" s="13">
        <f>INDEX(tblModelStoreScore[margin_pct_last6],MATCH(99,tblModelStoreScore[store_id],0))</f>
        <v>0.17699999999999999</v>
      </c>
      <c r="D42" s="13">
        <f>INDEX(tblModelStoreScore[margin_trend_pp],MATCH(99,tblModelStoreScore[store_id],0))</f>
        <v>0.03</v>
      </c>
      <c r="E42" s="13">
        <f>INDEX(tblModelStoreScore[return_rate_last6],MATCH(99,tblModelStoreScore[store_id],0))</f>
        <v>4.3200000000000002E-2</v>
      </c>
      <c r="F42" s="13">
        <f>INDEX(tblModelStoreScore[discount_leak_pct_last6],MATCH(99,tblModelStoreScore[store_id],0))</f>
        <v>5.9400000000000001E-2</v>
      </c>
      <c r="G42" s="13">
        <f>INDEX(tblModelStoreScore[revenue_growth_pct],MATCH(99,tblModelStoreScore[store_id],0))</f>
        <v>0.39090000000000003</v>
      </c>
      <c r="H42" s="22">
        <f t="shared" si="0"/>
        <v>51.612903225806441</v>
      </c>
      <c r="I42" s="22">
        <f t="shared" si="1"/>
        <v>24.999999999999993</v>
      </c>
      <c r="J42" s="22">
        <f t="shared" si="2"/>
        <v>44.092827004219409</v>
      </c>
      <c r="K42" s="22">
        <f t="shared" si="3"/>
        <v>54.022988505747129</v>
      </c>
      <c r="L42" s="22">
        <f t="shared" si="4"/>
        <v>45.84553722830276</v>
      </c>
      <c r="M42" s="23">
        <f t="shared" si="5"/>
        <v>43.240438367278159</v>
      </c>
      <c r="N42">
        <f t="shared" si="6"/>
        <v>84</v>
      </c>
      <c r="O42" t="str">
        <f t="shared" si="7"/>
        <v/>
      </c>
    </row>
    <row r="43" spans="1:15" x14ac:dyDescent="0.3">
      <c r="A43" t="str">
        <f>INDEX(tblModelStoreScore[store_name],MATCH(43,tblModelStoreScore[store_id],0))</f>
        <v>Nova Retail - Gurugram Compact</v>
      </c>
      <c r="B43" t="str">
        <f>INDEX(tblModelStoreScore[region_name],MATCH(43,tblModelStoreScore[store_id],0))</f>
        <v>Delhi NCR</v>
      </c>
      <c r="C43" s="13">
        <f>INDEX(tblModelStoreScore[margin_pct_last6],MATCH(43,tblModelStoreScore[store_id],0))</f>
        <v>0.18820000000000001</v>
      </c>
      <c r="D43" s="13">
        <f>INDEX(tblModelStoreScore[margin_trend_pp],MATCH(43,tblModelStoreScore[store_id],0))</f>
        <v>0.04</v>
      </c>
      <c r="E43" s="13">
        <f>INDEX(tblModelStoreScore[return_rate_last6],MATCH(43,tblModelStoreScore[store_id],0))</f>
        <v>3.04E-2</v>
      </c>
      <c r="F43" s="13">
        <f>INDEX(tblModelStoreScore[discount_leak_pct_last6],MATCH(43,tblModelStoreScore[store_id],0))</f>
        <v>5.7099999999999998E-2</v>
      </c>
      <c r="G43" s="13">
        <f>INDEX(tblModelStoreScore[revenue_growth_pct],MATCH(43,tblModelStoreScore[store_id],0))</f>
        <v>0.6028</v>
      </c>
      <c r="H43" s="22">
        <f t="shared" si="0"/>
        <v>84.457478005865113</v>
      </c>
      <c r="I43" s="22">
        <f t="shared" si="1"/>
        <v>37.5</v>
      </c>
      <c r="J43" s="22">
        <f t="shared" si="2"/>
        <v>71.097046413502113</v>
      </c>
      <c r="K43" s="22">
        <f t="shared" si="3"/>
        <v>60.632183908045988</v>
      </c>
      <c r="L43" s="22">
        <f t="shared" si="4"/>
        <v>62.178202558964088</v>
      </c>
      <c r="M43" s="23">
        <f t="shared" si="5"/>
        <v>64.244300526563265</v>
      </c>
      <c r="N43">
        <f t="shared" si="6"/>
        <v>10</v>
      </c>
      <c r="O43" t="str">
        <f t="shared" si="7"/>
        <v/>
      </c>
    </row>
    <row r="44" spans="1:15" x14ac:dyDescent="0.3">
      <c r="A44" t="str">
        <f>INDEX(tblModelStoreScore[store_name],MATCH(26,tblModelStoreScore[store_id],0))</f>
        <v>Nova Retail - Gurugram Standard</v>
      </c>
      <c r="B44" t="str">
        <f>INDEX(tblModelStoreScore[region_name],MATCH(26,tblModelStoreScore[store_id],0))</f>
        <v>Delhi NCR</v>
      </c>
      <c r="C44" s="13">
        <f>INDEX(tblModelStoreScore[margin_pct_last6],MATCH(26,tblModelStoreScore[store_id],0))</f>
        <v>0.17710000000000001</v>
      </c>
      <c r="D44" s="13">
        <f>INDEX(tblModelStoreScore[margin_trend_pp],MATCH(26,tblModelStoreScore[store_id],0))</f>
        <v>0.03</v>
      </c>
      <c r="E44" s="13">
        <f>INDEX(tblModelStoreScore[return_rate_last6],MATCH(26,tblModelStoreScore[store_id],0))</f>
        <v>4.1099999999999998E-2</v>
      </c>
      <c r="F44" s="13">
        <f>INDEX(tblModelStoreScore[discount_leak_pct_last6],MATCH(26,tblModelStoreScore[store_id],0))</f>
        <v>6.2600000000000003E-2</v>
      </c>
      <c r="G44" s="13">
        <f>INDEX(tblModelStoreScore[revenue_growth_pct],MATCH(26,tblModelStoreScore[store_id],0))</f>
        <v>0.15570000000000001</v>
      </c>
      <c r="H44" s="22">
        <f t="shared" si="0"/>
        <v>51.90615835777129</v>
      </c>
      <c r="I44" s="22">
        <f t="shared" si="1"/>
        <v>24.999999999999993</v>
      </c>
      <c r="J44" s="22">
        <f t="shared" si="2"/>
        <v>48.523206751054857</v>
      </c>
      <c r="K44" s="22">
        <f t="shared" si="3"/>
        <v>44.827586206896555</v>
      </c>
      <c r="L44" s="22">
        <f t="shared" si="4"/>
        <v>27.716972406351172</v>
      </c>
      <c r="M44" s="23">
        <f t="shared" si="5"/>
        <v>41.022324029211958</v>
      </c>
      <c r="N44">
        <f t="shared" si="6"/>
        <v>94</v>
      </c>
      <c r="O44" t="str">
        <f t="shared" si="7"/>
        <v>Priority Intervention</v>
      </c>
    </row>
    <row r="45" spans="1:15" x14ac:dyDescent="0.3">
      <c r="A45" t="str">
        <f>INDEX(tblModelStoreScore[store_name],MATCH(49,tblModelStoreScore[store_id],0))</f>
        <v>Nova Retail - Gurugram Standard</v>
      </c>
      <c r="B45" t="str">
        <f>INDEX(tblModelStoreScore[region_name],MATCH(49,tblModelStoreScore[store_id],0))</f>
        <v>Delhi NCR</v>
      </c>
      <c r="C45" s="13">
        <f>INDEX(tblModelStoreScore[margin_pct_last6],MATCH(49,tblModelStoreScore[store_id],0))</f>
        <v>0.1797</v>
      </c>
      <c r="D45" s="13">
        <f>INDEX(tblModelStoreScore[margin_trend_pp],MATCH(49,tblModelStoreScore[store_id],0))</f>
        <v>0.05</v>
      </c>
      <c r="E45" s="13">
        <f>INDEX(tblModelStoreScore[return_rate_last6],MATCH(49,tblModelStoreScore[store_id],0))</f>
        <v>4.3200000000000002E-2</v>
      </c>
      <c r="F45" s="13">
        <f>INDEX(tblModelStoreScore[discount_leak_pct_last6],MATCH(49,tblModelStoreScore[store_id],0))</f>
        <v>5.5500000000000001E-2</v>
      </c>
      <c r="G45" s="13">
        <f>INDEX(tblModelStoreScore[revenue_growth_pct],MATCH(49,tblModelStoreScore[store_id],0))</f>
        <v>0.56910000000000005</v>
      </c>
      <c r="H45" s="22">
        <f t="shared" si="0"/>
        <v>59.530791788856305</v>
      </c>
      <c r="I45" s="22">
        <f t="shared" si="1"/>
        <v>50</v>
      </c>
      <c r="J45" s="22">
        <f t="shared" si="2"/>
        <v>44.092827004219409</v>
      </c>
      <c r="K45" s="22">
        <f t="shared" si="3"/>
        <v>65.229885057471265</v>
      </c>
      <c r="L45" s="22">
        <f t="shared" si="4"/>
        <v>59.580699861260989</v>
      </c>
      <c r="M45" s="23">
        <f t="shared" si="5"/>
        <v>54.92035568224756</v>
      </c>
      <c r="N45">
        <f t="shared" si="6"/>
        <v>33</v>
      </c>
      <c r="O45" t="str">
        <f t="shared" si="7"/>
        <v/>
      </c>
    </row>
    <row r="46" spans="1:15" x14ac:dyDescent="0.3">
      <c r="A46" t="str">
        <f>INDEX(tblModelStoreScore[store_name],MATCH(59,tblModelStoreScore[store_id],0))</f>
        <v>Nova Retail - Gurugram Standard</v>
      </c>
      <c r="B46" t="str">
        <f>INDEX(tblModelStoreScore[region_name],MATCH(59,tblModelStoreScore[store_id],0))</f>
        <v>Delhi NCR</v>
      </c>
      <c r="C46" s="13">
        <f>INDEX(tblModelStoreScore[margin_pct_last6],MATCH(59,tblModelStoreScore[store_id],0))</f>
        <v>0.1792</v>
      </c>
      <c r="D46" s="13">
        <f>INDEX(tblModelStoreScore[margin_trend_pp],MATCH(59,tblModelStoreScore[store_id],0))</f>
        <v>0.05</v>
      </c>
      <c r="E46" s="13">
        <f>INDEX(tblModelStoreScore[return_rate_last6],MATCH(59,tblModelStoreScore[store_id],0))</f>
        <v>3.1600000000000003E-2</v>
      </c>
      <c r="F46" s="13">
        <f>INDEX(tblModelStoreScore[discount_leak_pct_last6],MATCH(59,tblModelStoreScore[store_id],0))</f>
        <v>5.74E-2</v>
      </c>
      <c r="G46" s="13">
        <f>INDEX(tblModelStoreScore[revenue_growth_pct],MATCH(59,tblModelStoreScore[store_id],0))</f>
        <v>0.4637</v>
      </c>
      <c r="H46" s="22">
        <f t="shared" si="0"/>
        <v>58.064516129032263</v>
      </c>
      <c r="I46" s="22">
        <f t="shared" si="1"/>
        <v>50</v>
      </c>
      <c r="J46" s="22">
        <f t="shared" si="2"/>
        <v>68.565400843881847</v>
      </c>
      <c r="K46" s="22">
        <f t="shared" si="3"/>
        <v>59.770114942528743</v>
      </c>
      <c r="L46" s="22">
        <f t="shared" si="4"/>
        <v>51.456759673192543</v>
      </c>
      <c r="M46" s="23">
        <f t="shared" si="5"/>
        <v>57.743628216184618</v>
      </c>
      <c r="N46">
        <f t="shared" si="6"/>
        <v>25</v>
      </c>
      <c r="O46" t="str">
        <f t="shared" si="7"/>
        <v/>
      </c>
    </row>
    <row r="47" spans="1:15" x14ac:dyDescent="0.3">
      <c r="A47" t="str">
        <f>INDEX(tblModelStoreScore[store_name],MATCH(106,tblModelStoreScore[store_id],0))</f>
        <v>Nova Retail - Gwalior Compact</v>
      </c>
      <c r="B47" t="str">
        <f>INDEX(tblModelStoreScore[region_name],MATCH(106,tblModelStoreScore[store_id],0))</f>
        <v>Madhya Pradesh</v>
      </c>
      <c r="C47" s="13">
        <f>INDEX(tblModelStoreScore[margin_pct_last6],MATCH(106,tblModelStoreScore[store_id],0))</f>
        <v>0.1774</v>
      </c>
      <c r="D47" s="13">
        <f>INDEX(tblModelStoreScore[margin_trend_pp],MATCH(106,tblModelStoreScore[store_id],0))</f>
        <v>0.06</v>
      </c>
      <c r="E47" s="13">
        <f>INDEX(tblModelStoreScore[return_rate_last6],MATCH(106,tblModelStoreScore[store_id],0))</f>
        <v>3.8199999999999998E-2</v>
      </c>
      <c r="F47" s="13">
        <f>INDEX(tblModelStoreScore[discount_leak_pct_last6],MATCH(106,tblModelStoreScore[store_id],0))</f>
        <v>5.6000000000000001E-2</v>
      </c>
      <c r="G47" s="13">
        <f>INDEX(tblModelStoreScore[revenue_growth_pct],MATCH(106,tblModelStoreScore[store_id],0))</f>
        <v>0.24490000000000001</v>
      </c>
      <c r="H47" s="22">
        <f t="shared" ref="H47:H78" si="8">(C47-MIN($C$15:$C$134))/(MAX($C$15:$C$134)-MIN($C$15:$C$134))*100</f>
        <v>52.785923753665706</v>
      </c>
      <c r="I47" s="22">
        <f t="shared" ref="I47:I78" si="9">(D47-MIN($D$15:$D$134))/(MAX($D$15:$D$134)-MIN($D$15:$D$134))*100</f>
        <v>62.499999999999986</v>
      </c>
      <c r="J47" s="22">
        <f t="shared" ref="J47:J78" si="10">(MAX($E$15:$E$134)-E47)/(MAX($E$15:$E$134)-MIN($E$15:$E$134))*100</f>
        <v>54.641350210970472</v>
      </c>
      <c r="K47" s="22">
        <f t="shared" ref="K47:K78" si="11">(MAX($F$15:$F$134)-F47)/(MAX($F$15:$F$134)-MIN($F$15:$F$134))*100</f>
        <v>63.793103448275865</v>
      </c>
      <c r="L47" s="22">
        <f t="shared" ref="L47:L78" si="12">(G47-MIN($G$15:$G$134))/(MAX($G$15:$G$134)-MIN($G$15:$G$134))*100</f>
        <v>34.592261445968866</v>
      </c>
      <c r="M47" s="23">
        <f t="shared" ref="M47:M78" si="13">H47*wMarginWeight+I47*wTrendWeight+J47*wReturnWeight+K47*wDiscountWeight+L47*wGrowthWeight</f>
        <v>55.417238830132064</v>
      </c>
      <c r="N47">
        <f t="shared" ref="N47:N78" si="14">RANK(M47,$M$15:$M$134,0)</f>
        <v>29</v>
      </c>
      <c r="O47" t="str">
        <f t="shared" ref="O47:O78" si="15">IF(M47&lt;=QUARTILE($M$15:$M$134,1),"Priority Intervention","")</f>
        <v/>
      </c>
    </row>
    <row r="48" spans="1:15" x14ac:dyDescent="0.3">
      <c r="A48" t="str">
        <f>INDEX(tblModelStoreScore[store_name],MATCH(19,tblModelStoreScore[store_id],0))</f>
        <v>Nova Retail - Gwalior Flagship</v>
      </c>
      <c r="B48" t="str">
        <f>INDEX(tblModelStoreScore[region_name],MATCH(19,tblModelStoreScore[store_id],0))</f>
        <v>Madhya Pradesh</v>
      </c>
      <c r="C48" s="13">
        <f>INDEX(tblModelStoreScore[margin_pct_last6],MATCH(19,tblModelStoreScore[store_id],0))</f>
        <v>0.1825</v>
      </c>
      <c r="D48" s="13">
        <f>INDEX(tblModelStoreScore[margin_trend_pp],MATCH(19,tblModelStoreScore[store_id],0))</f>
        <v>0.06</v>
      </c>
      <c r="E48" s="13">
        <f>INDEX(tblModelStoreScore[return_rate_last6],MATCH(19,tblModelStoreScore[store_id],0))</f>
        <v>3.3099999999999997E-2</v>
      </c>
      <c r="F48" s="13">
        <f>INDEX(tblModelStoreScore[discount_leak_pct_last6],MATCH(19,tblModelStoreScore[store_id],0))</f>
        <v>5.7200000000000001E-2</v>
      </c>
      <c r="G48" s="13">
        <f>INDEX(tblModelStoreScore[revenue_growth_pct],MATCH(19,tblModelStoreScore[store_id],0))</f>
        <v>0.19689999999999999</v>
      </c>
      <c r="H48" s="22">
        <f t="shared" si="8"/>
        <v>67.741935483870947</v>
      </c>
      <c r="I48" s="22">
        <f t="shared" si="9"/>
        <v>62.499999999999986</v>
      </c>
      <c r="J48" s="22">
        <f t="shared" si="10"/>
        <v>65.400843881856545</v>
      </c>
      <c r="K48" s="22">
        <f t="shared" si="11"/>
        <v>60.344827586206904</v>
      </c>
      <c r="L48" s="22">
        <f t="shared" si="12"/>
        <v>30.892554339448132</v>
      </c>
      <c r="M48" s="23">
        <f t="shared" si="13"/>
        <v>61.168728993408436</v>
      </c>
      <c r="N48">
        <f t="shared" si="14"/>
        <v>17</v>
      </c>
      <c r="O48" t="str">
        <f t="shared" si="15"/>
        <v/>
      </c>
    </row>
    <row r="49" spans="1:15" x14ac:dyDescent="0.3">
      <c r="A49" t="str">
        <f>INDEX(tblModelStoreScore[store_name],MATCH(117,tblModelStoreScore[store_id],0))</f>
        <v>Nova Retail - Gwalior Standard</v>
      </c>
      <c r="B49" t="str">
        <f>INDEX(tblModelStoreScore[region_name],MATCH(117,tblModelStoreScore[store_id],0))</f>
        <v>Madhya Pradesh</v>
      </c>
      <c r="C49" s="13">
        <f>INDEX(tblModelStoreScore[margin_pct_last6],MATCH(117,tblModelStoreScore[store_id],0))</f>
        <v>0.17630000000000001</v>
      </c>
      <c r="D49" s="13">
        <f>INDEX(tblModelStoreScore[margin_trend_pp],MATCH(117,tblModelStoreScore[store_id],0))</f>
        <v>0.03</v>
      </c>
      <c r="E49" s="13">
        <f>INDEX(tblModelStoreScore[return_rate_last6],MATCH(117,tblModelStoreScore[store_id],0))</f>
        <v>4.3799999999999999E-2</v>
      </c>
      <c r="F49" s="13">
        <f>INDEX(tblModelStoreScore[discount_leak_pct_last6],MATCH(117,tblModelStoreScore[store_id],0))</f>
        <v>6.0400000000000002E-2</v>
      </c>
      <c r="G49" s="13">
        <f>INDEX(tblModelStoreScore[revenue_growth_pct],MATCH(117,tblModelStoreScore[store_id],0))</f>
        <v>0.32819999999999999</v>
      </c>
      <c r="H49" s="22">
        <f t="shared" si="8"/>
        <v>49.560117302052838</v>
      </c>
      <c r="I49" s="22">
        <f t="shared" si="9"/>
        <v>24.999999999999993</v>
      </c>
      <c r="J49" s="22">
        <f t="shared" si="10"/>
        <v>42.827004219409289</v>
      </c>
      <c r="K49" s="22">
        <f t="shared" si="11"/>
        <v>51.149425287356323</v>
      </c>
      <c r="L49" s="22">
        <f t="shared" si="12"/>
        <v>41.012794820410051</v>
      </c>
      <c r="M49" s="23">
        <f t="shared" si="13"/>
        <v>41.45712930964217</v>
      </c>
      <c r="N49">
        <f t="shared" si="14"/>
        <v>90</v>
      </c>
      <c r="O49" t="str">
        <f t="shared" si="15"/>
        <v/>
      </c>
    </row>
    <row r="50" spans="1:15" x14ac:dyDescent="0.3">
      <c r="A50" t="str">
        <f>INDEX(tblModelStoreScore[store_name],MATCH(17,tblModelStoreScore[store_id],0))</f>
        <v>Nova Retail - Howrah Compact</v>
      </c>
      <c r="B50" t="str">
        <f>INDEX(tblModelStoreScore[region_name],MATCH(17,tblModelStoreScore[store_id],0))</f>
        <v>West Bengal</v>
      </c>
      <c r="C50" s="13">
        <f>INDEX(tblModelStoreScore[margin_pct_last6],MATCH(17,tblModelStoreScore[store_id],0))</f>
        <v>0.1699</v>
      </c>
      <c r="D50" s="13">
        <f>INDEX(tblModelStoreScore[margin_trend_pp],MATCH(17,tblModelStoreScore[store_id],0))</f>
        <v>0.04</v>
      </c>
      <c r="E50" s="13">
        <f>INDEX(tblModelStoreScore[return_rate_last6],MATCH(17,tblModelStoreScore[store_id],0))</f>
        <v>3.1099999999999999E-2</v>
      </c>
      <c r="F50" s="13">
        <f>INDEX(tblModelStoreScore[discount_leak_pct_last6],MATCH(17,tblModelStoreScore[store_id],0))</f>
        <v>6.1699999999999998E-2</v>
      </c>
      <c r="G50" s="13">
        <f>INDEX(tblModelStoreScore[revenue_growth_pct],MATCH(17,tblModelStoreScore[store_id],0))</f>
        <v>0.40820000000000001</v>
      </c>
      <c r="H50" s="22">
        <f t="shared" si="8"/>
        <v>30.791788856304997</v>
      </c>
      <c r="I50" s="22">
        <f t="shared" si="9"/>
        <v>37.5</v>
      </c>
      <c r="J50" s="22">
        <f t="shared" si="10"/>
        <v>69.620253164556956</v>
      </c>
      <c r="K50" s="22">
        <f t="shared" si="11"/>
        <v>47.413793103448292</v>
      </c>
      <c r="L50" s="22">
        <f t="shared" si="12"/>
        <v>47.178973331277938</v>
      </c>
      <c r="M50" s="23">
        <f t="shared" si="13"/>
        <v>44.366553588447935</v>
      </c>
      <c r="N50">
        <f t="shared" si="14"/>
        <v>76</v>
      </c>
      <c r="O50" t="str">
        <f t="shared" si="15"/>
        <v/>
      </c>
    </row>
    <row r="51" spans="1:15" x14ac:dyDescent="0.3">
      <c r="A51" t="str">
        <f>INDEX(tblModelStoreScore[store_name],MATCH(66,tblModelStoreScore[store_id],0))</f>
        <v>Nova Retail - Howrah Compact</v>
      </c>
      <c r="B51" t="str">
        <f>INDEX(tblModelStoreScore[region_name],MATCH(66,tblModelStoreScore[store_id],0))</f>
        <v>West Bengal</v>
      </c>
      <c r="C51" s="13">
        <f>INDEX(tblModelStoreScore[margin_pct_last6],MATCH(66,tblModelStoreScore[store_id],0))</f>
        <v>0.18</v>
      </c>
      <c r="D51" s="13">
        <f>INDEX(tblModelStoreScore[margin_trend_pp],MATCH(66,tblModelStoreScore[store_id],0))</f>
        <v>0.03</v>
      </c>
      <c r="E51" s="13">
        <f>INDEX(tblModelStoreScore[return_rate_last6],MATCH(66,tblModelStoreScore[store_id],0))</f>
        <v>3.5299999999999998E-2</v>
      </c>
      <c r="F51" s="13">
        <f>INDEX(tblModelStoreScore[discount_leak_pct_last6],MATCH(66,tblModelStoreScore[store_id],0))</f>
        <v>5.4600000000000003E-2</v>
      </c>
      <c r="G51" s="13">
        <f>INDEX(tblModelStoreScore[revenue_growth_pct],MATCH(66,tblModelStoreScore[store_id],0))</f>
        <v>0.30590000000000001</v>
      </c>
      <c r="H51" s="22">
        <f t="shared" si="8"/>
        <v>60.410557184750722</v>
      </c>
      <c r="I51" s="22">
        <f t="shared" si="9"/>
        <v>24.999999999999993</v>
      </c>
      <c r="J51" s="22">
        <f t="shared" si="10"/>
        <v>60.75949367088608</v>
      </c>
      <c r="K51" s="22">
        <f t="shared" si="11"/>
        <v>67.81609195402298</v>
      </c>
      <c r="L51" s="22">
        <f t="shared" si="12"/>
        <v>39.29397256050563</v>
      </c>
      <c r="M51" s="23">
        <f t="shared" si="13"/>
        <v>50.626876938756439</v>
      </c>
      <c r="N51">
        <f t="shared" si="14"/>
        <v>50</v>
      </c>
      <c r="O51" t="str">
        <f t="shared" si="15"/>
        <v/>
      </c>
    </row>
    <row r="52" spans="1:15" x14ac:dyDescent="0.3">
      <c r="A52" t="str">
        <f>INDEX(tblModelStoreScore[store_name],MATCH(52,tblModelStoreScore[store_id],0))</f>
        <v>Nova Retail - Howrah Standard</v>
      </c>
      <c r="B52" t="str">
        <f>INDEX(tblModelStoreScore[region_name],MATCH(52,tblModelStoreScore[store_id],0))</f>
        <v>West Bengal</v>
      </c>
      <c r="C52" s="13">
        <f>INDEX(tblModelStoreScore[margin_pct_last6],MATCH(52,tblModelStoreScore[store_id],0))</f>
        <v>0.1822</v>
      </c>
      <c r="D52" s="13">
        <f>INDEX(tblModelStoreScore[margin_trend_pp],MATCH(52,tblModelStoreScore[store_id],0))</f>
        <v>0.06</v>
      </c>
      <c r="E52" s="13">
        <f>INDEX(tblModelStoreScore[return_rate_last6],MATCH(52,tblModelStoreScore[store_id],0))</f>
        <v>3.3099999999999997E-2</v>
      </c>
      <c r="F52" s="13">
        <f>INDEX(tblModelStoreScore[discount_leak_pct_last6],MATCH(52,tblModelStoreScore[store_id],0))</f>
        <v>5.7099999999999998E-2</v>
      </c>
      <c r="G52" s="13">
        <f>INDEX(tblModelStoreScore[revenue_growth_pct],MATCH(52,tblModelStoreScore[store_id],0))</f>
        <v>0.4975</v>
      </c>
      <c r="H52" s="22">
        <f t="shared" si="8"/>
        <v>66.862170087976551</v>
      </c>
      <c r="I52" s="22">
        <f t="shared" si="9"/>
        <v>62.499999999999986</v>
      </c>
      <c r="J52" s="22">
        <f t="shared" si="10"/>
        <v>65.400843881856545</v>
      </c>
      <c r="K52" s="22">
        <f t="shared" si="11"/>
        <v>60.632183908045988</v>
      </c>
      <c r="L52" s="22">
        <f t="shared" si="12"/>
        <v>54.06197009403423</v>
      </c>
      <c r="M52" s="23">
        <f t="shared" si="13"/>
        <v>63.264844398374592</v>
      </c>
      <c r="N52">
        <f t="shared" si="14"/>
        <v>13</v>
      </c>
      <c r="O52" t="str">
        <f t="shared" si="15"/>
        <v/>
      </c>
    </row>
    <row r="53" spans="1:15" x14ac:dyDescent="0.3">
      <c r="A53" t="str">
        <f>INDEX(tblModelStoreScore[store_name],MATCH(92,tblModelStoreScore[store_id],0))</f>
        <v>Nova Retail - Howrah Standard</v>
      </c>
      <c r="B53" t="str">
        <f>INDEX(tblModelStoreScore[region_name],MATCH(92,tblModelStoreScore[store_id],0))</f>
        <v>West Bengal</v>
      </c>
      <c r="C53" s="13">
        <f>INDEX(tblModelStoreScore[margin_pct_last6],MATCH(92,tblModelStoreScore[store_id],0))</f>
        <v>0.17330000000000001</v>
      </c>
      <c r="D53" s="13">
        <f>INDEX(tblModelStoreScore[margin_trend_pp],MATCH(92,tblModelStoreScore[store_id],0))</f>
        <v>0.05</v>
      </c>
      <c r="E53" s="13">
        <f>INDEX(tblModelStoreScore[return_rate_last6],MATCH(92,tblModelStoreScore[store_id],0))</f>
        <v>3.2599999999999997E-2</v>
      </c>
      <c r="F53" s="13">
        <f>INDEX(tblModelStoreScore[discount_leak_pct_last6],MATCH(92,tblModelStoreScore[store_id],0))</f>
        <v>5.7099999999999998E-2</v>
      </c>
      <c r="G53" s="13">
        <f>INDEX(tblModelStoreScore[revenue_growth_pct],MATCH(92,tblModelStoreScore[store_id],0))</f>
        <v>0.308</v>
      </c>
      <c r="H53" s="22">
        <f t="shared" si="8"/>
        <v>40.76246334310855</v>
      </c>
      <c r="I53" s="22">
        <f t="shared" si="9"/>
        <v>50</v>
      </c>
      <c r="J53" s="22">
        <f t="shared" si="10"/>
        <v>66.455696202531655</v>
      </c>
      <c r="K53" s="22">
        <f t="shared" si="11"/>
        <v>60.632183908045988</v>
      </c>
      <c r="L53" s="22">
        <f t="shared" si="12"/>
        <v>39.45583474641591</v>
      </c>
      <c r="M53" s="23">
        <f t="shared" si="13"/>
        <v>51.06028930428738</v>
      </c>
      <c r="N53">
        <f t="shared" si="14"/>
        <v>47</v>
      </c>
      <c r="O53" t="str">
        <f t="shared" si="15"/>
        <v/>
      </c>
    </row>
    <row r="54" spans="1:15" x14ac:dyDescent="0.3">
      <c r="A54" t="str">
        <f>INDEX(tblModelStoreScore[store_name],MATCH(8,tblModelStoreScore[store_id],0))</f>
        <v>Nova Retail - Hubballi Compact</v>
      </c>
      <c r="B54" t="str">
        <f>INDEX(tblModelStoreScore[region_name],MATCH(8,tblModelStoreScore[store_id],0))</f>
        <v>Karnataka</v>
      </c>
      <c r="C54" s="13">
        <f>INDEX(tblModelStoreScore[margin_pct_last6],MATCH(8,tblModelStoreScore[store_id],0))</f>
        <v>0.18820000000000001</v>
      </c>
      <c r="D54" s="13">
        <f>INDEX(tblModelStoreScore[margin_trend_pp],MATCH(8,tblModelStoreScore[store_id],0))</f>
        <v>0.04</v>
      </c>
      <c r="E54" s="13">
        <f>INDEX(tblModelStoreScore[return_rate_last6],MATCH(8,tblModelStoreScore[store_id],0))</f>
        <v>3.2099999999999997E-2</v>
      </c>
      <c r="F54" s="13">
        <f>INDEX(tblModelStoreScore[discount_leak_pct_last6],MATCH(8,tblModelStoreScore[store_id],0))</f>
        <v>5.8900000000000001E-2</v>
      </c>
      <c r="G54" s="13">
        <f>INDEX(tblModelStoreScore[revenue_growth_pct],MATCH(8,tblModelStoreScore[store_id],0))</f>
        <v>0.46360000000000001</v>
      </c>
      <c r="H54" s="22">
        <f t="shared" si="8"/>
        <v>84.457478005865113</v>
      </c>
      <c r="I54" s="22">
        <f t="shared" si="9"/>
        <v>37.5</v>
      </c>
      <c r="J54" s="22">
        <f t="shared" si="10"/>
        <v>67.510548523206765</v>
      </c>
      <c r="K54" s="22">
        <f t="shared" si="11"/>
        <v>55.459770114942529</v>
      </c>
      <c r="L54" s="22">
        <f t="shared" si="12"/>
        <v>51.449051950053956</v>
      </c>
      <c r="M54" s="23">
        <f t="shared" si="13"/>
        <v>61.678223818647666</v>
      </c>
      <c r="N54">
        <f t="shared" si="14"/>
        <v>16</v>
      </c>
      <c r="O54" t="str">
        <f t="shared" si="15"/>
        <v/>
      </c>
    </row>
    <row r="55" spans="1:15" x14ac:dyDescent="0.3">
      <c r="A55" t="str">
        <f>INDEX(tblModelStoreScore[store_name],MATCH(21,tblModelStoreScore[store_id],0))</f>
        <v>Nova Retail - Hubballi Flagship</v>
      </c>
      <c r="B55" t="str">
        <f>INDEX(tblModelStoreScore[region_name],MATCH(21,tblModelStoreScore[store_id],0))</f>
        <v>Karnataka</v>
      </c>
      <c r="C55" s="13">
        <f>INDEX(tblModelStoreScore[margin_pct_last6],MATCH(21,tblModelStoreScore[store_id],0))</f>
        <v>0.1784</v>
      </c>
      <c r="D55" s="13">
        <f>INDEX(tblModelStoreScore[margin_trend_pp],MATCH(21,tblModelStoreScore[store_id],0))</f>
        <v>0.04</v>
      </c>
      <c r="E55" s="13">
        <f>INDEX(tblModelStoreScore[return_rate_last6],MATCH(21,tblModelStoreScore[store_id],0))</f>
        <v>3.9399999999999998E-2</v>
      </c>
      <c r="F55" s="13">
        <f>INDEX(tblModelStoreScore[discount_leak_pct_last6],MATCH(21,tblModelStoreScore[store_id],0))</f>
        <v>6.25E-2</v>
      </c>
      <c r="G55" s="13">
        <f>INDEX(tblModelStoreScore[revenue_growth_pct],MATCH(21,tblModelStoreScore[store_id],0))</f>
        <v>0.5161</v>
      </c>
      <c r="H55" s="22">
        <f t="shared" si="8"/>
        <v>55.718475073313797</v>
      </c>
      <c r="I55" s="22">
        <f t="shared" si="9"/>
        <v>37.5</v>
      </c>
      <c r="J55" s="22">
        <f t="shared" si="10"/>
        <v>52.10970464135022</v>
      </c>
      <c r="K55" s="22">
        <f t="shared" si="11"/>
        <v>45.114942528735639</v>
      </c>
      <c r="L55" s="22">
        <f t="shared" si="12"/>
        <v>55.495606597811012</v>
      </c>
      <c r="M55" s="23">
        <f t="shared" si="13"/>
        <v>48.829285489355634</v>
      </c>
      <c r="N55">
        <f t="shared" si="14"/>
        <v>57</v>
      </c>
      <c r="O55" t="str">
        <f t="shared" si="15"/>
        <v/>
      </c>
    </row>
    <row r="56" spans="1:15" x14ac:dyDescent="0.3">
      <c r="A56" t="str">
        <f>INDEX(tblModelStoreScore[store_name],MATCH(108,tblModelStoreScore[store_id],0))</f>
        <v>Nova Retail - Hubballi Flagship</v>
      </c>
      <c r="B56" t="str">
        <f>INDEX(tblModelStoreScore[region_name],MATCH(108,tblModelStoreScore[store_id],0))</f>
        <v>Karnataka</v>
      </c>
      <c r="C56" s="13">
        <f>INDEX(tblModelStoreScore[margin_pct_last6],MATCH(108,tblModelStoreScore[store_id],0))</f>
        <v>0.1792</v>
      </c>
      <c r="D56" s="13">
        <f>INDEX(tblModelStoreScore[margin_trend_pp],MATCH(108,tblModelStoreScore[store_id],0))</f>
        <v>0.04</v>
      </c>
      <c r="E56" s="13">
        <f>INDEX(tblModelStoreScore[return_rate_last6],MATCH(108,tblModelStoreScore[store_id],0))</f>
        <v>3.8800000000000001E-2</v>
      </c>
      <c r="F56" s="13">
        <f>INDEX(tblModelStoreScore[discount_leak_pct_last6],MATCH(108,tblModelStoreScore[store_id],0))</f>
        <v>6.0999999999999999E-2</v>
      </c>
      <c r="G56" s="13">
        <f>INDEX(tblModelStoreScore[revenue_growth_pct],MATCH(108,tblModelStoreScore[store_id],0))</f>
        <v>0.21859999999999999</v>
      </c>
      <c r="H56" s="22">
        <f t="shared" si="8"/>
        <v>58.064516129032263</v>
      </c>
      <c r="I56" s="22">
        <f t="shared" si="9"/>
        <v>37.5</v>
      </c>
      <c r="J56" s="22">
        <f t="shared" si="10"/>
        <v>53.375527426160339</v>
      </c>
      <c r="K56" s="22">
        <f t="shared" si="11"/>
        <v>49.425287356321853</v>
      </c>
      <c r="L56" s="22">
        <f t="shared" si="12"/>
        <v>32.565130260521045</v>
      </c>
      <c r="M56" s="23">
        <f t="shared" si="13"/>
        <v>48.139766453442128</v>
      </c>
      <c r="N56">
        <f t="shared" si="14"/>
        <v>59</v>
      </c>
      <c r="O56" t="str">
        <f t="shared" si="15"/>
        <v/>
      </c>
    </row>
    <row r="57" spans="1:15" x14ac:dyDescent="0.3">
      <c r="A57" t="str">
        <f>INDEX(tblModelStoreScore[store_name],MATCH(71,tblModelStoreScore[store_id],0))</f>
        <v>Nova Retail - Hubballi Standard</v>
      </c>
      <c r="B57" t="str">
        <f>INDEX(tblModelStoreScore[region_name],MATCH(71,tblModelStoreScore[store_id],0))</f>
        <v>Karnataka</v>
      </c>
      <c r="C57" s="13">
        <f>INDEX(tblModelStoreScore[margin_pct_last6],MATCH(71,tblModelStoreScore[store_id],0))</f>
        <v>0.18179999999999999</v>
      </c>
      <c r="D57" s="13">
        <f>INDEX(tblModelStoreScore[margin_trend_pp],MATCH(71,tblModelStoreScore[store_id],0))</f>
        <v>0.03</v>
      </c>
      <c r="E57" s="13">
        <f>INDEX(tblModelStoreScore[return_rate_last6],MATCH(71,tblModelStoreScore[store_id],0))</f>
        <v>3.7199999999999997E-2</v>
      </c>
      <c r="F57" s="13">
        <f>INDEX(tblModelStoreScore[discount_leak_pct_last6],MATCH(71,tblModelStoreScore[store_id],0))</f>
        <v>5.7799999999999997E-2</v>
      </c>
      <c r="G57" s="13">
        <f>INDEX(tblModelStoreScore[revenue_growth_pct],MATCH(71,tblModelStoreScore[store_id],0))</f>
        <v>0.5524</v>
      </c>
      <c r="H57" s="22">
        <f t="shared" si="8"/>
        <v>65.689149560117272</v>
      </c>
      <c r="I57" s="22">
        <f t="shared" si="9"/>
        <v>24.999999999999993</v>
      </c>
      <c r="J57" s="22">
        <f t="shared" si="10"/>
        <v>56.751054852320678</v>
      </c>
      <c r="K57" s="22">
        <f t="shared" si="11"/>
        <v>58.620689655172434</v>
      </c>
      <c r="L57" s="22">
        <f t="shared" si="12"/>
        <v>58.29351009711732</v>
      </c>
      <c r="M57" s="23">
        <f t="shared" si="13"/>
        <v>51.929410296486921</v>
      </c>
      <c r="N57">
        <f t="shared" si="14"/>
        <v>41</v>
      </c>
      <c r="O57" t="str">
        <f t="shared" si="15"/>
        <v/>
      </c>
    </row>
    <row r="58" spans="1:15" x14ac:dyDescent="0.3">
      <c r="A58" t="str">
        <f>INDEX(tblModelStoreScore[store_name],MATCH(100,tblModelStoreScore[store_id],0))</f>
        <v>Nova Retail - Hyderabad Standard</v>
      </c>
      <c r="B58" t="str">
        <f>INDEX(tblModelStoreScore[region_name],MATCH(100,tblModelStoreScore[store_id],0))</f>
        <v>Telangana-AP</v>
      </c>
      <c r="C58" s="13">
        <f>INDEX(tblModelStoreScore[margin_pct_last6],MATCH(100,tblModelStoreScore[store_id],0))</f>
        <v>0.16889999999999999</v>
      </c>
      <c r="D58" s="13">
        <f>INDEX(tblModelStoreScore[margin_trend_pp],MATCH(100,tblModelStoreScore[store_id],0))</f>
        <v>0.05</v>
      </c>
      <c r="E58" s="13">
        <f>INDEX(tblModelStoreScore[return_rate_last6],MATCH(100,tblModelStoreScore[store_id],0))</f>
        <v>3.39E-2</v>
      </c>
      <c r="F58" s="13">
        <f>INDEX(tblModelStoreScore[discount_leak_pct_last6],MATCH(100,tblModelStoreScore[store_id],0))</f>
        <v>6.3600000000000004E-2</v>
      </c>
      <c r="G58" s="13">
        <f>INDEX(tblModelStoreScore[revenue_growth_pct],MATCH(100,tblModelStoreScore[store_id],0))</f>
        <v>0.5454</v>
      </c>
      <c r="H58" s="22">
        <f t="shared" si="8"/>
        <v>27.859237536656899</v>
      </c>
      <c r="I58" s="22">
        <f t="shared" si="9"/>
        <v>50</v>
      </c>
      <c r="J58" s="22">
        <f t="shared" si="10"/>
        <v>63.713080168776372</v>
      </c>
      <c r="K58" s="22">
        <f t="shared" si="11"/>
        <v>41.954022988505749</v>
      </c>
      <c r="L58" s="22">
        <f t="shared" si="12"/>
        <v>57.753969477416376</v>
      </c>
      <c r="M58" s="23">
        <f t="shared" si="13"/>
        <v>45.66888769076985</v>
      </c>
      <c r="N58">
        <f t="shared" si="14"/>
        <v>68</v>
      </c>
      <c r="O58" t="str">
        <f t="shared" si="15"/>
        <v/>
      </c>
    </row>
    <row r="59" spans="1:15" x14ac:dyDescent="0.3">
      <c r="A59" t="str">
        <f>INDEX(tblModelStoreScore[store_name],MATCH(47,tblModelStoreScore[store_id],0))</f>
        <v>Nova Retail - Indore Compact</v>
      </c>
      <c r="B59" t="str">
        <f>INDEX(tblModelStoreScore[region_name],MATCH(47,tblModelStoreScore[store_id],0))</f>
        <v>Madhya Pradesh</v>
      </c>
      <c r="C59" s="13">
        <f>INDEX(tblModelStoreScore[margin_pct_last6],MATCH(47,tblModelStoreScore[store_id],0))</f>
        <v>0.17730000000000001</v>
      </c>
      <c r="D59" s="13">
        <f>INDEX(tblModelStoreScore[margin_trend_pp],MATCH(47,tblModelStoreScore[store_id],0))</f>
        <v>0.04</v>
      </c>
      <c r="E59" s="13">
        <f>INDEX(tblModelStoreScore[return_rate_last6],MATCH(47,tblModelStoreScore[store_id],0))</f>
        <v>3.8600000000000002E-2</v>
      </c>
      <c r="F59" s="13">
        <f>INDEX(tblModelStoreScore[discount_leak_pct_last6],MATCH(47,tblModelStoreScore[store_id],0))</f>
        <v>4.3400000000000001E-2</v>
      </c>
      <c r="G59" s="13">
        <f>INDEX(tblModelStoreScore[revenue_growth_pct],MATCH(47,tblModelStoreScore[store_id],0))</f>
        <v>0.28649999999999998</v>
      </c>
      <c r="H59" s="22">
        <f t="shared" si="8"/>
        <v>52.492668621700936</v>
      </c>
      <c r="I59" s="22">
        <f t="shared" si="9"/>
        <v>37.5</v>
      </c>
      <c r="J59" s="22">
        <f t="shared" si="10"/>
        <v>53.797468354430379</v>
      </c>
      <c r="K59" s="22">
        <f t="shared" si="11"/>
        <v>100</v>
      </c>
      <c r="L59" s="22">
        <f t="shared" si="12"/>
        <v>37.798674271620165</v>
      </c>
      <c r="M59" s="23">
        <f t="shared" si="13"/>
        <v>54.66216168455837</v>
      </c>
      <c r="N59">
        <f t="shared" si="14"/>
        <v>34</v>
      </c>
      <c r="O59" t="str">
        <f t="shared" si="15"/>
        <v/>
      </c>
    </row>
    <row r="60" spans="1:15" x14ac:dyDescent="0.3">
      <c r="A60" t="str">
        <f>INDEX(tblModelStoreScore[store_name],MATCH(84,tblModelStoreScore[store_id],0))</f>
        <v>Nova Retail - Indore Standard</v>
      </c>
      <c r="B60" t="str">
        <f>INDEX(tblModelStoreScore[region_name],MATCH(84,tblModelStoreScore[store_id],0))</f>
        <v>Madhya Pradesh</v>
      </c>
      <c r="C60" s="13">
        <f>INDEX(tblModelStoreScore[margin_pct_last6],MATCH(84,tblModelStoreScore[store_id],0))</f>
        <v>0.17069999999999999</v>
      </c>
      <c r="D60" s="13">
        <f>INDEX(tblModelStoreScore[margin_trend_pp],MATCH(84,tblModelStoreScore[store_id],0))</f>
        <v>0.04</v>
      </c>
      <c r="E60" s="13">
        <f>INDEX(tblModelStoreScore[return_rate_last6],MATCH(84,tblModelStoreScore[store_id],0))</f>
        <v>4.2599999999999999E-2</v>
      </c>
      <c r="F60" s="13">
        <f>INDEX(tblModelStoreScore[discount_leak_pct_last6],MATCH(84,tblModelStoreScore[store_id],0))</f>
        <v>6.3399999999999998E-2</v>
      </c>
      <c r="G60" s="13">
        <f>INDEX(tblModelStoreScore[revenue_growth_pct],MATCH(84,tblModelStoreScore[store_id],0))</f>
        <v>0.37069999999999997</v>
      </c>
      <c r="H60" s="22">
        <f t="shared" si="8"/>
        <v>33.137829912023456</v>
      </c>
      <c r="I60" s="22">
        <f t="shared" si="9"/>
        <v>37.5</v>
      </c>
      <c r="J60" s="22">
        <f t="shared" si="10"/>
        <v>45.358649789029542</v>
      </c>
      <c r="K60" s="22">
        <f t="shared" si="11"/>
        <v>42.528735632183924</v>
      </c>
      <c r="L60" s="22">
        <f t="shared" si="12"/>
        <v>44.288577154308619</v>
      </c>
      <c r="M60" s="23">
        <f t="shared" si="13"/>
        <v>39.196246991671387</v>
      </c>
      <c r="N60">
        <f t="shared" si="14"/>
        <v>100</v>
      </c>
      <c r="O60" t="str">
        <f t="shared" si="15"/>
        <v>Priority Intervention</v>
      </c>
    </row>
    <row r="61" spans="1:15" x14ac:dyDescent="0.3">
      <c r="A61" t="str">
        <f>INDEX(tblModelStoreScore[store_name],MATCH(16,tblModelStoreScore[store_id],0))</f>
        <v>Nova Retail - Jabalpur Flagship</v>
      </c>
      <c r="B61" t="str">
        <f>INDEX(tblModelStoreScore[region_name],MATCH(16,tblModelStoreScore[store_id],0))</f>
        <v>Madhya Pradesh</v>
      </c>
      <c r="C61" s="13">
        <f>INDEX(tblModelStoreScore[margin_pct_last6],MATCH(16,tblModelStoreScore[store_id],0))</f>
        <v>0.1754</v>
      </c>
      <c r="D61" s="13">
        <f>INDEX(tblModelStoreScore[margin_trend_pp],MATCH(16,tblModelStoreScore[store_id],0))</f>
        <v>0.04</v>
      </c>
      <c r="E61" s="13">
        <f>INDEX(tblModelStoreScore[return_rate_last6],MATCH(16,tblModelStoreScore[store_id],0))</f>
        <v>4.3400000000000001E-2</v>
      </c>
      <c r="F61" s="13">
        <f>INDEX(tblModelStoreScore[discount_leak_pct_last6],MATCH(16,tblModelStoreScore[store_id],0))</f>
        <v>6.4699999999999994E-2</v>
      </c>
      <c r="G61" s="13">
        <f>INDEX(tblModelStoreScore[revenue_growth_pct],MATCH(16,tblModelStoreScore[store_id],0))</f>
        <v>0.1734</v>
      </c>
      <c r="H61" s="22">
        <f t="shared" si="8"/>
        <v>46.920821114369517</v>
      </c>
      <c r="I61" s="22">
        <f t="shared" si="9"/>
        <v>37.5</v>
      </c>
      <c r="J61" s="22">
        <f t="shared" si="10"/>
        <v>43.670886075949369</v>
      </c>
      <c r="K61" s="22">
        <f t="shared" si="11"/>
        <v>38.793103448275886</v>
      </c>
      <c r="L61" s="22">
        <f t="shared" si="12"/>
        <v>29.081239401880683</v>
      </c>
      <c r="M61" s="23">
        <f t="shared" si="13"/>
        <v>40.912513006930176</v>
      </c>
      <c r="N61">
        <f t="shared" si="14"/>
        <v>95</v>
      </c>
      <c r="O61" t="str">
        <f t="shared" si="15"/>
        <v>Priority Intervention</v>
      </c>
    </row>
    <row r="62" spans="1:15" x14ac:dyDescent="0.3">
      <c r="A62" t="str">
        <f>INDEX(tblModelStoreScore[store_name],MATCH(75,tblModelStoreScore[store_id],0))</f>
        <v>Nova Retail - Jabalpur Standard</v>
      </c>
      <c r="B62" t="str">
        <f>INDEX(tblModelStoreScore[region_name],MATCH(75,tblModelStoreScore[store_id],0))</f>
        <v>Madhya Pradesh</v>
      </c>
      <c r="C62" s="13">
        <f>INDEX(tblModelStoreScore[margin_pct_last6],MATCH(75,tblModelStoreScore[store_id],0))</f>
        <v>0.1799</v>
      </c>
      <c r="D62" s="13">
        <f>INDEX(tblModelStoreScore[margin_trend_pp],MATCH(75,tblModelStoreScore[store_id],0))</f>
        <v>0.04</v>
      </c>
      <c r="E62" s="13">
        <f>INDEX(tblModelStoreScore[return_rate_last6],MATCH(75,tblModelStoreScore[store_id],0))</f>
        <v>4.2500000000000003E-2</v>
      </c>
      <c r="F62" s="13">
        <f>INDEX(tblModelStoreScore[discount_leak_pct_last6],MATCH(75,tblModelStoreScore[store_id],0))</f>
        <v>5.57E-2</v>
      </c>
      <c r="G62" s="13">
        <f>INDEX(tblModelStoreScore[revenue_growth_pct],MATCH(75,tblModelStoreScore[store_id],0))</f>
        <v>0.42320000000000002</v>
      </c>
      <c r="H62" s="22">
        <f t="shared" si="8"/>
        <v>60.117302052785945</v>
      </c>
      <c r="I62" s="22">
        <f t="shared" si="9"/>
        <v>37.5</v>
      </c>
      <c r="J62" s="22">
        <f t="shared" si="10"/>
        <v>45.569620253164558</v>
      </c>
      <c r="K62" s="22">
        <f t="shared" si="11"/>
        <v>64.65517241379311</v>
      </c>
      <c r="L62" s="22">
        <f t="shared" si="12"/>
        <v>48.335131802065675</v>
      </c>
      <c r="M62" s="23">
        <f t="shared" si="13"/>
        <v>51.055903708744232</v>
      </c>
      <c r="N62">
        <f t="shared" si="14"/>
        <v>48</v>
      </c>
      <c r="O62" t="str">
        <f t="shared" si="15"/>
        <v/>
      </c>
    </row>
    <row r="63" spans="1:15" x14ac:dyDescent="0.3">
      <c r="A63" t="str">
        <f>INDEX(tblModelStoreScore[store_name],MATCH(111,tblModelStoreScore[store_id],0))</f>
        <v>Nova Retail - Jaipur Flagship</v>
      </c>
      <c r="B63" t="str">
        <f>INDEX(tblModelStoreScore[region_name],MATCH(111,tblModelStoreScore[store_id],0))</f>
        <v>Rajasthan</v>
      </c>
      <c r="C63" s="13">
        <f>INDEX(tblModelStoreScore[margin_pct_last6],MATCH(111,tblModelStoreScore[store_id],0))</f>
        <v>0.1759</v>
      </c>
      <c r="D63" s="13">
        <f>INDEX(tblModelStoreScore[margin_trend_pp],MATCH(111,tblModelStoreScore[store_id],0))</f>
        <v>0.04</v>
      </c>
      <c r="E63" s="13">
        <f>INDEX(tblModelStoreScore[return_rate_last6],MATCH(111,tblModelStoreScore[store_id],0))</f>
        <v>3.3000000000000002E-2</v>
      </c>
      <c r="F63" s="13">
        <f>INDEX(tblModelStoreScore[discount_leak_pct_last6],MATCH(111,tblModelStoreScore[store_id],0))</f>
        <v>5.7099999999999998E-2</v>
      </c>
      <c r="G63" s="13">
        <f>INDEX(tblModelStoreScore[revenue_growth_pct],MATCH(111,tblModelStoreScore[store_id],0))</f>
        <v>0.38100000000000001</v>
      </c>
      <c r="H63" s="22">
        <f t="shared" si="8"/>
        <v>48.387096774193566</v>
      </c>
      <c r="I63" s="22">
        <f t="shared" si="9"/>
        <v>37.5</v>
      </c>
      <c r="J63" s="22">
        <f t="shared" si="10"/>
        <v>65.611814345991561</v>
      </c>
      <c r="K63" s="22">
        <f t="shared" si="11"/>
        <v>60.632183908045988</v>
      </c>
      <c r="L63" s="22">
        <f t="shared" si="12"/>
        <v>45.08247263758286</v>
      </c>
      <c r="M63" s="23">
        <f t="shared" si="13"/>
        <v>50.616566751421566</v>
      </c>
      <c r="N63">
        <f t="shared" si="14"/>
        <v>51</v>
      </c>
      <c r="O63" t="str">
        <f t="shared" si="15"/>
        <v/>
      </c>
    </row>
    <row r="64" spans="1:15" x14ac:dyDescent="0.3">
      <c r="A64" t="str">
        <f>INDEX(tblModelStoreScore[store_name],MATCH(54,tblModelStoreScore[store_id],0))</f>
        <v>Nova Retail - Jamshedpur Compact</v>
      </c>
      <c r="B64" t="str">
        <f>INDEX(tblModelStoreScore[region_name],MATCH(54,tblModelStoreScore[store_id],0))</f>
        <v>Odisha-Jharkhand</v>
      </c>
      <c r="C64" s="13">
        <f>INDEX(tblModelStoreScore[margin_pct_last6],MATCH(54,tblModelStoreScore[store_id],0))</f>
        <v>0.17680000000000001</v>
      </c>
      <c r="D64" s="13">
        <f>INDEX(tblModelStoreScore[margin_trend_pp],MATCH(54,tblModelStoreScore[store_id],0))</f>
        <v>0.06</v>
      </c>
      <c r="E64" s="13">
        <f>INDEX(tblModelStoreScore[return_rate_last6],MATCH(54,tblModelStoreScore[store_id],0))</f>
        <v>2.41E-2</v>
      </c>
      <c r="F64" s="13">
        <f>INDEX(tblModelStoreScore[discount_leak_pct_last6],MATCH(54,tblModelStoreScore[store_id],0))</f>
        <v>5.7700000000000001E-2</v>
      </c>
      <c r="G64" s="13">
        <f>INDEX(tblModelStoreScore[revenue_growth_pct],MATCH(54,tblModelStoreScore[store_id],0))</f>
        <v>0.33110000000000001</v>
      </c>
      <c r="H64" s="22">
        <f t="shared" si="8"/>
        <v>51.026392961876887</v>
      </c>
      <c r="I64" s="22">
        <f t="shared" si="9"/>
        <v>62.499999999999986</v>
      </c>
      <c r="J64" s="22">
        <f t="shared" si="10"/>
        <v>84.388185654008453</v>
      </c>
      <c r="K64" s="22">
        <f t="shared" si="11"/>
        <v>58.908045977011504</v>
      </c>
      <c r="L64" s="22">
        <f t="shared" si="12"/>
        <v>41.236318791429014</v>
      </c>
      <c r="M64" s="23">
        <f t="shared" si="13"/>
        <v>60.770393795059384</v>
      </c>
      <c r="N64">
        <f t="shared" si="14"/>
        <v>18</v>
      </c>
      <c r="O64" t="str">
        <f t="shared" si="15"/>
        <v/>
      </c>
    </row>
    <row r="65" spans="1:15" x14ac:dyDescent="0.3">
      <c r="A65" t="str">
        <f>INDEX(tblModelStoreScore[store_name],MATCH(38,tblModelStoreScore[store_id],0))</f>
        <v>Nova Retail - Jamshedpur Standard</v>
      </c>
      <c r="B65" t="str">
        <f>INDEX(tblModelStoreScore[region_name],MATCH(38,tblModelStoreScore[store_id],0))</f>
        <v>Odisha-Jharkhand</v>
      </c>
      <c r="C65" s="13">
        <f>INDEX(tblModelStoreScore[margin_pct_last6],MATCH(38,tblModelStoreScore[store_id],0))</f>
        <v>0.16739999999999999</v>
      </c>
      <c r="D65" s="13">
        <f>INDEX(tblModelStoreScore[margin_trend_pp],MATCH(38,tblModelStoreScore[store_id],0))</f>
        <v>0.03</v>
      </c>
      <c r="E65" s="13">
        <f>INDEX(tblModelStoreScore[return_rate_last6],MATCH(38,tblModelStoreScore[store_id],0))</f>
        <v>4.5600000000000002E-2</v>
      </c>
      <c r="F65" s="13">
        <f>INDEX(tblModelStoreScore[discount_leak_pct_last6],MATCH(38,tblModelStoreScore[store_id],0))</f>
        <v>5.9299999999999999E-2</v>
      </c>
      <c r="G65" s="13">
        <f>INDEX(tblModelStoreScore[revenue_growth_pct],MATCH(38,tblModelStoreScore[store_id],0))</f>
        <v>0.90939999999999999</v>
      </c>
      <c r="H65" s="22">
        <f t="shared" si="8"/>
        <v>23.460410557184758</v>
      </c>
      <c r="I65" s="22">
        <f t="shared" si="9"/>
        <v>24.999999999999993</v>
      </c>
      <c r="J65" s="22">
        <f t="shared" si="10"/>
        <v>39.029535864978904</v>
      </c>
      <c r="K65" s="22">
        <f t="shared" si="11"/>
        <v>54.310344827586221</v>
      </c>
      <c r="L65" s="22">
        <f t="shared" si="12"/>
        <v>85.810081701865272</v>
      </c>
      <c r="M65" s="23">
        <f t="shared" si="13"/>
        <v>37.821590234475664</v>
      </c>
      <c r="N65">
        <f t="shared" si="14"/>
        <v>106</v>
      </c>
      <c r="O65" t="str">
        <f t="shared" si="15"/>
        <v>Priority Intervention</v>
      </c>
    </row>
    <row r="66" spans="1:15" x14ac:dyDescent="0.3">
      <c r="A66" t="str">
        <f>INDEX(tblModelStoreScore[store_name],MATCH(57,tblModelStoreScore[store_id],0))</f>
        <v>Nova Retail - Jamshedpur Standard</v>
      </c>
      <c r="B66" t="str">
        <f>INDEX(tblModelStoreScore[region_name],MATCH(57,tblModelStoreScore[store_id],0))</f>
        <v>Odisha-Jharkhand</v>
      </c>
      <c r="C66" s="13">
        <f>INDEX(tblModelStoreScore[margin_pct_last6],MATCH(57,tblModelStoreScore[store_id],0))</f>
        <v>0.17380000000000001</v>
      </c>
      <c r="D66" s="13">
        <f>INDEX(tblModelStoreScore[margin_trend_pp],MATCH(57,tblModelStoreScore[store_id],0))</f>
        <v>0.03</v>
      </c>
      <c r="E66" s="13">
        <f>INDEX(tblModelStoreScore[return_rate_last6],MATCH(57,tblModelStoreScore[store_id],0))</f>
        <v>2.87E-2</v>
      </c>
      <c r="F66" s="13">
        <f>INDEX(tblModelStoreScore[discount_leak_pct_last6],MATCH(57,tblModelStoreScore[store_id],0))</f>
        <v>6.5500000000000003E-2</v>
      </c>
      <c r="G66" s="13">
        <f>INDEX(tblModelStoreScore[revenue_growth_pct],MATCH(57,tblModelStoreScore[store_id],0))</f>
        <v>0.42030000000000001</v>
      </c>
      <c r="H66" s="22">
        <f t="shared" si="8"/>
        <v>42.228739002932599</v>
      </c>
      <c r="I66" s="22">
        <f t="shared" si="9"/>
        <v>24.999999999999993</v>
      </c>
      <c r="J66" s="22">
        <f t="shared" si="10"/>
        <v>74.683544303797461</v>
      </c>
      <c r="K66" s="22">
        <f t="shared" si="11"/>
        <v>36.494252873563219</v>
      </c>
      <c r="L66" s="22">
        <f t="shared" si="12"/>
        <v>48.111607831046712</v>
      </c>
      <c r="M66" s="23">
        <f t="shared" si="13"/>
        <v>44.140629275778423</v>
      </c>
      <c r="N66">
        <f t="shared" si="14"/>
        <v>78</v>
      </c>
      <c r="O66" t="str">
        <f t="shared" si="15"/>
        <v/>
      </c>
    </row>
    <row r="67" spans="1:15" x14ac:dyDescent="0.3">
      <c r="A67" t="str">
        <f>INDEX(tblModelStoreScore[store_name],MATCH(6,tblModelStoreScore[store_id],0))</f>
        <v>Nova Retail - Jodhpur Compact</v>
      </c>
      <c r="B67" t="str">
        <f>INDEX(tblModelStoreScore[region_name],MATCH(6,tblModelStoreScore[store_id],0))</f>
        <v>Rajasthan</v>
      </c>
      <c r="C67" s="13">
        <f>INDEX(tblModelStoreScore[margin_pct_last6],MATCH(6,tblModelStoreScore[store_id],0))</f>
        <v>0.1767</v>
      </c>
      <c r="D67" s="13">
        <f>INDEX(tblModelStoreScore[margin_trend_pp],MATCH(6,tblModelStoreScore[store_id],0))</f>
        <v>0.02</v>
      </c>
      <c r="E67" s="13">
        <f>INDEX(tblModelStoreScore[return_rate_last6],MATCH(6,tblModelStoreScore[store_id],0))</f>
        <v>4.5199999999999997E-2</v>
      </c>
      <c r="F67" s="13">
        <f>INDEX(tblModelStoreScore[discount_leak_pct_last6],MATCH(6,tblModelStoreScore[store_id],0))</f>
        <v>6.6199999999999995E-2</v>
      </c>
      <c r="G67" s="13">
        <f>INDEX(tblModelStoreScore[revenue_growth_pct],MATCH(6,tblModelStoreScore[store_id],0))</f>
        <v>0.39219999999999999</v>
      </c>
      <c r="H67" s="22">
        <f t="shared" si="8"/>
        <v>50.733137829912025</v>
      </c>
      <c r="I67" s="22">
        <f t="shared" si="9"/>
        <v>12.5</v>
      </c>
      <c r="J67" s="22">
        <f t="shared" si="10"/>
        <v>39.873417721518997</v>
      </c>
      <c r="K67" s="22">
        <f t="shared" si="11"/>
        <v>34.48275862068968</v>
      </c>
      <c r="L67" s="22">
        <f t="shared" si="12"/>
        <v>45.945737629104364</v>
      </c>
      <c r="M67" s="23">
        <f t="shared" si="13"/>
        <v>36.086612449291295</v>
      </c>
      <c r="N67">
        <f t="shared" si="14"/>
        <v>109</v>
      </c>
      <c r="O67" t="str">
        <f t="shared" si="15"/>
        <v>Priority Intervention</v>
      </c>
    </row>
    <row r="68" spans="1:15" x14ac:dyDescent="0.3">
      <c r="A68" t="str">
        <f>INDEX(tblModelStoreScore[store_name],MATCH(24,tblModelStoreScore[store_id],0))</f>
        <v>Nova Retail - Karnal Standard</v>
      </c>
      <c r="B68" t="str">
        <f>INDEX(tblModelStoreScore[region_name],MATCH(24,tblModelStoreScore[store_id],0))</f>
        <v>Punjab-Haryana</v>
      </c>
      <c r="C68" s="13">
        <f>INDEX(tblModelStoreScore[margin_pct_last6],MATCH(24,tblModelStoreScore[store_id],0))</f>
        <v>0.17549999999999999</v>
      </c>
      <c r="D68" s="13">
        <f>INDEX(tblModelStoreScore[margin_trend_pp],MATCH(24,tblModelStoreScore[store_id],0))</f>
        <v>0.05</v>
      </c>
      <c r="E68" s="13">
        <f>INDEX(tblModelStoreScore[return_rate_last6],MATCH(24,tblModelStoreScore[store_id],0))</f>
        <v>3.09E-2</v>
      </c>
      <c r="F68" s="13">
        <f>INDEX(tblModelStoreScore[discount_leak_pct_last6],MATCH(24,tblModelStoreScore[store_id],0))</f>
        <v>6.3E-2</v>
      </c>
      <c r="G68" s="13">
        <f>INDEX(tblModelStoreScore[revenue_growth_pct],MATCH(24,tblModelStoreScore[store_id],0))</f>
        <v>0.29709999999999998</v>
      </c>
      <c r="H68" s="22">
        <f t="shared" si="8"/>
        <v>47.214076246334294</v>
      </c>
      <c r="I68" s="22">
        <f t="shared" si="9"/>
        <v>50</v>
      </c>
      <c r="J68" s="22">
        <f t="shared" si="10"/>
        <v>70.042194092827017</v>
      </c>
      <c r="K68" s="22">
        <f t="shared" si="11"/>
        <v>43.67816091954024</v>
      </c>
      <c r="L68" s="22">
        <f t="shared" si="12"/>
        <v>38.61569292431016</v>
      </c>
      <c r="M68" s="23">
        <f t="shared" si="13"/>
        <v>51.085955122827741</v>
      </c>
      <c r="N68">
        <f t="shared" si="14"/>
        <v>46</v>
      </c>
      <c r="O68" t="str">
        <f t="shared" si="15"/>
        <v/>
      </c>
    </row>
    <row r="69" spans="1:15" x14ac:dyDescent="0.3">
      <c r="A69" t="str">
        <f>INDEX(tblModelStoreScore[store_name],MATCH(34,tblModelStoreScore[store_id],0))</f>
        <v>Nova Retail - Karnal Standard</v>
      </c>
      <c r="B69" t="str">
        <f>INDEX(tblModelStoreScore[region_name],MATCH(34,tblModelStoreScore[store_id],0))</f>
        <v>Punjab-Haryana</v>
      </c>
      <c r="C69" s="13">
        <f>INDEX(tblModelStoreScore[margin_pct_last6],MATCH(34,tblModelStoreScore[store_id],0))</f>
        <v>0.18390000000000001</v>
      </c>
      <c r="D69" s="13">
        <f>INDEX(tblModelStoreScore[margin_trend_pp],MATCH(34,tblModelStoreScore[store_id],0))</f>
        <v>0.04</v>
      </c>
      <c r="E69" s="13">
        <f>INDEX(tblModelStoreScore[return_rate_last6],MATCH(34,tblModelStoreScore[store_id],0))</f>
        <v>4.3200000000000002E-2</v>
      </c>
      <c r="F69" s="13">
        <f>INDEX(tblModelStoreScore[discount_leak_pct_last6],MATCH(34,tblModelStoreScore[store_id],0))</f>
        <v>5.7599999999999998E-2</v>
      </c>
      <c r="G69" s="13">
        <f>INDEX(tblModelStoreScore[revenue_growth_pct],MATCH(34,tblModelStoreScore[store_id],0))</f>
        <v>0.19600000000000001</v>
      </c>
      <c r="H69" s="22">
        <f t="shared" si="8"/>
        <v>71.847507331378324</v>
      </c>
      <c r="I69" s="22">
        <f t="shared" si="9"/>
        <v>37.5</v>
      </c>
      <c r="J69" s="22">
        <f t="shared" si="10"/>
        <v>44.092827004219409</v>
      </c>
      <c r="K69" s="22">
        <f t="shared" si="11"/>
        <v>59.195402298850588</v>
      </c>
      <c r="L69" s="22">
        <f t="shared" si="12"/>
        <v>30.823184831200866</v>
      </c>
      <c r="M69" s="23">
        <f t="shared" si="13"/>
        <v>51.709446428205055</v>
      </c>
      <c r="N69">
        <f t="shared" si="14"/>
        <v>43</v>
      </c>
      <c r="O69" t="str">
        <f t="shared" si="15"/>
        <v/>
      </c>
    </row>
    <row r="70" spans="1:15" x14ac:dyDescent="0.3">
      <c r="A70" t="str">
        <f>INDEX(tblModelStoreScore[store_name],MATCH(107,tblModelStoreScore[store_id],0))</f>
        <v>Nova Retail - Kochi Standard</v>
      </c>
      <c r="B70" t="str">
        <f>INDEX(tblModelStoreScore[region_name],MATCH(107,tblModelStoreScore[store_id],0))</f>
        <v>Kerala</v>
      </c>
      <c r="C70" s="13">
        <f>INDEX(tblModelStoreScore[margin_pct_last6],MATCH(107,tblModelStoreScore[store_id],0))</f>
        <v>0.17080000000000001</v>
      </c>
      <c r="D70" s="13">
        <f>INDEX(tblModelStoreScore[margin_trend_pp],MATCH(107,tblModelStoreScore[store_id],0))</f>
        <v>0.02</v>
      </c>
      <c r="E70" s="13">
        <f>INDEX(tblModelStoreScore[return_rate_last6],MATCH(107,tblModelStoreScore[store_id],0))</f>
        <v>4.1700000000000001E-2</v>
      </c>
      <c r="F70" s="13">
        <f>INDEX(tblModelStoreScore[discount_leak_pct_last6],MATCH(107,tblModelStoreScore[store_id],0))</f>
        <v>6.1899999999999997E-2</v>
      </c>
      <c r="G70" s="13">
        <f>INDEX(tblModelStoreScore[revenue_growth_pct],MATCH(107,tblModelStoreScore[store_id],0))</f>
        <v>0.27739999999999998</v>
      </c>
      <c r="H70" s="22">
        <f t="shared" si="8"/>
        <v>33.431085043988311</v>
      </c>
      <c r="I70" s="22">
        <f t="shared" si="9"/>
        <v>12.5</v>
      </c>
      <c r="J70" s="22">
        <f t="shared" si="10"/>
        <v>47.257383966244724</v>
      </c>
      <c r="K70" s="22">
        <f t="shared" si="11"/>
        <v>46.83908045977013</v>
      </c>
      <c r="L70" s="22">
        <f t="shared" si="12"/>
        <v>37.097271466008941</v>
      </c>
      <c r="M70" s="23">
        <f t="shared" si="13"/>
        <v>33.341391522011854</v>
      </c>
      <c r="N70">
        <f t="shared" si="14"/>
        <v>112</v>
      </c>
      <c r="O70" t="str">
        <f t="shared" si="15"/>
        <v>Priority Intervention</v>
      </c>
    </row>
    <row r="71" spans="1:15" x14ac:dyDescent="0.3">
      <c r="A71" t="str">
        <f>INDEX(tblModelStoreScore[store_name],MATCH(4,tblModelStoreScore[store_id],0))</f>
        <v>Nova Retail - Kolkata Compact</v>
      </c>
      <c r="B71" t="str">
        <f>INDEX(tblModelStoreScore[region_name],MATCH(4,tblModelStoreScore[store_id],0))</f>
        <v>West Bengal</v>
      </c>
      <c r="C71" s="13">
        <f>INDEX(tblModelStoreScore[margin_pct_last6],MATCH(4,tblModelStoreScore[store_id],0))</f>
        <v>0.16930000000000001</v>
      </c>
      <c r="D71" s="13">
        <f>INDEX(tblModelStoreScore[margin_trend_pp],MATCH(4,tblModelStoreScore[store_id],0))</f>
        <v>0.05</v>
      </c>
      <c r="E71" s="13">
        <f>INDEX(tblModelStoreScore[return_rate_last6],MATCH(4,tblModelStoreScore[store_id],0))</f>
        <v>3.2399999999999998E-2</v>
      </c>
      <c r="F71" s="13">
        <f>INDEX(tblModelStoreScore[discount_leak_pct_last6],MATCH(4,tblModelStoreScore[store_id],0))</f>
        <v>6.0999999999999999E-2</v>
      </c>
      <c r="G71" s="13">
        <f>INDEX(tblModelStoreScore[revenue_growth_pct],MATCH(4,tblModelStoreScore[store_id],0))</f>
        <v>0.4178</v>
      </c>
      <c r="H71" s="22">
        <f t="shared" si="8"/>
        <v>29.032258064516171</v>
      </c>
      <c r="I71" s="22">
        <f t="shared" si="9"/>
        <v>50</v>
      </c>
      <c r="J71" s="22">
        <f t="shared" si="10"/>
        <v>66.877637130801688</v>
      </c>
      <c r="K71" s="22">
        <f t="shared" si="11"/>
        <v>49.425287356321853</v>
      </c>
      <c r="L71" s="22">
        <f t="shared" si="12"/>
        <v>47.91891475258209</v>
      </c>
      <c r="M71" s="23">
        <f t="shared" si="13"/>
        <v>46.790889424221682</v>
      </c>
      <c r="N71">
        <f t="shared" si="14"/>
        <v>64</v>
      </c>
      <c r="O71" t="str">
        <f t="shared" si="15"/>
        <v/>
      </c>
    </row>
    <row r="72" spans="1:15" x14ac:dyDescent="0.3">
      <c r="A72" t="str">
        <f>INDEX(tblModelStoreScore[store_name],MATCH(28,tblModelStoreScore[store_id],0))</f>
        <v>Nova Retail - Kolkata Standard</v>
      </c>
      <c r="B72" t="str">
        <f>INDEX(tblModelStoreScore[region_name],MATCH(28,tblModelStoreScore[store_id],0))</f>
        <v>West Bengal</v>
      </c>
      <c r="C72" s="13">
        <f>INDEX(tblModelStoreScore[margin_pct_last6],MATCH(28,tblModelStoreScore[store_id],0))</f>
        <v>0.17810000000000001</v>
      </c>
      <c r="D72" s="13">
        <f>INDEX(tblModelStoreScore[margin_trend_pp],MATCH(28,tblModelStoreScore[store_id],0))</f>
        <v>0.04</v>
      </c>
      <c r="E72" s="13">
        <f>INDEX(tblModelStoreScore[return_rate_last6],MATCH(28,tblModelStoreScore[store_id],0))</f>
        <v>3.6700000000000003E-2</v>
      </c>
      <c r="F72" s="13">
        <f>INDEX(tblModelStoreScore[discount_leak_pct_last6],MATCH(28,tblModelStoreScore[store_id],0))</f>
        <v>6.0299999999999999E-2</v>
      </c>
      <c r="G72" s="13">
        <f>INDEX(tblModelStoreScore[revenue_growth_pct],MATCH(28,tblModelStoreScore[store_id],0))</f>
        <v>0.39739999999999998</v>
      </c>
      <c r="H72" s="22">
        <f t="shared" si="8"/>
        <v>54.838709677419381</v>
      </c>
      <c r="I72" s="22">
        <f t="shared" si="9"/>
        <v>37.5</v>
      </c>
      <c r="J72" s="22">
        <f t="shared" si="10"/>
        <v>57.805907172995774</v>
      </c>
      <c r="K72" s="22">
        <f t="shared" si="11"/>
        <v>51.436781609195414</v>
      </c>
      <c r="L72" s="22">
        <f t="shared" si="12"/>
        <v>46.346539232310775</v>
      </c>
      <c r="M72" s="23">
        <f t="shared" si="13"/>
        <v>49.737965502435358</v>
      </c>
      <c r="N72">
        <f t="shared" si="14"/>
        <v>52</v>
      </c>
      <c r="O72" t="str">
        <f t="shared" si="15"/>
        <v/>
      </c>
    </row>
    <row r="73" spans="1:15" x14ac:dyDescent="0.3">
      <c r="A73" t="str">
        <f>INDEX(tblModelStoreScore[store_name],MATCH(35,tblModelStoreScore[store_id],0))</f>
        <v>Nova Retail - Kolkata Standard</v>
      </c>
      <c r="B73" t="str">
        <f>INDEX(tblModelStoreScore[region_name],MATCH(35,tblModelStoreScore[store_id],0))</f>
        <v>West Bengal</v>
      </c>
      <c r="C73" s="13">
        <f>INDEX(tblModelStoreScore[margin_pct_last6],MATCH(35,tblModelStoreScore[store_id],0))</f>
        <v>0.1736</v>
      </c>
      <c r="D73" s="13">
        <f>INDEX(tblModelStoreScore[margin_trend_pp],MATCH(35,tblModelStoreScore[store_id],0))</f>
        <v>0.04</v>
      </c>
      <c r="E73" s="13">
        <f>INDEX(tblModelStoreScore[return_rate_last6],MATCH(35,tblModelStoreScore[store_id],0))</f>
        <v>4.07E-2</v>
      </c>
      <c r="F73" s="13">
        <f>INDEX(tblModelStoreScore[discount_leak_pct_last6],MATCH(35,tblModelStoreScore[store_id],0))</f>
        <v>5.74E-2</v>
      </c>
      <c r="G73" s="13">
        <f>INDEX(tblModelStoreScore[revenue_growth_pct],MATCH(35,tblModelStoreScore[store_id],0))</f>
        <v>0.37680000000000002</v>
      </c>
      <c r="H73" s="22">
        <f t="shared" si="8"/>
        <v>41.64222873900296</v>
      </c>
      <c r="I73" s="22">
        <f t="shared" si="9"/>
        <v>37.5</v>
      </c>
      <c r="J73" s="22">
        <f t="shared" si="10"/>
        <v>49.367088607594937</v>
      </c>
      <c r="K73" s="22">
        <f t="shared" si="11"/>
        <v>59.770114942528743</v>
      </c>
      <c r="L73" s="22">
        <f t="shared" si="12"/>
        <v>44.7587482657623</v>
      </c>
      <c r="M73" s="23">
        <f t="shared" si="13"/>
        <v>45.182478411175417</v>
      </c>
      <c r="N73">
        <f t="shared" si="14"/>
        <v>70</v>
      </c>
      <c r="O73" t="str">
        <f t="shared" si="15"/>
        <v/>
      </c>
    </row>
    <row r="74" spans="1:15" x14ac:dyDescent="0.3">
      <c r="A74" t="str">
        <f>INDEX(tblModelStoreScore[store_name],MATCH(78,tblModelStoreScore[store_id],0))</f>
        <v>Nova Retail - Kota Standard</v>
      </c>
      <c r="B74" t="str">
        <f>INDEX(tblModelStoreScore[region_name],MATCH(78,tblModelStoreScore[store_id],0))</f>
        <v>Rajasthan</v>
      </c>
      <c r="C74" s="13">
        <f>INDEX(tblModelStoreScore[margin_pct_last6],MATCH(78,tblModelStoreScore[store_id],0))</f>
        <v>0.17169999999999999</v>
      </c>
      <c r="D74" s="13">
        <f>INDEX(tblModelStoreScore[margin_trend_pp],MATCH(78,tblModelStoreScore[store_id],0))</f>
        <v>0.03</v>
      </c>
      <c r="E74" s="13">
        <f>INDEX(tblModelStoreScore[return_rate_last6],MATCH(78,tblModelStoreScore[store_id],0))</f>
        <v>3.56E-2</v>
      </c>
      <c r="F74" s="13">
        <f>INDEX(tblModelStoreScore[discount_leak_pct_last6],MATCH(78,tblModelStoreScore[store_id],0))</f>
        <v>6.2899999999999998E-2</v>
      </c>
      <c r="G74" s="13">
        <f>INDEX(tblModelStoreScore[revenue_growth_pct],MATCH(78,tblModelStoreScore[store_id],0))</f>
        <v>0.23069999999999999</v>
      </c>
      <c r="H74" s="22">
        <f t="shared" si="8"/>
        <v>36.070381231671547</v>
      </c>
      <c r="I74" s="22">
        <f t="shared" si="9"/>
        <v>24.999999999999993</v>
      </c>
      <c r="J74" s="22">
        <f t="shared" si="10"/>
        <v>60.12658227848101</v>
      </c>
      <c r="K74" s="22">
        <f t="shared" si="11"/>
        <v>43.965517241379324</v>
      </c>
      <c r="L74" s="22">
        <f t="shared" si="12"/>
        <v>33.497764760289812</v>
      </c>
      <c r="M74" s="23">
        <f t="shared" si="13"/>
        <v>39.04103488743354</v>
      </c>
      <c r="N74">
        <f t="shared" si="14"/>
        <v>101</v>
      </c>
      <c r="O74" t="str">
        <f t="shared" si="15"/>
        <v>Priority Intervention</v>
      </c>
    </row>
    <row r="75" spans="1:15" x14ac:dyDescent="0.3">
      <c r="A75" t="str">
        <f>INDEX(tblModelStoreScore[store_name],MATCH(109,tblModelStoreScore[store_id],0))</f>
        <v>Nova Retail - Kozhikode Compact</v>
      </c>
      <c r="B75" t="str">
        <f>INDEX(tblModelStoreScore[region_name],MATCH(109,tblModelStoreScore[store_id],0))</f>
        <v>Kerala</v>
      </c>
      <c r="C75" s="13">
        <f>INDEX(tblModelStoreScore[margin_pct_last6],MATCH(109,tblModelStoreScore[store_id],0))</f>
        <v>0.17050000000000001</v>
      </c>
      <c r="D75" s="13">
        <f>INDEX(tblModelStoreScore[margin_trend_pp],MATCH(109,tblModelStoreScore[store_id],0))</f>
        <v>0.03</v>
      </c>
      <c r="E75" s="13">
        <f>INDEX(tblModelStoreScore[return_rate_last6],MATCH(109,tblModelStoreScore[store_id],0))</f>
        <v>3.5799999999999998E-2</v>
      </c>
      <c r="F75" s="13">
        <f>INDEX(tblModelStoreScore[discount_leak_pct_last6],MATCH(109,tblModelStoreScore[store_id],0))</f>
        <v>5.6099999999999997E-2</v>
      </c>
      <c r="G75" s="13">
        <f>INDEX(tblModelStoreScore[revenue_growth_pct],MATCH(109,tblModelStoreScore[store_id],0))</f>
        <v>0.53900000000000003</v>
      </c>
      <c r="H75" s="22">
        <f t="shared" si="8"/>
        <v>32.551319648093902</v>
      </c>
      <c r="I75" s="22">
        <f t="shared" si="9"/>
        <v>24.999999999999993</v>
      </c>
      <c r="J75" s="22">
        <f t="shared" si="10"/>
        <v>59.704641350210977</v>
      </c>
      <c r="K75" s="22">
        <f t="shared" si="11"/>
        <v>63.505747126436795</v>
      </c>
      <c r="L75" s="22">
        <f t="shared" si="12"/>
        <v>57.260675196546948</v>
      </c>
      <c r="M75" s="23">
        <f t="shared" si="13"/>
        <v>43.208253753090574</v>
      </c>
      <c r="N75">
        <f t="shared" si="14"/>
        <v>85</v>
      </c>
      <c r="O75" t="str">
        <f t="shared" si="15"/>
        <v/>
      </c>
    </row>
    <row r="76" spans="1:15" x14ac:dyDescent="0.3">
      <c r="A76" t="str">
        <f>INDEX(tblModelStoreScore[store_name],MATCH(94,tblModelStoreScore[store_id],0))</f>
        <v>Nova Retail - Kozhikode Standard</v>
      </c>
      <c r="B76" t="str">
        <f>INDEX(tblModelStoreScore[region_name],MATCH(94,tblModelStoreScore[store_id],0))</f>
        <v>Kerala</v>
      </c>
      <c r="C76" s="13">
        <f>INDEX(tblModelStoreScore[margin_pct_last6],MATCH(94,tblModelStoreScore[store_id],0))</f>
        <v>0.1741</v>
      </c>
      <c r="D76" s="13">
        <f>INDEX(tblModelStoreScore[margin_trend_pp],MATCH(94,tblModelStoreScore[store_id],0))</f>
        <v>0.03</v>
      </c>
      <c r="E76" s="13">
        <f>INDEX(tblModelStoreScore[return_rate_last6],MATCH(94,tblModelStoreScore[store_id],0))</f>
        <v>3.8199999999999998E-2</v>
      </c>
      <c r="F76" s="13">
        <f>INDEX(tblModelStoreScore[discount_leak_pct_last6],MATCH(94,tblModelStoreScore[store_id],0))</f>
        <v>6.1699999999999998E-2</v>
      </c>
      <c r="G76" s="13">
        <f>INDEX(tblModelStoreScore[revenue_growth_pct],MATCH(94,tblModelStoreScore[store_id],0))</f>
        <v>0.2611</v>
      </c>
      <c r="H76" s="22">
        <f t="shared" si="8"/>
        <v>43.108504398827009</v>
      </c>
      <c r="I76" s="22">
        <f t="shared" si="9"/>
        <v>24.999999999999993</v>
      </c>
      <c r="J76" s="22">
        <f t="shared" si="10"/>
        <v>54.641350210970472</v>
      </c>
      <c r="K76" s="22">
        <f t="shared" si="11"/>
        <v>47.413793103448292</v>
      </c>
      <c r="L76" s="22">
        <f t="shared" si="12"/>
        <v>35.840912594419613</v>
      </c>
      <c r="M76" s="23">
        <f t="shared" si="13"/>
        <v>40.806981586801399</v>
      </c>
      <c r="N76">
        <f t="shared" si="14"/>
        <v>96</v>
      </c>
      <c r="O76" t="str">
        <f t="shared" si="15"/>
        <v>Priority Intervention</v>
      </c>
    </row>
    <row r="77" spans="1:15" x14ac:dyDescent="0.3">
      <c r="A77" t="str">
        <f>INDEX(tblModelStoreScore[store_name],MATCH(95,tblModelStoreScore[store_id],0))</f>
        <v>Nova Retail - Kozhikode Standard</v>
      </c>
      <c r="B77" t="str">
        <f>INDEX(tblModelStoreScore[region_name],MATCH(95,tblModelStoreScore[store_id],0))</f>
        <v>Kerala</v>
      </c>
      <c r="C77" s="13">
        <f>INDEX(tblModelStoreScore[margin_pct_last6],MATCH(95,tblModelStoreScore[store_id],0))</f>
        <v>0.17019999999999999</v>
      </c>
      <c r="D77" s="13">
        <f>INDEX(tblModelStoreScore[margin_trend_pp],MATCH(95,tblModelStoreScore[store_id],0))</f>
        <v>0.04</v>
      </c>
      <c r="E77" s="13">
        <f>INDEX(tblModelStoreScore[return_rate_last6],MATCH(95,tblModelStoreScore[store_id],0))</f>
        <v>4.6600000000000003E-2</v>
      </c>
      <c r="F77" s="13">
        <f>INDEX(tblModelStoreScore[discount_leak_pct_last6],MATCH(95,tblModelStoreScore[store_id],0))</f>
        <v>5.9499999999999997E-2</v>
      </c>
      <c r="G77" s="13">
        <f>INDEX(tblModelStoreScore[revenue_growth_pct],MATCH(95,tblModelStoreScore[store_id],0))</f>
        <v>0.52829999999999999</v>
      </c>
      <c r="H77" s="22">
        <f t="shared" si="8"/>
        <v>31.671554252199407</v>
      </c>
      <c r="I77" s="22">
        <f t="shared" si="9"/>
        <v>37.5</v>
      </c>
      <c r="J77" s="22">
        <f t="shared" si="10"/>
        <v>36.919831223628691</v>
      </c>
      <c r="K77" s="22">
        <f t="shared" si="11"/>
        <v>53.735632183908066</v>
      </c>
      <c r="L77" s="22">
        <f t="shared" si="12"/>
        <v>56.435948820718366</v>
      </c>
      <c r="M77" s="23">
        <f t="shared" si="13"/>
        <v>39.964372230043608</v>
      </c>
      <c r="N77">
        <f t="shared" si="14"/>
        <v>99</v>
      </c>
      <c r="O77" t="str">
        <f t="shared" si="15"/>
        <v>Priority Intervention</v>
      </c>
    </row>
    <row r="78" spans="1:15" x14ac:dyDescent="0.3">
      <c r="A78" t="str">
        <f>INDEX(tblModelStoreScore[store_name],MATCH(102,tblModelStoreScore[store_id],0))</f>
        <v>Nova Retail - Ludhiana Compact</v>
      </c>
      <c r="B78" t="str">
        <f>INDEX(tblModelStoreScore[region_name],MATCH(102,tblModelStoreScore[store_id],0))</f>
        <v>Punjab-Haryana</v>
      </c>
      <c r="C78" s="13">
        <f>INDEX(tblModelStoreScore[margin_pct_last6],MATCH(102,tblModelStoreScore[store_id],0))</f>
        <v>0.18179999999999999</v>
      </c>
      <c r="D78" s="13">
        <f>INDEX(tblModelStoreScore[margin_trend_pp],MATCH(102,tblModelStoreScore[store_id],0))</f>
        <v>0.06</v>
      </c>
      <c r="E78" s="13">
        <f>INDEX(tblModelStoreScore[return_rate_last6],MATCH(102,tblModelStoreScore[store_id],0))</f>
        <v>2.92E-2</v>
      </c>
      <c r="F78" s="13">
        <f>INDEX(tblModelStoreScore[discount_leak_pct_last6],MATCH(102,tblModelStoreScore[store_id],0))</f>
        <v>6.2799999999999995E-2</v>
      </c>
      <c r="G78" s="13">
        <f>INDEX(tblModelStoreScore[revenue_growth_pct],MATCH(102,tblModelStoreScore[store_id],0))</f>
        <v>0.15679999999999999</v>
      </c>
      <c r="H78" s="22">
        <f t="shared" si="8"/>
        <v>65.689149560117272</v>
      </c>
      <c r="I78" s="22">
        <f t="shared" si="9"/>
        <v>62.499999999999986</v>
      </c>
      <c r="J78" s="22">
        <f t="shared" si="10"/>
        <v>73.628691983122351</v>
      </c>
      <c r="K78" s="22">
        <f t="shared" si="11"/>
        <v>44.252873563218415</v>
      </c>
      <c r="L78" s="22">
        <f t="shared" si="12"/>
        <v>27.801757360875602</v>
      </c>
      <c r="M78" s="23">
        <f t="shared" si="13"/>
        <v>59.47559003522997</v>
      </c>
      <c r="N78">
        <f t="shared" si="14"/>
        <v>21</v>
      </c>
      <c r="O78" t="str">
        <f t="shared" si="15"/>
        <v/>
      </c>
    </row>
    <row r="79" spans="1:15" x14ac:dyDescent="0.3">
      <c r="A79" t="str">
        <f>INDEX(tblModelStoreScore[store_name],MATCH(97,tblModelStoreScore[store_id],0))</f>
        <v>Nova Retail - Ludhiana Flagship</v>
      </c>
      <c r="B79" t="str">
        <f>INDEX(tblModelStoreScore[region_name],MATCH(97,tblModelStoreScore[store_id],0))</f>
        <v>Punjab-Haryana</v>
      </c>
      <c r="C79" s="13">
        <f>INDEX(tblModelStoreScore[margin_pct_last6],MATCH(97,tblModelStoreScore[store_id],0))</f>
        <v>0.1749</v>
      </c>
      <c r="D79" s="13">
        <f>INDEX(tblModelStoreScore[margin_trend_pp],MATCH(97,tblModelStoreScore[store_id],0))</f>
        <v>0.03</v>
      </c>
      <c r="E79" s="13">
        <f>INDEX(tblModelStoreScore[return_rate_last6],MATCH(97,tblModelStoreScore[store_id],0))</f>
        <v>3.5400000000000001E-2</v>
      </c>
      <c r="F79" s="13">
        <f>INDEX(tblModelStoreScore[discount_leak_pct_last6],MATCH(97,tblModelStoreScore[store_id],0))</f>
        <v>6.2399999999999997E-2</v>
      </c>
      <c r="G79" s="13">
        <f>INDEX(tblModelStoreScore[revenue_growth_pct],MATCH(97,tblModelStoreScore[store_id],0))</f>
        <v>0.11749999999999999</v>
      </c>
      <c r="H79" s="22">
        <f t="shared" ref="H79:H110" si="16">(C79-MIN($C$15:$C$134))/(MAX($C$15:$C$134)-MIN($C$15:$C$134))*100</f>
        <v>45.454545454545467</v>
      </c>
      <c r="I79" s="22">
        <f t="shared" ref="I79:I110" si="17">(D79-MIN($D$15:$D$134))/(MAX($D$15:$D$134)-MIN($D$15:$D$134))*100</f>
        <v>24.999999999999993</v>
      </c>
      <c r="J79" s="22">
        <f t="shared" ref="J79:J110" si="18">(MAX($E$15:$E$134)-E79)/(MAX($E$15:$E$134)-MIN($E$15:$E$134))*100</f>
        <v>60.548523206751057</v>
      </c>
      <c r="K79" s="22">
        <f t="shared" ref="K79:K110" si="19">(MAX($F$15:$F$134)-F79)/(MAX($F$15:$F$134)-MIN($F$15:$F$134))*100</f>
        <v>45.402298850574731</v>
      </c>
      <c r="L79" s="22">
        <f t="shared" ref="L79:L110" si="20">(G79-MIN($G$15:$G$134))/(MAX($G$15:$G$134)-MIN($G$15:$G$134))*100</f>
        <v>24.77262216741175</v>
      </c>
      <c r="M79" s="23">
        <f t="shared" ref="M79:M110" si="21">H79*wMarginWeight+I79*wTrendWeight+J79*wReturnWeight+K79*wDiscountWeight+L79*wGrowthWeight</f>
        <v>41.283675322041233</v>
      </c>
      <c r="N79">
        <f t="shared" ref="N79:N110" si="22">RANK(M79,$M$15:$M$134,0)</f>
        <v>92</v>
      </c>
      <c r="O79" t="str">
        <f t="shared" ref="O79:O110" si="23">IF(M79&lt;=QUARTILE($M$15:$M$134,1),"Priority Intervention","")</f>
        <v>Priority Intervention</v>
      </c>
    </row>
    <row r="80" spans="1:15" x14ac:dyDescent="0.3">
      <c r="A80" t="str">
        <f>INDEX(tblModelStoreScore[store_name],MATCH(58,tblModelStoreScore[store_id],0))</f>
        <v>Nova Retail - Ludhiana Standard</v>
      </c>
      <c r="B80" t="str">
        <f>INDEX(tblModelStoreScore[region_name],MATCH(58,tblModelStoreScore[store_id],0))</f>
        <v>Punjab-Haryana</v>
      </c>
      <c r="C80" s="13">
        <f>INDEX(tblModelStoreScore[margin_pct_last6],MATCH(58,tblModelStoreScore[store_id],0))</f>
        <v>0.18179999999999999</v>
      </c>
      <c r="D80" s="13">
        <f>INDEX(tblModelStoreScore[margin_trend_pp],MATCH(58,tblModelStoreScore[store_id],0))</f>
        <v>0.04</v>
      </c>
      <c r="E80" s="13">
        <f>INDEX(tblModelStoreScore[return_rate_last6],MATCH(58,tblModelStoreScore[store_id],0))</f>
        <v>2.1600000000000001E-2</v>
      </c>
      <c r="F80" s="13">
        <f>INDEX(tblModelStoreScore[discount_leak_pct_last6],MATCH(58,tblModelStoreScore[store_id],0))</f>
        <v>5.8700000000000002E-2</v>
      </c>
      <c r="G80" s="13">
        <f>INDEX(tblModelStoreScore[revenue_growth_pct],MATCH(58,tblModelStoreScore[store_id],0))</f>
        <v>0.27410000000000001</v>
      </c>
      <c r="H80" s="22">
        <f t="shared" si="16"/>
        <v>65.689149560117272</v>
      </c>
      <c r="I80" s="22">
        <f t="shared" si="17"/>
        <v>37.5</v>
      </c>
      <c r="J80" s="22">
        <f t="shared" si="18"/>
        <v>89.66244725738396</v>
      </c>
      <c r="K80" s="22">
        <f t="shared" si="19"/>
        <v>56.034482758620697</v>
      </c>
      <c r="L80" s="22">
        <f t="shared" si="20"/>
        <v>36.842916602435643</v>
      </c>
      <c r="M80" s="23">
        <f t="shared" si="21"/>
        <v>59.10369839354864</v>
      </c>
      <c r="N80">
        <f t="shared" si="22"/>
        <v>22</v>
      </c>
      <c r="O80" t="str">
        <f t="shared" si="23"/>
        <v/>
      </c>
    </row>
    <row r="81" spans="1:15" x14ac:dyDescent="0.3">
      <c r="A81" t="str">
        <f>INDEX(tblModelStoreScore[store_name],MATCH(63,tblModelStoreScore[store_id],0))</f>
        <v>Nova Retail - Ludhiana Standard</v>
      </c>
      <c r="B81" t="str">
        <f>INDEX(tblModelStoreScore[region_name],MATCH(63,tblModelStoreScore[store_id],0))</f>
        <v>Punjab-Haryana</v>
      </c>
      <c r="C81" s="13">
        <f>INDEX(tblModelStoreScore[margin_pct_last6],MATCH(63,tblModelStoreScore[store_id],0))</f>
        <v>0.17660000000000001</v>
      </c>
      <c r="D81" s="13">
        <f>INDEX(tblModelStoreScore[margin_trend_pp],MATCH(63,tblModelStoreScore[store_id],0))</f>
        <v>0.02</v>
      </c>
      <c r="E81" s="13">
        <f>INDEX(tblModelStoreScore[return_rate_last6],MATCH(63,tblModelStoreScore[store_id],0))</f>
        <v>3.1899999999999998E-2</v>
      </c>
      <c r="F81" s="13">
        <f>INDEX(tblModelStoreScore[discount_leak_pct_last6],MATCH(63,tblModelStoreScore[store_id],0))</f>
        <v>6.3899999999999998E-2</v>
      </c>
      <c r="G81" s="13">
        <f>INDEX(tblModelStoreScore[revenue_growth_pct],MATCH(63,tblModelStoreScore[store_id],0))</f>
        <v>0.2656</v>
      </c>
      <c r="H81" s="22">
        <f t="shared" si="16"/>
        <v>50.439882697947247</v>
      </c>
      <c r="I81" s="22">
        <f t="shared" si="17"/>
        <v>12.5</v>
      </c>
      <c r="J81" s="22">
        <f t="shared" si="18"/>
        <v>67.932489451476798</v>
      </c>
      <c r="K81" s="22">
        <f t="shared" si="19"/>
        <v>41.091954022988517</v>
      </c>
      <c r="L81" s="22">
        <f t="shared" si="20"/>
        <v>36.187760135655935</v>
      </c>
      <c r="M81" s="23">
        <f t="shared" si="21"/>
        <v>41.626031816693406</v>
      </c>
      <c r="N81">
        <f t="shared" si="22"/>
        <v>89</v>
      </c>
      <c r="O81" t="str">
        <f t="shared" si="23"/>
        <v/>
      </c>
    </row>
    <row r="82" spans="1:15" x14ac:dyDescent="0.3">
      <c r="A82" t="str">
        <f>INDEX(tblModelStoreScore[store_name],MATCH(73,tblModelStoreScore[store_id],0))</f>
        <v>Nova Retail - Ludhiana Standard</v>
      </c>
      <c r="B82" t="str">
        <f>INDEX(tblModelStoreScore[region_name],MATCH(73,tblModelStoreScore[store_id],0))</f>
        <v>Punjab-Haryana</v>
      </c>
      <c r="C82" s="13">
        <f>INDEX(tblModelStoreScore[margin_pct_last6],MATCH(73,tblModelStoreScore[store_id],0))</f>
        <v>0.1726</v>
      </c>
      <c r="D82" s="13">
        <f>INDEX(tblModelStoreScore[margin_trend_pp],MATCH(73,tblModelStoreScore[store_id],0))</f>
        <v>0.02</v>
      </c>
      <c r="E82" s="13">
        <f>INDEX(tblModelStoreScore[return_rate_last6],MATCH(73,tblModelStoreScore[store_id],0))</f>
        <v>3.2300000000000002E-2</v>
      </c>
      <c r="F82" s="13">
        <f>INDEX(tblModelStoreScore[discount_leak_pct_last6],MATCH(73,tblModelStoreScore[store_id],0))</f>
        <v>5.4399999999999997E-2</v>
      </c>
      <c r="G82" s="13">
        <f>INDEX(tblModelStoreScore[revenue_growth_pct],MATCH(73,tblModelStoreScore[store_id],0))</f>
        <v>0.40129999999999999</v>
      </c>
      <c r="H82" s="22">
        <f t="shared" si="16"/>
        <v>38.709677419354868</v>
      </c>
      <c r="I82" s="22">
        <f t="shared" si="17"/>
        <v>12.5</v>
      </c>
      <c r="J82" s="22">
        <f t="shared" si="18"/>
        <v>67.088607594936718</v>
      </c>
      <c r="K82" s="22">
        <f t="shared" si="19"/>
        <v>68.390804597701162</v>
      </c>
      <c r="L82" s="22">
        <f t="shared" si="20"/>
        <v>46.647140434715581</v>
      </c>
      <c r="M82" s="23">
        <f t="shared" si="21"/>
        <v>43.078959477920534</v>
      </c>
      <c r="N82">
        <f t="shared" si="22"/>
        <v>86</v>
      </c>
      <c r="O82" t="str">
        <f t="shared" si="23"/>
        <v/>
      </c>
    </row>
    <row r="83" spans="1:15" x14ac:dyDescent="0.3">
      <c r="A83" t="str">
        <f>INDEX(tblModelStoreScore[store_name],MATCH(81,tblModelStoreScore[store_id],0))</f>
        <v>Nova Retail - Madurai Compact</v>
      </c>
      <c r="B83" t="str">
        <f>INDEX(tblModelStoreScore[region_name],MATCH(81,tblModelStoreScore[store_id],0))</f>
        <v>Tamil Nadu</v>
      </c>
      <c r="C83" s="13">
        <f>INDEX(tblModelStoreScore[margin_pct_last6],MATCH(81,tblModelStoreScore[store_id],0))</f>
        <v>0.1784</v>
      </c>
      <c r="D83" s="13">
        <f>INDEX(tblModelStoreScore[margin_trend_pp],MATCH(81,tblModelStoreScore[store_id],0))</f>
        <v>0.04</v>
      </c>
      <c r="E83" s="13">
        <f>INDEX(tblModelStoreScore[return_rate_last6],MATCH(81,tblModelStoreScore[store_id],0))</f>
        <v>3.2000000000000001E-2</v>
      </c>
      <c r="F83" s="13">
        <f>INDEX(tblModelStoreScore[discount_leak_pct_last6],MATCH(81,tblModelStoreScore[store_id],0))</f>
        <v>5.79E-2</v>
      </c>
      <c r="G83" s="13">
        <f>INDEX(tblModelStoreScore[revenue_growth_pct],MATCH(81,tblModelStoreScore[store_id],0))</f>
        <v>-4.7899999999999998E-2</v>
      </c>
      <c r="H83" s="22">
        <f t="shared" si="16"/>
        <v>55.718475073313797</v>
      </c>
      <c r="I83" s="22">
        <f t="shared" si="17"/>
        <v>37.5</v>
      </c>
      <c r="J83" s="22">
        <f t="shared" si="18"/>
        <v>67.721518987341781</v>
      </c>
      <c r="K83" s="22">
        <f t="shared" si="19"/>
        <v>58.333333333333336</v>
      </c>
      <c r="L83" s="22">
        <f t="shared" si="20"/>
        <v>12.024048096192386</v>
      </c>
      <c r="M83" s="23">
        <f t="shared" si="21"/>
        <v>49.587251129081736</v>
      </c>
      <c r="N83">
        <f t="shared" si="22"/>
        <v>53</v>
      </c>
      <c r="O83" t="str">
        <f t="shared" si="23"/>
        <v/>
      </c>
    </row>
    <row r="84" spans="1:15" x14ac:dyDescent="0.3">
      <c r="A84" t="str">
        <f>INDEX(tblModelStoreScore[store_name],MATCH(15,tblModelStoreScore[store_id],0))</f>
        <v>Nova Retail - Madurai Standard</v>
      </c>
      <c r="B84" t="str">
        <f>INDEX(tblModelStoreScore[region_name],MATCH(15,tblModelStoreScore[store_id],0))</f>
        <v>Tamil Nadu</v>
      </c>
      <c r="C84" s="13">
        <f>INDEX(tblModelStoreScore[margin_pct_last6],MATCH(15,tblModelStoreScore[store_id],0))</f>
        <v>0.16980000000000001</v>
      </c>
      <c r="D84" s="13">
        <f>INDEX(tblModelStoreScore[margin_trend_pp],MATCH(15,tblModelStoreScore[store_id],0))</f>
        <v>0.04</v>
      </c>
      <c r="E84" s="13">
        <f>INDEX(tblModelStoreScore[return_rate_last6],MATCH(15,tblModelStoreScore[store_id],0))</f>
        <v>3.5200000000000002E-2</v>
      </c>
      <c r="F84" s="13">
        <f>INDEX(tblModelStoreScore[discount_leak_pct_last6],MATCH(15,tblModelStoreScore[store_id],0))</f>
        <v>4.9299999999999997E-2</v>
      </c>
      <c r="G84" s="13">
        <f>INDEX(tblModelStoreScore[revenue_growth_pct],MATCH(15,tblModelStoreScore[store_id],0))</f>
        <v>0.44779999999999998</v>
      </c>
      <c r="H84" s="22">
        <f t="shared" si="16"/>
        <v>30.49853372434022</v>
      </c>
      <c r="I84" s="22">
        <f t="shared" si="17"/>
        <v>37.5</v>
      </c>
      <c r="J84" s="22">
        <f t="shared" si="18"/>
        <v>60.970464135021096</v>
      </c>
      <c r="K84" s="22">
        <f t="shared" si="19"/>
        <v>83.045977011494259</v>
      </c>
      <c r="L84" s="22">
        <f t="shared" si="20"/>
        <v>50.231231694157543</v>
      </c>
      <c r="M84" s="23">
        <f t="shared" si="21"/>
        <v>48.198672665446182</v>
      </c>
      <c r="N84">
        <f t="shared" si="22"/>
        <v>58</v>
      </c>
      <c r="O84" t="str">
        <f t="shared" si="23"/>
        <v/>
      </c>
    </row>
    <row r="85" spans="1:15" x14ac:dyDescent="0.3">
      <c r="A85" t="str">
        <f>INDEX(tblModelStoreScore[store_name],MATCH(31,tblModelStoreScore[store_id],0))</f>
        <v>Nova Retail - Madurai Standard</v>
      </c>
      <c r="B85" t="str">
        <f>INDEX(tblModelStoreScore[region_name],MATCH(31,tblModelStoreScore[store_id],0))</f>
        <v>Tamil Nadu</v>
      </c>
      <c r="C85" s="13">
        <f>INDEX(tblModelStoreScore[margin_pct_last6],MATCH(31,tblModelStoreScore[store_id],0))</f>
        <v>0.1857</v>
      </c>
      <c r="D85" s="13">
        <f>INDEX(tblModelStoreScore[margin_trend_pp],MATCH(31,tblModelStoreScore[store_id],0))</f>
        <v>0.04</v>
      </c>
      <c r="E85" s="13">
        <f>INDEX(tblModelStoreScore[return_rate_last6],MATCH(31,tblModelStoreScore[store_id],0))</f>
        <v>3.9399999999999998E-2</v>
      </c>
      <c r="F85" s="13">
        <f>INDEX(tblModelStoreScore[discount_leak_pct_last6],MATCH(31,tblModelStoreScore[store_id],0))</f>
        <v>6.0600000000000001E-2</v>
      </c>
      <c r="G85" s="13">
        <f>INDEX(tblModelStoreScore[revenue_growth_pct],MATCH(31,tblModelStoreScore[store_id],0))</f>
        <v>1.55E-2</v>
      </c>
      <c r="H85" s="22">
        <f t="shared" si="16"/>
        <v>77.126099706744881</v>
      </c>
      <c r="I85" s="22">
        <f t="shared" si="17"/>
        <v>37.5</v>
      </c>
      <c r="J85" s="22">
        <f t="shared" si="18"/>
        <v>52.10970464135022</v>
      </c>
      <c r="K85" s="22">
        <f t="shared" si="19"/>
        <v>50.574712643678168</v>
      </c>
      <c r="L85" s="22">
        <f t="shared" si="20"/>
        <v>16.91074456605519</v>
      </c>
      <c r="M85" s="23">
        <f t="shared" si="21"/>
        <v>52.212052193450752</v>
      </c>
      <c r="N85">
        <f t="shared" si="22"/>
        <v>39</v>
      </c>
      <c r="O85" t="str">
        <f t="shared" si="23"/>
        <v/>
      </c>
    </row>
    <row r="86" spans="1:15" x14ac:dyDescent="0.3">
      <c r="A86" t="str">
        <f>INDEX(tblModelStoreScore[store_name],MATCH(85,tblModelStoreScore[store_id],0))</f>
        <v>Nova Retail - Madurai Standard</v>
      </c>
      <c r="B86" t="str">
        <f>INDEX(tblModelStoreScore[region_name],MATCH(85,tblModelStoreScore[store_id],0))</f>
        <v>Tamil Nadu</v>
      </c>
      <c r="C86" s="13">
        <f>INDEX(tblModelStoreScore[margin_pct_last6],MATCH(85,tblModelStoreScore[store_id],0))</f>
        <v>0.17430000000000001</v>
      </c>
      <c r="D86" s="13">
        <f>INDEX(tblModelStoreScore[margin_trend_pp],MATCH(85,tblModelStoreScore[store_id],0))</f>
        <v>0.08</v>
      </c>
      <c r="E86" s="13">
        <f>INDEX(tblModelStoreScore[return_rate_last6],MATCH(85,tblModelStoreScore[store_id],0))</f>
        <v>2.93E-2</v>
      </c>
      <c r="F86" s="13">
        <f>INDEX(tblModelStoreScore[discount_leak_pct_last6],MATCH(85,tblModelStoreScore[store_id],0))</f>
        <v>5.5300000000000002E-2</v>
      </c>
      <c r="G86" s="13">
        <f>INDEX(tblModelStoreScore[revenue_growth_pct],MATCH(85,tblModelStoreScore[store_id],0))</f>
        <v>0.38829999999999998</v>
      </c>
      <c r="H86" s="22">
        <f t="shared" si="16"/>
        <v>43.695014662756641</v>
      </c>
      <c r="I86" s="22">
        <f t="shared" si="17"/>
        <v>87.500000000000014</v>
      </c>
      <c r="J86" s="22">
        <f t="shared" si="18"/>
        <v>73.417721518987349</v>
      </c>
      <c r="K86" s="22">
        <f t="shared" si="19"/>
        <v>65.804597701149419</v>
      </c>
      <c r="L86" s="22">
        <f t="shared" si="20"/>
        <v>45.645136426699551</v>
      </c>
      <c r="M86" s="23">
        <f t="shared" si="21"/>
        <v>64.102252000466834</v>
      </c>
      <c r="N86">
        <f t="shared" si="22"/>
        <v>11</v>
      </c>
      <c r="O86" t="str">
        <f t="shared" si="23"/>
        <v/>
      </c>
    </row>
    <row r="87" spans="1:15" x14ac:dyDescent="0.3">
      <c r="A87" t="str">
        <f>INDEX(tblModelStoreScore[store_name],MATCH(112,tblModelStoreScore[store_id],0))</f>
        <v>Nova Retail - Madurai Standard</v>
      </c>
      <c r="B87" t="str">
        <f>INDEX(tblModelStoreScore[region_name],MATCH(112,tblModelStoreScore[store_id],0))</f>
        <v>Tamil Nadu</v>
      </c>
      <c r="C87" s="13">
        <f>INDEX(tblModelStoreScore[margin_pct_last6],MATCH(112,tblModelStoreScore[store_id],0))</f>
        <v>0.16819999999999999</v>
      </c>
      <c r="D87" s="13">
        <f>INDEX(tblModelStoreScore[margin_trend_pp],MATCH(112,tblModelStoreScore[store_id],0))</f>
        <v>0.03</v>
      </c>
      <c r="E87" s="13">
        <f>INDEX(tblModelStoreScore[return_rate_last6],MATCH(112,tblModelStoreScore[store_id],0))</f>
        <v>2.6200000000000001E-2</v>
      </c>
      <c r="F87" s="13">
        <f>INDEX(tblModelStoreScore[discount_leak_pct_last6],MATCH(112,tblModelStoreScore[store_id],0))</f>
        <v>6.2100000000000002E-2</v>
      </c>
      <c r="G87" s="13">
        <f>INDEX(tblModelStoreScore[revenue_growth_pct],MATCH(112,tblModelStoreScore[store_id],0))</f>
        <v>0.72540000000000004</v>
      </c>
      <c r="H87" s="22">
        <f t="shared" si="16"/>
        <v>25.806451612903221</v>
      </c>
      <c r="I87" s="22">
        <f t="shared" si="17"/>
        <v>24.999999999999993</v>
      </c>
      <c r="J87" s="22">
        <f t="shared" si="18"/>
        <v>79.957805907172997</v>
      </c>
      <c r="K87" s="22">
        <f t="shared" si="19"/>
        <v>46.264367816091955</v>
      </c>
      <c r="L87" s="22">
        <f t="shared" si="20"/>
        <v>71.627871126869124</v>
      </c>
      <c r="M87" s="23">
        <f t="shared" si="21"/>
        <v>44.085938950406273</v>
      </c>
      <c r="N87">
        <f t="shared" si="22"/>
        <v>79</v>
      </c>
      <c r="O87" t="str">
        <f t="shared" si="23"/>
        <v/>
      </c>
    </row>
    <row r="88" spans="1:15" x14ac:dyDescent="0.3">
      <c r="A88" t="str">
        <f>INDEX(tblModelStoreScore[store_name],MATCH(119,tblModelStoreScore[store_id],0))</f>
        <v>Nova Retail - Madurai Standard</v>
      </c>
      <c r="B88" t="str">
        <f>INDEX(tblModelStoreScore[region_name],MATCH(119,tblModelStoreScore[store_id],0))</f>
        <v>Tamil Nadu</v>
      </c>
      <c r="C88" s="13">
        <f>INDEX(tblModelStoreScore[margin_pct_last6],MATCH(119,tblModelStoreScore[store_id],0))</f>
        <v>0.1706</v>
      </c>
      <c r="D88" s="13">
        <f>INDEX(tblModelStoreScore[margin_trend_pp],MATCH(119,tblModelStoreScore[store_id],0))</f>
        <v>0.03</v>
      </c>
      <c r="E88" s="13">
        <f>INDEX(tblModelStoreScore[return_rate_last6],MATCH(119,tblModelStoreScore[store_id],0))</f>
        <v>4.1300000000000003E-2</v>
      </c>
      <c r="F88" s="13">
        <f>INDEX(tblModelStoreScore[discount_leak_pct_last6],MATCH(119,tblModelStoreScore[store_id],0))</f>
        <v>6.5100000000000005E-2</v>
      </c>
      <c r="G88" s="13">
        <f>INDEX(tblModelStoreScore[revenue_growth_pct],MATCH(119,tblModelStoreScore[store_id],0))</f>
        <v>0.54139999999999999</v>
      </c>
      <c r="H88" s="22">
        <f t="shared" si="16"/>
        <v>32.844574780058679</v>
      </c>
      <c r="I88" s="22">
        <f t="shared" si="17"/>
        <v>24.999999999999993</v>
      </c>
      <c r="J88" s="22">
        <f t="shared" si="18"/>
        <v>48.101265822784804</v>
      </c>
      <c r="K88" s="22">
        <f t="shared" si="19"/>
        <v>37.643678160919535</v>
      </c>
      <c r="L88" s="22">
        <f t="shared" si="20"/>
        <v>57.445660551872976</v>
      </c>
      <c r="M88" s="23">
        <f t="shared" si="21"/>
        <v>37.114743377899792</v>
      </c>
      <c r="N88">
        <f t="shared" si="22"/>
        <v>108</v>
      </c>
      <c r="O88" t="str">
        <f t="shared" si="23"/>
        <v>Priority Intervention</v>
      </c>
    </row>
    <row r="89" spans="1:15" x14ac:dyDescent="0.3">
      <c r="A89" t="str">
        <f>INDEX(tblModelStoreScore[store_name],MATCH(46,tblModelStoreScore[store_id],0))</f>
        <v>Nova Retail - Mangaluru Compact</v>
      </c>
      <c r="B89" t="str">
        <f>INDEX(tblModelStoreScore[region_name],MATCH(46,tblModelStoreScore[store_id],0))</f>
        <v>Karnataka</v>
      </c>
      <c r="C89" s="13">
        <f>INDEX(tblModelStoreScore[margin_pct_last6],MATCH(46,tblModelStoreScore[store_id],0))</f>
        <v>0.17299999999999999</v>
      </c>
      <c r="D89" s="13">
        <f>INDEX(tblModelStoreScore[margin_trend_pp],MATCH(46,tblModelStoreScore[store_id],0))</f>
        <v>7.0000000000000007E-2</v>
      </c>
      <c r="E89" s="13">
        <f>INDEX(tblModelStoreScore[return_rate_last6],MATCH(46,tblModelStoreScore[store_id],0))</f>
        <v>4.2099999999999999E-2</v>
      </c>
      <c r="F89" s="13">
        <f>INDEX(tblModelStoreScore[discount_leak_pct_last6],MATCH(46,tblModelStoreScore[store_id],0))</f>
        <v>6.8199999999999997E-2</v>
      </c>
      <c r="G89" s="13">
        <f>INDEX(tblModelStoreScore[revenue_growth_pct],MATCH(46,tblModelStoreScore[store_id],0))</f>
        <v>-1.3100000000000001E-2</v>
      </c>
      <c r="H89" s="22">
        <f t="shared" si="16"/>
        <v>39.882697947214055</v>
      </c>
      <c r="I89" s="22">
        <f t="shared" si="17"/>
        <v>75</v>
      </c>
      <c r="J89" s="22">
        <f t="shared" si="18"/>
        <v>46.413502109704645</v>
      </c>
      <c r="K89" s="22">
        <f t="shared" si="19"/>
        <v>28.735632183908066</v>
      </c>
      <c r="L89" s="22">
        <f t="shared" si="20"/>
        <v>14.706335748419919</v>
      </c>
      <c r="M89" s="23">
        <f t="shared" si="21"/>
        <v>45.778488208533339</v>
      </c>
      <c r="N89">
        <f t="shared" si="22"/>
        <v>67</v>
      </c>
      <c r="O89" t="str">
        <f t="shared" si="23"/>
        <v/>
      </c>
    </row>
    <row r="90" spans="1:15" x14ac:dyDescent="0.3">
      <c r="A90" t="str">
        <f>INDEX(tblModelStoreScore[store_name],MATCH(56,tblModelStoreScore[store_id],0))</f>
        <v>Nova Retail - Mangaluru Standard</v>
      </c>
      <c r="B90" t="str">
        <f>INDEX(tblModelStoreScore[region_name],MATCH(56,tblModelStoreScore[store_id],0))</f>
        <v>Karnataka</v>
      </c>
      <c r="C90" s="13">
        <f>INDEX(tblModelStoreScore[margin_pct_last6],MATCH(56,tblModelStoreScore[store_id],0))</f>
        <v>0.17899999999999999</v>
      </c>
      <c r="D90" s="13">
        <f>INDEX(tblModelStoreScore[margin_trend_pp],MATCH(56,tblModelStoreScore[store_id],0))</f>
        <v>0.03</v>
      </c>
      <c r="E90" s="13">
        <f>INDEX(tblModelStoreScore[return_rate_last6],MATCH(56,tblModelStoreScore[store_id],0))</f>
        <v>2.0199999999999999E-2</v>
      </c>
      <c r="F90" s="13">
        <f>INDEX(tblModelStoreScore[discount_leak_pct_last6],MATCH(56,tblModelStoreScore[store_id],0))</f>
        <v>5.2200000000000003E-2</v>
      </c>
      <c r="G90" s="13">
        <f>INDEX(tblModelStoreScore[revenue_growth_pct],MATCH(56,tblModelStoreScore[store_id],0))</f>
        <v>0.25569999999999998</v>
      </c>
      <c r="H90" s="22">
        <f t="shared" si="16"/>
        <v>57.478005865102624</v>
      </c>
      <c r="I90" s="22">
        <f t="shared" si="17"/>
        <v>24.999999999999993</v>
      </c>
      <c r="J90" s="22">
        <f t="shared" si="18"/>
        <v>92.616033755274273</v>
      </c>
      <c r="K90" s="22">
        <f t="shared" si="19"/>
        <v>74.712643678160916</v>
      </c>
      <c r="L90" s="22">
        <f t="shared" si="20"/>
        <v>35.424695544936029</v>
      </c>
      <c r="M90" s="23">
        <f t="shared" si="21"/>
        <v>56.765974616803376</v>
      </c>
      <c r="N90">
        <f t="shared" si="22"/>
        <v>27</v>
      </c>
      <c r="O90" t="str">
        <f t="shared" si="23"/>
        <v/>
      </c>
    </row>
    <row r="91" spans="1:15" x14ac:dyDescent="0.3">
      <c r="A91" t="str">
        <f>INDEX(tblModelStoreScore[store_name],MATCH(45,tblModelStoreScore[store_id],0))</f>
        <v>Nova Retail - Mumbai Compact</v>
      </c>
      <c r="B91" t="str">
        <f>INDEX(tblModelStoreScore[region_name],MATCH(45,tblModelStoreScore[store_id],0))</f>
        <v>Maharashtra</v>
      </c>
      <c r="C91" s="13">
        <f>INDEX(tblModelStoreScore[margin_pct_last6],MATCH(45,tblModelStoreScore[store_id],0))</f>
        <v>0.17519999999999999</v>
      </c>
      <c r="D91" s="13">
        <f>INDEX(tblModelStoreScore[margin_trend_pp],MATCH(45,tblModelStoreScore[store_id],0))</f>
        <v>0.05</v>
      </c>
      <c r="E91" s="13">
        <f>INDEX(tblModelStoreScore[return_rate_last6],MATCH(45,tblModelStoreScore[store_id],0))</f>
        <v>3.5999999999999997E-2</v>
      </c>
      <c r="F91" s="13">
        <f>INDEX(tblModelStoreScore[discount_leak_pct_last6],MATCH(45,tblModelStoreScore[store_id],0))</f>
        <v>5.8000000000000003E-2</v>
      </c>
      <c r="G91" s="13">
        <f>INDEX(tblModelStoreScore[revenue_growth_pct],MATCH(45,tblModelStoreScore[store_id],0))</f>
        <v>0.43380000000000002</v>
      </c>
      <c r="H91" s="22">
        <f t="shared" si="16"/>
        <v>46.334310850439877</v>
      </c>
      <c r="I91" s="22">
        <f t="shared" si="17"/>
        <v>50</v>
      </c>
      <c r="J91" s="22">
        <f t="shared" si="18"/>
        <v>59.282700421940937</v>
      </c>
      <c r="K91" s="22">
        <f t="shared" si="19"/>
        <v>58.045977011494251</v>
      </c>
      <c r="L91" s="22">
        <f t="shared" si="20"/>
        <v>49.15215045475567</v>
      </c>
      <c r="M91" s="23">
        <f t="shared" si="21"/>
        <v>51.878944936719854</v>
      </c>
      <c r="N91">
        <f t="shared" si="22"/>
        <v>42</v>
      </c>
      <c r="O91" t="str">
        <f t="shared" si="23"/>
        <v/>
      </c>
    </row>
    <row r="92" spans="1:15" x14ac:dyDescent="0.3">
      <c r="A92" t="str">
        <f>INDEX(tblModelStoreScore[store_name],MATCH(25,tblModelStoreScore[store_id],0))</f>
        <v>Nova Retail - Mumbai Flagship</v>
      </c>
      <c r="B92" t="str">
        <f>INDEX(tblModelStoreScore[region_name],MATCH(25,tblModelStoreScore[store_id],0))</f>
        <v>Maharashtra</v>
      </c>
      <c r="C92" s="13">
        <f>INDEX(tblModelStoreScore[margin_pct_last6],MATCH(25,tblModelStoreScore[store_id],0))</f>
        <v>0.17269999999999999</v>
      </c>
      <c r="D92" s="13">
        <f>INDEX(tblModelStoreScore[margin_trend_pp],MATCH(25,tblModelStoreScore[store_id],0))</f>
        <v>0.04</v>
      </c>
      <c r="E92" s="13">
        <f>INDEX(tblModelStoreScore[return_rate_last6],MATCH(25,tblModelStoreScore[store_id],0))</f>
        <v>3.3399999999999999E-2</v>
      </c>
      <c r="F92" s="13">
        <f>INDEX(tblModelStoreScore[discount_leak_pct_last6],MATCH(25,tblModelStoreScore[store_id],0))</f>
        <v>6.0299999999999999E-2</v>
      </c>
      <c r="G92" s="13">
        <f>INDEX(tblModelStoreScore[revenue_growth_pct],MATCH(25,tblModelStoreScore[store_id],0))</f>
        <v>0.29149999999999998</v>
      </c>
      <c r="H92" s="22">
        <f t="shared" si="16"/>
        <v>39.002932551319645</v>
      </c>
      <c r="I92" s="22">
        <f t="shared" si="17"/>
        <v>37.5</v>
      </c>
      <c r="J92" s="22">
        <f t="shared" si="18"/>
        <v>64.767932489451482</v>
      </c>
      <c r="K92" s="22">
        <f t="shared" si="19"/>
        <v>51.436781609195414</v>
      </c>
      <c r="L92" s="22">
        <f t="shared" si="20"/>
        <v>38.184060428549401</v>
      </c>
      <c r="M92" s="23">
        <f t="shared" si="21"/>
        <v>45.563389547520437</v>
      </c>
      <c r="N92">
        <f t="shared" si="22"/>
        <v>69</v>
      </c>
      <c r="O92" t="str">
        <f t="shared" si="23"/>
        <v/>
      </c>
    </row>
    <row r="93" spans="1:15" x14ac:dyDescent="0.3">
      <c r="A93" t="str">
        <f>INDEX(tblModelStoreScore[store_name],MATCH(13,tblModelStoreScore[store_id],0))</f>
        <v>Nova Retail - Mumbai Standard</v>
      </c>
      <c r="B93" t="str">
        <f>INDEX(tblModelStoreScore[region_name],MATCH(13,tblModelStoreScore[store_id],0))</f>
        <v>Maharashtra</v>
      </c>
      <c r="C93" s="13">
        <f>INDEX(tblModelStoreScore[margin_pct_last6],MATCH(13,tblModelStoreScore[store_id],0))</f>
        <v>0.16930000000000001</v>
      </c>
      <c r="D93" s="13">
        <f>INDEX(tblModelStoreScore[margin_trend_pp],MATCH(13,tblModelStoreScore[store_id],0))</f>
        <v>0.03</v>
      </c>
      <c r="E93" s="13">
        <f>INDEX(tblModelStoreScore[return_rate_last6],MATCH(13,tblModelStoreScore[store_id],0))</f>
        <v>4.4699999999999997E-2</v>
      </c>
      <c r="F93" s="13">
        <f>INDEX(tblModelStoreScore[discount_leak_pct_last6],MATCH(13,tblModelStoreScore[store_id],0))</f>
        <v>6.7199999999999996E-2</v>
      </c>
      <c r="G93" s="13">
        <f>INDEX(tblModelStoreScore[revenue_growth_pct],MATCH(13,tblModelStoreScore[store_id],0))</f>
        <v>0.22420000000000001</v>
      </c>
      <c r="H93" s="22">
        <f t="shared" si="16"/>
        <v>29.032258064516171</v>
      </c>
      <c r="I93" s="22">
        <f t="shared" si="17"/>
        <v>24.999999999999993</v>
      </c>
      <c r="J93" s="22">
        <f t="shared" si="18"/>
        <v>40.9282700421941</v>
      </c>
      <c r="K93" s="22">
        <f t="shared" si="19"/>
        <v>31.609195402298873</v>
      </c>
      <c r="L93" s="22">
        <f t="shared" si="20"/>
        <v>32.996762756281797</v>
      </c>
      <c r="M93" s="23">
        <f t="shared" si="21"/>
        <v>31.186387013766684</v>
      </c>
      <c r="N93">
        <f t="shared" si="22"/>
        <v>115</v>
      </c>
      <c r="O93" t="str">
        <f t="shared" si="23"/>
        <v>Priority Intervention</v>
      </c>
    </row>
    <row r="94" spans="1:15" x14ac:dyDescent="0.3">
      <c r="A94" t="str">
        <f>INDEX(tblModelStoreScore[store_name],MATCH(101,tblModelStoreScore[store_id],0))</f>
        <v>Nova Retail - Mysuru Standard</v>
      </c>
      <c r="B94" t="str">
        <f>INDEX(tblModelStoreScore[region_name],MATCH(101,tblModelStoreScore[store_id],0))</f>
        <v>Karnataka</v>
      </c>
      <c r="C94" s="13">
        <f>INDEX(tblModelStoreScore[margin_pct_last6],MATCH(101,tblModelStoreScore[store_id],0))</f>
        <v>0.1673</v>
      </c>
      <c r="D94" s="13">
        <f>INDEX(tblModelStoreScore[margin_trend_pp],MATCH(101,tblModelStoreScore[store_id],0))</f>
        <v>0.03</v>
      </c>
      <c r="E94" s="13">
        <f>INDEX(tblModelStoreScore[return_rate_last6],MATCH(101,tblModelStoreScore[store_id],0))</f>
        <v>2.0400000000000001E-2</v>
      </c>
      <c r="F94" s="13">
        <f>INDEX(tblModelStoreScore[discount_leak_pct_last6],MATCH(101,tblModelStoreScore[store_id],0))</f>
        <v>7.1499999999999994E-2</v>
      </c>
      <c r="G94" s="13">
        <f>INDEX(tblModelStoreScore[revenue_growth_pct],MATCH(101,tblModelStoreScore[store_id],0))</f>
        <v>0.33019999999999999</v>
      </c>
      <c r="H94" s="22">
        <f t="shared" si="16"/>
        <v>23.167155425219981</v>
      </c>
      <c r="I94" s="22">
        <f t="shared" si="17"/>
        <v>24.999999999999993</v>
      </c>
      <c r="J94" s="22">
        <f t="shared" si="18"/>
        <v>92.194092827004212</v>
      </c>
      <c r="K94" s="22">
        <f t="shared" si="19"/>
        <v>19.252873563218419</v>
      </c>
      <c r="L94" s="22">
        <f t="shared" si="20"/>
        <v>41.166949283181751</v>
      </c>
      <c r="M94" s="23">
        <f t="shared" si="21"/>
        <v>38.643591155767773</v>
      </c>
      <c r="N94">
        <f t="shared" si="22"/>
        <v>103</v>
      </c>
      <c r="O94" t="str">
        <f t="shared" si="23"/>
        <v>Priority Intervention</v>
      </c>
    </row>
    <row r="95" spans="1:15" x14ac:dyDescent="0.3">
      <c r="A95" t="str">
        <f>INDEX(tblModelStoreScore[store_name],MATCH(48,tblModelStoreScore[store_id],0))</f>
        <v>Nova Retail - Nagpur Compact</v>
      </c>
      <c r="B95" t="str">
        <f>INDEX(tblModelStoreScore[region_name],MATCH(48,tblModelStoreScore[store_id],0))</f>
        <v>Maharashtra</v>
      </c>
      <c r="C95" s="13">
        <f>INDEX(tblModelStoreScore[margin_pct_last6],MATCH(48,tblModelStoreScore[store_id],0))</f>
        <v>0.18190000000000001</v>
      </c>
      <c r="D95" s="13">
        <f>INDEX(tblModelStoreScore[margin_trend_pp],MATCH(48,tblModelStoreScore[store_id],0))</f>
        <v>0.06</v>
      </c>
      <c r="E95" s="13">
        <f>INDEX(tblModelStoreScore[return_rate_last6],MATCH(48,tblModelStoreScore[store_id],0))</f>
        <v>1.67E-2</v>
      </c>
      <c r="F95" s="13">
        <f>INDEX(tblModelStoreScore[discount_leak_pct_last6],MATCH(48,tblModelStoreScore[store_id],0))</f>
        <v>5.6300000000000003E-2</v>
      </c>
      <c r="G95" s="13">
        <f>INDEX(tblModelStoreScore[revenue_growth_pct],MATCH(48,tblModelStoreScore[store_id],0))</f>
        <v>0.42570000000000002</v>
      </c>
      <c r="H95" s="22">
        <f t="shared" si="16"/>
        <v>65.982404692082127</v>
      </c>
      <c r="I95" s="22">
        <f t="shared" si="17"/>
        <v>62.499999999999986</v>
      </c>
      <c r="J95" s="22">
        <f t="shared" si="18"/>
        <v>100</v>
      </c>
      <c r="K95" s="22">
        <f t="shared" si="19"/>
        <v>62.931034482758619</v>
      </c>
      <c r="L95" s="22">
        <f t="shared" si="20"/>
        <v>48.527824880530304</v>
      </c>
      <c r="M95" s="23">
        <f t="shared" si="21"/>
        <v>69.712159068091466</v>
      </c>
      <c r="N95">
        <f t="shared" si="22"/>
        <v>4</v>
      </c>
      <c r="O95" t="str">
        <f t="shared" si="23"/>
        <v/>
      </c>
    </row>
    <row r="96" spans="1:15" x14ac:dyDescent="0.3">
      <c r="A96" t="str">
        <f>INDEX(tblModelStoreScore[store_name],MATCH(86,tblModelStoreScore[store_id],0))</f>
        <v>Nova Retail - Nashik Standard</v>
      </c>
      <c r="B96" t="str">
        <f>INDEX(tblModelStoreScore[region_name],MATCH(86,tblModelStoreScore[store_id],0))</f>
        <v>Maharashtra</v>
      </c>
      <c r="C96" s="13">
        <f>INDEX(tblModelStoreScore[margin_pct_last6],MATCH(86,tblModelStoreScore[store_id],0))</f>
        <v>0.16919999999999999</v>
      </c>
      <c r="D96" s="13">
        <f>INDEX(tblModelStoreScore[margin_trend_pp],MATCH(86,tblModelStoreScore[store_id],0))</f>
        <v>0.03</v>
      </c>
      <c r="E96" s="13">
        <f>INDEX(tblModelStoreScore[return_rate_last6],MATCH(86,tblModelStoreScore[store_id],0))</f>
        <v>2.1999999999999999E-2</v>
      </c>
      <c r="F96" s="13">
        <f>INDEX(tblModelStoreScore[discount_leak_pct_last6],MATCH(86,tblModelStoreScore[store_id],0))</f>
        <v>6.1899999999999997E-2</v>
      </c>
      <c r="G96" s="13">
        <f>INDEX(tblModelStoreScore[revenue_growth_pct],MATCH(86,tblModelStoreScore[store_id],0))</f>
        <v>0.30380000000000001</v>
      </c>
      <c r="H96" s="22">
        <f t="shared" si="16"/>
        <v>28.739002932551312</v>
      </c>
      <c r="I96" s="22">
        <f t="shared" si="17"/>
        <v>24.999999999999993</v>
      </c>
      <c r="J96" s="22">
        <f t="shared" si="18"/>
        <v>88.81856540084388</v>
      </c>
      <c r="K96" s="22">
        <f t="shared" si="19"/>
        <v>46.83908045977013</v>
      </c>
      <c r="L96" s="22">
        <f t="shared" si="20"/>
        <v>39.132110374595349</v>
      </c>
      <c r="M96" s="23">
        <f t="shared" si="21"/>
        <v>43.574487066359225</v>
      </c>
      <c r="N96">
        <f t="shared" si="22"/>
        <v>81</v>
      </c>
      <c r="O96" t="str">
        <f t="shared" si="23"/>
        <v/>
      </c>
    </row>
    <row r="97" spans="1:15" x14ac:dyDescent="0.3">
      <c r="A97" t="str">
        <f>INDEX(tblModelStoreScore[store_name],MATCH(110,tblModelStoreScore[store_id],0))</f>
        <v>Nova Retail - New Delhi Standard</v>
      </c>
      <c r="B97" t="str">
        <f>INDEX(tblModelStoreScore[region_name],MATCH(110,tblModelStoreScore[store_id],0))</f>
        <v>Delhi NCR</v>
      </c>
      <c r="C97" s="13">
        <f>INDEX(tblModelStoreScore[margin_pct_last6],MATCH(110,tblModelStoreScore[store_id],0))</f>
        <v>0.18179999999999999</v>
      </c>
      <c r="D97" s="13">
        <f>INDEX(tblModelStoreScore[margin_trend_pp],MATCH(110,tblModelStoreScore[store_id],0))</f>
        <v>0.08</v>
      </c>
      <c r="E97" s="13">
        <f>INDEX(tblModelStoreScore[return_rate_last6],MATCH(110,tblModelStoreScore[store_id],0))</f>
        <v>4.19E-2</v>
      </c>
      <c r="F97" s="13">
        <f>INDEX(tblModelStoreScore[discount_leak_pct_last6],MATCH(110,tblModelStoreScore[store_id],0))</f>
        <v>5.4100000000000002E-2</v>
      </c>
      <c r="G97" s="13">
        <f>INDEX(tblModelStoreScore[revenue_growth_pct],MATCH(110,tblModelStoreScore[store_id],0))</f>
        <v>0.63239999999999996</v>
      </c>
      <c r="H97" s="22">
        <f t="shared" si="16"/>
        <v>65.689149560117272</v>
      </c>
      <c r="I97" s="22">
        <f t="shared" si="17"/>
        <v>87.500000000000014</v>
      </c>
      <c r="J97" s="22">
        <f t="shared" si="18"/>
        <v>46.835443037974692</v>
      </c>
      <c r="K97" s="22">
        <f t="shared" si="19"/>
        <v>69.252873563218387</v>
      </c>
      <c r="L97" s="22">
        <f t="shared" si="20"/>
        <v>64.4596886079852</v>
      </c>
      <c r="M97" s="23">
        <f t="shared" si="21"/>
        <v>67.782733370911401</v>
      </c>
      <c r="N97">
        <f t="shared" si="22"/>
        <v>6</v>
      </c>
      <c r="O97" t="str">
        <f t="shared" si="23"/>
        <v/>
      </c>
    </row>
    <row r="98" spans="1:15" x14ac:dyDescent="0.3">
      <c r="A98" t="str">
        <f>INDEX(tblModelStoreScore[store_name],MATCH(2,tblModelStoreScore[store_id],0))</f>
        <v>Nova Retail - Noida Flagship</v>
      </c>
      <c r="B98" t="str">
        <f>INDEX(tblModelStoreScore[region_name],MATCH(2,tblModelStoreScore[store_id],0))</f>
        <v>Delhi NCR</v>
      </c>
      <c r="C98" s="13">
        <f>INDEX(tblModelStoreScore[margin_pct_last6],MATCH(2,tblModelStoreScore[store_id],0))</f>
        <v>0.17810000000000001</v>
      </c>
      <c r="D98" s="13">
        <f>INDEX(tblModelStoreScore[margin_trend_pp],MATCH(2,tblModelStoreScore[store_id],0))</f>
        <v>0.03</v>
      </c>
      <c r="E98" s="13">
        <f>INDEX(tblModelStoreScore[return_rate_last6],MATCH(2,tblModelStoreScore[store_id],0))</f>
        <v>4.02E-2</v>
      </c>
      <c r="F98" s="13">
        <f>INDEX(tblModelStoreScore[discount_leak_pct_last6],MATCH(2,tblModelStoreScore[store_id],0))</f>
        <v>5.9200000000000003E-2</v>
      </c>
      <c r="G98" s="13">
        <f>INDEX(tblModelStoreScore[revenue_growth_pct],MATCH(2,tblModelStoreScore[store_id],0))</f>
        <v>0.28110000000000002</v>
      </c>
      <c r="H98" s="22">
        <f t="shared" si="16"/>
        <v>54.838709677419381</v>
      </c>
      <c r="I98" s="22">
        <f t="shared" si="17"/>
        <v>24.999999999999993</v>
      </c>
      <c r="J98" s="22">
        <f t="shared" si="18"/>
        <v>50.421940928270047</v>
      </c>
      <c r="K98" s="22">
        <f t="shared" si="19"/>
        <v>54.597701149425291</v>
      </c>
      <c r="L98" s="22">
        <f t="shared" si="20"/>
        <v>37.382457222136587</v>
      </c>
      <c r="M98" s="23">
        <f t="shared" si="21"/>
        <v>44.713901983507284</v>
      </c>
      <c r="N98">
        <f t="shared" si="22"/>
        <v>75</v>
      </c>
      <c r="O98" t="str">
        <f t="shared" si="23"/>
        <v/>
      </c>
    </row>
    <row r="99" spans="1:15" x14ac:dyDescent="0.3">
      <c r="A99" t="str">
        <f>INDEX(tblModelStoreScore[store_name],MATCH(10,tblModelStoreScore[store_id],0))</f>
        <v>Nova Retail - Pune Standard</v>
      </c>
      <c r="B99" t="str">
        <f>INDEX(tblModelStoreScore[region_name],MATCH(10,tblModelStoreScore[store_id],0))</f>
        <v>Maharashtra</v>
      </c>
      <c r="C99" s="13">
        <f>INDEX(tblModelStoreScore[margin_pct_last6],MATCH(10,tblModelStoreScore[store_id],0))</f>
        <v>0.18140000000000001</v>
      </c>
      <c r="D99" s="13">
        <f>INDEX(tblModelStoreScore[margin_trend_pp],MATCH(10,tblModelStoreScore[store_id],0))</f>
        <v>0.04</v>
      </c>
      <c r="E99" s="13">
        <f>INDEX(tblModelStoreScore[return_rate_last6],MATCH(10,tblModelStoreScore[store_id],0))</f>
        <v>3.1399999999999997E-2</v>
      </c>
      <c r="F99" s="13">
        <f>INDEX(tblModelStoreScore[discount_leak_pct_last6],MATCH(10,tblModelStoreScore[store_id],0))</f>
        <v>5.7000000000000002E-2</v>
      </c>
      <c r="G99" s="13">
        <f>INDEX(tblModelStoreScore[revenue_growth_pct],MATCH(10,tblModelStoreScore[store_id],0))</f>
        <v>0.22109999999999999</v>
      </c>
      <c r="H99" s="22">
        <f t="shared" si="16"/>
        <v>64.516129032258078</v>
      </c>
      <c r="I99" s="22">
        <f t="shared" si="17"/>
        <v>37.5</v>
      </c>
      <c r="J99" s="22">
        <f t="shared" si="18"/>
        <v>68.987341772151908</v>
      </c>
      <c r="K99" s="22">
        <f t="shared" si="19"/>
        <v>60.919540229885058</v>
      </c>
      <c r="L99" s="22">
        <f t="shared" si="20"/>
        <v>32.757823338985666</v>
      </c>
      <c r="M99" s="23">
        <f t="shared" si="21"/>
        <v>54.941020432489132</v>
      </c>
      <c r="N99">
        <f t="shared" si="22"/>
        <v>32</v>
      </c>
      <c r="O99" t="str">
        <f t="shared" si="23"/>
        <v/>
      </c>
    </row>
    <row r="100" spans="1:15" x14ac:dyDescent="0.3">
      <c r="A100" t="str">
        <f>INDEX(tblModelStoreScore[store_name],MATCH(18,tblModelStoreScore[store_id],0))</f>
        <v>Nova Retail - Rajkot Compact</v>
      </c>
      <c r="B100" t="str">
        <f>INDEX(tblModelStoreScore[region_name],MATCH(18,tblModelStoreScore[store_id],0))</f>
        <v>Gujarat</v>
      </c>
      <c r="C100" s="13">
        <f>INDEX(tblModelStoreScore[margin_pct_last6],MATCH(18,tblModelStoreScore[store_id],0))</f>
        <v>0.1923</v>
      </c>
      <c r="D100" s="13">
        <f>INDEX(tblModelStoreScore[margin_trend_pp],MATCH(18,tblModelStoreScore[store_id],0))</f>
        <v>0.09</v>
      </c>
      <c r="E100" s="13">
        <f>INDEX(tblModelStoreScore[return_rate_last6],MATCH(18,tblModelStoreScore[store_id],0))</f>
        <v>6.4100000000000004E-2</v>
      </c>
      <c r="F100" s="13">
        <f>INDEX(tblModelStoreScore[discount_leak_pct_last6],MATCH(18,tblModelStoreScore[store_id],0))</f>
        <v>4.36E-2</v>
      </c>
      <c r="G100" s="13">
        <f>INDEX(tblModelStoreScore[revenue_growth_pct],MATCH(18,tblModelStoreScore[store_id],0))</f>
        <v>0.2402</v>
      </c>
      <c r="H100" s="22">
        <f t="shared" si="16"/>
        <v>96.480938416422262</v>
      </c>
      <c r="I100" s="22">
        <f t="shared" si="17"/>
        <v>100</v>
      </c>
      <c r="J100" s="22">
        <f t="shared" si="18"/>
        <v>0</v>
      </c>
      <c r="K100" s="22">
        <f t="shared" si="19"/>
        <v>99.425287356321846</v>
      </c>
      <c r="L100" s="22">
        <f t="shared" si="20"/>
        <v>34.229998458455377</v>
      </c>
      <c r="M100" s="23">
        <f t="shared" si="21"/>
        <v>72.281074474220489</v>
      </c>
      <c r="N100">
        <f t="shared" si="22"/>
        <v>2</v>
      </c>
      <c r="O100" t="str">
        <f t="shared" si="23"/>
        <v/>
      </c>
    </row>
    <row r="101" spans="1:15" x14ac:dyDescent="0.3">
      <c r="A101" t="str">
        <f>INDEX(tblModelStoreScore[store_name],MATCH(120,tblModelStoreScore[store_id],0))</f>
        <v>Nova Retail - Rajkot Compact</v>
      </c>
      <c r="B101" t="str">
        <f>INDEX(tblModelStoreScore[region_name],MATCH(120,tblModelStoreScore[store_id],0))</f>
        <v>Gujarat</v>
      </c>
      <c r="C101" s="13">
        <f>INDEX(tblModelStoreScore[margin_pct_last6],MATCH(120,tblModelStoreScore[store_id],0))</f>
        <v>0.19350000000000001</v>
      </c>
      <c r="D101" s="13">
        <f>INDEX(tblModelStoreScore[margin_trend_pp],MATCH(120,tblModelStoreScore[store_id],0))</f>
        <v>0.05</v>
      </c>
      <c r="E101" s="13">
        <f>INDEX(tblModelStoreScore[return_rate_last6],MATCH(120,tblModelStoreScore[store_id],0))</f>
        <v>3.44E-2</v>
      </c>
      <c r="F101" s="13">
        <f>INDEX(tblModelStoreScore[discount_leak_pct_last6],MATCH(120,tblModelStoreScore[store_id],0))</f>
        <v>5.1299999999999998E-2</v>
      </c>
      <c r="G101" s="13">
        <f>INDEX(tblModelStoreScore[revenue_growth_pct],MATCH(120,tblModelStoreScore[store_id],0))</f>
        <v>0.56840000000000002</v>
      </c>
      <c r="H101" s="22">
        <f t="shared" si="16"/>
        <v>100</v>
      </c>
      <c r="I101" s="22">
        <f t="shared" si="17"/>
        <v>50</v>
      </c>
      <c r="J101" s="22">
        <f t="shared" si="18"/>
        <v>62.658227848101269</v>
      </c>
      <c r="K101" s="22">
        <f t="shared" si="19"/>
        <v>77.298850574712645</v>
      </c>
      <c r="L101" s="22">
        <f t="shared" si="20"/>
        <v>59.526745799290893</v>
      </c>
      <c r="M101" s="23">
        <f t="shared" si="21"/>
        <v>72.579147735756237</v>
      </c>
      <c r="N101">
        <f t="shared" si="22"/>
        <v>1</v>
      </c>
      <c r="O101" t="str">
        <f t="shared" si="23"/>
        <v/>
      </c>
    </row>
    <row r="102" spans="1:15" x14ac:dyDescent="0.3">
      <c r="A102" t="str">
        <f>INDEX(tblModelStoreScore[store_name],MATCH(27,tblModelStoreScore[store_id],0))</f>
        <v>Nova Retail - Ranchi Standard</v>
      </c>
      <c r="B102" t="str">
        <f>INDEX(tblModelStoreScore[region_name],MATCH(27,tblModelStoreScore[store_id],0))</f>
        <v>Odisha-Jharkhand</v>
      </c>
      <c r="C102" s="13">
        <f>INDEX(tblModelStoreScore[margin_pct_last6],MATCH(27,tblModelStoreScore[store_id],0))</f>
        <v>0.184</v>
      </c>
      <c r="D102" s="13">
        <f>INDEX(tblModelStoreScore[margin_trend_pp],MATCH(27,tblModelStoreScore[store_id],0))</f>
        <v>7.0000000000000007E-2</v>
      </c>
      <c r="E102" s="13">
        <f>INDEX(tblModelStoreScore[return_rate_last6],MATCH(27,tblModelStoreScore[store_id],0))</f>
        <v>3.39E-2</v>
      </c>
      <c r="F102" s="13">
        <f>INDEX(tblModelStoreScore[discount_leak_pct_last6],MATCH(27,tblModelStoreScore[store_id],0))</f>
        <v>5.3699999999999998E-2</v>
      </c>
      <c r="G102" s="13">
        <f>INDEX(tblModelStoreScore[revenue_growth_pct],MATCH(27,tblModelStoreScore[store_id],0))</f>
        <v>0.21540000000000001</v>
      </c>
      <c r="H102" s="22">
        <f t="shared" si="16"/>
        <v>72.140762463343094</v>
      </c>
      <c r="I102" s="22">
        <f t="shared" si="17"/>
        <v>75</v>
      </c>
      <c r="J102" s="22">
        <f t="shared" si="18"/>
        <v>63.713080168776372</v>
      </c>
      <c r="K102" s="22">
        <f t="shared" si="19"/>
        <v>70.402298850574724</v>
      </c>
      <c r="L102" s="22">
        <f t="shared" si="20"/>
        <v>32.318483120086327</v>
      </c>
      <c r="M102" s="23">
        <f t="shared" si="21"/>
        <v>66.927037912353043</v>
      </c>
      <c r="N102">
        <f t="shared" si="22"/>
        <v>8</v>
      </c>
      <c r="O102" t="str">
        <f t="shared" si="23"/>
        <v/>
      </c>
    </row>
    <row r="103" spans="1:15" x14ac:dyDescent="0.3">
      <c r="A103" t="str">
        <f>INDEX(tblModelStoreScore[store_name],MATCH(113,tblModelStoreScore[store_id],0))</f>
        <v>Nova Retail - Ranchi Standard</v>
      </c>
      <c r="B103" t="str">
        <f>INDEX(tblModelStoreScore[region_name],MATCH(113,tblModelStoreScore[store_id],0))</f>
        <v>Odisha-Jharkhand</v>
      </c>
      <c r="C103" s="13">
        <f>INDEX(tblModelStoreScore[margin_pct_last6],MATCH(113,tblModelStoreScore[store_id],0))</f>
        <v>0.1704</v>
      </c>
      <c r="D103" s="13">
        <f>INDEX(tblModelStoreScore[margin_trend_pp],MATCH(113,tblModelStoreScore[store_id],0))</f>
        <v>0.05</v>
      </c>
      <c r="E103" s="13">
        <f>INDEX(tblModelStoreScore[return_rate_last6],MATCH(113,tblModelStoreScore[store_id],0))</f>
        <v>1.8599999999999998E-2</v>
      </c>
      <c r="F103" s="13">
        <f>INDEX(tblModelStoreScore[discount_leak_pct_last6],MATCH(113,tblModelStoreScore[store_id],0))</f>
        <v>6.1400000000000003E-2</v>
      </c>
      <c r="G103" s="13">
        <f>INDEX(tblModelStoreScore[revenue_growth_pct],MATCH(113,tblModelStoreScore[store_id],0))</f>
        <v>0.17860000000000001</v>
      </c>
      <c r="H103" s="22">
        <f t="shared" si="16"/>
        <v>32.258064516129039</v>
      </c>
      <c r="I103" s="22">
        <f t="shared" si="17"/>
        <v>50</v>
      </c>
      <c r="J103" s="22">
        <f t="shared" si="18"/>
        <v>95.991561181434605</v>
      </c>
      <c r="K103" s="22">
        <f t="shared" si="19"/>
        <v>48.275862068965516</v>
      </c>
      <c r="L103" s="22">
        <f t="shared" si="20"/>
        <v>29.482041005087101</v>
      </c>
      <c r="M103" s="23">
        <f t="shared" si="21"/>
        <v>51.565315001979172</v>
      </c>
      <c r="N103">
        <f t="shared" si="22"/>
        <v>44</v>
      </c>
      <c r="O103" t="str">
        <f t="shared" si="23"/>
        <v/>
      </c>
    </row>
    <row r="104" spans="1:15" x14ac:dyDescent="0.3">
      <c r="A104" t="str">
        <f>INDEX(tblModelStoreScore[store_name],MATCH(12,tblModelStoreScore[store_id],0))</f>
        <v>Nova Retail - Salem Compact</v>
      </c>
      <c r="B104" t="str">
        <f>INDEX(tblModelStoreScore[region_name],MATCH(12,tblModelStoreScore[store_id],0))</f>
        <v>Tamil Nadu</v>
      </c>
      <c r="C104" s="13">
        <f>INDEX(tblModelStoreScore[margin_pct_last6],MATCH(12,tblModelStoreScore[store_id],0))</f>
        <v>0.1757</v>
      </c>
      <c r="D104" s="13">
        <f>INDEX(tblModelStoreScore[margin_trend_pp],MATCH(12,tblModelStoreScore[store_id],0))</f>
        <v>0.04</v>
      </c>
      <c r="E104" s="13">
        <f>INDEX(tblModelStoreScore[return_rate_last6],MATCH(12,tblModelStoreScore[store_id],0))</f>
        <v>2.0500000000000001E-2</v>
      </c>
      <c r="F104" s="13">
        <f>INDEX(tblModelStoreScore[discount_leak_pct_last6],MATCH(12,tblModelStoreScore[store_id],0))</f>
        <v>6.1899999999999997E-2</v>
      </c>
      <c r="G104" s="13">
        <f>INDEX(tblModelStoreScore[revenue_growth_pct],MATCH(12,tblModelStoreScore[store_id],0))</f>
        <v>0.2767</v>
      </c>
      <c r="H104" s="22">
        <f t="shared" si="16"/>
        <v>47.800586510263933</v>
      </c>
      <c r="I104" s="22">
        <f t="shared" si="17"/>
        <v>37.5</v>
      </c>
      <c r="J104" s="22">
        <f t="shared" si="18"/>
        <v>91.983122362869182</v>
      </c>
      <c r="K104" s="22">
        <f t="shared" si="19"/>
        <v>46.83908045977013</v>
      </c>
      <c r="L104" s="22">
        <f t="shared" si="20"/>
        <v>37.043317404038852</v>
      </c>
      <c r="M104" s="23">
        <f t="shared" si="21"/>
        <v>52.841994235022426</v>
      </c>
      <c r="N104">
        <f t="shared" si="22"/>
        <v>36</v>
      </c>
      <c r="O104" t="str">
        <f t="shared" si="23"/>
        <v/>
      </c>
    </row>
    <row r="105" spans="1:15" x14ac:dyDescent="0.3">
      <c r="A105" t="str">
        <f>INDEX(tblModelStoreScore[store_name],MATCH(116,tblModelStoreScore[store_id],0))</f>
        <v>Nova Retail - Salem Compact</v>
      </c>
      <c r="B105" t="str">
        <f>INDEX(tblModelStoreScore[region_name],MATCH(116,tblModelStoreScore[store_id],0))</f>
        <v>Tamil Nadu</v>
      </c>
      <c r="C105" s="13">
        <f>INDEX(tblModelStoreScore[margin_pct_last6],MATCH(116,tblModelStoreScore[store_id],0))</f>
        <v>0.17169999999999999</v>
      </c>
      <c r="D105" s="13">
        <f>INDEX(tblModelStoreScore[margin_trend_pp],MATCH(116,tblModelStoreScore[store_id],0))</f>
        <v>0.05</v>
      </c>
      <c r="E105" s="13">
        <f>INDEX(tblModelStoreScore[return_rate_last6],MATCH(116,tblModelStoreScore[store_id],0))</f>
        <v>3.6600000000000001E-2</v>
      </c>
      <c r="F105" s="13">
        <f>INDEX(tblModelStoreScore[discount_leak_pct_last6],MATCH(116,tblModelStoreScore[store_id],0))</f>
        <v>6.6799999999999998E-2</v>
      </c>
      <c r="G105" s="13">
        <f>INDEX(tblModelStoreScore[revenue_growth_pct],MATCH(116,tblModelStoreScore[store_id],0))</f>
        <v>-4.0500000000000001E-2</v>
      </c>
      <c r="H105" s="22">
        <f t="shared" si="16"/>
        <v>36.070381231671547</v>
      </c>
      <c r="I105" s="22">
        <f t="shared" si="17"/>
        <v>50</v>
      </c>
      <c r="J105" s="22">
        <f t="shared" si="18"/>
        <v>58.016877637130804</v>
      </c>
      <c r="K105" s="22">
        <f t="shared" si="19"/>
        <v>32.758620689655189</v>
      </c>
      <c r="L105" s="22">
        <f t="shared" si="20"/>
        <v>12.594419608447666</v>
      </c>
      <c r="M105" s="23">
        <f t="shared" si="21"/>
        <v>41.097724961220671</v>
      </c>
      <c r="N105">
        <f t="shared" si="22"/>
        <v>93</v>
      </c>
      <c r="O105" t="str">
        <f t="shared" si="23"/>
        <v>Priority Intervention</v>
      </c>
    </row>
    <row r="106" spans="1:15" x14ac:dyDescent="0.3">
      <c r="A106" t="str">
        <f>INDEX(tblModelStoreScore[store_name],MATCH(1,tblModelStoreScore[store_id],0))</f>
        <v>Nova Retail - Salem Standard</v>
      </c>
      <c r="B106" t="str">
        <f>INDEX(tblModelStoreScore[region_name],MATCH(1,tblModelStoreScore[store_id],0))</f>
        <v>Tamil Nadu</v>
      </c>
      <c r="C106" s="13">
        <f>INDEX(tblModelStoreScore[margin_pct_last6],MATCH(1,tblModelStoreScore[store_id],0))</f>
        <v>0.1837</v>
      </c>
      <c r="D106" s="13">
        <f>INDEX(tblModelStoreScore[margin_trend_pp],MATCH(1,tblModelStoreScore[store_id],0))</f>
        <v>0.05</v>
      </c>
      <c r="E106" s="13">
        <f>INDEX(tblModelStoreScore[return_rate_last6],MATCH(1,tblModelStoreScore[store_id],0))</f>
        <v>4.6199999999999998E-2</v>
      </c>
      <c r="F106" s="13">
        <f>INDEX(tblModelStoreScore[discount_leak_pct_last6],MATCH(1,tblModelStoreScore[store_id],0))</f>
        <v>5.79E-2</v>
      </c>
      <c r="G106" s="13">
        <f>INDEX(tblModelStoreScore[revenue_growth_pct],MATCH(1,tblModelStoreScore[store_id],0))</f>
        <v>5.4899999999999997E-2</v>
      </c>
      <c r="H106" s="22">
        <f t="shared" si="16"/>
        <v>71.260997067448685</v>
      </c>
      <c r="I106" s="22">
        <f t="shared" si="17"/>
        <v>50</v>
      </c>
      <c r="J106" s="22">
        <f t="shared" si="18"/>
        <v>37.763713080168785</v>
      </c>
      <c r="K106" s="22">
        <f t="shared" si="19"/>
        <v>58.333333333333336</v>
      </c>
      <c r="L106" s="22">
        <f t="shared" si="20"/>
        <v>19.947587482657621</v>
      </c>
      <c r="M106" s="23">
        <f t="shared" si="21"/>
        <v>52.175800484534115</v>
      </c>
      <c r="N106">
        <f t="shared" si="22"/>
        <v>40</v>
      </c>
      <c r="O106" t="str">
        <f t="shared" si="23"/>
        <v/>
      </c>
    </row>
    <row r="107" spans="1:15" x14ac:dyDescent="0.3">
      <c r="A107" t="str">
        <f>INDEX(tblModelStoreScore[store_name],MATCH(9,tblModelStoreScore[store_id],0))</f>
        <v>Nova Retail - Salem Standard</v>
      </c>
      <c r="B107" t="str">
        <f>INDEX(tblModelStoreScore[region_name],MATCH(9,tblModelStoreScore[store_id],0))</f>
        <v>Tamil Nadu</v>
      </c>
      <c r="C107" s="13">
        <f>INDEX(tblModelStoreScore[margin_pct_last6],MATCH(9,tblModelStoreScore[store_id],0))</f>
        <v>0.1769</v>
      </c>
      <c r="D107" s="13">
        <f>INDEX(tblModelStoreScore[margin_trend_pp],MATCH(9,tblModelStoreScore[store_id],0))</f>
        <v>0.02</v>
      </c>
      <c r="E107" s="13">
        <f>INDEX(tblModelStoreScore[return_rate_last6],MATCH(9,tblModelStoreScore[store_id],0))</f>
        <v>4.2900000000000001E-2</v>
      </c>
      <c r="F107" s="13">
        <f>INDEX(tblModelStoreScore[discount_leak_pct_last6],MATCH(9,tblModelStoreScore[store_id],0))</f>
        <v>5.6599999999999998E-2</v>
      </c>
      <c r="G107" s="13">
        <f>INDEX(tblModelStoreScore[revenue_growth_pct],MATCH(9,tblModelStoreScore[store_id],0))</f>
        <v>0.28420000000000001</v>
      </c>
      <c r="H107" s="22">
        <f t="shared" si="16"/>
        <v>51.319648093841664</v>
      </c>
      <c r="I107" s="22">
        <f t="shared" si="17"/>
        <v>12.5</v>
      </c>
      <c r="J107" s="22">
        <f t="shared" si="18"/>
        <v>44.725738396624479</v>
      </c>
      <c r="K107" s="22">
        <f t="shared" si="19"/>
        <v>62.068965517241395</v>
      </c>
      <c r="L107" s="22">
        <f t="shared" si="20"/>
        <v>37.621396639432717</v>
      </c>
      <c r="M107" s="23">
        <f t="shared" si="21"/>
        <v>40.538526599006872</v>
      </c>
      <c r="N107">
        <f t="shared" si="22"/>
        <v>97</v>
      </c>
      <c r="O107" t="str">
        <f t="shared" si="23"/>
        <v>Priority Intervention</v>
      </c>
    </row>
    <row r="108" spans="1:15" x14ac:dyDescent="0.3">
      <c r="A108" t="str">
        <f>INDEX(tblModelStoreScore[store_name],MATCH(36,tblModelStoreScore[store_id],0))</f>
        <v>Nova Retail - Salem Standard</v>
      </c>
      <c r="B108" t="str">
        <f>INDEX(tblModelStoreScore[region_name],MATCH(36,tblModelStoreScore[store_id],0))</f>
        <v>Tamil Nadu</v>
      </c>
      <c r="C108" s="13">
        <f>INDEX(tblModelStoreScore[margin_pct_last6],MATCH(36,tblModelStoreScore[store_id],0))</f>
        <v>0.1759</v>
      </c>
      <c r="D108" s="13">
        <f>INDEX(tblModelStoreScore[margin_trend_pp],MATCH(36,tblModelStoreScore[store_id],0))</f>
        <v>0.03</v>
      </c>
      <c r="E108" s="13">
        <f>INDEX(tblModelStoreScore[return_rate_last6],MATCH(36,tblModelStoreScore[store_id],0))</f>
        <v>3.44E-2</v>
      </c>
      <c r="F108" s="13">
        <f>INDEX(tblModelStoreScore[discount_leak_pct_last6],MATCH(36,tblModelStoreScore[store_id],0))</f>
        <v>5.5199999999999999E-2</v>
      </c>
      <c r="G108" s="13">
        <f>INDEX(tblModelStoreScore[revenue_growth_pct],MATCH(36,tblModelStoreScore[store_id],0))</f>
        <v>0.21129999999999999</v>
      </c>
      <c r="H108" s="22">
        <f t="shared" si="16"/>
        <v>48.387096774193566</v>
      </c>
      <c r="I108" s="22">
        <f t="shared" si="17"/>
        <v>24.999999999999993</v>
      </c>
      <c r="J108" s="22">
        <f t="shared" si="18"/>
        <v>62.658227848101269</v>
      </c>
      <c r="K108" s="22">
        <f t="shared" si="19"/>
        <v>66.091954022988517</v>
      </c>
      <c r="L108" s="22">
        <f t="shared" si="20"/>
        <v>32.002466471404354</v>
      </c>
      <c r="M108" s="23">
        <f t="shared" si="21"/>
        <v>46.411814352467033</v>
      </c>
      <c r="N108">
        <f t="shared" si="22"/>
        <v>65</v>
      </c>
      <c r="O108" t="str">
        <f t="shared" si="23"/>
        <v/>
      </c>
    </row>
    <row r="109" spans="1:15" x14ac:dyDescent="0.3">
      <c r="A109" t="str">
        <f>INDEX(tblModelStoreScore[store_name],MATCH(67,tblModelStoreScore[store_id],0))</f>
        <v>Nova Retail - Salem Standard</v>
      </c>
      <c r="B109" t="str">
        <f>INDEX(tblModelStoreScore[region_name],MATCH(67,tblModelStoreScore[store_id],0))</f>
        <v>Tamil Nadu</v>
      </c>
      <c r="C109" s="13">
        <f>INDEX(tblModelStoreScore[margin_pct_last6],MATCH(67,tblModelStoreScore[store_id],0))</f>
        <v>0.1807</v>
      </c>
      <c r="D109" s="13">
        <f>INDEX(tblModelStoreScore[margin_trend_pp],MATCH(67,tblModelStoreScore[store_id],0))</f>
        <v>0.06</v>
      </c>
      <c r="E109" s="13">
        <f>INDEX(tblModelStoreScore[return_rate_last6],MATCH(67,tblModelStoreScore[store_id],0))</f>
        <v>3.5499999999999997E-2</v>
      </c>
      <c r="F109" s="13">
        <f>INDEX(tblModelStoreScore[discount_leak_pct_last6],MATCH(67,tblModelStoreScore[store_id],0))</f>
        <v>5.3600000000000002E-2</v>
      </c>
      <c r="G109" s="13">
        <f>INDEX(tblModelStoreScore[revenue_growth_pct],MATCH(67,tblModelStoreScore[store_id],0))</f>
        <v>0.4395</v>
      </c>
      <c r="H109" s="22">
        <f t="shared" si="16"/>
        <v>62.463343108504397</v>
      </c>
      <c r="I109" s="22">
        <f t="shared" si="17"/>
        <v>62.499999999999986</v>
      </c>
      <c r="J109" s="22">
        <f t="shared" si="18"/>
        <v>60.33755274261604</v>
      </c>
      <c r="K109" s="22">
        <f t="shared" si="19"/>
        <v>70.689655172413794</v>
      </c>
      <c r="L109" s="22">
        <f t="shared" si="20"/>
        <v>49.591490673655002</v>
      </c>
      <c r="M109" s="23">
        <f t="shared" si="21"/>
        <v>61.994110824302098</v>
      </c>
      <c r="N109">
        <f t="shared" si="22"/>
        <v>15</v>
      </c>
      <c r="O109" t="str">
        <f t="shared" si="23"/>
        <v/>
      </c>
    </row>
    <row r="110" spans="1:15" x14ac:dyDescent="0.3">
      <c r="A110" t="str">
        <f>INDEX(tblModelStoreScore[store_name],MATCH(115,tblModelStoreScore[store_id],0))</f>
        <v>Nova Retail - Salem Standard</v>
      </c>
      <c r="B110" t="str">
        <f>INDEX(tblModelStoreScore[region_name],MATCH(115,tblModelStoreScore[store_id],0))</f>
        <v>Tamil Nadu</v>
      </c>
      <c r="C110" s="13">
        <f>INDEX(tblModelStoreScore[margin_pct_last6],MATCH(115,tblModelStoreScore[store_id],0))</f>
        <v>0.1734</v>
      </c>
      <c r="D110" s="13">
        <f>INDEX(tblModelStoreScore[margin_trend_pp],MATCH(115,tblModelStoreScore[store_id],0))</f>
        <v>0.05</v>
      </c>
      <c r="E110" s="13">
        <f>INDEX(tblModelStoreScore[return_rate_last6],MATCH(115,tblModelStoreScore[store_id],0))</f>
        <v>2.5000000000000001E-2</v>
      </c>
      <c r="F110" s="13">
        <f>INDEX(tblModelStoreScore[discount_leak_pct_last6],MATCH(115,tblModelStoreScore[store_id],0))</f>
        <v>6.3899999999999998E-2</v>
      </c>
      <c r="G110" s="13">
        <f>INDEX(tblModelStoreScore[revenue_growth_pct],MATCH(115,tblModelStoreScore[store_id],0))</f>
        <v>0.30020000000000002</v>
      </c>
      <c r="H110" s="22">
        <f t="shared" si="16"/>
        <v>41.055718475073327</v>
      </c>
      <c r="I110" s="22">
        <f t="shared" si="17"/>
        <v>50</v>
      </c>
      <c r="J110" s="22">
        <f t="shared" si="18"/>
        <v>82.489451476793249</v>
      </c>
      <c r="K110" s="22">
        <f t="shared" si="19"/>
        <v>41.091954022988517</v>
      </c>
      <c r="L110" s="22">
        <f t="shared" si="20"/>
        <v>38.85463234160629</v>
      </c>
      <c r="M110" s="23">
        <f t="shared" si="21"/>
        <v>51.363862175489558</v>
      </c>
      <c r="N110">
        <f t="shared" si="22"/>
        <v>45</v>
      </c>
      <c r="O110" t="str">
        <f t="shared" si="23"/>
        <v/>
      </c>
    </row>
    <row r="111" spans="1:15" x14ac:dyDescent="0.3">
      <c r="A111" t="str">
        <f>INDEX(tblModelStoreScore[store_name],MATCH(91,tblModelStoreScore[store_id],0))</f>
        <v>Nova Retail - Siliguri Compact</v>
      </c>
      <c r="B111" t="str">
        <f>INDEX(tblModelStoreScore[region_name],MATCH(91,tblModelStoreScore[store_id],0))</f>
        <v>West Bengal</v>
      </c>
      <c r="C111" s="13">
        <f>INDEX(tblModelStoreScore[margin_pct_last6],MATCH(91,tblModelStoreScore[store_id],0))</f>
        <v>0.15959999999999999</v>
      </c>
      <c r="D111" s="13">
        <f>INDEX(tblModelStoreScore[margin_trend_pp],MATCH(91,tblModelStoreScore[store_id],0))</f>
        <v>0.01</v>
      </c>
      <c r="E111" s="13">
        <f>INDEX(tblModelStoreScore[return_rate_last6],MATCH(91,tblModelStoreScore[store_id],0))</f>
        <v>4.6800000000000001E-2</v>
      </c>
      <c r="F111" s="13">
        <f>INDEX(tblModelStoreScore[discount_leak_pct_last6],MATCH(91,tblModelStoreScore[store_id],0))</f>
        <v>5.5199999999999999E-2</v>
      </c>
      <c r="G111" s="13">
        <f>INDEX(tblModelStoreScore[revenue_growth_pct],MATCH(91,tblModelStoreScore[store_id],0))</f>
        <v>0.38269999999999998</v>
      </c>
      <c r="H111" s="22">
        <f t="shared" ref="H111:H134" si="24">(C111-MIN($C$15:$C$134))/(MAX($C$15:$C$134)-MIN($C$15:$C$134))*100</f>
        <v>0.58651026392963523</v>
      </c>
      <c r="I111" s="22">
        <f t="shared" ref="I111:I134" si="25">(D111-MIN($D$15:$D$134))/(MAX($D$15:$D$134)-MIN($D$15:$D$134))*100</f>
        <v>0</v>
      </c>
      <c r="J111" s="22">
        <f t="shared" ref="J111:J134" si="26">(MAX($E$15:$E$134)-E111)/(MAX($E$15:$E$134)-MIN($E$15:$E$134))*100</f>
        <v>36.497890295358651</v>
      </c>
      <c r="K111" s="22">
        <f t="shared" ref="K111:K134" si="27">(MAX($F$15:$F$134)-F111)/(MAX($F$15:$F$134)-MIN($F$15:$F$134))*100</f>
        <v>66.091954022988517</v>
      </c>
      <c r="L111" s="22">
        <f t="shared" ref="L111:L134" si="28">(G111-MIN($G$15:$G$134))/(MAX($G$15:$G$134)-MIN($G$15:$G$134))*100</f>
        <v>45.213503930938806</v>
      </c>
      <c r="M111" s="23">
        <f t="shared" ref="M111:M134" si="29">H111*wMarginWeight+I111*wTrendWeight+J111*wReturnWeight+K111*wDiscountWeight+L111*wGrowthWeight</f>
        <v>21.910674634792784</v>
      </c>
      <c r="N111">
        <f t="shared" ref="N111:N134" si="30">RANK(M111,$M$15:$M$134,0)</f>
        <v>119</v>
      </c>
      <c r="O111" t="str">
        <f t="shared" ref="O111:O134" si="31">IF(M111&lt;=QUARTILE($M$15:$M$134,1),"Priority Intervention","")</f>
        <v>Priority Intervention</v>
      </c>
    </row>
    <row r="112" spans="1:15" x14ac:dyDescent="0.3">
      <c r="A112" t="str">
        <f>INDEX(tblModelStoreScore[store_name],MATCH(61,tblModelStoreScore[store_id],0))</f>
        <v>Nova Retail - Siliguri Flagship</v>
      </c>
      <c r="B112" t="str">
        <f>INDEX(tblModelStoreScore[region_name],MATCH(61,tblModelStoreScore[store_id],0))</f>
        <v>West Bengal</v>
      </c>
      <c r="C112" s="13">
        <f>INDEX(tblModelStoreScore[margin_pct_last6],MATCH(61,tblModelStoreScore[store_id],0))</f>
        <v>0.16789999999999999</v>
      </c>
      <c r="D112" s="13">
        <f>INDEX(tblModelStoreScore[margin_trend_pp],MATCH(61,tblModelStoreScore[store_id],0))</f>
        <v>0.03</v>
      </c>
      <c r="E112" s="13">
        <f>INDEX(tblModelStoreScore[return_rate_last6],MATCH(61,tblModelStoreScore[store_id],0))</f>
        <v>3.3399999999999999E-2</v>
      </c>
      <c r="F112" s="13">
        <f>INDEX(tblModelStoreScore[discount_leak_pct_last6],MATCH(61,tblModelStoreScore[store_id],0))</f>
        <v>6.4600000000000005E-2</v>
      </c>
      <c r="G112" s="13">
        <f>INDEX(tblModelStoreScore[revenue_growth_pct],MATCH(61,tblModelStoreScore[store_id],0))</f>
        <v>0.41610000000000003</v>
      </c>
      <c r="H112" s="22">
        <f t="shared" si="24"/>
        <v>24.926686217008807</v>
      </c>
      <c r="I112" s="22">
        <f t="shared" si="25"/>
        <v>24.999999999999993</v>
      </c>
      <c r="J112" s="22">
        <f t="shared" si="26"/>
        <v>64.767932489451482</v>
      </c>
      <c r="K112" s="22">
        <f t="shared" si="27"/>
        <v>39.080459770114942</v>
      </c>
      <c r="L112" s="22">
        <f t="shared" si="28"/>
        <v>47.787883459226151</v>
      </c>
      <c r="M112" s="23">
        <f t="shared" si="29"/>
        <v>37.322449674432789</v>
      </c>
      <c r="N112">
        <f t="shared" si="30"/>
        <v>107</v>
      </c>
      <c r="O112" t="str">
        <f t="shared" si="31"/>
        <v>Priority Intervention</v>
      </c>
    </row>
    <row r="113" spans="1:15" x14ac:dyDescent="0.3">
      <c r="A113" t="str">
        <f>INDEX(tblModelStoreScore[store_name],MATCH(5,tblModelStoreScore[store_id],0))</f>
        <v>Nova Retail - Siliguri Standard</v>
      </c>
      <c r="B113" t="str">
        <f>INDEX(tblModelStoreScore[region_name],MATCH(5,tblModelStoreScore[store_id],0))</f>
        <v>West Bengal</v>
      </c>
      <c r="C113" s="13">
        <f>INDEX(tblModelStoreScore[margin_pct_last6],MATCH(5,tblModelStoreScore[store_id],0))</f>
        <v>0.17560000000000001</v>
      </c>
      <c r="D113" s="13">
        <f>INDEX(tblModelStoreScore[margin_trend_pp],MATCH(5,tblModelStoreScore[store_id],0))</f>
        <v>0.03</v>
      </c>
      <c r="E113" s="13">
        <f>INDEX(tblModelStoreScore[return_rate_last6],MATCH(5,tblModelStoreScore[store_id],0))</f>
        <v>2.3599999999999999E-2</v>
      </c>
      <c r="F113" s="13">
        <f>INDEX(tblModelStoreScore[discount_leak_pct_last6],MATCH(5,tblModelStoreScore[store_id],0))</f>
        <v>5.9400000000000001E-2</v>
      </c>
      <c r="G113" s="13">
        <f>INDEX(tblModelStoreScore[revenue_growth_pct],MATCH(5,tblModelStoreScore[store_id],0))</f>
        <v>6.3899999999999998E-2</v>
      </c>
      <c r="H113" s="22">
        <f t="shared" si="24"/>
        <v>47.507331378299149</v>
      </c>
      <c r="I113" s="22">
        <f t="shared" si="25"/>
        <v>24.999999999999993</v>
      </c>
      <c r="J113" s="22">
        <f t="shared" si="26"/>
        <v>85.443037974683563</v>
      </c>
      <c r="K113" s="22">
        <f t="shared" si="27"/>
        <v>54.022988505747129</v>
      </c>
      <c r="L113" s="22">
        <f t="shared" si="28"/>
        <v>20.641282565130261</v>
      </c>
      <c r="M113" s="23">
        <f t="shared" si="29"/>
        <v>47.758383540801546</v>
      </c>
      <c r="N113">
        <f t="shared" si="30"/>
        <v>62</v>
      </c>
      <c r="O113" t="str">
        <f t="shared" si="31"/>
        <v/>
      </c>
    </row>
    <row r="114" spans="1:15" x14ac:dyDescent="0.3">
      <c r="A114" t="str">
        <f>INDEX(tblModelStoreScore[store_name],MATCH(29,tblModelStoreScore[store_id],0))</f>
        <v>Nova Retail - Siliguri Standard</v>
      </c>
      <c r="B114" t="str">
        <f>INDEX(tblModelStoreScore[region_name],MATCH(29,tblModelStoreScore[store_id],0))</f>
        <v>West Bengal</v>
      </c>
      <c r="C114" s="13">
        <f>INDEX(tblModelStoreScore[margin_pct_last6],MATCH(29,tblModelStoreScore[store_id],0))</f>
        <v>0.17349999999999999</v>
      </c>
      <c r="D114" s="13">
        <f>INDEX(tblModelStoreScore[margin_trend_pp],MATCH(29,tblModelStoreScore[store_id],0))</f>
        <v>0.04</v>
      </c>
      <c r="E114" s="13">
        <f>INDEX(tblModelStoreScore[return_rate_last6],MATCH(29,tblModelStoreScore[store_id],0))</f>
        <v>3.8100000000000002E-2</v>
      </c>
      <c r="F114" s="13">
        <f>INDEX(tblModelStoreScore[discount_leak_pct_last6],MATCH(29,tblModelStoreScore[store_id],0))</f>
        <v>6.6100000000000006E-2</v>
      </c>
      <c r="G114" s="13">
        <f>INDEX(tblModelStoreScore[revenue_growth_pct],MATCH(29,tblModelStoreScore[store_id],0))</f>
        <v>0.44409999999999999</v>
      </c>
      <c r="H114" s="22">
        <f t="shared" si="24"/>
        <v>41.348973607038104</v>
      </c>
      <c r="I114" s="22">
        <f t="shared" si="25"/>
        <v>37.5</v>
      </c>
      <c r="J114" s="22">
        <f t="shared" si="26"/>
        <v>54.852320675105481</v>
      </c>
      <c r="K114" s="22">
        <f t="shared" si="27"/>
        <v>34.770114942528728</v>
      </c>
      <c r="L114" s="22">
        <f t="shared" si="28"/>
        <v>49.946045938029911</v>
      </c>
      <c r="M114" s="23">
        <f t="shared" si="29"/>
        <v>42.960278052314827</v>
      </c>
      <c r="N114">
        <f t="shared" si="30"/>
        <v>87</v>
      </c>
      <c r="O114" t="str">
        <f t="shared" si="31"/>
        <v/>
      </c>
    </row>
    <row r="115" spans="1:15" x14ac:dyDescent="0.3">
      <c r="A115" t="str">
        <f>INDEX(tblModelStoreScore[store_name],MATCH(76,tblModelStoreScore[store_id],0))</f>
        <v>Nova Retail - Siliguri Standard</v>
      </c>
      <c r="B115" t="str">
        <f>INDEX(tblModelStoreScore[region_name],MATCH(76,tblModelStoreScore[store_id],0))</f>
        <v>West Bengal</v>
      </c>
      <c r="C115" s="13">
        <f>INDEX(tblModelStoreScore[margin_pct_last6],MATCH(76,tblModelStoreScore[store_id],0))</f>
        <v>0.17660000000000001</v>
      </c>
      <c r="D115" s="13">
        <f>INDEX(tblModelStoreScore[margin_trend_pp],MATCH(76,tblModelStoreScore[store_id],0))</f>
        <v>0.06</v>
      </c>
      <c r="E115" s="13">
        <f>INDEX(tblModelStoreScore[return_rate_last6],MATCH(76,tblModelStoreScore[store_id],0))</f>
        <v>3.3799999999999997E-2</v>
      </c>
      <c r="F115" s="13">
        <f>INDEX(tblModelStoreScore[discount_leak_pct_last6],MATCH(76,tblModelStoreScore[store_id],0))</f>
        <v>5.9799999999999999E-2</v>
      </c>
      <c r="G115" s="13">
        <f>INDEX(tblModelStoreScore[revenue_growth_pct],MATCH(76,tblModelStoreScore[store_id],0))</f>
        <v>0.89790000000000003</v>
      </c>
      <c r="H115" s="22">
        <f t="shared" si="24"/>
        <v>50.439882697947247</v>
      </c>
      <c r="I115" s="22">
        <f t="shared" si="25"/>
        <v>62.499999999999986</v>
      </c>
      <c r="J115" s="22">
        <f t="shared" si="26"/>
        <v>63.924050632911403</v>
      </c>
      <c r="K115" s="22">
        <f t="shared" si="27"/>
        <v>52.873563218390821</v>
      </c>
      <c r="L115" s="22">
        <f t="shared" si="28"/>
        <v>84.923693540928028</v>
      </c>
      <c r="M115" s="23">
        <f t="shared" si="29"/>
        <v>59.965178772817879</v>
      </c>
      <c r="N115">
        <f t="shared" si="30"/>
        <v>19</v>
      </c>
      <c r="O115" t="str">
        <f t="shared" si="31"/>
        <v/>
      </c>
    </row>
    <row r="116" spans="1:15" x14ac:dyDescent="0.3">
      <c r="A116" t="str">
        <f>INDEX(tblModelStoreScore[store_name],MATCH(22,tblModelStoreScore[store_id],0))</f>
        <v>Nova Retail - Surat Standard</v>
      </c>
      <c r="B116" t="str">
        <f>INDEX(tblModelStoreScore[region_name],MATCH(22,tblModelStoreScore[store_id],0))</f>
        <v>Gujarat</v>
      </c>
      <c r="C116" s="13">
        <f>INDEX(tblModelStoreScore[margin_pct_last6],MATCH(22,tblModelStoreScore[store_id],0))</f>
        <v>0.1721</v>
      </c>
      <c r="D116" s="13">
        <f>INDEX(tblModelStoreScore[margin_trend_pp],MATCH(22,tblModelStoreScore[store_id],0))</f>
        <v>0.03</v>
      </c>
      <c r="E116" s="13">
        <f>INDEX(tblModelStoreScore[return_rate_last6],MATCH(22,tblModelStoreScore[store_id],0))</f>
        <v>3.9E-2</v>
      </c>
      <c r="F116" s="13">
        <f>INDEX(tblModelStoreScore[discount_leak_pct_last6],MATCH(22,tblModelStoreScore[store_id],0))</f>
        <v>6.0299999999999999E-2</v>
      </c>
      <c r="G116" s="13">
        <f>INDEX(tblModelStoreScore[revenue_growth_pct],MATCH(22,tblModelStoreScore[store_id],0))</f>
        <v>0.1883</v>
      </c>
      <c r="H116" s="22">
        <f t="shared" si="24"/>
        <v>37.243401759530819</v>
      </c>
      <c r="I116" s="22">
        <f t="shared" si="25"/>
        <v>24.999999999999993</v>
      </c>
      <c r="J116" s="22">
        <f t="shared" si="26"/>
        <v>52.953586497890306</v>
      </c>
      <c r="K116" s="22">
        <f t="shared" si="27"/>
        <v>51.436781609195414</v>
      </c>
      <c r="L116" s="22">
        <f t="shared" si="28"/>
        <v>30.22969014952983</v>
      </c>
      <c r="M116" s="23">
        <f t="shared" si="29"/>
        <v>38.752224083769597</v>
      </c>
      <c r="N116">
        <f t="shared" si="30"/>
        <v>102</v>
      </c>
      <c r="O116" t="str">
        <f t="shared" si="31"/>
        <v>Priority Intervention</v>
      </c>
    </row>
    <row r="117" spans="1:15" x14ac:dyDescent="0.3">
      <c r="A117" t="str">
        <f>INDEX(tblModelStoreScore[store_name],MATCH(50,tblModelStoreScore[store_id],0))</f>
        <v>Nova Retail - Surat Standard</v>
      </c>
      <c r="B117" t="str">
        <f>INDEX(tblModelStoreScore[region_name],MATCH(50,tblModelStoreScore[store_id],0))</f>
        <v>Gujarat</v>
      </c>
      <c r="C117" s="13">
        <f>INDEX(tblModelStoreScore[margin_pct_last6],MATCH(50,tblModelStoreScore[store_id],0))</f>
        <v>0.16700000000000001</v>
      </c>
      <c r="D117" s="13">
        <f>INDEX(tblModelStoreScore[margin_trend_pp],MATCH(50,tblModelStoreScore[store_id],0))</f>
        <v>0.02</v>
      </c>
      <c r="E117" s="13">
        <f>INDEX(tblModelStoreScore[return_rate_last6],MATCH(50,tblModelStoreScore[store_id],0))</f>
        <v>3.4299999999999997E-2</v>
      </c>
      <c r="F117" s="13">
        <f>INDEX(tblModelStoreScore[discount_leak_pct_last6],MATCH(50,tblModelStoreScore[store_id],0))</f>
        <v>6.4899999999999999E-2</v>
      </c>
      <c r="G117" s="13">
        <f>INDEX(tblModelStoreScore[revenue_growth_pct],MATCH(50,tblModelStoreScore[store_id],0))</f>
        <v>0.45269999999999999</v>
      </c>
      <c r="H117" s="22">
        <f t="shared" si="24"/>
        <v>22.287390029325568</v>
      </c>
      <c r="I117" s="22">
        <f t="shared" si="25"/>
        <v>12.5</v>
      </c>
      <c r="J117" s="22">
        <f t="shared" si="26"/>
        <v>62.869198312236293</v>
      </c>
      <c r="K117" s="22">
        <f t="shared" si="27"/>
        <v>38.218390804597711</v>
      </c>
      <c r="L117" s="22">
        <f t="shared" si="28"/>
        <v>50.608910127948207</v>
      </c>
      <c r="M117" s="23">
        <f t="shared" si="29"/>
        <v>33.178706304729403</v>
      </c>
      <c r="N117">
        <f t="shared" si="30"/>
        <v>113</v>
      </c>
      <c r="O117" t="str">
        <f t="shared" si="31"/>
        <v>Priority Intervention</v>
      </c>
    </row>
    <row r="118" spans="1:15" x14ac:dyDescent="0.3">
      <c r="A118" t="str">
        <f>INDEX(tblModelStoreScore[store_name],MATCH(70,tblModelStoreScore[store_id],0))</f>
        <v>Nova Retail - Thiruvananthapuram Standard</v>
      </c>
      <c r="B118" t="str">
        <f>INDEX(tblModelStoreScore[region_name],MATCH(70,tblModelStoreScore[store_id],0))</f>
        <v>Kerala</v>
      </c>
      <c r="C118" s="13">
        <f>INDEX(tblModelStoreScore[margin_pct_last6],MATCH(70,tblModelStoreScore[store_id],0))</f>
        <v>0.19220000000000001</v>
      </c>
      <c r="D118" s="13">
        <f>INDEX(tblModelStoreScore[margin_trend_pp],MATCH(70,tblModelStoreScore[store_id],0))</f>
        <v>0.05</v>
      </c>
      <c r="E118" s="13">
        <f>INDEX(tblModelStoreScore[return_rate_last6],MATCH(70,tblModelStoreScore[store_id],0))</f>
        <v>3.8800000000000001E-2</v>
      </c>
      <c r="F118" s="13">
        <f>INDEX(tblModelStoreScore[discount_leak_pct_last6],MATCH(70,tblModelStoreScore[store_id],0))</f>
        <v>5.6399999999999999E-2</v>
      </c>
      <c r="G118" s="13">
        <f>INDEX(tblModelStoreScore[revenue_growth_pct],MATCH(70,tblModelStoreScore[store_id],0))</f>
        <v>0.31109999999999999</v>
      </c>
      <c r="H118" s="22">
        <f t="shared" si="24"/>
        <v>96.187683284457492</v>
      </c>
      <c r="I118" s="22">
        <f t="shared" si="25"/>
        <v>50</v>
      </c>
      <c r="J118" s="22">
        <f t="shared" si="26"/>
        <v>53.375527426160339</v>
      </c>
      <c r="K118" s="22">
        <f t="shared" si="27"/>
        <v>62.643678160919549</v>
      </c>
      <c r="L118" s="22">
        <f t="shared" si="28"/>
        <v>39.69477416371204</v>
      </c>
      <c r="M118" s="23">
        <f t="shared" si="29"/>
        <v>65.397439611078454</v>
      </c>
      <c r="N118">
        <f t="shared" si="30"/>
        <v>9</v>
      </c>
      <c r="O118" t="str">
        <f t="shared" si="31"/>
        <v/>
      </c>
    </row>
    <row r="119" spans="1:15" x14ac:dyDescent="0.3">
      <c r="A119" t="str">
        <f>INDEX(tblModelStoreScore[store_name],MATCH(96,tblModelStoreScore[store_id],0))</f>
        <v>Nova Retail - Thiruvananthapuram Standard</v>
      </c>
      <c r="B119" t="str">
        <f>INDEX(tblModelStoreScore[region_name],MATCH(96,tblModelStoreScore[store_id],0))</f>
        <v>Kerala</v>
      </c>
      <c r="C119" s="13">
        <f>INDEX(tblModelStoreScore[margin_pct_last6],MATCH(96,tblModelStoreScore[store_id],0))</f>
        <v>0.1782</v>
      </c>
      <c r="D119" s="13">
        <f>INDEX(tblModelStoreScore[margin_trend_pp],MATCH(96,tblModelStoreScore[store_id],0))</f>
        <v>0.03</v>
      </c>
      <c r="E119" s="13">
        <f>INDEX(tblModelStoreScore[return_rate_last6],MATCH(96,tblModelStoreScore[store_id],0))</f>
        <v>3.9899999999999998E-2</v>
      </c>
      <c r="F119" s="13">
        <f>INDEX(tblModelStoreScore[discount_leak_pct_last6],MATCH(96,tblModelStoreScore[store_id],0))</f>
        <v>6.7299999999999999E-2</v>
      </c>
      <c r="G119" s="13">
        <f>INDEX(tblModelStoreScore[revenue_growth_pct],MATCH(96,tblModelStoreScore[store_id],0))</f>
        <v>0.16350000000000001</v>
      </c>
      <c r="H119" s="22">
        <f t="shared" si="24"/>
        <v>55.131964809384172</v>
      </c>
      <c r="I119" s="22">
        <f t="shared" si="25"/>
        <v>24.999999999999993</v>
      </c>
      <c r="J119" s="22">
        <f t="shared" si="26"/>
        <v>51.054852320675117</v>
      </c>
      <c r="K119" s="22">
        <f t="shared" si="27"/>
        <v>31.321839080459785</v>
      </c>
      <c r="L119" s="22">
        <f t="shared" si="28"/>
        <v>28.318174811160784</v>
      </c>
      <c r="M119" s="23">
        <f t="shared" si="29"/>
        <v>40.530653250135316</v>
      </c>
      <c r="N119">
        <f t="shared" si="30"/>
        <v>98</v>
      </c>
      <c r="O119" t="str">
        <f t="shared" si="31"/>
        <v>Priority Intervention</v>
      </c>
    </row>
    <row r="120" spans="1:15" x14ac:dyDescent="0.3">
      <c r="A120" t="str">
        <f>INDEX(tblModelStoreScore[store_name],MATCH(39,tblModelStoreScore[store_id],0))</f>
        <v>Nova Retail - Thrissur Standard</v>
      </c>
      <c r="B120" t="str">
        <f>INDEX(tblModelStoreScore[region_name],MATCH(39,tblModelStoreScore[store_id],0))</f>
        <v>Kerala</v>
      </c>
      <c r="C120" s="13">
        <f>INDEX(tblModelStoreScore[margin_pct_last6],MATCH(39,tblModelStoreScore[store_id],0))</f>
        <v>0.1857</v>
      </c>
      <c r="D120" s="13">
        <f>INDEX(tblModelStoreScore[margin_trend_pp],MATCH(39,tblModelStoreScore[store_id],0))</f>
        <v>0.06</v>
      </c>
      <c r="E120" s="13">
        <f>INDEX(tblModelStoreScore[return_rate_last6],MATCH(39,tblModelStoreScore[store_id],0))</f>
        <v>4.3799999999999999E-2</v>
      </c>
      <c r="F120" s="13">
        <f>INDEX(tblModelStoreScore[discount_leak_pct_last6],MATCH(39,tblModelStoreScore[store_id],0))</f>
        <v>5.28E-2</v>
      </c>
      <c r="G120" s="13">
        <f>INDEX(tblModelStoreScore[revenue_growth_pct],MATCH(39,tblModelStoreScore[store_id],0))</f>
        <v>7.4000000000000003E-3</v>
      </c>
      <c r="H120" s="22">
        <f t="shared" si="24"/>
        <v>77.126099706744881</v>
      </c>
      <c r="I120" s="22">
        <f t="shared" si="25"/>
        <v>62.499999999999986</v>
      </c>
      <c r="J120" s="22">
        <f t="shared" si="26"/>
        <v>42.827004219409289</v>
      </c>
      <c r="K120" s="22">
        <f t="shared" si="27"/>
        <v>72.988505747126439</v>
      </c>
      <c r="L120" s="22">
        <f t="shared" si="28"/>
        <v>16.286418991829816</v>
      </c>
      <c r="M120" s="23">
        <f t="shared" si="29"/>
        <v>59.905148517157272</v>
      </c>
      <c r="N120">
        <f t="shared" si="30"/>
        <v>20</v>
      </c>
      <c r="O120" t="str">
        <f t="shared" si="31"/>
        <v/>
      </c>
    </row>
    <row r="121" spans="1:15" x14ac:dyDescent="0.3">
      <c r="A121" t="str">
        <f>INDEX(tblModelStoreScore[store_name],MATCH(88,tblModelStoreScore[store_id],0))</f>
        <v>Nova Retail - Thrissur Standard</v>
      </c>
      <c r="B121" t="str">
        <f>INDEX(tblModelStoreScore[region_name],MATCH(88,tblModelStoreScore[store_id],0))</f>
        <v>Kerala</v>
      </c>
      <c r="C121" s="13">
        <f>INDEX(tblModelStoreScore[margin_pct_last6],MATCH(88,tblModelStoreScore[store_id],0))</f>
        <v>0.1724</v>
      </c>
      <c r="D121" s="13">
        <f>INDEX(tblModelStoreScore[margin_trend_pp],MATCH(88,tblModelStoreScore[store_id],0))</f>
        <v>0.01</v>
      </c>
      <c r="E121" s="13">
        <f>INDEX(tblModelStoreScore[return_rate_last6],MATCH(88,tblModelStoreScore[store_id],0))</f>
        <v>3.7600000000000001E-2</v>
      </c>
      <c r="F121" s="13">
        <f>INDEX(tblModelStoreScore[discount_leak_pct_last6],MATCH(88,tblModelStoreScore[store_id],0))</f>
        <v>6.6400000000000001E-2</v>
      </c>
      <c r="G121" s="13">
        <f>INDEX(tblModelStoreScore[revenue_growth_pct],MATCH(88,tblModelStoreScore[store_id],0))</f>
        <v>0.45779999999999998</v>
      </c>
      <c r="H121" s="22">
        <f t="shared" si="24"/>
        <v>38.123167155425229</v>
      </c>
      <c r="I121" s="22">
        <f t="shared" si="25"/>
        <v>0</v>
      </c>
      <c r="J121" s="22">
        <f t="shared" si="26"/>
        <v>55.907172995780599</v>
      </c>
      <c r="K121" s="22">
        <f t="shared" si="27"/>
        <v>33.908045977011504</v>
      </c>
      <c r="L121" s="22">
        <f t="shared" si="28"/>
        <v>51.00200400801603</v>
      </c>
      <c r="M121" s="23">
        <f t="shared" si="29"/>
        <v>32.804792043137013</v>
      </c>
      <c r="N121">
        <f t="shared" si="30"/>
        <v>114</v>
      </c>
      <c r="O121" t="str">
        <f t="shared" si="31"/>
        <v>Priority Intervention</v>
      </c>
    </row>
    <row r="122" spans="1:15" x14ac:dyDescent="0.3">
      <c r="A122" t="str">
        <f>INDEX(tblModelStoreScore[store_name],MATCH(104,tblModelStoreScore[store_id],0))</f>
        <v>Nova Retail - Thrissur Standard</v>
      </c>
      <c r="B122" t="str">
        <f>INDEX(tblModelStoreScore[region_name],MATCH(104,tblModelStoreScore[store_id],0))</f>
        <v>Kerala</v>
      </c>
      <c r="C122" s="13">
        <f>INDEX(tblModelStoreScore[margin_pct_last6],MATCH(104,tblModelStoreScore[store_id],0))</f>
        <v>0.16700000000000001</v>
      </c>
      <c r="D122" s="13">
        <f>INDEX(tblModelStoreScore[margin_trend_pp],MATCH(104,tblModelStoreScore[store_id],0))</f>
        <v>0.02</v>
      </c>
      <c r="E122" s="13">
        <f>INDEX(tblModelStoreScore[return_rate_last6],MATCH(104,tblModelStoreScore[store_id],0))</f>
        <v>3.5700000000000003E-2</v>
      </c>
      <c r="F122" s="13">
        <f>INDEX(tblModelStoreScore[discount_leak_pct_last6],MATCH(104,tblModelStoreScore[store_id],0))</f>
        <v>6.1899999999999997E-2</v>
      </c>
      <c r="G122" s="13">
        <f>INDEX(tblModelStoreScore[revenue_growth_pct],MATCH(104,tblModelStoreScore[store_id],0))</f>
        <v>0.49070000000000003</v>
      </c>
      <c r="H122" s="22">
        <f t="shared" si="24"/>
        <v>22.287390029325568</v>
      </c>
      <c r="I122" s="22">
        <f t="shared" si="25"/>
        <v>12.5</v>
      </c>
      <c r="J122" s="22">
        <f t="shared" si="26"/>
        <v>59.915611814345993</v>
      </c>
      <c r="K122" s="22">
        <f t="shared" si="27"/>
        <v>46.83908045977013</v>
      </c>
      <c r="L122" s="22">
        <f t="shared" si="28"/>
        <v>53.537844920610453</v>
      </c>
      <c r="M122" s="23">
        <f t="shared" si="29"/>
        <v>34.173985932693434</v>
      </c>
      <c r="N122">
        <f t="shared" si="30"/>
        <v>110</v>
      </c>
      <c r="O122" t="str">
        <f t="shared" si="31"/>
        <v>Priority Intervention</v>
      </c>
    </row>
    <row r="123" spans="1:15" x14ac:dyDescent="0.3">
      <c r="A123" t="str">
        <f>INDEX(tblModelStoreScore[store_name],MATCH(74,tblModelStoreScore[store_id],0))</f>
        <v>Nova Retail - Udaipur Standard</v>
      </c>
      <c r="B123" t="str">
        <f>INDEX(tblModelStoreScore[region_name],MATCH(74,tblModelStoreScore[store_id],0))</f>
        <v>Rajasthan</v>
      </c>
      <c r="C123" s="13">
        <f>INDEX(tblModelStoreScore[margin_pct_last6],MATCH(74,tblModelStoreScore[store_id],0))</f>
        <v>0.18079999999999999</v>
      </c>
      <c r="D123" s="13">
        <f>INDEX(tblModelStoreScore[margin_trend_pp],MATCH(74,tblModelStoreScore[store_id],0))</f>
        <v>0.05</v>
      </c>
      <c r="E123" s="13">
        <f>INDEX(tblModelStoreScore[return_rate_last6],MATCH(74,tblModelStoreScore[store_id],0))</f>
        <v>3.8699999999999998E-2</v>
      </c>
      <c r="F123" s="13">
        <f>INDEX(tblModelStoreScore[discount_leak_pct_last6],MATCH(74,tblModelStoreScore[store_id],0))</f>
        <v>5.3699999999999998E-2</v>
      </c>
      <c r="G123" s="13">
        <f>INDEX(tblModelStoreScore[revenue_growth_pct],MATCH(74,tblModelStoreScore[store_id],0))</f>
        <v>0.25750000000000001</v>
      </c>
      <c r="H123" s="22">
        <f t="shared" si="24"/>
        <v>62.756598240469174</v>
      </c>
      <c r="I123" s="22">
        <f t="shared" si="25"/>
        <v>50</v>
      </c>
      <c r="J123" s="22">
        <f t="shared" si="26"/>
        <v>53.586497890295369</v>
      </c>
      <c r="K123" s="22">
        <f t="shared" si="27"/>
        <v>70.402298850574724</v>
      </c>
      <c r="L123" s="22">
        <f t="shared" si="28"/>
        <v>35.563434561430554</v>
      </c>
      <c r="M123" s="23">
        <f t="shared" si="29"/>
        <v>56.160967333929086</v>
      </c>
      <c r="N123">
        <f t="shared" si="30"/>
        <v>28</v>
      </c>
      <c r="O123" t="str">
        <f t="shared" si="31"/>
        <v/>
      </c>
    </row>
    <row r="124" spans="1:15" x14ac:dyDescent="0.3">
      <c r="A124" t="str">
        <f>INDEX(tblModelStoreScore[store_name],MATCH(77,tblModelStoreScore[store_id],0))</f>
        <v>Nova Retail - Vadodara Compact</v>
      </c>
      <c r="B124" t="str">
        <f>INDEX(tblModelStoreScore[region_name],MATCH(77,tblModelStoreScore[store_id],0))</f>
        <v>Gujarat</v>
      </c>
      <c r="C124" s="13">
        <f>INDEX(tblModelStoreScore[margin_pct_last6],MATCH(77,tblModelStoreScore[store_id],0))</f>
        <v>0.1779</v>
      </c>
      <c r="D124" s="13">
        <f>INDEX(tblModelStoreScore[margin_trend_pp],MATCH(77,tblModelStoreScore[store_id],0))</f>
        <v>0.04</v>
      </c>
      <c r="E124" s="13">
        <f>INDEX(tblModelStoreScore[return_rate_last6],MATCH(77,tblModelStoreScore[store_id],0))</f>
        <v>5.0299999999999997E-2</v>
      </c>
      <c r="F124" s="13">
        <f>INDEX(tblModelStoreScore[discount_leak_pct_last6],MATCH(77,tblModelStoreScore[store_id],0))</f>
        <v>6.2799999999999995E-2</v>
      </c>
      <c r="G124" s="13">
        <f>INDEX(tblModelStoreScore[revenue_growth_pct],MATCH(77,tblModelStoreScore[store_id],0))</f>
        <v>-0.2039</v>
      </c>
      <c r="H124" s="22">
        <f t="shared" si="24"/>
        <v>54.252199413489755</v>
      </c>
      <c r="I124" s="22">
        <f t="shared" si="25"/>
        <v>37.5</v>
      </c>
      <c r="J124" s="22">
        <f t="shared" si="26"/>
        <v>29.113924050632921</v>
      </c>
      <c r="K124" s="22">
        <f t="shared" si="27"/>
        <v>44.252873563218415</v>
      </c>
      <c r="L124" s="22">
        <f t="shared" si="28"/>
        <v>0</v>
      </c>
      <c r="M124" s="23">
        <f t="shared" si="29"/>
        <v>38.111375668656272</v>
      </c>
      <c r="N124">
        <f t="shared" si="30"/>
        <v>105</v>
      </c>
      <c r="O124" t="str">
        <f t="shared" si="31"/>
        <v>Priority Intervention</v>
      </c>
    </row>
    <row r="125" spans="1:15" x14ac:dyDescent="0.3">
      <c r="A125" t="str">
        <f>INDEX(tblModelStoreScore[store_name],MATCH(87,tblModelStoreScore[store_id],0))</f>
        <v>Nova Retail - Vadodara Compact</v>
      </c>
      <c r="B125" t="str">
        <f>INDEX(tblModelStoreScore[region_name],MATCH(87,tblModelStoreScore[store_id],0))</f>
        <v>Gujarat</v>
      </c>
      <c r="C125" s="13">
        <f>INDEX(tblModelStoreScore[margin_pct_last6],MATCH(87,tblModelStoreScore[store_id],0))</f>
        <v>0.17829999999999999</v>
      </c>
      <c r="D125" s="13">
        <f>INDEX(tblModelStoreScore[margin_trend_pp],MATCH(87,tblModelStoreScore[store_id],0))</f>
        <v>0.04</v>
      </c>
      <c r="E125" s="13">
        <f>INDEX(tblModelStoreScore[return_rate_last6],MATCH(87,tblModelStoreScore[store_id],0))</f>
        <v>2.64E-2</v>
      </c>
      <c r="F125" s="13">
        <f>INDEX(tblModelStoreScore[discount_leak_pct_last6],MATCH(87,tblModelStoreScore[store_id],0))</f>
        <v>6.6000000000000003E-2</v>
      </c>
      <c r="G125" s="13">
        <f>INDEX(tblModelStoreScore[revenue_growth_pct],MATCH(87,tblModelStoreScore[store_id],0))</f>
        <v>0.45069999999999999</v>
      </c>
      <c r="H125" s="22">
        <f t="shared" si="24"/>
        <v>55.425219941348949</v>
      </c>
      <c r="I125" s="22">
        <f t="shared" si="25"/>
        <v>37.5</v>
      </c>
      <c r="J125" s="22">
        <f t="shared" si="26"/>
        <v>79.535864978902964</v>
      </c>
      <c r="K125" s="22">
        <f t="shared" si="27"/>
        <v>35.05747126436782</v>
      </c>
      <c r="L125" s="22">
        <f t="shared" si="28"/>
        <v>50.454755665176506</v>
      </c>
      <c r="M125" s="23">
        <f t="shared" si="29"/>
        <v>52.2138352343581</v>
      </c>
      <c r="N125">
        <f t="shared" si="30"/>
        <v>38</v>
      </c>
      <c r="O125" t="str">
        <f t="shared" si="31"/>
        <v/>
      </c>
    </row>
    <row r="126" spans="1:15" x14ac:dyDescent="0.3">
      <c r="A126" t="str">
        <f>INDEX(tblModelStoreScore[store_name],MATCH(51,tblModelStoreScore[store_id],0))</f>
        <v>Nova Retail - Vadodara Standard</v>
      </c>
      <c r="B126" t="str">
        <f>INDEX(tblModelStoreScore[region_name],MATCH(51,tblModelStoreScore[store_id],0))</f>
        <v>Gujarat</v>
      </c>
      <c r="C126" s="13">
        <f>INDEX(tblModelStoreScore[margin_pct_last6],MATCH(51,tblModelStoreScore[store_id],0))</f>
        <v>0.18099999999999999</v>
      </c>
      <c r="D126" s="13">
        <f>INDEX(tblModelStoreScore[margin_trend_pp],MATCH(51,tblModelStoreScore[store_id],0))</f>
        <v>0.04</v>
      </c>
      <c r="E126" s="13">
        <f>INDEX(tblModelStoreScore[return_rate_last6],MATCH(51,tblModelStoreScore[store_id],0))</f>
        <v>3.4200000000000001E-2</v>
      </c>
      <c r="F126" s="13">
        <f>INDEX(tblModelStoreScore[discount_leak_pct_last6],MATCH(51,tblModelStoreScore[store_id],0))</f>
        <v>6.2199999999999998E-2</v>
      </c>
      <c r="G126" s="13">
        <f>INDEX(tblModelStoreScore[revenue_growth_pct],MATCH(51,tblModelStoreScore[store_id],0))</f>
        <v>0.58679999999999999</v>
      </c>
      <c r="H126" s="22">
        <f t="shared" si="24"/>
        <v>63.343108504398813</v>
      </c>
      <c r="I126" s="22">
        <f t="shared" si="25"/>
        <v>37.5</v>
      </c>
      <c r="J126" s="22">
        <f t="shared" si="26"/>
        <v>63.080168776371302</v>
      </c>
      <c r="K126" s="22">
        <f t="shared" si="27"/>
        <v>45.977011494252892</v>
      </c>
      <c r="L126" s="22">
        <f t="shared" si="28"/>
        <v>60.944966856790508</v>
      </c>
      <c r="M126" s="23">
        <f t="shared" si="29"/>
        <v>53.985014716410888</v>
      </c>
      <c r="N126">
        <f t="shared" si="30"/>
        <v>35</v>
      </c>
      <c r="O126" t="str">
        <f t="shared" si="31"/>
        <v/>
      </c>
    </row>
    <row r="127" spans="1:15" x14ac:dyDescent="0.3">
      <c r="A127" t="str">
        <f>INDEX(tblModelStoreScore[store_name],MATCH(69,tblModelStoreScore[store_id],0))</f>
        <v>Nova Retail - Vadodara Standard</v>
      </c>
      <c r="B127" t="str">
        <f>INDEX(tblModelStoreScore[region_name],MATCH(69,tblModelStoreScore[store_id],0))</f>
        <v>Gujarat</v>
      </c>
      <c r="C127" s="13">
        <f>INDEX(tblModelStoreScore[margin_pct_last6],MATCH(69,tblModelStoreScore[store_id],0))</f>
        <v>0.1673</v>
      </c>
      <c r="D127" s="13">
        <f>INDEX(tblModelStoreScore[margin_trend_pp],MATCH(69,tblModelStoreScore[store_id],0))</f>
        <v>0.04</v>
      </c>
      <c r="E127" s="13">
        <f>INDEX(tblModelStoreScore[return_rate_last6],MATCH(69,tblModelStoreScore[store_id],0))</f>
        <v>3.9100000000000003E-2</v>
      </c>
      <c r="F127" s="13">
        <f>INDEX(tblModelStoreScore[discount_leak_pct_last6],MATCH(69,tblModelStoreScore[store_id],0))</f>
        <v>6.7599999999999993E-2</v>
      </c>
      <c r="G127" s="13">
        <f>INDEX(tblModelStoreScore[revenue_growth_pct],MATCH(69,tblModelStoreScore[store_id],0))</f>
        <v>6.4699999999999994E-2</v>
      </c>
      <c r="H127" s="22">
        <f t="shared" si="24"/>
        <v>23.167155425219981</v>
      </c>
      <c r="I127" s="22">
        <f t="shared" si="25"/>
        <v>37.5</v>
      </c>
      <c r="J127" s="22">
        <f t="shared" si="26"/>
        <v>52.742616033755276</v>
      </c>
      <c r="K127" s="22">
        <f t="shared" si="27"/>
        <v>30.459770114942557</v>
      </c>
      <c r="L127" s="22">
        <f t="shared" si="28"/>
        <v>20.702944350238941</v>
      </c>
      <c r="M127" s="23">
        <f t="shared" si="29"/>
        <v>33.512929786582326</v>
      </c>
      <c r="N127">
        <f t="shared" si="30"/>
        <v>111</v>
      </c>
      <c r="O127" t="str">
        <f t="shared" si="31"/>
        <v>Priority Intervention</v>
      </c>
    </row>
    <row r="128" spans="1:15" x14ac:dyDescent="0.3">
      <c r="A128" t="str">
        <f>INDEX(tblModelStoreScore[store_name],MATCH(53,tblModelStoreScore[store_id],0))</f>
        <v>Nova Retail - Vijayawada Standard</v>
      </c>
      <c r="B128" t="str">
        <f>INDEX(tblModelStoreScore[region_name],MATCH(53,tblModelStoreScore[store_id],0))</f>
        <v>Telangana-AP</v>
      </c>
      <c r="C128" s="13">
        <f>INDEX(tblModelStoreScore[margin_pct_last6],MATCH(53,tblModelStoreScore[store_id],0))</f>
        <v>0.18179999999999999</v>
      </c>
      <c r="D128" s="13">
        <f>INDEX(tblModelStoreScore[margin_trend_pp],MATCH(53,tblModelStoreScore[store_id],0))</f>
        <v>0.03</v>
      </c>
      <c r="E128" s="13">
        <f>INDEX(tblModelStoreScore[return_rate_last6],MATCH(53,tblModelStoreScore[store_id],0))</f>
        <v>4.2999999999999997E-2</v>
      </c>
      <c r="F128" s="13">
        <f>INDEX(tblModelStoreScore[discount_leak_pct_last6],MATCH(53,tblModelStoreScore[store_id],0))</f>
        <v>5.6500000000000002E-2</v>
      </c>
      <c r="G128" s="13">
        <f>INDEX(tblModelStoreScore[revenue_growth_pct],MATCH(53,tblModelStoreScore[store_id],0))</f>
        <v>0.1537</v>
      </c>
      <c r="H128" s="22">
        <f t="shared" si="24"/>
        <v>65.689149560117272</v>
      </c>
      <c r="I128" s="22">
        <f t="shared" si="25"/>
        <v>24.999999999999993</v>
      </c>
      <c r="J128" s="22">
        <f t="shared" si="26"/>
        <v>44.514767932489463</v>
      </c>
      <c r="K128" s="22">
        <f t="shared" si="27"/>
        <v>62.356321839080465</v>
      </c>
      <c r="L128" s="22">
        <f t="shared" si="28"/>
        <v>27.562817943579471</v>
      </c>
      <c r="M128" s="23">
        <f t="shared" si="29"/>
        <v>46.969428524753091</v>
      </c>
      <c r="N128">
        <f t="shared" si="30"/>
        <v>63</v>
      </c>
      <c r="O128" t="str">
        <f t="shared" si="31"/>
        <v/>
      </c>
    </row>
    <row r="129" spans="1:15" x14ac:dyDescent="0.3">
      <c r="A129" t="str">
        <f>INDEX(tblModelStoreScore[store_name],MATCH(64,tblModelStoreScore[store_id],0))</f>
        <v>Nova Retail - Visakhapatnam Compact</v>
      </c>
      <c r="B129" t="str">
        <f>INDEX(tblModelStoreScore[region_name],MATCH(64,tblModelStoreScore[store_id],0))</f>
        <v>Telangana-AP</v>
      </c>
      <c r="C129" s="13">
        <f>INDEX(tblModelStoreScore[margin_pct_last6],MATCH(64,tblModelStoreScore[store_id],0))</f>
        <v>0.18099999999999999</v>
      </c>
      <c r="D129" s="13">
        <f>INDEX(tblModelStoreScore[margin_trend_pp],MATCH(64,tblModelStoreScore[store_id],0))</f>
        <v>0.02</v>
      </c>
      <c r="E129" s="13">
        <f>INDEX(tblModelStoreScore[return_rate_last6],MATCH(64,tblModelStoreScore[store_id],0))</f>
        <v>3.3599999999999998E-2</v>
      </c>
      <c r="F129" s="13">
        <f>INDEX(tblModelStoreScore[discount_leak_pct_last6],MATCH(64,tblModelStoreScore[store_id],0))</f>
        <v>5.4300000000000001E-2</v>
      </c>
      <c r="G129" s="13">
        <f>INDEX(tblModelStoreScore[revenue_growth_pct],MATCH(64,tblModelStoreScore[store_id],0))</f>
        <v>0.2681</v>
      </c>
      <c r="H129" s="22">
        <f t="shared" si="24"/>
        <v>63.343108504398813</v>
      </c>
      <c r="I129" s="22">
        <f t="shared" si="25"/>
        <v>12.5</v>
      </c>
      <c r="J129" s="22">
        <f t="shared" si="26"/>
        <v>64.345991561181435</v>
      </c>
      <c r="K129" s="22">
        <f t="shared" si="27"/>
        <v>68.678160919540232</v>
      </c>
      <c r="L129" s="22">
        <f t="shared" si="28"/>
        <v>36.38045321412055</v>
      </c>
      <c r="M129" s="23">
        <f t="shared" si="29"/>
        <v>48.936900322899021</v>
      </c>
      <c r="N129">
        <f t="shared" si="30"/>
        <v>55</v>
      </c>
      <c r="O129" t="str">
        <f t="shared" si="31"/>
        <v/>
      </c>
    </row>
    <row r="130" spans="1:15" x14ac:dyDescent="0.3">
      <c r="A130" t="str">
        <f>INDEX(tblModelStoreScore[store_name],MATCH(118,tblModelStoreScore[store_id],0))</f>
        <v>Nova Retail - Visakhapatnam Compact</v>
      </c>
      <c r="B130" t="str">
        <f>INDEX(tblModelStoreScore[region_name],MATCH(118,tblModelStoreScore[store_id],0))</f>
        <v>Telangana-AP</v>
      </c>
      <c r="C130" s="13">
        <f>INDEX(tblModelStoreScore[margin_pct_last6],MATCH(118,tblModelStoreScore[store_id],0))</f>
        <v>0.1759</v>
      </c>
      <c r="D130" s="13">
        <f>INDEX(tblModelStoreScore[margin_trend_pp],MATCH(118,tblModelStoreScore[store_id],0))</f>
        <v>0.01</v>
      </c>
      <c r="E130" s="13">
        <f>INDEX(tblModelStoreScore[return_rate_last6],MATCH(118,tblModelStoreScore[store_id],0))</f>
        <v>2.53E-2</v>
      </c>
      <c r="F130" s="13">
        <f>INDEX(tblModelStoreScore[discount_leak_pct_last6],MATCH(118,tblModelStoreScore[store_id],0))</f>
        <v>5.8900000000000001E-2</v>
      </c>
      <c r="G130" s="13">
        <f>INDEX(tblModelStoreScore[revenue_growth_pct],MATCH(118,tblModelStoreScore[store_id],0))</f>
        <v>1.0934999999999999</v>
      </c>
      <c r="H130" s="22">
        <f t="shared" si="24"/>
        <v>48.387096774193566</v>
      </c>
      <c r="I130" s="22">
        <f t="shared" si="25"/>
        <v>0</v>
      </c>
      <c r="J130" s="22">
        <f t="shared" si="26"/>
        <v>81.856540084388186</v>
      </c>
      <c r="K130" s="22">
        <f t="shared" si="27"/>
        <v>55.459770114942529</v>
      </c>
      <c r="L130" s="22">
        <f t="shared" si="28"/>
        <v>100</v>
      </c>
      <c r="M130" s="23">
        <f t="shared" si="29"/>
        <v>49.206402566377086</v>
      </c>
      <c r="N130">
        <f t="shared" si="30"/>
        <v>54</v>
      </c>
      <c r="O130" t="str">
        <f t="shared" si="31"/>
        <v/>
      </c>
    </row>
    <row r="131" spans="1:15" x14ac:dyDescent="0.3">
      <c r="A131" t="str">
        <f>INDEX(tblModelStoreScore[store_name],MATCH(32,tblModelStoreScore[store_id],0))</f>
        <v>Nova Retail - Visakhapatnam Standard</v>
      </c>
      <c r="B131" t="str">
        <f>INDEX(tblModelStoreScore[region_name],MATCH(32,tblModelStoreScore[store_id],0))</f>
        <v>Telangana-AP</v>
      </c>
      <c r="C131" s="13">
        <f>INDEX(tblModelStoreScore[margin_pct_last6],MATCH(32,tblModelStoreScore[store_id],0))</f>
        <v>0.16919999999999999</v>
      </c>
      <c r="D131" s="13">
        <f>INDEX(tblModelStoreScore[margin_trend_pp],MATCH(32,tblModelStoreScore[store_id],0))</f>
        <v>0.04</v>
      </c>
      <c r="E131" s="13">
        <f>INDEX(tblModelStoreScore[return_rate_last6],MATCH(32,tblModelStoreScore[store_id],0))</f>
        <v>4.1300000000000003E-2</v>
      </c>
      <c r="F131" s="13">
        <f>INDEX(tblModelStoreScore[discount_leak_pct_last6],MATCH(32,tblModelStoreScore[store_id],0))</f>
        <v>6.2199999999999998E-2</v>
      </c>
      <c r="G131" s="13">
        <f>INDEX(tblModelStoreScore[revenue_growth_pct],MATCH(32,tblModelStoreScore[store_id],0))</f>
        <v>0.30819999999999997</v>
      </c>
      <c r="H131" s="22">
        <f t="shared" si="24"/>
        <v>28.739002932551312</v>
      </c>
      <c r="I131" s="22">
        <f t="shared" si="25"/>
        <v>37.5</v>
      </c>
      <c r="J131" s="22">
        <f t="shared" si="26"/>
        <v>48.101265822784804</v>
      </c>
      <c r="K131" s="22">
        <f t="shared" si="27"/>
        <v>45.977011494252892</v>
      </c>
      <c r="L131" s="22">
        <f t="shared" si="28"/>
        <v>39.471250192693077</v>
      </c>
      <c r="M131" s="23">
        <f t="shared" si="29"/>
        <v>38.460630787729599</v>
      </c>
      <c r="N131">
        <f t="shared" si="30"/>
        <v>104</v>
      </c>
      <c r="O131" t="str">
        <f t="shared" si="31"/>
        <v>Priority Intervention</v>
      </c>
    </row>
    <row r="132" spans="1:15" x14ac:dyDescent="0.3">
      <c r="A132" t="str">
        <f>INDEX(tblModelStoreScore[store_name],MATCH(37,tblModelStoreScore[store_id],0))</f>
        <v>Nova Retail - Visakhapatnam Standard</v>
      </c>
      <c r="B132" t="str">
        <f>INDEX(tblModelStoreScore[region_name],MATCH(37,tblModelStoreScore[store_id],0))</f>
        <v>Telangana-AP</v>
      </c>
      <c r="C132" s="13">
        <f>INDEX(tblModelStoreScore[margin_pct_last6],MATCH(37,tblModelStoreScore[store_id],0))</f>
        <v>0.17469999999999999</v>
      </c>
      <c r="D132" s="13">
        <f>INDEX(tblModelStoreScore[margin_trend_pp],MATCH(37,tblModelStoreScore[store_id],0))</f>
        <v>0.02</v>
      </c>
      <c r="E132" s="13">
        <f>INDEX(tblModelStoreScore[return_rate_last6],MATCH(37,tblModelStoreScore[store_id],0))</f>
        <v>2.6499999999999999E-2</v>
      </c>
      <c r="F132" s="13">
        <f>INDEX(tblModelStoreScore[discount_leak_pct_last6],MATCH(37,tblModelStoreScore[store_id],0))</f>
        <v>5.7299999999999997E-2</v>
      </c>
      <c r="G132" s="13">
        <f>INDEX(tblModelStoreScore[revenue_growth_pct],MATCH(37,tblModelStoreScore[store_id],0))</f>
        <v>0.2286</v>
      </c>
      <c r="H132" s="22">
        <f t="shared" si="24"/>
        <v>44.868035190615835</v>
      </c>
      <c r="I132" s="22">
        <f t="shared" si="25"/>
        <v>12.5</v>
      </c>
      <c r="J132" s="22">
        <f t="shared" si="26"/>
        <v>79.324894514767948</v>
      </c>
      <c r="K132" s="22">
        <f t="shared" si="27"/>
        <v>60.057471264367834</v>
      </c>
      <c r="L132" s="22">
        <f t="shared" si="28"/>
        <v>33.335902574379531</v>
      </c>
      <c r="M132" s="23">
        <f t="shared" si="29"/>
        <v>44.792600407231468</v>
      </c>
      <c r="N132">
        <f t="shared" si="30"/>
        <v>73</v>
      </c>
      <c r="O132" t="str">
        <f t="shared" si="31"/>
        <v/>
      </c>
    </row>
    <row r="133" spans="1:15" x14ac:dyDescent="0.3">
      <c r="A133" t="str">
        <f>INDEX(tblModelStoreScore[store_name],MATCH(41,tblModelStoreScore[store_id],0))</f>
        <v>Nova Retail - Warangal Compact</v>
      </c>
      <c r="B133" t="str">
        <f>INDEX(tblModelStoreScore[region_name],MATCH(41,tblModelStoreScore[store_id],0))</f>
        <v>Telangana-AP</v>
      </c>
      <c r="C133" s="13">
        <f>INDEX(tblModelStoreScore[margin_pct_last6],MATCH(41,tblModelStoreScore[store_id],0))</f>
        <v>0.1706</v>
      </c>
      <c r="D133" s="13">
        <f>INDEX(tblModelStoreScore[margin_trend_pp],MATCH(41,tblModelStoreScore[store_id],0))</f>
        <v>0.01</v>
      </c>
      <c r="E133" s="13">
        <f>INDEX(tblModelStoreScore[return_rate_last6],MATCH(41,tblModelStoreScore[store_id],0))</f>
        <v>4.3799999999999999E-2</v>
      </c>
      <c r="F133" s="13">
        <f>INDEX(tblModelStoreScore[discount_leak_pct_last6],MATCH(41,tblModelStoreScore[store_id],0))</f>
        <v>6.3399999999999998E-2</v>
      </c>
      <c r="G133" s="13">
        <f>INDEX(tblModelStoreScore[revenue_growth_pct],MATCH(41,tblModelStoreScore[store_id],0))</f>
        <v>0.621</v>
      </c>
      <c r="H133" s="22">
        <f t="shared" si="24"/>
        <v>32.844574780058679</v>
      </c>
      <c r="I133" s="22">
        <f t="shared" si="25"/>
        <v>0</v>
      </c>
      <c r="J133" s="22">
        <f t="shared" si="26"/>
        <v>42.827004219409289</v>
      </c>
      <c r="K133" s="22">
        <f t="shared" si="27"/>
        <v>42.528735632183924</v>
      </c>
      <c r="L133" s="22">
        <f t="shared" si="28"/>
        <v>63.581008170186529</v>
      </c>
      <c r="M133" s="23">
        <f t="shared" si="29"/>
        <v>31.156184439745701</v>
      </c>
      <c r="N133">
        <f t="shared" si="30"/>
        <v>116</v>
      </c>
      <c r="O133" t="str">
        <f t="shared" si="31"/>
        <v>Priority Intervention</v>
      </c>
    </row>
    <row r="134" spans="1:15" x14ac:dyDescent="0.3">
      <c r="A134" t="str">
        <f>INDEX(tblModelStoreScore[store_name],MATCH(40,tblModelStoreScore[store_id],0))</f>
        <v>Nova Retail - Warangal Standard</v>
      </c>
      <c r="B134" t="str">
        <f>INDEX(tblModelStoreScore[region_name],MATCH(40,tblModelStoreScore[store_id],0))</f>
        <v>Telangana-AP</v>
      </c>
      <c r="C134" s="13">
        <f>INDEX(tblModelStoreScore[margin_pct_last6],MATCH(40,tblModelStoreScore[store_id],0))</f>
        <v>0.16089999999999999</v>
      </c>
      <c r="D134" s="13">
        <f>INDEX(tblModelStoreScore[margin_trend_pp],MATCH(40,tblModelStoreScore[store_id],0))</f>
        <v>0.01</v>
      </c>
      <c r="E134" s="13">
        <f>INDEX(tblModelStoreScore[return_rate_last6],MATCH(40,tblModelStoreScore[store_id],0))</f>
        <v>2.1999999999999999E-2</v>
      </c>
      <c r="F134" s="13">
        <f>INDEX(tblModelStoreScore[discount_leak_pct_last6],MATCH(40,tblModelStoreScore[store_id],0))</f>
        <v>6.88E-2</v>
      </c>
      <c r="G134" s="13">
        <f>INDEX(tblModelStoreScore[revenue_growth_pct],MATCH(40,tblModelStoreScore[store_id],0))</f>
        <v>0.625</v>
      </c>
      <c r="H134" s="22">
        <f t="shared" si="24"/>
        <v>4.3988269794721422</v>
      </c>
      <c r="I134" s="22">
        <f t="shared" si="25"/>
        <v>0</v>
      </c>
      <c r="J134" s="22">
        <f t="shared" si="26"/>
        <v>88.81856540084388</v>
      </c>
      <c r="K134" s="22">
        <f t="shared" si="27"/>
        <v>27.011494252873575</v>
      </c>
      <c r="L134" s="22">
        <f t="shared" si="28"/>
        <v>63.889317095729922</v>
      </c>
      <c r="M134" s="23">
        <f t="shared" si="29"/>
        <v>29.52401702151445</v>
      </c>
      <c r="N134">
        <f t="shared" si="30"/>
        <v>118</v>
      </c>
      <c r="O134" t="str">
        <f t="shared" si="31"/>
        <v>Priority Intervention</v>
      </c>
    </row>
  </sheetData>
  <conditionalFormatting sqref="B11">
    <cfRule type="cellIs" dxfId="2" priority="1" operator="notEqual">
      <formula>1</formula>
    </cfRule>
  </conditionalFormatting>
  <conditionalFormatting sqref="O15:O134">
    <cfRule type="cellIs" dxfId="1" priority="2" operator="equal">
      <formula>"Priority Intervention"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C51"/>
  <sheetViews>
    <sheetView showGridLines="0" workbookViewId="0"/>
  </sheetViews>
  <sheetFormatPr defaultRowHeight="14.4" x14ac:dyDescent="0.3"/>
  <cols>
    <col min="1" max="1" width="12" customWidth="1"/>
    <col min="2" max="5" width="15" customWidth="1"/>
  </cols>
  <sheetData>
    <row r="1" spans="1:3" ht="16.8" x14ac:dyDescent="0.3">
      <c r="A1" s="10" t="s">
        <v>885</v>
      </c>
    </row>
    <row r="3" spans="1:3" x14ac:dyDescent="0.3">
      <c r="A3" s="24" t="s">
        <v>886</v>
      </c>
      <c r="B3" s="24" t="s">
        <v>800</v>
      </c>
      <c r="C3" s="24" t="s">
        <v>803</v>
      </c>
    </row>
    <row r="4" spans="1:3" x14ac:dyDescent="0.3">
      <c r="A4" t="str">
        <f>INDEX(tblModelOverallMonth[ym],1)</f>
        <v>2021-01</v>
      </c>
      <c r="B4" s="12">
        <f>INDEX(tblModelOverallMonth[revenue],1)</f>
        <v>196258182</v>
      </c>
      <c r="C4" s="13">
        <f>INDEX(tblModelOverallMonth[margin_pct],1)</f>
        <v>9.5200000000000007E-2</v>
      </c>
    </row>
    <row r="5" spans="1:3" x14ac:dyDescent="0.3">
      <c r="A5" t="str">
        <f>INDEX(tblModelOverallMonth[ym],2)</f>
        <v>2021-02</v>
      </c>
      <c r="B5" s="12">
        <f>INDEX(tblModelOverallMonth[revenue],2)</f>
        <v>178833814</v>
      </c>
      <c r="C5" s="13">
        <f>INDEX(tblModelOverallMonth[margin_pct],2)</f>
        <v>0.12429999999999999</v>
      </c>
    </row>
    <row r="6" spans="1:3" x14ac:dyDescent="0.3">
      <c r="A6" t="str">
        <f>INDEX(tblModelOverallMonth[ym],3)</f>
        <v>2021-03</v>
      </c>
      <c r="B6" s="12">
        <f>INDEX(tblModelOverallMonth[revenue],3)</f>
        <v>215985173</v>
      </c>
      <c r="C6" s="13">
        <f>INDEX(tblModelOverallMonth[margin_pct],3)</f>
        <v>0.1605</v>
      </c>
    </row>
    <row r="7" spans="1:3" x14ac:dyDescent="0.3">
      <c r="A7" t="str">
        <f>INDEX(tblModelOverallMonth[ym],4)</f>
        <v>2021-04</v>
      </c>
      <c r="B7" s="12">
        <f>INDEX(tblModelOverallMonth[revenue],4)</f>
        <v>222112137</v>
      </c>
      <c r="C7" s="13">
        <f>INDEX(tblModelOverallMonth[margin_pct],4)</f>
        <v>0.1206</v>
      </c>
    </row>
    <row r="8" spans="1:3" x14ac:dyDescent="0.3">
      <c r="A8" t="str">
        <f>INDEX(tblModelOverallMonth[ym],5)</f>
        <v>2021-05</v>
      </c>
      <c r="B8" s="12">
        <f>INDEX(tblModelOverallMonth[revenue],5)</f>
        <v>249111988</v>
      </c>
      <c r="C8" s="13">
        <f>INDEX(tblModelOverallMonth[margin_pct],5)</f>
        <v>0.1263</v>
      </c>
    </row>
    <row r="9" spans="1:3" x14ac:dyDescent="0.3">
      <c r="A9" t="str">
        <f>INDEX(tblModelOverallMonth[ym],6)</f>
        <v>2021-06</v>
      </c>
      <c r="B9" s="12">
        <f>INDEX(tblModelOverallMonth[revenue],6)</f>
        <v>232257296</v>
      </c>
      <c r="C9" s="13">
        <f>INDEX(tblModelOverallMonth[margin_pct],6)</f>
        <v>0.1278</v>
      </c>
    </row>
    <row r="10" spans="1:3" x14ac:dyDescent="0.3">
      <c r="A10" t="str">
        <f>INDEX(tblModelOverallMonth[ym],7)</f>
        <v>2021-07</v>
      </c>
      <c r="B10" s="12">
        <f>INDEX(tblModelOverallMonth[revenue],7)</f>
        <v>219645765</v>
      </c>
      <c r="C10" s="13">
        <f>INDEX(tblModelOverallMonth[margin_pct],7)</f>
        <v>0.12130000000000001</v>
      </c>
    </row>
    <row r="11" spans="1:3" x14ac:dyDescent="0.3">
      <c r="A11" t="str">
        <f>INDEX(tblModelOverallMonth[ym],8)</f>
        <v>2021-08</v>
      </c>
      <c r="B11" s="12">
        <f>INDEX(tblModelOverallMonth[revenue],8)</f>
        <v>243118909</v>
      </c>
      <c r="C11" s="13">
        <f>INDEX(tblModelOverallMonth[margin_pct],8)</f>
        <v>0.15490000000000001</v>
      </c>
    </row>
    <row r="12" spans="1:3" x14ac:dyDescent="0.3">
      <c r="A12" t="str">
        <f>INDEX(tblModelOverallMonth[ym],9)</f>
        <v>2021-09</v>
      </c>
      <c r="B12" s="12">
        <f>INDEX(tblModelOverallMonth[revenue],9)</f>
        <v>238960088</v>
      </c>
      <c r="C12" s="13">
        <f>INDEX(tblModelOverallMonth[margin_pct],9)</f>
        <v>0.1305</v>
      </c>
    </row>
    <row r="13" spans="1:3" x14ac:dyDescent="0.3">
      <c r="A13" t="str">
        <f>INDEX(tblModelOverallMonth[ym],10)</f>
        <v>2021-10</v>
      </c>
      <c r="B13" s="12">
        <f>INDEX(tblModelOverallMonth[revenue],10)</f>
        <v>351828947</v>
      </c>
      <c r="C13" s="13">
        <f>INDEX(tblModelOverallMonth[margin_pct],10)</f>
        <v>0.15540000000000001</v>
      </c>
    </row>
    <row r="14" spans="1:3" x14ac:dyDescent="0.3">
      <c r="A14" t="str">
        <f>INDEX(tblModelOverallMonth[ym],11)</f>
        <v>2021-11</v>
      </c>
      <c r="B14" s="12">
        <f>INDEX(tblModelOverallMonth[revenue],11)</f>
        <v>342872940</v>
      </c>
      <c r="C14" s="13">
        <f>INDEX(tblModelOverallMonth[margin_pct],11)</f>
        <v>0.1724</v>
      </c>
    </row>
    <row r="15" spans="1:3" x14ac:dyDescent="0.3">
      <c r="A15" t="str">
        <f>INDEX(tblModelOverallMonth[ym],12)</f>
        <v>2021-12</v>
      </c>
      <c r="B15" s="12">
        <f>INDEX(tblModelOverallMonth[revenue],12)</f>
        <v>341260894</v>
      </c>
      <c r="C15" s="13">
        <f>INDEX(tblModelOverallMonth[margin_pct],12)</f>
        <v>0.15970000000000001</v>
      </c>
    </row>
    <row r="16" spans="1:3" x14ac:dyDescent="0.3">
      <c r="A16" t="str">
        <f>INDEX(tblModelOverallMonth[ym],13)</f>
        <v>2022-01</v>
      </c>
      <c r="B16" s="12">
        <f>INDEX(tblModelOverallMonth[revenue],13)</f>
        <v>292334349</v>
      </c>
      <c r="C16" s="13">
        <f>INDEX(tblModelOverallMonth[margin_pct],13)</f>
        <v>0.16420000000000001</v>
      </c>
    </row>
    <row r="17" spans="1:3" x14ac:dyDescent="0.3">
      <c r="A17" t="str">
        <f>INDEX(tblModelOverallMonth[ym],14)</f>
        <v>2022-02</v>
      </c>
      <c r="B17" s="12">
        <f>INDEX(tblModelOverallMonth[revenue],14)</f>
        <v>256472632</v>
      </c>
      <c r="C17" s="13">
        <f>INDEX(tblModelOverallMonth[margin_pct],14)</f>
        <v>0.1643</v>
      </c>
    </row>
    <row r="18" spans="1:3" x14ac:dyDescent="0.3">
      <c r="A18" t="str">
        <f>INDEX(tblModelOverallMonth[ym],15)</f>
        <v>2022-03</v>
      </c>
      <c r="B18" s="12">
        <f>INDEX(tblModelOverallMonth[revenue],15)</f>
        <v>324325667</v>
      </c>
      <c r="C18" s="13">
        <f>INDEX(tblModelOverallMonth[margin_pct],15)</f>
        <v>0.14319999999999999</v>
      </c>
    </row>
    <row r="19" spans="1:3" x14ac:dyDescent="0.3">
      <c r="A19" t="str">
        <f>INDEX(tblModelOverallMonth[ym],16)</f>
        <v>2022-04</v>
      </c>
      <c r="B19" s="12">
        <f>INDEX(tblModelOverallMonth[revenue],16)</f>
        <v>330363190</v>
      </c>
      <c r="C19" s="13">
        <f>INDEX(tblModelOverallMonth[margin_pct],16)</f>
        <v>0.1348</v>
      </c>
    </row>
    <row r="20" spans="1:3" x14ac:dyDescent="0.3">
      <c r="A20" t="str">
        <f>INDEX(tblModelOverallMonth[ym],17)</f>
        <v>2022-05</v>
      </c>
      <c r="B20" s="12">
        <f>INDEX(tblModelOverallMonth[revenue],17)</f>
        <v>349269144</v>
      </c>
      <c r="C20" s="13">
        <f>INDEX(tblModelOverallMonth[margin_pct],17)</f>
        <v>0.12659999999999999</v>
      </c>
    </row>
    <row r="21" spans="1:3" x14ac:dyDescent="0.3">
      <c r="A21" t="str">
        <f>INDEX(tblModelOverallMonth[ym],18)</f>
        <v>2022-06</v>
      </c>
      <c r="B21" s="12">
        <f>INDEX(tblModelOverallMonth[revenue],18)</f>
        <v>327040286</v>
      </c>
      <c r="C21" s="13">
        <f>INDEX(tblModelOverallMonth[margin_pct],18)</f>
        <v>0.14080000000000001</v>
      </c>
    </row>
    <row r="22" spans="1:3" x14ac:dyDescent="0.3">
      <c r="A22" t="str">
        <f>INDEX(tblModelOverallMonth[ym],19)</f>
        <v>2022-07</v>
      </c>
      <c r="B22" s="12">
        <f>INDEX(tblModelOverallMonth[revenue],19)</f>
        <v>322701646</v>
      </c>
      <c r="C22" s="13">
        <f>INDEX(tblModelOverallMonth[margin_pct],19)</f>
        <v>0.1143</v>
      </c>
    </row>
    <row r="23" spans="1:3" x14ac:dyDescent="0.3">
      <c r="A23" t="str">
        <f>INDEX(tblModelOverallMonth[ym],20)</f>
        <v>2022-08</v>
      </c>
      <c r="B23" s="12">
        <f>INDEX(tblModelOverallMonth[revenue],20)</f>
        <v>307583423</v>
      </c>
      <c r="C23" s="13">
        <f>INDEX(tblModelOverallMonth[margin_pct],20)</f>
        <v>5.8999999999999997E-2</v>
      </c>
    </row>
    <row r="24" spans="1:3" x14ac:dyDescent="0.3">
      <c r="A24" t="str">
        <f>INDEX(tblModelOverallMonth[ym],21)</f>
        <v>2022-09</v>
      </c>
      <c r="B24" s="12">
        <f>INDEX(tblModelOverallMonth[revenue],21)</f>
        <v>371627457</v>
      </c>
      <c r="C24" s="13">
        <f>INDEX(tblModelOverallMonth[margin_pct],21)</f>
        <v>0.1265</v>
      </c>
    </row>
    <row r="25" spans="1:3" x14ac:dyDescent="0.3">
      <c r="A25" t="str">
        <f>INDEX(tblModelOverallMonth[ym],22)</f>
        <v>2022-10</v>
      </c>
      <c r="B25" s="12">
        <f>INDEX(tblModelOverallMonth[revenue],22)</f>
        <v>437372446</v>
      </c>
      <c r="C25" s="13">
        <f>INDEX(tblModelOverallMonth[margin_pct],22)</f>
        <v>0.1042</v>
      </c>
    </row>
    <row r="26" spans="1:3" x14ac:dyDescent="0.3">
      <c r="A26" t="str">
        <f>INDEX(tblModelOverallMonth[ym],23)</f>
        <v>2022-11</v>
      </c>
      <c r="B26" s="12">
        <f>INDEX(tblModelOverallMonth[revenue],23)</f>
        <v>467060775</v>
      </c>
      <c r="C26" s="13">
        <f>INDEX(tblModelOverallMonth[margin_pct],23)</f>
        <v>0.14749999999999999</v>
      </c>
    </row>
    <row r="27" spans="1:3" x14ac:dyDescent="0.3">
      <c r="A27" t="str">
        <f>INDEX(tblModelOverallMonth[ym],24)</f>
        <v>2022-12</v>
      </c>
      <c r="B27" s="12">
        <f>INDEX(tblModelOverallMonth[revenue],24)</f>
        <v>502126571</v>
      </c>
      <c r="C27" s="13">
        <f>INDEX(tblModelOverallMonth[margin_pct],24)</f>
        <v>0.1699</v>
      </c>
    </row>
    <row r="28" spans="1:3" x14ac:dyDescent="0.3">
      <c r="A28" t="str">
        <f>INDEX(tblModelOverallMonth[ym],25)</f>
        <v>2023-01</v>
      </c>
      <c r="B28" s="12">
        <f>INDEX(tblModelOverallMonth[revenue],25)</f>
        <v>372505695</v>
      </c>
      <c r="C28" s="13">
        <f>INDEX(tblModelOverallMonth[margin_pct],25)</f>
        <v>0.12139999999999999</v>
      </c>
    </row>
    <row r="29" spans="1:3" x14ac:dyDescent="0.3">
      <c r="A29" t="str">
        <f>INDEX(tblModelOverallMonth[ym],26)</f>
        <v>2023-02</v>
      </c>
      <c r="B29" s="12">
        <f>INDEX(tblModelOverallMonth[revenue],26)</f>
        <v>328442560</v>
      </c>
      <c r="C29" s="13">
        <f>INDEX(tblModelOverallMonth[margin_pct],26)</f>
        <v>0.14399999999999999</v>
      </c>
    </row>
    <row r="30" spans="1:3" x14ac:dyDescent="0.3">
      <c r="A30" t="str">
        <f>INDEX(tblModelOverallMonth[ym],27)</f>
        <v>2023-03</v>
      </c>
      <c r="B30" s="12">
        <f>INDEX(tblModelOverallMonth[revenue],27)</f>
        <v>397715622</v>
      </c>
      <c r="C30" s="13">
        <f>INDEX(tblModelOverallMonth[margin_pct],27)</f>
        <v>0.1295</v>
      </c>
    </row>
    <row r="31" spans="1:3" x14ac:dyDescent="0.3">
      <c r="A31" t="str">
        <f>INDEX(tblModelOverallMonth[ym],28)</f>
        <v>2023-04</v>
      </c>
      <c r="B31" s="12">
        <f>INDEX(tblModelOverallMonth[revenue],28)</f>
        <v>415744447</v>
      </c>
      <c r="C31" s="13">
        <f>INDEX(tblModelOverallMonth[margin_pct],28)</f>
        <v>0.1244</v>
      </c>
    </row>
    <row r="32" spans="1:3" x14ac:dyDescent="0.3">
      <c r="A32" t="str">
        <f>INDEX(tblModelOverallMonth[ym],29)</f>
        <v>2023-05</v>
      </c>
      <c r="B32" s="12">
        <f>INDEX(tblModelOverallMonth[revenue],29)</f>
        <v>450455392</v>
      </c>
      <c r="C32" s="13">
        <f>INDEX(tblModelOverallMonth[margin_pct],29)</f>
        <v>0.1338</v>
      </c>
    </row>
    <row r="33" spans="1:3" x14ac:dyDescent="0.3">
      <c r="A33" t="str">
        <f>INDEX(tblModelOverallMonth[ym],30)</f>
        <v>2023-06</v>
      </c>
      <c r="B33" s="12">
        <f>INDEX(tblModelOverallMonth[revenue],30)</f>
        <v>439281067</v>
      </c>
      <c r="C33" s="13">
        <f>INDEX(tblModelOverallMonth[margin_pct],30)</f>
        <v>0.1472</v>
      </c>
    </row>
    <row r="34" spans="1:3" x14ac:dyDescent="0.3">
      <c r="A34" t="str">
        <f>INDEX(tblModelOverallMonth[ym],31)</f>
        <v>2023-07</v>
      </c>
      <c r="B34" s="12">
        <f>INDEX(tblModelOverallMonth[revenue],31)</f>
        <v>394674298</v>
      </c>
      <c r="C34" s="13">
        <f>INDEX(tblModelOverallMonth[margin_pct],31)</f>
        <v>0.113</v>
      </c>
    </row>
    <row r="35" spans="1:3" x14ac:dyDescent="0.3">
      <c r="A35" t="str">
        <f>INDEX(tblModelOverallMonth[ym],32)</f>
        <v>2023-08</v>
      </c>
      <c r="B35" s="12">
        <f>INDEX(tblModelOverallMonth[revenue],32)</f>
        <v>404051750</v>
      </c>
      <c r="C35" s="13">
        <f>INDEX(tblModelOverallMonth[margin_pct],32)</f>
        <v>0.1177</v>
      </c>
    </row>
    <row r="36" spans="1:3" x14ac:dyDescent="0.3">
      <c r="A36" t="str">
        <f>INDEX(tblModelOverallMonth[ym],33)</f>
        <v>2023-09</v>
      </c>
      <c r="B36" s="12">
        <f>INDEX(tblModelOverallMonth[revenue],33)</f>
        <v>451558362</v>
      </c>
      <c r="C36" s="13">
        <f>INDEX(tblModelOverallMonth[margin_pct],33)</f>
        <v>0.1021</v>
      </c>
    </row>
    <row r="37" spans="1:3" x14ac:dyDescent="0.3">
      <c r="A37" t="str">
        <f>INDEX(tblModelOverallMonth[ym],34)</f>
        <v>2023-10</v>
      </c>
      <c r="B37" s="12">
        <f>INDEX(tblModelOverallMonth[revenue],34)</f>
        <v>591731750</v>
      </c>
      <c r="C37" s="13">
        <f>INDEX(tblModelOverallMonth[margin_pct],34)</f>
        <v>0.13689999999999999</v>
      </c>
    </row>
    <row r="38" spans="1:3" x14ac:dyDescent="0.3">
      <c r="A38" t="str">
        <f>INDEX(tblModelOverallMonth[ym],35)</f>
        <v>2023-11</v>
      </c>
      <c r="B38" s="12">
        <f>INDEX(tblModelOverallMonth[revenue],35)</f>
        <v>559320297</v>
      </c>
      <c r="C38" s="13">
        <f>INDEX(tblModelOverallMonth[margin_pct],35)</f>
        <v>0.1119</v>
      </c>
    </row>
    <row r="39" spans="1:3" x14ac:dyDescent="0.3">
      <c r="A39" t="str">
        <f>INDEX(tblModelOverallMonth[ym],36)</f>
        <v>2023-12</v>
      </c>
      <c r="B39" s="12">
        <f>INDEX(tblModelOverallMonth[revenue],36)</f>
        <v>589404095</v>
      </c>
      <c r="C39" s="13">
        <f>INDEX(tblModelOverallMonth[margin_pct],36)</f>
        <v>9.7699999999999995E-2</v>
      </c>
    </row>
    <row r="40" spans="1:3" x14ac:dyDescent="0.3">
      <c r="A40" t="str">
        <f>INDEX(tblModelOverallMonth[ym],37)</f>
        <v>2024-01</v>
      </c>
      <c r="B40" s="12">
        <f>INDEX(tblModelOverallMonth[revenue],37)</f>
        <v>402957407</v>
      </c>
      <c r="C40" s="13">
        <f>INDEX(tblModelOverallMonth[margin_pct],37)</f>
        <v>0.1177</v>
      </c>
    </row>
    <row r="41" spans="1:3" x14ac:dyDescent="0.3">
      <c r="A41" t="str">
        <f>INDEX(tblModelOverallMonth[ym],38)</f>
        <v>2024-02</v>
      </c>
      <c r="B41" s="12">
        <f>INDEX(tblModelOverallMonth[revenue],38)</f>
        <v>378546491</v>
      </c>
      <c r="C41" s="13">
        <f>INDEX(tblModelOverallMonth[margin_pct],38)</f>
        <v>0.14460000000000001</v>
      </c>
    </row>
    <row r="42" spans="1:3" x14ac:dyDescent="0.3">
      <c r="A42" t="str">
        <f>INDEX(tblModelOverallMonth[ym],39)</f>
        <v>2024-03</v>
      </c>
      <c r="B42" s="12">
        <f>INDEX(tblModelOverallMonth[revenue],39)</f>
        <v>433155806</v>
      </c>
      <c r="C42" s="13">
        <f>INDEX(tblModelOverallMonth[margin_pct],39)</f>
        <v>0.13450000000000001</v>
      </c>
    </row>
    <row r="43" spans="1:3" x14ac:dyDescent="0.3">
      <c r="A43" t="str">
        <f>INDEX(tblModelOverallMonth[ym],40)</f>
        <v>2024-04</v>
      </c>
      <c r="B43" s="12">
        <f>INDEX(tblModelOverallMonth[revenue],40)</f>
        <v>442533470</v>
      </c>
      <c r="C43" s="13">
        <f>INDEX(tblModelOverallMonth[margin_pct],40)</f>
        <v>0.1346</v>
      </c>
    </row>
    <row r="44" spans="1:3" x14ac:dyDescent="0.3">
      <c r="A44" t="str">
        <f>INDEX(tblModelOverallMonth[ym],41)</f>
        <v>2024-05</v>
      </c>
      <c r="B44" s="12">
        <f>INDEX(tblModelOverallMonth[revenue],41)</f>
        <v>472791912</v>
      </c>
      <c r="C44" s="13">
        <f>INDEX(tblModelOverallMonth[margin_pct],41)</f>
        <v>0.1206</v>
      </c>
    </row>
    <row r="45" spans="1:3" x14ac:dyDescent="0.3">
      <c r="A45" t="str">
        <f>INDEX(tblModelOverallMonth[ym],42)</f>
        <v>2024-06</v>
      </c>
      <c r="B45" s="12">
        <f>INDEX(tblModelOverallMonth[revenue],42)</f>
        <v>499417380</v>
      </c>
      <c r="C45" s="13">
        <f>INDEX(tblModelOverallMonth[margin_pct],42)</f>
        <v>0.16719999999999999</v>
      </c>
    </row>
    <row r="46" spans="1:3" x14ac:dyDescent="0.3">
      <c r="A46" t="str">
        <f>INDEX(tblModelOverallMonth[ym],43)</f>
        <v>2024-07</v>
      </c>
      <c r="B46" s="12">
        <f>INDEX(tblModelOverallMonth[revenue],43)</f>
        <v>453454309</v>
      </c>
      <c r="C46" s="13">
        <f>INDEX(tblModelOverallMonth[margin_pct],43)</f>
        <v>0.1482</v>
      </c>
    </row>
    <row r="47" spans="1:3" x14ac:dyDescent="0.3">
      <c r="A47" t="str">
        <f>INDEX(tblModelOverallMonth[ym],44)</f>
        <v>2024-08</v>
      </c>
      <c r="B47" s="12">
        <f>INDEX(tblModelOverallMonth[revenue],44)</f>
        <v>449938612</v>
      </c>
      <c r="C47" s="13">
        <f>INDEX(tblModelOverallMonth[margin_pct],44)</f>
        <v>0.14949999999999999</v>
      </c>
    </row>
    <row r="48" spans="1:3" x14ac:dyDescent="0.3">
      <c r="A48" t="str">
        <f>INDEX(tblModelOverallMonth[ym],45)</f>
        <v>2024-09</v>
      </c>
      <c r="B48" s="12">
        <f>INDEX(tblModelOverallMonth[revenue],45)</f>
        <v>542566709</v>
      </c>
      <c r="C48" s="13">
        <f>INDEX(tblModelOverallMonth[margin_pct],45)</f>
        <v>0.17829999999999999</v>
      </c>
    </row>
    <row r="49" spans="1:3" x14ac:dyDescent="0.3">
      <c r="A49" t="str">
        <f>INDEX(tblModelOverallMonth[ym],46)</f>
        <v>2024-10</v>
      </c>
      <c r="B49" s="12">
        <f>INDEX(tblModelOverallMonth[revenue],46)</f>
        <v>693862518</v>
      </c>
      <c r="C49" s="13">
        <f>INDEX(tblModelOverallMonth[margin_pct],46)</f>
        <v>0.19600000000000001</v>
      </c>
    </row>
    <row r="50" spans="1:3" x14ac:dyDescent="0.3">
      <c r="A50" t="str">
        <f>INDEX(tblModelOverallMonth[ym],47)</f>
        <v>2024-11</v>
      </c>
      <c r="B50" s="12">
        <f>INDEX(tblModelOverallMonth[revenue],47)</f>
        <v>694624504</v>
      </c>
      <c r="C50" s="13">
        <f>INDEX(tblModelOverallMonth[margin_pct],47)</f>
        <v>0.1643</v>
      </c>
    </row>
    <row r="51" spans="1:3" x14ac:dyDescent="0.3">
      <c r="A51" t="str">
        <f>INDEX(tblModelOverallMonth[ym],48)</f>
        <v>2024-12</v>
      </c>
      <c r="B51" s="12">
        <f>INDEX(tblModelOverallMonth[revenue],48)</f>
        <v>700106315</v>
      </c>
      <c r="C51" s="13">
        <f>INDEX(tblModelOverallMonth[margin_pct],48)</f>
        <v>0.19900000000000001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I15"/>
  <sheetViews>
    <sheetView showGridLines="0" workbookViewId="0">
      <selection activeCell="G24" sqref="G24"/>
    </sheetView>
  </sheetViews>
  <sheetFormatPr defaultRowHeight="14.4" x14ac:dyDescent="0.3"/>
  <cols>
    <col min="1" max="1" width="20" customWidth="1"/>
    <col min="2" max="5" width="16" customWidth="1"/>
  </cols>
  <sheetData>
    <row r="1" spans="1:9" ht="16.8" x14ac:dyDescent="0.3">
      <c r="A1" s="10" t="s">
        <v>887</v>
      </c>
      <c r="H1" t="s">
        <v>790</v>
      </c>
      <c r="I1">
        <f>SUM(B4:B15)</f>
        <v>18879364487</v>
      </c>
    </row>
    <row r="3" spans="1:9" ht="39.6" x14ac:dyDescent="0.3">
      <c r="A3" s="24" t="s">
        <v>811</v>
      </c>
      <c r="B3" s="24" t="s">
        <v>888</v>
      </c>
      <c r="C3" s="24" t="s">
        <v>802</v>
      </c>
      <c r="D3" s="24" t="s">
        <v>803</v>
      </c>
      <c r="E3" s="24" t="s">
        <v>822</v>
      </c>
      <c r="F3" s="24" t="s">
        <v>889</v>
      </c>
    </row>
    <row r="4" spans="1:9" x14ac:dyDescent="0.3">
      <c r="A4" t="s">
        <v>92</v>
      </c>
      <c r="B4" s="12">
        <f>SUMIFS(tblModelRegionMonth[revenue],tblModelRegionMonth[region_name],A4)</f>
        <v>2718395856</v>
      </c>
      <c r="C4" s="12">
        <f>SUMIFS(tblModelRegionMonth[margin],tblModelRegionMonth[region_name],A4)</f>
        <v>380564400.8300001</v>
      </c>
      <c r="D4" s="13">
        <f t="shared" ref="D4:D15" si="0">C4/B4</f>
        <v>0.13999594650279665</v>
      </c>
      <c r="E4" s="13">
        <f t="shared" ref="E4:E15" si="1">B4/$I$1</f>
        <v>0.14398767807421906</v>
      </c>
      <c r="F4" s="13">
        <f>E4</f>
        <v>0.14398767807421906</v>
      </c>
    </row>
    <row r="5" spans="1:9" x14ac:dyDescent="0.3">
      <c r="A5" t="s">
        <v>88</v>
      </c>
      <c r="B5" s="12">
        <f>SUMIFS(tblModelRegionMonth[revenue],tblModelRegionMonth[region_name],A5)</f>
        <v>2293173113</v>
      </c>
      <c r="C5" s="12">
        <f>SUMIFS(tblModelRegionMonth[margin],tblModelRegionMonth[region_name],A5)</f>
        <v>319758574.35999995</v>
      </c>
      <c r="D5" s="13">
        <f t="shared" si="0"/>
        <v>0.13943935263643567</v>
      </c>
      <c r="E5" s="13">
        <f t="shared" si="1"/>
        <v>0.12146452888173428</v>
      </c>
      <c r="F5" s="13">
        <f t="shared" ref="F5:F15" si="2">F4+E5</f>
        <v>0.26545220695595334</v>
      </c>
    </row>
    <row r="6" spans="1:9" x14ac:dyDescent="0.3">
      <c r="A6" t="s">
        <v>80</v>
      </c>
      <c r="B6" s="12">
        <f>SUMIFS(tblModelRegionMonth[revenue],tblModelRegionMonth[region_name],A6)</f>
        <v>1867206983</v>
      </c>
      <c r="C6" s="12">
        <f>SUMIFS(tblModelRegionMonth[margin],tblModelRegionMonth[region_name],A6)</f>
        <v>263380144.52999997</v>
      </c>
      <c r="D6" s="13">
        <f t="shared" si="0"/>
        <v>0.14105567670212593</v>
      </c>
      <c r="E6" s="13">
        <f t="shared" si="1"/>
        <v>9.8902004052399434E-2</v>
      </c>
      <c r="F6" s="13">
        <f t="shared" si="2"/>
        <v>0.36435421100835275</v>
      </c>
    </row>
    <row r="7" spans="1:9" x14ac:dyDescent="0.3">
      <c r="A7" t="s">
        <v>90</v>
      </c>
      <c r="B7" s="12">
        <f>SUMIFS(tblModelRegionMonth[revenue],tblModelRegionMonth[region_name],A7)</f>
        <v>1857928147</v>
      </c>
      <c r="C7" s="12">
        <f>SUMIFS(tblModelRegionMonth[margin],tblModelRegionMonth[region_name],A7)</f>
        <v>259103215.31999993</v>
      </c>
      <c r="D7" s="13">
        <f t="shared" si="0"/>
        <v>0.13945814628965839</v>
      </c>
      <c r="E7" s="13">
        <f t="shared" si="1"/>
        <v>9.841052373766801E-2</v>
      </c>
      <c r="F7" s="13">
        <f t="shared" si="2"/>
        <v>0.46276473474602076</v>
      </c>
    </row>
    <row r="8" spans="1:9" x14ac:dyDescent="0.3">
      <c r="A8" t="s">
        <v>85</v>
      </c>
      <c r="B8" s="12">
        <f>SUMIFS(tblModelRegionMonth[revenue],tblModelRegionMonth[region_name],A8)</f>
        <v>1838530545</v>
      </c>
      <c r="C8" s="12">
        <f>SUMIFS(tblModelRegionMonth[margin],tblModelRegionMonth[region_name],A8)</f>
        <v>256647165.66999996</v>
      </c>
      <c r="D8" s="13">
        <f t="shared" si="0"/>
        <v>0.13959363708586084</v>
      </c>
      <c r="E8" s="13">
        <f t="shared" si="1"/>
        <v>9.7383073792869451E-2</v>
      </c>
      <c r="F8" s="13">
        <f t="shared" si="2"/>
        <v>0.56014780853889024</v>
      </c>
    </row>
    <row r="9" spans="1:9" x14ac:dyDescent="0.3">
      <c r="A9" t="s">
        <v>89</v>
      </c>
      <c r="B9" s="12">
        <f>SUMIFS(tblModelRegionMonth[revenue],tblModelRegionMonth[region_name],A9)</f>
        <v>1422287055</v>
      </c>
      <c r="C9" s="12">
        <f>SUMIFS(tblModelRegionMonth[margin],tblModelRegionMonth[region_name],A9)</f>
        <v>197734571.15000001</v>
      </c>
      <c r="D9" s="13">
        <f t="shared" si="0"/>
        <v>0.1390257827735063</v>
      </c>
      <c r="E9" s="13">
        <f t="shared" si="1"/>
        <v>7.533553663733554E-2</v>
      </c>
      <c r="F9" s="13">
        <f t="shared" si="2"/>
        <v>0.63548334517622573</v>
      </c>
    </row>
    <row r="10" spans="1:9" x14ac:dyDescent="0.3">
      <c r="A10" t="s">
        <v>78</v>
      </c>
      <c r="B10" s="12">
        <f>SUMIFS(tblModelRegionMonth[revenue],tblModelRegionMonth[region_name],A10)</f>
        <v>1374352415</v>
      </c>
      <c r="C10" s="12">
        <f>SUMIFS(tblModelRegionMonth[margin],tblModelRegionMonth[region_name],A10)</f>
        <v>193037039.12000003</v>
      </c>
      <c r="D10" s="13">
        <f t="shared" si="0"/>
        <v>0.14045672493688602</v>
      </c>
      <c r="E10" s="13">
        <f t="shared" si="1"/>
        <v>7.2796540156124162E-2</v>
      </c>
      <c r="F10" s="13">
        <f t="shared" si="2"/>
        <v>0.70827988533234987</v>
      </c>
    </row>
    <row r="11" spans="1:9" x14ac:dyDescent="0.3">
      <c r="A11" t="s">
        <v>76</v>
      </c>
      <c r="B11" s="12">
        <f>SUMIFS(tblModelRegionMonth[revenue],tblModelRegionMonth[region_name],A11)</f>
        <v>1320698054</v>
      </c>
      <c r="C11" s="12">
        <f>SUMIFS(tblModelRegionMonth[margin],tblModelRegionMonth[region_name],A11)</f>
        <v>186029690.85999998</v>
      </c>
      <c r="D11" s="13">
        <f t="shared" si="0"/>
        <v>0.1408570946981951</v>
      </c>
      <c r="E11" s="13">
        <f t="shared" si="1"/>
        <v>6.9954582152879641E-2</v>
      </c>
      <c r="F11" s="13">
        <f t="shared" si="2"/>
        <v>0.77823446748522951</v>
      </c>
    </row>
    <row r="12" spans="1:9" x14ac:dyDescent="0.3">
      <c r="A12" t="s">
        <v>82</v>
      </c>
      <c r="B12" s="12">
        <f>SUMIFS(tblModelRegionMonth[revenue],tblModelRegionMonth[region_name],A12)</f>
        <v>1294535367</v>
      </c>
      <c r="C12" s="12">
        <f>SUMIFS(tblModelRegionMonth[margin],tblModelRegionMonth[region_name],A12)</f>
        <v>183704501.63999999</v>
      </c>
      <c r="D12" s="13">
        <f t="shared" si="0"/>
        <v>0.14190767307170835</v>
      </c>
      <c r="E12" s="13">
        <f t="shared" si="1"/>
        <v>6.8568799966301539E-2</v>
      </c>
      <c r="F12" s="13">
        <f t="shared" si="2"/>
        <v>0.84680326745153101</v>
      </c>
    </row>
    <row r="13" spans="1:9" x14ac:dyDescent="0.3">
      <c r="A13" t="s">
        <v>83</v>
      </c>
      <c r="B13" s="12">
        <f>SUMIFS(tblModelRegionMonth[revenue],tblModelRegionMonth[region_name],A13)</f>
        <v>1016767735</v>
      </c>
      <c r="C13" s="12">
        <f>SUMIFS(tblModelRegionMonth[margin],tblModelRegionMonth[region_name],A13)</f>
        <v>141220473.77999997</v>
      </c>
      <c r="D13" s="13">
        <f t="shared" si="0"/>
        <v>0.1388915766293469</v>
      </c>
      <c r="E13" s="13">
        <f t="shared" si="1"/>
        <v>5.3856036081094176E-2</v>
      </c>
      <c r="F13" s="13">
        <f t="shared" si="2"/>
        <v>0.90065930353262513</v>
      </c>
    </row>
    <row r="14" spans="1:9" x14ac:dyDescent="0.3">
      <c r="A14" t="s">
        <v>86</v>
      </c>
      <c r="B14" s="12">
        <f>SUMIFS(tblModelRegionMonth[revenue],tblModelRegionMonth[region_name],A14)</f>
        <v>1016485174</v>
      </c>
      <c r="C14" s="12">
        <f>SUMIFS(tblModelRegionMonth[margin],tblModelRegionMonth[region_name],A14)</f>
        <v>140940818.66999999</v>
      </c>
      <c r="D14" s="13">
        <f t="shared" si="0"/>
        <v>0.13865506578456008</v>
      </c>
      <c r="E14" s="13">
        <f t="shared" si="1"/>
        <v>5.3841069422645764E-2</v>
      </c>
      <c r="F14" s="13">
        <f t="shared" si="2"/>
        <v>0.9545003729552709</v>
      </c>
    </row>
    <row r="15" spans="1:9" x14ac:dyDescent="0.3">
      <c r="A15" t="s">
        <v>91</v>
      </c>
      <c r="B15" s="12">
        <f>SUMIFS(tblModelRegionMonth[revenue],tblModelRegionMonth[region_name],A15)</f>
        <v>859004043</v>
      </c>
      <c r="C15" s="12">
        <f>SUMIFS(tblModelRegionMonth[margin],tblModelRegionMonth[region_name],A15)</f>
        <v>119658049.70999999</v>
      </c>
      <c r="D15" s="13">
        <f t="shared" si="0"/>
        <v>0.13929858734087472</v>
      </c>
      <c r="E15" s="13">
        <f t="shared" si="1"/>
        <v>4.5499627044728923E-2</v>
      </c>
      <c r="F15" s="13">
        <f t="shared" si="2"/>
        <v>0.99999999999999978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8F00"/>
  </sheetPr>
  <dimension ref="B2:B19"/>
  <sheetViews>
    <sheetView showGridLines="0" topLeftCell="A10" workbookViewId="0">
      <selection activeCell="B11" sqref="B11"/>
    </sheetView>
  </sheetViews>
  <sheetFormatPr defaultRowHeight="14.4" x14ac:dyDescent="0.3"/>
  <cols>
    <col min="1" max="1" width="4" customWidth="1"/>
    <col min="2" max="2" width="115" customWidth="1"/>
  </cols>
  <sheetData>
    <row r="2" spans="2:2" ht="21" x14ac:dyDescent="0.4">
      <c r="B2" s="25" t="s">
        <v>890</v>
      </c>
    </row>
    <row r="3" spans="2:2" x14ac:dyDescent="0.3">
      <c r="B3" s="8"/>
    </row>
    <row r="5" spans="2:2" ht="34.049999999999997" customHeight="1" x14ac:dyDescent="0.3">
      <c r="B5" s="26" t="str">
        <f>"1. Margin is volatile, not simply declining or rising: monthly margin % ranges from "&amp;TEXT('02_KPI_Margin'!B11,"0.0%")&amp;" to "&amp;TEXT('02_KPI_Margin'!B10,"0.0%")&amp;" across the 48-month period, a spread of "&amp;TEXT('02_KPI_Margin'!B12,"0.0%")&amp;" - roughly "&amp;TEXT('02_KPI_Margin'!B9,"0.0%")&amp;" standard deviation month to month."</f>
        <v>1. Margin is volatile, not simply declining or rising: monthly margin % ranges from 5.9% to 19.9% across the 48-month period, a spread of 14.0% - roughly 2.6% standard deviation month to month.</v>
      </c>
    </row>
    <row r="7" spans="2:2" ht="34.049999999999997" customHeight="1" x14ac:dyDescent="0.3">
      <c r="B7" s="26" t="str">
        <f>"2. "&amp;COUNTIF('03_KPI_Target'!F5:F16,"Below Target")&amp;" of "&amp;COUNTA('03_KPI_Target'!A5:A16)&amp;" regions missed their FY2024 target - inconsistent regional execution against plan."</f>
        <v>2. 3 of 12 regions missed their FY2024 target - inconsistent regional execution against plan.</v>
      </c>
    </row>
    <row r="9" spans="2:2" ht="34.049999999999997" customHeight="1" x14ac:dyDescent="0.3">
      <c r="B9" s="26" t="str">
        <f>"3. "&amp;INDEX('04_KPI_Category'!A5:A24,1)&amp;" is the top revenue category ("&amp;TEXT('04_KPI_Category'!C5,"0.0%")&amp;" share) at "&amp;TEXT('04_KPI_Category'!D5,"0.0%")&amp;" margin. "&amp;COUNTIF('04_KPI_Category'!G5:G24,"High Revenue / Low Margin - review discount &amp; returns")&amp;" of 20 categories are flagged High Revenue / Low Margin overall - see 04_KPI_Category diagnosis column for which ones."</f>
        <v>3. Refrigerators is the top revenue category (23.2% share) at 12.2% margin. 8 of 20 categories are flagged High Revenue / Low Margin overall - see 04_KPI_Category diagnosis column for which ones.</v>
      </c>
    </row>
    <row r="11" spans="2:2" ht="34.049999999999997" customHeight="1" x14ac:dyDescent="0.3">
      <c r="B11" s="26" t="str">
        <f>"4. "&amp;COUNTIF('06_KPI_Returns'!F5:F24,"Above Average - Investigate Return Reasons")&amp;" of 20 categories have above-average return rates, contributing to refund leakage - see 06_KPI_Returns for Rs impact by category."</f>
        <v>4. 8 of 20 categories have above-average return rates, contributing to refund leakage - see 06_KPI_Returns for Rs impact by category.</v>
      </c>
    </row>
    <row r="13" spans="2:2" ht="34.049999999999997" customHeight="1" x14ac:dyDescent="0.3">
      <c r="B13" s="26" t="str">
        <f>"5. "&amp;COUNTIF('05_KPI_Discount'!F5:F24,"Above Average - Review Discount Policy")&amp;" of 20 categories show above-average discount leakage - the gap between catalog price and price actually charged."</f>
        <v>5. 8 of 20 categories show above-average discount leakage - the gap between catalog price and price actually charged.</v>
      </c>
    </row>
    <row r="15" spans="2:2" ht="34.049999999999997" customHeight="1" x14ac:dyDescent="0.3">
      <c r="B15" s="26" t="str">
        <f>"6. Delivery SLA (operational indicator only, not a profit driver): "&amp;COUNTIF('07_KPI_SLA'!F5:F64,"Above Average Late Rate")&amp;" of 60 region-courier pairs are running an above-average late-delivery rate."</f>
        <v>6. Delivery SLA (operational indicator only, not a profit driver): 27 of 60 region-courier pairs are running an above-average late-delivery rate.</v>
      </c>
    </row>
    <row r="17" spans="2:2" ht="34.049999999999997" customHeight="1" x14ac:dyDescent="0.3">
      <c r="B17" s="26" t="str">
        <f>"7. Promotion effectiveness is mixed: "&amp;COUNTIF('08_KPI_Promotion'!I5:I204,"Continue - efficient lift for margin cost")&amp;" of 200 promotions are efficient (low margin cost for the lift generated), while "&amp;COUNTIF('08_KPI_Promotion'!I5:I204,"Discontinue - high margin cost, weak lift")&amp;" are actively destroying profitability with little offsetting revenue benefit."</f>
        <v>7. Promotion effectiveness is mixed: 86 of 200 promotions are efficient (low margin cost for the lift generated), while 48 are actively destroying profitability with little offsetting revenue benefit.</v>
      </c>
    </row>
    <row r="19" spans="2:2" ht="34.049999999999997" customHeight="1" x14ac:dyDescent="0.3">
      <c r="B19" s="26" t="str">
        <f>"8. "&amp;COUNTIF('09_KPI_StoreScore'!O15:O134,"Priority Intervention")&amp;" of 120 stores (bottom quartile) are flagged for priority intervention on the transparent, margin-weighted Store Performance Score - see 09_KPI_StoreScore."</f>
        <v>8. 30 of 120 stores (bottom quartile) are flagged for priority intervention on the transparent, margin-weighted Store Performance Score - see 09_KPI_StoreScore.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8F00"/>
  </sheetPr>
  <dimension ref="A2:E357"/>
  <sheetViews>
    <sheetView showGridLines="0" zoomScale="88" workbookViewId="0">
      <pane xSplit="1" ySplit="5" topLeftCell="B6" activePane="bottomRight" state="frozen"/>
      <selection pane="topRight"/>
      <selection pane="bottomLeft"/>
      <selection pane="bottomRight" activeCell="B4" sqref="B4"/>
    </sheetView>
  </sheetViews>
  <sheetFormatPr defaultRowHeight="14.4" x14ac:dyDescent="0.3"/>
  <cols>
    <col min="1" max="1" width="4" customWidth="1"/>
    <col min="2" max="2" width="14" customWidth="1"/>
    <col min="3" max="3" width="30" customWidth="1"/>
    <col min="4" max="4" width="16" customWidth="1"/>
    <col min="5" max="5" width="117.44140625" bestFit="1" customWidth="1"/>
  </cols>
  <sheetData>
    <row r="2" spans="1:5" ht="21" x14ac:dyDescent="0.4">
      <c r="B2" s="25" t="s">
        <v>891</v>
      </c>
    </row>
    <row r="3" spans="1:5" ht="28.05" customHeight="1" x14ac:dyDescent="0.3">
      <c r="B3" s="8"/>
    </row>
    <row r="5" spans="1:5" x14ac:dyDescent="0.3">
      <c r="A5" s="27"/>
      <c r="B5" s="27" t="s">
        <v>892</v>
      </c>
      <c r="C5" s="27" t="s">
        <v>893</v>
      </c>
      <c r="D5" s="27" t="s">
        <v>816</v>
      </c>
      <c r="E5" t="s">
        <v>894</v>
      </c>
    </row>
    <row r="6" spans="1:5" x14ac:dyDescent="0.3">
      <c r="B6" t="s">
        <v>811</v>
      </c>
      <c r="C6" t="str">
        <f>'03_KPI_Target'!A5</f>
        <v>Delhi NCR</v>
      </c>
      <c r="D6" t="str">
        <f>'03_KPI_Target'!F5</f>
        <v>On/Above Target</v>
      </c>
      <c r="E6" t="str">
        <f>IF('03_KPI_Target'!F5="Below Target","Regional performance review - investigate pricing, promotion calendar and staffing for "&amp;C6&amp;". Achieved "&amp;TEXT('03_KPI_Target'!E5,"0%")&amp;" of FY24 target.","No action required - on/above target.")</f>
        <v>No action required - on/above target.</v>
      </c>
    </row>
    <row r="7" spans="1:5" x14ac:dyDescent="0.3">
      <c r="B7" t="s">
        <v>811</v>
      </c>
      <c r="C7" t="str">
        <f>'03_KPI_Target'!A6</f>
        <v>Gujarat</v>
      </c>
      <c r="D7" t="str">
        <f>'03_KPI_Target'!F6</f>
        <v>On/Above Target</v>
      </c>
      <c r="E7" t="str">
        <f>IF('03_KPI_Target'!F6="Below Target","Regional performance review - investigate pricing, promotion calendar and staffing for "&amp;C7&amp;". Achieved "&amp;TEXT('03_KPI_Target'!E6,"0%")&amp;" of FY24 target.","No action required - on/above target.")</f>
        <v>No action required - on/above target.</v>
      </c>
    </row>
    <row r="8" spans="1:5" x14ac:dyDescent="0.3">
      <c r="B8" t="s">
        <v>811</v>
      </c>
      <c r="C8" t="str">
        <f>'03_KPI_Target'!A7</f>
        <v>Karnataka</v>
      </c>
      <c r="D8" t="str">
        <f>'03_KPI_Target'!F7</f>
        <v>On/Above Target</v>
      </c>
      <c r="E8" t="str">
        <f>IF('03_KPI_Target'!F7="Below Target","Regional performance review - investigate pricing, promotion calendar and staffing for "&amp;C8&amp;". Achieved "&amp;TEXT('03_KPI_Target'!E7,"0%")&amp;" of FY24 target.","No action required - on/above target.")</f>
        <v>No action required - on/above target.</v>
      </c>
    </row>
    <row r="9" spans="1:5" x14ac:dyDescent="0.3">
      <c r="B9" t="s">
        <v>811</v>
      </c>
      <c r="C9" t="str">
        <f>'03_KPI_Target'!A8</f>
        <v>Kerala</v>
      </c>
      <c r="D9" t="str">
        <f>'03_KPI_Target'!F8</f>
        <v>On/Above Target</v>
      </c>
      <c r="E9" t="str">
        <f>IF('03_KPI_Target'!F8="Below Target","Regional performance review - investigate pricing, promotion calendar and staffing for "&amp;C9&amp;". Achieved "&amp;TEXT('03_KPI_Target'!E8,"0%")&amp;" of FY24 target.","No action required - on/above target.")</f>
        <v>No action required - on/above target.</v>
      </c>
    </row>
    <row r="10" spans="1:5" x14ac:dyDescent="0.3">
      <c r="B10" t="s">
        <v>811</v>
      </c>
      <c r="C10" t="str">
        <f>'03_KPI_Target'!A9</f>
        <v>Madhya Pradesh</v>
      </c>
      <c r="D10" t="str">
        <f>'03_KPI_Target'!F9</f>
        <v>On/Above Target</v>
      </c>
      <c r="E10" t="str">
        <f>IF('03_KPI_Target'!F9="Below Target","Regional performance review - investigate pricing, promotion calendar and staffing for "&amp;C10&amp;". Achieved "&amp;TEXT('03_KPI_Target'!E9,"0%")&amp;" of FY24 target.","No action required - on/above target.")</f>
        <v>No action required - on/above target.</v>
      </c>
    </row>
    <row r="11" spans="1:5" x14ac:dyDescent="0.3">
      <c r="B11" t="s">
        <v>811</v>
      </c>
      <c r="C11" t="str">
        <f>'03_KPI_Target'!A10</f>
        <v>Maharashtra</v>
      </c>
      <c r="D11" t="str">
        <f>'03_KPI_Target'!F10</f>
        <v>On/Above Target</v>
      </c>
      <c r="E11" t="str">
        <f>IF('03_KPI_Target'!F10="Below Target","Regional performance review - investigate pricing, promotion calendar and staffing for "&amp;C11&amp;". Achieved "&amp;TEXT('03_KPI_Target'!E10,"0%")&amp;" of FY24 target.","No action required - on/above target.")</f>
        <v>No action required - on/above target.</v>
      </c>
    </row>
    <row r="12" spans="1:5" x14ac:dyDescent="0.3">
      <c r="B12" t="s">
        <v>811</v>
      </c>
      <c r="C12" t="str">
        <f>'03_KPI_Target'!A11</f>
        <v>Odisha-Jharkhand</v>
      </c>
      <c r="D12" t="str">
        <f>'03_KPI_Target'!F11</f>
        <v>Below Target</v>
      </c>
      <c r="E12" t="str">
        <f>IF('03_KPI_Target'!F11="Below Target","Regional performance review - investigate pricing, promotion calendar and staffing for "&amp;C12&amp;". Achieved "&amp;TEXT('03_KPI_Target'!E11,"0%")&amp;" of FY24 target.","No action required - on/above target.")</f>
        <v>Regional performance review - investigate pricing, promotion calendar and staffing for Odisha-Jharkhand. Achieved 98% of FY24 target.</v>
      </c>
    </row>
    <row r="13" spans="1:5" x14ac:dyDescent="0.3">
      <c r="B13" t="s">
        <v>811</v>
      </c>
      <c r="C13" t="str">
        <f>'03_KPI_Target'!A12</f>
        <v>Punjab-Haryana</v>
      </c>
      <c r="D13" t="str">
        <f>'03_KPI_Target'!F12</f>
        <v>On/Above Target</v>
      </c>
      <c r="E13" t="str">
        <f>IF('03_KPI_Target'!F12="Below Target","Regional performance review - investigate pricing, promotion calendar and staffing for "&amp;C13&amp;". Achieved "&amp;TEXT('03_KPI_Target'!E12,"0%")&amp;" of FY24 target.","No action required - on/above target.")</f>
        <v>No action required - on/above target.</v>
      </c>
    </row>
    <row r="14" spans="1:5" x14ac:dyDescent="0.3">
      <c r="B14" t="s">
        <v>811</v>
      </c>
      <c r="C14" t="str">
        <f>'03_KPI_Target'!A13</f>
        <v>Rajasthan</v>
      </c>
      <c r="D14" t="str">
        <f>'03_KPI_Target'!F13</f>
        <v>On/Above Target</v>
      </c>
      <c r="E14" t="str">
        <f>IF('03_KPI_Target'!F13="Below Target","Regional performance review - investigate pricing, promotion calendar and staffing for "&amp;C14&amp;". Achieved "&amp;TEXT('03_KPI_Target'!E13,"0%")&amp;" of FY24 target.","No action required - on/above target.")</f>
        <v>No action required - on/above target.</v>
      </c>
    </row>
    <row r="15" spans="1:5" x14ac:dyDescent="0.3">
      <c r="B15" t="s">
        <v>811</v>
      </c>
      <c r="C15" t="str">
        <f>'03_KPI_Target'!A14</f>
        <v>Tamil Nadu</v>
      </c>
      <c r="D15" t="str">
        <f>'03_KPI_Target'!F14</f>
        <v>Below Target</v>
      </c>
      <c r="E15" t="str">
        <f>IF('03_KPI_Target'!F14="Below Target","Regional performance review - investigate pricing, promotion calendar and staffing for "&amp;C15&amp;". Achieved "&amp;TEXT('03_KPI_Target'!E14,"0%")&amp;" of FY24 target.","No action required - on/above target.")</f>
        <v>Regional performance review - investigate pricing, promotion calendar and staffing for Tamil Nadu. Achieved 100% of FY24 target.</v>
      </c>
    </row>
    <row r="16" spans="1:5" x14ac:dyDescent="0.3">
      <c r="B16" t="s">
        <v>811</v>
      </c>
      <c r="C16" t="str">
        <f>'03_KPI_Target'!A15</f>
        <v>Telangana-AP</v>
      </c>
      <c r="D16" t="str">
        <f>'03_KPI_Target'!F15</f>
        <v>Below Target</v>
      </c>
      <c r="E16" t="str">
        <f>IF('03_KPI_Target'!F15="Below Target","Regional performance review - investigate pricing, promotion calendar and staffing for "&amp;C16&amp;". Achieved "&amp;TEXT('03_KPI_Target'!E15,"0%")&amp;" of FY24 target.","No action required - on/above target.")</f>
        <v>Regional performance review - investigate pricing, promotion calendar and staffing for Telangana-AP. Achieved 97% of FY24 target.</v>
      </c>
    </row>
    <row r="17" spans="2:5" x14ac:dyDescent="0.3">
      <c r="B17" t="s">
        <v>811</v>
      </c>
      <c r="C17" t="str">
        <f>'03_KPI_Target'!A16</f>
        <v>West Bengal</v>
      </c>
      <c r="D17" t="str">
        <f>'03_KPI_Target'!F16</f>
        <v>On/Above Target</v>
      </c>
      <c r="E17" t="str">
        <f>IF('03_KPI_Target'!F16="Below Target","Regional performance review - investigate pricing, promotion calendar and staffing for "&amp;C17&amp;". Achieved "&amp;TEXT('03_KPI_Target'!E16,"0%")&amp;" of FY24 target.","No action required - on/above target.")</f>
        <v>No action required - on/above target.</v>
      </c>
    </row>
    <row r="18" spans="2:5" x14ac:dyDescent="0.3">
      <c r="B18" t="s">
        <v>821</v>
      </c>
      <c r="C18" t="str">
        <f>'04_KPI_Category'!A5</f>
        <v>Refrigerators</v>
      </c>
      <c r="D18" t="str">
        <f>IF(OR(INDEX('06_KPI_Returns'!$F$5:$F$24,MATCH(C18,'06_KPI_Returns'!$A$5:$A$24,0))="Above Average - Investigate Return Reasons",INDEX('05_KPI_Discount'!$F$5:$F$24,MATCH(C18,'05_KPI_Discount'!$A$5:$A$24,0))="Above Average - Review Discount Policy"),"Action Required","OK")</f>
        <v>OK</v>
      </c>
      <c r="E18" t="str">
        <f>IF(INDEX('06_KPI_Returns'!$F$5:$F$24,MATCH(C18,'06_KPI_Returns'!$A$5:$A$24,0))="Above Average - Investigate Return Reasons","Investigate return reasons for "&amp;C18&amp;" - return rate "&amp;TEXT(INDEX('06_KPI_Returns'!$D$5:$D$24,MATCH(C18,'06_KPI_Returns'!$A$5:$A$24,0)),"0.0%")&amp;" (above category average).",IF(INDEX('05_KPI_Discount'!$F$5:$F$24,MATCH(C18,'05_KPI_Discount'!$A$5:$A$24,0))="Above Average - Review Discount Policy","Review discount policy for "&amp;C18&amp;" - discount leakage "&amp;TEXT(INDEX('05_KPI_Discount'!$E$5:$E$24,MATCH(C18,'05_KPI_Discount'!$A$5:$A$24,0)),"0.0%")&amp;" (above category average).","No action required - within normal range."))</f>
        <v>No action required - within normal range.</v>
      </c>
    </row>
    <row r="19" spans="2:5" x14ac:dyDescent="0.3">
      <c r="B19" t="s">
        <v>821</v>
      </c>
      <c r="C19" t="str">
        <f>'04_KPI_Category'!A6</f>
        <v>Laptops &amp; Computers</v>
      </c>
      <c r="D19" t="str">
        <f>IF(OR(INDEX('06_KPI_Returns'!$F$5:$F$24,MATCH(C19,'06_KPI_Returns'!$A$5:$A$24,0))="Above Average - Investigate Return Reasons",INDEX('05_KPI_Discount'!$F$5:$F$24,MATCH(C19,'05_KPI_Discount'!$A$5:$A$24,0))="Above Average - Review Discount Policy"),"Action Required","OK")</f>
        <v>Action Required</v>
      </c>
      <c r="E19" t="str">
        <f>IF(INDEX('06_KPI_Returns'!$F$5:$F$24,MATCH(C19,'06_KPI_Returns'!$A$5:$A$24,0))="Above Average - Investigate Return Reasons","Investigate return reasons for "&amp;C19&amp;" - return rate "&amp;TEXT(INDEX('06_KPI_Returns'!$D$5:$D$24,MATCH(C19,'06_KPI_Returns'!$A$5:$A$24,0)),"0.0%")&amp;" (above category average).",IF(INDEX('05_KPI_Discount'!$F$5:$F$24,MATCH(C19,'05_KPI_Discount'!$A$5:$A$24,0))="Above Average - Review Discount Policy","Review discount policy for "&amp;C19&amp;" - discount leakage "&amp;TEXT(INDEX('05_KPI_Discount'!$E$5:$E$24,MATCH(C19,'05_KPI_Discount'!$A$5:$A$24,0)),"0.0%")&amp;" (above category average).","No action required - within normal range."))</f>
        <v>Investigate return reasons for Laptops &amp; Computers - return rate 4.6% (above category average).</v>
      </c>
    </row>
    <row r="20" spans="2:5" x14ac:dyDescent="0.3">
      <c r="B20" t="s">
        <v>821</v>
      </c>
      <c r="C20" t="str">
        <f>'04_KPI_Category'!A7</f>
        <v>Televisions</v>
      </c>
      <c r="D20" t="str">
        <f>IF(OR(INDEX('06_KPI_Returns'!$F$5:$F$24,MATCH(C20,'06_KPI_Returns'!$A$5:$A$24,0))="Above Average - Investigate Return Reasons",INDEX('05_KPI_Discount'!$F$5:$F$24,MATCH(C20,'05_KPI_Discount'!$A$5:$A$24,0))="Above Average - Review Discount Policy"),"Action Required","OK")</f>
        <v>Action Required</v>
      </c>
      <c r="E20" t="str">
        <f>IF(INDEX('06_KPI_Returns'!$F$5:$F$24,MATCH(C20,'06_KPI_Returns'!$A$5:$A$24,0))="Above Average - Investigate Return Reasons","Investigate return reasons for "&amp;C20&amp;" - return rate "&amp;TEXT(INDEX('06_KPI_Returns'!$D$5:$D$24,MATCH(C20,'06_KPI_Returns'!$A$5:$A$24,0)),"0.0%")&amp;" (above category average).",IF(INDEX('05_KPI_Discount'!$F$5:$F$24,MATCH(C20,'05_KPI_Discount'!$A$5:$A$24,0))="Above Average - Review Discount Policy","Review discount policy for "&amp;C20&amp;" - discount leakage "&amp;TEXT(INDEX('05_KPI_Discount'!$E$5:$E$24,MATCH(C20,'05_KPI_Discount'!$A$5:$A$24,0)),"0.0%")&amp;" (above category average).","No action required - within normal range."))</f>
        <v>Investigate return reasons for Televisions - return rate 4.1% (above category average).</v>
      </c>
    </row>
    <row r="21" spans="2:5" x14ac:dyDescent="0.3">
      <c r="B21" t="s">
        <v>821</v>
      </c>
      <c r="C21" t="str">
        <f>'04_KPI_Category'!A8</f>
        <v>Furniture</v>
      </c>
      <c r="D21" t="str">
        <f>IF(OR(INDEX('06_KPI_Returns'!$F$5:$F$24,MATCH(C21,'06_KPI_Returns'!$A$5:$A$24,0))="Above Average - Investigate Return Reasons",INDEX('05_KPI_Discount'!$F$5:$F$24,MATCH(C21,'05_KPI_Discount'!$A$5:$A$24,0))="Above Average - Review Discount Policy"),"Action Required","OK")</f>
        <v>Action Required</v>
      </c>
      <c r="E21" t="str">
        <f>IF(INDEX('06_KPI_Returns'!$F$5:$F$24,MATCH(C21,'06_KPI_Returns'!$A$5:$A$24,0))="Above Average - Investigate Return Reasons","Investigate return reasons for "&amp;C21&amp;" - return rate "&amp;TEXT(INDEX('06_KPI_Returns'!$D$5:$D$24,MATCH(C21,'06_KPI_Returns'!$A$5:$A$24,0)),"0.0%")&amp;" (above category average).",IF(INDEX('05_KPI_Discount'!$F$5:$F$24,MATCH(C21,'05_KPI_Discount'!$A$5:$A$24,0))="Above Average - Review Discount Policy","Review discount policy for "&amp;C21&amp;" - discount leakage "&amp;TEXT(INDEX('05_KPI_Discount'!$E$5:$E$24,MATCH(C21,'05_KPI_Discount'!$A$5:$A$24,0)),"0.0%")&amp;" (above category average).","No action required - within normal range."))</f>
        <v>Review discount policy for Furniture - discount leakage 9.9% (above category average).</v>
      </c>
    </row>
    <row r="22" spans="2:5" x14ac:dyDescent="0.3">
      <c r="B22" t="s">
        <v>821</v>
      </c>
      <c r="C22" t="str">
        <f>'04_KPI_Category'!A9</f>
        <v>Mobiles &amp; Accessories</v>
      </c>
      <c r="D22" t="str">
        <f>IF(OR(INDEX('06_KPI_Returns'!$F$5:$F$24,MATCH(C22,'06_KPI_Returns'!$A$5:$A$24,0))="Above Average - Investigate Return Reasons",INDEX('05_KPI_Discount'!$F$5:$F$24,MATCH(C22,'05_KPI_Discount'!$A$5:$A$24,0))="Above Average - Review Discount Policy"),"Action Required","OK")</f>
        <v>Action Required</v>
      </c>
      <c r="E22" t="str">
        <f>IF(INDEX('06_KPI_Returns'!$F$5:$F$24,MATCH(C22,'06_KPI_Returns'!$A$5:$A$24,0))="Above Average - Investigate Return Reasons","Investigate return reasons for "&amp;C22&amp;" - return rate "&amp;TEXT(INDEX('06_KPI_Returns'!$D$5:$D$24,MATCH(C22,'06_KPI_Returns'!$A$5:$A$24,0)),"0.0%")&amp;" (above category average).",IF(INDEX('05_KPI_Discount'!$F$5:$F$24,MATCH(C22,'05_KPI_Discount'!$A$5:$A$24,0))="Above Average - Review Discount Policy","Review discount policy for "&amp;C22&amp;" - discount leakage "&amp;TEXT(INDEX('05_KPI_Discount'!$E$5:$E$24,MATCH(C22,'05_KPI_Discount'!$A$5:$A$24,0)),"0.0%")&amp;" (above category average).","No action required - within normal range."))</f>
        <v>Investigate return reasons for Mobiles &amp; Accessories - return rate 4.4% (above category average).</v>
      </c>
    </row>
    <row r="23" spans="2:5" x14ac:dyDescent="0.3">
      <c r="B23" t="s">
        <v>821</v>
      </c>
      <c r="C23" t="str">
        <f>'04_KPI_Category'!A10</f>
        <v>Air Conditioners &amp; Coolers</v>
      </c>
      <c r="D23" t="str">
        <f>IF(OR(INDEX('06_KPI_Returns'!$F$5:$F$24,MATCH(C23,'06_KPI_Returns'!$A$5:$A$24,0))="Above Average - Investigate Return Reasons",INDEX('05_KPI_Discount'!$F$5:$F$24,MATCH(C23,'05_KPI_Discount'!$A$5:$A$24,0))="Above Average - Review Discount Policy"),"Action Required","OK")</f>
        <v>Action Required</v>
      </c>
      <c r="E23" t="str">
        <f>IF(INDEX('06_KPI_Returns'!$F$5:$F$24,MATCH(C23,'06_KPI_Returns'!$A$5:$A$24,0))="Above Average - Investigate Return Reasons","Investigate return reasons for "&amp;C23&amp;" - return rate "&amp;TEXT(INDEX('06_KPI_Returns'!$D$5:$D$24,MATCH(C23,'06_KPI_Returns'!$A$5:$A$24,0)),"0.0%")&amp;" (above category average).",IF(INDEX('05_KPI_Discount'!$F$5:$F$24,MATCH(C23,'05_KPI_Discount'!$A$5:$A$24,0))="Above Average - Review Discount Policy","Review discount policy for "&amp;C23&amp;" - discount leakage "&amp;TEXT(INDEX('05_KPI_Discount'!$E$5:$E$24,MATCH(C23,'05_KPI_Discount'!$A$5:$A$24,0)),"0.0%")&amp;" (above category average).","No action required - within normal range."))</f>
        <v>Review discount policy for Air Conditioners &amp; Coolers - discount leakage 10.0% (above category average).</v>
      </c>
    </row>
    <row r="24" spans="2:5" x14ac:dyDescent="0.3">
      <c r="B24" t="s">
        <v>821</v>
      </c>
      <c r="C24" t="str">
        <f>'04_KPI_Category'!A11</f>
        <v>Washing Machines</v>
      </c>
      <c r="D24" t="str">
        <f>IF(OR(INDEX('06_KPI_Returns'!$F$5:$F$24,MATCH(C24,'06_KPI_Returns'!$A$5:$A$24,0))="Above Average - Investigate Return Reasons",INDEX('05_KPI_Discount'!$F$5:$F$24,MATCH(C24,'05_KPI_Discount'!$A$5:$A$24,0))="Above Average - Review Discount Policy"),"Action Required","OK")</f>
        <v>OK</v>
      </c>
      <c r="E24" t="str">
        <f>IF(INDEX('06_KPI_Returns'!$F$5:$F$24,MATCH(C24,'06_KPI_Returns'!$A$5:$A$24,0))="Above Average - Investigate Return Reasons","Investigate return reasons for "&amp;C24&amp;" - return rate "&amp;TEXT(INDEX('06_KPI_Returns'!$D$5:$D$24,MATCH(C24,'06_KPI_Returns'!$A$5:$A$24,0)),"0.0%")&amp;" (above category average).",IF(INDEX('05_KPI_Discount'!$F$5:$F$24,MATCH(C24,'05_KPI_Discount'!$A$5:$A$24,0))="Above Average - Review Discount Policy","Review discount policy for "&amp;C24&amp;" - discount leakage "&amp;TEXT(INDEX('05_KPI_Discount'!$E$5:$E$24,MATCH(C24,'05_KPI_Discount'!$A$5:$A$24,0)),"0.0%")&amp;" (above category average).","No action required - within normal range."))</f>
        <v>No action required - within normal range.</v>
      </c>
    </row>
    <row r="25" spans="2:5" x14ac:dyDescent="0.3">
      <c r="B25" t="s">
        <v>821</v>
      </c>
      <c r="C25" t="str">
        <f>'04_KPI_Category'!A12</f>
        <v>Kitchen Appliances</v>
      </c>
      <c r="D25" t="str">
        <f>IF(OR(INDEX('06_KPI_Returns'!$F$5:$F$24,MATCH(C25,'06_KPI_Returns'!$A$5:$A$24,0))="Above Average - Investigate Return Reasons",INDEX('05_KPI_Discount'!$F$5:$F$24,MATCH(C25,'05_KPI_Discount'!$A$5:$A$24,0))="Above Average - Review Discount Policy"),"Action Required","OK")</f>
        <v>OK</v>
      </c>
      <c r="E25" t="str">
        <f>IF(INDEX('06_KPI_Returns'!$F$5:$F$24,MATCH(C25,'06_KPI_Returns'!$A$5:$A$24,0))="Above Average - Investigate Return Reasons","Investigate return reasons for "&amp;C25&amp;" - return rate "&amp;TEXT(INDEX('06_KPI_Returns'!$D$5:$D$24,MATCH(C25,'06_KPI_Returns'!$A$5:$A$24,0)),"0.0%")&amp;" (above category average).",IF(INDEX('05_KPI_Discount'!$F$5:$F$24,MATCH(C25,'05_KPI_Discount'!$A$5:$A$24,0))="Above Average - Review Discount Policy","Review discount policy for "&amp;C25&amp;" - discount leakage "&amp;TEXT(INDEX('05_KPI_Discount'!$E$5:$E$24,MATCH(C25,'05_KPI_Discount'!$A$5:$A$24,0)),"0.0%")&amp;" (above category average).","No action required - within normal range."))</f>
        <v>No action required - within normal range.</v>
      </c>
    </row>
    <row r="26" spans="2:5" x14ac:dyDescent="0.3">
      <c r="B26" t="s">
        <v>821</v>
      </c>
      <c r="C26" t="str">
        <f>'04_KPI_Category'!A13</f>
        <v>Home Audio</v>
      </c>
      <c r="D26" t="str">
        <f>IF(OR(INDEX('06_KPI_Returns'!$F$5:$F$24,MATCH(C26,'06_KPI_Returns'!$A$5:$A$24,0))="Above Average - Investigate Return Reasons",INDEX('05_KPI_Discount'!$F$5:$F$24,MATCH(C26,'05_KPI_Discount'!$A$5:$A$24,0))="Above Average - Review Discount Policy"),"Action Required","OK")</f>
        <v>Action Required</v>
      </c>
      <c r="E26" t="str">
        <f>IF(INDEX('06_KPI_Returns'!$F$5:$F$24,MATCH(C26,'06_KPI_Returns'!$A$5:$A$24,0))="Above Average - Investigate Return Reasons","Investigate return reasons for "&amp;C26&amp;" - return rate "&amp;TEXT(INDEX('06_KPI_Returns'!$D$5:$D$24,MATCH(C26,'06_KPI_Returns'!$A$5:$A$24,0)),"0.0%")&amp;" (above category average).",IF(INDEX('05_KPI_Discount'!$F$5:$F$24,MATCH(C26,'05_KPI_Discount'!$A$5:$A$24,0))="Above Average - Review Discount Policy","Review discount policy for "&amp;C26&amp;" - discount leakage "&amp;TEXT(INDEX('05_KPI_Discount'!$E$5:$E$24,MATCH(C26,'05_KPI_Discount'!$A$5:$A$24,0)),"0.0%")&amp;" (above category average).","No action required - within normal range."))</f>
        <v>Investigate return reasons for Home Audio - return rate 3.9% (above category average).</v>
      </c>
    </row>
    <row r="27" spans="2:5" x14ac:dyDescent="0.3">
      <c r="B27" t="s">
        <v>821</v>
      </c>
      <c r="C27" t="str">
        <f>'04_KPI_Category'!A14</f>
        <v>Heaters &amp; Winter Appliances</v>
      </c>
      <c r="D27" t="str">
        <f>IF(OR(INDEX('06_KPI_Returns'!$F$5:$F$24,MATCH(C27,'06_KPI_Returns'!$A$5:$A$24,0))="Above Average - Investigate Return Reasons",INDEX('05_KPI_Discount'!$F$5:$F$24,MATCH(C27,'05_KPI_Discount'!$A$5:$A$24,0))="Above Average - Review Discount Policy"),"Action Required","OK")</f>
        <v>OK</v>
      </c>
      <c r="E27" t="str">
        <f>IF(INDEX('06_KPI_Returns'!$F$5:$F$24,MATCH(C27,'06_KPI_Returns'!$A$5:$A$24,0))="Above Average - Investigate Return Reasons","Investigate return reasons for "&amp;C27&amp;" - return rate "&amp;TEXT(INDEX('06_KPI_Returns'!$D$5:$D$24,MATCH(C27,'06_KPI_Returns'!$A$5:$A$24,0)),"0.0%")&amp;" (above category average).",IF(INDEX('05_KPI_Discount'!$F$5:$F$24,MATCH(C27,'05_KPI_Discount'!$A$5:$A$24,0))="Above Average - Review Discount Policy","Review discount policy for "&amp;C27&amp;" - discount leakage "&amp;TEXT(INDEX('05_KPI_Discount'!$E$5:$E$24,MATCH(C27,'05_KPI_Discount'!$A$5:$A$24,0)),"0.0%")&amp;" (above category average).","No action required - within normal range."))</f>
        <v>No action required - within normal range.</v>
      </c>
    </row>
    <row r="28" spans="2:5" x14ac:dyDescent="0.3">
      <c r="B28" t="s">
        <v>821</v>
      </c>
      <c r="C28" t="str">
        <f>'04_KPI_Category'!A15</f>
        <v>Footwear</v>
      </c>
      <c r="D28" t="str">
        <f>IF(OR(INDEX('06_KPI_Returns'!$F$5:$F$24,MATCH(C28,'06_KPI_Returns'!$A$5:$A$24,0))="Above Average - Investigate Return Reasons",INDEX('05_KPI_Discount'!$F$5:$F$24,MATCH(C28,'05_KPI_Discount'!$A$5:$A$24,0))="Above Average - Review Discount Policy"),"Action Required","OK")</f>
        <v>Action Required</v>
      </c>
      <c r="E28" t="str">
        <f>IF(INDEX('06_KPI_Returns'!$F$5:$F$24,MATCH(C28,'06_KPI_Returns'!$A$5:$A$24,0))="Above Average - Investigate Return Reasons","Investigate return reasons for "&amp;C28&amp;" - return rate "&amp;TEXT(INDEX('06_KPI_Returns'!$D$5:$D$24,MATCH(C28,'06_KPI_Returns'!$A$5:$A$24,0)),"0.0%")&amp;" (above category average).",IF(INDEX('05_KPI_Discount'!$F$5:$F$24,MATCH(C28,'05_KPI_Discount'!$A$5:$A$24,0))="Above Average - Review Discount Policy","Review discount policy for "&amp;C28&amp;" - discount leakage "&amp;TEXT(INDEX('05_KPI_Discount'!$E$5:$E$24,MATCH(C28,'05_KPI_Discount'!$A$5:$A$24,0)),"0.0%")&amp;" (above category average).","No action required - within normal range."))</f>
        <v>Investigate return reasons for Footwear - return rate 6.8% (above category average).</v>
      </c>
    </row>
    <row r="29" spans="2:5" x14ac:dyDescent="0.3">
      <c r="B29" t="s">
        <v>821</v>
      </c>
      <c r="C29" t="str">
        <f>'04_KPI_Category'!A16</f>
        <v>Festive &amp; Gifting</v>
      </c>
      <c r="D29" t="str">
        <f>IF(OR(INDEX('06_KPI_Returns'!$F$5:$F$24,MATCH(C29,'06_KPI_Returns'!$A$5:$A$24,0))="Above Average - Investigate Return Reasons",INDEX('05_KPI_Discount'!$F$5:$F$24,MATCH(C29,'05_KPI_Discount'!$A$5:$A$24,0))="Above Average - Review Discount Policy"),"Action Required","OK")</f>
        <v>OK</v>
      </c>
      <c r="E29" t="str">
        <f>IF(INDEX('06_KPI_Returns'!$F$5:$F$24,MATCH(C29,'06_KPI_Returns'!$A$5:$A$24,0))="Above Average - Investigate Return Reasons","Investigate return reasons for "&amp;C29&amp;" - return rate "&amp;TEXT(INDEX('06_KPI_Returns'!$D$5:$D$24,MATCH(C29,'06_KPI_Returns'!$A$5:$A$24,0)),"0.0%")&amp;" (above category average).",IF(INDEX('05_KPI_Discount'!$F$5:$F$24,MATCH(C29,'05_KPI_Discount'!$A$5:$A$24,0))="Above Average - Review Discount Policy","Review discount policy for "&amp;C29&amp;" - discount leakage "&amp;TEXT(INDEX('05_KPI_Discount'!$E$5:$E$24,MATCH(C29,'05_KPI_Discount'!$A$5:$A$24,0)),"0.0%")&amp;" (above category average).","No action required - within normal range."))</f>
        <v>No action required - within normal range.</v>
      </c>
    </row>
    <row r="30" spans="2:5" x14ac:dyDescent="0.3">
      <c r="B30" t="s">
        <v>821</v>
      </c>
      <c r="C30" t="str">
        <f>'04_KPI_Category'!A17</f>
        <v>Home Decor</v>
      </c>
      <c r="D30" t="str">
        <f>IF(OR(INDEX('06_KPI_Returns'!$F$5:$F$24,MATCH(C30,'06_KPI_Returns'!$A$5:$A$24,0))="Above Average - Investigate Return Reasons",INDEX('05_KPI_Discount'!$F$5:$F$24,MATCH(C30,'05_KPI_Discount'!$A$5:$A$24,0))="Above Average - Review Discount Policy"),"Action Required","OK")</f>
        <v>OK</v>
      </c>
      <c r="E30" t="str">
        <f>IF(INDEX('06_KPI_Returns'!$F$5:$F$24,MATCH(C30,'06_KPI_Returns'!$A$5:$A$24,0))="Above Average - Investigate Return Reasons","Investigate return reasons for "&amp;C30&amp;" - return rate "&amp;TEXT(INDEX('06_KPI_Returns'!$D$5:$D$24,MATCH(C30,'06_KPI_Returns'!$A$5:$A$24,0)),"0.0%")&amp;" (above category average).",IF(INDEX('05_KPI_Discount'!$F$5:$F$24,MATCH(C30,'05_KPI_Discount'!$A$5:$A$24,0))="Above Average - Review Discount Policy","Review discount policy for "&amp;C30&amp;" - discount leakage "&amp;TEXT(INDEX('05_KPI_Discount'!$E$5:$E$24,MATCH(C30,'05_KPI_Discount'!$A$5:$A$24,0)),"0.0%")&amp;" (above category average).","No action required - within normal range."))</f>
        <v>No action required - within normal range.</v>
      </c>
    </row>
    <row r="31" spans="2:5" x14ac:dyDescent="0.3">
      <c r="B31" t="s">
        <v>821</v>
      </c>
      <c r="C31" t="str">
        <f>'04_KPI_Category'!A18</f>
        <v>Women's Apparel</v>
      </c>
      <c r="D31" t="str">
        <f>IF(OR(INDEX('06_KPI_Returns'!$F$5:$F$24,MATCH(C31,'06_KPI_Returns'!$A$5:$A$24,0))="Above Average - Investigate Return Reasons",INDEX('05_KPI_Discount'!$F$5:$F$24,MATCH(C31,'05_KPI_Discount'!$A$5:$A$24,0))="Above Average - Review Discount Policy"),"Action Required","OK")</f>
        <v>Action Required</v>
      </c>
      <c r="E31" t="str">
        <f>IF(INDEX('06_KPI_Returns'!$F$5:$F$24,MATCH(C31,'06_KPI_Returns'!$A$5:$A$24,0))="Above Average - Investigate Return Reasons","Investigate return reasons for "&amp;C31&amp;" - return rate "&amp;TEXT(INDEX('06_KPI_Returns'!$D$5:$D$24,MATCH(C31,'06_KPI_Returns'!$A$5:$A$24,0)),"0.0%")&amp;" (above category average).",IF(INDEX('05_KPI_Discount'!$F$5:$F$24,MATCH(C31,'05_KPI_Discount'!$A$5:$A$24,0))="Above Average - Review Discount Policy","Review discount policy for "&amp;C31&amp;" - discount leakage "&amp;TEXT(INDEX('05_KPI_Discount'!$E$5:$E$24,MATCH(C31,'05_KPI_Discount'!$A$5:$A$24,0)),"0.0%")&amp;" (above category average).","No action required - within normal range."))</f>
        <v>Investigate return reasons for Women's Apparel - return rate 6.7% (above category average).</v>
      </c>
    </row>
    <row r="32" spans="2:5" x14ac:dyDescent="0.3">
      <c r="B32" t="s">
        <v>821</v>
      </c>
      <c r="C32" t="str">
        <f>'04_KPI_Category'!A19</f>
        <v>Men's Apparel</v>
      </c>
      <c r="D32" t="str">
        <f>IF(OR(INDEX('06_KPI_Returns'!$F$5:$F$24,MATCH(C32,'06_KPI_Returns'!$A$5:$A$24,0))="Above Average - Investigate Return Reasons",INDEX('05_KPI_Discount'!$F$5:$F$24,MATCH(C32,'05_KPI_Discount'!$A$5:$A$24,0))="Above Average - Review Discount Policy"),"Action Required","OK")</f>
        <v>Action Required</v>
      </c>
      <c r="E32" t="str">
        <f>IF(INDEX('06_KPI_Returns'!$F$5:$F$24,MATCH(C32,'06_KPI_Returns'!$A$5:$A$24,0))="Above Average - Investigate Return Reasons","Investigate return reasons for "&amp;C32&amp;" - return rate "&amp;TEXT(INDEX('06_KPI_Returns'!$D$5:$D$24,MATCH(C32,'06_KPI_Returns'!$A$5:$A$24,0)),"0.0%")&amp;" (above category average).",IF(INDEX('05_KPI_Discount'!$F$5:$F$24,MATCH(C32,'05_KPI_Discount'!$A$5:$A$24,0))="Above Average - Review Discount Policy","Review discount policy for "&amp;C32&amp;" - discount leakage "&amp;TEXT(INDEX('05_KPI_Discount'!$E$5:$E$24,MATCH(C32,'05_KPI_Discount'!$A$5:$A$24,0)),"0.0%")&amp;" (above category average).","No action required - within normal range."))</f>
        <v>Investigate return reasons for Men's Apparel - return rate 6.9% (above category average).</v>
      </c>
    </row>
    <row r="33" spans="2:5" x14ac:dyDescent="0.3">
      <c r="B33" t="s">
        <v>821</v>
      </c>
      <c r="C33" t="str">
        <f>'04_KPI_Category'!A20</f>
        <v>Toys &amp; Games</v>
      </c>
      <c r="D33" t="str">
        <f>IF(OR(INDEX('06_KPI_Returns'!$F$5:$F$24,MATCH(C33,'06_KPI_Returns'!$A$5:$A$24,0))="Above Average - Investigate Return Reasons",INDEX('05_KPI_Discount'!$F$5:$F$24,MATCH(C33,'05_KPI_Discount'!$A$5:$A$24,0))="Above Average - Review Discount Policy"),"Action Required","OK")</f>
        <v>OK</v>
      </c>
      <c r="E33" t="str">
        <f>IF(INDEX('06_KPI_Returns'!$F$5:$F$24,MATCH(C33,'06_KPI_Returns'!$A$5:$A$24,0))="Above Average - Investigate Return Reasons","Investigate return reasons for "&amp;C33&amp;" - return rate "&amp;TEXT(INDEX('06_KPI_Returns'!$D$5:$D$24,MATCH(C33,'06_KPI_Returns'!$A$5:$A$24,0)),"0.0%")&amp;" (above category average).",IF(INDEX('05_KPI_Discount'!$F$5:$F$24,MATCH(C33,'05_KPI_Discount'!$A$5:$A$24,0))="Above Average - Review Discount Policy","Review discount policy for "&amp;C33&amp;" - discount leakage "&amp;TEXT(INDEX('05_KPI_Discount'!$E$5:$E$24,MATCH(C33,'05_KPI_Discount'!$A$5:$A$24,0)),"0.0%")&amp;" (above category average).","No action required - within normal range."))</f>
        <v>No action required - within normal range.</v>
      </c>
    </row>
    <row r="34" spans="2:5" x14ac:dyDescent="0.3">
      <c r="B34" t="s">
        <v>821</v>
      </c>
      <c r="C34" t="str">
        <f>'04_KPI_Category'!A21</f>
        <v>Kitchenware</v>
      </c>
      <c r="D34" t="str">
        <f>IF(OR(INDEX('06_KPI_Returns'!$F$5:$F$24,MATCH(C34,'06_KPI_Returns'!$A$5:$A$24,0))="Above Average - Investigate Return Reasons",INDEX('05_KPI_Discount'!$F$5:$F$24,MATCH(C34,'05_KPI_Discount'!$A$5:$A$24,0))="Above Average - Review Discount Policy"),"Action Required","OK")</f>
        <v>Action Required</v>
      </c>
      <c r="E34" t="str">
        <f>IF(INDEX('06_KPI_Returns'!$F$5:$F$24,MATCH(C34,'06_KPI_Returns'!$A$5:$A$24,0))="Above Average - Investigate Return Reasons","Investigate return reasons for "&amp;C34&amp;" - return rate "&amp;TEXT(INDEX('06_KPI_Returns'!$D$5:$D$24,MATCH(C34,'06_KPI_Returns'!$A$5:$A$24,0)),"0.0%")&amp;" (above category average).",IF(INDEX('05_KPI_Discount'!$F$5:$F$24,MATCH(C34,'05_KPI_Discount'!$A$5:$A$24,0))="Above Average - Review Discount Policy","Review discount policy for "&amp;C34&amp;" - discount leakage "&amp;TEXT(INDEX('05_KPI_Discount'!$E$5:$E$24,MATCH(C34,'05_KPI_Discount'!$A$5:$A$24,0)),"0.0%")&amp;" (above category average).","No action required - within normal range."))</f>
        <v>Review discount policy for Kitchenware - discount leakage 10.1% (above category average).</v>
      </c>
    </row>
    <row r="35" spans="2:5" x14ac:dyDescent="0.3">
      <c r="B35" t="s">
        <v>821</v>
      </c>
      <c r="C35" t="str">
        <f>'04_KPI_Category'!A22</f>
        <v>Kids Apparel</v>
      </c>
      <c r="D35" t="str">
        <f>IF(OR(INDEX('06_KPI_Returns'!$F$5:$F$24,MATCH(C35,'06_KPI_Returns'!$A$5:$A$24,0))="Above Average - Investigate Return Reasons",INDEX('05_KPI_Discount'!$F$5:$F$24,MATCH(C35,'05_KPI_Discount'!$A$5:$A$24,0))="Above Average - Review Discount Policy"),"Action Required","OK")</f>
        <v>Action Required</v>
      </c>
      <c r="E35" t="str">
        <f>IF(INDEX('06_KPI_Returns'!$F$5:$F$24,MATCH(C35,'06_KPI_Returns'!$A$5:$A$24,0))="Above Average - Investigate Return Reasons","Investigate return reasons for "&amp;C35&amp;" - return rate "&amp;TEXT(INDEX('06_KPI_Returns'!$D$5:$D$24,MATCH(C35,'06_KPI_Returns'!$A$5:$A$24,0)),"0.0%")&amp;" (above category average).",IF(INDEX('05_KPI_Discount'!$F$5:$F$24,MATCH(C35,'05_KPI_Discount'!$A$5:$A$24,0))="Above Average - Review Discount Policy","Review discount policy for "&amp;C35&amp;" - discount leakage "&amp;TEXT(INDEX('05_KPI_Discount'!$E$5:$E$24,MATCH(C35,'05_KPI_Discount'!$A$5:$A$24,0)),"0.0%")&amp;" (above category average).","No action required - within normal range."))</f>
        <v>Investigate return reasons for Kids Apparel - return rate 6.9% (above category average).</v>
      </c>
    </row>
    <row r="36" spans="2:5" x14ac:dyDescent="0.3">
      <c r="B36" t="s">
        <v>821</v>
      </c>
      <c r="C36" t="str">
        <f>'04_KPI_Category'!A23</f>
        <v>Personal Care</v>
      </c>
      <c r="D36" t="str">
        <f>IF(OR(INDEX('06_KPI_Returns'!$F$5:$F$24,MATCH(C36,'06_KPI_Returns'!$A$5:$A$24,0))="Above Average - Investigate Return Reasons",INDEX('05_KPI_Discount'!$F$5:$F$24,MATCH(C36,'05_KPI_Discount'!$A$5:$A$24,0))="Above Average - Review Discount Policy"),"Action Required","OK")</f>
        <v>Action Required</v>
      </c>
      <c r="E36" t="str">
        <f>IF(INDEX('06_KPI_Returns'!$F$5:$F$24,MATCH(C36,'06_KPI_Returns'!$A$5:$A$24,0))="Above Average - Investigate Return Reasons","Investigate return reasons for "&amp;C36&amp;" - return rate "&amp;TEXT(INDEX('06_KPI_Returns'!$D$5:$D$24,MATCH(C36,'06_KPI_Returns'!$A$5:$A$24,0)),"0.0%")&amp;" (above category average).",IF(INDEX('05_KPI_Discount'!$F$5:$F$24,MATCH(C36,'05_KPI_Discount'!$A$5:$A$24,0))="Above Average - Review Discount Policy","Review discount policy for "&amp;C36&amp;" - discount leakage "&amp;TEXT(INDEX('05_KPI_Discount'!$E$5:$E$24,MATCH(C36,'05_KPI_Discount'!$A$5:$A$24,0)),"0.0%")&amp;" (above category average).","No action required - within normal range."))</f>
        <v>Review discount policy for Personal Care - discount leakage 10.0% (above category average).</v>
      </c>
    </row>
    <row r="37" spans="2:5" x14ac:dyDescent="0.3">
      <c r="B37" t="s">
        <v>821</v>
      </c>
      <c r="C37" t="str">
        <f>'04_KPI_Category'!A24</f>
        <v>Groceries &amp; Staples</v>
      </c>
      <c r="D37" t="str">
        <f>IF(OR(INDEX('06_KPI_Returns'!$F$5:$F$24,MATCH(C37,'06_KPI_Returns'!$A$5:$A$24,0))="Above Average - Investigate Return Reasons",INDEX('05_KPI_Discount'!$F$5:$F$24,MATCH(C37,'05_KPI_Discount'!$A$5:$A$24,0))="Above Average - Review Discount Policy"),"Action Required","OK")</f>
        <v>Action Required</v>
      </c>
      <c r="E37" t="str">
        <f>IF(INDEX('06_KPI_Returns'!$F$5:$F$24,MATCH(C37,'06_KPI_Returns'!$A$5:$A$24,0))="Above Average - Investigate Return Reasons","Investigate return reasons for "&amp;C37&amp;" - return rate "&amp;TEXT(INDEX('06_KPI_Returns'!$D$5:$D$24,MATCH(C37,'06_KPI_Returns'!$A$5:$A$24,0)),"0.0%")&amp;" (above category average).",IF(INDEX('05_KPI_Discount'!$F$5:$F$24,MATCH(C37,'05_KPI_Discount'!$A$5:$A$24,0))="Above Average - Review Discount Policy","Review discount policy for "&amp;C37&amp;" - discount leakage "&amp;TEXT(INDEX('05_KPI_Discount'!$E$5:$E$24,MATCH(C37,'05_KPI_Discount'!$A$5:$A$24,0)),"0.0%")&amp;" (above category average).","No action required - within normal range."))</f>
        <v>Review discount policy for Groceries &amp; Staples - discount leakage 9.9% (above category average).</v>
      </c>
    </row>
    <row r="38" spans="2:5" x14ac:dyDescent="0.3">
      <c r="B38" t="s">
        <v>874</v>
      </c>
      <c r="C38" t="str">
        <f>'09_KPI_StoreScore'!A15</f>
        <v>Nova Retail - Ahmedabad Flagship</v>
      </c>
      <c r="D38" t="str">
        <f>IF('09_KPI_StoreScore'!O15="Priority Intervention","Action Required","OK")</f>
        <v>OK</v>
      </c>
      <c r="E38" t="str">
        <f>IF('09_KPI_StoreScore'!O15="Priority Intervention","Immediate management intervention for "&amp;C38&amp;" ("&amp;'09_KPI_StoreScore'!B15&amp;") - Performance Score "&amp;TEXT('09_KPI_StoreScore'!M15,"0.0")&amp;", Rank "&amp;'09_KPI_StoreScore'!N15&amp;" of 120.","No action required - performance within acceptable range.")</f>
        <v>No action required - performance within acceptable range.</v>
      </c>
    </row>
    <row r="39" spans="2:5" x14ac:dyDescent="0.3">
      <c r="B39" t="s">
        <v>874</v>
      </c>
      <c r="C39" t="str">
        <f>'09_KPI_StoreScore'!A16</f>
        <v>Nova Retail - Ahmedabad Standard</v>
      </c>
      <c r="D39" t="str">
        <f>IF('09_KPI_StoreScore'!O16="Priority Intervention","Action Required","OK")</f>
        <v>OK</v>
      </c>
      <c r="E39" t="str">
        <f>IF('09_KPI_StoreScore'!O16="Priority Intervention","Immediate management intervention for "&amp;C39&amp;" ("&amp;'09_KPI_StoreScore'!B16&amp;") - Performance Score "&amp;TEXT('09_KPI_StoreScore'!M16,"0.0")&amp;", Rank "&amp;'09_KPI_StoreScore'!N16&amp;" of 120.","No action required - performance within acceptable range.")</f>
        <v>No action required - performance within acceptable range.</v>
      </c>
    </row>
    <row r="40" spans="2:5" x14ac:dyDescent="0.3">
      <c r="B40" t="s">
        <v>874</v>
      </c>
      <c r="C40" t="str">
        <f>'09_KPI_StoreScore'!A17</f>
        <v>Nova Retail - Amritsar Compact</v>
      </c>
      <c r="D40" t="str">
        <f>IF('09_KPI_StoreScore'!O17="Priority Intervention","Action Required","OK")</f>
        <v>OK</v>
      </c>
      <c r="E40" t="str">
        <f>IF('09_KPI_StoreScore'!O17="Priority Intervention","Immediate management intervention for "&amp;C40&amp;" ("&amp;'09_KPI_StoreScore'!B17&amp;") - Performance Score "&amp;TEXT('09_KPI_StoreScore'!M17,"0.0")&amp;", Rank "&amp;'09_KPI_StoreScore'!N17&amp;" of 120.","No action required - performance within acceptable range.")</f>
        <v>No action required - performance within acceptable range.</v>
      </c>
    </row>
    <row r="41" spans="2:5" x14ac:dyDescent="0.3">
      <c r="B41" t="s">
        <v>874</v>
      </c>
      <c r="C41" t="str">
        <f>'09_KPI_StoreScore'!A18</f>
        <v>Nova Retail - Amritsar Compact</v>
      </c>
      <c r="D41" t="str">
        <f>IF('09_KPI_StoreScore'!O18="Priority Intervention","Action Required","OK")</f>
        <v>OK</v>
      </c>
      <c r="E41" t="str">
        <f>IF('09_KPI_StoreScore'!O18="Priority Intervention","Immediate management intervention for "&amp;C41&amp;" ("&amp;'09_KPI_StoreScore'!B18&amp;") - Performance Score "&amp;TEXT('09_KPI_StoreScore'!M18,"0.0")&amp;", Rank "&amp;'09_KPI_StoreScore'!N18&amp;" of 120.","No action required - performance within acceptable range.")</f>
        <v>No action required - performance within acceptable range.</v>
      </c>
    </row>
    <row r="42" spans="2:5" x14ac:dyDescent="0.3">
      <c r="B42" t="s">
        <v>874</v>
      </c>
      <c r="C42" t="str">
        <f>'09_KPI_StoreScore'!A19</f>
        <v>Nova Retail - Amritsar Flagship</v>
      </c>
      <c r="D42" t="str">
        <f>IF('09_KPI_StoreScore'!O19="Priority Intervention","Action Required","OK")</f>
        <v>OK</v>
      </c>
      <c r="E42" t="str">
        <f>IF('09_KPI_StoreScore'!O19="Priority Intervention","Immediate management intervention for "&amp;C42&amp;" ("&amp;'09_KPI_StoreScore'!B19&amp;") - Performance Score "&amp;TEXT('09_KPI_StoreScore'!M19,"0.0")&amp;", Rank "&amp;'09_KPI_StoreScore'!N19&amp;" of 120.","No action required - performance within acceptable range.")</f>
        <v>No action required - performance within acceptable range.</v>
      </c>
    </row>
    <row r="43" spans="2:5" x14ac:dyDescent="0.3">
      <c r="B43" t="s">
        <v>874</v>
      </c>
      <c r="C43" t="str">
        <f>'09_KPI_StoreScore'!A20</f>
        <v>Nova Retail - Amritsar Standard</v>
      </c>
      <c r="D43" t="str">
        <f>IF('09_KPI_StoreScore'!O20="Priority Intervention","Action Required","OK")</f>
        <v>OK</v>
      </c>
      <c r="E43" t="str">
        <f>IF('09_KPI_StoreScore'!O20="Priority Intervention","Immediate management intervention for "&amp;C43&amp;" ("&amp;'09_KPI_StoreScore'!B20&amp;") - Performance Score "&amp;TEXT('09_KPI_StoreScore'!M20,"0.0")&amp;", Rank "&amp;'09_KPI_StoreScore'!N20&amp;" of 120.","No action required - performance within acceptable range.")</f>
        <v>No action required - performance within acceptable range.</v>
      </c>
    </row>
    <row r="44" spans="2:5" x14ac:dyDescent="0.3">
      <c r="B44" t="s">
        <v>874</v>
      </c>
      <c r="C44" t="str">
        <f>'09_KPI_StoreScore'!A21</f>
        <v>Nova Retail - Amritsar Standard</v>
      </c>
      <c r="D44" t="str">
        <f>IF('09_KPI_StoreScore'!O21="Priority Intervention","Action Required","OK")</f>
        <v>OK</v>
      </c>
      <c r="E44" t="str">
        <f>IF('09_KPI_StoreScore'!O21="Priority Intervention","Immediate management intervention for "&amp;C44&amp;" ("&amp;'09_KPI_StoreScore'!B21&amp;") - Performance Score "&amp;TEXT('09_KPI_StoreScore'!M21,"0.0")&amp;", Rank "&amp;'09_KPI_StoreScore'!N21&amp;" of 120.","No action required - performance within acceptable range.")</f>
        <v>No action required - performance within acceptable range.</v>
      </c>
    </row>
    <row r="45" spans="2:5" x14ac:dyDescent="0.3">
      <c r="B45" t="s">
        <v>874</v>
      </c>
      <c r="C45" t="str">
        <f>'09_KPI_StoreScore'!A22</f>
        <v>Nova Retail - Bengaluru Compact</v>
      </c>
      <c r="D45" t="str">
        <f>IF('09_KPI_StoreScore'!O22="Priority Intervention","Action Required","OK")</f>
        <v>OK</v>
      </c>
      <c r="E45" t="str">
        <f>IF('09_KPI_StoreScore'!O22="Priority Intervention","Immediate management intervention for "&amp;C45&amp;" ("&amp;'09_KPI_StoreScore'!B22&amp;") - Performance Score "&amp;TEXT('09_KPI_StoreScore'!M22,"0.0")&amp;", Rank "&amp;'09_KPI_StoreScore'!N22&amp;" of 120.","No action required - performance within acceptable range.")</f>
        <v>No action required - performance within acceptable range.</v>
      </c>
    </row>
    <row r="46" spans="2:5" x14ac:dyDescent="0.3">
      <c r="B46" t="s">
        <v>874</v>
      </c>
      <c r="C46" t="str">
        <f>'09_KPI_StoreScore'!A23</f>
        <v>Nova Retail - Bengaluru Standard</v>
      </c>
      <c r="D46" t="str">
        <f>IF('09_KPI_StoreScore'!O23="Priority Intervention","Action Required","OK")</f>
        <v>OK</v>
      </c>
      <c r="E46" t="str">
        <f>IF('09_KPI_StoreScore'!O23="Priority Intervention","Immediate management intervention for "&amp;C46&amp;" ("&amp;'09_KPI_StoreScore'!B23&amp;") - Performance Score "&amp;TEXT('09_KPI_StoreScore'!M23,"0.0")&amp;", Rank "&amp;'09_KPI_StoreScore'!N23&amp;" of 120.","No action required - performance within acceptable range.")</f>
        <v>No action required - performance within acceptable range.</v>
      </c>
    </row>
    <row r="47" spans="2:5" x14ac:dyDescent="0.3">
      <c r="B47" t="s">
        <v>874</v>
      </c>
      <c r="C47" t="str">
        <f>'09_KPI_StoreScore'!A24</f>
        <v>Nova Retail - Bengaluru Standard</v>
      </c>
      <c r="D47" t="str">
        <f>IF('09_KPI_StoreScore'!O24="Priority Intervention","Action Required","OK")</f>
        <v>OK</v>
      </c>
      <c r="E47" t="str">
        <f>IF('09_KPI_StoreScore'!O24="Priority Intervention","Immediate management intervention for "&amp;C47&amp;" ("&amp;'09_KPI_StoreScore'!B24&amp;") - Performance Score "&amp;TEXT('09_KPI_StoreScore'!M24,"0.0")&amp;", Rank "&amp;'09_KPI_StoreScore'!N24&amp;" of 120.","No action required - performance within acceptable range.")</f>
        <v>No action required - performance within acceptable range.</v>
      </c>
    </row>
    <row r="48" spans="2:5" x14ac:dyDescent="0.3">
      <c r="B48" t="s">
        <v>874</v>
      </c>
      <c r="C48" t="str">
        <f>'09_KPI_StoreScore'!A25</f>
        <v>Nova Retail - Bhopal Standard</v>
      </c>
      <c r="D48" t="str">
        <f>IF('09_KPI_StoreScore'!O25="Priority Intervention","Action Required","OK")</f>
        <v>OK</v>
      </c>
      <c r="E48" t="str">
        <f>IF('09_KPI_StoreScore'!O25="Priority Intervention","Immediate management intervention for "&amp;C48&amp;" ("&amp;'09_KPI_StoreScore'!B25&amp;") - Performance Score "&amp;TEXT('09_KPI_StoreScore'!M25,"0.0")&amp;", Rank "&amp;'09_KPI_StoreScore'!N25&amp;" of 120.","No action required - performance within acceptable range.")</f>
        <v>No action required - performance within acceptable range.</v>
      </c>
    </row>
    <row r="49" spans="2:5" x14ac:dyDescent="0.3">
      <c r="B49" t="s">
        <v>874</v>
      </c>
      <c r="C49" t="str">
        <f>'09_KPI_StoreScore'!A26</f>
        <v>Nova Retail - Bhubaneswar Standard</v>
      </c>
      <c r="D49" t="str">
        <f>IF('09_KPI_StoreScore'!O26="Priority Intervention","Action Required","OK")</f>
        <v>OK</v>
      </c>
      <c r="E49" t="str">
        <f>IF('09_KPI_StoreScore'!O26="Priority Intervention","Immediate management intervention for "&amp;C49&amp;" ("&amp;'09_KPI_StoreScore'!B26&amp;") - Performance Score "&amp;TEXT('09_KPI_StoreScore'!M26,"0.0")&amp;", Rank "&amp;'09_KPI_StoreScore'!N26&amp;" of 120.","No action required - performance within acceptable range.")</f>
        <v>No action required - performance within acceptable range.</v>
      </c>
    </row>
    <row r="50" spans="2:5" x14ac:dyDescent="0.3">
      <c r="B50" t="s">
        <v>874</v>
      </c>
      <c r="C50" t="str">
        <f>'09_KPI_StoreScore'!A27</f>
        <v>Nova Retail - Chandigarh Compact</v>
      </c>
      <c r="D50" t="str">
        <f>IF('09_KPI_StoreScore'!O27="Priority Intervention","Action Required","OK")</f>
        <v>OK</v>
      </c>
      <c r="E50" t="str">
        <f>IF('09_KPI_StoreScore'!O27="Priority Intervention","Immediate management intervention for "&amp;C50&amp;" ("&amp;'09_KPI_StoreScore'!B27&amp;") - Performance Score "&amp;TEXT('09_KPI_StoreScore'!M27,"0.0")&amp;", Rank "&amp;'09_KPI_StoreScore'!N27&amp;" of 120.","No action required - performance within acceptable range.")</f>
        <v>No action required - performance within acceptable range.</v>
      </c>
    </row>
    <row r="51" spans="2:5" x14ac:dyDescent="0.3">
      <c r="B51" t="s">
        <v>874</v>
      </c>
      <c r="C51" t="str">
        <f>'09_KPI_StoreScore'!A28</f>
        <v>Nova Retail - Chandigarh Standard</v>
      </c>
      <c r="D51" t="str">
        <f>IF('09_KPI_StoreScore'!O28="Priority Intervention","Action Required","OK")</f>
        <v>Action Required</v>
      </c>
      <c r="E51" t="str">
        <f>IF('09_KPI_StoreScore'!O28="Priority Intervention","Immediate management intervention for "&amp;C51&amp;" ("&amp;'09_KPI_StoreScore'!B28&amp;") - Performance Score "&amp;TEXT('09_KPI_StoreScore'!M28,"0.0")&amp;", Rank "&amp;'09_KPI_StoreScore'!N28&amp;" of 120.","No action required - performance within acceptable range.")</f>
        <v>Immediate management intervention for Nova Retail - Chandigarh Standard (Punjab-Haryana) - Performance Score 41.4, Rank 91 of 120.</v>
      </c>
    </row>
    <row r="52" spans="2:5" x14ac:dyDescent="0.3">
      <c r="B52" t="s">
        <v>874</v>
      </c>
      <c r="C52" t="str">
        <f>'09_KPI_StoreScore'!A29</f>
        <v>Nova Retail - Chandigarh Standard</v>
      </c>
      <c r="D52" t="str">
        <f>IF('09_KPI_StoreScore'!O29="Priority Intervention","Action Required","OK")</f>
        <v>OK</v>
      </c>
      <c r="E52" t="str">
        <f>IF('09_KPI_StoreScore'!O29="Priority Intervention","Immediate management intervention for "&amp;C52&amp;" ("&amp;'09_KPI_StoreScore'!B29&amp;") - Performance Score "&amp;TEXT('09_KPI_StoreScore'!M29,"0.0")&amp;", Rank "&amp;'09_KPI_StoreScore'!N29&amp;" of 120.","No action required - performance within acceptable range.")</f>
        <v>No action required - performance within acceptable range.</v>
      </c>
    </row>
    <row r="53" spans="2:5" x14ac:dyDescent="0.3">
      <c r="B53" t="s">
        <v>874</v>
      </c>
      <c r="C53" t="str">
        <f>'09_KPI_StoreScore'!A30</f>
        <v>Nova Retail - Chandigarh Standard</v>
      </c>
      <c r="D53" t="str">
        <f>IF('09_KPI_StoreScore'!O30="Priority Intervention","Action Required","OK")</f>
        <v>Action Required</v>
      </c>
      <c r="E53" t="str">
        <f>IF('09_KPI_StoreScore'!O30="Priority Intervention","Immediate management intervention for "&amp;C53&amp;" ("&amp;'09_KPI_StoreScore'!B30&amp;") - Performance Score "&amp;TEXT('09_KPI_StoreScore'!M30,"0.0")&amp;", Rank "&amp;'09_KPI_StoreScore'!N30&amp;" of 120.","No action required - performance within acceptable range.")</f>
        <v>Immediate management intervention for Nova Retail - Chandigarh Standard (Punjab-Haryana) - Performance Score 30.9, Rank 117 of 120.</v>
      </c>
    </row>
    <row r="54" spans="2:5" x14ac:dyDescent="0.3">
      <c r="B54" t="s">
        <v>874</v>
      </c>
      <c r="C54" t="str">
        <f>'09_KPI_StoreScore'!A31</f>
        <v>Nova Retail - Chandigarh Standard</v>
      </c>
      <c r="D54" t="str">
        <f>IF('09_KPI_StoreScore'!O31="Priority Intervention","Action Required","OK")</f>
        <v>OK</v>
      </c>
      <c r="E54" t="str">
        <f>IF('09_KPI_StoreScore'!O31="Priority Intervention","Immediate management intervention for "&amp;C54&amp;" ("&amp;'09_KPI_StoreScore'!B31&amp;") - Performance Score "&amp;TEXT('09_KPI_StoreScore'!M31,"0.0")&amp;", Rank "&amp;'09_KPI_StoreScore'!N31&amp;" of 120.","No action required - performance within acceptable range.")</f>
        <v>No action required - performance within acceptable range.</v>
      </c>
    </row>
    <row r="55" spans="2:5" x14ac:dyDescent="0.3">
      <c r="B55" t="s">
        <v>874</v>
      </c>
      <c r="C55" t="str">
        <f>'09_KPI_StoreScore'!A32</f>
        <v>Nova Retail - Chandigarh Standard</v>
      </c>
      <c r="D55" t="str">
        <f>IF('09_KPI_StoreScore'!O32="Priority Intervention","Action Required","OK")</f>
        <v>OK</v>
      </c>
      <c r="E55" t="str">
        <f>IF('09_KPI_StoreScore'!O32="Priority Intervention","Immediate management intervention for "&amp;C55&amp;" ("&amp;'09_KPI_StoreScore'!B32&amp;") - Performance Score "&amp;TEXT('09_KPI_StoreScore'!M32,"0.0")&amp;", Rank "&amp;'09_KPI_StoreScore'!N32&amp;" of 120.","No action required - performance within acceptable range.")</f>
        <v>No action required - performance within acceptable range.</v>
      </c>
    </row>
    <row r="56" spans="2:5" x14ac:dyDescent="0.3">
      <c r="B56" t="s">
        <v>874</v>
      </c>
      <c r="C56" t="str">
        <f>'09_KPI_StoreScore'!A33</f>
        <v>Nova Retail - Chennai Compact</v>
      </c>
      <c r="D56" t="str">
        <f>IF('09_KPI_StoreScore'!O33="Priority Intervention","Action Required","OK")</f>
        <v>OK</v>
      </c>
      <c r="E56" t="str">
        <f>IF('09_KPI_StoreScore'!O33="Priority Intervention","Immediate management intervention for "&amp;C56&amp;" ("&amp;'09_KPI_StoreScore'!B33&amp;") - Performance Score "&amp;TEXT('09_KPI_StoreScore'!M33,"0.0")&amp;", Rank "&amp;'09_KPI_StoreScore'!N33&amp;" of 120.","No action required - performance within acceptable range.")</f>
        <v>No action required - performance within acceptable range.</v>
      </c>
    </row>
    <row r="57" spans="2:5" x14ac:dyDescent="0.3">
      <c r="B57" t="s">
        <v>874</v>
      </c>
      <c r="C57" t="str">
        <f>'09_KPI_StoreScore'!A34</f>
        <v>Nova Retail - Chennai Standard</v>
      </c>
      <c r="D57" t="str">
        <f>IF('09_KPI_StoreScore'!O34="Priority Intervention","Action Required","OK")</f>
        <v>OK</v>
      </c>
      <c r="E57" t="str">
        <f>IF('09_KPI_StoreScore'!O34="Priority Intervention","Immediate management intervention for "&amp;C57&amp;" ("&amp;'09_KPI_StoreScore'!B34&amp;") - Performance Score "&amp;TEXT('09_KPI_StoreScore'!M34,"0.0")&amp;", Rank "&amp;'09_KPI_StoreScore'!N34&amp;" of 120.","No action required - performance within acceptable range.")</f>
        <v>No action required - performance within acceptable range.</v>
      </c>
    </row>
    <row r="58" spans="2:5" x14ac:dyDescent="0.3">
      <c r="B58" t="s">
        <v>874</v>
      </c>
      <c r="C58" t="str">
        <f>'09_KPI_StoreScore'!A35</f>
        <v>Nova Retail - Coimbatore Compact</v>
      </c>
      <c r="D58" t="str">
        <f>IF('09_KPI_StoreScore'!O35="Priority Intervention","Action Required","OK")</f>
        <v>OK</v>
      </c>
      <c r="E58" t="str">
        <f>IF('09_KPI_StoreScore'!O35="Priority Intervention","Immediate management intervention for "&amp;C58&amp;" ("&amp;'09_KPI_StoreScore'!B35&amp;") - Performance Score "&amp;TEXT('09_KPI_StoreScore'!M35,"0.0")&amp;", Rank "&amp;'09_KPI_StoreScore'!N35&amp;" of 120.","No action required - performance within acceptable range.")</f>
        <v>No action required - performance within acceptable range.</v>
      </c>
    </row>
    <row r="59" spans="2:5" x14ac:dyDescent="0.3">
      <c r="B59" t="s">
        <v>874</v>
      </c>
      <c r="C59" t="str">
        <f>'09_KPI_StoreScore'!A36</f>
        <v>Nova Retail - Cuttack Standard</v>
      </c>
      <c r="D59" t="str">
        <f>IF('09_KPI_StoreScore'!O36="Priority Intervention","Action Required","OK")</f>
        <v>OK</v>
      </c>
      <c r="E59" t="str">
        <f>IF('09_KPI_StoreScore'!O36="Priority Intervention","Immediate management intervention for "&amp;C59&amp;" ("&amp;'09_KPI_StoreScore'!B36&amp;") - Performance Score "&amp;TEXT('09_KPI_StoreScore'!M36,"0.0")&amp;", Rank "&amp;'09_KPI_StoreScore'!N36&amp;" of 120.","No action required - performance within acceptable range.")</f>
        <v>No action required - performance within acceptable range.</v>
      </c>
    </row>
    <row r="60" spans="2:5" x14ac:dyDescent="0.3">
      <c r="B60" t="s">
        <v>874</v>
      </c>
      <c r="C60" t="str">
        <f>'09_KPI_StoreScore'!A37</f>
        <v>Nova Retail - Cuttack Standard</v>
      </c>
      <c r="D60" t="str">
        <f>IF('09_KPI_StoreScore'!O37="Priority Intervention","Action Required","OK")</f>
        <v>OK</v>
      </c>
      <c r="E60" t="str">
        <f>IF('09_KPI_StoreScore'!O37="Priority Intervention","Immediate management intervention for "&amp;C60&amp;" ("&amp;'09_KPI_StoreScore'!B37&amp;") - Performance Score "&amp;TEXT('09_KPI_StoreScore'!M37,"0.0")&amp;", Rank "&amp;'09_KPI_StoreScore'!N37&amp;" of 120.","No action required - performance within acceptable range.")</f>
        <v>No action required - performance within acceptable range.</v>
      </c>
    </row>
    <row r="61" spans="2:5" x14ac:dyDescent="0.3">
      <c r="B61" t="s">
        <v>874</v>
      </c>
      <c r="C61" t="str">
        <f>'09_KPI_StoreScore'!A38</f>
        <v>Nova Retail - Durgapur Standard</v>
      </c>
      <c r="D61" t="str">
        <f>IF('09_KPI_StoreScore'!O38="Priority Intervention","Action Required","OK")</f>
        <v>OK</v>
      </c>
      <c r="E61" t="str">
        <f>IF('09_KPI_StoreScore'!O38="Priority Intervention","Immediate management intervention for "&amp;C61&amp;" ("&amp;'09_KPI_StoreScore'!B38&amp;") - Performance Score "&amp;TEXT('09_KPI_StoreScore'!M38,"0.0")&amp;", Rank "&amp;'09_KPI_StoreScore'!N38&amp;" of 120.","No action required - performance within acceptable range.")</f>
        <v>No action required - performance within acceptable range.</v>
      </c>
    </row>
    <row r="62" spans="2:5" x14ac:dyDescent="0.3">
      <c r="B62" t="s">
        <v>874</v>
      </c>
      <c r="C62" t="str">
        <f>'09_KPI_StoreScore'!A39</f>
        <v>Nova Retail - Durgapur Standard</v>
      </c>
      <c r="D62" t="str">
        <f>IF('09_KPI_StoreScore'!O39="Priority Intervention","Action Required","OK")</f>
        <v>OK</v>
      </c>
      <c r="E62" t="str">
        <f>IF('09_KPI_StoreScore'!O39="Priority Intervention","Immediate management intervention for "&amp;C62&amp;" ("&amp;'09_KPI_StoreScore'!B39&amp;") - Performance Score "&amp;TEXT('09_KPI_StoreScore'!M39,"0.0")&amp;", Rank "&amp;'09_KPI_StoreScore'!N39&amp;" of 120.","No action required - performance within acceptable range.")</f>
        <v>No action required - performance within acceptable range.</v>
      </c>
    </row>
    <row r="63" spans="2:5" x14ac:dyDescent="0.3">
      <c r="B63" t="s">
        <v>874</v>
      </c>
      <c r="C63" t="str">
        <f>'09_KPI_StoreScore'!A40</f>
        <v>Nova Retail - Durgapur Standard</v>
      </c>
      <c r="D63" t="str">
        <f>IF('09_KPI_StoreScore'!O40="Priority Intervention","Action Required","OK")</f>
        <v>OK</v>
      </c>
      <c r="E63" t="str">
        <f>IF('09_KPI_StoreScore'!O40="Priority Intervention","Immediate management intervention for "&amp;C63&amp;" ("&amp;'09_KPI_StoreScore'!B40&amp;") - Performance Score "&amp;TEXT('09_KPI_StoreScore'!M40,"0.0")&amp;", Rank "&amp;'09_KPI_StoreScore'!N40&amp;" of 120.","No action required - performance within acceptable range.")</f>
        <v>No action required - performance within acceptable range.</v>
      </c>
    </row>
    <row r="64" spans="2:5" x14ac:dyDescent="0.3">
      <c r="B64" t="s">
        <v>874</v>
      </c>
      <c r="C64" t="str">
        <f>'09_KPI_StoreScore'!A41</f>
        <v>Nova Retail - Durgapur Standard</v>
      </c>
      <c r="D64" t="str">
        <f>IF('09_KPI_StoreScore'!O41="Priority Intervention","Action Required","OK")</f>
        <v>Action Required</v>
      </c>
      <c r="E64" t="str">
        <f>IF('09_KPI_StoreScore'!O41="Priority Intervention","Immediate management intervention for "&amp;C64&amp;" ("&amp;'09_KPI_StoreScore'!B41&amp;") - Performance Score "&amp;TEXT('09_KPI_StoreScore'!M41,"0.0")&amp;", Rank "&amp;'09_KPI_StoreScore'!N41&amp;" of 120.","No action required - performance within acceptable range.")</f>
        <v>Immediate management intervention for Nova Retail - Durgapur Standard (West Bengal) - Performance Score 17.6, Rank 120 of 120.</v>
      </c>
    </row>
    <row r="65" spans="2:5" x14ac:dyDescent="0.3">
      <c r="B65" t="s">
        <v>874</v>
      </c>
      <c r="C65" t="str">
        <f>'09_KPI_StoreScore'!A42</f>
        <v>Nova Retail - Faridabad Standard</v>
      </c>
      <c r="D65" t="str">
        <f>IF('09_KPI_StoreScore'!O42="Priority Intervention","Action Required","OK")</f>
        <v>OK</v>
      </c>
      <c r="E65" t="str">
        <f>IF('09_KPI_StoreScore'!O42="Priority Intervention","Immediate management intervention for "&amp;C65&amp;" ("&amp;'09_KPI_StoreScore'!B42&amp;") - Performance Score "&amp;TEXT('09_KPI_StoreScore'!M42,"0.0")&amp;", Rank "&amp;'09_KPI_StoreScore'!N42&amp;" of 120.","No action required - performance within acceptable range.")</f>
        <v>No action required - performance within acceptable range.</v>
      </c>
    </row>
    <row r="66" spans="2:5" x14ac:dyDescent="0.3">
      <c r="B66" t="s">
        <v>874</v>
      </c>
      <c r="C66" t="str">
        <f>'09_KPI_StoreScore'!A43</f>
        <v>Nova Retail - Gurugram Compact</v>
      </c>
      <c r="D66" t="str">
        <f>IF('09_KPI_StoreScore'!O43="Priority Intervention","Action Required","OK")</f>
        <v>OK</v>
      </c>
      <c r="E66" t="str">
        <f>IF('09_KPI_StoreScore'!O43="Priority Intervention","Immediate management intervention for "&amp;C66&amp;" ("&amp;'09_KPI_StoreScore'!B43&amp;") - Performance Score "&amp;TEXT('09_KPI_StoreScore'!M43,"0.0")&amp;", Rank "&amp;'09_KPI_StoreScore'!N43&amp;" of 120.","No action required - performance within acceptable range.")</f>
        <v>No action required - performance within acceptable range.</v>
      </c>
    </row>
    <row r="67" spans="2:5" x14ac:dyDescent="0.3">
      <c r="B67" t="s">
        <v>874</v>
      </c>
      <c r="C67" t="str">
        <f>'09_KPI_StoreScore'!A44</f>
        <v>Nova Retail - Gurugram Standard</v>
      </c>
      <c r="D67" t="str">
        <f>IF('09_KPI_StoreScore'!O44="Priority Intervention","Action Required","OK")</f>
        <v>Action Required</v>
      </c>
      <c r="E67" t="str">
        <f>IF('09_KPI_StoreScore'!O44="Priority Intervention","Immediate management intervention for "&amp;C67&amp;" ("&amp;'09_KPI_StoreScore'!B44&amp;") - Performance Score "&amp;TEXT('09_KPI_StoreScore'!M44,"0.0")&amp;", Rank "&amp;'09_KPI_StoreScore'!N44&amp;" of 120.","No action required - performance within acceptable range.")</f>
        <v>Immediate management intervention for Nova Retail - Gurugram Standard (Delhi NCR) - Performance Score 41.0, Rank 94 of 120.</v>
      </c>
    </row>
    <row r="68" spans="2:5" x14ac:dyDescent="0.3">
      <c r="B68" t="s">
        <v>874</v>
      </c>
      <c r="C68" t="str">
        <f>'09_KPI_StoreScore'!A45</f>
        <v>Nova Retail - Gurugram Standard</v>
      </c>
      <c r="D68" t="str">
        <f>IF('09_KPI_StoreScore'!O45="Priority Intervention","Action Required","OK")</f>
        <v>OK</v>
      </c>
      <c r="E68" t="str">
        <f>IF('09_KPI_StoreScore'!O45="Priority Intervention","Immediate management intervention for "&amp;C68&amp;" ("&amp;'09_KPI_StoreScore'!B45&amp;") - Performance Score "&amp;TEXT('09_KPI_StoreScore'!M45,"0.0")&amp;", Rank "&amp;'09_KPI_StoreScore'!N45&amp;" of 120.","No action required - performance within acceptable range.")</f>
        <v>No action required - performance within acceptable range.</v>
      </c>
    </row>
    <row r="69" spans="2:5" x14ac:dyDescent="0.3">
      <c r="B69" t="s">
        <v>874</v>
      </c>
      <c r="C69" t="str">
        <f>'09_KPI_StoreScore'!A46</f>
        <v>Nova Retail - Gurugram Standard</v>
      </c>
      <c r="D69" t="str">
        <f>IF('09_KPI_StoreScore'!O46="Priority Intervention","Action Required","OK")</f>
        <v>OK</v>
      </c>
      <c r="E69" t="str">
        <f>IF('09_KPI_StoreScore'!O46="Priority Intervention","Immediate management intervention for "&amp;C69&amp;" ("&amp;'09_KPI_StoreScore'!B46&amp;") - Performance Score "&amp;TEXT('09_KPI_StoreScore'!M46,"0.0")&amp;", Rank "&amp;'09_KPI_StoreScore'!N46&amp;" of 120.","No action required - performance within acceptable range.")</f>
        <v>No action required - performance within acceptable range.</v>
      </c>
    </row>
    <row r="70" spans="2:5" x14ac:dyDescent="0.3">
      <c r="B70" t="s">
        <v>874</v>
      </c>
      <c r="C70" t="str">
        <f>'09_KPI_StoreScore'!A47</f>
        <v>Nova Retail - Gwalior Compact</v>
      </c>
      <c r="D70" t="str">
        <f>IF('09_KPI_StoreScore'!O47="Priority Intervention","Action Required","OK")</f>
        <v>OK</v>
      </c>
      <c r="E70" t="str">
        <f>IF('09_KPI_StoreScore'!O47="Priority Intervention","Immediate management intervention for "&amp;C70&amp;" ("&amp;'09_KPI_StoreScore'!B47&amp;") - Performance Score "&amp;TEXT('09_KPI_StoreScore'!M47,"0.0")&amp;", Rank "&amp;'09_KPI_StoreScore'!N47&amp;" of 120.","No action required - performance within acceptable range.")</f>
        <v>No action required - performance within acceptable range.</v>
      </c>
    </row>
    <row r="71" spans="2:5" x14ac:dyDescent="0.3">
      <c r="B71" t="s">
        <v>874</v>
      </c>
      <c r="C71" t="str">
        <f>'09_KPI_StoreScore'!A48</f>
        <v>Nova Retail - Gwalior Flagship</v>
      </c>
      <c r="D71" t="str">
        <f>IF('09_KPI_StoreScore'!O48="Priority Intervention","Action Required","OK")</f>
        <v>OK</v>
      </c>
      <c r="E71" t="str">
        <f>IF('09_KPI_StoreScore'!O48="Priority Intervention","Immediate management intervention for "&amp;C71&amp;" ("&amp;'09_KPI_StoreScore'!B48&amp;") - Performance Score "&amp;TEXT('09_KPI_StoreScore'!M48,"0.0")&amp;", Rank "&amp;'09_KPI_StoreScore'!N48&amp;" of 120.","No action required - performance within acceptable range.")</f>
        <v>No action required - performance within acceptable range.</v>
      </c>
    </row>
    <row r="72" spans="2:5" x14ac:dyDescent="0.3">
      <c r="B72" t="s">
        <v>874</v>
      </c>
      <c r="C72" t="str">
        <f>'09_KPI_StoreScore'!A49</f>
        <v>Nova Retail - Gwalior Standard</v>
      </c>
      <c r="D72" t="str">
        <f>IF('09_KPI_StoreScore'!O49="Priority Intervention","Action Required","OK")</f>
        <v>OK</v>
      </c>
      <c r="E72" t="str">
        <f>IF('09_KPI_StoreScore'!O49="Priority Intervention","Immediate management intervention for "&amp;C72&amp;" ("&amp;'09_KPI_StoreScore'!B49&amp;") - Performance Score "&amp;TEXT('09_KPI_StoreScore'!M49,"0.0")&amp;", Rank "&amp;'09_KPI_StoreScore'!N49&amp;" of 120.","No action required - performance within acceptable range.")</f>
        <v>No action required - performance within acceptable range.</v>
      </c>
    </row>
    <row r="73" spans="2:5" x14ac:dyDescent="0.3">
      <c r="B73" t="s">
        <v>874</v>
      </c>
      <c r="C73" t="str">
        <f>'09_KPI_StoreScore'!A50</f>
        <v>Nova Retail - Howrah Compact</v>
      </c>
      <c r="D73" t="str">
        <f>IF('09_KPI_StoreScore'!O50="Priority Intervention","Action Required","OK")</f>
        <v>OK</v>
      </c>
      <c r="E73" t="str">
        <f>IF('09_KPI_StoreScore'!O50="Priority Intervention","Immediate management intervention for "&amp;C73&amp;" ("&amp;'09_KPI_StoreScore'!B50&amp;") - Performance Score "&amp;TEXT('09_KPI_StoreScore'!M50,"0.0")&amp;", Rank "&amp;'09_KPI_StoreScore'!N50&amp;" of 120.","No action required - performance within acceptable range.")</f>
        <v>No action required - performance within acceptable range.</v>
      </c>
    </row>
    <row r="74" spans="2:5" x14ac:dyDescent="0.3">
      <c r="B74" t="s">
        <v>874</v>
      </c>
      <c r="C74" t="str">
        <f>'09_KPI_StoreScore'!A51</f>
        <v>Nova Retail - Howrah Compact</v>
      </c>
      <c r="D74" t="str">
        <f>IF('09_KPI_StoreScore'!O51="Priority Intervention","Action Required","OK")</f>
        <v>OK</v>
      </c>
      <c r="E74" t="str">
        <f>IF('09_KPI_StoreScore'!O51="Priority Intervention","Immediate management intervention for "&amp;C74&amp;" ("&amp;'09_KPI_StoreScore'!B51&amp;") - Performance Score "&amp;TEXT('09_KPI_StoreScore'!M51,"0.0")&amp;", Rank "&amp;'09_KPI_StoreScore'!N51&amp;" of 120.","No action required - performance within acceptable range.")</f>
        <v>No action required - performance within acceptable range.</v>
      </c>
    </row>
    <row r="75" spans="2:5" x14ac:dyDescent="0.3">
      <c r="B75" t="s">
        <v>874</v>
      </c>
      <c r="C75" t="str">
        <f>'09_KPI_StoreScore'!A52</f>
        <v>Nova Retail - Howrah Standard</v>
      </c>
      <c r="D75" t="str">
        <f>IF('09_KPI_StoreScore'!O52="Priority Intervention","Action Required","OK")</f>
        <v>OK</v>
      </c>
      <c r="E75" t="str">
        <f>IF('09_KPI_StoreScore'!O52="Priority Intervention","Immediate management intervention for "&amp;C75&amp;" ("&amp;'09_KPI_StoreScore'!B52&amp;") - Performance Score "&amp;TEXT('09_KPI_StoreScore'!M52,"0.0")&amp;", Rank "&amp;'09_KPI_StoreScore'!N52&amp;" of 120.","No action required - performance within acceptable range.")</f>
        <v>No action required - performance within acceptable range.</v>
      </c>
    </row>
    <row r="76" spans="2:5" x14ac:dyDescent="0.3">
      <c r="B76" t="s">
        <v>874</v>
      </c>
      <c r="C76" t="str">
        <f>'09_KPI_StoreScore'!A53</f>
        <v>Nova Retail - Howrah Standard</v>
      </c>
      <c r="D76" t="str">
        <f>IF('09_KPI_StoreScore'!O53="Priority Intervention","Action Required","OK")</f>
        <v>OK</v>
      </c>
      <c r="E76" t="str">
        <f>IF('09_KPI_StoreScore'!O53="Priority Intervention","Immediate management intervention for "&amp;C76&amp;" ("&amp;'09_KPI_StoreScore'!B53&amp;") - Performance Score "&amp;TEXT('09_KPI_StoreScore'!M53,"0.0")&amp;", Rank "&amp;'09_KPI_StoreScore'!N53&amp;" of 120.","No action required - performance within acceptable range.")</f>
        <v>No action required - performance within acceptable range.</v>
      </c>
    </row>
    <row r="77" spans="2:5" x14ac:dyDescent="0.3">
      <c r="B77" t="s">
        <v>874</v>
      </c>
      <c r="C77" t="str">
        <f>'09_KPI_StoreScore'!A54</f>
        <v>Nova Retail - Hubballi Compact</v>
      </c>
      <c r="D77" t="str">
        <f>IF('09_KPI_StoreScore'!O54="Priority Intervention","Action Required","OK")</f>
        <v>OK</v>
      </c>
      <c r="E77" t="str">
        <f>IF('09_KPI_StoreScore'!O54="Priority Intervention","Immediate management intervention for "&amp;C77&amp;" ("&amp;'09_KPI_StoreScore'!B54&amp;") - Performance Score "&amp;TEXT('09_KPI_StoreScore'!M54,"0.0")&amp;", Rank "&amp;'09_KPI_StoreScore'!N54&amp;" of 120.","No action required - performance within acceptable range.")</f>
        <v>No action required - performance within acceptable range.</v>
      </c>
    </row>
    <row r="78" spans="2:5" x14ac:dyDescent="0.3">
      <c r="B78" t="s">
        <v>874</v>
      </c>
      <c r="C78" t="str">
        <f>'09_KPI_StoreScore'!A55</f>
        <v>Nova Retail - Hubballi Flagship</v>
      </c>
      <c r="D78" t="str">
        <f>IF('09_KPI_StoreScore'!O55="Priority Intervention","Action Required","OK")</f>
        <v>OK</v>
      </c>
      <c r="E78" t="str">
        <f>IF('09_KPI_StoreScore'!O55="Priority Intervention","Immediate management intervention for "&amp;C78&amp;" ("&amp;'09_KPI_StoreScore'!B55&amp;") - Performance Score "&amp;TEXT('09_KPI_StoreScore'!M55,"0.0")&amp;", Rank "&amp;'09_KPI_StoreScore'!N55&amp;" of 120.","No action required - performance within acceptable range.")</f>
        <v>No action required - performance within acceptable range.</v>
      </c>
    </row>
    <row r="79" spans="2:5" x14ac:dyDescent="0.3">
      <c r="B79" t="s">
        <v>874</v>
      </c>
      <c r="C79" t="str">
        <f>'09_KPI_StoreScore'!A56</f>
        <v>Nova Retail - Hubballi Flagship</v>
      </c>
      <c r="D79" t="str">
        <f>IF('09_KPI_StoreScore'!O56="Priority Intervention","Action Required","OK")</f>
        <v>OK</v>
      </c>
      <c r="E79" t="str">
        <f>IF('09_KPI_StoreScore'!O56="Priority Intervention","Immediate management intervention for "&amp;C79&amp;" ("&amp;'09_KPI_StoreScore'!B56&amp;") - Performance Score "&amp;TEXT('09_KPI_StoreScore'!M56,"0.0")&amp;", Rank "&amp;'09_KPI_StoreScore'!N56&amp;" of 120.","No action required - performance within acceptable range.")</f>
        <v>No action required - performance within acceptable range.</v>
      </c>
    </row>
    <row r="80" spans="2:5" x14ac:dyDescent="0.3">
      <c r="B80" t="s">
        <v>874</v>
      </c>
      <c r="C80" t="str">
        <f>'09_KPI_StoreScore'!A57</f>
        <v>Nova Retail - Hubballi Standard</v>
      </c>
      <c r="D80" t="str">
        <f>IF('09_KPI_StoreScore'!O57="Priority Intervention","Action Required","OK")</f>
        <v>OK</v>
      </c>
      <c r="E80" t="str">
        <f>IF('09_KPI_StoreScore'!O57="Priority Intervention","Immediate management intervention for "&amp;C80&amp;" ("&amp;'09_KPI_StoreScore'!B57&amp;") - Performance Score "&amp;TEXT('09_KPI_StoreScore'!M57,"0.0")&amp;", Rank "&amp;'09_KPI_StoreScore'!N57&amp;" of 120.","No action required - performance within acceptable range.")</f>
        <v>No action required - performance within acceptable range.</v>
      </c>
    </row>
    <row r="81" spans="2:5" x14ac:dyDescent="0.3">
      <c r="B81" t="s">
        <v>874</v>
      </c>
      <c r="C81" t="str">
        <f>'09_KPI_StoreScore'!A58</f>
        <v>Nova Retail - Hyderabad Standard</v>
      </c>
      <c r="D81" t="str">
        <f>IF('09_KPI_StoreScore'!O58="Priority Intervention","Action Required","OK")</f>
        <v>OK</v>
      </c>
      <c r="E81" t="str">
        <f>IF('09_KPI_StoreScore'!O58="Priority Intervention","Immediate management intervention for "&amp;C81&amp;" ("&amp;'09_KPI_StoreScore'!B58&amp;") - Performance Score "&amp;TEXT('09_KPI_StoreScore'!M58,"0.0")&amp;", Rank "&amp;'09_KPI_StoreScore'!N58&amp;" of 120.","No action required - performance within acceptable range.")</f>
        <v>No action required - performance within acceptable range.</v>
      </c>
    </row>
    <row r="82" spans="2:5" x14ac:dyDescent="0.3">
      <c r="B82" t="s">
        <v>874</v>
      </c>
      <c r="C82" t="str">
        <f>'09_KPI_StoreScore'!A59</f>
        <v>Nova Retail - Indore Compact</v>
      </c>
      <c r="D82" t="str">
        <f>IF('09_KPI_StoreScore'!O59="Priority Intervention","Action Required","OK")</f>
        <v>OK</v>
      </c>
      <c r="E82" t="str">
        <f>IF('09_KPI_StoreScore'!O59="Priority Intervention","Immediate management intervention for "&amp;C82&amp;" ("&amp;'09_KPI_StoreScore'!B59&amp;") - Performance Score "&amp;TEXT('09_KPI_StoreScore'!M59,"0.0")&amp;", Rank "&amp;'09_KPI_StoreScore'!N59&amp;" of 120.","No action required - performance within acceptable range.")</f>
        <v>No action required - performance within acceptable range.</v>
      </c>
    </row>
    <row r="83" spans="2:5" x14ac:dyDescent="0.3">
      <c r="B83" t="s">
        <v>874</v>
      </c>
      <c r="C83" t="str">
        <f>'09_KPI_StoreScore'!A60</f>
        <v>Nova Retail - Indore Standard</v>
      </c>
      <c r="D83" t="str">
        <f>IF('09_KPI_StoreScore'!O60="Priority Intervention","Action Required","OK")</f>
        <v>Action Required</v>
      </c>
      <c r="E83" t="str">
        <f>IF('09_KPI_StoreScore'!O60="Priority Intervention","Immediate management intervention for "&amp;C83&amp;" ("&amp;'09_KPI_StoreScore'!B60&amp;") - Performance Score "&amp;TEXT('09_KPI_StoreScore'!M60,"0.0")&amp;", Rank "&amp;'09_KPI_StoreScore'!N60&amp;" of 120.","No action required - performance within acceptable range.")</f>
        <v>Immediate management intervention for Nova Retail - Indore Standard (Madhya Pradesh) - Performance Score 39.2, Rank 100 of 120.</v>
      </c>
    </row>
    <row r="84" spans="2:5" x14ac:dyDescent="0.3">
      <c r="B84" t="s">
        <v>874</v>
      </c>
      <c r="C84" t="str">
        <f>'09_KPI_StoreScore'!A61</f>
        <v>Nova Retail - Jabalpur Flagship</v>
      </c>
      <c r="D84" t="str">
        <f>IF('09_KPI_StoreScore'!O61="Priority Intervention","Action Required","OK")</f>
        <v>Action Required</v>
      </c>
      <c r="E84" t="str">
        <f>IF('09_KPI_StoreScore'!O61="Priority Intervention","Immediate management intervention for "&amp;C84&amp;" ("&amp;'09_KPI_StoreScore'!B61&amp;") - Performance Score "&amp;TEXT('09_KPI_StoreScore'!M61,"0.0")&amp;", Rank "&amp;'09_KPI_StoreScore'!N61&amp;" of 120.","No action required - performance within acceptable range.")</f>
        <v>Immediate management intervention for Nova Retail - Jabalpur Flagship (Madhya Pradesh) - Performance Score 40.9, Rank 95 of 120.</v>
      </c>
    </row>
    <row r="85" spans="2:5" x14ac:dyDescent="0.3">
      <c r="B85" t="s">
        <v>874</v>
      </c>
      <c r="C85" t="str">
        <f>'09_KPI_StoreScore'!A62</f>
        <v>Nova Retail - Jabalpur Standard</v>
      </c>
      <c r="D85" t="str">
        <f>IF('09_KPI_StoreScore'!O62="Priority Intervention","Action Required","OK")</f>
        <v>OK</v>
      </c>
      <c r="E85" t="str">
        <f>IF('09_KPI_StoreScore'!O62="Priority Intervention","Immediate management intervention for "&amp;C85&amp;" ("&amp;'09_KPI_StoreScore'!B62&amp;") - Performance Score "&amp;TEXT('09_KPI_StoreScore'!M62,"0.0")&amp;", Rank "&amp;'09_KPI_StoreScore'!N62&amp;" of 120.","No action required - performance within acceptable range.")</f>
        <v>No action required - performance within acceptable range.</v>
      </c>
    </row>
    <row r="86" spans="2:5" x14ac:dyDescent="0.3">
      <c r="B86" t="s">
        <v>874</v>
      </c>
      <c r="C86" t="str">
        <f>'09_KPI_StoreScore'!A63</f>
        <v>Nova Retail - Jaipur Flagship</v>
      </c>
      <c r="D86" t="str">
        <f>IF('09_KPI_StoreScore'!O63="Priority Intervention","Action Required","OK")</f>
        <v>OK</v>
      </c>
      <c r="E86" t="str">
        <f>IF('09_KPI_StoreScore'!O63="Priority Intervention","Immediate management intervention for "&amp;C86&amp;" ("&amp;'09_KPI_StoreScore'!B63&amp;") - Performance Score "&amp;TEXT('09_KPI_StoreScore'!M63,"0.0")&amp;", Rank "&amp;'09_KPI_StoreScore'!N63&amp;" of 120.","No action required - performance within acceptable range.")</f>
        <v>No action required - performance within acceptable range.</v>
      </c>
    </row>
    <row r="87" spans="2:5" x14ac:dyDescent="0.3">
      <c r="B87" t="s">
        <v>874</v>
      </c>
      <c r="C87" t="str">
        <f>'09_KPI_StoreScore'!A64</f>
        <v>Nova Retail - Jamshedpur Compact</v>
      </c>
      <c r="D87" t="str">
        <f>IF('09_KPI_StoreScore'!O64="Priority Intervention","Action Required","OK")</f>
        <v>OK</v>
      </c>
      <c r="E87" t="str">
        <f>IF('09_KPI_StoreScore'!O64="Priority Intervention","Immediate management intervention for "&amp;C87&amp;" ("&amp;'09_KPI_StoreScore'!B64&amp;") - Performance Score "&amp;TEXT('09_KPI_StoreScore'!M64,"0.0")&amp;", Rank "&amp;'09_KPI_StoreScore'!N64&amp;" of 120.","No action required - performance within acceptable range.")</f>
        <v>No action required - performance within acceptable range.</v>
      </c>
    </row>
    <row r="88" spans="2:5" x14ac:dyDescent="0.3">
      <c r="B88" t="s">
        <v>874</v>
      </c>
      <c r="C88" t="str">
        <f>'09_KPI_StoreScore'!A65</f>
        <v>Nova Retail - Jamshedpur Standard</v>
      </c>
      <c r="D88" t="str">
        <f>IF('09_KPI_StoreScore'!O65="Priority Intervention","Action Required","OK")</f>
        <v>Action Required</v>
      </c>
      <c r="E88" t="str">
        <f>IF('09_KPI_StoreScore'!O65="Priority Intervention","Immediate management intervention for "&amp;C88&amp;" ("&amp;'09_KPI_StoreScore'!B65&amp;") - Performance Score "&amp;TEXT('09_KPI_StoreScore'!M65,"0.0")&amp;", Rank "&amp;'09_KPI_StoreScore'!N65&amp;" of 120.","No action required - performance within acceptable range.")</f>
        <v>Immediate management intervention for Nova Retail - Jamshedpur Standard (Odisha-Jharkhand) - Performance Score 37.8, Rank 106 of 120.</v>
      </c>
    </row>
    <row r="89" spans="2:5" x14ac:dyDescent="0.3">
      <c r="B89" t="s">
        <v>874</v>
      </c>
      <c r="C89" t="str">
        <f>'09_KPI_StoreScore'!A66</f>
        <v>Nova Retail - Jamshedpur Standard</v>
      </c>
      <c r="D89" t="str">
        <f>IF('09_KPI_StoreScore'!O66="Priority Intervention","Action Required","OK")</f>
        <v>OK</v>
      </c>
      <c r="E89" t="str">
        <f>IF('09_KPI_StoreScore'!O66="Priority Intervention","Immediate management intervention for "&amp;C89&amp;" ("&amp;'09_KPI_StoreScore'!B66&amp;") - Performance Score "&amp;TEXT('09_KPI_StoreScore'!M66,"0.0")&amp;", Rank "&amp;'09_KPI_StoreScore'!N66&amp;" of 120.","No action required - performance within acceptable range.")</f>
        <v>No action required - performance within acceptable range.</v>
      </c>
    </row>
    <row r="90" spans="2:5" x14ac:dyDescent="0.3">
      <c r="B90" t="s">
        <v>874</v>
      </c>
      <c r="C90" t="str">
        <f>'09_KPI_StoreScore'!A67</f>
        <v>Nova Retail - Jodhpur Compact</v>
      </c>
      <c r="D90" t="str">
        <f>IF('09_KPI_StoreScore'!O67="Priority Intervention","Action Required","OK")</f>
        <v>Action Required</v>
      </c>
      <c r="E90" t="str">
        <f>IF('09_KPI_StoreScore'!O67="Priority Intervention","Immediate management intervention for "&amp;C90&amp;" ("&amp;'09_KPI_StoreScore'!B67&amp;") - Performance Score "&amp;TEXT('09_KPI_StoreScore'!M67,"0.0")&amp;", Rank "&amp;'09_KPI_StoreScore'!N67&amp;" of 120.","No action required - performance within acceptable range.")</f>
        <v>Immediate management intervention for Nova Retail - Jodhpur Compact (Rajasthan) - Performance Score 36.1, Rank 109 of 120.</v>
      </c>
    </row>
    <row r="91" spans="2:5" x14ac:dyDescent="0.3">
      <c r="B91" t="s">
        <v>874</v>
      </c>
      <c r="C91" t="str">
        <f>'09_KPI_StoreScore'!A68</f>
        <v>Nova Retail - Karnal Standard</v>
      </c>
      <c r="D91" t="str">
        <f>IF('09_KPI_StoreScore'!O68="Priority Intervention","Action Required","OK")</f>
        <v>OK</v>
      </c>
      <c r="E91" t="str">
        <f>IF('09_KPI_StoreScore'!O68="Priority Intervention","Immediate management intervention for "&amp;C91&amp;" ("&amp;'09_KPI_StoreScore'!B68&amp;") - Performance Score "&amp;TEXT('09_KPI_StoreScore'!M68,"0.0")&amp;", Rank "&amp;'09_KPI_StoreScore'!N68&amp;" of 120.","No action required - performance within acceptable range.")</f>
        <v>No action required - performance within acceptable range.</v>
      </c>
    </row>
    <row r="92" spans="2:5" x14ac:dyDescent="0.3">
      <c r="B92" t="s">
        <v>874</v>
      </c>
      <c r="C92" t="str">
        <f>'09_KPI_StoreScore'!A69</f>
        <v>Nova Retail - Karnal Standard</v>
      </c>
      <c r="D92" t="str">
        <f>IF('09_KPI_StoreScore'!O69="Priority Intervention","Action Required","OK")</f>
        <v>OK</v>
      </c>
      <c r="E92" t="str">
        <f>IF('09_KPI_StoreScore'!O69="Priority Intervention","Immediate management intervention for "&amp;C92&amp;" ("&amp;'09_KPI_StoreScore'!B69&amp;") - Performance Score "&amp;TEXT('09_KPI_StoreScore'!M69,"0.0")&amp;", Rank "&amp;'09_KPI_StoreScore'!N69&amp;" of 120.","No action required - performance within acceptable range.")</f>
        <v>No action required - performance within acceptable range.</v>
      </c>
    </row>
    <row r="93" spans="2:5" x14ac:dyDescent="0.3">
      <c r="B93" t="s">
        <v>874</v>
      </c>
      <c r="C93" t="str">
        <f>'09_KPI_StoreScore'!A70</f>
        <v>Nova Retail - Kochi Standard</v>
      </c>
      <c r="D93" t="str">
        <f>IF('09_KPI_StoreScore'!O70="Priority Intervention","Action Required","OK")</f>
        <v>Action Required</v>
      </c>
      <c r="E93" t="str">
        <f>IF('09_KPI_StoreScore'!O70="Priority Intervention","Immediate management intervention for "&amp;C93&amp;" ("&amp;'09_KPI_StoreScore'!B70&amp;") - Performance Score "&amp;TEXT('09_KPI_StoreScore'!M70,"0.0")&amp;", Rank "&amp;'09_KPI_StoreScore'!N70&amp;" of 120.","No action required - performance within acceptable range.")</f>
        <v>Immediate management intervention for Nova Retail - Kochi Standard (Kerala) - Performance Score 33.3, Rank 112 of 120.</v>
      </c>
    </row>
    <row r="94" spans="2:5" x14ac:dyDescent="0.3">
      <c r="B94" t="s">
        <v>874</v>
      </c>
      <c r="C94" t="str">
        <f>'09_KPI_StoreScore'!A71</f>
        <v>Nova Retail - Kolkata Compact</v>
      </c>
      <c r="D94" t="str">
        <f>IF('09_KPI_StoreScore'!O71="Priority Intervention","Action Required","OK")</f>
        <v>OK</v>
      </c>
      <c r="E94" t="str">
        <f>IF('09_KPI_StoreScore'!O71="Priority Intervention","Immediate management intervention for "&amp;C94&amp;" ("&amp;'09_KPI_StoreScore'!B71&amp;") - Performance Score "&amp;TEXT('09_KPI_StoreScore'!M71,"0.0")&amp;", Rank "&amp;'09_KPI_StoreScore'!N71&amp;" of 120.","No action required - performance within acceptable range.")</f>
        <v>No action required - performance within acceptable range.</v>
      </c>
    </row>
    <row r="95" spans="2:5" x14ac:dyDescent="0.3">
      <c r="B95" t="s">
        <v>874</v>
      </c>
      <c r="C95" t="str">
        <f>'09_KPI_StoreScore'!A72</f>
        <v>Nova Retail - Kolkata Standard</v>
      </c>
      <c r="D95" t="str">
        <f>IF('09_KPI_StoreScore'!O72="Priority Intervention","Action Required","OK")</f>
        <v>OK</v>
      </c>
      <c r="E95" t="str">
        <f>IF('09_KPI_StoreScore'!O72="Priority Intervention","Immediate management intervention for "&amp;C95&amp;" ("&amp;'09_KPI_StoreScore'!B72&amp;") - Performance Score "&amp;TEXT('09_KPI_StoreScore'!M72,"0.0")&amp;", Rank "&amp;'09_KPI_StoreScore'!N72&amp;" of 120.","No action required - performance within acceptable range.")</f>
        <v>No action required - performance within acceptable range.</v>
      </c>
    </row>
    <row r="96" spans="2:5" x14ac:dyDescent="0.3">
      <c r="B96" t="s">
        <v>874</v>
      </c>
      <c r="C96" t="str">
        <f>'09_KPI_StoreScore'!A73</f>
        <v>Nova Retail - Kolkata Standard</v>
      </c>
      <c r="D96" t="str">
        <f>IF('09_KPI_StoreScore'!O73="Priority Intervention","Action Required","OK")</f>
        <v>OK</v>
      </c>
      <c r="E96" t="str">
        <f>IF('09_KPI_StoreScore'!O73="Priority Intervention","Immediate management intervention for "&amp;C96&amp;" ("&amp;'09_KPI_StoreScore'!B73&amp;") - Performance Score "&amp;TEXT('09_KPI_StoreScore'!M73,"0.0")&amp;", Rank "&amp;'09_KPI_StoreScore'!N73&amp;" of 120.","No action required - performance within acceptable range.")</f>
        <v>No action required - performance within acceptable range.</v>
      </c>
    </row>
    <row r="97" spans="2:5" x14ac:dyDescent="0.3">
      <c r="B97" t="s">
        <v>874</v>
      </c>
      <c r="C97" t="str">
        <f>'09_KPI_StoreScore'!A74</f>
        <v>Nova Retail - Kota Standard</v>
      </c>
      <c r="D97" t="str">
        <f>IF('09_KPI_StoreScore'!O74="Priority Intervention","Action Required","OK")</f>
        <v>Action Required</v>
      </c>
      <c r="E97" t="str">
        <f>IF('09_KPI_StoreScore'!O74="Priority Intervention","Immediate management intervention for "&amp;C97&amp;" ("&amp;'09_KPI_StoreScore'!B74&amp;") - Performance Score "&amp;TEXT('09_KPI_StoreScore'!M74,"0.0")&amp;", Rank "&amp;'09_KPI_StoreScore'!N74&amp;" of 120.","No action required - performance within acceptable range.")</f>
        <v>Immediate management intervention for Nova Retail - Kota Standard (Rajasthan) - Performance Score 39.0, Rank 101 of 120.</v>
      </c>
    </row>
    <row r="98" spans="2:5" x14ac:dyDescent="0.3">
      <c r="B98" t="s">
        <v>874</v>
      </c>
      <c r="C98" t="str">
        <f>'09_KPI_StoreScore'!A75</f>
        <v>Nova Retail - Kozhikode Compact</v>
      </c>
      <c r="D98" t="str">
        <f>IF('09_KPI_StoreScore'!O75="Priority Intervention","Action Required","OK")</f>
        <v>OK</v>
      </c>
      <c r="E98" t="str">
        <f>IF('09_KPI_StoreScore'!O75="Priority Intervention","Immediate management intervention for "&amp;C98&amp;" ("&amp;'09_KPI_StoreScore'!B75&amp;") - Performance Score "&amp;TEXT('09_KPI_StoreScore'!M75,"0.0")&amp;", Rank "&amp;'09_KPI_StoreScore'!N75&amp;" of 120.","No action required - performance within acceptable range.")</f>
        <v>No action required - performance within acceptable range.</v>
      </c>
    </row>
    <row r="99" spans="2:5" x14ac:dyDescent="0.3">
      <c r="B99" t="s">
        <v>874</v>
      </c>
      <c r="C99" t="str">
        <f>'09_KPI_StoreScore'!A76</f>
        <v>Nova Retail - Kozhikode Standard</v>
      </c>
      <c r="D99" t="str">
        <f>IF('09_KPI_StoreScore'!O76="Priority Intervention","Action Required","OK")</f>
        <v>Action Required</v>
      </c>
      <c r="E99" t="str">
        <f>IF('09_KPI_StoreScore'!O76="Priority Intervention","Immediate management intervention for "&amp;C99&amp;" ("&amp;'09_KPI_StoreScore'!B76&amp;") - Performance Score "&amp;TEXT('09_KPI_StoreScore'!M76,"0.0")&amp;", Rank "&amp;'09_KPI_StoreScore'!N76&amp;" of 120.","No action required - performance within acceptable range.")</f>
        <v>Immediate management intervention for Nova Retail - Kozhikode Standard (Kerala) - Performance Score 40.8, Rank 96 of 120.</v>
      </c>
    </row>
    <row r="100" spans="2:5" x14ac:dyDescent="0.3">
      <c r="B100" t="s">
        <v>874</v>
      </c>
      <c r="C100" t="str">
        <f>'09_KPI_StoreScore'!A77</f>
        <v>Nova Retail - Kozhikode Standard</v>
      </c>
      <c r="D100" t="str">
        <f>IF('09_KPI_StoreScore'!O77="Priority Intervention","Action Required","OK")</f>
        <v>Action Required</v>
      </c>
      <c r="E100" t="str">
        <f>IF('09_KPI_StoreScore'!O77="Priority Intervention","Immediate management intervention for "&amp;C100&amp;" ("&amp;'09_KPI_StoreScore'!B77&amp;") - Performance Score "&amp;TEXT('09_KPI_StoreScore'!M77,"0.0")&amp;", Rank "&amp;'09_KPI_StoreScore'!N77&amp;" of 120.","No action required - performance within acceptable range.")</f>
        <v>Immediate management intervention for Nova Retail - Kozhikode Standard (Kerala) - Performance Score 40.0, Rank 99 of 120.</v>
      </c>
    </row>
    <row r="101" spans="2:5" x14ac:dyDescent="0.3">
      <c r="B101" t="s">
        <v>874</v>
      </c>
      <c r="C101" t="str">
        <f>'09_KPI_StoreScore'!A78</f>
        <v>Nova Retail - Ludhiana Compact</v>
      </c>
      <c r="D101" t="str">
        <f>IF('09_KPI_StoreScore'!O78="Priority Intervention","Action Required","OK")</f>
        <v>OK</v>
      </c>
      <c r="E101" t="str">
        <f>IF('09_KPI_StoreScore'!O78="Priority Intervention","Immediate management intervention for "&amp;C101&amp;" ("&amp;'09_KPI_StoreScore'!B78&amp;") - Performance Score "&amp;TEXT('09_KPI_StoreScore'!M78,"0.0")&amp;", Rank "&amp;'09_KPI_StoreScore'!N78&amp;" of 120.","No action required - performance within acceptable range.")</f>
        <v>No action required - performance within acceptable range.</v>
      </c>
    </row>
    <row r="102" spans="2:5" x14ac:dyDescent="0.3">
      <c r="B102" t="s">
        <v>874</v>
      </c>
      <c r="C102" t="str">
        <f>'09_KPI_StoreScore'!A79</f>
        <v>Nova Retail - Ludhiana Flagship</v>
      </c>
      <c r="D102" t="str">
        <f>IF('09_KPI_StoreScore'!O79="Priority Intervention","Action Required","OK")</f>
        <v>Action Required</v>
      </c>
      <c r="E102" t="str">
        <f>IF('09_KPI_StoreScore'!O79="Priority Intervention","Immediate management intervention for "&amp;C102&amp;" ("&amp;'09_KPI_StoreScore'!B79&amp;") - Performance Score "&amp;TEXT('09_KPI_StoreScore'!M79,"0.0")&amp;", Rank "&amp;'09_KPI_StoreScore'!N79&amp;" of 120.","No action required - performance within acceptable range.")</f>
        <v>Immediate management intervention for Nova Retail - Ludhiana Flagship (Punjab-Haryana) - Performance Score 41.3, Rank 92 of 120.</v>
      </c>
    </row>
    <row r="103" spans="2:5" x14ac:dyDescent="0.3">
      <c r="B103" t="s">
        <v>874</v>
      </c>
      <c r="C103" t="str">
        <f>'09_KPI_StoreScore'!A80</f>
        <v>Nova Retail - Ludhiana Standard</v>
      </c>
      <c r="D103" t="str">
        <f>IF('09_KPI_StoreScore'!O80="Priority Intervention","Action Required","OK")</f>
        <v>OK</v>
      </c>
      <c r="E103" t="str">
        <f>IF('09_KPI_StoreScore'!O80="Priority Intervention","Immediate management intervention for "&amp;C103&amp;" ("&amp;'09_KPI_StoreScore'!B80&amp;") - Performance Score "&amp;TEXT('09_KPI_StoreScore'!M80,"0.0")&amp;", Rank "&amp;'09_KPI_StoreScore'!N80&amp;" of 120.","No action required - performance within acceptable range.")</f>
        <v>No action required - performance within acceptable range.</v>
      </c>
    </row>
    <row r="104" spans="2:5" x14ac:dyDescent="0.3">
      <c r="B104" t="s">
        <v>874</v>
      </c>
      <c r="C104" t="str">
        <f>'09_KPI_StoreScore'!A81</f>
        <v>Nova Retail - Ludhiana Standard</v>
      </c>
      <c r="D104" t="str">
        <f>IF('09_KPI_StoreScore'!O81="Priority Intervention","Action Required","OK")</f>
        <v>OK</v>
      </c>
      <c r="E104" t="str">
        <f>IF('09_KPI_StoreScore'!O81="Priority Intervention","Immediate management intervention for "&amp;C104&amp;" ("&amp;'09_KPI_StoreScore'!B81&amp;") - Performance Score "&amp;TEXT('09_KPI_StoreScore'!M81,"0.0")&amp;", Rank "&amp;'09_KPI_StoreScore'!N81&amp;" of 120.","No action required - performance within acceptable range.")</f>
        <v>No action required - performance within acceptable range.</v>
      </c>
    </row>
    <row r="105" spans="2:5" x14ac:dyDescent="0.3">
      <c r="B105" t="s">
        <v>874</v>
      </c>
      <c r="C105" t="str">
        <f>'09_KPI_StoreScore'!A82</f>
        <v>Nova Retail - Ludhiana Standard</v>
      </c>
      <c r="D105" t="str">
        <f>IF('09_KPI_StoreScore'!O82="Priority Intervention","Action Required","OK")</f>
        <v>OK</v>
      </c>
      <c r="E105" t="str">
        <f>IF('09_KPI_StoreScore'!O82="Priority Intervention","Immediate management intervention for "&amp;C105&amp;" ("&amp;'09_KPI_StoreScore'!B82&amp;") - Performance Score "&amp;TEXT('09_KPI_StoreScore'!M82,"0.0")&amp;", Rank "&amp;'09_KPI_StoreScore'!N82&amp;" of 120.","No action required - performance within acceptable range.")</f>
        <v>No action required - performance within acceptable range.</v>
      </c>
    </row>
    <row r="106" spans="2:5" x14ac:dyDescent="0.3">
      <c r="B106" t="s">
        <v>874</v>
      </c>
      <c r="C106" t="str">
        <f>'09_KPI_StoreScore'!A83</f>
        <v>Nova Retail - Madurai Compact</v>
      </c>
      <c r="D106" t="str">
        <f>IF('09_KPI_StoreScore'!O83="Priority Intervention","Action Required","OK")</f>
        <v>OK</v>
      </c>
      <c r="E106" t="str">
        <f>IF('09_KPI_StoreScore'!O83="Priority Intervention","Immediate management intervention for "&amp;C106&amp;" ("&amp;'09_KPI_StoreScore'!B83&amp;") - Performance Score "&amp;TEXT('09_KPI_StoreScore'!M83,"0.0")&amp;", Rank "&amp;'09_KPI_StoreScore'!N83&amp;" of 120.","No action required - performance within acceptable range.")</f>
        <v>No action required - performance within acceptable range.</v>
      </c>
    </row>
    <row r="107" spans="2:5" x14ac:dyDescent="0.3">
      <c r="B107" t="s">
        <v>874</v>
      </c>
      <c r="C107" t="str">
        <f>'09_KPI_StoreScore'!A84</f>
        <v>Nova Retail - Madurai Standard</v>
      </c>
      <c r="D107" t="str">
        <f>IF('09_KPI_StoreScore'!O84="Priority Intervention","Action Required","OK")</f>
        <v>OK</v>
      </c>
      <c r="E107" t="str">
        <f>IF('09_KPI_StoreScore'!O84="Priority Intervention","Immediate management intervention for "&amp;C107&amp;" ("&amp;'09_KPI_StoreScore'!B84&amp;") - Performance Score "&amp;TEXT('09_KPI_StoreScore'!M84,"0.0")&amp;", Rank "&amp;'09_KPI_StoreScore'!N84&amp;" of 120.","No action required - performance within acceptable range.")</f>
        <v>No action required - performance within acceptable range.</v>
      </c>
    </row>
    <row r="108" spans="2:5" x14ac:dyDescent="0.3">
      <c r="B108" t="s">
        <v>874</v>
      </c>
      <c r="C108" t="str">
        <f>'09_KPI_StoreScore'!A85</f>
        <v>Nova Retail - Madurai Standard</v>
      </c>
      <c r="D108" t="str">
        <f>IF('09_KPI_StoreScore'!O85="Priority Intervention","Action Required","OK")</f>
        <v>OK</v>
      </c>
      <c r="E108" t="str">
        <f>IF('09_KPI_StoreScore'!O85="Priority Intervention","Immediate management intervention for "&amp;C108&amp;" ("&amp;'09_KPI_StoreScore'!B85&amp;") - Performance Score "&amp;TEXT('09_KPI_StoreScore'!M85,"0.0")&amp;", Rank "&amp;'09_KPI_StoreScore'!N85&amp;" of 120.","No action required - performance within acceptable range.")</f>
        <v>No action required - performance within acceptable range.</v>
      </c>
    </row>
    <row r="109" spans="2:5" x14ac:dyDescent="0.3">
      <c r="B109" t="s">
        <v>874</v>
      </c>
      <c r="C109" t="str">
        <f>'09_KPI_StoreScore'!A86</f>
        <v>Nova Retail - Madurai Standard</v>
      </c>
      <c r="D109" t="str">
        <f>IF('09_KPI_StoreScore'!O86="Priority Intervention","Action Required","OK")</f>
        <v>OK</v>
      </c>
      <c r="E109" t="str">
        <f>IF('09_KPI_StoreScore'!O86="Priority Intervention","Immediate management intervention for "&amp;C109&amp;" ("&amp;'09_KPI_StoreScore'!B86&amp;") - Performance Score "&amp;TEXT('09_KPI_StoreScore'!M86,"0.0")&amp;", Rank "&amp;'09_KPI_StoreScore'!N86&amp;" of 120.","No action required - performance within acceptable range.")</f>
        <v>No action required - performance within acceptable range.</v>
      </c>
    </row>
    <row r="110" spans="2:5" x14ac:dyDescent="0.3">
      <c r="B110" t="s">
        <v>874</v>
      </c>
      <c r="C110" t="str">
        <f>'09_KPI_StoreScore'!A87</f>
        <v>Nova Retail - Madurai Standard</v>
      </c>
      <c r="D110" t="str">
        <f>IF('09_KPI_StoreScore'!O87="Priority Intervention","Action Required","OK")</f>
        <v>OK</v>
      </c>
      <c r="E110" t="str">
        <f>IF('09_KPI_StoreScore'!O87="Priority Intervention","Immediate management intervention for "&amp;C110&amp;" ("&amp;'09_KPI_StoreScore'!B87&amp;") - Performance Score "&amp;TEXT('09_KPI_StoreScore'!M87,"0.0")&amp;", Rank "&amp;'09_KPI_StoreScore'!N87&amp;" of 120.","No action required - performance within acceptable range.")</f>
        <v>No action required - performance within acceptable range.</v>
      </c>
    </row>
    <row r="111" spans="2:5" x14ac:dyDescent="0.3">
      <c r="B111" t="s">
        <v>874</v>
      </c>
      <c r="C111" t="str">
        <f>'09_KPI_StoreScore'!A88</f>
        <v>Nova Retail - Madurai Standard</v>
      </c>
      <c r="D111" t="str">
        <f>IF('09_KPI_StoreScore'!O88="Priority Intervention","Action Required","OK")</f>
        <v>Action Required</v>
      </c>
      <c r="E111" t="str">
        <f>IF('09_KPI_StoreScore'!O88="Priority Intervention","Immediate management intervention for "&amp;C111&amp;" ("&amp;'09_KPI_StoreScore'!B88&amp;") - Performance Score "&amp;TEXT('09_KPI_StoreScore'!M88,"0.0")&amp;", Rank "&amp;'09_KPI_StoreScore'!N88&amp;" of 120.","No action required - performance within acceptable range.")</f>
        <v>Immediate management intervention for Nova Retail - Madurai Standard (Tamil Nadu) - Performance Score 37.1, Rank 108 of 120.</v>
      </c>
    </row>
    <row r="112" spans="2:5" x14ac:dyDescent="0.3">
      <c r="B112" t="s">
        <v>874</v>
      </c>
      <c r="C112" t="str">
        <f>'09_KPI_StoreScore'!A89</f>
        <v>Nova Retail - Mangaluru Compact</v>
      </c>
      <c r="D112" t="str">
        <f>IF('09_KPI_StoreScore'!O89="Priority Intervention","Action Required","OK")</f>
        <v>OK</v>
      </c>
      <c r="E112" t="str">
        <f>IF('09_KPI_StoreScore'!O89="Priority Intervention","Immediate management intervention for "&amp;C112&amp;" ("&amp;'09_KPI_StoreScore'!B89&amp;") - Performance Score "&amp;TEXT('09_KPI_StoreScore'!M89,"0.0")&amp;", Rank "&amp;'09_KPI_StoreScore'!N89&amp;" of 120.","No action required - performance within acceptable range.")</f>
        <v>No action required - performance within acceptable range.</v>
      </c>
    </row>
    <row r="113" spans="2:5" x14ac:dyDescent="0.3">
      <c r="B113" t="s">
        <v>874</v>
      </c>
      <c r="C113" t="str">
        <f>'09_KPI_StoreScore'!A90</f>
        <v>Nova Retail - Mangaluru Standard</v>
      </c>
      <c r="D113" t="str">
        <f>IF('09_KPI_StoreScore'!O90="Priority Intervention","Action Required","OK")</f>
        <v>OK</v>
      </c>
      <c r="E113" t="str">
        <f>IF('09_KPI_StoreScore'!O90="Priority Intervention","Immediate management intervention for "&amp;C113&amp;" ("&amp;'09_KPI_StoreScore'!B90&amp;") - Performance Score "&amp;TEXT('09_KPI_StoreScore'!M90,"0.0")&amp;", Rank "&amp;'09_KPI_StoreScore'!N90&amp;" of 120.","No action required - performance within acceptable range.")</f>
        <v>No action required - performance within acceptable range.</v>
      </c>
    </row>
    <row r="114" spans="2:5" x14ac:dyDescent="0.3">
      <c r="B114" t="s">
        <v>874</v>
      </c>
      <c r="C114" t="str">
        <f>'09_KPI_StoreScore'!A91</f>
        <v>Nova Retail - Mumbai Compact</v>
      </c>
      <c r="D114" t="str">
        <f>IF('09_KPI_StoreScore'!O91="Priority Intervention","Action Required","OK")</f>
        <v>OK</v>
      </c>
      <c r="E114" t="str">
        <f>IF('09_KPI_StoreScore'!O91="Priority Intervention","Immediate management intervention for "&amp;C114&amp;" ("&amp;'09_KPI_StoreScore'!B91&amp;") - Performance Score "&amp;TEXT('09_KPI_StoreScore'!M91,"0.0")&amp;", Rank "&amp;'09_KPI_StoreScore'!N91&amp;" of 120.","No action required - performance within acceptable range.")</f>
        <v>No action required - performance within acceptable range.</v>
      </c>
    </row>
    <row r="115" spans="2:5" x14ac:dyDescent="0.3">
      <c r="B115" t="s">
        <v>874</v>
      </c>
      <c r="C115" t="str">
        <f>'09_KPI_StoreScore'!A92</f>
        <v>Nova Retail - Mumbai Flagship</v>
      </c>
      <c r="D115" t="str">
        <f>IF('09_KPI_StoreScore'!O92="Priority Intervention","Action Required","OK")</f>
        <v>OK</v>
      </c>
      <c r="E115" t="str">
        <f>IF('09_KPI_StoreScore'!O92="Priority Intervention","Immediate management intervention for "&amp;C115&amp;" ("&amp;'09_KPI_StoreScore'!B92&amp;") - Performance Score "&amp;TEXT('09_KPI_StoreScore'!M92,"0.0")&amp;", Rank "&amp;'09_KPI_StoreScore'!N92&amp;" of 120.","No action required - performance within acceptable range.")</f>
        <v>No action required - performance within acceptable range.</v>
      </c>
    </row>
    <row r="116" spans="2:5" x14ac:dyDescent="0.3">
      <c r="B116" t="s">
        <v>874</v>
      </c>
      <c r="C116" t="str">
        <f>'09_KPI_StoreScore'!A93</f>
        <v>Nova Retail - Mumbai Standard</v>
      </c>
      <c r="D116" t="str">
        <f>IF('09_KPI_StoreScore'!O93="Priority Intervention","Action Required","OK")</f>
        <v>Action Required</v>
      </c>
      <c r="E116" t="str">
        <f>IF('09_KPI_StoreScore'!O93="Priority Intervention","Immediate management intervention for "&amp;C116&amp;" ("&amp;'09_KPI_StoreScore'!B93&amp;") - Performance Score "&amp;TEXT('09_KPI_StoreScore'!M93,"0.0")&amp;", Rank "&amp;'09_KPI_StoreScore'!N93&amp;" of 120.","No action required - performance within acceptable range.")</f>
        <v>Immediate management intervention for Nova Retail - Mumbai Standard (Maharashtra) - Performance Score 31.2, Rank 115 of 120.</v>
      </c>
    </row>
    <row r="117" spans="2:5" x14ac:dyDescent="0.3">
      <c r="B117" t="s">
        <v>874</v>
      </c>
      <c r="C117" t="str">
        <f>'09_KPI_StoreScore'!A94</f>
        <v>Nova Retail - Mysuru Standard</v>
      </c>
      <c r="D117" t="str">
        <f>IF('09_KPI_StoreScore'!O94="Priority Intervention","Action Required","OK")</f>
        <v>Action Required</v>
      </c>
      <c r="E117" t="str">
        <f>IF('09_KPI_StoreScore'!O94="Priority Intervention","Immediate management intervention for "&amp;C117&amp;" ("&amp;'09_KPI_StoreScore'!B94&amp;") - Performance Score "&amp;TEXT('09_KPI_StoreScore'!M94,"0.0")&amp;", Rank "&amp;'09_KPI_StoreScore'!N94&amp;" of 120.","No action required - performance within acceptable range.")</f>
        <v>Immediate management intervention for Nova Retail - Mysuru Standard (Karnataka) - Performance Score 38.6, Rank 103 of 120.</v>
      </c>
    </row>
    <row r="118" spans="2:5" x14ac:dyDescent="0.3">
      <c r="B118" t="s">
        <v>874</v>
      </c>
      <c r="C118" t="str">
        <f>'09_KPI_StoreScore'!A95</f>
        <v>Nova Retail - Nagpur Compact</v>
      </c>
      <c r="D118" t="str">
        <f>IF('09_KPI_StoreScore'!O95="Priority Intervention","Action Required","OK")</f>
        <v>OK</v>
      </c>
      <c r="E118" t="str">
        <f>IF('09_KPI_StoreScore'!O95="Priority Intervention","Immediate management intervention for "&amp;C118&amp;" ("&amp;'09_KPI_StoreScore'!B95&amp;") - Performance Score "&amp;TEXT('09_KPI_StoreScore'!M95,"0.0")&amp;", Rank "&amp;'09_KPI_StoreScore'!N95&amp;" of 120.","No action required - performance within acceptable range.")</f>
        <v>No action required - performance within acceptable range.</v>
      </c>
    </row>
    <row r="119" spans="2:5" x14ac:dyDescent="0.3">
      <c r="B119" t="s">
        <v>874</v>
      </c>
      <c r="C119" t="str">
        <f>'09_KPI_StoreScore'!A96</f>
        <v>Nova Retail - Nashik Standard</v>
      </c>
      <c r="D119" t="str">
        <f>IF('09_KPI_StoreScore'!O96="Priority Intervention","Action Required","OK")</f>
        <v>OK</v>
      </c>
      <c r="E119" t="str">
        <f>IF('09_KPI_StoreScore'!O96="Priority Intervention","Immediate management intervention for "&amp;C119&amp;" ("&amp;'09_KPI_StoreScore'!B96&amp;") - Performance Score "&amp;TEXT('09_KPI_StoreScore'!M96,"0.0")&amp;", Rank "&amp;'09_KPI_StoreScore'!N96&amp;" of 120.","No action required - performance within acceptable range.")</f>
        <v>No action required - performance within acceptable range.</v>
      </c>
    </row>
    <row r="120" spans="2:5" x14ac:dyDescent="0.3">
      <c r="B120" t="s">
        <v>874</v>
      </c>
      <c r="C120" t="str">
        <f>'09_KPI_StoreScore'!A97</f>
        <v>Nova Retail - New Delhi Standard</v>
      </c>
      <c r="D120" t="str">
        <f>IF('09_KPI_StoreScore'!O97="Priority Intervention","Action Required","OK")</f>
        <v>OK</v>
      </c>
      <c r="E120" t="str">
        <f>IF('09_KPI_StoreScore'!O97="Priority Intervention","Immediate management intervention for "&amp;C120&amp;" ("&amp;'09_KPI_StoreScore'!B97&amp;") - Performance Score "&amp;TEXT('09_KPI_StoreScore'!M97,"0.0")&amp;", Rank "&amp;'09_KPI_StoreScore'!N97&amp;" of 120.","No action required - performance within acceptable range.")</f>
        <v>No action required - performance within acceptable range.</v>
      </c>
    </row>
    <row r="121" spans="2:5" x14ac:dyDescent="0.3">
      <c r="B121" t="s">
        <v>874</v>
      </c>
      <c r="C121" t="str">
        <f>'09_KPI_StoreScore'!A98</f>
        <v>Nova Retail - Noida Flagship</v>
      </c>
      <c r="D121" t="str">
        <f>IF('09_KPI_StoreScore'!O98="Priority Intervention","Action Required","OK")</f>
        <v>OK</v>
      </c>
      <c r="E121" t="str">
        <f>IF('09_KPI_StoreScore'!O98="Priority Intervention","Immediate management intervention for "&amp;C121&amp;" ("&amp;'09_KPI_StoreScore'!B98&amp;") - Performance Score "&amp;TEXT('09_KPI_StoreScore'!M98,"0.0")&amp;", Rank "&amp;'09_KPI_StoreScore'!N98&amp;" of 120.","No action required - performance within acceptable range.")</f>
        <v>No action required - performance within acceptable range.</v>
      </c>
    </row>
    <row r="122" spans="2:5" x14ac:dyDescent="0.3">
      <c r="B122" t="s">
        <v>874</v>
      </c>
      <c r="C122" t="str">
        <f>'09_KPI_StoreScore'!A99</f>
        <v>Nova Retail - Pune Standard</v>
      </c>
      <c r="D122" t="str">
        <f>IF('09_KPI_StoreScore'!O99="Priority Intervention","Action Required","OK")</f>
        <v>OK</v>
      </c>
      <c r="E122" t="str">
        <f>IF('09_KPI_StoreScore'!O99="Priority Intervention","Immediate management intervention for "&amp;C122&amp;" ("&amp;'09_KPI_StoreScore'!B99&amp;") - Performance Score "&amp;TEXT('09_KPI_StoreScore'!M99,"0.0")&amp;", Rank "&amp;'09_KPI_StoreScore'!N99&amp;" of 120.","No action required - performance within acceptable range.")</f>
        <v>No action required - performance within acceptable range.</v>
      </c>
    </row>
    <row r="123" spans="2:5" x14ac:dyDescent="0.3">
      <c r="B123" t="s">
        <v>874</v>
      </c>
      <c r="C123" t="str">
        <f>'09_KPI_StoreScore'!A100</f>
        <v>Nova Retail - Rajkot Compact</v>
      </c>
      <c r="D123" t="str">
        <f>IF('09_KPI_StoreScore'!O100="Priority Intervention","Action Required","OK")</f>
        <v>OK</v>
      </c>
      <c r="E123" t="str">
        <f>IF('09_KPI_StoreScore'!O100="Priority Intervention","Immediate management intervention for "&amp;C123&amp;" ("&amp;'09_KPI_StoreScore'!B100&amp;") - Performance Score "&amp;TEXT('09_KPI_StoreScore'!M100,"0.0")&amp;", Rank "&amp;'09_KPI_StoreScore'!N100&amp;" of 120.","No action required - performance within acceptable range.")</f>
        <v>No action required - performance within acceptable range.</v>
      </c>
    </row>
    <row r="124" spans="2:5" x14ac:dyDescent="0.3">
      <c r="B124" t="s">
        <v>874</v>
      </c>
      <c r="C124" t="str">
        <f>'09_KPI_StoreScore'!A101</f>
        <v>Nova Retail - Rajkot Compact</v>
      </c>
      <c r="D124" t="str">
        <f>IF('09_KPI_StoreScore'!O101="Priority Intervention","Action Required","OK")</f>
        <v>OK</v>
      </c>
      <c r="E124" t="str">
        <f>IF('09_KPI_StoreScore'!O101="Priority Intervention","Immediate management intervention for "&amp;C124&amp;" ("&amp;'09_KPI_StoreScore'!B101&amp;") - Performance Score "&amp;TEXT('09_KPI_StoreScore'!M101,"0.0")&amp;", Rank "&amp;'09_KPI_StoreScore'!N101&amp;" of 120.","No action required - performance within acceptable range.")</f>
        <v>No action required - performance within acceptable range.</v>
      </c>
    </row>
    <row r="125" spans="2:5" x14ac:dyDescent="0.3">
      <c r="B125" t="s">
        <v>874</v>
      </c>
      <c r="C125" t="str">
        <f>'09_KPI_StoreScore'!A102</f>
        <v>Nova Retail - Ranchi Standard</v>
      </c>
      <c r="D125" t="str">
        <f>IF('09_KPI_StoreScore'!O102="Priority Intervention","Action Required","OK")</f>
        <v>OK</v>
      </c>
      <c r="E125" t="str">
        <f>IF('09_KPI_StoreScore'!O102="Priority Intervention","Immediate management intervention for "&amp;C125&amp;" ("&amp;'09_KPI_StoreScore'!B102&amp;") - Performance Score "&amp;TEXT('09_KPI_StoreScore'!M102,"0.0")&amp;", Rank "&amp;'09_KPI_StoreScore'!N102&amp;" of 120.","No action required - performance within acceptable range.")</f>
        <v>No action required - performance within acceptable range.</v>
      </c>
    </row>
    <row r="126" spans="2:5" x14ac:dyDescent="0.3">
      <c r="B126" t="s">
        <v>874</v>
      </c>
      <c r="C126" t="str">
        <f>'09_KPI_StoreScore'!A103</f>
        <v>Nova Retail - Ranchi Standard</v>
      </c>
      <c r="D126" t="str">
        <f>IF('09_KPI_StoreScore'!O103="Priority Intervention","Action Required","OK")</f>
        <v>OK</v>
      </c>
      <c r="E126" t="str">
        <f>IF('09_KPI_StoreScore'!O103="Priority Intervention","Immediate management intervention for "&amp;C126&amp;" ("&amp;'09_KPI_StoreScore'!B103&amp;") - Performance Score "&amp;TEXT('09_KPI_StoreScore'!M103,"0.0")&amp;", Rank "&amp;'09_KPI_StoreScore'!N103&amp;" of 120.","No action required - performance within acceptable range.")</f>
        <v>No action required - performance within acceptable range.</v>
      </c>
    </row>
    <row r="127" spans="2:5" x14ac:dyDescent="0.3">
      <c r="B127" t="s">
        <v>874</v>
      </c>
      <c r="C127" t="str">
        <f>'09_KPI_StoreScore'!A104</f>
        <v>Nova Retail - Salem Compact</v>
      </c>
      <c r="D127" t="str">
        <f>IF('09_KPI_StoreScore'!O104="Priority Intervention","Action Required","OK")</f>
        <v>OK</v>
      </c>
      <c r="E127" t="str">
        <f>IF('09_KPI_StoreScore'!O104="Priority Intervention","Immediate management intervention for "&amp;C127&amp;" ("&amp;'09_KPI_StoreScore'!B104&amp;") - Performance Score "&amp;TEXT('09_KPI_StoreScore'!M104,"0.0")&amp;", Rank "&amp;'09_KPI_StoreScore'!N104&amp;" of 120.","No action required - performance within acceptable range.")</f>
        <v>No action required - performance within acceptable range.</v>
      </c>
    </row>
    <row r="128" spans="2:5" x14ac:dyDescent="0.3">
      <c r="B128" t="s">
        <v>874</v>
      </c>
      <c r="C128" t="str">
        <f>'09_KPI_StoreScore'!A105</f>
        <v>Nova Retail - Salem Compact</v>
      </c>
      <c r="D128" t="str">
        <f>IF('09_KPI_StoreScore'!O105="Priority Intervention","Action Required","OK")</f>
        <v>Action Required</v>
      </c>
      <c r="E128" t="str">
        <f>IF('09_KPI_StoreScore'!O105="Priority Intervention","Immediate management intervention for "&amp;C128&amp;" ("&amp;'09_KPI_StoreScore'!B105&amp;") - Performance Score "&amp;TEXT('09_KPI_StoreScore'!M105,"0.0")&amp;", Rank "&amp;'09_KPI_StoreScore'!N105&amp;" of 120.","No action required - performance within acceptable range.")</f>
        <v>Immediate management intervention for Nova Retail - Salem Compact (Tamil Nadu) - Performance Score 41.1, Rank 93 of 120.</v>
      </c>
    </row>
    <row r="129" spans="2:5" x14ac:dyDescent="0.3">
      <c r="B129" t="s">
        <v>874</v>
      </c>
      <c r="C129" t="str">
        <f>'09_KPI_StoreScore'!A106</f>
        <v>Nova Retail - Salem Standard</v>
      </c>
      <c r="D129" t="str">
        <f>IF('09_KPI_StoreScore'!O106="Priority Intervention","Action Required","OK")</f>
        <v>OK</v>
      </c>
      <c r="E129" t="str">
        <f>IF('09_KPI_StoreScore'!O106="Priority Intervention","Immediate management intervention for "&amp;C129&amp;" ("&amp;'09_KPI_StoreScore'!B106&amp;") - Performance Score "&amp;TEXT('09_KPI_StoreScore'!M106,"0.0")&amp;", Rank "&amp;'09_KPI_StoreScore'!N106&amp;" of 120.","No action required - performance within acceptable range.")</f>
        <v>No action required - performance within acceptable range.</v>
      </c>
    </row>
    <row r="130" spans="2:5" x14ac:dyDescent="0.3">
      <c r="B130" t="s">
        <v>874</v>
      </c>
      <c r="C130" t="str">
        <f>'09_KPI_StoreScore'!A107</f>
        <v>Nova Retail - Salem Standard</v>
      </c>
      <c r="D130" t="str">
        <f>IF('09_KPI_StoreScore'!O107="Priority Intervention","Action Required","OK")</f>
        <v>Action Required</v>
      </c>
      <c r="E130" t="str">
        <f>IF('09_KPI_StoreScore'!O107="Priority Intervention","Immediate management intervention for "&amp;C130&amp;" ("&amp;'09_KPI_StoreScore'!B107&amp;") - Performance Score "&amp;TEXT('09_KPI_StoreScore'!M107,"0.0")&amp;", Rank "&amp;'09_KPI_StoreScore'!N107&amp;" of 120.","No action required - performance within acceptable range.")</f>
        <v>Immediate management intervention for Nova Retail - Salem Standard (Tamil Nadu) - Performance Score 40.5, Rank 97 of 120.</v>
      </c>
    </row>
    <row r="131" spans="2:5" x14ac:dyDescent="0.3">
      <c r="B131" t="s">
        <v>874</v>
      </c>
      <c r="C131" t="str">
        <f>'09_KPI_StoreScore'!A108</f>
        <v>Nova Retail - Salem Standard</v>
      </c>
      <c r="D131" t="str">
        <f>IF('09_KPI_StoreScore'!O108="Priority Intervention","Action Required","OK")</f>
        <v>OK</v>
      </c>
      <c r="E131" t="str">
        <f>IF('09_KPI_StoreScore'!O108="Priority Intervention","Immediate management intervention for "&amp;C131&amp;" ("&amp;'09_KPI_StoreScore'!B108&amp;") - Performance Score "&amp;TEXT('09_KPI_StoreScore'!M108,"0.0")&amp;", Rank "&amp;'09_KPI_StoreScore'!N108&amp;" of 120.","No action required - performance within acceptable range.")</f>
        <v>No action required - performance within acceptable range.</v>
      </c>
    </row>
    <row r="132" spans="2:5" x14ac:dyDescent="0.3">
      <c r="B132" t="s">
        <v>874</v>
      </c>
      <c r="C132" t="str">
        <f>'09_KPI_StoreScore'!A109</f>
        <v>Nova Retail - Salem Standard</v>
      </c>
      <c r="D132" t="str">
        <f>IF('09_KPI_StoreScore'!O109="Priority Intervention","Action Required","OK")</f>
        <v>OK</v>
      </c>
      <c r="E132" t="str">
        <f>IF('09_KPI_StoreScore'!O109="Priority Intervention","Immediate management intervention for "&amp;C132&amp;" ("&amp;'09_KPI_StoreScore'!B109&amp;") - Performance Score "&amp;TEXT('09_KPI_StoreScore'!M109,"0.0")&amp;", Rank "&amp;'09_KPI_StoreScore'!N109&amp;" of 120.","No action required - performance within acceptable range.")</f>
        <v>No action required - performance within acceptable range.</v>
      </c>
    </row>
    <row r="133" spans="2:5" x14ac:dyDescent="0.3">
      <c r="B133" t="s">
        <v>874</v>
      </c>
      <c r="C133" t="str">
        <f>'09_KPI_StoreScore'!A110</f>
        <v>Nova Retail - Salem Standard</v>
      </c>
      <c r="D133" t="str">
        <f>IF('09_KPI_StoreScore'!O110="Priority Intervention","Action Required","OK")</f>
        <v>OK</v>
      </c>
      <c r="E133" t="str">
        <f>IF('09_KPI_StoreScore'!O110="Priority Intervention","Immediate management intervention for "&amp;C133&amp;" ("&amp;'09_KPI_StoreScore'!B110&amp;") - Performance Score "&amp;TEXT('09_KPI_StoreScore'!M110,"0.0")&amp;", Rank "&amp;'09_KPI_StoreScore'!N110&amp;" of 120.","No action required - performance within acceptable range.")</f>
        <v>No action required - performance within acceptable range.</v>
      </c>
    </row>
    <row r="134" spans="2:5" x14ac:dyDescent="0.3">
      <c r="B134" t="s">
        <v>874</v>
      </c>
      <c r="C134" t="str">
        <f>'09_KPI_StoreScore'!A111</f>
        <v>Nova Retail - Siliguri Compact</v>
      </c>
      <c r="D134" t="str">
        <f>IF('09_KPI_StoreScore'!O111="Priority Intervention","Action Required","OK")</f>
        <v>Action Required</v>
      </c>
      <c r="E134" t="str">
        <f>IF('09_KPI_StoreScore'!O111="Priority Intervention","Immediate management intervention for "&amp;C134&amp;" ("&amp;'09_KPI_StoreScore'!B111&amp;") - Performance Score "&amp;TEXT('09_KPI_StoreScore'!M111,"0.0")&amp;", Rank "&amp;'09_KPI_StoreScore'!N111&amp;" of 120.","No action required - performance within acceptable range.")</f>
        <v>Immediate management intervention for Nova Retail - Siliguri Compact (West Bengal) - Performance Score 21.9, Rank 119 of 120.</v>
      </c>
    </row>
    <row r="135" spans="2:5" x14ac:dyDescent="0.3">
      <c r="B135" t="s">
        <v>874</v>
      </c>
      <c r="C135" t="str">
        <f>'09_KPI_StoreScore'!A112</f>
        <v>Nova Retail - Siliguri Flagship</v>
      </c>
      <c r="D135" t="str">
        <f>IF('09_KPI_StoreScore'!O112="Priority Intervention","Action Required","OK")</f>
        <v>Action Required</v>
      </c>
      <c r="E135" t="str">
        <f>IF('09_KPI_StoreScore'!O112="Priority Intervention","Immediate management intervention for "&amp;C135&amp;" ("&amp;'09_KPI_StoreScore'!B112&amp;") - Performance Score "&amp;TEXT('09_KPI_StoreScore'!M112,"0.0")&amp;", Rank "&amp;'09_KPI_StoreScore'!N112&amp;" of 120.","No action required - performance within acceptable range.")</f>
        <v>Immediate management intervention for Nova Retail - Siliguri Flagship (West Bengal) - Performance Score 37.3, Rank 107 of 120.</v>
      </c>
    </row>
    <row r="136" spans="2:5" x14ac:dyDescent="0.3">
      <c r="B136" t="s">
        <v>874</v>
      </c>
      <c r="C136" t="str">
        <f>'09_KPI_StoreScore'!A113</f>
        <v>Nova Retail - Siliguri Standard</v>
      </c>
      <c r="D136" t="str">
        <f>IF('09_KPI_StoreScore'!O113="Priority Intervention","Action Required","OK")</f>
        <v>OK</v>
      </c>
      <c r="E136" t="str">
        <f>IF('09_KPI_StoreScore'!O113="Priority Intervention","Immediate management intervention for "&amp;C136&amp;" ("&amp;'09_KPI_StoreScore'!B113&amp;") - Performance Score "&amp;TEXT('09_KPI_StoreScore'!M113,"0.0")&amp;", Rank "&amp;'09_KPI_StoreScore'!N113&amp;" of 120.","No action required - performance within acceptable range.")</f>
        <v>No action required - performance within acceptable range.</v>
      </c>
    </row>
    <row r="137" spans="2:5" x14ac:dyDescent="0.3">
      <c r="B137" t="s">
        <v>874</v>
      </c>
      <c r="C137" t="str">
        <f>'09_KPI_StoreScore'!A114</f>
        <v>Nova Retail - Siliguri Standard</v>
      </c>
      <c r="D137" t="str">
        <f>IF('09_KPI_StoreScore'!O114="Priority Intervention","Action Required","OK")</f>
        <v>OK</v>
      </c>
      <c r="E137" t="str">
        <f>IF('09_KPI_StoreScore'!O114="Priority Intervention","Immediate management intervention for "&amp;C137&amp;" ("&amp;'09_KPI_StoreScore'!B114&amp;") - Performance Score "&amp;TEXT('09_KPI_StoreScore'!M114,"0.0")&amp;", Rank "&amp;'09_KPI_StoreScore'!N114&amp;" of 120.","No action required - performance within acceptable range.")</f>
        <v>No action required - performance within acceptable range.</v>
      </c>
    </row>
    <row r="138" spans="2:5" x14ac:dyDescent="0.3">
      <c r="B138" t="s">
        <v>874</v>
      </c>
      <c r="C138" t="str">
        <f>'09_KPI_StoreScore'!A115</f>
        <v>Nova Retail - Siliguri Standard</v>
      </c>
      <c r="D138" t="str">
        <f>IF('09_KPI_StoreScore'!O115="Priority Intervention","Action Required","OK")</f>
        <v>OK</v>
      </c>
      <c r="E138" t="str">
        <f>IF('09_KPI_StoreScore'!O115="Priority Intervention","Immediate management intervention for "&amp;C138&amp;" ("&amp;'09_KPI_StoreScore'!B115&amp;") - Performance Score "&amp;TEXT('09_KPI_StoreScore'!M115,"0.0")&amp;", Rank "&amp;'09_KPI_StoreScore'!N115&amp;" of 120.","No action required - performance within acceptable range.")</f>
        <v>No action required - performance within acceptable range.</v>
      </c>
    </row>
    <row r="139" spans="2:5" x14ac:dyDescent="0.3">
      <c r="B139" t="s">
        <v>874</v>
      </c>
      <c r="C139" t="str">
        <f>'09_KPI_StoreScore'!A116</f>
        <v>Nova Retail - Surat Standard</v>
      </c>
      <c r="D139" t="str">
        <f>IF('09_KPI_StoreScore'!O116="Priority Intervention","Action Required","OK")</f>
        <v>Action Required</v>
      </c>
      <c r="E139" t="str">
        <f>IF('09_KPI_StoreScore'!O116="Priority Intervention","Immediate management intervention for "&amp;C139&amp;" ("&amp;'09_KPI_StoreScore'!B116&amp;") - Performance Score "&amp;TEXT('09_KPI_StoreScore'!M116,"0.0")&amp;", Rank "&amp;'09_KPI_StoreScore'!N116&amp;" of 120.","No action required - performance within acceptable range.")</f>
        <v>Immediate management intervention for Nova Retail - Surat Standard (Gujarat) - Performance Score 38.8, Rank 102 of 120.</v>
      </c>
    </row>
    <row r="140" spans="2:5" x14ac:dyDescent="0.3">
      <c r="B140" t="s">
        <v>874</v>
      </c>
      <c r="C140" t="str">
        <f>'09_KPI_StoreScore'!A117</f>
        <v>Nova Retail - Surat Standard</v>
      </c>
      <c r="D140" t="str">
        <f>IF('09_KPI_StoreScore'!O117="Priority Intervention","Action Required","OK")</f>
        <v>Action Required</v>
      </c>
      <c r="E140" t="str">
        <f>IF('09_KPI_StoreScore'!O117="Priority Intervention","Immediate management intervention for "&amp;C140&amp;" ("&amp;'09_KPI_StoreScore'!B117&amp;") - Performance Score "&amp;TEXT('09_KPI_StoreScore'!M117,"0.0")&amp;", Rank "&amp;'09_KPI_StoreScore'!N117&amp;" of 120.","No action required - performance within acceptable range.")</f>
        <v>Immediate management intervention for Nova Retail - Surat Standard (Gujarat) - Performance Score 33.2, Rank 113 of 120.</v>
      </c>
    </row>
    <row r="141" spans="2:5" x14ac:dyDescent="0.3">
      <c r="B141" t="s">
        <v>874</v>
      </c>
      <c r="C141" t="str">
        <f>'09_KPI_StoreScore'!A118</f>
        <v>Nova Retail - Thiruvananthapuram Standard</v>
      </c>
      <c r="D141" t="str">
        <f>IF('09_KPI_StoreScore'!O118="Priority Intervention","Action Required","OK")</f>
        <v>OK</v>
      </c>
      <c r="E141" t="str">
        <f>IF('09_KPI_StoreScore'!O118="Priority Intervention","Immediate management intervention for "&amp;C141&amp;" ("&amp;'09_KPI_StoreScore'!B118&amp;") - Performance Score "&amp;TEXT('09_KPI_StoreScore'!M118,"0.0")&amp;", Rank "&amp;'09_KPI_StoreScore'!N118&amp;" of 120.","No action required - performance within acceptable range.")</f>
        <v>No action required - performance within acceptable range.</v>
      </c>
    </row>
    <row r="142" spans="2:5" x14ac:dyDescent="0.3">
      <c r="B142" t="s">
        <v>874</v>
      </c>
      <c r="C142" t="str">
        <f>'09_KPI_StoreScore'!A119</f>
        <v>Nova Retail - Thiruvananthapuram Standard</v>
      </c>
      <c r="D142" t="str">
        <f>IF('09_KPI_StoreScore'!O119="Priority Intervention","Action Required","OK")</f>
        <v>Action Required</v>
      </c>
      <c r="E142" t="str">
        <f>IF('09_KPI_StoreScore'!O119="Priority Intervention","Immediate management intervention for "&amp;C142&amp;" ("&amp;'09_KPI_StoreScore'!B119&amp;") - Performance Score "&amp;TEXT('09_KPI_StoreScore'!M119,"0.0")&amp;", Rank "&amp;'09_KPI_StoreScore'!N119&amp;" of 120.","No action required - performance within acceptable range.")</f>
        <v>Immediate management intervention for Nova Retail - Thiruvananthapuram Standard (Kerala) - Performance Score 40.5, Rank 98 of 120.</v>
      </c>
    </row>
    <row r="143" spans="2:5" x14ac:dyDescent="0.3">
      <c r="B143" t="s">
        <v>874</v>
      </c>
      <c r="C143" t="str">
        <f>'09_KPI_StoreScore'!A120</f>
        <v>Nova Retail - Thrissur Standard</v>
      </c>
      <c r="D143" t="str">
        <f>IF('09_KPI_StoreScore'!O120="Priority Intervention","Action Required","OK")</f>
        <v>OK</v>
      </c>
      <c r="E143" t="str">
        <f>IF('09_KPI_StoreScore'!O120="Priority Intervention","Immediate management intervention for "&amp;C143&amp;" ("&amp;'09_KPI_StoreScore'!B120&amp;") - Performance Score "&amp;TEXT('09_KPI_StoreScore'!M120,"0.0")&amp;", Rank "&amp;'09_KPI_StoreScore'!N120&amp;" of 120.","No action required - performance within acceptable range.")</f>
        <v>No action required - performance within acceptable range.</v>
      </c>
    </row>
    <row r="144" spans="2:5" x14ac:dyDescent="0.3">
      <c r="B144" t="s">
        <v>874</v>
      </c>
      <c r="C144" t="str">
        <f>'09_KPI_StoreScore'!A121</f>
        <v>Nova Retail - Thrissur Standard</v>
      </c>
      <c r="D144" t="str">
        <f>IF('09_KPI_StoreScore'!O121="Priority Intervention","Action Required","OK")</f>
        <v>Action Required</v>
      </c>
      <c r="E144" t="str">
        <f>IF('09_KPI_StoreScore'!O121="Priority Intervention","Immediate management intervention for "&amp;C144&amp;" ("&amp;'09_KPI_StoreScore'!B121&amp;") - Performance Score "&amp;TEXT('09_KPI_StoreScore'!M121,"0.0")&amp;", Rank "&amp;'09_KPI_StoreScore'!N121&amp;" of 120.","No action required - performance within acceptable range.")</f>
        <v>Immediate management intervention for Nova Retail - Thrissur Standard (Kerala) - Performance Score 32.8, Rank 114 of 120.</v>
      </c>
    </row>
    <row r="145" spans="2:5" x14ac:dyDescent="0.3">
      <c r="B145" t="s">
        <v>874</v>
      </c>
      <c r="C145" t="str">
        <f>'09_KPI_StoreScore'!A122</f>
        <v>Nova Retail - Thrissur Standard</v>
      </c>
      <c r="D145" t="str">
        <f>IF('09_KPI_StoreScore'!O122="Priority Intervention","Action Required","OK")</f>
        <v>Action Required</v>
      </c>
      <c r="E145" t="str">
        <f>IF('09_KPI_StoreScore'!O122="Priority Intervention","Immediate management intervention for "&amp;C145&amp;" ("&amp;'09_KPI_StoreScore'!B122&amp;") - Performance Score "&amp;TEXT('09_KPI_StoreScore'!M122,"0.0")&amp;", Rank "&amp;'09_KPI_StoreScore'!N122&amp;" of 120.","No action required - performance within acceptable range.")</f>
        <v>Immediate management intervention for Nova Retail - Thrissur Standard (Kerala) - Performance Score 34.2, Rank 110 of 120.</v>
      </c>
    </row>
    <row r="146" spans="2:5" x14ac:dyDescent="0.3">
      <c r="B146" t="s">
        <v>874</v>
      </c>
      <c r="C146" t="str">
        <f>'09_KPI_StoreScore'!A123</f>
        <v>Nova Retail - Udaipur Standard</v>
      </c>
      <c r="D146" t="str">
        <f>IF('09_KPI_StoreScore'!O123="Priority Intervention","Action Required","OK")</f>
        <v>OK</v>
      </c>
      <c r="E146" t="str">
        <f>IF('09_KPI_StoreScore'!O123="Priority Intervention","Immediate management intervention for "&amp;C146&amp;" ("&amp;'09_KPI_StoreScore'!B123&amp;") - Performance Score "&amp;TEXT('09_KPI_StoreScore'!M123,"0.0")&amp;", Rank "&amp;'09_KPI_StoreScore'!N123&amp;" of 120.","No action required - performance within acceptable range.")</f>
        <v>No action required - performance within acceptable range.</v>
      </c>
    </row>
    <row r="147" spans="2:5" x14ac:dyDescent="0.3">
      <c r="B147" t="s">
        <v>874</v>
      </c>
      <c r="C147" t="str">
        <f>'09_KPI_StoreScore'!A124</f>
        <v>Nova Retail - Vadodara Compact</v>
      </c>
      <c r="D147" t="str">
        <f>IF('09_KPI_StoreScore'!O124="Priority Intervention","Action Required","OK")</f>
        <v>Action Required</v>
      </c>
      <c r="E147" t="str">
        <f>IF('09_KPI_StoreScore'!O124="Priority Intervention","Immediate management intervention for "&amp;C147&amp;" ("&amp;'09_KPI_StoreScore'!B124&amp;") - Performance Score "&amp;TEXT('09_KPI_StoreScore'!M124,"0.0")&amp;", Rank "&amp;'09_KPI_StoreScore'!N124&amp;" of 120.","No action required - performance within acceptable range.")</f>
        <v>Immediate management intervention for Nova Retail - Vadodara Compact (Gujarat) - Performance Score 38.1, Rank 105 of 120.</v>
      </c>
    </row>
    <row r="148" spans="2:5" x14ac:dyDescent="0.3">
      <c r="B148" t="s">
        <v>874</v>
      </c>
      <c r="C148" t="str">
        <f>'09_KPI_StoreScore'!A125</f>
        <v>Nova Retail - Vadodara Compact</v>
      </c>
      <c r="D148" t="str">
        <f>IF('09_KPI_StoreScore'!O125="Priority Intervention","Action Required","OK")</f>
        <v>OK</v>
      </c>
      <c r="E148" t="str">
        <f>IF('09_KPI_StoreScore'!O125="Priority Intervention","Immediate management intervention for "&amp;C148&amp;" ("&amp;'09_KPI_StoreScore'!B125&amp;") - Performance Score "&amp;TEXT('09_KPI_StoreScore'!M125,"0.0")&amp;", Rank "&amp;'09_KPI_StoreScore'!N125&amp;" of 120.","No action required - performance within acceptable range.")</f>
        <v>No action required - performance within acceptable range.</v>
      </c>
    </row>
    <row r="149" spans="2:5" x14ac:dyDescent="0.3">
      <c r="B149" t="s">
        <v>874</v>
      </c>
      <c r="C149" t="str">
        <f>'09_KPI_StoreScore'!A126</f>
        <v>Nova Retail - Vadodara Standard</v>
      </c>
      <c r="D149" t="str">
        <f>IF('09_KPI_StoreScore'!O126="Priority Intervention","Action Required","OK")</f>
        <v>OK</v>
      </c>
      <c r="E149" t="str">
        <f>IF('09_KPI_StoreScore'!O126="Priority Intervention","Immediate management intervention for "&amp;C149&amp;" ("&amp;'09_KPI_StoreScore'!B126&amp;") - Performance Score "&amp;TEXT('09_KPI_StoreScore'!M126,"0.0")&amp;", Rank "&amp;'09_KPI_StoreScore'!N126&amp;" of 120.","No action required - performance within acceptable range.")</f>
        <v>No action required - performance within acceptable range.</v>
      </c>
    </row>
    <row r="150" spans="2:5" x14ac:dyDescent="0.3">
      <c r="B150" t="s">
        <v>874</v>
      </c>
      <c r="C150" t="str">
        <f>'09_KPI_StoreScore'!A127</f>
        <v>Nova Retail - Vadodara Standard</v>
      </c>
      <c r="D150" t="str">
        <f>IF('09_KPI_StoreScore'!O127="Priority Intervention","Action Required","OK")</f>
        <v>Action Required</v>
      </c>
      <c r="E150" t="str">
        <f>IF('09_KPI_StoreScore'!O127="Priority Intervention","Immediate management intervention for "&amp;C150&amp;" ("&amp;'09_KPI_StoreScore'!B127&amp;") - Performance Score "&amp;TEXT('09_KPI_StoreScore'!M127,"0.0")&amp;", Rank "&amp;'09_KPI_StoreScore'!N127&amp;" of 120.","No action required - performance within acceptable range.")</f>
        <v>Immediate management intervention for Nova Retail - Vadodara Standard (Gujarat) - Performance Score 33.5, Rank 111 of 120.</v>
      </c>
    </row>
    <row r="151" spans="2:5" x14ac:dyDescent="0.3">
      <c r="B151" t="s">
        <v>874</v>
      </c>
      <c r="C151" t="str">
        <f>'09_KPI_StoreScore'!A128</f>
        <v>Nova Retail - Vijayawada Standard</v>
      </c>
      <c r="D151" t="str">
        <f>IF('09_KPI_StoreScore'!O128="Priority Intervention","Action Required","OK")</f>
        <v>OK</v>
      </c>
      <c r="E151" t="str">
        <f>IF('09_KPI_StoreScore'!O128="Priority Intervention","Immediate management intervention for "&amp;C151&amp;" ("&amp;'09_KPI_StoreScore'!B128&amp;") - Performance Score "&amp;TEXT('09_KPI_StoreScore'!M128,"0.0")&amp;", Rank "&amp;'09_KPI_StoreScore'!N128&amp;" of 120.","No action required - performance within acceptable range.")</f>
        <v>No action required - performance within acceptable range.</v>
      </c>
    </row>
    <row r="152" spans="2:5" x14ac:dyDescent="0.3">
      <c r="B152" t="s">
        <v>874</v>
      </c>
      <c r="C152" t="str">
        <f>'09_KPI_StoreScore'!A129</f>
        <v>Nova Retail - Visakhapatnam Compact</v>
      </c>
      <c r="D152" t="str">
        <f>IF('09_KPI_StoreScore'!O129="Priority Intervention","Action Required","OK")</f>
        <v>OK</v>
      </c>
      <c r="E152" t="str">
        <f>IF('09_KPI_StoreScore'!O129="Priority Intervention","Immediate management intervention for "&amp;C152&amp;" ("&amp;'09_KPI_StoreScore'!B129&amp;") - Performance Score "&amp;TEXT('09_KPI_StoreScore'!M129,"0.0")&amp;", Rank "&amp;'09_KPI_StoreScore'!N129&amp;" of 120.","No action required - performance within acceptable range.")</f>
        <v>No action required - performance within acceptable range.</v>
      </c>
    </row>
    <row r="153" spans="2:5" x14ac:dyDescent="0.3">
      <c r="B153" t="s">
        <v>874</v>
      </c>
      <c r="C153" t="str">
        <f>'09_KPI_StoreScore'!A130</f>
        <v>Nova Retail - Visakhapatnam Compact</v>
      </c>
      <c r="D153" t="str">
        <f>IF('09_KPI_StoreScore'!O130="Priority Intervention","Action Required","OK")</f>
        <v>OK</v>
      </c>
      <c r="E153" t="str">
        <f>IF('09_KPI_StoreScore'!O130="Priority Intervention","Immediate management intervention for "&amp;C153&amp;" ("&amp;'09_KPI_StoreScore'!B130&amp;") - Performance Score "&amp;TEXT('09_KPI_StoreScore'!M130,"0.0")&amp;", Rank "&amp;'09_KPI_StoreScore'!N130&amp;" of 120.","No action required - performance within acceptable range.")</f>
        <v>No action required - performance within acceptable range.</v>
      </c>
    </row>
    <row r="154" spans="2:5" x14ac:dyDescent="0.3">
      <c r="B154" t="s">
        <v>874</v>
      </c>
      <c r="C154" t="str">
        <f>'09_KPI_StoreScore'!A131</f>
        <v>Nova Retail - Visakhapatnam Standard</v>
      </c>
      <c r="D154" t="str">
        <f>IF('09_KPI_StoreScore'!O131="Priority Intervention","Action Required","OK")</f>
        <v>Action Required</v>
      </c>
      <c r="E154" t="str">
        <f>IF('09_KPI_StoreScore'!O131="Priority Intervention","Immediate management intervention for "&amp;C154&amp;" ("&amp;'09_KPI_StoreScore'!B131&amp;") - Performance Score "&amp;TEXT('09_KPI_StoreScore'!M131,"0.0")&amp;", Rank "&amp;'09_KPI_StoreScore'!N131&amp;" of 120.","No action required - performance within acceptable range.")</f>
        <v>Immediate management intervention for Nova Retail - Visakhapatnam Standard (Telangana-AP) - Performance Score 38.5, Rank 104 of 120.</v>
      </c>
    </row>
    <row r="155" spans="2:5" x14ac:dyDescent="0.3">
      <c r="B155" t="s">
        <v>874</v>
      </c>
      <c r="C155" t="str">
        <f>'09_KPI_StoreScore'!A132</f>
        <v>Nova Retail - Visakhapatnam Standard</v>
      </c>
      <c r="D155" t="str">
        <f>IF('09_KPI_StoreScore'!O132="Priority Intervention","Action Required","OK")</f>
        <v>OK</v>
      </c>
      <c r="E155" t="str">
        <f>IF('09_KPI_StoreScore'!O132="Priority Intervention","Immediate management intervention for "&amp;C155&amp;" ("&amp;'09_KPI_StoreScore'!B132&amp;") - Performance Score "&amp;TEXT('09_KPI_StoreScore'!M132,"0.0")&amp;", Rank "&amp;'09_KPI_StoreScore'!N132&amp;" of 120.","No action required - performance within acceptable range.")</f>
        <v>No action required - performance within acceptable range.</v>
      </c>
    </row>
    <row r="156" spans="2:5" x14ac:dyDescent="0.3">
      <c r="B156" t="s">
        <v>874</v>
      </c>
      <c r="C156" t="str">
        <f>'09_KPI_StoreScore'!A133</f>
        <v>Nova Retail - Warangal Compact</v>
      </c>
      <c r="D156" t="str">
        <f>IF('09_KPI_StoreScore'!O133="Priority Intervention","Action Required","OK")</f>
        <v>Action Required</v>
      </c>
      <c r="E156" t="str">
        <f>IF('09_KPI_StoreScore'!O133="Priority Intervention","Immediate management intervention for "&amp;C156&amp;" ("&amp;'09_KPI_StoreScore'!B133&amp;") - Performance Score "&amp;TEXT('09_KPI_StoreScore'!M133,"0.0")&amp;", Rank "&amp;'09_KPI_StoreScore'!N133&amp;" of 120.","No action required - performance within acceptable range.")</f>
        <v>Immediate management intervention for Nova Retail - Warangal Compact (Telangana-AP) - Performance Score 31.2, Rank 116 of 120.</v>
      </c>
    </row>
    <row r="157" spans="2:5" x14ac:dyDescent="0.3">
      <c r="B157" t="s">
        <v>874</v>
      </c>
      <c r="C157" t="str">
        <f>'09_KPI_StoreScore'!A134</f>
        <v>Nova Retail - Warangal Standard</v>
      </c>
      <c r="D157" t="str">
        <f>IF('09_KPI_StoreScore'!O134="Priority Intervention","Action Required","OK")</f>
        <v>Action Required</v>
      </c>
      <c r="E157" t="str">
        <f>IF('09_KPI_StoreScore'!O134="Priority Intervention","Immediate management intervention for "&amp;C157&amp;" ("&amp;'09_KPI_StoreScore'!B134&amp;") - Performance Score "&amp;TEXT('09_KPI_StoreScore'!M134,"0.0")&amp;", Rank "&amp;'09_KPI_StoreScore'!N134&amp;" of 120.","No action required - performance within acceptable range.")</f>
        <v>Immediate management intervention for Nova Retail - Warangal Standard (Telangana-AP) - Performance Score 29.5, Rank 118 of 120.</v>
      </c>
    </row>
    <row r="158" spans="2:5" x14ac:dyDescent="0.3">
      <c r="B158" t="s">
        <v>848</v>
      </c>
      <c r="C158" t="str">
        <f>'08_KPI_Promotion'!A5</f>
        <v>Clearance May2021 - 5% Off</v>
      </c>
      <c r="D158" t="str">
        <f>IF('08_KPI_Promotion'!I5="Discontinue - high margin cost, weak lift","Action Required",IF('08_KPI_Promotion'!I5="Continue - efficient lift for margin cost","OK","Review"))</f>
        <v>OK</v>
      </c>
      <c r="E158" t="str">
        <f>IF('08_KPI_Promotion'!I5="Discontinue - high margin cost, weak lift","Discontinue "&amp;C158&amp;" at next renewal - margin cost "&amp;TEXT('08_KPI_Promotion'!G5,"0.0%")&amp;"pp for "&amp;TEXT('08_KPI_Promotion'!H5,"0.0%")&amp;" AOV lift.",IF('08_KPI_Promotion'!I5="Continue - efficient lift for margin cost","Continue "&amp;C158&amp;" - efficient: "&amp;TEXT('08_KPI_Promotion'!G5,"0.0%")&amp;"pp margin cost for "&amp;TEXT('08_KPI_Promotion'!H5,"0.0%")&amp;" AOV lift.","Review "&amp;C158&amp;" next cycle - mixed signal."))</f>
        <v>Continue Clearance May2021 - 5% Off - efficient: -3.2%pp margin cost for 7.7% AOV lift.</v>
      </c>
    </row>
    <row r="159" spans="2:5" x14ac:dyDescent="0.3">
      <c r="B159" t="s">
        <v>848</v>
      </c>
      <c r="C159" t="str">
        <f>'08_KPI_Promotion'!A6</f>
        <v>Flash Sale Mar2022 - 5% Off</v>
      </c>
      <c r="D159" t="str">
        <f>IF('08_KPI_Promotion'!I6="Discontinue - high margin cost, weak lift","Action Required",IF('08_KPI_Promotion'!I6="Continue - efficient lift for margin cost","OK","Review"))</f>
        <v>OK</v>
      </c>
      <c r="E159" t="str">
        <f>IF('08_KPI_Promotion'!I6="Discontinue - high margin cost, weak lift","Discontinue "&amp;C159&amp;" at next renewal - margin cost "&amp;TEXT('08_KPI_Promotion'!G6,"0.0%")&amp;"pp for "&amp;TEXT('08_KPI_Promotion'!H6,"0.0%")&amp;" AOV lift.",IF('08_KPI_Promotion'!I6="Continue - efficient lift for margin cost","Continue "&amp;C159&amp;" - efficient: "&amp;TEXT('08_KPI_Promotion'!G6,"0.0%")&amp;"pp margin cost for "&amp;TEXT('08_KPI_Promotion'!H6,"0.0%")&amp;" AOV lift.","Review "&amp;C159&amp;" next cycle - mixed signal."))</f>
        <v>Continue Flash Sale Mar2022 - 5% Off - efficient: -3.5%pp margin cost for 16.2% AOV lift.</v>
      </c>
    </row>
    <row r="160" spans="2:5" x14ac:dyDescent="0.3">
      <c r="B160" t="s">
        <v>848</v>
      </c>
      <c r="C160" t="str">
        <f>'08_KPI_Promotion'!A7</f>
        <v>Flash Sale Oct2021 - 5% Off</v>
      </c>
      <c r="D160" t="str">
        <f>IF('08_KPI_Promotion'!I7="Discontinue - high margin cost, weak lift","Action Required",IF('08_KPI_Promotion'!I7="Continue - efficient lift for margin cost","OK","Review"))</f>
        <v>OK</v>
      </c>
      <c r="E160" t="str">
        <f>IF('08_KPI_Promotion'!I7="Discontinue - high margin cost, weak lift","Discontinue "&amp;C160&amp;" at next renewal - margin cost "&amp;TEXT('08_KPI_Promotion'!G7,"0.0%")&amp;"pp for "&amp;TEXT('08_KPI_Promotion'!H7,"0.0%")&amp;" AOV lift.",IF('08_KPI_Promotion'!I7="Continue - efficient lift for margin cost","Continue "&amp;C160&amp;" - efficient: "&amp;TEXT('08_KPI_Promotion'!G7,"0.0%")&amp;"pp margin cost for "&amp;TEXT('08_KPI_Promotion'!H7,"0.0%")&amp;" AOV lift.","Review "&amp;C160&amp;" next cycle - mixed signal."))</f>
        <v>Continue Flash Sale Oct2021 - 5% Off - efficient: -3.6%pp margin cost for 4.0% AOV lift.</v>
      </c>
    </row>
    <row r="161" spans="2:5" x14ac:dyDescent="0.3">
      <c r="B161" t="s">
        <v>848</v>
      </c>
      <c r="C161" t="str">
        <f>'08_KPI_Promotion'!A8</f>
        <v>Festive Feb2023 - 5% Off</v>
      </c>
      <c r="D161" t="str">
        <f>IF('08_KPI_Promotion'!I8="Discontinue - high margin cost, weak lift","Action Required",IF('08_KPI_Promotion'!I8="Continue - efficient lift for margin cost","OK","Review"))</f>
        <v>Review</v>
      </c>
      <c r="E161" t="str">
        <f>IF('08_KPI_Promotion'!I8="Discontinue - high margin cost, weak lift","Discontinue "&amp;C161&amp;" at next renewal - margin cost "&amp;TEXT('08_KPI_Promotion'!G8,"0.0%")&amp;"pp for "&amp;TEXT('08_KPI_Promotion'!H8,"0.0%")&amp;" AOV lift.",IF('08_KPI_Promotion'!I8="Continue - efficient lift for margin cost","Continue "&amp;C161&amp;" - efficient: "&amp;TEXT('08_KPI_Promotion'!G8,"0.0%")&amp;"pp margin cost for "&amp;TEXT('08_KPI_Promotion'!H8,"0.0%")&amp;" AOV lift.","Review "&amp;C161&amp;" next cycle - mixed signal."))</f>
        <v>Review Festive Feb2023 - 5% Off next cycle - mixed signal.</v>
      </c>
    </row>
    <row r="162" spans="2:5" x14ac:dyDescent="0.3">
      <c r="B162" t="s">
        <v>848</v>
      </c>
      <c r="C162" t="str">
        <f>'08_KPI_Promotion'!A9</f>
        <v>Seasonal Feb2021 - 5% Off</v>
      </c>
      <c r="D162" t="str">
        <f>IF('08_KPI_Promotion'!I9="Discontinue - high margin cost, weak lift","Action Required",IF('08_KPI_Promotion'!I9="Continue - efficient lift for margin cost","OK","Review"))</f>
        <v>OK</v>
      </c>
      <c r="E162" t="str">
        <f>IF('08_KPI_Promotion'!I9="Discontinue - high margin cost, weak lift","Discontinue "&amp;C162&amp;" at next renewal - margin cost "&amp;TEXT('08_KPI_Promotion'!G9,"0.0%")&amp;"pp for "&amp;TEXT('08_KPI_Promotion'!H9,"0.0%")&amp;" AOV lift.",IF('08_KPI_Promotion'!I9="Continue - efficient lift for margin cost","Continue "&amp;C162&amp;" - efficient: "&amp;TEXT('08_KPI_Promotion'!G9,"0.0%")&amp;"pp margin cost for "&amp;TEXT('08_KPI_Promotion'!H9,"0.0%")&amp;" AOV lift.","Review "&amp;C162&amp;" next cycle - mixed signal."))</f>
        <v>Continue Seasonal Feb2021 - 5% Off - efficient: -3.7%pp margin cost for 7.3% AOV lift.</v>
      </c>
    </row>
    <row r="163" spans="2:5" x14ac:dyDescent="0.3">
      <c r="B163" t="s">
        <v>848</v>
      </c>
      <c r="C163" t="str">
        <f>'08_KPI_Promotion'!A10</f>
        <v>Flash Sale Nov2024 - 5% Off</v>
      </c>
      <c r="D163" t="str">
        <f>IF('08_KPI_Promotion'!I10="Discontinue - high margin cost, weak lift","Action Required",IF('08_KPI_Promotion'!I10="Continue - efficient lift for margin cost","OK","Review"))</f>
        <v>OK</v>
      </c>
      <c r="E163" t="str">
        <f>IF('08_KPI_Promotion'!I10="Discontinue - high margin cost, weak lift","Discontinue "&amp;C163&amp;" at next renewal - margin cost "&amp;TEXT('08_KPI_Promotion'!G10,"0.0%")&amp;"pp for "&amp;TEXT('08_KPI_Promotion'!H10,"0.0%")&amp;" AOV lift.",IF('08_KPI_Promotion'!I10="Continue - efficient lift for margin cost","Continue "&amp;C163&amp;" - efficient: "&amp;TEXT('08_KPI_Promotion'!G10,"0.0%")&amp;"pp margin cost for "&amp;TEXT('08_KPI_Promotion'!H10,"0.0%")&amp;" AOV lift.","Review "&amp;C163&amp;" next cycle - mixed signal."))</f>
        <v>Continue Flash Sale Nov2024 - 5% Off - efficient: -3.8%pp margin cost for 0.8% AOV lift.</v>
      </c>
    </row>
    <row r="164" spans="2:5" x14ac:dyDescent="0.3">
      <c r="B164" t="s">
        <v>848</v>
      </c>
      <c r="C164" t="str">
        <f>'08_KPI_Promotion'!A11</f>
        <v>Festive Mar2021 - 5% Off</v>
      </c>
      <c r="D164" t="str">
        <f>IF('08_KPI_Promotion'!I11="Discontinue - high margin cost, weak lift","Action Required",IF('08_KPI_Promotion'!I11="Continue - efficient lift for margin cost","OK","Review"))</f>
        <v>OK</v>
      </c>
      <c r="E164" t="str">
        <f>IF('08_KPI_Promotion'!I11="Discontinue - high margin cost, weak lift","Discontinue "&amp;C164&amp;" at next renewal - margin cost "&amp;TEXT('08_KPI_Promotion'!G11,"0.0%")&amp;"pp for "&amp;TEXT('08_KPI_Promotion'!H11,"0.0%")&amp;" AOV lift.",IF('08_KPI_Promotion'!I11="Continue - efficient lift for margin cost","Continue "&amp;C164&amp;" - efficient: "&amp;TEXT('08_KPI_Promotion'!G11,"0.0%")&amp;"pp margin cost for "&amp;TEXT('08_KPI_Promotion'!H11,"0.0%")&amp;" AOV lift.","Review "&amp;C164&amp;" next cycle - mixed signal."))</f>
        <v>Continue Festive Mar2021 - 5% Off - efficient: -3.8%pp margin cost for 11.4% AOV lift.</v>
      </c>
    </row>
    <row r="165" spans="2:5" x14ac:dyDescent="0.3">
      <c r="B165" t="s">
        <v>848</v>
      </c>
      <c r="C165" t="str">
        <f>'08_KPI_Promotion'!A12</f>
        <v>Seasonal Apr2022 - 5% Off</v>
      </c>
      <c r="D165" t="str">
        <f>IF('08_KPI_Promotion'!I12="Discontinue - high margin cost, weak lift","Action Required",IF('08_KPI_Promotion'!I12="Continue - efficient lift for margin cost","OK","Review"))</f>
        <v>OK</v>
      </c>
      <c r="E165" t="str">
        <f>IF('08_KPI_Promotion'!I12="Discontinue - high margin cost, weak lift","Discontinue "&amp;C165&amp;" at next renewal - margin cost "&amp;TEXT('08_KPI_Promotion'!G12,"0.0%")&amp;"pp for "&amp;TEXT('08_KPI_Promotion'!H12,"0.0%")&amp;" AOV lift.",IF('08_KPI_Promotion'!I12="Continue - efficient lift for margin cost","Continue "&amp;C165&amp;" - efficient: "&amp;TEXT('08_KPI_Promotion'!G12,"0.0%")&amp;"pp margin cost for "&amp;TEXT('08_KPI_Promotion'!H12,"0.0%")&amp;" AOV lift.","Review "&amp;C165&amp;" next cycle - mixed signal."))</f>
        <v>Continue Seasonal Apr2022 - 5% Off - efficient: -3.9%pp margin cost for 17.6% AOV lift.</v>
      </c>
    </row>
    <row r="166" spans="2:5" x14ac:dyDescent="0.3">
      <c r="B166" t="s">
        <v>848</v>
      </c>
      <c r="C166" t="str">
        <f>'08_KPI_Promotion'!A13</f>
        <v>Flash Sale Feb2022 - 5% Off</v>
      </c>
      <c r="D166" t="str">
        <f>IF('08_KPI_Promotion'!I13="Discontinue - high margin cost, weak lift","Action Required",IF('08_KPI_Promotion'!I13="Continue - efficient lift for margin cost","OK","Review"))</f>
        <v>OK</v>
      </c>
      <c r="E166" t="str">
        <f>IF('08_KPI_Promotion'!I13="Discontinue - high margin cost, weak lift","Discontinue "&amp;C166&amp;" at next renewal - margin cost "&amp;TEXT('08_KPI_Promotion'!G13,"0.0%")&amp;"pp for "&amp;TEXT('08_KPI_Promotion'!H13,"0.0%")&amp;" AOV lift.",IF('08_KPI_Promotion'!I13="Continue - efficient lift for margin cost","Continue "&amp;C166&amp;" - efficient: "&amp;TEXT('08_KPI_Promotion'!G13,"0.0%")&amp;"pp margin cost for "&amp;TEXT('08_KPI_Promotion'!H13,"0.0%")&amp;" AOV lift.","Review "&amp;C166&amp;" next cycle - mixed signal."))</f>
        <v>Continue Flash Sale Feb2022 - 5% Off - efficient: -3.9%pp margin cost for 13.7% AOV lift.</v>
      </c>
    </row>
    <row r="167" spans="2:5" x14ac:dyDescent="0.3">
      <c r="B167" t="s">
        <v>848</v>
      </c>
      <c r="C167" t="str">
        <f>'08_KPI_Promotion'!A14</f>
        <v>Clearance Mar2022 - 5% Off</v>
      </c>
      <c r="D167" t="str">
        <f>IF('08_KPI_Promotion'!I14="Discontinue - high margin cost, weak lift","Action Required",IF('08_KPI_Promotion'!I14="Continue - efficient lift for margin cost","OK","Review"))</f>
        <v>OK</v>
      </c>
      <c r="E167" t="str">
        <f>IF('08_KPI_Promotion'!I14="Discontinue - high margin cost, weak lift","Discontinue "&amp;C167&amp;" at next renewal - margin cost "&amp;TEXT('08_KPI_Promotion'!G14,"0.0%")&amp;"pp for "&amp;TEXT('08_KPI_Promotion'!H14,"0.0%")&amp;" AOV lift.",IF('08_KPI_Promotion'!I14="Continue - efficient lift for margin cost","Continue "&amp;C167&amp;" - efficient: "&amp;TEXT('08_KPI_Promotion'!G14,"0.0%")&amp;"pp margin cost for "&amp;TEXT('08_KPI_Promotion'!H14,"0.0%")&amp;" AOV lift.","Review "&amp;C167&amp;" next cycle - mixed signal."))</f>
        <v>Continue Clearance Mar2022 - 5% Off - efficient: -3.9%pp margin cost for 10.8% AOV lift.</v>
      </c>
    </row>
    <row r="168" spans="2:5" x14ac:dyDescent="0.3">
      <c r="B168" t="s">
        <v>848</v>
      </c>
      <c r="C168" t="str">
        <f>'08_KPI_Promotion'!A15</f>
        <v>Seasonal Dec2021 - 5% Off</v>
      </c>
      <c r="D168" t="str">
        <f>IF('08_KPI_Promotion'!I15="Discontinue - high margin cost, weak lift","Action Required",IF('08_KPI_Promotion'!I15="Continue - efficient lift for margin cost","OK","Review"))</f>
        <v>OK</v>
      </c>
      <c r="E168" t="str">
        <f>IF('08_KPI_Promotion'!I15="Discontinue - high margin cost, weak lift","Discontinue "&amp;C168&amp;" at next renewal - margin cost "&amp;TEXT('08_KPI_Promotion'!G15,"0.0%")&amp;"pp for "&amp;TEXT('08_KPI_Promotion'!H15,"0.0%")&amp;" AOV lift.",IF('08_KPI_Promotion'!I15="Continue - efficient lift for margin cost","Continue "&amp;C168&amp;" - efficient: "&amp;TEXT('08_KPI_Promotion'!G15,"0.0%")&amp;"pp margin cost for "&amp;TEXT('08_KPI_Promotion'!H15,"0.0%")&amp;" AOV lift.","Review "&amp;C168&amp;" next cycle - mixed signal."))</f>
        <v>Continue Seasonal Dec2021 - 5% Off - efficient: -3.9%pp margin cost for 12.7% AOV lift.</v>
      </c>
    </row>
    <row r="169" spans="2:5" x14ac:dyDescent="0.3">
      <c r="B169" t="s">
        <v>848</v>
      </c>
      <c r="C169" t="str">
        <f>'08_KPI_Promotion'!A16</f>
        <v>Flash Sale Dec2021 - 5% Off</v>
      </c>
      <c r="D169" t="str">
        <f>IF('08_KPI_Promotion'!I16="Discontinue - high margin cost, weak lift","Action Required",IF('08_KPI_Promotion'!I16="Continue - efficient lift for margin cost","OK","Review"))</f>
        <v>OK</v>
      </c>
      <c r="E169" t="str">
        <f>IF('08_KPI_Promotion'!I16="Discontinue - high margin cost, weak lift","Discontinue "&amp;C169&amp;" at next renewal - margin cost "&amp;TEXT('08_KPI_Promotion'!G16,"0.0%")&amp;"pp for "&amp;TEXT('08_KPI_Promotion'!H16,"0.0%")&amp;" AOV lift.",IF('08_KPI_Promotion'!I16="Continue - efficient lift for margin cost","Continue "&amp;C169&amp;" - efficient: "&amp;TEXT('08_KPI_Promotion'!G16,"0.0%")&amp;"pp margin cost for "&amp;TEXT('08_KPI_Promotion'!H16,"0.0%")&amp;" AOV lift.","Review "&amp;C169&amp;" next cycle - mixed signal."))</f>
        <v>Continue Flash Sale Dec2021 - 5% Off - efficient: -4.0%pp margin cost for 6.5% AOV lift.</v>
      </c>
    </row>
    <row r="170" spans="2:5" x14ac:dyDescent="0.3">
      <c r="B170" t="s">
        <v>848</v>
      </c>
      <c r="C170" t="str">
        <f>'08_KPI_Promotion'!A17</f>
        <v>Festive Oct2021 - 5% Off</v>
      </c>
      <c r="D170" t="str">
        <f>IF('08_KPI_Promotion'!I17="Discontinue - high margin cost, weak lift","Action Required",IF('08_KPI_Promotion'!I17="Continue - efficient lift for margin cost","OK","Review"))</f>
        <v>OK</v>
      </c>
      <c r="E170" t="str">
        <f>IF('08_KPI_Promotion'!I17="Discontinue - high margin cost, weak lift","Discontinue "&amp;C170&amp;" at next renewal - margin cost "&amp;TEXT('08_KPI_Promotion'!G17,"0.0%")&amp;"pp for "&amp;TEXT('08_KPI_Promotion'!H17,"0.0%")&amp;" AOV lift.",IF('08_KPI_Promotion'!I17="Continue - efficient lift for margin cost","Continue "&amp;C170&amp;" - efficient: "&amp;TEXT('08_KPI_Promotion'!G17,"0.0%")&amp;"pp margin cost for "&amp;TEXT('08_KPI_Promotion'!H17,"0.0%")&amp;" AOV lift.","Review "&amp;C170&amp;" next cycle - mixed signal."))</f>
        <v>Continue Festive Oct2021 - 5% Off - efficient: -4.1%pp margin cost for 8.4% AOV lift.</v>
      </c>
    </row>
    <row r="171" spans="2:5" x14ac:dyDescent="0.3">
      <c r="B171" t="s">
        <v>848</v>
      </c>
      <c r="C171" t="str">
        <f>'08_KPI_Promotion'!A18</f>
        <v>Seasonal Nov2024 - 5% Off</v>
      </c>
      <c r="D171" t="str">
        <f>IF('08_KPI_Promotion'!I18="Discontinue - high margin cost, weak lift","Action Required",IF('08_KPI_Promotion'!I18="Continue - efficient lift for margin cost","OK","Review"))</f>
        <v>OK</v>
      </c>
      <c r="E171" t="str">
        <f>IF('08_KPI_Promotion'!I18="Discontinue - high margin cost, weak lift","Discontinue "&amp;C171&amp;" at next renewal - margin cost "&amp;TEXT('08_KPI_Promotion'!G18,"0.0%")&amp;"pp for "&amp;TEXT('08_KPI_Promotion'!H18,"0.0%")&amp;" AOV lift.",IF('08_KPI_Promotion'!I18="Continue - efficient lift for margin cost","Continue "&amp;C171&amp;" - efficient: "&amp;TEXT('08_KPI_Promotion'!G18,"0.0%")&amp;"pp margin cost for "&amp;TEXT('08_KPI_Promotion'!H18,"0.0%")&amp;" AOV lift.","Review "&amp;C171&amp;" next cycle - mixed signal."))</f>
        <v>Continue Seasonal Nov2024 - 5% Off - efficient: -4.1%pp margin cost for 12.7% AOV lift.</v>
      </c>
    </row>
    <row r="172" spans="2:5" x14ac:dyDescent="0.3">
      <c r="B172" t="s">
        <v>848</v>
      </c>
      <c r="C172" t="str">
        <f>'08_KPI_Promotion'!A19</f>
        <v>Festive Nov2022 - 5% Off</v>
      </c>
      <c r="D172" t="str">
        <f>IF('08_KPI_Promotion'!I19="Discontinue - high margin cost, weak lift","Action Required",IF('08_KPI_Promotion'!I19="Continue - efficient lift for margin cost","OK","Review"))</f>
        <v>OK</v>
      </c>
      <c r="E172" t="str">
        <f>IF('08_KPI_Promotion'!I19="Discontinue - high margin cost, weak lift","Discontinue "&amp;C172&amp;" at next renewal - margin cost "&amp;TEXT('08_KPI_Promotion'!G19,"0.0%")&amp;"pp for "&amp;TEXT('08_KPI_Promotion'!H19,"0.0%")&amp;" AOV lift.",IF('08_KPI_Promotion'!I19="Continue - efficient lift for margin cost","Continue "&amp;C172&amp;" - efficient: "&amp;TEXT('08_KPI_Promotion'!G19,"0.0%")&amp;"pp margin cost for "&amp;TEXT('08_KPI_Promotion'!H19,"0.0%")&amp;" AOV lift.","Review "&amp;C172&amp;" next cycle - mixed signal."))</f>
        <v>Continue Festive Nov2022 - 5% Off - efficient: -4.1%pp margin cost for 16.1% AOV lift.</v>
      </c>
    </row>
    <row r="173" spans="2:5" x14ac:dyDescent="0.3">
      <c r="B173" t="s">
        <v>848</v>
      </c>
      <c r="C173" t="str">
        <f>'08_KPI_Promotion'!A20</f>
        <v>Festive Jun2024 - 5% Off</v>
      </c>
      <c r="D173" t="str">
        <f>IF('08_KPI_Promotion'!I20="Discontinue - high margin cost, weak lift","Action Required",IF('08_KPI_Promotion'!I20="Continue - efficient lift for margin cost","OK","Review"))</f>
        <v>OK</v>
      </c>
      <c r="E173" t="str">
        <f>IF('08_KPI_Promotion'!I20="Discontinue - high margin cost, weak lift","Discontinue "&amp;C173&amp;" at next renewal - margin cost "&amp;TEXT('08_KPI_Promotion'!G20,"0.0%")&amp;"pp for "&amp;TEXT('08_KPI_Promotion'!H20,"0.0%")&amp;" AOV lift.",IF('08_KPI_Promotion'!I20="Continue - efficient lift for margin cost","Continue "&amp;C173&amp;" - efficient: "&amp;TEXT('08_KPI_Promotion'!G20,"0.0%")&amp;"pp margin cost for "&amp;TEXT('08_KPI_Promotion'!H20,"0.0%")&amp;" AOV lift.","Review "&amp;C173&amp;" next cycle - mixed signal."))</f>
        <v>Continue Festive Jun2024 - 5% Off - efficient: -4.2%pp margin cost for 11.8% AOV lift.</v>
      </c>
    </row>
    <row r="174" spans="2:5" x14ac:dyDescent="0.3">
      <c r="B174" t="s">
        <v>848</v>
      </c>
      <c r="C174" t="str">
        <f>'08_KPI_Promotion'!A21</f>
        <v>Seasonal Sep2024 - 5% Off</v>
      </c>
      <c r="D174" t="str">
        <f>IF('08_KPI_Promotion'!I21="Discontinue - high margin cost, weak lift","Action Required",IF('08_KPI_Promotion'!I21="Continue - efficient lift for margin cost","OK","Review"))</f>
        <v>OK</v>
      </c>
      <c r="E174" t="str">
        <f>IF('08_KPI_Promotion'!I21="Discontinue - high margin cost, weak lift","Discontinue "&amp;C174&amp;" at next renewal - margin cost "&amp;TEXT('08_KPI_Promotion'!G21,"0.0%")&amp;"pp for "&amp;TEXT('08_KPI_Promotion'!H21,"0.0%")&amp;" AOV lift.",IF('08_KPI_Promotion'!I21="Continue - efficient lift for margin cost","Continue "&amp;C174&amp;" - efficient: "&amp;TEXT('08_KPI_Promotion'!G21,"0.0%")&amp;"pp margin cost for "&amp;TEXT('08_KPI_Promotion'!H21,"0.0%")&amp;" AOV lift.","Review "&amp;C174&amp;" next cycle - mixed signal."))</f>
        <v>Continue Seasonal Sep2024 - 5% Off - efficient: -4.2%pp margin cost for 8.0% AOV lift.</v>
      </c>
    </row>
    <row r="175" spans="2:5" x14ac:dyDescent="0.3">
      <c r="B175" t="s">
        <v>848</v>
      </c>
      <c r="C175" t="str">
        <f>'08_KPI_Promotion'!A22</f>
        <v>Festive Nov2024 - 5% Off</v>
      </c>
      <c r="D175" t="str">
        <f>IF('08_KPI_Promotion'!I22="Discontinue - high margin cost, weak lift","Action Required",IF('08_KPI_Promotion'!I22="Continue - efficient lift for margin cost","OK","Review"))</f>
        <v>OK</v>
      </c>
      <c r="E175" t="str">
        <f>IF('08_KPI_Promotion'!I22="Discontinue - high margin cost, weak lift","Discontinue "&amp;C175&amp;" at next renewal - margin cost "&amp;TEXT('08_KPI_Promotion'!G22,"0.0%")&amp;"pp for "&amp;TEXT('08_KPI_Promotion'!H22,"0.0%")&amp;" AOV lift.",IF('08_KPI_Promotion'!I22="Continue - efficient lift for margin cost","Continue "&amp;C175&amp;" - efficient: "&amp;TEXT('08_KPI_Promotion'!G22,"0.0%")&amp;"pp margin cost for "&amp;TEXT('08_KPI_Promotion'!H22,"0.0%")&amp;" AOV lift.","Review "&amp;C175&amp;" next cycle - mixed signal."))</f>
        <v>Continue Festive Nov2024 - 5% Off - efficient: -4.3%pp margin cost for 13.2% AOV lift.</v>
      </c>
    </row>
    <row r="176" spans="2:5" x14ac:dyDescent="0.3">
      <c r="B176" t="s">
        <v>848</v>
      </c>
      <c r="C176" t="str">
        <f>'08_KPI_Promotion'!A23</f>
        <v>Loyalty Feb2022 - 5% Off</v>
      </c>
      <c r="D176" t="str">
        <f>IF('08_KPI_Promotion'!I23="Discontinue - high margin cost, weak lift","Action Required",IF('08_KPI_Promotion'!I23="Continue - efficient lift for margin cost","OK","Review"))</f>
        <v>OK</v>
      </c>
      <c r="E176" t="str">
        <f>IF('08_KPI_Promotion'!I23="Discontinue - high margin cost, weak lift","Discontinue "&amp;C176&amp;" at next renewal - margin cost "&amp;TEXT('08_KPI_Promotion'!G23,"0.0%")&amp;"pp for "&amp;TEXT('08_KPI_Promotion'!H23,"0.0%")&amp;" AOV lift.",IF('08_KPI_Promotion'!I23="Continue - efficient lift for margin cost","Continue "&amp;C176&amp;" - efficient: "&amp;TEXT('08_KPI_Promotion'!G23,"0.0%")&amp;"pp margin cost for "&amp;TEXT('08_KPI_Promotion'!H23,"0.0%")&amp;" AOV lift.","Review "&amp;C176&amp;" next cycle - mixed signal."))</f>
        <v>Continue Loyalty Feb2022 - 5% Off - efficient: -4.3%pp margin cost for 17.6% AOV lift.</v>
      </c>
    </row>
    <row r="177" spans="2:5" x14ac:dyDescent="0.3">
      <c r="B177" t="s">
        <v>848</v>
      </c>
      <c r="C177" t="str">
        <f>'08_KPI_Promotion'!A24</f>
        <v>Festive Apr2022 - 5% Off</v>
      </c>
      <c r="D177" t="str">
        <f>IF('08_KPI_Promotion'!I24="Discontinue - high margin cost, weak lift","Action Required",IF('08_KPI_Promotion'!I24="Continue - efficient lift for margin cost","OK","Review"))</f>
        <v>OK</v>
      </c>
      <c r="E177" t="str">
        <f>IF('08_KPI_Promotion'!I24="Discontinue - high margin cost, weak lift","Discontinue "&amp;C177&amp;" at next renewal - margin cost "&amp;TEXT('08_KPI_Promotion'!G24,"0.0%")&amp;"pp for "&amp;TEXT('08_KPI_Promotion'!H24,"0.0%")&amp;" AOV lift.",IF('08_KPI_Promotion'!I24="Continue - efficient lift for margin cost","Continue "&amp;C177&amp;" - efficient: "&amp;TEXT('08_KPI_Promotion'!G24,"0.0%")&amp;"pp margin cost for "&amp;TEXT('08_KPI_Promotion'!H24,"0.0%")&amp;" AOV lift.","Review "&amp;C177&amp;" next cycle - mixed signal."))</f>
        <v>Continue Festive Apr2022 - 5% Off - efficient: -4.3%pp margin cost for 15.2% AOV lift.</v>
      </c>
    </row>
    <row r="178" spans="2:5" x14ac:dyDescent="0.3">
      <c r="B178" t="s">
        <v>848</v>
      </c>
      <c r="C178" t="str">
        <f>'08_KPI_Promotion'!A25</f>
        <v>Seasonal Jan2023 - 5% Off</v>
      </c>
      <c r="D178" t="str">
        <f>IF('08_KPI_Promotion'!I25="Discontinue - high margin cost, weak lift","Action Required",IF('08_KPI_Promotion'!I25="Continue - efficient lift for margin cost","OK","Review"))</f>
        <v>OK</v>
      </c>
      <c r="E178" t="str">
        <f>IF('08_KPI_Promotion'!I25="Discontinue - high margin cost, weak lift","Discontinue "&amp;C178&amp;" at next renewal - margin cost "&amp;TEXT('08_KPI_Promotion'!G25,"0.0%")&amp;"pp for "&amp;TEXT('08_KPI_Promotion'!H25,"0.0%")&amp;" AOV lift.",IF('08_KPI_Promotion'!I25="Continue - efficient lift for margin cost","Continue "&amp;C178&amp;" - efficient: "&amp;TEXT('08_KPI_Promotion'!G25,"0.0%")&amp;"pp margin cost for "&amp;TEXT('08_KPI_Promotion'!H25,"0.0%")&amp;" AOV lift.","Review "&amp;C178&amp;" next cycle - mixed signal."))</f>
        <v>Continue Seasonal Jan2023 - 5% Off - efficient: -4.3%pp margin cost for 16.7% AOV lift.</v>
      </c>
    </row>
    <row r="179" spans="2:5" x14ac:dyDescent="0.3">
      <c r="B179" t="s">
        <v>848</v>
      </c>
      <c r="C179" t="str">
        <f>'08_KPI_Promotion'!A26</f>
        <v>Flash Sale Feb2022 - 5% Off</v>
      </c>
      <c r="D179" t="str">
        <f>IF('08_KPI_Promotion'!I26="Discontinue - high margin cost, weak lift","Action Required",IF('08_KPI_Promotion'!I26="Continue - efficient lift for margin cost","OK","Review"))</f>
        <v>OK</v>
      </c>
      <c r="E179" t="str">
        <f>IF('08_KPI_Promotion'!I26="Discontinue - high margin cost, weak lift","Discontinue "&amp;C179&amp;" at next renewal - margin cost "&amp;TEXT('08_KPI_Promotion'!G26,"0.0%")&amp;"pp for "&amp;TEXT('08_KPI_Promotion'!H26,"0.0%")&amp;" AOV lift.",IF('08_KPI_Promotion'!I26="Continue - efficient lift for margin cost","Continue "&amp;C179&amp;" - efficient: "&amp;TEXT('08_KPI_Promotion'!G26,"0.0%")&amp;"pp margin cost for "&amp;TEXT('08_KPI_Promotion'!H26,"0.0%")&amp;" AOV lift.","Review "&amp;C179&amp;" next cycle - mixed signal."))</f>
        <v>Continue Flash Sale Feb2022 - 5% Off - efficient: -3.9%pp margin cost for 13.7% AOV lift.</v>
      </c>
    </row>
    <row r="180" spans="2:5" x14ac:dyDescent="0.3">
      <c r="B180" t="s">
        <v>848</v>
      </c>
      <c r="C180" t="str">
        <f>'08_KPI_Promotion'!A27</f>
        <v>Loyalty Dec2021 - 5% Off</v>
      </c>
      <c r="D180" t="str">
        <f>IF('08_KPI_Promotion'!I27="Discontinue - high margin cost, weak lift","Action Required",IF('08_KPI_Promotion'!I27="Continue - efficient lift for margin cost","OK","Review"))</f>
        <v>OK</v>
      </c>
      <c r="E180" t="str">
        <f>IF('08_KPI_Promotion'!I27="Discontinue - high margin cost, weak lift","Discontinue "&amp;C180&amp;" at next renewal - margin cost "&amp;TEXT('08_KPI_Promotion'!G27,"0.0%")&amp;"pp for "&amp;TEXT('08_KPI_Promotion'!H27,"0.0%")&amp;" AOV lift.",IF('08_KPI_Promotion'!I27="Continue - efficient lift for margin cost","Continue "&amp;C180&amp;" - efficient: "&amp;TEXT('08_KPI_Promotion'!G27,"0.0%")&amp;"pp margin cost for "&amp;TEXT('08_KPI_Promotion'!H27,"0.0%")&amp;" AOV lift.","Review "&amp;C180&amp;" next cycle - mixed signal."))</f>
        <v>Continue Loyalty Dec2021 - 5% Off - efficient: -4.4%pp margin cost for 10.3% AOV lift.</v>
      </c>
    </row>
    <row r="181" spans="2:5" x14ac:dyDescent="0.3">
      <c r="B181" t="s">
        <v>848</v>
      </c>
      <c r="C181" t="str">
        <f>'08_KPI_Promotion'!A28</f>
        <v>Loyalty Sep2024 - 5% Off</v>
      </c>
      <c r="D181" t="str">
        <f>IF('08_KPI_Promotion'!I28="Discontinue - high margin cost, weak lift","Action Required",IF('08_KPI_Promotion'!I28="Continue - efficient lift for margin cost","OK","Review"))</f>
        <v>OK</v>
      </c>
      <c r="E181" t="str">
        <f>IF('08_KPI_Promotion'!I28="Discontinue - high margin cost, weak lift","Discontinue "&amp;C181&amp;" at next renewal - margin cost "&amp;TEXT('08_KPI_Promotion'!G28,"0.0%")&amp;"pp for "&amp;TEXT('08_KPI_Promotion'!H28,"0.0%")&amp;" AOV lift.",IF('08_KPI_Promotion'!I28="Continue - efficient lift for margin cost","Continue "&amp;C181&amp;" - efficient: "&amp;TEXT('08_KPI_Promotion'!G28,"0.0%")&amp;"pp margin cost for "&amp;TEXT('08_KPI_Promotion'!H28,"0.0%")&amp;" AOV lift.","Review "&amp;C181&amp;" next cycle - mixed signal."))</f>
        <v>Continue Loyalty Sep2024 - 5% Off - efficient: -4.4%pp margin cost for 13.9% AOV lift.</v>
      </c>
    </row>
    <row r="182" spans="2:5" x14ac:dyDescent="0.3">
      <c r="B182" t="s">
        <v>848</v>
      </c>
      <c r="C182" t="str">
        <f>'08_KPI_Promotion'!A29</f>
        <v>Seasonal Jun2024 - 5% Off</v>
      </c>
      <c r="D182" t="str">
        <f>IF('08_KPI_Promotion'!I29="Discontinue - high margin cost, weak lift","Action Required",IF('08_KPI_Promotion'!I29="Continue - efficient lift for margin cost","OK","Review"))</f>
        <v>OK</v>
      </c>
      <c r="E182" t="str">
        <f>IF('08_KPI_Promotion'!I29="Discontinue - high margin cost, weak lift","Discontinue "&amp;C182&amp;" at next renewal - margin cost "&amp;TEXT('08_KPI_Promotion'!G29,"0.0%")&amp;"pp for "&amp;TEXT('08_KPI_Promotion'!H29,"0.0%")&amp;" AOV lift.",IF('08_KPI_Promotion'!I29="Continue - efficient lift for margin cost","Continue "&amp;C182&amp;" - efficient: "&amp;TEXT('08_KPI_Promotion'!G29,"0.0%")&amp;"pp margin cost for "&amp;TEXT('08_KPI_Promotion'!H29,"0.0%")&amp;" AOV lift.","Review "&amp;C182&amp;" next cycle - mixed signal."))</f>
        <v>Continue Seasonal Jun2024 - 5% Off - efficient: -4.4%pp margin cost for 15.8% AOV lift.</v>
      </c>
    </row>
    <row r="183" spans="2:5" x14ac:dyDescent="0.3">
      <c r="B183" t="s">
        <v>848</v>
      </c>
      <c r="C183" t="str">
        <f>'08_KPI_Promotion'!A30</f>
        <v>Festive Mar2024 - 5% Off</v>
      </c>
      <c r="D183" t="str">
        <f>IF('08_KPI_Promotion'!I30="Discontinue - high margin cost, weak lift","Action Required",IF('08_KPI_Promotion'!I30="Continue - efficient lift for margin cost","OK","Review"))</f>
        <v>OK</v>
      </c>
      <c r="E183" t="str">
        <f>IF('08_KPI_Promotion'!I30="Discontinue - high margin cost, weak lift","Discontinue "&amp;C183&amp;" at next renewal - margin cost "&amp;TEXT('08_KPI_Promotion'!G30,"0.0%")&amp;"pp for "&amp;TEXT('08_KPI_Promotion'!H30,"0.0%")&amp;" AOV lift.",IF('08_KPI_Promotion'!I30="Continue - efficient lift for margin cost","Continue "&amp;C183&amp;" - efficient: "&amp;TEXT('08_KPI_Promotion'!G30,"0.0%")&amp;"pp margin cost for "&amp;TEXT('08_KPI_Promotion'!H30,"0.0%")&amp;" AOV lift.","Review "&amp;C183&amp;" next cycle - mixed signal."))</f>
        <v>Continue Festive Mar2024 - 5% Off - efficient: -4.4%pp margin cost for 12.5% AOV lift.</v>
      </c>
    </row>
    <row r="184" spans="2:5" x14ac:dyDescent="0.3">
      <c r="B184" t="s">
        <v>848</v>
      </c>
      <c r="C184" t="str">
        <f>'08_KPI_Promotion'!A31</f>
        <v>Seasonal Jan2022 - 5% Off</v>
      </c>
      <c r="D184" t="str">
        <f>IF('08_KPI_Promotion'!I31="Discontinue - high margin cost, weak lift","Action Required",IF('08_KPI_Promotion'!I31="Continue - efficient lift for margin cost","OK","Review"))</f>
        <v>OK</v>
      </c>
      <c r="E184" t="str">
        <f>IF('08_KPI_Promotion'!I31="Discontinue - high margin cost, weak lift","Discontinue "&amp;C184&amp;" at next renewal - margin cost "&amp;TEXT('08_KPI_Promotion'!G31,"0.0%")&amp;"pp for "&amp;TEXT('08_KPI_Promotion'!H31,"0.0%")&amp;" AOV lift.",IF('08_KPI_Promotion'!I31="Continue - efficient lift for margin cost","Continue "&amp;C184&amp;" - efficient: "&amp;TEXT('08_KPI_Promotion'!G31,"0.0%")&amp;"pp margin cost for "&amp;TEXT('08_KPI_Promotion'!H31,"0.0%")&amp;" AOV lift.","Review "&amp;C184&amp;" next cycle - mixed signal."))</f>
        <v>Continue Seasonal Jan2022 - 5% Off - efficient: -4.5%pp margin cost for 14.3% AOV lift.</v>
      </c>
    </row>
    <row r="185" spans="2:5" x14ac:dyDescent="0.3">
      <c r="B185" t="s">
        <v>848</v>
      </c>
      <c r="C185" t="str">
        <f>'08_KPI_Promotion'!A32</f>
        <v>Festive Dec2021 - 5% Off</v>
      </c>
      <c r="D185" t="str">
        <f>IF('08_KPI_Promotion'!I32="Discontinue - high margin cost, weak lift","Action Required",IF('08_KPI_Promotion'!I32="Continue - efficient lift for margin cost","OK","Review"))</f>
        <v>OK</v>
      </c>
      <c r="E185" t="str">
        <f>IF('08_KPI_Promotion'!I32="Discontinue - high margin cost, weak lift","Discontinue "&amp;C185&amp;" at next renewal - margin cost "&amp;TEXT('08_KPI_Promotion'!G32,"0.0%")&amp;"pp for "&amp;TEXT('08_KPI_Promotion'!H32,"0.0%")&amp;" AOV lift.",IF('08_KPI_Promotion'!I32="Continue - efficient lift for margin cost","Continue "&amp;C185&amp;" - efficient: "&amp;TEXT('08_KPI_Promotion'!G32,"0.0%")&amp;"pp margin cost for "&amp;TEXT('08_KPI_Promotion'!H32,"0.0%")&amp;" AOV lift.","Review "&amp;C185&amp;" next cycle - mixed signal."))</f>
        <v>Continue Festive Dec2021 - 5% Off - efficient: -4.8%pp margin cost for 15.1% AOV lift.</v>
      </c>
    </row>
    <row r="186" spans="2:5" x14ac:dyDescent="0.3">
      <c r="B186" t="s">
        <v>848</v>
      </c>
      <c r="C186" t="str">
        <f>'08_KPI_Promotion'!A33</f>
        <v>Seasonal Dec2021 - 5% Off</v>
      </c>
      <c r="D186" t="str">
        <f>IF('08_KPI_Promotion'!I33="Discontinue - high margin cost, weak lift","Action Required",IF('08_KPI_Promotion'!I33="Continue - efficient lift for margin cost","OK","Review"))</f>
        <v>OK</v>
      </c>
      <c r="E186" t="str">
        <f>IF('08_KPI_Promotion'!I33="Discontinue - high margin cost, weak lift","Discontinue "&amp;C186&amp;" at next renewal - margin cost "&amp;TEXT('08_KPI_Promotion'!G33,"0.0%")&amp;"pp for "&amp;TEXT('08_KPI_Promotion'!H33,"0.0%")&amp;" AOV lift.",IF('08_KPI_Promotion'!I33="Continue - efficient lift for margin cost","Continue "&amp;C186&amp;" - efficient: "&amp;TEXT('08_KPI_Promotion'!G33,"0.0%")&amp;"pp margin cost for "&amp;TEXT('08_KPI_Promotion'!H33,"0.0%")&amp;" AOV lift.","Review "&amp;C186&amp;" next cycle - mixed signal."))</f>
        <v>Continue Seasonal Dec2021 - 5% Off - efficient: -3.9%pp margin cost for 12.7% AOV lift.</v>
      </c>
    </row>
    <row r="187" spans="2:5" x14ac:dyDescent="0.3">
      <c r="B187" t="s">
        <v>848</v>
      </c>
      <c r="C187" t="str">
        <f>'08_KPI_Promotion'!A34</f>
        <v>Clearance Feb2024 - 10% Off</v>
      </c>
      <c r="D187" t="str">
        <f>IF('08_KPI_Promotion'!I34="Discontinue - high margin cost, weak lift","Action Required",IF('08_KPI_Promotion'!I34="Continue - efficient lift for margin cost","OK","Review"))</f>
        <v>OK</v>
      </c>
      <c r="E187" t="str">
        <f>IF('08_KPI_Promotion'!I34="Discontinue - high margin cost, weak lift","Discontinue "&amp;C187&amp;" at next renewal - margin cost "&amp;TEXT('08_KPI_Promotion'!G34,"0.0%")&amp;"pp for "&amp;TEXT('08_KPI_Promotion'!H34,"0.0%")&amp;" AOV lift.",IF('08_KPI_Promotion'!I34="Continue - efficient lift for margin cost","Continue "&amp;C187&amp;" - efficient: "&amp;TEXT('08_KPI_Promotion'!G34,"0.0%")&amp;"pp margin cost for "&amp;TEXT('08_KPI_Promotion'!H34,"0.0%")&amp;" AOV lift.","Review "&amp;C187&amp;" next cycle - mixed signal."))</f>
        <v>Continue Clearance Feb2024 - 10% Off - efficient: -9.1%pp margin cost for 15.6% AOV lift.</v>
      </c>
    </row>
    <row r="188" spans="2:5" x14ac:dyDescent="0.3">
      <c r="B188" t="s">
        <v>848</v>
      </c>
      <c r="C188" t="str">
        <f>'08_KPI_Promotion'!A35</f>
        <v>Loyalty Jul2024 - 10% Off</v>
      </c>
      <c r="D188" t="str">
        <f>IF('08_KPI_Promotion'!I35="Discontinue - high margin cost, weak lift","Action Required",IF('08_KPI_Promotion'!I35="Continue - efficient lift for margin cost","OK","Review"))</f>
        <v>OK</v>
      </c>
      <c r="E188" t="str">
        <f>IF('08_KPI_Promotion'!I35="Discontinue - high margin cost, weak lift","Discontinue "&amp;C188&amp;" at next renewal - margin cost "&amp;TEXT('08_KPI_Promotion'!G35,"0.0%")&amp;"pp for "&amp;TEXT('08_KPI_Promotion'!H35,"0.0%")&amp;" AOV lift.",IF('08_KPI_Promotion'!I35="Continue - efficient lift for margin cost","Continue "&amp;C188&amp;" - efficient: "&amp;TEXT('08_KPI_Promotion'!G35,"0.0%")&amp;"pp margin cost for "&amp;TEXT('08_KPI_Promotion'!H35,"0.0%")&amp;" AOV lift.","Review "&amp;C188&amp;" next cycle - mixed signal."))</f>
        <v>Continue Loyalty Jul2024 - 10% Off - efficient: -8.2%pp margin cost for 0.5% AOV lift.</v>
      </c>
    </row>
    <row r="189" spans="2:5" x14ac:dyDescent="0.3">
      <c r="B189" t="s">
        <v>848</v>
      </c>
      <c r="C189" t="str">
        <f>'08_KPI_Promotion'!A36</f>
        <v>Clearance Mar2024 - 10% Off</v>
      </c>
      <c r="D189" t="str">
        <f>IF('08_KPI_Promotion'!I36="Discontinue - high margin cost, weak lift","Action Required",IF('08_KPI_Promotion'!I36="Continue - efficient lift for margin cost","OK","Review"))</f>
        <v>OK</v>
      </c>
      <c r="E189" t="str">
        <f>IF('08_KPI_Promotion'!I36="Discontinue - high margin cost, weak lift","Discontinue "&amp;C189&amp;" at next renewal - margin cost "&amp;TEXT('08_KPI_Promotion'!G36,"0.0%")&amp;"pp for "&amp;TEXT('08_KPI_Promotion'!H36,"0.0%")&amp;" AOV lift.",IF('08_KPI_Promotion'!I36="Continue - efficient lift for margin cost","Continue "&amp;C189&amp;" - efficient: "&amp;TEXT('08_KPI_Promotion'!G36,"0.0%")&amp;"pp margin cost for "&amp;TEXT('08_KPI_Promotion'!H36,"0.0%")&amp;" AOV lift.","Review "&amp;C189&amp;" next cycle - mixed signal."))</f>
        <v>Continue Clearance Mar2024 - 10% Off - efficient: -8.2%pp margin cost for 1.2% AOV lift.</v>
      </c>
    </row>
    <row r="190" spans="2:5" x14ac:dyDescent="0.3">
      <c r="B190" t="s">
        <v>848</v>
      </c>
      <c r="C190" t="str">
        <f>'08_KPI_Promotion'!A37</f>
        <v>Seasonal Jun2024 - 10% Off</v>
      </c>
      <c r="D190" t="str">
        <f>IF('08_KPI_Promotion'!I37="Discontinue - high margin cost, weak lift","Action Required",IF('08_KPI_Promotion'!I37="Continue - efficient lift for margin cost","OK","Review"))</f>
        <v>OK</v>
      </c>
      <c r="E190" t="str">
        <f>IF('08_KPI_Promotion'!I37="Discontinue - high margin cost, weak lift","Discontinue "&amp;C190&amp;" at next renewal - margin cost "&amp;TEXT('08_KPI_Promotion'!G37,"0.0%")&amp;"pp for "&amp;TEXT('08_KPI_Promotion'!H37,"0.0%")&amp;" AOV lift.",IF('08_KPI_Promotion'!I37="Continue - efficient lift for margin cost","Continue "&amp;C190&amp;" - efficient: "&amp;TEXT('08_KPI_Promotion'!G37,"0.0%")&amp;"pp margin cost for "&amp;TEXT('08_KPI_Promotion'!H37,"0.0%")&amp;" AOV lift.","Review "&amp;C190&amp;" next cycle - mixed signal."))</f>
        <v>Continue Seasonal Jun2024 - 10% Off - efficient: -8.4%pp margin cost for 3.2% AOV lift.</v>
      </c>
    </row>
    <row r="191" spans="2:5" x14ac:dyDescent="0.3">
      <c r="B191" t="s">
        <v>848</v>
      </c>
      <c r="C191" t="str">
        <f>'08_KPI_Promotion'!A38</f>
        <v>Flash Sale Sep2024 - 10% Off</v>
      </c>
      <c r="D191" t="str">
        <f>IF('08_KPI_Promotion'!I38="Discontinue - high margin cost, weak lift","Action Required",IF('08_KPI_Promotion'!I38="Continue - efficient lift for margin cost","OK","Review"))</f>
        <v>OK</v>
      </c>
      <c r="E191" t="str">
        <f>IF('08_KPI_Promotion'!I38="Discontinue - high margin cost, weak lift","Discontinue "&amp;C191&amp;" at next renewal - margin cost "&amp;TEXT('08_KPI_Promotion'!G38,"0.0%")&amp;"pp for "&amp;TEXT('08_KPI_Promotion'!H38,"0.0%")&amp;" AOV lift.",IF('08_KPI_Promotion'!I38="Continue - efficient lift for margin cost","Continue "&amp;C191&amp;" - efficient: "&amp;TEXT('08_KPI_Promotion'!G38,"0.0%")&amp;"pp margin cost for "&amp;TEXT('08_KPI_Promotion'!H38,"0.0%")&amp;" AOV lift.","Review "&amp;C191&amp;" next cycle - mixed signal."))</f>
        <v>Continue Flash Sale Sep2024 - 10% Off - efficient: -8.4%pp margin cost for 13.0% AOV lift.</v>
      </c>
    </row>
    <row r="192" spans="2:5" x14ac:dyDescent="0.3">
      <c r="B192" t="s">
        <v>848</v>
      </c>
      <c r="C192" t="str">
        <f>'08_KPI_Promotion'!A39</f>
        <v>Seasonal Feb2023 - 10% Off</v>
      </c>
      <c r="D192" t="str">
        <f>IF('08_KPI_Promotion'!I39="Discontinue - high margin cost, weak lift","Action Required",IF('08_KPI_Promotion'!I39="Continue - efficient lift for margin cost","OK","Review"))</f>
        <v>OK</v>
      </c>
      <c r="E192" t="str">
        <f>IF('08_KPI_Promotion'!I39="Discontinue - high margin cost, weak lift","Discontinue "&amp;C192&amp;" at next renewal - margin cost "&amp;TEXT('08_KPI_Promotion'!G39,"0.0%")&amp;"pp for "&amp;TEXT('08_KPI_Promotion'!H39,"0.0%")&amp;" AOV lift.",IF('08_KPI_Promotion'!I39="Continue - efficient lift for margin cost","Continue "&amp;C192&amp;" - efficient: "&amp;TEXT('08_KPI_Promotion'!G39,"0.0%")&amp;"pp margin cost for "&amp;TEXT('08_KPI_Promotion'!H39,"0.0%")&amp;" AOV lift.","Review "&amp;C192&amp;" next cycle - mixed signal."))</f>
        <v>Continue Seasonal Feb2023 - 10% Off - efficient: -8.4%pp margin cost for 3.0% AOV lift.</v>
      </c>
    </row>
    <row r="193" spans="2:5" x14ac:dyDescent="0.3">
      <c r="B193" t="s">
        <v>848</v>
      </c>
      <c r="C193" t="str">
        <f>'08_KPI_Promotion'!A40</f>
        <v>Festive Feb2023 - 10% Off</v>
      </c>
      <c r="D193" t="str">
        <f>IF('08_KPI_Promotion'!I40="Discontinue - high margin cost, weak lift","Action Required",IF('08_KPI_Promotion'!I40="Continue - efficient lift for margin cost","OK","Review"))</f>
        <v>OK</v>
      </c>
      <c r="E193" t="str">
        <f>IF('08_KPI_Promotion'!I40="Discontinue - high margin cost, weak lift","Discontinue "&amp;C193&amp;" at next renewal - margin cost "&amp;TEXT('08_KPI_Promotion'!G40,"0.0%")&amp;"pp for "&amp;TEXT('08_KPI_Promotion'!H40,"0.0%")&amp;" AOV lift.",IF('08_KPI_Promotion'!I40="Continue - efficient lift for margin cost","Continue "&amp;C193&amp;" - efficient: "&amp;TEXT('08_KPI_Promotion'!G40,"0.0%")&amp;"pp margin cost for "&amp;TEXT('08_KPI_Promotion'!H40,"0.0%")&amp;" AOV lift.","Review "&amp;C193&amp;" next cycle - mixed signal."))</f>
        <v>Continue Festive Feb2023 - 10% Off - efficient: -8.4%pp margin cost for 11.7% AOV lift.</v>
      </c>
    </row>
    <row r="194" spans="2:5" x14ac:dyDescent="0.3">
      <c r="B194" t="s">
        <v>848</v>
      </c>
      <c r="C194" t="str">
        <f>'08_KPI_Promotion'!A41</f>
        <v>Seasonal May2023 - 10% Off</v>
      </c>
      <c r="D194" t="str">
        <f>IF('08_KPI_Promotion'!I41="Discontinue - high margin cost, weak lift","Action Required",IF('08_KPI_Promotion'!I41="Continue - efficient lift for margin cost","OK","Review"))</f>
        <v>OK</v>
      </c>
      <c r="E194" t="str">
        <f>IF('08_KPI_Promotion'!I41="Discontinue - high margin cost, weak lift","Discontinue "&amp;C194&amp;" at next renewal - margin cost "&amp;TEXT('08_KPI_Promotion'!G41,"0.0%")&amp;"pp for "&amp;TEXT('08_KPI_Promotion'!H41,"0.0%")&amp;" AOV lift.",IF('08_KPI_Promotion'!I41="Continue - efficient lift for margin cost","Continue "&amp;C194&amp;" - efficient: "&amp;TEXT('08_KPI_Promotion'!G41,"0.0%")&amp;"pp margin cost for "&amp;TEXT('08_KPI_Promotion'!H41,"0.0%")&amp;" AOV lift.","Review "&amp;C194&amp;" next cycle - mixed signal."))</f>
        <v>Continue Seasonal May2023 - 10% Off - efficient: -8.4%pp margin cost for 4.0% AOV lift.</v>
      </c>
    </row>
    <row r="195" spans="2:5" x14ac:dyDescent="0.3">
      <c r="B195" t="s">
        <v>848</v>
      </c>
      <c r="C195" t="str">
        <f>'08_KPI_Promotion'!A42</f>
        <v>Loyalty Sep2024 - 10% Off</v>
      </c>
      <c r="D195" t="str">
        <f>IF('08_KPI_Promotion'!I42="Discontinue - high margin cost, weak lift","Action Required",IF('08_KPI_Promotion'!I42="Continue - efficient lift for margin cost","OK","Review"))</f>
        <v>OK</v>
      </c>
      <c r="E195" t="str">
        <f>IF('08_KPI_Promotion'!I42="Discontinue - high margin cost, weak lift","Discontinue "&amp;C195&amp;" at next renewal - margin cost "&amp;TEXT('08_KPI_Promotion'!G42,"0.0%")&amp;"pp for "&amp;TEXT('08_KPI_Promotion'!H42,"0.0%")&amp;" AOV lift.",IF('08_KPI_Promotion'!I42="Continue - efficient lift for margin cost","Continue "&amp;C195&amp;" - efficient: "&amp;TEXT('08_KPI_Promotion'!G42,"0.0%")&amp;"pp margin cost for "&amp;TEXT('08_KPI_Promotion'!H42,"0.0%")&amp;" AOV lift.","Review "&amp;C195&amp;" next cycle - mixed signal."))</f>
        <v>Continue Loyalty Sep2024 - 10% Off - efficient: -8.5%pp margin cost for 12.2% AOV lift.</v>
      </c>
    </row>
    <row r="196" spans="2:5" x14ac:dyDescent="0.3">
      <c r="B196" t="s">
        <v>848</v>
      </c>
      <c r="C196" t="str">
        <f>'08_KPI_Promotion'!A43</f>
        <v>Festive Jun2022 - 10% Off</v>
      </c>
      <c r="D196" t="str">
        <f>IF('08_KPI_Promotion'!I43="Discontinue - high margin cost, weak lift","Action Required",IF('08_KPI_Promotion'!I43="Continue - efficient lift for margin cost","OK","Review"))</f>
        <v>OK</v>
      </c>
      <c r="E196" t="str">
        <f>IF('08_KPI_Promotion'!I43="Discontinue - high margin cost, weak lift","Discontinue "&amp;C196&amp;" at next renewal - margin cost "&amp;TEXT('08_KPI_Promotion'!G43,"0.0%")&amp;"pp for "&amp;TEXT('08_KPI_Promotion'!H43,"0.0%")&amp;" AOV lift.",IF('08_KPI_Promotion'!I43="Continue - efficient lift for margin cost","Continue "&amp;C196&amp;" - efficient: "&amp;TEXT('08_KPI_Promotion'!G43,"0.0%")&amp;"pp margin cost for "&amp;TEXT('08_KPI_Promotion'!H43,"0.0%")&amp;" AOV lift.","Review "&amp;C196&amp;" next cycle - mixed signal."))</f>
        <v>Continue Festive Jun2022 - 10% Off - efficient: -8.5%pp margin cost for 3.8% AOV lift.</v>
      </c>
    </row>
    <row r="197" spans="2:5" x14ac:dyDescent="0.3">
      <c r="B197" t="s">
        <v>848</v>
      </c>
      <c r="C197" t="str">
        <f>'08_KPI_Promotion'!A44</f>
        <v>Loyalty Jun2023 - 10% Off</v>
      </c>
      <c r="D197" t="str">
        <f>IF('08_KPI_Promotion'!I44="Discontinue - high margin cost, weak lift","Action Required",IF('08_KPI_Promotion'!I44="Continue - efficient lift for margin cost","OK","Review"))</f>
        <v>OK</v>
      </c>
      <c r="E197" t="str">
        <f>IF('08_KPI_Promotion'!I44="Discontinue - high margin cost, weak lift","Discontinue "&amp;C197&amp;" at next renewal - margin cost "&amp;TEXT('08_KPI_Promotion'!G44,"0.0%")&amp;"pp for "&amp;TEXT('08_KPI_Promotion'!H44,"0.0%")&amp;" AOV lift.",IF('08_KPI_Promotion'!I44="Continue - efficient lift for margin cost","Continue "&amp;C197&amp;" - efficient: "&amp;TEXT('08_KPI_Promotion'!G44,"0.0%")&amp;"pp margin cost for "&amp;TEXT('08_KPI_Promotion'!H44,"0.0%")&amp;" AOV lift.","Review "&amp;C197&amp;" next cycle - mixed signal."))</f>
        <v>Continue Loyalty Jun2023 - 10% Off - efficient: -8.5%pp margin cost for 10.3% AOV lift.</v>
      </c>
    </row>
    <row r="198" spans="2:5" x14ac:dyDescent="0.3">
      <c r="B198" t="s">
        <v>848</v>
      </c>
      <c r="C198" t="str">
        <f>'08_KPI_Promotion'!A45</f>
        <v>Seasonal Aug2024 - 10% Off</v>
      </c>
      <c r="D198" t="str">
        <f>IF('08_KPI_Promotion'!I45="Discontinue - high margin cost, weak lift","Action Required",IF('08_KPI_Promotion'!I45="Continue - efficient lift for margin cost","OK","Review"))</f>
        <v>OK</v>
      </c>
      <c r="E198" t="str">
        <f>IF('08_KPI_Promotion'!I45="Discontinue - high margin cost, weak lift","Discontinue "&amp;C198&amp;" at next renewal - margin cost "&amp;TEXT('08_KPI_Promotion'!G45,"0.0%")&amp;"pp for "&amp;TEXT('08_KPI_Promotion'!H45,"0.0%")&amp;" AOV lift.",IF('08_KPI_Promotion'!I45="Continue - efficient lift for margin cost","Continue "&amp;C198&amp;" - efficient: "&amp;TEXT('08_KPI_Promotion'!G45,"0.0%")&amp;"pp margin cost for "&amp;TEXT('08_KPI_Promotion'!H45,"0.0%")&amp;" AOV lift.","Review "&amp;C198&amp;" next cycle - mixed signal."))</f>
        <v>Continue Seasonal Aug2024 - 10% Off - efficient: -8.6%pp margin cost for 5.3% AOV lift.</v>
      </c>
    </row>
    <row r="199" spans="2:5" x14ac:dyDescent="0.3">
      <c r="B199" t="s">
        <v>848</v>
      </c>
      <c r="C199" t="str">
        <f>'08_KPI_Promotion'!A46</f>
        <v>Flash Sale Jun2023 - 10% Off</v>
      </c>
      <c r="D199" t="str">
        <f>IF('08_KPI_Promotion'!I46="Discontinue - high margin cost, weak lift","Action Required",IF('08_KPI_Promotion'!I46="Continue - efficient lift for margin cost","OK","Review"))</f>
        <v>OK</v>
      </c>
      <c r="E199" t="str">
        <f>IF('08_KPI_Promotion'!I46="Discontinue - high margin cost, weak lift","Discontinue "&amp;C199&amp;" at next renewal - margin cost "&amp;TEXT('08_KPI_Promotion'!G46,"0.0%")&amp;"pp for "&amp;TEXT('08_KPI_Promotion'!H46,"0.0%")&amp;" AOV lift.",IF('08_KPI_Promotion'!I46="Continue - efficient lift for margin cost","Continue "&amp;C199&amp;" - efficient: "&amp;TEXT('08_KPI_Promotion'!G46,"0.0%")&amp;"pp margin cost for "&amp;TEXT('08_KPI_Promotion'!H46,"0.0%")&amp;" AOV lift.","Review "&amp;C199&amp;" next cycle - mixed signal."))</f>
        <v>Continue Flash Sale Jun2023 - 10% Off - efficient: -8.6%pp margin cost for 9.0% AOV lift.</v>
      </c>
    </row>
    <row r="200" spans="2:5" x14ac:dyDescent="0.3">
      <c r="B200" t="s">
        <v>848</v>
      </c>
      <c r="C200" t="str">
        <f>'08_KPI_Promotion'!A47</f>
        <v>Flash Sale Nov2023 - 10% Off</v>
      </c>
      <c r="D200" t="str">
        <f>IF('08_KPI_Promotion'!I47="Discontinue - high margin cost, weak lift","Action Required",IF('08_KPI_Promotion'!I47="Continue - efficient lift for margin cost","OK","Review"))</f>
        <v>OK</v>
      </c>
      <c r="E200" t="str">
        <f>IF('08_KPI_Promotion'!I47="Discontinue - high margin cost, weak lift","Discontinue "&amp;C200&amp;" at next renewal - margin cost "&amp;TEXT('08_KPI_Promotion'!G47,"0.0%")&amp;"pp for "&amp;TEXT('08_KPI_Promotion'!H47,"0.0%")&amp;" AOV lift.",IF('08_KPI_Promotion'!I47="Continue - efficient lift for margin cost","Continue "&amp;C200&amp;" - efficient: "&amp;TEXT('08_KPI_Promotion'!G47,"0.0%")&amp;"pp margin cost for "&amp;TEXT('08_KPI_Promotion'!H47,"0.0%")&amp;" AOV lift.","Review "&amp;C200&amp;" next cycle - mixed signal."))</f>
        <v>Continue Flash Sale Nov2023 - 10% Off - efficient: -8.6%pp margin cost for 5.1% AOV lift.</v>
      </c>
    </row>
    <row r="201" spans="2:5" x14ac:dyDescent="0.3">
      <c r="B201" t="s">
        <v>848</v>
      </c>
      <c r="C201" t="str">
        <f>'08_KPI_Promotion'!A48</f>
        <v>Seasonal Aug2023 - 10% Off</v>
      </c>
      <c r="D201" t="str">
        <f>IF('08_KPI_Promotion'!I48="Discontinue - high margin cost, weak lift","Action Required",IF('08_KPI_Promotion'!I48="Continue - efficient lift for margin cost","OK","Review"))</f>
        <v>OK</v>
      </c>
      <c r="E201" t="str">
        <f>IF('08_KPI_Promotion'!I48="Discontinue - high margin cost, weak lift","Discontinue "&amp;C201&amp;" at next renewal - margin cost "&amp;TEXT('08_KPI_Promotion'!G48,"0.0%")&amp;"pp for "&amp;TEXT('08_KPI_Promotion'!H48,"0.0%")&amp;" AOV lift.",IF('08_KPI_Promotion'!I48="Continue - efficient lift for margin cost","Continue "&amp;C201&amp;" - efficient: "&amp;TEXT('08_KPI_Promotion'!G48,"0.0%")&amp;"pp margin cost for "&amp;TEXT('08_KPI_Promotion'!H48,"0.0%")&amp;" AOV lift.","Review "&amp;C201&amp;" next cycle - mixed signal."))</f>
        <v>Continue Seasonal Aug2023 - 10% Off - efficient: -8.6%pp margin cost for 10.1% AOV lift.</v>
      </c>
    </row>
    <row r="202" spans="2:5" x14ac:dyDescent="0.3">
      <c r="B202" t="s">
        <v>848</v>
      </c>
      <c r="C202" t="str">
        <f>'08_KPI_Promotion'!A49</f>
        <v>Loyalty Oct2023 - 10% Off</v>
      </c>
      <c r="D202" t="str">
        <f>IF('08_KPI_Promotion'!I49="Discontinue - high margin cost, weak lift","Action Required",IF('08_KPI_Promotion'!I49="Continue - efficient lift for margin cost","OK","Review"))</f>
        <v>OK</v>
      </c>
      <c r="E202" t="str">
        <f>IF('08_KPI_Promotion'!I49="Discontinue - high margin cost, weak lift","Discontinue "&amp;C202&amp;" at next renewal - margin cost "&amp;TEXT('08_KPI_Promotion'!G49,"0.0%")&amp;"pp for "&amp;TEXT('08_KPI_Promotion'!H49,"0.0%")&amp;" AOV lift.",IF('08_KPI_Promotion'!I49="Continue - efficient lift for margin cost","Continue "&amp;C202&amp;" - efficient: "&amp;TEXT('08_KPI_Promotion'!G49,"0.0%")&amp;"pp margin cost for "&amp;TEXT('08_KPI_Promotion'!H49,"0.0%")&amp;" AOV lift.","Review "&amp;C202&amp;" next cycle - mixed signal."))</f>
        <v>Continue Loyalty Oct2023 - 10% Off - efficient: -8.7%pp margin cost for 15.2% AOV lift.</v>
      </c>
    </row>
    <row r="203" spans="2:5" x14ac:dyDescent="0.3">
      <c r="B203" t="s">
        <v>848</v>
      </c>
      <c r="C203" t="str">
        <f>'08_KPI_Promotion'!A50</f>
        <v>Festive May2022 - 10% Off</v>
      </c>
      <c r="D203" t="str">
        <f>IF('08_KPI_Promotion'!I50="Discontinue - high margin cost, weak lift","Action Required",IF('08_KPI_Promotion'!I50="Continue - efficient lift for margin cost","OK","Review"))</f>
        <v>OK</v>
      </c>
      <c r="E203" t="str">
        <f>IF('08_KPI_Promotion'!I50="Discontinue - high margin cost, weak lift","Discontinue "&amp;C203&amp;" at next renewal - margin cost "&amp;TEXT('08_KPI_Promotion'!G50,"0.0%")&amp;"pp for "&amp;TEXT('08_KPI_Promotion'!H50,"0.0%")&amp;" AOV lift.",IF('08_KPI_Promotion'!I50="Continue - efficient lift for margin cost","Continue "&amp;C203&amp;" - efficient: "&amp;TEXT('08_KPI_Promotion'!G50,"0.0%")&amp;"pp margin cost for "&amp;TEXT('08_KPI_Promotion'!H50,"0.0%")&amp;" AOV lift.","Review "&amp;C203&amp;" next cycle - mixed signal."))</f>
        <v>Continue Festive May2022 - 10% Off - efficient: -8.7%pp margin cost for 5.2% AOV lift.</v>
      </c>
    </row>
    <row r="204" spans="2:5" x14ac:dyDescent="0.3">
      <c r="B204" t="s">
        <v>848</v>
      </c>
      <c r="C204" t="str">
        <f>'08_KPI_Promotion'!A51</f>
        <v>Seasonal Jun2021 - 10% Off</v>
      </c>
      <c r="D204" t="str">
        <f>IF('08_KPI_Promotion'!I51="Discontinue - high margin cost, weak lift","Action Required",IF('08_KPI_Promotion'!I51="Continue - efficient lift for margin cost","OK","Review"))</f>
        <v>OK</v>
      </c>
      <c r="E204" t="str">
        <f>IF('08_KPI_Promotion'!I51="Discontinue - high margin cost, weak lift","Discontinue "&amp;C204&amp;" at next renewal - margin cost "&amp;TEXT('08_KPI_Promotion'!G51,"0.0%")&amp;"pp for "&amp;TEXT('08_KPI_Promotion'!H51,"0.0%")&amp;" AOV lift.",IF('08_KPI_Promotion'!I51="Continue - efficient lift for margin cost","Continue "&amp;C204&amp;" - efficient: "&amp;TEXT('08_KPI_Promotion'!G51,"0.0%")&amp;"pp margin cost for "&amp;TEXT('08_KPI_Promotion'!H51,"0.0%")&amp;" AOV lift.","Review "&amp;C204&amp;" next cycle - mixed signal."))</f>
        <v>Continue Seasonal Jun2021 - 10% Off - efficient: -8.7%pp margin cost for 13.5% AOV lift.</v>
      </c>
    </row>
    <row r="205" spans="2:5" x14ac:dyDescent="0.3">
      <c r="B205" t="s">
        <v>848</v>
      </c>
      <c r="C205" t="str">
        <f>'08_KPI_Promotion'!A52</f>
        <v>Seasonal Apr2023 - 10% Off</v>
      </c>
      <c r="D205" t="str">
        <f>IF('08_KPI_Promotion'!I52="Discontinue - high margin cost, weak lift","Action Required",IF('08_KPI_Promotion'!I52="Continue - efficient lift for margin cost","OK","Review"))</f>
        <v>OK</v>
      </c>
      <c r="E205" t="str">
        <f>IF('08_KPI_Promotion'!I52="Discontinue - high margin cost, weak lift","Discontinue "&amp;C205&amp;" at next renewal - margin cost "&amp;TEXT('08_KPI_Promotion'!G52,"0.0%")&amp;"pp for "&amp;TEXT('08_KPI_Promotion'!H52,"0.0%")&amp;" AOV lift.",IF('08_KPI_Promotion'!I52="Continue - efficient lift for margin cost","Continue "&amp;C205&amp;" - efficient: "&amp;TEXT('08_KPI_Promotion'!G52,"0.0%")&amp;"pp margin cost for "&amp;TEXT('08_KPI_Promotion'!H52,"0.0%")&amp;" AOV lift.","Review "&amp;C205&amp;" next cycle - mixed signal."))</f>
        <v>Continue Seasonal Apr2023 - 10% Off - efficient: -8.8%pp margin cost for 7.7% AOV lift.</v>
      </c>
    </row>
    <row r="206" spans="2:5" x14ac:dyDescent="0.3">
      <c r="B206" t="s">
        <v>848</v>
      </c>
      <c r="C206" t="str">
        <f>'08_KPI_Promotion'!A53</f>
        <v>Festive Jan2023 - 10% Off</v>
      </c>
      <c r="D206" t="str">
        <f>IF('08_KPI_Promotion'!I53="Discontinue - high margin cost, weak lift","Action Required",IF('08_KPI_Promotion'!I53="Continue - efficient lift for margin cost","OK","Review"))</f>
        <v>OK</v>
      </c>
      <c r="E206" t="str">
        <f>IF('08_KPI_Promotion'!I53="Discontinue - high margin cost, weak lift","Discontinue "&amp;C206&amp;" at next renewal - margin cost "&amp;TEXT('08_KPI_Promotion'!G53,"0.0%")&amp;"pp for "&amp;TEXT('08_KPI_Promotion'!H53,"0.0%")&amp;" AOV lift.",IF('08_KPI_Promotion'!I53="Continue - efficient lift for margin cost","Continue "&amp;C206&amp;" - efficient: "&amp;TEXT('08_KPI_Promotion'!G53,"0.0%")&amp;"pp margin cost for "&amp;TEXT('08_KPI_Promotion'!H53,"0.0%")&amp;" AOV lift.","Review "&amp;C206&amp;" next cycle - mixed signal."))</f>
        <v>Continue Festive Jan2023 - 10% Off - efficient: -8.8%pp margin cost for 12.7% AOV lift.</v>
      </c>
    </row>
    <row r="207" spans="2:5" x14ac:dyDescent="0.3">
      <c r="B207" t="s">
        <v>848</v>
      </c>
      <c r="C207" t="str">
        <f>'08_KPI_Promotion'!A54</f>
        <v>Seasonal Aug2021 - 10% Off</v>
      </c>
      <c r="D207" t="str">
        <f>IF('08_KPI_Promotion'!I54="Discontinue - high margin cost, weak lift","Action Required",IF('08_KPI_Promotion'!I54="Continue - efficient lift for margin cost","OK","Review"))</f>
        <v>OK</v>
      </c>
      <c r="E207" t="str">
        <f>IF('08_KPI_Promotion'!I54="Discontinue - high margin cost, weak lift","Discontinue "&amp;C207&amp;" at next renewal - margin cost "&amp;TEXT('08_KPI_Promotion'!G54,"0.0%")&amp;"pp for "&amp;TEXT('08_KPI_Promotion'!H54,"0.0%")&amp;" AOV lift.",IF('08_KPI_Promotion'!I54="Continue - efficient lift for margin cost","Continue "&amp;C207&amp;" - efficient: "&amp;TEXT('08_KPI_Promotion'!G54,"0.0%")&amp;"pp margin cost for "&amp;TEXT('08_KPI_Promotion'!H54,"0.0%")&amp;" AOV lift.","Review "&amp;C207&amp;" next cycle - mixed signal."))</f>
        <v>Continue Seasonal Aug2021 - 10% Off - efficient: -8.8%pp margin cost for 10.2% AOV lift.</v>
      </c>
    </row>
    <row r="208" spans="2:5" x14ac:dyDescent="0.3">
      <c r="B208" t="s">
        <v>848</v>
      </c>
      <c r="C208" t="str">
        <f>'08_KPI_Promotion'!A55</f>
        <v>Clearance Nov2022 - 10% Off</v>
      </c>
      <c r="D208" t="str">
        <f>IF('08_KPI_Promotion'!I55="Discontinue - high margin cost, weak lift","Action Required",IF('08_KPI_Promotion'!I55="Continue - efficient lift for margin cost","OK","Review"))</f>
        <v>OK</v>
      </c>
      <c r="E208" t="str">
        <f>IF('08_KPI_Promotion'!I55="Discontinue - high margin cost, weak lift","Discontinue "&amp;C208&amp;" at next renewal - margin cost "&amp;TEXT('08_KPI_Promotion'!G55,"0.0%")&amp;"pp for "&amp;TEXT('08_KPI_Promotion'!H55,"0.0%")&amp;" AOV lift.",IF('08_KPI_Promotion'!I55="Continue - efficient lift for margin cost","Continue "&amp;C208&amp;" - efficient: "&amp;TEXT('08_KPI_Promotion'!G55,"0.0%")&amp;"pp margin cost for "&amp;TEXT('08_KPI_Promotion'!H55,"0.0%")&amp;" AOV lift.","Review "&amp;C208&amp;" next cycle - mixed signal."))</f>
        <v>Continue Clearance Nov2022 - 10% Off - efficient: -9.0%pp margin cost for 1.1% AOV lift.</v>
      </c>
    </row>
    <row r="209" spans="2:5" x14ac:dyDescent="0.3">
      <c r="B209" t="s">
        <v>848</v>
      </c>
      <c r="C209" t="str">
        <f>'08_KPI_Promotion'!A56</f>
        <v>Seasonal Sep2021 - 10% Off</v>
      </c>
      <c r="D209" t="str">
        <f>IF('08_KPI_Promotion'!I56="Discontinue - high margin cost, weak lift","Action Required",IF('08_KPI_Promotion'!I56="Continue - efficient lift for margin cost","OK","Review"))</f>
        <v>Review</v>
      </c>
      <c r="E209" t="str">
        <f>IF('08_KPI_Promotion'!I56="Discontinue - high margin cost, weak lift","Discontinue "&amp;C209&amp;" at next renewal - margin cost "&amp;TEXT('08_KPI_Promotion'!G56,"0.0%")&amp;"pp for "&amp;TEXT('08_KPI_Promotion'!H56,"0.0%")&amp;" AOV lift.",IF('08_KPI_Promotion'!I56="Continue - efficient lift for margin cost","Continue "&amp;C209&amp;" - efficient: "&amp;TEXT('08_KPI_Promotion'!G56,"0.0%")&amp;"pp margin cost for "&amp;TEXT('08_KPI_Promotion'!H56,"0.0%")&amp;" AOV lift.","Review "&amp;C209&amp;" next cycle - mixed signal."))</f>
        <v>Review Seasonal Sep2021 - 10% Off next cycle - mixed signal.</v>
      </c>
    </row>
    <row r="210" spans="2:5" x14ac:dyDescent="0.3">
      <c r="B210" t="s">
        <v>848</v>
      </c>
      <c r="C210" t="str">
        <f>'08_KPI_Promotion'!A57</f>
        <v>Clearance Feb2024 - 10% Off</v>
      </c>
      <c r="D210" t="str">
        <f>IF('08_KPI_Promotion'!I57="Discontinue - high margin cost, weak lift","Action Required",IF('08_KPI_Promotion'!I57="Continue - efficient lift for margin cost","OK","Review"))</f>
        <v>OK</v>
      </c>
      <c r="E210" t="str">
        <f>IF('08_KPI_Promotion'!I57="Discontinue - high margin cost, weak lift","Discontinue "&amp;C210&amp;" at next renewal - margin cost "&amp;TEXT('08_KPI_Promotion'!G57,"0.0%")&amp;"pp for "&amp;TEXT('08_KPI_Promotion'!H57,"0.0%")&amp;" AOV lift.",IF('08_KPI_Promotion'!I57="Continue - efficient lift for margin cost","Continue "&amp;C210&amp;" - efficient: "&amp;TEXT('08_KPI_Promotion'!G57,"0.0%")&amp;"pp margin cost for "&amp;TEXT('08_KPI_Promotion'!H57,"0.0%")&amp;" AOV lift.","Review "&amp;C210&amp;" next cycle - mixed signal."))</f>
        <v>Continue Clearance Feb2024 - 10% Off - efficient: -9.1%pp margin cost for 15.6% AOV lift.</v>
      </c>
    </row>
    <row r="211" spans="2:5" x14ac:dyDescent="0.3">
      <c r="B211" t="s">
        <v>848</v>
      </c>
      <c r="C211" t="str">
        <f>'08_KPI_Promotion'!A58</f>
        <v>Seasonal May2024 - 10% Off</v>
      </c>
      <c r="D211" t="str">
        <f>IF('08_KPI_Promotion'!I58="Discontinue - high margin cost, weak lift","Action Required",IF('08_KPI_Promotion'!I58="Continue - efficient lift for margin cost","OK","Review"))</f>
        <v>OK</v>
      </c>
      <c r="E211" t="str">
        <f>IF('08_KPI_Promotion'!I58="Discontinue - high margin cost, weak lift","Discontinue "&amp;C211&amp;" at next renewal - margin cost "&amp;TEXT('08_KPI_Promotion'!G58,"0.0%")&amp;"pp for "&amp;TEXT('08_KPI_Promotion'!H58,"0.0%")&amp;" AOV lift.",IF('08_KPI_Promotion'!I58="Continue - efficient lift for margin cost","Continue "&amp;C211&amp;" - efficient: "&amp;TEXT('08_KPI_Promotion'!G58,"0.0%")&amp;"pp margin cost for "&amp;TEXT('08_KPI_Promotion'!H58,"0.0%")&amp;" AOV lift.","Review "&amp;C211&amp;" next cycle - mixed signal."))</f>
        <v>Continue Seasonal May2024 - 10% Off - efficient: -9.2%pp margin cost for 7.0% AOV lift.</v>
      </c>
    </row>
    <row r="212" spans="2:5" x14ac:dyDescent="0.3">
      <c r="B212" t="s">
        <v>848</v>
      </c>
      <c r="C212" t="str">
        <f>'08_KPI_Promotion'!A59</f>
        <v>Loyalty Mar2024 - 10% Off</v>
      </c>
      <c r="D212" t="str">
        <f>IF('08_KPI_Promotion'!I59="Discontinue - high margin cost, weak lift","Action Required",IF('08_KPI_Promotion'!I59="Continue - efficient lift for margin cost","OK","Review"))</f>
        <v>OK</v>
      </c>
      <c r="E212" t="str">
        <f>IF('08_KPI_Promotion'!I59="Discontinue - high margin cost, weak lift","Discontinue "&amp;C212&amp;" at next renewal - margin cost "&amp;TEXT('08_KPI_Promotion'!G59,"0.0%")&amp;"pp for "&amp;TEXT('08_KPI_Promotion'!H59,"0.0%")&amp;" AOV lift.",IF('08_KPI_Promotion'!I59="Continue - efficient lift for margin cost","Continue "&amp;C212&amp;" - efficient: "&amp;TEXT('08_KPI_Promotion'!G59,"0.0%")&amp;"pp margin cost for "&amp;TEXT('08_KPI_Promotion'!H59,"0.0%")&amp;" AOV lift.","Review "&amp;C212&amp;" next cycle - mixed signal."))</f>
        <v>Continue Loyalty Mar2024 - 10% Off - efficient: -9.7%pp margin cost for 23.3% AOV lift.</v>
      </c>
    </row>
    <row r="213" spans="2:5" x14ac:dyDescent="0.3">
      <c r="B213" t="s">
        <v>848</v>
      </c>
      <c r="C213" t="str">
        <f>'08_KPI_Promotion'!A60</f>
        <v>Seasonal Jun2021 - 10% Off</v>
      </c>
      <c r="D213" t="str">
        <f>IF('08_KPI_Promotion'!I60="Discontinue - high margin cost, weak lift","Action Required",IF('08_KPI_Promotion'!I60="Continue - efficient lift for margin cost","OK","Review"))</f>
        <v>OK</v>
      </c>
      <c r="E213" t="str">
        <f>IF('08_KPI_Promotion'!I60="Discontinue - high margin cost, weak lift","Discontinue "&amp;C213&amp;" at next renewal - margin cost "&amp;TEXT('08_KPI_Promotion'!G60,"0.0%")&amp;"pp for "&amp;TEXT('08_KPI_Promotion'!H60,"0.0%")&amp;" AOV lift.",IF('08_KPI_Promotion'!I60="Continue - efficient lift for margin cost","Continue "&amp;C213&amp;" - efficient: "&amp;TEXT('08_KPI_Promotion'!G60,"0.0%")&amp;"pp margin cost for "&amp;TEXT('08_KPI_Promotion'!H60,"0.0%")&amp;" AOV lift.","Review "&amp;C213&amp;" next cycle - mixed signal."))</f>
        <v>Continue Seasonal Jun2021 - 10% Off - efficient: -8.7%pp margin cost for 13.5% AOV lift.</v>
      </c>
    </row>
    <row r="214" spans="2:5" x14ac:dyDescent="0.3">
      <c r="B214" t="s">
        <v>848</v>
      </c>
      <c r="C214" t="str">
        <f>'08_KPI_Promotion'!A61</f>
        <v>Seasonal Jul2024 - 12% Off</v>
      </c>
      <c r="D214" t="str">
        <f>IF('08_KPI_Promotion'!I61="Discontinue - high margin cost, weak lift","Action Required",IF('08_KPI_Promotion'!I61="Continue - efficient lift for margin cost","OK","Review"))</f>
        <v>Review</v>
      </c>
      <c r="E214" t="str">
        <f>IF('08_KPI_Promotion'!I61="Discontinue - high margin cost, weak lift","Discontinue "&amp;C214&amp;" at next renewal - margin cost "&amp;TEXT('08_KPI_Promotion'!G61,"0.0%")&amp;"pp for "&amp;TEXT('08_KPI_Promotion'!H61,"0.0%")&amp;" AOV lift.",IF('08_KPI_Promotion'!I61="Continue - efficient lift for margin cost","Continue "&amp;C214&amp;" - efficient: "&amp;TEXT('08_KPI_Promotion'!G61,"0.0%")&amp;"pp margin cost for "&amp;TEXT('08_KPI_Promotion'!H61,"0.0%")&amp;" AOV lift.","Review "&amp;C214&amp;" next cycle - mixed signal."))</f>
        <v>Review Seasonal Jul2024 - 12% Off next cycle - mixed signal.</v>
      </c>
    </row>
    <row r="215" spans="2:5" x14ac:dyDescent="0.3">
      <c r="B215" t="s">
        <v>848</v>
      </c>
      <c r="C215" t="str">
        <f>'08_KPI_Promotion'!A62</f>
        <v>Festive Apr2024 - 12% Off</v>
      </c>
      <c r="D215" t="str">
        <f>IF('08_KPI_Promotion'!I62="Discontinue - high margin cost, weak lift","Action Required",IF('08_KPI_Promotion'!I62="Continue - efficient lift for margin cost","OK","Review"))</f>
        <v>OK</v>
      </c>
      <c r="E215" t="str">
        <f>IF('08_KPI_Promotion'!I62="Discontinue - high margin cost, weak lift","Discontinue "&amp;C215&amp;" at next renewal - margin cost "&amp;TEXT('08_KPI_Promotion'!G62,"0.0%")&amp;"pp for "&amp;TEXT('08_KPI_Promotion'!H62,"0.0%")&amp;" AOV lift.",IF('08_KPI_Promotion'!I62="Continue - efficient lift for margin cost","Continue "&amp;C215&amp;" - efficient: "&amp;TEXT('08_KPI_Promotion'!G62,"0.0%")&amp;"pp margin cost for "&amp;TEXT('08_KPI_Promotion'!H62,"0.0%")&amp;" AOV lift.","Review "&amp;C215&amp;" next cycle - mixed signal."))</f>
        <v>Continue Festive Apr2024 - 12% Off - efficient: -10.2%pp margin cost for 5.1% AOV lift.</v>
      </c>
    </row>
    <row r="216" spans="2:5" x14ac:dyDescent="0.3">
      <c r="B216" t="s">
        <v>848</v>
      </c>
      <c r="C216" t="str">
        <f>'08_KPI_Promotion'!A63</f>
        <v>Festive Nov2024 - 12% Off</v>
      </c>
      <c r="D216" t="str">
        <f>IF('08_KPI_Promotion'!I63="Discontinue - high margin cost, weak lift","Action Required",IF('08_KPI_Promotion'!I63="Continue - efficient lift for margin cost","OK","Review"))</f>
        <v>OK</v>
      </c>
      <c r="E216" t="str">
        <f>IF('08_KPI_Promotion'!I63="Discontinue - high margin cost, weak lift","Discontinue "&amp;C216&amp;" at next renewal - margin cost "&amp;TEXT('08_KPI_Promotion'!G63,"0.0%")&amp;"pp for "&amp;TEXT('08_KPI_Promotion'!H63,"0.0%")&amp;" AOV lift.",IF('08_KPI_Promotion'!I63="Continue - efficient lift for margin cost","Continue "&amp;C216&amp;" - efficient: "&amp;TEXT('08_KPI_Promotion'!G63,"0.0%")&amp;"pp margin cost for "&amp;TEXT('08_KPI_Promotion'!H63,"0.0%")&amp;" AOV lift.","Review "&amp;C216&amp;" next cycle - mixed signal."))</f>
        <v>Continue Festive Nov2024 - 12% Off - efficient: -10.3%pp margin cost for 3.7% AOV lift.</v>
      </c>
    </row>
    <row r="217" spans="2:5" x14ac:dyDescent="0.3">
      <c r="B217" t="s">
        <v>848</v>
      </c>
      <c r="C217" t="str">
        <f>'08_KPI_Promotion'!A64</f>
        <v>Seasonal Feb2023 - 12% Off</v>
      </c>
      <c r="D217" t="str">
        <f>IF('08_KPI_Promotion'!I64="Discontinue - high margin cost, weak lift","Action Required",IF('08_KPI_Promotion'!I64="Continue - efficient lift for margin cost","OK","Review"))</f>
        <v>OK</v>
      </c>
      <c r="E217" t="str">
        <f>IF('08_KPI_Promotion'!I64="Discontinue - high margin cost, weak lift","Discontinue "&amp;C217&amp;" at next renewal - margin cost "&amp;TEXT('08_KPI_Promotion'!G64,"0.0%")&amp;"pp for "&amp;TEXT('08_KPI_Promotion'!H64,"0.0%")&amp;" AOV lift.",IF('08_KPI_Promotion'!I64="Continue - efficient lift for margin cost","Continue "&amp;C217&amp;" - efficient: "&amp;TEXT('08_KPI_Promotion'!G64,"0.0%")&amp;"pp margin cost for "&amp;TEXT('08_KPI_Promotion'!H64,"0.0%")&amp;" AOV lift.","Review "&amp;C217&amp;" next cycle - mixed signal."))</f>
        <v>Continue Seasonal Feb2023 - 12% Off - efficient: -10.3%pp margin cost for 2.4% AOV lift.</v>
      </c>
    </row>
    <row r="218" spans="2:5" x14ac:dyDescent="0.3">
      <c r="B218" t="s">
        <v>848</v>
      </c>
      <c r="C218" t="str">
        <f>'08_KPI_Promotion'!A65</f>
        <v>Flash Sale Jun2021 - 12% Off</v>
      </c>
      <c r="D218" t="str">
        <f>IF('08_KPI_Promotion'!I65="Discontinue - high margin cost, weak lift","Action Required",IF('08_KPI_Promotion'!I65="Continue - efficient lift for margin cost","OK","Review"))</f>
        <v>Review</v>
      </c>
      <c r="E218" t="str">
        <f>IF('08_KPI_Promotion'!I65="Discontinue - high margin cost, weak lift","Discontinue "&amp;C218&amp;" at next renewal - margin cost "&amp;TEXT('08_KPI_Promotion'!G65,"0.0%")&amp;"pp for "&amp;TEXT('08_KPI_Promotion'!H65,"0.0%")&amp;" AOV lift.",IF('08_KPI_Promotion'!I65="Continue - efficient lift for margin cost","Continue "&amp;C218&amp;" - efficient: "&amp;TEXT('08_KPI_Promotion'!G65,"0.0%")&amp;"pp margin cost for "&amp;TEXT('08_KPI_Promotion'!H65,"0.0%")&amp;" AOV lift.","Review "&amp;C218&amp;" next cycle - mixed signal."))</f>
        <v>Review Flash Sale Jun2021 - 12% Off next cycle - mixed signal.</v>
      </c>
    </row>
    <row r="219" spans="2:5" x14ac:dyDescent="0.3">
      <c r="B219" t="s">
        <v>848</v>
      </c>
      <c r="C219" t="str">
        <f>'08_KPI_Promotion'!A66</f>
        <v>Seasonal Aug2021 - 12% Off</v>
      </c>
      <c r="D219" t="str">
        <f>IF('08_KPI_Promotion'!I66="Discontinue - high margin cost, weak lift","Action Required",IF('08_KPI_Promotion'!I66="Continue - efficient lift for margin cost","OK","Review"))</f>
        <v>OK</v>
      </c>
      <c r="E219" t="str">
        <f>IF('08_KPI_Promotion'!I66="Discontinue - high margin cost, weak lift","Discontinue "&amp;C219&amp;" at next renewal - margin cost "&amp;TEXT('08_KPI_Promotion'!G66,"0.0%")&amp;"pp for "&amp;TEXT('08_KPI_Promotion'!H66,"0.0%")&amp;" AOV lift.",IF('08_KPI_Promotion'!I66="Continue - efficient lift for margin cost","Continue "&amp;C219&amp;" - efficient: "&amp;TEXT('08_KPI_Promotion'!G66,"0.0%")&amp;"pp margin cost for "&amp;TEXT('08_KPI_Promotion'!H66,"0.0%")&amp;" AOV lift.","Review "&amp;C219&amp;" next cycle - mixed signal."))</f>
        <v>Continue Seasonal Aug2021 - 12% Off - efficient: -10.4%pp margin cost for 11.1% AOV lift.</v>
      </c>
    </row>
    <row r="220" spans="2:5" x14ac:dyDescent="0.3">
      <c r="B220" t="s">
        <v>848</v>
      </c>
      <c r="C220" t="str">
        <f>'08_KPI_Promotion'!A67</f>
        <v>Loyalty Feb2023 - 12% Off</v>
      </c>
      <c r="D220" t="str">
        <f>IF('08_KPI_Promotion'!I67="Discontinue - high margin cost, weak lift","Action Required",IF('08_KPI_Promotion'!I67="Continue - efficient lift for margin cost","OK","Review"))</f>
        <v>Review</v>
      </c>
      <c r="E220" t="str">
        <f>IF('08_KPI_Promotion'!I67="Discontinue - high margin cost, weak lift","Discontinue "&amp;C220&amp;" at next renewal - margin cost "&amp;TEXT('08_KPI_Promotion'!G67,"0.0%")&amp;"pp for "&amp;TEXT('08_KPI_Promotion'!H67,"0.0%")&amp;" AOV lift.",IF('08_KPI_Promotion'!I67="Continue - efficient lift for margin cost","Continue "&amp;C220&amp;" - efficient: "&amp;TEXT('08_KPI_Promotion'!G67,"0.0%")&amp;"pp margin cost for "&amp;TEXT('08_KPI_Promotion'!H67,"0.0%")&amp;" AOV lift.","Review "&amp;C220&amp;" next cycle - mixed signal."))</f>
        <v>Review Loyalty Feb2023 - 12% Off next cycle - mixed signal.</v>
      </c>
    </row>
    <row r="221" spans="2:5" x14ac:dyDescent="0.3">
      <c r="B221" t="s">
        <v>848</v>
      </c>
      <c r="C221" t="str">
        <f>'08_KPI_Promotion'!A68</f>
        <v>Loyalty Aug2024 - 12% Off</v>
      </c>
      <c r="D221" t="str">
        <f>IF('08_KPI_Promotion'!I68="Discontinue - high margin cost, weak lift","Action Required",IF('08_KPI_Promotion'!I68="Continue - efficient lift for margin cost","OK","Review"))</f>
        <v>OK</v>
      </c>
      <c r="E221" t="str">
        <f>IF('08_KPI_Promotion'!I68="Discontinue - high margin cost, weak lift","Discontinue "&amp;C221&amp;" at next renewal - margin cost "&amp;TEXT('08_KPI_Promotion'!G68,"0.0%")&amp;"pp for "&amp;TEXT('08_KPI_Promotion'!H68,"0.0%")&amp;" AOV lift.",IF('08_KPI_Promotion'!I68="Continue - efficient lift for margin cost","Continue "&amp;C221&amp;" - efficient: "&amp;TEXT('08_KPI_Promotion'!G68,"0.0%")&amp;"pp margin cost for "&amp;TEXT('08_KPI_Promotion'!H68,"0.0%")&amp;" AOV lift.","Review "&amp;C221&amp;" next cycle - mixed signal."))</f>
        <v>Continue Loyalty Aug2024 - 12% Off - efficient: -10.4%pp margin cost for 5.8% AOV lift.</v>
      </c>
    </row>
    <row r="222" spans="2:5" x14ac:dyDescent="0.3">
      <c r="B222" t="s">
        <v>848</v>
      </c>
      <c r="C222" t="str">
        <f>'08_KPI_Promotion'!A69</f>
        <v>Flash Sale May2024 - 12% Off</v>
      </c>
      <c r="D222" t="str">
        <f>IF('08_KPI_Promotion'!I69="Discontinue - high margin cost, weak lift","Action Required",IF('08_KPI_Promotion'!I69="Continue - efficient lift for margin cost","OK","Review"))</f>
        <v>OK</v>
      </c>
      <c r="E222" t="str">
        <f>IF('08_KPI_Promotion'!I69="Discontinue - high margin cost, weak lift","Discontinue "&amp;C222&amp;" at next renewal - margin cost "&amp;TEXT('08_KPI_Promotion'!G69,"0.0%")&amp;"pp for "&amp;TEXT('08_KPI_Promotion'!H69,"0.0%")&amp;" AOV lift.",IF('08_KPI_Promotion'!I69="Continue - efficient lift for margin cost","Continue "&amp;C222&amp;" - efficient: "&amp;TEXT('08_KPI_Promotion'!G69,"0.0%")&amp;"pp margin cost for "&amp;TEXT('08_KPI_Promotion'!H69,"0.0%")&amp;" AOV lift.","Review "&amp;C222&amp;" next cycle - mixed signal."))</f>
        <v>Continue Flash Sale May2024 - 12% Off - efficient: -10.5%pp margin cost for 5.1% AOV lift.</v>
      </c>
    </row>
    <row r="223" spans="2:5" x14ac:dyDescent="0.3">
      <c r="B223" t="s">
        <v>848</v>
      </c>
      <c r="C223" t="str">
        <f>'08_KPI_Promotion'!A70</f>
        <v>Festive Dec2022 - 12% Off</v>
      </c>
      <c r="D223" t="str">
        <f>IF('08_KPI_Promotion'!I70="Discontinue - high margin cost, weak lift","Action Required",IF('08_KPI_Promotion'!I70="Continue - efficient lift for margin cost","OK","Review"))</f>
        <v>OK</v>
      </c>
      <c r="E223" t="str">
        <f>IF('08_KPI_Promotion'!I70="Discontinue - high margin cost, weak lift","Discontinue "&amp;C223&amp;" at next renewal - margin cost "&amp;TEXT('08_KPI_Promotion'!G70,"0.0%")&amp;"pp for "&amp;TEXT('08_KPI_Promotion'!H70,"0.0%")&amp;" AOV lift.",IF('08_KPI_Promotion'!I70="Continue - efficient lift for margin cost","Continue "&amp;C223&amp;" - efficient: "&amp;TEXT('08_KPI_Promotion'!G70,"0.0%")&amp;"pp margin cost for "&amp;TEXT('08_KPI_Promotion'!H70,"0.0%")&amp;" AOV lift.","Review "&amp;C223&amp;" next cycle - mixed signal."))</f>
        <v>Continue Festive Dec2022 - 12% Off - efficient: -10.6%pp margin cost for 0.5% AOV lift.</v>
      </c>
    </row>
    <row r="224" spans="2:5" x14ac:dyDescent="0.3">
      <c r="B224" t="s">
        <v>848</v>
      </c>
      <c r="C224" t="str">
        <f>'08_KPI_Promotion'!A71</f>
        <v>Seasonal Jun2022 - 12% Off</v>
      </c>
      <c r="D224" t="str">
        <f>IF('08_KPI_Promotion'!I71="Discontinue - high margin cost, weak lift","Action Required",IF('08_KPI_Promotion'!I71="Continue - efficient lift for margin cost","OK","Review"))</f>
        <v>OK</v>
      </c>
      <c r="E224" t="str">
        <f>IF('08_KPI_Promotion'!I71="Discontinue - high margin cost, weak lift","Discontinue "&amp;C224&amp;" at next renewal - margin cost "&amp;TEXT('08_KPI_Promotion'!G71,"0.0%")&amp;"pp for "&amp;TEXT('08_KPI_Promotion'!H71,"0.0%")&amp;" AOV lift.",IF('08_KPI_Promotion'!I71="Continue - efficient lift for margin cost","Continue "&amp;C224&amp;" - efficient: "&amp;TEXT('08_KPI_Promotion'!G71,"0.0%")&amp;"pp margin cost for "&amp;TEXT('08_KPI_Promotion'!H71,"0.0%")&amp;" AOV lift.","Review "&amp;C224&amp;" next cycle - mixed signal."))</f>
        <v>Continue Seasonal Jun2022 - 12% Off - efficient: -10.6%pp margin cost for 5.4% AOV lift.</v>
      </c>
    </row>
    <row r="225" spans="2:5" x14ac:dyDescent="0.3">
      <c r="B225" t="s">
        <v>848</v>
      </c>
      <c r="C225" t="str">
        <f>'08_KPI_Promotion'!A72</f>
        <v>Festive May2021 - 12% Off</v>
      </c>
      <c r="D225" t="str">
        <f>IF('08_KPI_Promotion'!I72="Discontinue - high margin cost, weak lift","Action Required",IF('08_KPI_Promotion'!I72="Continue - efficient lift for margin cost","OK","Review"))</f>
        <v>OK</v>
      </c>
      <c r="E225" t="str">
        <f>IF('08_KPI_Promotion'!I72="Discontinue - high margin cost, weak lift","Discontinue "&amp;C225&amp;" at next renewal - margin cost "&amp;TEXT('08_KPI_Promotion'!G72,"0.0%")&amp;"pp for "&amp;TEXT('08_KPI_Promotion'!H72,"0.0%")&amp;" AOV lift.",IF('08_KPI_Promotion'!I72="Continue - efficient lift for margin cost","Continue "&amp;C225&amp;" - efficient: "&amp;TEXT('08_KPI_Promotion'!G72,"0.0%")&amp;"pp margin cost for "&amp;TEXT('08_KPI_Promotion'!H72,"0.0%")&amp;" AOV lift.","Review "&amp;C225&amp;" next cycle - mixed signal."))</f>
        <v>Continue Festive May2021 - 12% Off - efficient: -10.9%pp margin cost for 11.3% AOV lift.</v>
      </c>
    </row>
    <row r="226" spans="2:5" x14ac:dyDescent="0.3">
      <c r="B226" t="s">
        <v>848</v>
      </c>
      <c r="C226" t="str">
        <f>'08_KPI_Promotion'!A73</f>
        <v>Seasonal Jun2021 - 12% Off</v>
      </c>
      <c r="D226" t="str">
        <f>IF('08_KPI_Promotion'!I73="Discontinue - high margin cost, weak lift","Action Required",IF('08_KPI_Promotion'!I73="Continue - efficient lift for margin cost","OK","Review"))</f>
        <v>OK</v>
      </c>
      <c r="E226" t="str">
        <f>IF('08_KPI_Promotion'!I73="Discontinue - high margin cost, weak lift","Discontinue "&amp;C226&amp;" at next renewal - margin cost "&amp;TEXT('08_KPI_Promotion'!G73,"0.0%")&amp;"pp for "&amp;TEXT('08_KPI_Promotion'!H73,"0.0%")&amp;" AOV lift.",IF('08_KPI_Promotion'!I73="Continue - efficient lift for margin cost","Continue "&amp;C226&amp;" - efficient: "&amp;TEXT('08_KPI_Promotion'!G73,"0.0%")&amp;"pp margin cost for "&amp;TEXT('08_KPI_Promotion'!H73,"0.0%")&amp;" AOV lift.","Review "&amp;C226&amp;" next cycle - mixed signal."))</f>
        <v>Continue Seasonal Jun2021 - 12% Off - efficient: -10.6%pp margin cost for 7.9% AOV lift.</v>
      </c>
    </row>
    <row r="227" spans="2:5" x14ac:dyDescent="0.3">
      <c r="B227" t="s">
        <v>848</v>
      </c>
      <c r="C227" t="str">
        <f>'08_KPI_Promotion'!A74</f>
        <v>Festive Apr2021 - 12% Off</v>
      </c>
      <c r="D227" t="str">
        <f>IF('08_KPI_Promotion'!I74="Discontinue - high margin cost, weak lift","Action Required",IF('08_KPI_Promotion'!I74="Continue - efficient lift for margin cost","OK","Review"))</f>
        <v>Review</v>
      </c>
      <c r="E227" t="str">
        <f>IF('08_KPI_Promotion'!I74="Discontinue - high margin cost, weak lift","Discontinue "&amp;C227&amp;" at next renewal - margin cost "&amp;TEXT('08_KPI_Promotion'!G74,"0.0%")&amp;"pp for "&amp;TEXT('08_KPI_Promotion'!H74,"0.0%")&amp;" AOV lift.",IF('08_KPI_Promotion'!I74="Continue - efficient lift for margin cost","Continue "&amp;C227&amp;" - efficient: "&amp;TEXT('08_KPI_Promotion'!G74,"0.0%")&amp;"pp margin cost for "&amp;TEXT('08_KPI_Promotion'!H74,"0.0%")&amp;" AOV lift.","Review "&amp;C227&amp;" next cycle - mixed signal."))</f>
        <v>Review Festive Apr2021 - 12% Off next cycle - mixed signal.</v>
      </c>
    </row>
    <row r="228" spans="2:5" x14ac:dyDescent="0.3">
      <c r="B228" t="s">
        <v>848</v>
      </c>
      <c r="C228" t="str">
        <f>'08_KPI_Promotion'!A75</f>
        <v>Seasonal Nov2022 - 12% Off</v>
      </c>
      <c r="D228" t="str">
        <f>IF('08_KPI_Promotion'!I75="Discontinue - high margin cost, weak lift","Action Required",IF('08_KPI_Promotion'!I75="Continue - efficient lift for margin cost","OK","Review"))</f>
        <v>OK</v>
      </c>
      <c r="E228" t="str">
        <f>IF('08_KPI_Promotion'!I75="Discontinue - high margin cost, weak lift","Discontinue "&amp;C228&amp;" at next renewal - margin cost "&amp;TEXT('08_KPI_Promotion'!G75,"0.0%")&amp;"pp for "&amp;TEXT('08_KPI_Promotion'!H75,"0.0%")&amp;" AOV lift.",IF('08_KPI_Promotion'!I75="Continue - efficient lift for margin cost","Continue "&amp;C228&amp;" - efficient: "&amp;TEXT('08_KPI_Promotion'!G75,"0.0%")&amp;"pp margin cost for "&amp;TEXT('08_KPI_Promotion'!H75,"0.0%")&amp;" AOV lift.","Review "&amp;C228&amp;" next cycle - mixed signal."))</f>
        <v>Continue Seasonal Nov2022 - 12% Off - efficient: -10.8%pp margin cost for 1.1% AOV lift.</v>
      </c>
    </row>
    <row r="229" spans="2:5" x14ac:dyDescent="0.3">
      <c r="B229" t="s">
        <v>848</v>
      </c>
      <c r="C229" t="str">
        <f>'08_KPI_Promotion'!A76</f>
        <v>Loyalty Aug2022 - 12% Off</v>
      </c>
      <c r="D229" t="str">
        <f>IF('08_KPI_Promotion'!I76="Discontinue - high margin cost, weak lift","Action Required",IF('08_KPI_Promotion'!I76="Continue - efficient lift for margin cost","OK","Review"))</f>
        <v>OK</v>
      </c>
      <c r="E229" t="str">
        <f>IF('08_KPI_Promotion'!I76="Discontinue - high margin cost, weak lift","Discontinue "&amp;C229&amp;" at next renewal - margin cost "&amp;TEXT('08_KPI_Promotion'!G76,"0.0%")&amp;"pp for "&amp;TEXT('08_KPI_Promotion'!H76,"0.0%")&amp;" AOV lift.",IF('08_KPI_Promotion'!I76="Continue - efficient lift for margin cost","Continue "&amp;C229&amp;" - efficient: "&amp;TEXT('08_KPI_Promotion'!G76,"0.0%")&amp;"pp margin cost for "&amp;TEXT('08_KPI_Promotion'!H76,"0.0%")&amp;" AOV lift.","Review "&amp;C229&amp;" next cycle - mixed signal."))</f>
        <v>Continue Loyalty Aug2022 - 12% Off - efficient: -10.8%pp margin cost for 4.1% AOV lift.</v>
      </c>
    </row>
    <row r="230" spans="2:5" x14ac:dyDescent="0.3">
      <c r="B230" t="s">
        <v>848</v>
      </c>
      <c r="C230" t="str">
        <f>'08_KPI_Promotion'!A77</f>
        <v>Seasonal Nov2023 - 12% Off</v>
      </c>
      <c r="D230" t="str">
        <f>IF('08_KPI_Promotion'!I77="Discontinue - high margin cost, weak lift","Action Required",IF('08_KPI_Promotion'!I77="Continue - efficient lift for margin cost","OK","Review"))</f>
        <v>OK</v>
      </c>
      <c r="E230" t="str">
        <f>IF('08_KPI_Promotion'!I77="Discontinue - high margin cost, weak lift","Discontinue "&amp;C230&amp;" at next renewal - margin cost "&amp;TEXT('08_KPI_Promotion'!G77,"0.0%")&amp;"pp for "&amp;TEXT('08_KPI_Promotion'!H77,"0.0%")&amp;" AOV lift.",IF('08_KPI_Promotion'!I77="Continue - efficient lift for margin cost","Continue "&amp;C230&amp;" - efficient: "&amp;TEXT('08_KPI_Promotion'!G77,"0.0%")&amp;"pp margin cost for "&amp;TEXT('08_KPI_Promotion'!H77,"0.0%")&amp;" AOV lift.","Review "&amp;C230&amp;" next cycle - mixed signal."))</f>
        <v>Continue Seasonal Nov2023 - 12% Off - efficient: -10.8%pp margin cost for 11.9% AOV lift.</v>
      </c>
    </row>
    <row r="231" spans="2:5" x14ac:dyDescent="0.3">
      <c r="B231" t="s">
        <v>848</v>
      </c>
      <c r="C231" t="str">
        <f>'08_KPI_Promotion'!A78</f>
        <v>Loyalty May2023 - 12% Off</v>
      </c>
      <c r="D231" t="str">
        <f>IF('08_KPI_Promotion'!I78="Discontinue - high margin cost, weak lift","Action Required",IF('08_KPI_Promotion'!I78="Continue - efficient lift for margin cost","OK","Review"))</f>
        <v>OK</v>
      </c>
      <c r="E231" t="str">
        <f>IF('08_KPI_Promotion'!I78="Discontinue - high margin cost, weak lift","Discontinue "&amp;C231&amp;" at next renewal - margin cost "&amp;TEXT('08_KPI_Promotion'!G78,"0.0%")&amp;"pp for "&amp;TEXT('08_KPI_Promotion'!H78,"0.0%")&amp;" AOV lift.",IF('08_KPI_Promotion'!I78="Continue - efficient lift for margin cost","Continue "&amp;C231&amp;" - efficient: "&amp;TEXT('08_KPI_Promotion'!G78,"0.0%")&amp;"pp margin cost for "&amp;TEXT('08_KPI_Promotion'!H78,"0.0%")&amp;" AOV lift.","Review "&amp;C231&amp;" next cycle - mixed signal."))</f>
        <v>Continue Loyalty May2023 - 12% Off - efficient: -10.8%pp margin cost for 4.6% AOV lift.</v>
      </c>
    </row>
    <row r="232" spans="2:5" x14ac:dyDescent="0.3">
      <c r="B232" t="s">
        <v>848</v>
      </c>
      <c r="C232" t="str">
        <f>'08_KPI_Promotion'!A79</f>
        <v>Festive May2021 - 12% Off</v>
      </c>
      <c r="D232" t="str">
        <f>IF('08_KPI_Promotion'!I79="Discontinue - high margin cost, weak lift","Action Required",IF('08_KPI_Promotion'!I79="Continue - efficient lift for margin cost","OK","Review"))</f>
        <v>OK</v>
      </c>
      <c r="E232" t="str">
        <f>IF('08_KPI_Promotion'!I79="Discontinue - high margin cost, weak lift","Discontinue "&amp;C232&amp;" at next renewal - margin cost "&amp;TEXT('08_KPI_Promotion'!G79,"0.0%")&amp;"pp for "&amp;TEXT('08_KPI_Promotion'!H79,"0.0%")&amp;" AOV lift.",IF('08_KPI_Promotion'!I79="Continue - efficient lift for margin cost","Continue "&amp;C232&amp;" - efficient: "&amp;TEXT('08_KPI_Promotion'!G79,"0.0%")&amp;"pp margin cost for "&amp;TEXT('08_KPI_Promotion'!H79,"0.0%")&amp;" AOV lift.","Review "&amp;C232&amp;" next cycle - mixed signal."))</f>
        <v>Continue Festive May2021 - 12% Off - efficient: -10.9%pp margin cost for 11.3% AOV lift.</v>
      </c>
    </row>
    <row r="233" spans="2:5" x14ac:dyDescent="0.3">
      <c r="B233" t="s">
        <v>848</v>
      </c>
      <c r="C233" t="str">
        <f>'08_KPI_Promotion'!A80</f>
        <v>Festive Mar2024 - 12% Off</v>
      </c>
      <c r="D233" t="str">
        <f>IF('08_KPI_Promotion'!I80="Discontinue - high margin cost, weak lift","Action Required",IF('08_KPI_Promotion'!I80="Continue - efficient lift for margin cost","OK","Review"))</f>
        <v>OK</v>
      </c>
      <c r="E233" t="str">
        <f>IF('08_KPI_Promotion'!I80="Discontinue - high margin cost, weak lift","Discontinue "&amp;C233&amp;" at next renewal - margin cost "&amp;TEXT('08_KPI_Promotion'!G80,"0.0%")&amp;"pp for "&amp;TEXT('08_KPI_Promotion'!H80,"0.0%")&amp;" AOV lift.",IF('08_KPI_Promotion'!I80="Continue - efficient lift for margin cost","Continue "&amp;C233&amp;" - efficient: "&amp;TEXT('08_KPI_Promotion'!G80,"0.0%")&amp;"pp margin cost for "&amp;TEXT('08_KPI_Promotion'!H80,"0.0%")&amp;" AOV lift.","Review "&amp;C233&amp;" next cycle - mixed signal."))</f>
        <v>Continue Festive Mar2024 - 12% Off - efficient: -11.3%pp margin cost for 16.4% AOV lift.</v>
      </c>
    </row>
    <row r="234" spans="2:5" x14ac:dyDescent="0.3">
      <c r="B234" t="s">
        <v>848</v>
      </c>
      <c r="C234" t="str">
        <f>'08_KPI_Promotion'!A81</f>
        <v>Clearance Jul2021 - 12% Off</v>
      </c>
      <c r="D234" t="str">
        <f>IF('08_KPI_Promotion'!I81="Discontinue - high margin cost, weak lift","Action Required",IF('08_KPI_Promotion'!I81="Continue - efficient lift for margin cost","OK","Review"))</f>
        <v>OK</v>
      </c>
      <c r="E234" t="str">
        <f>IF('08_KPI_Promotion'!I81="Discontinue - high margin cost, weak lift","Discontinue "&amp;C234&amp;" at next renewal - margin cost "&amp;TEXT('08_KPI_Promotion'!G81,"0.0%")&amp;"pp for "&amp;TEXT('08_KPI_Promotion'!H81,"0.0%")&amp;" AOV lift.",IF('08_KPI_Promotion'!I81="Continue - efficient lift for margin cost","Continue "&amp;C234&amp;" - efficient: "&amp;TEXT('08_KPI_Promotion'!G81,"0.0%")&amp;"pp margin cost for "&amp;TEXT('08_KPI_Promotion'!H81,"0.0%")&amp;" AOV lift.","Review "&amp;C234&amp;" next cycle - mixed signal."))</f>
        <v>Continue Clearance Jul2021 - 12% Off - efficient: -11.1%pp margin cost for 5.9% AOV lift.</v>
      </c>
    </row>
    <row r="235" spans="2:5" x14ac:dyDescent="0.3">
      <c r="B235" t="s">
        <v>848</v>
      </c>
      <c r="C235" t="str">
        <f>'08_KPI_Promotion'!A82</f>
        <v>Festive Sep2021 - 12% Off</v>
      </c>
      <c r="D235" t="str">
        <f>IF('08_KPI_Promotion'!I82="Discontinue - high margin cost, weak lift","Action Required",IF('08_KPI_Promotion'!I82="Continue - efficient lift for margin cost","OK","Review"))</f>
        <v>OK</v>
      </c>
      <c r="E235" t="str">
        <f>IF('08_KPI_Promotion'!I82="Discontinue - high margin cost, weak lift","Discontinue "&amp;C235&amp;" at next renewal - margin cost "&amp;TEXT('08_KPI_Promotion'!G82,"0.0%")&amp;"pp for "&amp;TEXT('08_KPI_Promotion'!H82,"0.0%")&amp;" AOV lift.",IF('08_KPI_Promotion'!I82="Continue - efficient lift for margin cost","Continue "&amp;C235&amp;" - efficient: "&amp;TEXT('08_KPI_Promotion'!G82,"0.0%")&amp;"pp margin cost for "&amp;TEXT('08_KPI_Promotion'!H82,"0.0%")&amp;" AOV lift.","Review "&amp;C235&amp;" next cycle - mixed signal."))</f>
        <v>Continue Festive Sep2021 - 12% Off - efficient: -11.1%pp margin cost for 8.3% AOV lift.</v>
      </c>
    </row>
    <row r="236" spans="2:5" x14ac:dyDescent="0.3">
      <c r="B236" t="s">
        <v>848</v>
      </c>
      <c r="C236" t="str">
        <f>'08_KPI_Promotion'!A83</f>
        <v>Festive May2023 - 12% Off</v>
      </c>
      <c r="D236" t="str">
        <f>IF('08_KPI_Promotion'!I83="Discontinue - high margin cost, weak lift","Action Required",IF('08_KPI_Promotion'!I83="Continue - efficient lift for margin cost","OK","Review"))</f>
        <v>OK</v>
      </c>
      <c r="E236" t="str">
        <f>IF('08_KPI_Promotion'!I83="Discontinue - high margin cost, weak lift","Discontinue "&amp;C236&amp;" at next renewal - margin cost "&amp;TEXT('08_KPI_Promotion'!G83,"0.0%")&amp;"pp for "&amp;TEXT('08_KPI_Promotion'!H83,"0.0%")&amp;" AOV lift.",IF('08_KPI_Promotion'!I83="Continue - efficient lift for margin cost","Continue "&amp;C236&amp;" - efficient: "&amp;TEXT('08_KPI_Promotion'!G83,"0.0%")&amp;"pp margin cost for "&amp;TEXT('08_KPI_Promotion'!H83,"0.0%")&amp;" AOV lift.","Review "&amp;C236&amp;" next cycle - mixed signal."))</f>
        <v>Continue Festive May2023 - 12% Off - efficient: -11.3%pp margin cost for 7.5% AOV lift.</v>
      </c>
    </row>
    <row r="237" spans="2:5" x14ac:dyDescent="0.3">
      <c r="B237" t="s">
        <v>848</v>
      </c>
      <c r="C237" t="str">
        <f>'08_KPI_Promotion'!A84</f>
        <v>Festive Mar2024 - 12% Off</v>
      </c>
      <c r="D237" t="str">
        <f>IF('08_KPI_Promotion'!I84="Discontinue - high margin cost, weak lift","Action Required",IF('08_KPI_Promotion'!I84="Continue - efficient lift for margin cost","OK","Review"))</f>
        <v>OK</v>
      </c>
      <c r="E237" t="str">
        <f>IF('08_KPI_Promotion'!I84="Discontinue - high margin cost, weak lift","Discontinue "&amp;C237&amp;" at next renewal - margin cost "&amp;TEXT('08_KPI_Promotion'!G84,"0.0%")&amp;"pp for "&amp;TEXT('08_KPI_Promotion'!H84,"0.0%")&amp;" AOV lift.",IF('08_KPI_Promotion'!I84="Continue - efficient lift for margin cost","Continue "&amp;C237&amp;" - efficient: "&amp;TEXT('08_KPI_Promotion'!G84,"0.0%")&amp;"pp margin cost for "&amp;TEXT('08_KPI_Promotion'!H84,"0.0%")&amp;" AOV lift.","Review "&amp;C237&amp;" next cycle - mixed signal."))</f>
        <v>Continue Festive Mar2024 - 12% Off - efficient: -11.3%pp margin cost for 16.4% AOV lift.</v>
      </c>
    </row>
    <row r="238" spans="2:5" x14ac:dyDescent="0.3">
      <c r="B238" t="s">
        <v>848</v>
      </c>
      <c r="C238" t="str">
        <f>'08_KPI_Promotion'!A85</f>
        <v>Loyalty Jun2024 - 12% Off</v>
      </c>
      <c r="D238" t="str">
        <f>IF('08_KPI_Promotion'!I85="Discontinue - high margin cost, weak lift","Action Required",IF('08_KPI_Promotion'!I85="Continue - efficient lift for margin cost","OK","Review"))</f>
        <v>OK</v>
      </c>
      <c r="E238" t="str">
        <f>IF('08_KPI_Promotion'!I85="Discontinue - high margin cost, weak lift","Discontinue "&amp;C238&amp;" at next renewal - margin cost "&amp;TEXT('08_KPI_Promotion'!G85,"0.0%")&amp;"pp for "&amp;TEXT('08_KPI_Promotion'!H85,"0.0%")&amp;" AOV lift.",IF('08_KPI_Promotion'!I85="Continue - efficient lift for margin cost","Continue "&amp;C238&amp;" - efficient: "&amp;TEXT('08_KPI_Promotion'!G85,"0.0%")&amp;"pp margin cost for "&amp;TEXT('08_KPI_Promotion'!H85,"0.0%")&amp;" AOV lift.","Review "&amp;C238&amp;" next cycle - mixed signal."))</f>
        <v>Continue Loyalty Jun2024 - 12% Off - efficient: -11.5%pp margin cost for 14.6% AOV lift.</v>
      </c>
    </row>
    <row r="239" spans="2:5" x14ac:dyDescent="0.3">
      <c r="B239" t="s">
        <v>848</v>
      </c>
      <c r="C239" t="str">
        <f>'08_KPI_Promotion'!A86</f>
        <v>Seasonal Mar2023 - 15% Off</v>
      </c>
      <c r="D239" t="str">
        <f>IF('08_KPI_Promotion'!I86="Discontinue - high margin cost, weak lift","Action Required",IF('08_KPI_Promotion'!I86="Continue - efficient lift for margin cost","OK","Review"))</f>
        <v>Review</v>
      </c>
      <c r="E239" t="str">
        <f>IF('08_KPI_Promotion'!I86="Discontinue - high margin cost, weak lift","Discontinue "&amp;C239&amp;" at next renewal - margin cost "&amp;TEXT('08_KPI_Promotion'!G86,"0.0%")&amp;"pp for "&amp;TEXT('08_KPI_Promotion'!H86,"0.0%")&amp;" AOV lift.",IF('08_KPI_Promotion'!I86="Continue - efficient lift for margin cost","Continue "&amp;C239&amp;" - efficient: "&amp;TEXT('08_KPI_Promotion'!G86,"0.0%")&amp;"pp margin cost for "&amp;TEXT('08_KPI_Promotion'!H86,"0.0%")&amp;" AOV lift.","Review "&amp;C239&amp;" next cycle - mixed signal."))</f>
        <v>Review Seasonal Mar2023 - 15% Off next cycle - mixed signal.</v>
      </c>
    </row>
    <row r="240" spans="2:5" x14ac:dyDescent="0.3">
      <c r="B240" t="s">
        <v>848</v>
      </c>
      <c r="C240" t="str">
        <f>'08_KPI_Promotion'!A87</f>
        <v>Clearance Mar2023 - 15% Off</v>
      </c>
      <c r="D240" t="str">
        <f>IF('08_KPI_Promotion'!I87="Discontinue - high margin cost, weak lift","Action Required",IF('08_KPI_Promotion'!I87="Continue - efficient lift for margin cost","OK","Review"))</f>
        <v>Review</v>
      </c>
      <c r="E240" t="str">
        <f>IF('08_KPI_Promotion'!I87="Discontinue - high margin cost, weak lift","Discontinue "&amp;C240&amp;" at next renewal - margin cost "&amp;TEXT('08_KPI_Promotion'!G87,"0.0%")&amp;"pp for "&amp;TEXT('08_KPI_Promotion'!H87,"0.0%")&amp;" AOV lift.",IF('08_KPI_Promotion'!I87="Continue - efficient lift for margin cost","Continue "&amp;C240&amp;" - efficient: "&amp;TEXT('08_KPI_Promotion'!G87,"0.0%")&amp;"pp margin cost for "&amp;TEXT('08_KPI_Promotion'!H87,"0.0%")&amp;" AOV lift.","Review "&amp;C240&amp;" next cycle - mixed signal."))</f>
        <v>Review Clearance Mar2023 - 15% Off next cycle - mixed signal.</v>
      </c>
    </row>
    <row r="241" spans="2:5" x14ac:dyDescent="0.3">
      <c r="B241" t="s">
        <v>848</v>
      </c>
      <c r="C241" t="str">
        <f>'08_KPI_Promotion'!A88</f>
        <v>Seasonal Jul2023 - 15% Off</v>
      </c>
      <c r="D241" t="str">
        <f>IF('08_KPI_Promotion'!I88="Discontinue - high margin cost, weak lift","Action Required",IF('08_KPI_Promotion'!I88="Continue - efficient lift for margin cost","OK","Review"))</f>
        <v>OK</v>
      </c>
      <c r="E241" t="str">
        <f>IF('08_KPI_Promotion'!I88="Discontinue - high margin cost, weak lift","Discontinue "&amp;C241&amp;" at next renewal - margin cost "&amp;TEXT('08_KPI_Promotion'!G88,"0.0%")&amp;"pp for "&amp;TEXT('08_KPI_Promotion'!H88,"0.0%")&amp;" AOV lift.",IF('08_KPI_Promotion'!I88="Continue - efficient lift for margin cost","Continue "&amp;C241&amp;" - efficient: "&amp;TEXT('08_KPI_Promotion'!G88,"0.0%")&amp;"pp margin cost for "&amp;TEXT('08_KPI_Promotion'!H88,"0.0%")&amp;" AOV lift.","Review "&amp;C241&amp;" next cycle - mixed signal."))</f>
        <v>Continue Seasonal Jul2023 - 15% Off - efficient: -13.3%pp margin cost for 11.8% AOV lift.</v>
      </c>
    </row>
    <row r="242" spans="2:5" x14ac:dyDescent="0.3">
      <c r="B242" t="s">
        <v>848</v>
      </c>
      <c r="C242" t="str">
        <f>'08_KPI_Promotion'!A89</f>
        <v>Seasonal Mar2024 - 15% Off</v>
      </c>
      <c r="D242" t="str">
        <f>IF('08_KPI_Promotion'!I89="Discontinue - high margin cost, weak lift","Action Required",IF('08_KPI_Promotion'!I89="Continue - efficient lift for margin cost","OK","Review"))</f>
        <v>OK</v>
      </c>
      <c r="E242" t="str">
        <f>IF('08_KPI_Promotion'!I89="Discontinue - high margin cost, weak lift","Discontinue "&amp;C242&amp;" at next renewal - margin cost "&amp;TEXT('08_KPI_Promotion'!G89,"0.0%")&amp;"pp for "&amp;TEXT('08_KPI_Promotion'!H89,"0.0%")&amp;" AOV lift.",IF('08_KPI_Promotion'!I89="Continue - efficient lift for margin cost","Continue "&amp;C242&amp;" - efficient: "&amp;TEXT('08_KPI_Promotion'!G89,"0.0%")&amp;"pp margin cost for "&amp;TEXT('08_KPI_Promotion'!H89,"0.0%")&amp;" AOV lift.","Review "&amp;C242&amp;" next cycle - mixed signal."))</f>
        <v>Continue Seasonal Mar2024 - 15% Off - efficient: -13.9%pp margin cost for 3.8% AOV lift.</v>
      </c>
    </row>
    <row r="243" spans="2:5" x14ac:dyDescent="0.3">
      <c r="B243" t="s">
        <v>848</v>
      </c>
      <c r="C243" t="str">
        <f>'08_KPI_Promotion'!A90</f>
        <v>Festive Apr2024 - 15% Off</v>
      </c>
      <c r="D243" t="str">
        <f>IF('08_KPI_Promotion'!I90="Discontinue - high margin cost, weak lift","Action Required",IF('08_KPI_Promotion'!I90="Continue - efficient lift for margin cost","OK","Review"))</f>
        <v>Review</v>
      </c>
      <c r="E243" t="str">
        <f>IF('08_KPI_Promotion'!I90="Discontinue - high margin cost, weak lift","Discontinue "&amp;C243&amp;" at next renewal - margin cost "&amp;TEXT('08_KPI_Promotion'!G90,"0.0%")&amp;"pp for "&amp;TEXT('08_KPI_Promotion'!H90,"0.0%")&amp;" AOV lift.",IF('08_KPI_Promotion'!I90="Continue - efficient lift for margin cost","Continue "&amp;C243&amp;" - efficient: "&amp;TEXT('08_KPI_Promotion'!G90,"0.0%")&amp;"pp margin cost for "&amp;TEXT('08_KPI_Promotion'!H90,"0.0%")&amp;" AOV lift.","Review "&amp;C243&amp;" next cycle - mixed signal."))</f>
        <v>Review Festive Apr2024 - 15% Off next cycle - mixed signal.</v>
      </c>
    </row>
    <row r="244" spans="2:5" x14ac:dyDescent="0.3">
      <c r="B244" t="s">
        <v>848</v>
      </c>
      <c r="C244" t="str">
        <f>'08_KPI_Promotion'!A91</f>
        <v>Festive Jul2024 - 15% Off</v>
      </c>
      <c r="D244" t="str">
        <f>IF('08_KPI_Promotion'!I91="Discontinue - high margin cost, weak lift","Action Required",IF('08_KPI_Promotion'!I91="Continue - efficient lift for margin cost","OK","Review"))</f>
        <v>Review</v>
      </c>
      <c r="E244" t="str">
        <f>IF('08_KPI_Promotion'!I91="Discontinue - high margin cost, weak lift","Discontinue "&amp;C244&amp;" at next renewal - margin cost "&amp;TEXT('08_KPI_Promotion'!G91,"0.0%")&amp;"pp for "&amp;TEXT('08_KPI_Promotion'!H91,"0.0%")&amp;" AOV lift.",IF('08_KPI_Promotion'!I91="Continue - efficient lift for margin cost","Continue "&amp;C244&amp;" - efficient: "&amp;TEXT('08_KPI_Promotion'!G91,"0.0%")&amp;"pp margin cost for "&amp;TEXT('08_KPI_Promotion'!H91,"0.0%")&amp;" AOV lift.","Review "&amp;C244&amp;" next cycle - mixed signal."))</f>
        <v>Review Festive Jul2024 - 15% Off next cycle - mixed signal.</v>
      </c>
    </row>
    <row r="245" spans="2:5" x14ac:dyDescent="0.3">
      <c r="B245" t="s">
        <v>848</v>
      </c>
      <c r="C245" t="str">
        <f>'08_KPI_Promotion'!A92</f>
        <v>Clearance Oct2021 - 15% Off</v>
      </c>
      <c r="D245" t="str">
        <f>IF('08_KPI_Promotion'!I92="Discontinue - high margin cost, weak lift","Action Required",IF('08_KPI_Promotion'!I92="Continue - efficient lift for margin cost","OK","Review"))</f>
        <v>OK</v>
      </c>
      <c r="E245" t="str">
        <f>IF('08_KPI_Promotion'!I92="Discontinue - high margin cost, weak lift","Discontinue "&amp;C245&amp;" at next renewal - margin cost "&amp;TEXT('08_KPI_Promotion'!G92,"0.0%")&amp;"pp for "&amp;TEXT('08_KPI_Promotion'!H92,"0.0%")&amp;" AOV lift.",IF('08_KPI_Promotion'!I92="Continue - efficient lift for margin cost","Continue "&amp;C245&amp;" - efficient: "&amp;TEXT('08_KPI_Promotion'!G92,"0.0%")&amp;"pp margin cost for "&amp;TEXT('08_KPI_Promotion'!H92,"0.0%")&amp;" AOV lift.","Review "&amp;C245&amp;" next cycle - mixed signal."))</f>
        <v>Continue Clearance Oct2021 - 15% Off - efficient: -13.4%pp margin cost for 4.9% AOV lift.</v>
      </c>
    </row>
    <row r="246" spans="2:5" x14ac:dyDescent="0.3">
      <c r="B246" t="s">
        <v>848</v>
      </c>
      <c r="C246" t="str">
        <f>'08_KPI_Promotion'!A93</f>
        <v>Flash Sale Jun2023 - 15% Off</v>
      </c>
      <c r="D246" t="str">
        <f>IF('08_KPI_Promotion'!I93="Discontinue - high margin cost, weak lift","Action Required",IF('08_KPI_Promotion'!I93="Continue - efficient lift for margin cost","OK","Review"))</f>
        <v>OK</v>
      </c>
      <c r="E246" t="str">
        <f>IF('08_KPI_Promotion'!I93="Discontinue - high margin cost, weak lift","Discontinue "&amp;C246&amp;" at next renewal - margin cost "&amp;TEXT('08_KPI_Promotion'!G93,"0.0%")&amp;"pp for "&amp;TEXT('08_KPI_Promotion'!H93,"0.0%")&amp;" AOV lift.",IF('08_KPI_Promotion'!I93="Continue - efficient lift for margin cost","Continue "&amp;C246&amp;" - efficient: "&amp;TEXT('08_KPI_Promotion'!G93,"0.0%")&amp;"pp margin cost for "&amp;TEXT('08_KPI_Promotion'!H93,"0.0%")&amp;" AOV lift.","Review "&amp;C246&amp;" next cycle - mixed signal."))</f>
        <v>Continue Flash Sale Jun2023 - 15% Off - efficient: -13.6%pp margin cost for 7.7% AOV lift.</v>
      </c>
    </row>
    <row r="247" spans="2:5" x14ac:dyDescent="0.3">
      <c r="B247" t="s">
        <v>848</v>
      </c>
      <c r="C247" t="str">
        <f>'08_KPI_Promotion'!A94</f>
        <v>Loyalty Jun2021 - 15% Off</v>
      </c>
      <c r="D247" t="str">
        <f>IF('08_KPI_Promotion'!I94="Discontinue - high margin cost, weak lift","Action Required",IF('08_KPI_Promotion'!I94="Continue - efficient lift for margin cost","OK","Review"))</f>
        <v>Review</v>
      </c>
      <c r="E247" t="str">
        <f>IF('08_KPI_Promotion'!I94="Discontinue - high margin cost, weak lift","Discontinue "&amp;C247&amp;" at next renewal - margin cost "&amp;TEXT('08_KPI_Promotion'!G94,"0.0%")&amp;"pp for "&amp;TEXT('08_KPI_Promotion'!H94,"0.0%")&amp;" AOV lift.",IF('08_KPI_Promotion'!I94="Continue - efficient lift for margin cost","Continue "&amp;C247&amp;" - efficient: "&amp;TEXT('08_KPI_Promotion'!G94,"0.0%")&amp;"pp margin cost for "&amp;TEXT('08_KPI_Promotion'!H94,"0.0%")&amp;" AOV lift.","Review "&amp;C247&amp;" next cycle - mixed signal."))</f>
        <v>Review Loyalty Jun2021 - 15% Off next cycle - mixed signal.</v>
      </c>
    </row>
    <row r="248" spans="2:5" x14ac:dyDescent="0.3">
      <c r="B248" t="s">
        <v>848</v>
      </c>
      <c r="C248" t="str">
        <f>'08_KPI_Promotion'!A95</f>
        <v>Clearance Mar2022 - 15% Off</v>
      </c>
      <c r="D248" t="str">
        <f>IF('08_KPI_Promotion'!I95="Discontinue - high margin cost, weak lift","Action Required",IF('08_KPI_Promotion'!I95="Continue - efficient lift for margin cost","OK","Review"))</f>
        <v>OK</v>
      </c>
      <c r="E248" t="str">
        <f>IF('08_KPI_Promotion'!I95="Discontinue - high margin cost, weak lift","Discontinue "&amp;C248&amp;" at next renewal - margin cost "&amp;TEXT('08_KPI_Promotion'!G95,"0.0%")&amp;"pp for "&amp;TEXT('08_KPI_Promotion'!H95,"0.0%")&amp;" AOV lift.",IF('08_KPI_Promotion'!I95="Continue - efficient lift for margin cost","Continue "&amp;C248&amp;" - efficient: "&amp;TEXT('08_KPI_Promotion'!G95,"0.0%")&amp;"pp margin cost for "&amp;TEXT('08_KPI_Promotion'!H95,"0.0%")&amp;" AOV lift.","Review "&amp;C248&amp;" next cycle - mixed signal."))</f>
        <v>Continue Clearance Mar2022 - 15% Off - efficient: -13.6%pp margin cost for 2.1% AOV lift.</v>
      </c>
    </row>
    <row r="249" spans="2:5" x14ac:dyDescent="0.3">
      <c r="B249" t="s">
        <v>848</v>
      </c>
      <c r="C249" t="str">
        <f>'08_KPI_Promotion'!A96</f>
        <v>Clearance Dec2022 - 15% Off</v>
      </c>
      <c r="D249" t="str">
        <f>IF('08_KPI_Promotion'!I96="Discontinue - high margin cost, weak lift","Action Required",IF('08_KPI_Promotion'!I96="Continue - efficient lift for margin cost","OK","Review"))</f>
        <v>Review</v>
      </c>
      <c r="E249" t="str">
        <f>IF('08_KPI_Promotion'!I96="Discontinue - high margin cost, weak lift","Discontinue "&amp;C249&amp;" at next renewal - margin cost "&amp;TEXT('08_KPI_Promotion'!G96,"0.0%")&amp;"pp for "&amp;TEXT('08_KPI_Promotion'!H96,"0.0%")&amp;" AOV lift.",IF('08_KPI_Promotion'!I96="Continue - efficient lift for margin cost","Continue "&amp;C249&amp;" - efficient: "&amp;TEXT('08_KPI_Promotion'!G96,"0.0%")&amp;"pp margin cost for "&amp;TEXT('08_KPI_Promotion'!H96,"0.0%")&amp;" AOV lift.","Review "&amp;C249&amp;" next cycle - mixed signal."))</f>
        <v>Review Clearance Dec2022 - 15% Off next cycle - mixed signal.</v>
      </c>
    </row>
    <row r="250" spans="2:5" x14ac:dyDescent="0.3">
      <c r="B250" t="s">
        <v>848</v>
      </c>
      <c r="C250" t="str">
        <f>'08_KPI_Promotion'!A97</f>
        <v>Seasonal Dec2023 - 15% Off</v>
      </c>
      <c r="D250" t="str">
        <f>IF('08_KPI_Promotion'!I97="Discontinue - high margin cost, weak lift","Action Required",IF('08_KPI_Promotion'!I97="Continue - efficient lift for margin cost","OK","Review"))</f>
        <v>OK</v>
      </c>
      <c r="E250" t="str">
        <f>IF('08_KPI_Promotion'!I97="Discontinue - high margin cost, weak lift","Discontinue "&amp;C250&amp;" at next renewal - margin cost "&amp;TEXT('08_KPI_Promotion'!G97,"0.0%")&amp;"pp for "&amp;TEXT('08_KPI_Promotion'!H97,"0.0%")&amp;" AOV lift.",IF('08_KPI_Promotion'!I97="Continue - efficient lift for margin cost","Continue "&amp;C250&amp;" - efficient: "&amp;TEXT('08_KPI_Promotion'!G97,"0.0%")&amp;"pp margin cost for "&amp;TEXT('08_KPI_Promotion'!H97,"0.0%")&amp;" AOV lift.","Review "&amp;C250&amp;" next cycle - mixed signal."))</f>
        <v>Continue Seasonal Dec2023 - 15% Off - efficient: -13.6%pp margin cost for 4.4% AOV lift.</v>
      </c>
    </row>
    <row r="251" spans="2:5" x14ac:dyDescent="0.3">
      <c r="B251" t="s">
        <v>848</v>
      </c>
      <c r="C251" t="str">
        <f>'08_KPI_Promotion'!A98</f>
        <v>Seasonal Apr2023 - 15% Off</v>
      </c>
      <c r="D251" t="str">
        <f>IF('08_KPI_Promotion'!I98="Discontinue - high margin cost, weak lift","Action Required",IF('08_KPI_Promotion'!I98="Continue - efficient lift for margin cost","OK","Review"))</f>
        <v>OK</v>
      </c>
      <c r="E251" t="str">
        <f>IF('08_KPI_Promotion'!I98="Discontinue - high margin cost, weak lift","Discontinue "&amp;C251&amp;" at next renewal - margin cost "&amp;TEXT('08_KPI_Promotion'!G98,"0.0%")&amp;"pp for "&amp;TEXT('08_KPI_Promotion'!H98,"0.0%")&amp;" AOV lift.",IF('08_KPI_Promotion'!I98="Continue - efficient lift for margin cost","Continue "&amp;C251&amp;" - efficient: "&amp;TEXT('08_KPI_Promotion'!G98,"0.0%")&amp;"pp margin cost for "&amp;TEXT('08_KPI_Promotion'!H98,"0.0%")&amp;" AOV lift.","Review "&amp;C251&amp;" next cycle - mixed signal."))</f>
        <v>Continue Seasonal Apr2023 - 15% Off - efficient: -13.7%pp margin cost for 1.7% AOV lift.</v>
      </c>
    </row>
    <row r="252" spans="2:5" x14ac:dyDescent="0.3">
      <c r="B252" t="s">
        <v>848</v>
      </c>
      <c r="C252" t="str">
        <f>'08_KPI_Promotion'!A99</f>
        <v>Festive Sep2024 - 15% Off</v>
      </c>
      <c r="D252" t="str">
        <f>IF('08_KPI_Promotion'!I99="Discontinue - high margin cost, weak lift","Action Required",IF('08_KPI_Promotion'!I99="Continue - efficient lift for margin cost","OK","Review"))</f>
        <v>Review</v>
      </c>
      <c r="E252" t="str">
        <f>IF('08_KPI_Promotion'!I99="Discontinue - high margin cost, weak lift","Discontinue "&amp;C252&amp;" at next renewal - margin cost "&amp;TEXT('08_KPI_Promotion'!G99,"0.0%")&amp;"pp for "&amp;TEXT('08_KPI_Promotion'!H99,"0.0%")&amp;" AOV lift.",IF('08_KPI_Promotion'!I99="Continue - efficient lift for margin cost","Continue "&amp;C252&amp;" - efficient: "&amp;TEXT('08_KPI_Promotion'!G99,"0.0%")&amp;"pp margin cost for "&amp;TEXT('08_KPI_Promotion'!H99,"0.0%")&amp;" AOV lift.","Review "&amp;C252&amp;" next cycle - mixed signal."))</f>
        <v>Review Festive Sep2024 - 15% Off next cycle - mixed signal.</v>
      </c>
    </row>
    <row r="253" spans="2:5" x14ac:dyDescent="0.3">
      <c r="B253" t="s">
        <v>848</v>
      </c>
      <c r="C253" t="str">
        <f>'08_KPI_Promotion'!A100</f>
        <v>Festive Apr2021 - 15% Off</v>
      </c>
      <c r="D253" t="str">
        <f>IF('08_KPI_Promotion'!I100="Discontinue - high margin cost, weak lift","Action Required",IF('08_KPI_Promotion'!I100="Continue - efficient lift for margin cost","OK","Review"))</f>
        <v>OK</v>
      </c>
      <c r="E253" t="str">
        <f>IF('08_KPI_Promotion'!I100="Discontinue - high margin cost, weak lift","Discontinue "&amp;C253&amp;" at next renewal - margin cost "&amp;TEXT('08_KPI_Promotion'!G100,"0.0%")&amp;"pp for "&amp;TEXT('08_KPI_Promotion'!H100,"0.0%")&amp;" AOV lift.",IF('08_KPI_Promotion'!I100="Continue - efficient lift for margin cost","Continue "&amp;C253&amp;" - efficient: "&amp;TEXT('08_KPI_Promotion'!G100,"0.0%")&amp;"pp margin cost for "&amp;TEXT('08_KPI_Promotion'!H100,"0.0%")&amp;" AOV lift.","Review "&amp;C253&amp;" next cycle - mixed signal."))</f>
        <v>Continue Festive Apr2021 - 15% Off - efficient: -13.8%pp margin cost for 5.4% AOV lift.</v>
      </c>
    </row>
    <row r="254" spans="2:5" x14ac:dyDescent="0.3">
      <c r="B254" t="s">
        <v>848</v>
      </c>
      <c r="C254" t="str">
        <f>'08_KPI_Promotion'!A101</f>
        <v>Seasonal Oct2023 - 15% Off</v>
      </c>
      <c r="D254" t="str">
        <f>IF('08_KPI_Promotion'!I101="Discontinue - high margin cost, weak lift","Action Required",IF('08_KPI_Promotion'!I101="Continue - efficient lift for margin cost","OK","Review"))</f>
        <v>Review</v>
      </c>
      <c r="E254" t="str">
        <f>IF('08_KPI_Promotion'!I101="Discontinue - high margin cost, weak lift","Discontinue "&amp;C254&amp;" at next renewal - margin cost "&amp;TEXT('08_KPI_Promotion'!G101,"0.0%")&amp;"pp for "&amp;TEXT('08_KPI_Promotion'!H101,"0.0%")&amp;" AOV lift.",IF('08_KPI_Promotion'!I101="Continue - efficient lift for margin cost","Continue "&amp;C254&amp;" - efficient: "&amp;TEXT('08_KPI_Promotion'!G101,"0.0%")&amp;"pp margin cost for "&amp;TEXT('08_KPI_Promotion'!H101,"0.0%")&amp;" AOV lift.","Review "&amp;C254&amp;" next cycle - mixed signal."))</f>
        <v>Review Seasonal Oct2023 - 15% Off next cycle - mixed signal.</v>
      </c>
    </row>
    <row r="255" spans="2:5" x14ac:dyDescent="0.3">
      <c r="B255" t="s">
        <v>848</v>
      </c>
      <c r="C255" t="str">
        <f>'08_KPI_Promotion'!A102</f>
        <v>Festive Oct2022 - 15% Off</v>
      </c>
      <c r="D255" t="str">
        <f>IF('08_KPI_Promotion'!I102="Discontinue - high margin cost, weak lift","Action Required",IF('08_KPI_Promotion'!I102="Continue - efficient lift for margin cost","OK","Review"))</f>
        <v>OK</v>
      </c>
      <c r="E255" t="str">
        <f>IF('08_KPI_Promotion'!I102="Discontinue - high margin cost, weak lift","Discontinue "&amp;C255&amp;" at next renewal - margin cost "&amp;TEXT('08_KPI_Promotion'!G102,"0.0%")&amp;"pp for "&amp;TEXT('08_KPI_Promotion'!H102,"0.0%")&amp;" AOV lift.",IF('08_KPI_Promotion'!I102="Continue - efficient lift for margin cost","Continue "&amp;C255&amp;" - efficient: "&amp;TEXT('08_KPI_Promotion'!G102,"0.0%")&amp;"pp margin cost for "&amp;TEXT('08_KPI_Promotion'!H102,"0.0%")&amp;" AOV lift.","Review "&amp;C255&amp;" next cycle - mixed signal."))</f>
        <v>Continue Festive Oct2022 - 15% Off - efficient: -13.8%pp margin cost for 0.2% AOV lift.</v>
      </c>
    </row>
    <row r="256" spans="2:5" x14ac:dyDescent="0.3">
      <c r="B256" t="s">
        <v>848</v>
      </c>
      <c r="C256" t="str">
        <f>'08_KPI_Promotion'!A103</f>
        <v>Festive Feb2021 - 15% Off</v>
      </c>
      <c r="D256" t="str">
        <f>IF('08_KPI_Promotion'!I103="Discontinue - high margin cost, weak lift","Action Required",IF('08_KPI_Promotion'!I103="Continue - efficient lift for margin cost","OK","Review"))</f>
        <v>Review</v>
      </c>
      <c r="E256" t="str">
        <f>IF('08_KPI_Promotion'!I103="Discontinue - high margin cost, weak lift","Discontinue "&amp;C256&amp;" at next renewal - margin cost "&amp;TEXT('08_KPI_Promotion'!G103,"0.0%")&amp;"pp for "&amp;TEXT('08_KPI_Promotion'!H103,"0.0%")&amp;" AOV lift.",IF('08_KPI_Promotion'!I103="Continue - efficient lift for margin cost","Continue "&amp;C256&amp;" - efficient: "&amp;TEXT('08_KPI_Promotion'!G103,"0.0%")&amp;"pp margin cost for "&amp;TEXT('08_KPI_Promotion'!H103,"0.0%")&amp;" AOV lift.","Review "&amp;C256&amp;" next cycle - mixed signal."))</f>
        <v>Review Festive Feb2021 - 15% Off next cycle - mixed signal.</v>
      </c>
    </row>
    <row r="257" spans="2:5" x14ac:dyDescent="0.3">
      <c r="B257" t="s">
        <v>848</v>
      </c>
      <c r="C257" t="str">
        <f>'08_KPI_Promotion'!A104</f>
        <v>Loyalty Jan2023 - 15% Off</v>
      </c>
      <c r="D257" t="str">
        <f>IF('08_KPI_Promotion'!I104="Discontinue - high margin cost, weak lift","Action Required",IF('08_KPI_Promotion'!I104="Continue - efficient lift for margin cost","OK","Review"))</f>
        <v>OK</v>
      </c>
      <c r="E257" t="str">
        <f>IF('08_KPI_Promotion'!I104="Discontinue - high margin cost, weak lift","Discontinue "&amp;C257&amp;" at next renewal - margin cost "&amp;TEXT('08_KPI_Promotion'!G104,"0.0%")&amp;"pp for "&amp;TEXT('08_KPI_Promotion'!H104,"0.0%")&amp;" AOV lift.",IF('08_KPI_Promotion'!I104="Continue - efficient lift for margin cost","Continue "&amp;C257&amp;" - efficient: "&amp;TEXT('08_KPI_Promotion'!G104,"0.0%")&amp;"pp margin cost for "&amp;TEXT('08_KPI_Promotion'!H104,"0.0%")&amp;" AOV lift.","Review "&amp;C257&amp;" next cycle - mixed signal."))</f>
        <v>Continue Loyalty Jan2023 - 15% Off - efficient: -13.9%pp margin cost for 2.0% AOV lift.</v>
      </c>
    </row>
    <row r="258" spans="2:5" x14ac:dyDescent="0.3">
      <c r="B258" t="s">
        <v>848</v>
      </c>
      <c r="C258" t="str">
        <f>'08_KPI_Promotion'!A105</f>
        <v>Seasonal Mar2024 - 15% Off</v>
      </c>
      <c r="D258" t="str">
        <f>IF('08_KPI_Promotion'!I105="Discontinue - high margin cost, weak lift","Action Required",IF('08_KPI_Promotion'!I105="Continue - efficient lift for margin cost","OK","Review"))</f>
        <v>OK</v>
      </c>
      <c r="E258" t="str">
        <f>IF('08_KPI_Promotion'!I105="Discontinue - high margin cost, weak lift","Discontinue "&amp;C258&amp;" at next renewal - margin cost "&amp;TEXT('08_KPI_Promotion'!G105,"0.0%")&amp;"pp for "&amp;TEXT('08_KPI_Promotion'!H105,"0.0%")&amp;" AOV lift.",IF('08_KPI_Promotion'!I105="Continue - efficient lift for margin cost","Continue "&amp;C258&amp;" - efficient: "&amp;TEXT('08_KPI_Promotion'!G105,"0.0%")&amp;"pp margin cost for "&amp;TEXT('08_KPI_Promotion'!H105,"0.0%")&amp;" AOV lift.","Review "&amp;C258&amp;" next cycle - mixed signal."))</f>
        <v>Continue Seasonal Mar2024 - 15% Off - efficient: -13.9%pp margin cost for 3.8% AOV lift.</v>
      </c>
    </row>
    <row r="259" spans="2:5" x14ac:dyDescent="0.3">
      <c r="B259" t="s">
        <v>848</v>
      </c>
      <c r="C259" t="str">
        <f>'08_KPI_Promotion'!A106</f>
        <v>Flash Sale Oct2022 - 15% Off</v>
      </c>
      <c r="D259" t="str">
        <f>IF('08_KPI_Promotion'!I106="Discontinue - high margin cost, weak lift","Action Required",IF('08_KPI_Promotion'!I106="Continue - efficient lift for margin cost","OK","Review"))</f>
        <v>Review</v>
      </c>
      <c r="E259" t="str">
        <f>IF('08_KPI_Promotion'!I106="Discontinue - high margin cost, weak lift","Discontinue "&amp;C259&amp;" at next renewal - margin cost "&amp;TEXT('08_KPI_Promotion'!G106,"0.0%")&amp;"pp for "&amp;TEXT('08_KPI_Promotion'!H106,"0.0%")&amp;" AOV lift.",IF('08_KPI_Promotion'!I106="Continue - efficient lift for margin cost","Continue "&amp;C259&amp;" - efficient: "&amp;TEXT('08_KPI_Promotion'!G106,"0.0%")&amp;"pp margin cost for "&amp;TEXT('08_KPI_Promotion'!H106,"0.0%")&amp;" AOV lift.","Review "&amp;C259&amp;" next cycle - mixed signal."))</f>
        <v>Review Flash Sale Oct2022 - 15% Off next cycle - mixed signal.</v>
      </c>
    </row>
    <row r="260" spans="2:5" x14ac:dyDescent="0.3">
      <c r="B260" t="s">
        <v>848</v>
      </c>
      <c r="C260" t="str">
        <f>'08_KPI_Promotion'!A107</f>
        <v>Clearance Jun2021 - 15% Off</v>
      </c>
      <c r="D260" t="str">
        <f>IF('08_KPI_Promotion'!I107="Discontinue - high margin cost, weak lift","Action Required",IF('08_KPI_Promotion'!I107="Continue - efficient lift for margin cost","OK","Review"))</f>
        <v>Review</v>
      </c>
      <c r="E260" t="str">
        <f>IF('08_KPI_Promotion'!I107="Discontinue - high margin cost, weak lift","Discontinue "&amp;C260&amp;" at next renewal - margin cost "&amp;TEXT('08_KPI_Promotion'!G107,"0.0%")&amp;"pp for "&amp;TEXT('08_KPI_Promotion'!H107,"0.0%")&amp;" AOV lift.",IF('08_KPI_Promotion'!I107="Continue - efficient lift for margin cost","Continue "&amp;C260&amp;" - efficient: "&amp;TEXT('08_KPI_Promotion'!G107,"0.0%")&amp;"pp margin cost for "&amp;TEXT('08_KPI_Promotion'!H107,"0.0%")&amp;" AOV lift.","Review "&amp;C260&amp;" next cycle - mixed signal."))</f>
        <v>Review Clearance Jun2021 - 15% Off next cycle - mixed signal.</v>
      </c>
    </row>
    <row r="261" spans="2:5" x14ac:dyDescent="0.3">
      <c r="B261" t="s">
        <v>848</v>
      </c>
      <c r="C261" t="str">
        <f>'08_KPI_Promotion'!A108</f>
        <v>Seasonal Mar2023 - 15% Off</v>
      </c>
      <c r="D261" t="str">
        <f>IF('08_KPI_Promotion'!I108="Discontinue - high margin cost, weak lift","Action Required",IF('08_KPI_Promotion'!I108="Continue - efficient lift for margin cost","OK","Review"))</f>
        <v>Review</v>
      </c>
      <c r="E261" t="str">
        <f>IF('08_KPI_Promotion'!I108="Discontinue - high margin cost, weak lift","Discontinue "&amp;C261&amp;" at next renewal - margin cost "&amp;TEXT('08_KPI_Promotion'!G108,"0.0%")&amp;"pp for "&amp;TEXT('08_KPI_Promotion'!H108,"0.0%")&amp;" AOV lift.",IF('08_KPI_Promotion'!I108="Continue - efficient lift for margin cost","Continue "&amp;C261&amp;" - efficient: "&amp;TEXT('08_KPI_Promotion'!G108,"0.0%")&amp;"pp margin cost for "&amp;TEXT('08_KPI_Promotion'!H108,"0.0%")&amp;" AOV lift.","Review "&amp;C261&amp;" next cycle - mixed signal."))</f>
        <v>Review Seasonal Mar2023 - 15% Off next cycle - mixed signal.</v>
      </c>
    </row>
    <row r="262" spans="2:5" x14ac:dyDescent="0.3">
      <c r="B262" t="s">
        <v>848</v>
      </c>
      <c r="C262" t="str">
        <f>'08_KPI_Promotion'!A109</f>
        <v>Seasonal Sep2022 - 15% Off</v>
      </c>
      <c r="D262" t="str">
        <f>IF('08_KPI_Promotion'!I109="Discontinue - high margin cost, weak lift","Action Required",IF('08_KPI_Promotion'!I109="Continue - efficient lift for margin cost","OK","Review"))</f>
        <v>Review</v>
      </c>
      <c r="E262" t="str">
        <f>IF('08_KPI_Promotion'!I109="Discontinue - high margin cost, weak lift","Discontinue "&amp;C262&amp;" at next renewal - margin cost "&amp;TEXT('08_KPI_Promotion'!G109,"0.0%")&amp;"pp for "&amp;TEXT('08_KPI_Promotion'!H109,"0.0%")&amp;" AOV lift.",IF('08_KPI_Promotion'!I109="Continue - efficient lift for margin cost","Continue "&amp;C262&amp;" - efficient: "&amp;TEXT('08_KPI_Promotion'!G109,"0.0%")&amp;"pp margin cost for "&amp;TEXT('08_KPI_Promotion'!H109,"0.0%")&amp;" AOV lift.","Review "&amp;C262&amp;" next cycle - mixed signal."))</f>
        <v>Review Seasonal Sep2022 - 15% Off next cycle - mixed signal.</v>
      </c>
    </row>
    <row r="263" spans="2:5" x14ac:dyDescent="0.3">
      <c r="B263" t="s">
        <v>848</v>
      </c>
      <c r="C263" t="str">
        <f>'08_KPI_Promotion'!A110</f>
        <v>Festive Oct2021 - 15% Off</v>
      </c>
      <c r="D263" t="str">
        <f>IF('08_KPI_Promotion'!I110="Discontinue - high margin cost, weak lift","Action Required",IF('08_KPI_Promotion'!I110="Continue - efficient lift for margin cost","OK","Review"))</f>
        <v>Review</v>
      </c>
      <c r="E263" t="str">
        <f>IF('08_KPI_Promotion'!I110="Discontinue - high margin cost, weak lift","Discontinue "&amp;C263&amp;" at next renewal - margin cost "&amp;TEXT('08_KPI_Promotion'!G110,"0.0%")&amp;"pp for "&amp;TEXT('08_KPI_Promotion'!H110,"0.0%")&amp;" AOV lift.",IF('08_KPI_Promotion'!I110="Continue - efficient lift for margin cost","Continue "&amp;C263&amp;" - efficient: "&amp;TEXT('08_KPI_Promotion'!G110,"0.0%")&amp;"pp margin cost for "&amp;TEXT('08_KPI_Promotion'!H110,"0.0%")&amp;" AOV lift.","Review "&amp;C263&amp;" next cycle - mixed signal."))</f>
        <v>Review Festive Oct2021 - 15% Off next cycle - mixed signal.</v>
      </c>
    </row>
    <row r="264" spans="2:5" x14ac:dyDescent="0.3">
      <c r="B264" t="s">
        <v>848</v>
      </c>
      <c r="C264" t="str">
        <f>'08_KPI_Promotion'!A111</f>
        <v>Seasonal Apr2024 - 15% Off</v>
      </c>
      <c r="D264" t="str">
        <f>IF('08_KPI_Promotion'!I111="Discontinue - high margin cost, weak lift","Action Required",IF('08_KPI_Promotion'!I111="Continue - efficient lift for margin cost","OK","Review"))</f>
        <v>Review</v>
      </c>
      <c r="E264" t="str">
        <f>IF('08_KPI_Promotion'!I111="Discontinue - high margin cost, weak lift","Discontinue "&amp;C264&amp;" at next renewal - margin cost "&amp;TEXT('08_KPI_Promotion'!G111,"0.0%")&amp;"pp for "&amp;TEXT('08_KPI_Promotion'!H111,"0.0%")&amp;" AOV lift.",IF('08_KPI_Promotion'!I111="Continue - efficient lift for margin cost","Continue "&amp;C264&amp;" - efficient: "&amp;TEXT('08_KPI_Promotion'!G111,"0.0%")&amp;"pp margin cost for "&amp;TEXT('08_KPI_Promotion'!H111,"0.0%")&amp;" AOV lift.","Review "&amp;C264&amp;" next cycle - mixed signal."))</f>
        <v>Review Seasonal Apr2024 - 15% Off next cycle - mixed signal.</v>
      </c>
    </row>
    <row r="265" spans="2:5" x14ac:dyDescent="0.3">
      <c r="B265" t="s">
        <v>848</v>
      </c>
      <c r="C265" t="str">
        <f>'08_KPI_Promotion'!A112</f>
        <v>Clearance Jul2024 - 15% Off</v>
      </c>
      <c r="D265" t="str">
        <f>IF('08_KPI_Promotion'!I112="Discontinue - high margin cost, weak lift","Action Required",IF('08_KPI_Promotion'!I112="Continue - efficient lift for margin cost","OK","Review"))</f>
        <v>Review</v>
      </c>
      <c r="E265" t="str">
        <f>IF('08_KPI_Promotion'!I112="Discontinue - high margin cost, weak lift","Discontinue "&amp;C265&amp;" at next renewal - margin cost "&amp;TEXT('08_KPI_Promotion'!G112,"0.0%")&amp;"pp for "&amp;TEXT('08_KPI_Promotion'!H112,"0.0%")&amp;" AOV lift.",IF('08_KPI_Promotion'!I112="Continue - efficient lift for margin cost","Continue "&amp;C265&amp;" - efficient: "&amp;TEXT('08_KPI_Promotion'!G112,"0.0%")&amp;"pp margin cost for "&amp;TEXT('08_KPI_Promotion'!H112,"0.0%")&amp;" AOV lift.","Review "&amp;C265&amp;" next cycle - mixed signal."))</f>
        <v>Review Clearance Jul2024 - 15% Off next cycle - mixed signal.</v>
      </c>
    </row>
    <row r="266" spans="2:5" x14ac:dyDescent="0.3">
      <c r="B266" t="s">
        <v>848</v>
      </c>
      <c r="C266" t="str">
        <f>'08_KPI_Promotion'!A113</f>
        <v>Clearance Sep2023 - 15% Off</v>
      </c>
      <c r="D266" t="str">
        <f>IF('08_KPI_Promotion'!I113="Discontinue - high margin cost, weak lift","Action Required",IF('08_KPI_Promotion'!I113="Continue - efficient lift for margin cost","OK","Review"))</f>
        <v>Review</v>
      </c>
      <c r="E266" t="str">
        <f>IF('08_KPI_Promotion'!I113="Discontinue - high margin cost, weak lift","Discontinue "&amp;C266&amp;" at next renewal - margin cost "&amp;TEXT('08_KPI_Promotion'!G113,"0.0%")&amp;"pp for "&amp;TEXT('08_KPI_Promotion'!H113,"0.0%")&amp;" AOV lift.",IF('08_KPI_Promotion'!I113="Continue - efficient lift for margin cost","Continue "&amp;C266&amp;" - efficient: "&amp;TEXT('08_KPI_Promotion'!G113,"0.0%")&amp;"pp margin cost for "&amp;TEXT('08_KPI_Promotion'!H113,"0.0%")&amp;" AOV lift.","Review "&amp;C266&amp;" next cycle - mixed signal."))</f>
        <v>Review Clearance Sep2023 - 15% Off next cycle - mixed signal.</v>
      </c>
    </row>
    <row r="267" spans="2:5" x14ac:dyDescent="0.3">
      <c r="B267" t="s">
        <v>848</v>
      </c>
      <c r="C267" t="str">
        <f>'08_KPI_Promotion'!A114</f>
        <v>Clearance Aug2023 - 18% Off</v>
      </c>
      <c r="D267" t="str">
        <f>IF('08_KPI_Promotion'!I114="Discontinue - high margin cost, weak lift","Action Required",IF('08_KPI_Promotion'!I114="Continue - efficient lift for margin cost","OK","Review"))</f>
        <v>Review</v>
      </c>
      <c r="E267" t="str">
        <f>IF('08_KPI_Promotion'!I114="Discontinue - high margin cost, weak lift","Discontinue "&amp;C267&amp;" at next renewal - margin cost "&amp;TEXT('08_KPI_Promotion'!G114,"0.0%")&amp;"pp for "&amp;TEXT('08_KPI_Promotion'!H114,"0.0%")&amp;" AOV lift.",IF('08_KPI_Promotion'!I114="Continue - efficient lift for margin cost","Continue "&amp;C267&amp;" - efficient: "&amp;TEXT('08_KPI_Promotion'!G114,"0.0%")&amp;"pp margin cost for "&amp;TEXT('08_KPI_Promotion'!H114,"0.0%")&amp;" AOV lift.","Review "&amp;C267&amp;" next cycle - mixed signal."))</f>
        <v>Review Clearance Aug2023 - 18% Off next cycle - mixed signal.</v>
      </c>
    </row>
    <row r="268" spans="2:5" x14ac:dyDescent="0.3">
      <c r="B268" t="s">
        <v>848</v>
      </c>
      <c r="C268" t="str">
        <f>'08_KPI_Promotion'!A115</f>
        <v>Clearance Feb2024 - 18% Off</v>
      </c>
      <c r="D268" t="str">
        <f>IF('08_KPI_Promotion'!I115="Discontinue - high margin cost, weak lift","Action Required",IF('08_KPI_Promotion'!I115="Continue - efficient lift for margin cost","OK","Review"))</f>
        <v>Review</v>
      </c>
      <c r="E268" t="str">
        <f>IF('08_KPI_Promotion'!I115="Discontinue - high margin cost, weak lift","Discontinue "&amp;C268&amp;" at next renewal - margin cost "&amp;TEXT('08_KPI_Promotion'!G115,"0.0%")&amp;"pp for "&amp;TEXT('08_KPI_Promotion'!H115,"0.0%")&amp;" AOV lift.",IF('08_KPI_Promotion'!I115="Continue - efficient lift for margin cost","Continue "&amp;C268&amp;" - efficient: "&amp;TEXT('08_KPI_Promotion'!G115,"0.0%")&amp;"pp margin cost for "&amp;TEXT('08_KPI_Promotion'!H115,"0.0%")&amp;" AOV lift.","Review "&amp;C268&amp;" next cycle - mixed signal."))</f>
        <v>Review Clearance Feb2024 - 18% Off next cycle - mixed signal.</v>
      </c>
    </row>
    <row r="269" spans="2:5" x14ac:dyDescent="0.3">
      <c r="B269" t="s">
        <v>848</v>
      </c>
      <c r="C269" t="str">
        <f>'08_KPI_Promotion'!A116</f>
        <v>Festive Aug2024 - 18% Off</v>
      </c>
      <c r="D269" t="str">
        <f>IF('08_KPI_Promotion'!I116="Discontinue - high margin cost, weak lift","Action Required",IF('08_KPI_Promotion'!I116="Continue - efficient lift for margin cost","OK","Review"))</f>
        <v>Review</v>
      </c>
      <c r="E269" t="str">
        <f>IF('08_KPI_Promotion'!I116="Discontinue - high margin cost, weak lift","Discontinue "&amp;C269&amp;" at next renewal - margin cost "&amp;TEXT('08_KPI_Promotion'!G116,"0.0%")&amp;"pp for "&amp;TEXT('08_KPI_Promotion'!H116,"0.0%")&amp;" AOV lift.",IF('08_KPI_Promotion'!I116="Continue - efficient lift for margin cost","Continue "&amp;C269&amp;" - efficient: "&amp;TEXT('08_KPI_Promotion'!G116,"0.0%")&amp;"pp margin cost for "&amp;TEXT('08_KPI_Promotion'!H116,"0.0%")&amp;" AOV lift.","Review "&amp;C269&amp;" next cycle - mixed signal."))</f>
        <v>Review Festive Aug2024 - 18% Off next cycle - mixed signal.</v>
      </c>
    </row>
    <row r="270" spans="2:5" x14ac:dyDescent="0.3">
      <c r="B270" t="s">
        <v>848</v>
      </c>
      <c r="C270" t="str">
        <f>'08_KPI_Promotion'!A117</f>
        <v>Seasonal Jul2021 - 18% Off</v>
      </c>
      <c r="D270" t="str">
        <f>IF('08_KPI_Promotion'!I117="Discontinue - high margin cost, weak lift","Action Required",IF('08_KPI_Promotion'!I117="Continue - efficient lift for margin cost","OK","Review"))</f>
        <v>Review</v>
      </c>
      <c r="E270" t="str">
        <f>IF('08_KPI_Promotion'!I117="Discontinue - high margin cost, weak lift","Discontinue "&amp;C270&amp;" at next renewal - margin cost "&amp;TEXT('08_KPI_Promotion'!G117,"0.0%")&amp;"pp for "&amp;TEXT('08_KPI_Promotion'!H117,"0.0%")&amp;" AOV lift.",IF('08_KPI_Promotion'!I117="Continue - efficient lift for margin cost","Continue "&amp;C270&amp;" - efficient: "&amp;TEXT('08_KPI_Promotion'!G117,"0.0%")&amp;"pp margin cost for "&amp;TEXT('08_KPI_Promotion'!H117,"0.0%")&amp;" AOV lift.","Review "&amp;C270&amp;" next cycle - mixed signal."))</f>
        <v>Review Seasonal Jul2021 - 18% Off next cycle - mixed signal.</v>
      </c>
    </row>
    <row r="271" spans="2:5" x14ac:dyDescent="0.3">
      <c r="B271" t="s">
        <v>848</v>
      </c>
      <c r="C271" t="str">
        <f>'08_KPI_Promotion'!A118</f>
        <v>Loyalty Aug2024 - 18% Off</v>
      </c>
      <c r="D271" t="str">
        <f>IF('08_KPI_Promotion'!I118="Discontinue - high margin cost, weak lift","Action Required",IF('08_KPI_Promotion'!I118="Continue - efficient lift for margin cost","OK","Review"))</f>
        <v>Review</v>
      </c>
      <c r="E271" t="str">
        <f>IF('08_KPI_Promotion'!I118="Discontinue - high margin cost, weak lift","Discontinue "&amp;C271&amp;" at next renewal - margin cost "&amp;TEXT('08_KPI_Promotion'!G118,"0.0%")&amp;"pp for "&amp;TEXT('08_KPI_Promotion'!H118,"0.0%")&amp;" AOV lift.",IF('08_KPI_Promotion'!I118="Continue - efficient lift for margin cost","Continue "&amp;C271&amp;" - efficient: "&amp;TEXT('08_KPI_Promotion'!G118,"0.0%")&amp;"pp margin cost for "&amp;TEXT('08_KPI_Promotion'!H118,"0.0%")&amp;" AOV lift.","Review "&amp;C271&amp;" next cycle - mixed signal."))</f>
        <v>Review Loyalty Aug2024 - 18% Off next cycle - mixed signal.</v>
      </c>
    </row>
    <row r="272" spans="2:5" x14ac:dyDescent="0.3">
      <c r="B272" t="s">
        <v>848</v>
      </c>
      <c r="C272" t="str">
        <f>'08_KPI_Promotion'!A119</f>
        <v>Clearance Nov2024 - 18% Off</v>
      </c>
      <c r="D272" t="str">
        <f>IF('08_KPI_Promotion'!I119="Discontinue - high margin cost, weak lift","Action Required",IF('08_KPI_Promotion'!I119="Continue - efficient lift for margin cost","OK","Review"))</f>
        <v>Review</v>
      </c>
      <c r="E272" t="str">
        <f>IF('08_KPI_Promotion'!I119="Discontinue - high margin cost, weak lift","Discontinue "&amp;C272&amp;" at next renewal - margin cost "&amp;TEXT('08_KPI_Promotion'!G119,"0.0%")&amp;"pp for "&amp;TEXT('08_KPI_Promotion'!H119,"0.0%")&amp;" AOV lift.",IF('08_KPI_Promotion'!I119="Continue - efficient lift for margin cost","Continue "&amp;C272&amp;" - efficient: "&amp;TEXT('08_KPI_Promotion'!G119,"0.0%")&amp;"pp margin cost for "&amp;TEXT('08_KPI_Promotion'!H119,"0.0%")&amp;" AOV lift.","Review "&amp;C272&amp;" next cycle - mixed signal."))</f>
        <v>Review Clearance Nov2024 - 18% Off next cycle - mixed signal.</v>
      </c>
    </row>
    <row r="273" spans="2:5" x14ac:dyDescent="0.3">
      <c r="B273" t="s">
        <v>848</v>
      </c>
      <c r="C273" t="str">
        <f>'08_KPI_Promotion'!A120</f>
        <v>Seasonal Feb2024 - 18% Off</v>
      </c>
      <c r="D273" t="str">
        <f>IF('08_KPI_Promotion'!I120="Discontinue - high margin cost, weak lift","Action Required",IF('08_KPI_Promotion'!I120="Continue - efficient lift for margin cost","OK","Review"))</f>
        <v>Review</v>
      </c>
      <c r="E273" t="str">
        <f>IF('08_KPI_Promotion'!I120="Discontinue - high margin cost, weak lift","Discontinue "&amp;C273&amp;" at next renewal - margin cost "&amp;TEXT('08_KPI_Promotion'!G120,"0.0%")&amp;"pp for "&amp;TEXT('08_KPI_Promotion'!H120,"0.0%")&amp;" AOV lift.",IF('08_KPI_Promotion'!I120="Continue - efficient lift for margin cost","Continue "&amp;C273&amp;" - efficient: "&amp;TEXT('08_KPI_Promotion'!G120,"0.0%")&amp;"pp margin cost for "&amp;TEXT('08_KPI_Promotion'!H120,"0.0%")&amp;" AOV lift.","Review "&amp;C273&amp;" next cycle - mixed signal."))</f>
        <v>Review Seasonal Feb2024 - 18% Off next cycle - mixed signal.</v>
      </c>
    </row>
    <row r="274" spans="2:5" x14ac:dyDescent="0.3">
      <c r="B274" t="s">
        <v>848</v>
      </c>
      <c r="C274" t="str">
        <f>'08_KPI_Promotion'!A121</f>
        <v>Clearance Sep2021 - 18% Off</v>
      </c>
      <c r="D274" t="str">
        <f>IF('08_KPI_Promotion'!I121="Discontinue - high margin cost, weak lift","Action Required",IF('08_KPI_Promotion'!I121="Continue - efficient lift for margin cost","OK","Review"))</f>
        <v>Review</v>
      </c>
      <c r="E274" t="str">
        <f>IF('08_KPI_Promotion'!I121="Discontinue - high margin cost, weak lift","Discontinue "&amp;C274&amp;" at next renewal - margin cost "&amp;TEXT('08_KPI_Promotion'!G121,"0.0%")&amp;"pp for "&amp;TEXT('08_KPI_Promotion'!H121,"0.0%")&amp;" AOV lift.",IF('08_KPI_Promotion'!I121="Continue - efficient lift for margin cost","Continue "&amp;C274&amp;" - efficient: "&amp;TEXT('08_KPI_Promotion'!G121,"0.0%")&amp;"pp margin cost for "&amp;TEXT('08_KPI_Promotion'!H121,"0.0%")&amp;" AOV lift.","Review "&amp;C274&amp;" next cycle - mixed signal."))</f>
        <v>Review Clearance Sep2021 - 18% Off next cycle - mixed signal.</v>
      </c>
    </row>
    <row r="275" spans="2:5" x14ac:dyDescent="0.3">
      <c r="B275" t="s">
        <v>848</v>
      </c>
      <c r="C275" t="str">
        <f>'08_KPI_Promotion'!A122</f>
        <v>Loyalty Jul2024 - 18% Off</v>
      </c>
      <c r="D275" t="str">
        <f>IF('08_KPI_Promotion'!I122="Discontinue - high margin cost, weak lift","Action Required",IF('08_KPI_Promotion'!I122="Continue - efficient lift for margin cost","OK","Review"))</f>
        <v>Review</v>
      </c>
      <c r="E275" t="str">
        <f>IF('08_KPI_Promotion'!I122="Discontinue - high margin cost, weak lift","Discontinue "&amp;C275&amp;" at next renewal - margin cost "&amp;TEXT('08_KPI_Promotion'!G122,"0.0%")&amp;"pp for "&amp;TEXT('08_KPI_Promotion'!H122,"0.0%")&amp;" AOV lift.",IF('08_KPI_Promotion'!I122="Continue - efficient lift for margin cost","Continue "&amp;C275&amp;" - efficient: "&amp;TEXT('08_KPI_Promotion'!G122,"0.0%")&amp;"pp margin cost for "&amp;TEXT('08_KPI_Promotion'!H122,"0.0%")&amp;" AOV lift.","Review "&amp;C275&amp;" next cycle - mixed signal."))</f>
        <v>Review Loyalty Jul2024 - 18% Off next cycle - mixed signal.</v>
      </c>
    </row>
    <row r="276" spans="2:5" x14ac:dyDescent="0.3">
      <c r="B276" t="s">
        <v>848</v>
      </c>
      <c r="C276" t="str">
        <f>'08_KPI_Promotion'!A123</f>
        <v>Festive Feb2024 - 18% Off</v>
      </c>
      <c r="D276" t="str">
        <f>IF('08_KPI_Promotion'!I123="Discontinue - high margin cost, weak lift","Action Required",IF('08_KPI_Promotion'!I123="Continue - efficient lift for margin cost","OK","Review"))</f>
        <v>Review</v>
      </c>
      <c r="E276" t="str">
        <f>IF('08_KPI_Promotion'!I123="Discontinue - high margin cost, weak lift","Discontinue "&amp;C276&amp;" at next renewal - margin cost "&amp;TEXT('08_KPI_Promotion'!G123,"0.0%")&amp;"pp for "&amp;TEXT('08_KPI_Promotion'!H123,"0.0%")&amp;" AOV lift.",IF('08_KPI_Promotion'!I123="Continue - efficient lift for margin cost","Continue "&amp;C276&amp;" - efficient: "&amp;TEXT('08_KPI_Promotion'!G123,"0.0%")&amp;"pp margin cost for "&amp;TEXT('08_KPI_Promotion'!H123,"0.0%")&amp;" AOV lift.","Review "&amp;C276&amp;" next cycle - mixed signal."))</f>
        <v>Review Festive Feb2024 - 18% Off next cycle - mixed signal.</v>
      </c>
    </row>
    <row r="277" spans="2:5" x14ac:dyDescent="0.3">
      <c r="B277" t="s">
        <v>848</v>
      </c>
      <c r="C277" t="str">
        <f>'08_KPI_Promotion'!A124</f>
        <v>Seasonal Feb2023 - 18% Off</v>
      </c>
      <c r="D277" t="str">
        <f>IF('08_KPI_Promotion'!I124="Discontinue - high margin cost, weak lift","Action Required",IF('08_KPI_Promotion'!I124="Continue - efficient lift for margin cost","OK","Review"))</f>
        <v>Review</v>
      </c>
      <c r="E277" t="str">
        <f>IF('08_KPI_Promotion'!I124="Discontinue - high margin cost, weak lift","Discontinue "&amp;C277&amp;" at next renewal - margin cost "&amp;TEXT('08_KPI_Promotion'!G124,"0.0%")&amp;"pp for "&amp;TEXT('08_KPI_Promotion'!H124,"0.0%")&amp;" AOV lift.",IF('08_KPI_Promotion'!I124="Continue - efficient lift for margin cost","Continue "&amp;C277&amp;" - efficient: "&amp;TEXT('08_KPI_Promotion'!G124,"0.0%")&amp;"pp margin cost for "&amp;TEXT('08_KPI_Promotion'!H124,"0.0%")&amp;" AOV lift.","Review "&amp;C277&amp;" next cycle - mixed signal."))</f>
        <v>Review Seasonal Feb2023 - 18% Off next cycle - mixed signal.</v>
      </c>
    </row>
    <row r="278" spans="2:5" x14ac:dyDescent="0.3">
      <c r="B278" t="s">
        <v>848</v>
      </c>
      <c r="C278" t="str">
        <f>'08_KPI_Promotion'!A125</f>
        <v>Clearance Jul2021 - 18% Off</v>
      </c>
      <c r="D278" t="str">
        <f>IF('08_KPI_Promotion'!I125="Discontinue - high margin cost, weak lift","Action Required",IF('08_KPI_Promotion'!I125="Continue - efficient lift for margin cost","OK","Review"))</f>
        <v>Review</v>
      </c>
      <c r="E278" t="str">
        <f>IF('08_KPI_Promotion'!I125="Discontinue - high margin cost, weak lift","Discontinue "&amp;C278&amp;" at next renewal - margin cost "&amp;TEXT('08_KPI_Promotion'!G125,"0.0%")&amp;"pp for "&amp;TEXT('08_KPI_Promotion'!H125,"0.0%")&amp;" AOV lift.",IF('08_KPI_Promotion'!I125="Continue - efficient lift for margin cost","Continue "&amp;C278&amp;" - efficient: "&amp;TEXT('08_KPI_Promotion'!G125,"0.0%")&amp;"pp margin cost for "&amp;TEXT('08_KPI_Promotion'!H125,"0.0%")&amp;" AOV lift.","Review "&amp;C278&amp;" next cycle - mixed signal."))</f>
        <v>Review Clearance Jul2021 - 18% Off next cycle - mixed signal.</v>
      </c>
    </row>
    <row r="279" spans="2:5" x14ac:dyDescent="0.3">
      <c r="B279" t="s">
        <v>848</v>
      </c>
      <c r="C279" t="str">
        <f>'08_KPI_Promotion'!A126</f>
        <v>Festive Apr2024 - 18% Off</v>
      </c>
      <c r="D279" t="str">
        <f>IF('08_KPI_Promotion'!I126="Discontinue - high margin cost, weak lift","Action Required",IF('08_KPI_Promotion'!I126="Continue - efficient lift for margin cost","OK","Review"))</f>
        <v>Review</v>
      </c>
      <c r="E279" t="str">
        <f>IF('08_KPI_Promotion'!I126="Discontinue - high margin cost, weak lift","Discontinue "&amp;C279&amp;" at next renewal - margin cost "&amp;TEXT('08_KPI_Promotion'!G126,"0.0%")&amp;"pp for "&amp;TEXT('08_KPI_Promotion'!H126,"0.0%")&amp;" AOV lift.",IF('08_KPI_Promotion'!I126="Continue - efficient lift for margin cost","Continue "&amp;C279&amp;" - efficient: "&amp;TEXT('08_KPI_Promotion'!G126,"0.0%")&amp;"pp margin cost for "&amp;TEXT('08_KPI_Promotion'!H126,"0.0%")&amp;" AOV lift.","Review "&amp;C279&amp;" next cycle - mixed signal."))</f>
        <v>Review Festive Apr2024 - 18% Off next cycle - mixed signal.</v>
      </c>
    </row>
    <row r="280" spans="2:5" x14ac:dyDescent="0.3">
      <c r="B280" t="s">
        <v>848</v>
      </c>
      <c r="C280" t="str">
        <f>'08_KPI_Promotion'!A127</f>
        <v>Loyalty Oct2023 - 18% Off</v>
      </c>
      <c r="D280" t="str">
        <f>IF('08_KPI_Promotion'!I127="Discontinue - high margin cost, weak lift","Action Required",IF('08_KPI_Promotion'!I127="Continue - efficient lift for margin cost","OK","Review"))</f>
        <v>Review</v>
      </c>
      <c r="E280" t="str">
        <f>IF('08_KPI_Promotion'!I127="Discontinue - high margin cost, weak lift","Discontinue "&amp;C280&amp;" at next renewal - margin cost "&amp;TEXT('08_KPI_Promotion'!G127,"0.0%")&amp;"pp for "&amp;TEXT('08_KPI_Promotion'!H127,"0.0%")&amp;" AOV lift.",IF('08_KPI_Promotion'!I127="Continue - efficient lift for margin cost","Continue "&amp;C280&amp;" - efficient: "&amp;TEXT('08_KPI_Promotion'!G127,"0.0%")&amp;"pp margin cost for "&amp;TEXT('08_KPI_Promotion'!H127,"0.0%")&amp;" AOV lift.","Review "&amp;C280&amp;" next cycle - mixed signal."))</f>
        <v>Review Loyalty Oct2023 - 18% Off next cycle - mixed signal.</v>
      </c>
    </row>
    <row r="281" spans="2:5" x14ac:dyDescent="0.3">
      <c r="B281" t="s">
        <v>848</v>
      </c>
      <c r="C281" t="str">
        <f>'08_KPI_Promotion'!A128</f>
        <v>Festive Sep2023 - 18% Off</v>
      </c>
      <c r="D281" t="str">
        <f>IF('08_KPI_Promotion'!I128="Discontinue - high margin cost, weak lift","Action Required",IF('08_KPI_Promotion'!I128="Continue - efficient lift for margin cost","OK","Review"))</f>
        <v>Review</v>
      </c>
      <c r="E281" t="str">
        <f>IF('08_KPI_Promotion'!I128="Discontinue - high margin cost, weak lift","Discontinue "&amp;C281&amp;" at next renewal - margin cost "&amp;TEXT('08_KPI_Promotion'!G128,"0.0%")&amp;"pp for "&amp;TEXT('08_KPI_Promotion'!H128,"0.0%")&amp;" AOV lift.",IF('08_KPI_Promotion'!I128="Continue - efficient lift for margin cost","Continue "&amp;C281&amp;" - efficient: "&amp;TEXT('08_KPI_Promotion'!G128,"0.0%")&amp;"pp margin cost for "&amp;TEXT('08_KPI_Promotion'!H128,"0.0%")&amp;" AOV lift.","Review "&amp;C281&amp;" next cycle - mixed signal."))</f>
        <v>Review Festive Sep2023 - 18% Off next cycle - mixed signal.</v>
      </c>
    </row>
    <row r="282" spans="2:5" x14ac:dyDescent="0.3">
      <c r="B282" t="s">
        <v>848</v>
      </c>
      <c r="C282" t="str">
        <f>'08_KPI_Promotion'!A129</f>
        <v>Festive Apr2023 - 18% Off</v>
      </c>
      <c r="D282" t="str">
        <f>IF('08_KPI_Promotion'!I129="Discontinue - high margin cost, weak lift","Action Required",IF('08_KPI_Promotion'!I129="Continue - efficient lift for margin cost","OK","Review"))</f>
        <v>Review</v>
      </c>
      <c r="E282" t="str">
        <f>IF('08_KPI_Promotion'!I129="Discontinue - high margin cost, weak lift","Discontinue "&amp;C282&amp;" at next renewal - margin cost "&amp;TEXT('08_KPI_Promotion'!G129,"0.0%")&amp;"pp for "&amp;TEXT('08_KPI_Promotion'!H129,"0.0%")&amp;" AOV lift.",IF('08_KPI_Promotion'!I129="Continue - efficient lift for margin cost","Continue "&amp;C282&amp;" - efficient: "&amp;TEXT('08_KPI_Promotion'!G129,"0.0%")&amp;"pp margin cost for "&amp;TEXT('08_KPI_Promotion'!H129,"0.0%")&amp;" AOV lift.","Review "&amp;C282&amp;" next cycle - mixed signal."))</f>
        <v>Review Festive Apr2023 - 18% Off next cycle - mixed signal.</v>
      </c>
    </row>
    <row r="283" spans="2:5" x14ac:dyDescent="0.3">
      <c r="B283" t="s">
        <v>848</v>
      </c>
      <c r="C283" t="str">
        <f>'08_KPI_Promotion'!A130</f>
        <v>Clearance Feb2024 - 18% Off</v>
      </c>
      <c r="D283" t="str">
        <f>IF('08_KPI_Promotion'!I130="Discontinue - high margin cost, weak lift","Action Required",IF('08_KPI_Promotion'!I130="Continue - efficient lift for margin cost","OK","Review"))</f>
        <v>Review</v>
      </c>
      <c r="E283" t="str">
        <f>IF('08_KPI_Promotion'!I130="Discontinue - high margin cost, weak lift","Discontinue "&amp;C283&amp;" at next renewal - margin cost "&amp;TEXT('08_KPI_Promotion'!G130,"0.0%")&amp;"pp for "&amp;TEXT('08_KPI_Promotion'!H130,"0.0%")&amp;" AOV lift.",IF('08_KPI_Promotion'!I130="Continue - efficient lift for margin cost","Continue "&amp;C283&amp;" - efficient: "&amp;TEXT('08_KPI_Promotion'!G130,"0.0%")&amp;"pp margin cost for "&amp;TEXT('08_KPI_Promotion'!H130,"0.0%")&amp;" AOV lift.","Review "&amp;C283&amp;" next cycle - mixed signal."))</f>
        <v>Review Clearance Feb2024 - 18% Off next cycle - mixed signal.</v>
      </c>
    </row>
    <row r="284" spans="2:5" x14ac:dyDescent="0.3">
      <c r="B284" t="s">
        <v>848</v>
      </c>
      <c r="C284" t="str">
        <f>'08_KPI_Promotion'!A131</f>
        <v>Clearance Jul2023 - 18% Off</v>
      </c>
      <c r="D284" t="str">
        <f>IF('08_KPI_Promotion'!I131="Discontinue - high margin cost, weak lift","Action Required",IF('08_KPI_Promotion'!I131="Continue - efficient lift for margin cost","OK","Review"))</f>
        <v>Review</v>
      </c>
      <c r="E284" t="str">
        <f>IF('08_KPI_Promotion'!I131="Discontinue - high margin cost, weak lift","Discontinue "&amp;C284&amp;" at next renewal - margin cost "&amp;TEXT('08_KPI_Promotion'!G131,"0.0%")&amp;"pp for "&amp;TEXT('08_KPI_Promotion'!H131,"0.0%")&amp;" AOV lift.",IF('08_KPI_Promotion'!I131="Continue - efficient lift for margin cost","Continue "&amp;C284&amp;" - efficient: "&amp;TEXT('08_KPI_Promotion'!G131,"0.0%")&amp;"pp margin cost for "&amp;TEXT('08_KPI_Promotion'!H131,"0.0%")&amp;" AOV lift.","Review "&amp;C284&amp;" next cycle - mixed signal."))</f>
        <v>Review Clearance Jul2023 - 18% Off next cycle - mixed signal.</v>
      </c>
    </row>
    <row r="285" spans="2:5" x14ac:dyDescent="0.3">
      <c r="B285" t="s">
        <v>848</v>
      </c>
      <c r="C285" t="str">
        <f>'08_KPI_Promotion'!A132</f>
        <v>Seasonal Jan2021 - 18% Off</v>
      </c>
      <c r="D285" t="str">
        <f>IF('08_KPI_Promotion'!I132="Discontinue - high margin cost, weak lift","Action Required",IF('08_KPI_Promotion'!I132="Continue - efficient lift for margin cost","OK","Review"))</f>
        <v>Review</v>
      </c>
      <c r="E285" t="str">
        <f>IF('08_KPI_Promotion'!I132="Discontinue - high margin cost, weak lift","Discontinue "&amp;C285&amp;" at next renewal - margin cost "&amp;TEXT('08_KPI_Promotion'!G132,"0.0%")&amp;"pp for "&amp;TEXT('08_KPI_Promotion'!H132,"0.0%")&amp;" AOV lift.",IF('08_KPI_Promotion'!I132="Continue - efficient lift for margin cost","Continue "&amp;C285&amp;" - efficient: "&amp;TEXT('08_KPI_Promotion'!G132,"0.0%")&amp;"pp margin cost for "&amp;TEXT('08_KPI_Promotion'!H132,"0.0%")&amp;" AOV lift.","Review "&amp;C285&amp;" next cycle - mixed signal."))</f>
        <v>Review Seasonal Jan2021 - 18% Off next cycle - mixed signal.</v>
      </c>
    </row>
    <row r="286" spans="2:5" x14ac:dyDescent="0.3">
      <c r="B286" t="s">
        <v>848</v>
      </c>
      <c r="C286" t="str">
        <f>'08_KPI_Promotion'!A133</f>
        <v>Loyalty Jul2023 - 18% Off</v>
      </c>
      <c r="D286" t="str">
        <f>IF('08_KPI_Promotion'!I133="Discontinue - high margin cost, weak lift","Action Required",IF('08_KPI_Promotion'!I133="Continue - efficient lift for margin cost","OK","Review"))</f>
        <v>Review</v>
      </c>
      <c r="E286" t="str">
        <f>IF('08_KPI_Promotion'!I133="Discontinue - high margin cost, weak lift","Discontinue "&amp;C286&amp;" at next renewal - margin cost "&amp;TEXT('08_KPI_Promotion'!G133,"0.0%")&amp;"pp for "&amp;TEXT('08_KPI_Promotion'!H133,"0.0%")&amp;" AOV lift.",IF('08_KPI_Promotion'!I133="Continue - efficient lift for margin cost","Continue "&amp;C286&amp;" - efficient: "&amp;TEXT('08_KPI_Promotion'!G133,"0.0%")&amp;"pp margin cost for "&amp;TEXT('08_KPI_Promotion'!H133,"0.0%")&amp;" AOV lift.","Review "&amp;C286&amp;" next cycle - mixed signal."))</f>
        <v>Review Loyalty Jul2023 - 18% Off next cycle - mixed signal.</v>
      </c>
    </row>
    <row r="287" spans="2:5" x14ac:dyDescent="0.3">
      <c r="B287" t="s">
        <v>848</v>
      </c>
      <c r="C287" t="str">
        <f>'08_KPI_Promotion'!A134</f>
        <v>Clearance Feb2024 - 18% Off</v>
      </c>
      <c r="D287" t="str">
        <f>IF('08_KPI_Promotion'!I134="Discontinue - high margin cost, weak lift","Action Required",IF('08_KPI_Promotion'!I134="Continue - efficient lift for margin cost","OK","Review"))</f>
        <v>Review</v>
      </c>
      <c r="E287" t="str">
        <f>IF('08_KPI_Promotion'!I134="Discontinue - high margin cost, weak lift","Discontinue "&amp;C287&amp;" at next renewal - margin cost "&amp;TEXT('08_KPI_Promotion'!G134,"0.0%")&amp;"pp for "&amp;TEXT('08_KPI_Promotion'!H134,"0.0%")&amp;" AOV lift.",IF('08_KPI_Promotion'!I134="Continue - efficient lift for margin cost","Continue "&amp;C287&amp;" - efficient: "&amp;TEXT('08_KPI_Promotion'!G134,"0.0%")&amp;"pp margin cost for "&amp;TEXT('08_KPI_Promotion'!H134,"0.0%")&amp;" AOV lift.","Review "&amp;C287&amp;" next cycle - mixed signal."))</f>
        <v>Review Clearance Feb2024 - 18% Off next cycle - mixed signal.</v>
      </c>
    </row>
    <row r="288" spans="2:5" x14ac:dyDescent="0.3">
      <c r="B288" t="s">
        <v>848</v>
      </c>
      <c r="C288" t="str">
        <f>'08_KPI_Promotion'!A135</f>
        <v>Festive Feb2023 - 18% Off</v>
      </c>
      <c r="D288" t="str">
        <f>IF('08_KPI_Promotion'!I135="Discontinue - high margin cost, weak lift","Action Required",IF('08_KPI_Promotion'!I135="Continue - efficient lift for margin cost","OK","Review"))</f>
        <v>Review</v>
      </c>
      <c r="E288" t="str">
        <f>IF('08_KPI_Promotion'!I135="Discontinue - high margin cost, weak lift","Discontinue "&amp;C288&amp;" at next renewal - margin cost "&amp;TEXT('08_KPI_Promotion'!G135,"0.0%")&amp;"pp for "&amp;TEXT('08_KPI_Promotion'!H135,"0.0%")&amp;" AOV lift.",IF('08_KPI_Promotion'!I135="Continue - efficient lift for margin cost","Continue "&amp;C288&amp;" - efficient: "&amp;TEXT('08_KPI_Promotion'!G135,"0.0%")&amp;"pp margin cost for "&amp;TEXT('08_KPI_Promotion'!H135,"0.0%")&amp;" AOV lift.","Review "&amp;C288&amp;" next cycle - mixed signal."))</f>
        <v>Review Festive Feb2023 - 18% Off next cycle - mixed signal.</v>
      </c>
    </row>
    <row r="289" spans="2:5" x14ac:dyDescent="0.3">
      <c r="B289" t="s">
        <v>848</v>
      </c>
      <c r="C289" t="str">
        <f>'08_KPI_Promotion'!A136</f>
        <v>Flash Sale Sep2023 - 18% Off</v>
      </c>
      <c r="D289" t="str">
        <f>IF('08_KPI_Promotion'!I136="Discontinue - high margin cost, weak lift","Action Required",IF('08_KPI_Promotion'!I136="Continue - efficient lift for margin cost","OK","Review"))</f>
        <v>Review</v>
      </c>
      <c r="E289" t="str">
        <f>IF('08_KPI_Promotion'!I136="Discontinue - high margin cost, weak lift","Discontinue "&amp;C289&amp;" at next renewal - margin cost "&amp;TEXT('08_KPI_Promotion'!G136,"0.0%")&amp;"pp for "&amp;TEXT('08_KPI_Promotion'!H136,"0.0%")&amp;" AOV lift.",IF('08_KPI_Promotion'!I136="Continue - efficient lift for margin cost","Continue "&amp;C289&amp;" - efficient: "&amp;TEXT('08_KPI_Promotion'!G136,"0.0%")&amp;"pp margin cost for "&amp;TEXT('08_KPI_Promotion'!H136,"0.0%")&amp;" AOV lift.","Review "&amp;C289&amp;" next cycle - mixed signal."))</f>
        <v>Review Flash Sale Sep2023 - 18% Off next cycle - mixed signal.</v>
      </c>
    </row>
    <row r="290" spans="2:5" x14ac:dyDescent="0.3">
      <c r="B290" t="s">
        <v>848</v>
      </c>
      <c r="C290" t="str">
        <f>'08_KPI_Promotion'!A137</f>
        <v>Flash Sale Feb2021 - 20% Off</v>
      </c>
      <c r="D290" t="str">
        <f>IF('08_KPI_Promotion'!I137="Discontinue - high margin cost, weak lift","Action Required",IF('08_KPI_Promotion'!I137="Continue - efficient lift for margin cost","OK","Review"))</f>
        <v>Review</v>
      </c>
      <c r="E290" t="str">
        <f>IF('08_KPI_Promotion'!I137="Discontinue - high margin cost, weak lift","Discontinue "&amp;C290&amp;" at next renewal - margin cost "&amp;TEXT('08_KPI_Promotion'!G137,"0.0%")&amp;"pp for "&amp;TEXT('08_KPI_Promotion'!H137,"0.0%")&amp;" AOV lift.",IF('08_KPI_Promotion'!I137="Continue - efficient lift for margin cost","Continue "&amp;C290&amp;" - efficient: "&amp;TEXT('08_KPI_Promotion'!G137,"0.0%")&amp;"pp margin cost for "&amp;TEXT('08_KPI_Promotion'!H137,"0.0%")&amp;" AOV lift.","Review "&amp;C290&amp;" next cycle - mixed signal."))</f>
        <v>Review Flash Sale Feb2021 - 20% Off next cycle - mixed signal.</v>
      </c>
    </row>
    <row r="291" spans="2:5" x14ac:dyDescent="0.3">
      <c r="B291" t="s">
        <v>848</v>
      </c>
      <c r="C291" t="str">
        <f>'08_KPI_Promotion'!A138</f>
        <v>Flash Sale Apr2022 - 20% Off</v>
      </c>
      <c r="D291" t="str">
        <f>IF('08_KPI_Promotion'!I138="Discontinue - high margin cost, weak lift","Action Required",IF('08_KPI_Promotion'!I138="Continue - efficient lift for margin cost","OK","Review"))</f>
        <v>Review</v>
      </c>
      <c r="E291" t="str">
        <f>IF('08_KPI_Promotion'!I138="Discontinue - high margin cost, weak lift","Discontinue "&amp;C291&amp;" at next renewal - margin cost "&amp;TEXT('08_KPI_Promotion'!G138,"0.0%")&amp;"pp for "&amp;TEXT('08_KPI_Promotion'!H138,"0.0%")&amp;" AOV lift.",IF('08_KPI_Promotion'!I138="Continue - efficient lift for margin cost","Continue "&amp;C291&amp;" - efficient: "&amp;TEXT('08_KPI_Promotion'!G138,"0.0%")&amp;"pp margin cost for "&amp;TEXT('08_KPI_Promotion'!H138,"0.0%")&amp;" AOV lift.","Review "&amp;C291&amp;" next cycle - mixed signal."))</f>
        <v>Review Flash Sale Apr2022 - 20% Off next cycle - mixed signal.</v>
      </c>
    </row>
    <row r="292" spans="2:5" x14ac:dyDescent="0.3">
      <c r="B292" t="s">
        <v>848</v>
      </c>
      <c r="C292" t="str">
        <f>'08_KPI_Promotion'!A139</f>
        <v>Flash Sale Oct2023 - 20% Off</v>
      </c>
      <c r="D292" t="str">
        <f>IF('08_KPI_Promotion'!I139="Discontinue - high margin cost, weak lift","Action Required",IF('08_KPI_Promotion'!I139="Continue - efficient lift for margin cost","OK","Review"))</f>
        <v>Review</v>
      </c>
      <c r="E292" t="str">
        <f>IF('08_KPI_Promotion'!I139="Discontinue - high margin cost, weak lift","Discontinue "&amp;C292&amp;" at next renewal - margin cost "&amp;TEXT('08_KPI_Promotion'!G139,"0.0%")&amp;"pp for "&amp;TEXT('08_KPI_Promotion'!H139,"0.0%")&amp;" AOV lift.",IF('08_KPI_Promotion'!I139="Continue - efficient lift for margin cost","Continue "&amp;C292&amp;" - efficient: "&amp;TEXT('08_KPI_Promotion'!G139,"0.0%")&amp;"pp margin cost for "&amp;TEXT('08_KPI_Promotion'!H139,"0.0%")&amp;" AOV lift.","Review "&amp;C292&amp;" next cycle - mixed signal."))</f>
        <v>Review Flash Sale Oct2023 - 20% Off next cycle - mixed signal.</v>
      </c>
    </row>
    <row r="293" spans="2:5" x14ac:dyDescent="0.3">
      <c r="B293" t="s">
        <v>848</v>
      </c>
      <c r="C293" t="str">
        <f>'08_KPI_Promotion'!A140</f>
        <v>Festive Apr2021 - 20% Off</v>
      </c>
      <c r="D293" t="str">
        <f>IF('08_KPI_Promotion'!I140="Discontinue - high margin cost, weak lift","Action Required",IF('08_KPI_Promotion'!I140="Continue - efficient lift for margin cost","OK","Review"))</f>
        <v>Review</v>
      </c>
      <c r="E293" t="str">
        <f>IF('08_KPI_Promotion'!I140="Discontinue - high margin cost, weak lift","Discontinue "&amp;C293&amp;" at next renewal - margin cost "&amp;TEXT('08_KPI_Promotion'!G140,"0.0%")&amp;"pp for "&amp;TEXT('08_KPI_Promotion'!H140,"0.0%")&amp;" AOV lift.",IF('08_KPI_Promotion'!I140="Continue - efficient lift for margin cost","Continue "&amp;C293&amp;" - efficient: "&amp;TEXT('08_KPI_Promotion'!G140,"0.0%")&amp;"pp margin cost for "&amp;TEXT('08_KPI_Promotion'!H140,"0.0%")&amp;" AOV lift.","Review "&amp;C293&amp;" next cycle - mixed signal."))</f>
        <v>Review Festive Apr2021 - 20% Off next cycle - mixed signal.</v>
      </c>
    </row>
    <row r="294" spans="2:5" x14ac:dyDescent="0.3">
      <c r="B294" t="s">
        <v>848</v>
      </c>
      <c r="C294" t="str">
        <f>'08_KPI_Promotion'!A141</f>
        <v>Seasonal Jan2024 - 20% Off</v>
      </c>
      <c r="D294" t="str">
        <f>IF('08_KPI_Promotion'!I141="Discontinue - high margin cost, weak lift","Action Required",IF('08_KPI_Promotion'!I141="Continue - efficient lift for margin cost","OK","Review"))</f>
        <v>Review</v>
      </c>
      <c r="E294" t="str">
        <f>IF('08_KPI_Promotion'!I141="Discontinue - high margin cost, weak lift","Discontinue "&amp;C294&amp;" at next renewal - margin cost "&amp;TEXT('08_KPI_Promotion'!G141,"0.0%")&amp;"pp for "&amp;TEXT('08_KPI_Promotion'!H141,"0.0%")&amp;" AOV lift.",IF('08_KPI_Promotion'!I141="Continue - efficient lift for margin cost","Continue "&amp;C294&amp;" - efficient: "&amp;TEXT('08_KPI_Promotion'!G141,"0.0%")&amp;"pp margin cost for "&amp;TEXT('08_KPI_Promotion'!H141,"0.0%")&amp;" AOV lift.","Review "&amp;C294&amp;" next cycle - mixed signal."))</f>
        <v>Review Seasonal Jan2024 - 20% Off next cycle - mixed signal.</v>
      </c>
    </row>
    <row r="295" spans="2:5" x14ac:dyDescent="0.3">
      <c r="B295" t="s">
        <v>848</v>
      </c>
      <c r="C295" t="str">
        <f>'08_KPI_Promotion'!A142</f>
        <v>Loyalty May2022 - 20% Off</v>
      </c>
      <c r="D295" t="str">
        <f>IF('08_KPI_Promotion'!I142="Discontinue - high margin cost, weak lift","Action Required",IF('08_KPI_Promotion'!I142="Continue - efficient lift for margin cost","OK","Review"))</f>
        <v>Review</v>
      </c>
      <c r="E295" t="str">
        <f>IF('08_KPI_Promotion'!I142="Discontinue - high margin cost, weak lift","Discontinue "&amp;C295&amp;" at next renewal - margin cost "&amp;TEXT('08_KPI_Promotion'!G142,"0.0%")&amp;"pp for "&amp;TEXT('08_KPI_Promotion'!H142,"0.0%")&amp;" AOV lift.",IF('08_KPI_Promotion'!I142="Continue - efficient lift for margin cost","Continue "&amp;C295&amp;" - efficient: "&amp;TEXT('08_KPI_Promotion'!G142,"0.0%")&amp;"pp margin cost for "&amp;TEXT('08_KPI_Promotion'!H142,"0.0%")&amp;" AOV lift.","Review "&amp;C295&amp;" next cycle - mixed signal."))</f>
        <v>Review Loyalty May2022 - 20% Off next cycle - mixed signal.</v>
      </c>
    </row>
    <row r="296" spans="2:5" x14ac:dyDescent="0.3">
      <c r="B296" t="s">
        <v>848</v>
      </c>
      <c r="C296" t="str">
        <f>'08_KPI_Promotion'!A143</f>
        <v>Festive Nov2024 - 20% Off</v>
      </c>
      <c r="D296" t="str">
        <f>IF('08_KPI_Promotion'!I143="Discontinue - high margin cost, weak lift","Action Required",IF('08_KPI_Promotion'!I143="Continue - efficient lift for margin cost","OK","Review"))</f>
        <v>Review</v>
      </c>
      <c r="E296" t="str">
        <f>IF('08_KPI_Promotion'!I143="Discontinue - high margin cost, weak lift","Discontinue "&amp;C296&amp;" at next renewal - margin cost "&amp;TEXT('08_KPI_Promotion'!G143,"0.0%")&amp;"pp for "&amp;TEXT('08_KPI_Promotion'!H143,"0.0%")&amp;" AOV lift.",IF('08_KPI_Promotion'!I143="Continue - efficient lift for margin cost","Continue "&amp;C296&amp;" - efficient: "&amp;TEXT('08_KPI_Promotion'!G143,"0.0%")&amp;"pp margin cost for "&amp;TEXT('08_KPI_Promotion'!H143,"0.0%")&amp;" AOV lift.","Review "&amp;C296&amp;" next cycle - mixed signal."))</f>
        <v>Review Festive Nov2024 - 20% Off next cycle - mixed signal.</v>
      </c>
    </row>
    <row r="297" spans="2:5" x14ac:dyDescent="0.3">
      <c r="B297" t="s">
        <v>848</v>
      </c>
      <c r="C297" t="str">
        <f>'08_KPI_Promotion'!A144</f>
        <v>Seasonal Aug2021 - 20% Off</v>
      </c>
      <c r="D297" t="str">
        <f>IF('08_KPI_Promotion'!I144="Discontinue - high margin cost, weak lift","Action Required",IF('08_KPI_Promotion'!I144="Continue - efficient lift for margin cost","OK","Review"))</f>
        <v>Review</v>
      </c>
      <c r="E297" t="str">
        <f>IF('08_KPI_Promotion'!I144="Discontinue - high margin cost, weak lift","Discontinue "&amp;C297&amp;" at next renewal - margin cost "&amp;TEXT('08_KPI_Promotion'!G144,"0.0%")&amp;"pp for "&amp;TEXT('08_KPI_Promotion'!H144,"0.0%")&amp;" AOV lift.",IF('08_KPI_Promotion'!I144="Continue - efficient lift for margin cost","Continue "&amp;C297&amp;" - efficient: "&amp;TEXT('08_KPI_Promotion'!G144,"0.0%")&amp;"pp margin cost for "&amp;TEXT('08_KPI_Promotion'!H144,"0.0%")&amp;" AOV lift.","Review "&amp;C297&amp;" next cycle - mixed signal."))</f>
        <v>Review Seasonal Aug2021 - 20% Off next cycle - mixed signal.</v>
      </c>
    </row>
    <row r="298" spans="2:5" x14ac:dyDescent="0.3">
      <c r="B298" t="s">
        <v>848</v>
      </c>
      <c r="C298" t="str">
        <f>'08_KPI_Promotion'!A145</f>
        <v>Clearance Nov2024 - 20% Off</v>
      </c>
      <c r="D298" t="str">
        <f>IF('08_KPI_Promotion'!I145="Discontinue - high margin cost, weak lift","Action Required",IF('08_KPI_Promotion'!I145="Continue - efficient lift for margin cost","OK","Review"))</f>
        <v>Review</v>
      </c>
      <c r="E298" t="str">
        <f>IF('08_KPI_Promotion'!I145="Discontinue - high margin cost, weak lift","Discontinue "&amp;C298&amp;" at next renewal - margin cost "&amp;TEXT('08_KPI_Promotion'!G145,"0.0%")&amp;"pp for "&amp;TEXT('08_KPI_Promotion'!H145,"0.0%")&amp;" AOV lift.",IF('08_KPI_Promotion'!I145="Continue - efficient lift for margin cost","Continue "&amp;C298&amp;" - efficient: "&amp;TEXT('08_KPI_Promotion'!G145,"0.0%")&amp;"pp margin cost for "&amp;TEXT('08_KPI_Promotion'!H145,"0.0%")&amp;" AOV lift.","Review "&amp;C298&amp;" next cycle - mixed signal."))</f>
        <v>Review Clearance Nov2024 - 20% Off next cycle - mixed signal.</v>
      </c>
    </row>
    <row r="299" spans="2:5" x14ac:dyDescent="0.3">
      <c r="B299" t="s">
        <v>848</v>
      </c>
      <c r="C299" t="str">
        <f>'08_KPI_Promotion'!A146</f>
        <v>Seasonal Sep2023 - 20% Off</v>
      </c>
      <c r="D299" t="str">
        <f>IF('08_KPI_Promotion'!I146="Discontinue - high margin cost, weak lift","Action Required",IF('08_KPI_Promotion'!I146="Continue - efficient lift for margin cost","OK","Review"))</f>
        <v>Review</v>
      </c>
      <c r="E299" t="str">
        <f>IF('08_KPI_Promotion'!I146="Discontinue - high margin cost, weak lift","Discontinue "&amp;C299&amp;" at next renewal - margin cost "&amp;TEXT('08_KPI_Promotion'!G146,"0.0%")&amp;"pp for "&amp;TEXT('08_KPI_Promotion'!H146,"0.0%")&amp;" AOV lift.",IF('08_KPI_Promotion'!I146="Continue - efficient lift for margin cost","Continue "&amp;C299&amp;" - efficient: "&amp;TEXT('08_KPI_Promotion'!G146,"0.0%")&amp;"pp margin cost for "&amp;TEXT('08_KPI_Promotion'!H146,"0.0%")&amp;" AOV lift.","Review "&amp;C299&amp;" next cycle - mixed signal."))</f>
        <v>Review Seasonal Sep2023 - 20% Off next cycle - mixed signal.</v>
      </c>
    </row>
    <row r="300" spans="2:5" x14ac:dyDescent="0.3">
      <c r="B300" t="s">
        <v>848</v>
      </c>
      <c r="C300" t="str">
        <f>'08_KPI_Promotion'!A147</f>
        <v>Festive Sep2022 - 20% Off</v>
      </c>
      <c r="D300" t="str">
        <f>IF('08_KPI_Promotion'!I147="Discontinue - high margin cost, weak lift","Action Required",IF('08_KPI_Promotion'!I147="Continue - efficient lift for margin cost","OK","Review"))</f>
        <v>Review</v>
      </c>
      <c r="E300" t="str">
        <f>IF('08_KPI_Promotion'!I147="Discontinue - high margin cost, weak lift","Discontinue "&amp;C300&amp;" at next renewal - margin cost "&amp;TEXT('08_KPI_Promotion'!G147,"0.0%")&amp;"pp for "&amp;TEXT('08_KPI_Promotion'!H147,"0.0%")&amp;" AOV lift.",IF('08_KPI_Promotion'!I147="Continue - efficient lift for margin cost","Continue "&amp;C300&amp;" - efficient: "&amp;TEXT('08_KPI_Promotion'!G147,"0.0%")&amp;"pp margin cost for "&amp;TEXT('08_KPI_Promotion'!H147,"0.0%")&amp;" AOV lift.","Review "&amp;C300&amp;" next cycle - mixed signal."))</f>
        <v>Review Festive Sep2022 - 20% Off next cycle - mixed signal.</v>
      </c>
    </row>
    <row r="301" spans="2:5" x14ac:dyDescent="0.3">
      <c r="B301" t="s">
        <v>848</v>
      </c>
      <c r="C301" t="str">
        <f>'08_KPI_Promotion'!A148</f>
        <v>Seasonal Sep2021 - 20% Off</v>
      </c>
      <c r="D301" t="str">
        <f>IF('08_KPI_Promotion'!I148="Discontinue - high margin cost, weak lift","Action Required",IF('08_KPI_Promotion'!I148="Continue - efficient lift for margin cost","OK","Review"))</f>
        <v>Review</v>
      </c>
      <c r="E301" t="str">
        <f>IF('08_KPI_Promotion'!I148="Discontinue - high margin cost, weak lift","Discontinue "&amp;C301&amp;" at next renewal - margin cost "&amp;TEXT('08_KPI_Promotion'!G148,"0.0%")&amp;"pp for "&amp;TEXT('08_KPI_Promotion'!H148,"0.0%")&amp;" AOV lift.",IF('08_KPI_Promotion'!I148="Continue - efficient lift for margin cost","Continue "&amp;C301&amp;" - efficient: "&amp;TEXT('08_KPI_Promotion'!G148,"0.0%")&amp;"pp margin cost for "&amp;TEXT('08_KPI_Promotion'!H148,"0.0%")&amp;" AOV lift.","Review "&amp;C301&amp;" next cycle - mixed signal."))</f>
        <v>Review Seasonal Sep2021 - 20% Off next cycle - mixed signal.</v>
      </c>
    </row>
    <row r="302" spans="2:5" x14ac:dyDescent="0.3">
      <c r="B302" t="s">
        <v>848</v>
      </c>
      <c r="C302" t="str">
        <f>'08_KPI_Promotion'!A149</f>
        <v>Seasonal Mar2021 - 20% Off</v>
      </c>
      <c r="D302" t="str">
        <f>IF('08_KPI_Promotion'!I149="Discontinue - high margin cost, weak lift","Action Required",IF('08_KPI_Promotion'!I149="Continue - efficient lift for margin cost","OK","Review"))</f>
        <v>Review</v>
      </c>
      <c r="E302" t="str">
        <f>IF('08_KPI_Promotion'!I149="Discontinue - high margin cost, weak lift","Discontinue "&amp;C302&amp;" at next renewal - margin cost "&amp;TEXT('08_KPI_Promotion'!G149,"0.0%")&amp;"pp for "&amp;TEXT('08_KPI_Promotion'!H149,"0.0%")&amp;" AOV lift.",IF('08_KPI_Promotion'!I149="Continue - efficient lift for margin cost","Continue "&amp;C302&amp;" - efficient: "&amp;TEXT('08_KPI_Promotion'!G149,"0.0%")&amp;"pp margin cost for "&amp;TEXT('08_KPI_Promotion'!H149,"0.0%")&amp;" AOV lift.","Review "&amp;C302&amp;" next cycle - mixed signal."))</f>
        <v>Review Seasonal Mar2021 - 20% Off next cycle - mixed signal.</v>
      </c>
    </row>
    <row r="303" spans="2:5" x14ac:dyDescent="0.3">
      <c r="B303" t="s">
        <v>848</v>
      </c>
      <c r="C303" t="str">
        <f>'08_KPI_Promotion'!A150</f>
        <v>Loyalty Feb2022 - 20% Off</v>
      </c>
      <c r="D303" t="str">
        <f>IF('08_KPI_Promotion'!I150="Discontinue - high margin cost, weak lift","Action Required",IF('08_KPI_Promotion'!I150="Continue - efficient lift for margin cost","OK","Review"))</f>
        <v>Review</v>
      </c>
      <c r="E303" t="str">
        <f>IF('08_KPI_Promotion'!I150="Discontinue - high margin cost, weak lift","Discontinue "&amp;C303&amp;" at next renewal - margin cost "&amp;TEXT('08_KPI_Promotion'!G150,"0.0%")&amp;"pp for "&amp;TEXT('08_KPI_Promotion'!H150,"0.0%")&amp;" AOV lift.",IF('08_KPI_Promotion'!I150="Continue - efficient lift for margin cost","Continue "&amp;C303&amp;" - efficient: "&amp;TEXT('08_KPI_Promotion'!G150,"0.0%")&amp;"pp margin cost for "&amp;TEXT('08_KPI_Promotion'!H150,"0.0%")&amp;" AOV lift.","Review "&amp;C303&amp;" next cycle - mixed signal."))</f>
        <v>Review Loyalty Feb2022 - 20% Off next cycle - mixed signal.</v>
      </c>
    </row>
    <row r="304" spans="2:5" x14ac:dyDescent="0.3">
      <c r="B304" t="s">
        <v>848</v>
      </c>
      <c r="C304" t="str">
        <f>'08_KPI_Promotion'!A151</f>
        <v>Clearance Feb2021 - 20% Off</v>
      </c>
      <c r="D304" t="str">
        <f>IF('08_KPI_Promotion'!I151="Discontinue - high margin cost, weak lift","Action Required",IF('08_KPI_Promotion'!I151="Continue - efficient lift for margin cost","OK","Review"))</f>
        <v>Review</v>
      </c>
      <c r="E304" t="str">
        <f>IF('08_KPI_Promotion'!I151="Discontinue - high margin cost, weak lift","Discontinue "&amp;C304&amp;" at next renewal - margin cost "&amp;TEXT('08_KPI_Promotion'!G151,"0.0%")&amp;"pp for "&amp;TEXT('08_KPI_Promotion'!H151,"0.0%")&amp;" AOV lift.",IF('08_KPI_Promotion'!I151="Continue - efficient lift for margin cost","Continue "&amp;C304&amp;" - efficient: "&amp;TEXT('08_KPI_Promotion'!G151,"0.0%")&amp;"pp margin cost for "&amp;TEXT('08_KPI_Promotion'!H151,"0.0%")&amp;" AOV lift.","Review "&amp;C304&amp;" next cycle - mixed signal."))</f>
        <v>Review Clearance Feb2021 - 20% Off next cycle - mixed signal.</v>
      </c>
    </row>
    <row r="305" spans="2:5" x14ac:dyDescent="0.3">
      <c r="B305" t="s">
        <v>848</v>
      </c>
      <c r="C305" t="str">
        <f>'08_KPI_Promotion'!A152</f>
        <v>Flash Sale Sep2022 - 20% Off</v>
      </c>
      <c r="D305" t="str">
        <f>IF('08_KPI_Promotion'!I152="Discontinue - high margin cost, weak lift","Action Required",IF('08_KPI_Promotion'!I152="Continue - efficient lift for margin cost","OK","Review"))</f>
        <v>Review</v>
      </c>
      <c r="E305" t="str">
        <f>IF('08_KPI_Promotion'!I152="Discontinue - high margin cost, weak lift","Discontinue "&amp;C305&amp;" at next renewal - margin cost "&amp;TEXT('08_KPI_Promotion'!G152,"0.0%")&amp;"pp for "&amp;TEXT('08_KPI_Promotion'!H152,"0.0%")&amp;" AOV lift.",IF('08_KPI_Promotion'!I152="Continue - efficient lift for margin cost","Continue "&amp;C305&amp;" - efficient: "&amp;TEXT('08_KPI_Promotion'!G152,"0.0%")&amp;"pp margin cost for "&amp;TEXT('08_KPI_Promotion'!H152,"0.0%")&amp;" AOV lift.","Review "&amp;C305&amp;" next cycle - mixed signal."))</f>
        <v>Review Flash Sale Sep2022 - 20% Off next cycle - mixed signal.</v>
      </c>
    </row>
    <row r="306" spans="2:5" x14ac:dyDescent="0.3">
      <c r="B306" t="s">
        <v>848</v>
      </c>
      <c r="C306" t="str">
        <f>'08_KPI_Promotion'!A153</f>
        <v>Clearance Sep2023 - 20% Off</v>
      </c>
      <c r="D306" t="str">
        <f>IF('08_KPI_Promotion'!I153="Discontinue - high margin cost, weak lift","Action Required",IF('08_KPI_Promotion'!I153="Continue - efficient lift for margin cost","OK","Review"))</f>
        <v>Review</v>
      </c>
      <c r="E306" t="str">
        <f>IF('08_KPI_Promotion'!I153="Discontinue - high margin cost, weak lift","Discontinue "&amp;C306&amp;" at next renewal - margin cost "&amp;TEXT('08_KPI_Promotion'!G153,"0.0%")&amp;"pp for "&amp;TEXT('08_KPI_Promotion'!H153,"0.0%")&amp;" AOV lift.",IF('08_KPI_Promotion'!I153="Continue - efficient lift for margin cost","Continue "&amp;C306&amp;" - efficient: "&amp;TEXT('08_KPI_Promotion'!G153,"0.0%")&amp;"pp margin cost for "&amp;TEXT('08_KPI_Promotion'!H153,"0.0%")&amp;" AOV lift.","Review "&amp;C306&amp;" next cycle - mixed signal."))</f>
        <v>Review Clearance Sep2023 - 20% Off next cycle - mixed signal.</v>
      </c>
    </row>
    <row r="307" spans="2:5" x14ac:dyDescent="0.3">
      <c r="B307" t="s">
        <v>848</v>
      </c>
      <c r="C307" t="str">
        <f>'08_KPI_Promotion'!A154</f>
        <v>Festive Jul2021 - 20% Off</v>
      </c>
      <c r="D307" t="str">
        <f>IF('08_KPI_Promotion'!I154="Discontinue - high margin cost, weak lift","Action Required",IF('08_KPI_Promotion'!I154="Continue - efficient lift for margin cost","OK","Review"))</f>
        <v>Review</v>
      </c>
      <c r="E307" t="str">
        <f>IF('08_KPI_Promotion'!I154="Discontinue - high margin cost, weak lift","Discontinue "&amp;C307&amp;" at next renewal - margin cost "&amp;TEXT('08_KPI_Promotion'!G154,"0.0%")&amp;"pp for "&amp;TEXT('08_KPI_Promotion'!H154,"0.0%")&amp;" AOV lift.",IF('08_KPI_Promotion'!I154="Continue - efficient lift for margin cost","Continue "&amp;C307&amp;" - efficient: "&amp;TEXT('08_KPI_Promotion'!G154,"0.0%")&amp;"pp margin cost for "&amp;TEXT('08_KPI_Promotion'!H154,"0.0%")&amp;" AOV lift.","Review "&amp;C307&amp;" next cycle - mixed signal."))</f>
        <v>Review Festive Jul2021 - 20% Off next cycle - mixed signal.</v>
      </c>
    </row>
    <row r="308" spans="2:5" x14ac:dyDescent="0.3">
      <c r="B308" t="s">
        <v>848</v>
      </c>
      <c r="C308" t="str">
        <f>'08_KPI_Promotion'!A155</f>
        <v>Seasonal Apr2022 - 20% Off</v>
      </c>
      <c r="D308" t="str">
        <f>IF('08_KPI_Promotion'!I155="Discontinue - high margin cost, weak lift","Action Required",IF('08_KPI_Promotion'!I155="Continue - efficient lift for margin cost","OK","Review"))</f>
        <v>Review</v>
      </c>
      <c r="E308" t="str">
        <f>IF('08_KPI_Promotion'!I155="Discontinue - high margin cost, weak lift","Discontinue "&amp;C308&amp;" at next renewal - margin cost "&amp;TEXT('08_KPI_Promotion'!G155,"0.0%")&amp;"pp for "&amp;TEXT('08_KPI_Promotion'!H155,"0.0%")&amp;" AOV lift.",IF('08_KPI_Promotion'!I155="Continue - efficient lift for margin cost","Continue "&amp;C308&amp;" - efficient: "&amp;TEXT('08_KPI_Promotion'!G155,"0.0%")&amp;"pp margin cost for "&amp;TEXT('08_KPI_Promotion'!H155,"0.0%")&amp;" AOV lift.","Review "&amp;C308&amp;" next cycle - mixed signal."))</f>
        <v>Review Seasonal Apr2022 - 20% Off next cycle - mixed signal.</v>
      </c>
    </row>
    <row r="309" spans="2:5" x14ac:dyDescent="0.3">
      <c r="B309" t="s">
        <v>848</v>
      </c>
      <c r="C309" t="str">
        <f>'08_KPI_Promotion'!A156</f>
        <v>Flash Sale Feb2023 - 20% Off</v>
      </c>
      <c r="D309" t="str">
        <f>IF('08_KPI_Promotion'!I156="Discontinue - high margin cost, weak lift","Action Required",IF('08_KPI_Promotion'!I156="Continue - efficient lift for margin cost","OK","Review"))</f>
        <v>Review</v>
      </c>
      <c r="E309" t="str">
        <f>IF('08_KPI_Promotion'!I156="Discontinue - high margin cost, weak lift","Discontinue "&amp;C309&amp;" at next renewal - margin cost "&amp;TEXT('08_KPI_Promotion'!G156,"0.0%")&amp;"pp for "&amp;TEXT('08_KPI_Promotion'!H156,"0.0%")&amp;" AOV lift.",IF('08_KPI_Promotion'!I156="Continue - efficient lift for margin cost","Continue "&amp;C309&amp;" - efficient: "&amp;TEXT('08_KPI_Promotion'!G156,"0.0%")&amp;"pp margin cost for "&amp;TEXT('08_KPI_Promotion'!H156,"0.0%")&amp;" AOV lift.","Review "&amp;C309&amp;" next cycle - mixed signal."))</f>
        <v>Review Flash Sale Feb2023 - 20% Off next cycle - mixed signal.</v>
      </c>
    </row>
    <row r="310" spans="2:5" x14ac:dyDescent="0.3">
      <c r="B310" t="s">
        <v>848</v>
      </c>
      <c r="C310" t="str">
        <f>'08_KPI_Promotion'!A157</f>
        <v>Seasonal Dec2021 - 25% Off</v>
      </c>
      <c r="D310" t="str">
        <f>IF('08_KPI_Promotion'!I157="Discontinue - high margin cost, weak lift","Action Required",IF('08_KPI_Promotion'!I157="Continue - efficient lift for margin cost","OK","Review"))</f>
        <v>Action Required</v>
      </c>
      <c r="E310" t="str">
        <f>IF('08_KPI_Promotion'!I157="Discontinue - high margin cost, weak lift","Discontinue "&amp;C310&amp;" at next renewal - margin cost "&amp;TEXT('08_KPI_Promotion'!G157,"0.0%")&amp;"pp for "&amp;TEXT('08_KPI_Promotion'!H157,"0.0%")&amp;" AOV lift.",IF('08_KPI_Promotion'!I157="Continue - efficient lift for margin cost","Continue "&amp;C310&amp;" - efficient: "&amp;TEXT('08_KPI_Promotion'!G157,"0.0%")&amp;"pp margin cost for "&amp;TEXT('08_KPI_Promotion'!H157,"0.0%")&amp;" AOV lift.","Review "&amp;C310&amp;" next cycle - mixed signal."))</f>
        <v>Discontinue Seasonal Dec2021 - 25% Off at next renewal - margin cost -25.3%pp for -16.9% AOV lift.</v>
      </c>
    </row>
    <row r="311" spans="2:5" x14ac:dyDescent="0.3">
      <c r="B311" t="s">
        <v>848</v>
      </c>
      <c r="C311" t="str">
        <f>'08_KPI_Promotion'!A158</f>
        <v>Clearance May2024 - 25% Off</v>
      </c>
      <c r="D311" t="str">
        <f>IF('08_KPI_Promotion'!I158="Discontinue - high margin cost, weak lift","Action Required",IF('08_KPI_Promotion'!I158="Continue - efficient lift for margin cost","OK","Review"))</f>
        <v>Action Required</v>
      </c>
      <c r="E311" t="str">
        <f>IF('08_KPI_Promotion'!I158="Discontinue - high margin cost, weak lift","Discontinue "&amp;C311&amp;" at next renewal - margin cost "&amp;TEXT('08_KPI_Promotion'!G158,"0.0%")&amp;"pp for "&amp;TEXT('08_KPI_Promotion'!H158,"0.0%")&amp;" AOV lift.",IF('08_KPI_Promotion'!I158="Continue - efficient lift for margin cost","Continue "&amp;C311&amp;" - efficient: "&amp;TEXT('08_KPI_Promotion'!G158,"0.0%")&amp;"pp margin cost for "&amp;TEXT('08_KPI_Promotion'!H158,"0.0%")&amp;" AOV lift.","Review "&amp;C311&amp;" next cycle - mixed signal."))</f>
        <v>Discontinue Clearance May2024 - 25% Off at next renewal - margin cost -25.5%pp for -12.6% AOV lift.</v>
      </c>
    </row>
    <row r="312" spans="2:5" x14ac:dyDescent="0.3">
      <c r="B312" t="s">
        <v>848</v>
      </c>
      <c r="C312" t="str">
        <f>'08_KPI_Promotion'!A159</f>
        <v>Festive Mar2023 - 25% Off</v>
      </c>
      <c r="D312" t="str">
        <f>IF('08_KPI_Promotion'!I159="Discontinue - high margin cost, weak lift","Action Required",IF('08_KPI_Promotion'!I159="Continue - efficient lift for margin cost","OK","Review"))</f>
        <v>Action Required</v>
      </c>
      <c r="E312" t="str">
        <f>IF('08_KPI_Promotion'!I159="Discontinue - high margin cost, weak lift","Discontinue "&amp;C312&amp;" at next renewal - margin cost "&amp;TEXT('08_KPI_Promotion'!G159,"0.0%")&amp;"pp for "&amp;TEXT('08_KPI_Promotion'!H159,"0.0%")&amp;" AOV lift.",IF('08_KPI_Promotion'!I159="Continue - efficient lift for margin cost","Continue "&amp;C312&amp;" - efficient: "&amp;TEXT('08_KPI_Promotion'!G159,"0.0%")&amp;"pp margin cost for "&amp;TEXT('08_KPI_Promotion'!H159,"0.0%")&amp;" AOV lift.","Review "&amp;C312&amp;" next cycle - mixed signal."))</f>
        <v>Discontinue Festive Mar2023 - 25% Off at next renewal - margin cost -25.5%pp for -10.3% AOV lift.</v>
      </c>
    </row>
    <row r="313" spans="2:5" x14ac:dyDescent="0.3">
      <c r="B313" t="s">
        <v>848</v>
      </c>
      <c r="C313" t="str">
        <f>'08_KPI_Promotion'!A160</f>
        <v>Flash Sale Dec2023 - 25% Off</v>
      </c>
      <c r="D313" t="str">
        <f>IF('08_KPI_Promotion'!I160="Discontinue - high margin cost, weak lift","Action Required",IF('08_KPI_Promotion'!I160="Continue - efficient lift for margin cost","OK","Review"))</f>
        <v>Action Required</v>
      </c>
      <c r="E313" t="str">
        <f>IF('08_KPI_Promotion'!I160="Discontinue - high margin cost, weak lift","Discontinue "&amp;C313&amp;" at next renewal - margin cost "&amp;TEXT('08_KPI_Promotion'!G160,"0.0%")&amp;"pp for "&amp;TEXT('08_KPI_Promotion'!H160,"0.0%")&amp;" AOV lift.",IF('08_KPI_Promotion'!I160="Continue - efficient lift for margin cost","Continue "&amp;C313&amp;" - efficient: "&amp;TEXT('08_KPI_Promotion'!G160,"0.0%")&amp;"pp margin cost for "&amp;TEXT('08_KPI_Promotion'!H160,"0.0%")&amp;" AOV lift.","Review "&amp;C313&amp;" next cycle - mixed signal."))</f>
        <v>Discontinue Flash Sale Dec2023 - 25% Off at next renewal - margin cost -25.6%pp for -14.5% AOV lift.</v>
      </c>
    </row>
    <row r="314" spans="2:5" x14ac:dyDescent="0.3">
      <c r="B314" t="s">
        <v>848</v>
      </c>
      <c r="C314" t="str">
        <f>'08_KPI_Promotion'!A161</f>
        <v>Seasonal Jun2023 - 25% Off</v>
      </c>
      <c r="D314" t="str">
        <f>IF('08_KPI_Promotion'!I161="Discontinue - high margin cost, weak lift","Action Required",IF('08_KPI_Promotion'!I161="Continue - efficient lift for margin cost","OK","Review"))</f>
        <v>Action Required</v>
      </c>
      <c r="E314" t="str">
        <f>IF('08_KPI_Promotion'!I161="Discontinue - high margin cost, weak lift","Discontinue "&amp;C314&amp;" at next renewal - margin cost "&amp;TEXT('08_KPI_Promotion'!G161,"0.0%")&amp;"pp for "&amp;TEXT('08_KPI_Promotion'!H161,"0.0%")&amp;" AOV lift.",IF('08_KPI_Promotion'!I161="Continue - efficient lift for margin cost","Continue "&amp;C314&amp;" - efficient: "&amp;TEXT('08_KPI_Promotion'!G161,"0.0%")&amp;"pp margin cost for "&amp;TEXT('08_KPI_Promotion'!H161,"0.0%")&amp;" AOV lift.","Review "&amp;C314&amp;" next cycle - mixed signal."))</f>
        <v>Discontinue Seasonal Jun2023 - 25% Off at next renewal - margin cost -25.7%pp for -11.2% AOV lift.</v>
      </c>
    </row>
    <row r="315" spans="2:5" x14ac:dyDescent="0.3">
      <c r="B315" t="s">
        <v>848</v>
      </c>
      <c r="C315" t="str">
        <f>'08_KPI_Promotion'!A162</f>
        <v>Seasonal Mar2023 - 25% Off</v>
      </c>
      <c r="D315" t="str">
        <f>IF('08_KPI_Promotion'!I162="Discontinue - high margin cost, weak lift","Action Required",IF('08_KPI_Promotion'!I162="Continue - efficient lift for margin cost","OK","Review"))</f>
        <v>Action Required</v>
      </c>
      <c r="E315" t="str">
        <f>IF('08_KPI_Promotion'!I162="Discontinue - high margin cost, weak lift","Discontinue "&amp;C315&amp;" at next renewal - margin cost "&amp;TEXT('08_KPI_Promotion'!G162,"0.0%")&amp;"pp for "&amp;TEXT('08_KPI_Promotion'!H162,"0.0%")&amp;" AOV lift.",IF('08_KPI_Promotion'!I162="Continue - efficient lift for margin cost","Continue "&amp;C315&amp;" - efficient: "&amp;TEXT('08_KPI_Promotion'!G162,"0.0%")&amp;"pp margin cost for "&amp;TEXT('08_KPI_Promotion'!H162,"0.0%")&amp;" AOV lift.","Review "&amp;C315&amp;" next cycle - mixed signal."))</f>
        <v>Discontinue Seasonal Mar2023 - 25% Off at next renewal - margin cost -25.7%pp for -11.0% AOV lift.</v>
      </c>
    </row>
    <row r="316" spans="2:5" x14ac:dyDescent="0.3">
      <c r="B316" t="s">
        <v>848</v>
      </c>
      <c r="C316" t="str">
        <f>'08_KPI_Promotion'!A163</f>
        <v>Flash Sale Oct2022 - 25% Off</v>
      </c>
      <c r="D316" t="str">
        <f>IF('08_KPI_Promotion'!I163="Discontinue - high margin cost, weak lift","Action Required",IF('08_KPI_Promotion'!I163="Continue - efficient lift for margin cost","OK","Review"))</f>
        <v>Action Required</v>
      </c>
      <c r="E316" t="str">
        <f>IF('08_KPI_Promotion'!I163="Discontinue - high margin cost, weak lift","Discontinue "&amp;C316&amp;" at next renewal - margin cost "&amp;TEXT('08_KPI_Promotion'!G163,"0.0%")&amp;"pp for "&amp;TEXT('08_KPI_Promotion'!H163,"0.0%")&amp;" AOV lift.",IF('08_KPI_Promotion'!I163="Continue - efficient lift for margin cost","Continue "&amp;C316&amp;" - efficient: "&amp;TEXT('08_KPI_Promotion'!G163,"0.0%")&amp;"pp margin cost for "&amp;TEXT('08_KPI_Promotion'!H163,"0.0%")&amp;" AOV lift.","Review "&amp;C316&amp;" next cycle - mixed signal."))</f>
        <v>Discontinue Flash Sale Oct2022 - 25% Off at next renewal - margin cost -25.8%pp for -13.8% AOV lift.</v>
      </c>
    </row>
    <row r="317" spans="2:5" x14ac:dyDescent="0.3">
      <c r="B317" t="s">
        <v>848</v>
      </c>
      <c r="C317" t="str">
        <f>'08_KPI_Promotion'!A164</f>
        <v>Flash Sale Sep2021 - 25% Off</v>
      </c>
      <c r="D317" t="str">
        <f>IF('08_KPI_Promotion'!I164="Discontinue - high margin cost, weak lift","Action Required",IF('08_KPI_Promotion'!I164="Continue - efficient lift for margin cost","OK","Review"))</f>
        <v>Action Required</v>
      </c>
      <c r="E317" t="str">
        <f>IF('08_KPI_Promotion'!I164="Discontinue - high margin cost, weak lift","Discontinue "&amp;C317&amp;" at next renewal - margin cost "&amp;TEXT('08_KPI_Promotion'!G164,"0.0%")&amp;"pp for "&amp;TEXT('08_KPI_Promotion'!H164,"0.0%")&amp;" AOV lift.",IF('08_KPI_Promotion'!I164="Continue - efficient lift for margin cost","Continue "&amp;C317&amp;" - efficient: "&amp;TEXT('08_KPI_Promotion'!G164,"0.0%")&amp;"pp margin cost for "&amp;TEXT('08_KPI_Promotion'!H164,"0.0%")&amp;" AOV lift.","Review "&amp;C317&amp;" next cycle - mixed signal."))</f>
        <v>Discontinue Flash Sale Sep2021 - 25% Off at next renewal - margin cost -25.8%pp for -7.9% AOV lift.</v>
      </c>
    </row>
    <row r="318" spans="2:5" x14ac:dyDescent="0.3">
      <c r="B318" t="s">
        <v>848</v>
      </c>
      <c r="C318" t="str">
        <f>'08_KPI_Promotion'!A165</f>
        <v>Festive Nov2023 - 25% Off</v>
      </c>
      <c r="D318" t="str">
        <f>IF('08_KPI_Promotion'!I165="Discontinue - high margin cost, weak lift","Action Required",IF('08_KPI_Promotion'!I165="Continue - efficient lift for margin cost","OK","Review"))</f>
        <v>Action Required</v>
      </c>
      <c r="E318" t="str">
        <f>IF('08_KPI_Promotion'!I165="Discontinue - high margin cost, weak lift","Discontinue "&amp;C318&amp;" at next renewal - margin cost "&amp;TEXT('08_KPI_Promotion'!G165,"0.0%")&amp;"pp for "&amp;TEXT('08_KPI_Promotion'!H165,"0.0%")&amp;" AOV lift.",IF('08_KPI_Promotion'!I165="Continue - efficient lift for margin cost","Continue "&amp;C318&amp;" - efficient: "&amp;TEXT('08_KPI_Promotion'!G165,"0.0%")&amp;"pp margin cost for "&amp;TEXT('08_KPI_Promotion'!H165,"0.0%")&amp;" AOV lift.","Review "&amp;C318&amp;" next cycle - mixed signal."))</f>
        <v>Discontinue Festive Nov2023 - 25% Off at next renewal - margin cost -25.9%pp for -13.4% AOV lift.</v>
      </c>
    </row>
    <row r="319" spans="2:5" x14ac:dyDescent="0.3">
      <c r="B319" t="s">
        <v>848</v>
      </c>
      <c r="C319" t="str">
        <f>'08_KPI_Promotion'!A166</f>
        <v>Festive Feb2023 - 25% Off</v>
      </c>
      <c r="D319" t="str">
        <f>IF('08_KPI_Promotion'!I166="Discontinue - high margin cost, weak lift","Action Required",IF('08_KPI_Promotion'!I166="Continue - efficient lift for margin cost","OK","Review"))</f>
        <v>Action Required</v>
      </c>
      <c r="E319" t="str">
        <f>IF('08_KPI_Promotion'!I166="Discontinue - high margin cost, weak lift","Discontinue "&amp;C319&amp;" at next renewal - margin cost "&amp;TEXT('08_KPI_Promotion'!G166,"0.0%")&amp;"pp for "&amp;TEXT('08_KPI_Promotion'!H166,"0.0%")&amp;" AOV lift.",IF('08_KPI_Promotion'!I166="Continue - efficient lift for margin cost","Continue "&amp;C319&amp;" - efficient: "&amp;TEXT('08_KPI_Promotion'!G166,"0.0%")&amp;"pp margin cost for "&amp;TEXT('08_KPI_Promotion'!H166,"0.0%")&amp;" AOV lift.","Review "&amp;C319&amp;" next cycle - mixed signal."))</f>
        <v>Discontinue Festive Feb2023 - 25% Off at next renewal - margin cost -25.9%pp for -10.5% AOV lift.</v>
      </c>
    </row>
    <row r="320" spans="2:5" x14ac:dyDescent="0.3">
      <c r="B320" t="s">
        <v>848</v>
      </c>
      <c r="C320" t="str">
        <f>'08_KPI_Promotion'!A167</f>
        <v>Loyalty Jan2024 - 25% Off</v>
      </c>
      <c r="D320" t="str">
        <f>IF('08_KPI_Promotion'!I167="Discontinue - high margin cost, weak lift","Action Required",IF('08_KPI_Promotion'!I167="Continue - efficient lift for margin cost","OK","Review"))</f>
        <v>Action Required</v>
      </c>
      <c r="E320" t="str">
        <f>IF('08_KPI_Promotion'!I167="Discontinue - high margin cost, weak lift","Discontinue "&amp;C320&amp;" at next renewal - margin cost "&amp;TEXT('08_KPI_Promotion'!G167,"0.0%")&amp;"pp for "&amp;TEXT('08_KPI_Promotion'!H167,"0.0%")&amp;" AOV lift.",IF('08_KPI_Promotion'!I167="Continue - efficient lift for margin cost","Continue "&amp;C320&amp;" - efficient: "&amp;TEXT('08_KPI_Promotion'!G167,"0.0%")&amp;"pp margin cost for "&amp;TEXT('08_KPI_Promotion'!H167,"0.0%")&amp;" AOV lift.","Review "&amp;C320&amp;" next cycle - mixed signal."))</f>
        <v>Discontinue Loyalty Jan2024 - 25% Off at next renewal - margin cost -26.0%pp for -9.4% AOV lift.</v>
      </c>
    </row>
    <row r="321" spans="2:5" x14ac:dyDescent="0.3">
      <c r="B321" t="s">
        <v>848</v>
      </c>
      <c r="C321" t="str">
        <f>'08_KPI_Promotion'!A168</f>
        <v>Loyalty Apr2023 - 25% Off</v>
      </c>
      <c r="D321" t="str">
        <f>IF('08_KPI_Promotion'!I168="Discontinue - high margin cost, weak lift","Action Required",IF('08_KPI_Promotion'!I168="Continue - efficient lift for margin cost","OK","Review"))</f>
        <v>Action Required</v>
      </c>
      <c r="E321" t="str">
        <f>IF('08_KPI_Promotion'!I168="Discontinue - high margin cost, weak lift","Discontinue "&amp;C321&amp;" at next renewal - margin cost "&amp;TEXT('08_KPI_Promotion'!G168,"0.0%")&amp;"pp for "&amp;TEXT('08_KPI_Promotion'!H168,"0.0%")&amp;" AOV lift.",IF('08_KPI_Promotion'!I168="Continue - efficient lift for margin cost","Continue "&amp;C321&amp;" - efficient: "&amp;TEXT('08_KPI_Promotion'!G168,"0.0%")&amp;"pp margin cost for "&amp;TEXT('08_KPI_Promotion'!H168,"0.0%")&amp;" AOV lift.","Review "&amp;C321&amp;" next cycle - mixed signal."))</f>
        <v>Discontinue Loyalty Apr2023 - 25% Off at next renewal - margin cost -26.0%pp for -8.9% AOV lift.</v>
      </c>
    </row>
    <row r="322" spans="2:5" x14ac:dyDescent="0.3">
      <c r="B322" t="s">
        <v>848</v>
      </c>
      <c r="C322" t="str">
        <f>'08_KPI_Promotion'!A169</f>
        <v>Loyalty Aug2023 - 25% Off</v>
      </c>
      <c r="D322" t="str">
        <f>IF('08_KPI_Promotion'!I169="Discontinue - high margin cost, weak lift","Action Required",IF('08_KPI_Promotion'!I169="Continue - efficient lift for margin cost","OK","Review"))</f>
        <v>Action Required</v>
      </c>
      <c r="E322" t="str">
        <f>IF('08_KPI_Promotion'!I169="Discontinue - high margin cost, weak lift","Discontinue "&amp;C322&amp;" at next renewal - margin cost "&amp;TEXT('08_KPI_Promotion'!G169,"0.0%")&amp;"pp for "&amp;TEXT('08_KPI_Promotion'!H169,"0.0%")&amp;" AOV lift.",IF('08_KPI_Promotion'!I169="Continue - efficient lift for margin cost","Continue "&amp;C322&amp;" - efficient: "&amp;TEXT('08_KPI_Promotion'!G169,"0.0%")&amp;"pp margin cost for "&amp;TEXT('08_KPI_Promotion'!H169,"0.0%")&amp;" AOV lift.","Review "&amp;C322&amp;" next cycle - mixed signal."))</f>
        <v>Discontinue Loyalty Aug2023 - 25% Off at next renewal - margin cost -26.0%pp for -12.9% AOV lift.</v>
      </c>
    </row>
    <row r="323" spans="2:5" x14ac:dyDescent="0.3">
      <c r="B323" t="s">
        <v>848</v>
      </c>
      <c r="C323" t="str">
        <f>'08_KPI_Promotion'!A170</f>
        <v>Festive Apr2024 - 25% Off</v>
      </c>
      <c r="D323" t="str">
        <f>IF('08_KPI_Promotion'!I170="Discontinue - high margin cost, weak lift","Action Required",IF('08_KPI_Promotion'!I170="Continue - efficient lift for margin cost","OK","Review"))</f>
        <v>Action Required</v>
      </c>
      <c r="E323" t="str">
        <f>IF('08_KPI_Promotion'!I170="Discontinue - high margin cost, weak lift","Discontinue "&amp;C323&amp;" at next renewal - margin cost "&amp;TEXT('08_KPI_Promotion'!G170,"0.0%")&amp;"pp for "&amp;TEXT('08_KPI_Promotion'!H170,"0.0%")&amp;" AOV lift.",IF('08_KPI_Promotion'!I170="Continue - efficient lift for margin cost","Continue "&amp;C323&amp;" - efficient: "&amp;TEXT('08_KPI_Promotion'!G170,"0.0%")&amp;"pp margin cost for "&amp;TEXT('08_KPI_Promotion'!H170,"0.0%")&amp;" AOV lift.","Review "&amp;C323&amp;" next cycle - mixed signal."))</f>
        <v>Discontinue Festive Apr2024 - 25% Off at next renewal - margin cost -26.1%pp for -13.9% AOV lift.</v>
      </c>
    </row>
    <row r="324" spans="2:5" x14ac:dyDescent="0.3">
      <c r="B324" t="s">
        <v>848</v>
      </c>
      <c r="C324" t="str">
        <f>'08_KPI_Promotion'!A171</f>
        <v>Festive Jan2022 - 25% Off</v>
      </c>
      <c r="D324" t="str">
        <f>IF('08_KPI_Promotion'!I171="Discontinue - high margin cost, weak lift","Action Required",IF('08_KPI_Promotion'!I171="Continue - efficient lift for margin cost","OK","Review"))</f>
        <v>Action Required</v>
      </c>
      <c r="E324" t="str">
        <f>IF('08_KPI_Promotion'!I171="Discontinue - high margin cost, weak lift","Discontinue "&amp;C324&amp;" at next renewal - margin cost "&amp;TEXT('08_KPI_Promotion'!G171,"0.0%")&amp;"pp for "&amp;TEXT('08_KPI_Promotion'!H171,"0.0%")&amp;" AOV lift.",IF('08_KPI_Promotion'!I171="Continue - efficient lift for margin cost","Continue "&amp;C324&amp;" - efficient: "&amp;TEXT('08_KPI_Promotion'!G171,"0.0%")&amp;"pp margin cost for "&amp;TEXT('08_KPI_Promotion'!H171,"0.0%")&amp;" AOV lift.","Review "&amp;C324&amp;" next cycle - mixed signal."))</f>
        <v>Discontinue Festive Jan2022 - 25% Off at next renewal - margin cost -26.1%pp for -10.7% AOV lift.</v>
      </c>
    </row>
    <row r="325" spans="2:5" x14ac:dyDescent="0.3">
      <c r="B325" t="s">
        <v>848</v>
      </c>
      <c r="C325" t="str">
        <f>'08_KPI_Promotion'!A172</f>
        <v>Festive Apr2022 - 25% Off</v>
      </c>
      <c r="D325" t="str">
        <f>IF('08_KPI_Promotion'!I172="Discontinue - high margin cost, weak lift","Action Required",IF('08_KPI_Promotion'!I172="Continue - efficient lift for margin cost","OK","Review"))</f>
        <v>Action Required</v>
      </c>
      <c r="E325" t="str">
        <f>IF('08_KPI_Promotion'!I172="Discontinue - high margin cost, weak lift","Discontinue "&amp;C325&amp;" at next renewal - margin cost "&amp;TEXT('08_KPI_Promotion'!G172,"0.0%")&amp;"pp for "&amp;TEXT('08_KPI_Promotion'!H172,"0.0%")&amp;" AOV lift.",IF('08_KPI_Promotion'!I172="Continue - efficient lift for margin cost","Continue "&amp;C325&amp;" - efficient: "&amp;TEXT('08_KPI_Promotion'!G172,"0.0%")&amp;"pp margin cost for "&amp;TEXT('08_KPI_Promotion'!H172,"0.0%")&amp;" AOV lift.","Review "&amp;C325&amp;" next cycle - mixed signal."))</f>
        <v>Discontinue Festive Apr2022 - 25% Off at next renewal - margin cost -26.3%pp for -9.6% AOV lift.</v>
      </c>
    </row>
    <row r="326" spans="2:5" x14ac:dyDescent="0.3">
      <c r="B326" t="s">
        <v>848</v>
      </c>
      <c r="C326" t="str">
        <f>'08_KPI_Promotion'!A173</f>
        <v>Seasonal May2023 - 25% Off</v>
      </c>
      <c r="D326" t="str">
        <f>IF('08_KPI_Promotion'!I173="Discontinue - high margin cost, weak lift","Action Required",IF('08_KPI_Promotion'!I173="Continue - efficient lift for margin cost","OK","Review"))</f>
        <v>Action Required</v>
      </c>
      <c r="E326" t="str">
        <f>IF('08_KPI_Promotion'!I173="Discontinue - high margin cost, weak lift","Discontinue "&amp;C326&amp;" at next renewal - margin cost "&amp;TEXT('08_KPI_Promotion'!G173,"0.0%")&amp;"pp for "&amp;TEXT('08_KPI_Promotion'!H173,"0.0%")&amp;" AOV lift.",IF('08_KPI_Promotion'!I173="Continue - efficient lift for margin cost","Continue "&amp;C326&amp;" - efficient: "&amp;TEXT('08_KPI_Promotion'!G173,"0.0%")&amp;"pp margin cost for "&amp;TEXT('08_KPI_Promotion'!H173,"0.0%")&amp;" AOV lift.","Review "&amp;C326&amp;" next cycle - mixed signal."))</f>
        <v>Discontinue Seasonal May2023 - 25% Off at next renewal - margin cost -26.3%pp for -8.0% AOV lift.</v>
      </c>
    </row>
    <row r="327" spans="2:5" x14ac:dyDescent="0.3">
      <c r="B327" t="s">
        <v>848</v>
      </c>
      <c r="C327" t="str">
        <f>'08_KPI_Promotion'!A174</f>
        <v>Festive Mar2024 - 25% Off</v>
      </c>
      <c r="D327" t="str">
        <f>IF('08_KPI_Promotion'!I174="Discontinue - high margin cost, weak lift","Action Required",IF('08_KPI_Promotion'!I174="Continue - efficient lift for margin cost","OK","Review"))</f>
        <v>Action Required</v>
      </c>
      <c r="E327" t="str">
        <f>IF('08_KPI_Promotion'!I174="Discontinue - high margin cost, weak lift","Discontinue "&amp;C327&amp;" at next renewal - margin cost "&amp;TEXT('08_KPI_Promotion'!G174,"0.0%")&amp;"pp for "&amp;TEXT('08_KPI_Promotion'!H174,"0.0%")&amp;" AOV lift.",IF('08_KPI_Promotion'!I174="Continue - efficient lift for margin cost","Continue "&amp;C327&amp;" - efficient: "&amp;TEXT('08_KPI_Promotion'!G174,"0.0%")&amp;"pp margin cost for "&amp;TEXT('08_KPI_Promotion'!H174,"0.0%")&amp;" AOV lift.","Review "&amp;C327&amp;" next cycle - mixed signal."))</f>
        <v>Discontinue Festive Mar2024 - 25% Off at next renewal - margin cost -26.4%pp for -10.3% AOV lift.</v>
      </c>
    </row>
    <row r="328" spans="2:5" x14ac:dyDescent="0.3">
      <c r="B328" t="s">
        <v>848</v>
      </c>
      <c r="C328" t="str">
        <f>'08_KPI_Promotion'!A175</f>
        <v>Seasonal Sep2021 - 25% Off</v>
      </c>
      <c r="D328" t="str">
        <f>IF('08_KPI_Promotion'!I175="Discontinue - high margin cost, weak lift","Action Required",IF('08_KPI_Promotion'!I175="Continue - efficient lift for margin cost","OK","Review"))</f>
        <v>Action Required</v>
      </c>
      <c r="E328" t="str">
        <f>IF('08_KPI_Promotion'!I175="Discontinue - high margin cost, weak lift","Discontinue "&amp;C328&amp;" at next renewal - margin cost "&amp;TEXT('08_KPI_Promotion'!G175,"0.0%")&amp;"pp for "&amp;TEXT('08_KPI_Promotion'!H175,"0.0%")&amp;" AOV lift.",IF('08_KPI_Promotion'!I175="Continue - efficient lift for margin cost","Continue "&amp;C328&amp;" - efficient: "&amp;TEXT('08_KPI_Promotion'!G175,"0.0%")&amp;"pp margin cost for "&amp;TEXT('08_KPI_Promotion'!H175,"0.0%")&amp;" AOV lift.","Review "&amp;C328&amp;" next cycle - mixed signal."))</f>
        <v>Discontinue Seasonal Sep2021 - 25% Off at next renewal - margin cost -26.8%pp for -6.5% AOV lift.</v>
      </c>
    </row>
    <row r="329" spans="2:5" x14ac:dyDescent="0.3">
      <c r="B329" t="s">
        <v>848</v>
      </c>
      <c r="C329" t="str">
        <f>'08_KPI_Promotion'!A176</f>
        <v>Festive Apr2023 - 25% Off</v>
      </c>
      <c r="D329" t="str">
        <f>IF('08_KPI_Promotion'!I176="Discontinue - high margin cost, weak lift","Action Required",IF('08_KPI_Promotion'!I176="Continue - efficient lift for margin cost","OK","Review"))</f>
        <v>Action Required</v>
      </c>
      <c r="E329" t="str">
        <f>IF('08_KPI_Promotion'!I176="Discontinue - high margin cost, weak lift","Discontinue "&amp;C329&amp;" at next renewal - margin cost "&amp;TEXT('08_KPI_Promotion'!G176,"0.0%")&amp;"pp for "&amp;TEXT('08_KPI_Promotion'!H176,"0.0%")&amp;" AOV lift.",IF('08_KPI_Promotion'!I176="Continue - efficient lift for margin cost","Continue "&amp;C329&amp;" - efficient: "&amp;TEXT('08_KPI_Promotion'!G176,"0.0%")&amp;"pp margin cost for "&amp;TEXT('08_KPI_Promotion'!H176,"0.0%")&amp;" AOV lift.","Review "&amp;C329&amp;" next cycle - mixed signal."))</f>
        <v>Discontinue Festive Apr2023 - 25% Off at next renewal - margin cost -27.0%pp for -7.2% AOV lift.</v>
      </c>
    </row>
    <row r="330" spans="2:5" x14ac:dyDescent="0.3">
      <c r="B330" t="s">
        <v>848</v>
      </c>
      <c r="C330" t="str">
        <f>'08_KPI_Promotion'!A177</f>
        <v>Loyalty Jun2021 - 25% Off</v>
      </c>
      <c r="D330" t="str">
        <f>IF('08_KPI_Promotion'!I177="Discontinue - high margin cost, weak lift","Action Required",IF('08_KPI_Promotion'!I177="Continue - efficient lift for margin cost","OK","Review"))</f>
        <v>Action Required</v>
      </c>
      <c r="E330" t="str">
        <f>IF('08_KPI_Promotion'!I177="Discontinue - high margin cost, weak lift","Discontinue "&amp;C330&amp;" at next renewal - margin cost "&amp;TEXT('08_KPI_Promotion'!G177,"0.0%")&amp;"pp for "&amp;TEXT('08_KPI_Promotion'!H177,"0.0%")&amp;" AOV lift.",IF('08_KPI_Promotion'!I177="Continue - efficient lift for margin cost","Continue "&amp;C330&amp;" - efficient: "&amp;TEXT('08_KPI_Promotion'!G177,"0.0%")&amp;"pp margin cost for "&amp;TEXT('08_KPI_Promotion'!H177,"0.0%")&amp;" AOV lift.","Review "&amp;C330&amp;" next cycle - mixed signal."))</f>
        <v>Discontinue Loyalty Jun2021 - 25% Off at next renewal - margin cost -27.1%pp for -21.2% AOV lift.</v>
      </c>
    </row>
    <row r="331" spans="2:5" x14ac:dyDescent="0.3">
      <c r="B331" t="s">
        <v>848</v>
      </c>
      <c r="C331" t="str">
        <f>'08_KPI_Promotion'!A178</f>
        <v>Flash Sale Oct2022 - 30% Off</v>
      </c>
      <c r="D331" t="str">
        <f>IF('08_KPI_Promotion'!I178="Discontinue - high margin cost, weak lift","Action Required",IF('08_KPI_Promotion'!I178="Continue - efficient lift for margin cost","OK","Review"))</f>
        <v>Action Required</v>
      </c>
      <c r="E331" t="str">
        <f>IF('08_KPI_Promotion'!I178="Discontinue - high margin cost, weak lift","Discontinue "&amp;C331&amp;" at next renewal - margin cost "&amp;TEXT('08_KPI_Promotion'!G178,"0.0%")&amp;"pp for "&amp;TEXT('08_KPI_Promotion'!H178,"0.0%")&amp;" AOV lift.",IF('08_KPI_Promotion'!I178="Continue - efficient lift for margin cost","Continue "&amp;C331&amp;" - efficient: "&amp;TEXT('08_KPI_Promotion'!G178,"0.0%")&amp;"pp margin cost for "&amp;TEXT('08_KPI_Promotion'!H178,"0.0%")&amp;" AOV lift.","Review "&amp;C331&amp;" next cycle - mixed signal."))</f>
        <v>Discontinue Flash Sale Oct2022 - 30% Off at next renewal - margin cost -32.5%pp for -24.8% AOV lift.</v>
      </c>
    </row>
    <row r="332" spans="2:5" x14ac:dyDescent="0.3">
      <c r="B332" t="s">
        <v>848</v>
      </c>
      <c r="C332" t="str">
        <f>'08_KPI_Promotion'!A179</f>
        <v>Festive Nov2023 - 30% Off</v>
      </c>
      <c r="D332" t="str">
        <f>IF('08_KPI_Promotion'!I179="Discontinue - high margin cost, weak lift","Action Required",IF('08_KPI_Promotion'!I179="Continue - efficient lift for margin cost","OK","Review"))</f>
        <v>Action Required</v>
      </c>
      <c r="E332" t="str">
        <f>IF('08_KPI_Promotion'!I179="Discontinue - high margin cost, weak lift","Discontinue "&amp;C332&amp;" at next renewal - margin cost "&amp;TEXT('08_KPI_Promotion'!G179,"0.0%")&amp;"pp for "&amp;TEXT('08_KPI_Promotion'!H179,"0.0%")&amp;" AOV lift.",IF('08_KPI_Promotion'!I179="Continue - efficient lift for margin cost","Continue "&amp;C332&amp;" - efficient: "&amp;TEXT('08_KPI_Promotion'!G179,"0.0%")&amp;"pp margin cost for "&amp;TEXT('08_KPI_Promotion'!H179,"0.0%")&amp;" AOV lift.","Review "&amp;C332&amp;" next cycle - mixed signal."))</f>
        <v>Discontinue Festive Nov2023 - 30% Off at next renewal - margin cost -32.7%pp for -18.5% AOV lift.</v>
      </c>
    </row>
    <row r="333" spans="2:5" x14ac:dyDescent="0.3">
      <c r="B333" t="s">
        <v>848</v>
      </c>
      <c r="C333" t="str">
        <f>'08_KPI_Promotion'!A180</f>
        <v>Flash Sale Jan2021 - 30% Off</v>
      </c>
      <c r="D333" t="str">
        <f>IF('08_KPI_Promotion'!I180="Discontinue - high margin cost, weak lift","Action Required",IF('08_KPI_Promotion'!I180="Continue - efficient lift for margin cost","OK","Review"))</f>
        <v>Action Required</v>
      </c>
      <c r="E333" t="str">
        <f>IF('08_KPI_Promotion'!I180="Discontinue - high margin cost, weak lift","Discontinue "&amp;C333&amp;" at next renewal - margin cost "&amp;TEXT('08_KPI_Promotion'!G180,"0.0%")&amp;"pp for "&amp;TEXT('08_KPI_Promotion'!H180,"0.0%")&amp;" AOV lift.",IF('08_KPI_Promotion'!I180="Continue - efficient lift for margin cost","Continue "&amp;C333&amp;" - efficient: "&amp;TEXT('08_KPI_Promotion'!G180,"0.0%")&amp;"pp margin cost for "&amp;TEXT('08_KPI_Promotion'!H180,"0.0%")&amp;" AOV lift.","Review "&amp;C333&amp;" next cycle - mixed signal."))</f>
        <v>Discontinue Flash Sale Jan2021 - 30% Off at next renewal - margin cost -32.8%pp for -21.0% AOV lift.</v>
      </c>
    </row>
    <row r="334" spans="2:5" x14ac:dyDescent="0.3">
      <c r="B334" t="s">
        <v>848</v>
      </c>
      <c r="C334" t="str">
        <f>'08_KPI_Promotion'!A181</f>
        <v>Festive Jun2021 - 30% Off</v>
      </c>
      <c r="D334" t="str">
        <f>IF('08_KPI_Promotion'!I181="Discontinue - high margin cost, weak lift","Action Required",IF('08_KPI_Promotion'!I181="Continue - efficient lift for margin cost","OK","Review"))</f>
        <v>Action Required</v>
      </c>
      <c r="E334" t="str">
        <f>IF('08_KPI_Promotion'!I181="Discontinue - high margin cost, weak lift","Discontinue "&amp;C334&amp;" at next renewal - margin cost "&amp;TEXT('08_KPI_Promotion'!G181,"0.0%")&amp;"pp for "&amp;TEXT('08_KPI_Promotion'!H181,"0.0%")&amp;" AOV lift.",IF('08_KPI_Promotion'!I181="Continue - efficient lift for margin cost","Continue "&amp;C334&amp;" - efficient: "&amp;TEXT('08_KPI_Promotion'!G181,"0.0%")&amp;"pp margin cost for "&amp;TEXT('08_KPI_Promotion'!H181,"0.0%")&amp;" AOV lift.","Review "&amp;C334&amp;" next cycle - mixed signal."))</f>
        <v>Discontinue Festive Jun2021 - 30% Off at next renewal - margin cost -32.9%pp for -23.7% AOV lift.</v>
      </c>
    </row>
    <row r="335" spans="2:5" x14ac:dyDescent="0.3">
      <c r="B335" t="s">
        <v>848</v>
      </c>
      <c r="C335" t="str">
        <f>'08_KPI_Promotion'!A182</f>
        <v>Festive May2022 - 30% Off</v>
      </c>
      <c r="D335" t="str">
        <f>IF('08_KPI_Promotion'!I182="Discontinue - high margin cost, weak lift","Action Required",IF('08_KPI_Promotion'!I182="Continue - efficient lift for margin cost","OK","Review"))</f>
        <v>Action Required</v>
      </c>
      <c r="E335" t="str">
        <f>IF('08_KPI_Promotion'!I182="Discontinue - high margin cost, weak lift","Discontinue "&amp;C335&amp;" at next renewal - margin cost "&amp;TEXT('08_KPI_Promotion'!G182,"0.0%")&amp;"pp for "&amp;TEXT('08_KPI_Promotion'!H182,"0.0%")&amp;" AOV lift.",IF('08_KPI_Promotion'!I182="Continue - efficient lift for margin cost","Continue "&amp;C335&amp;" - efficient: "&amp;TEXT('08_KPI_Promotion'!G182,"0.0%")&amp;"pp margin cost for "&amp;TEXT('08_KPI_Promotion'!H182,"0.0%")&amp;" AOV lift.","Review "&amp;C335&amp;" next cycle - mixed signal."))</f>
        <v>Discontinue Festive May2022 - 30% Off at next renewal - margin cost -33.0%pp for -20.3% AOV lift.</v>
      </c>
    </row>
    <row r="336" spans="2:5" x14ac:dyDescent="0.3">
      <c r="B336" t="s">
        <v>848</v>
      </c>
      <c r="C336" t="str">
        <f>'08_KPI_Promotion'!A183</f>
        <v>Flash Sale Apr2024 - 30% Off</v>
      </c>
      <c r="D336" t="str">
        <f>IF('08_KPI_Promotion'!I183="Discontinue - high margin cost, weak lift","Action Required",IF('08_KPI_Promotion'!I183="Continue - efficient lift for margin cost","OK","Review"))</f>
        <v>Action Required</v>
      </c>
      <c r="E336" t="str">
        <f>IF('08_KPI_Promotion'!I183="Discontinue - high margin cost, weak lift","Discontinue "&amp;C336&amp;" at next renewal - margin cost "&amp;TEXT('08_KPI_Promotion'!G183,"0.0%")&amp;"pp for "&amp;TEXT('08_KPI_Promotion'!H183,"0.0%")&amp;" AOV lift.",IF('08_KPI_Promotion'!I183="Continue - efficient lift for margin cost","Continue "&amp;C336&amp;" - efficient: "&amp;TEXT('08_KPI_Promotion'!G183,"0.0%")&amp;"pp margin cost for "&amp;TEXT('08_KPI_Promotion'!H183,"0.0%")&amp;" AOV lift.","Review "&amp;C336&amp;" next cycle - mixed signal."))</f>
        <v>Discontinue Flash Sale Apr2024 - 30% Off at next renewal - margin cost -33.1%pp for -18.0% AOV lift.</v>
      </c>
    </row>
    <row r="337" spans="2:5" x14ac:dyDescent="0.3">
      <c r="B337" t="s">
        <v>848</v>
      </c>
      <c r="C337" t="str">
        <f>'08_KPI_Promotion'!A184</f>
        <v>Clearance Sep2023 - 30% Off</v>
      </c>
      <c r="D337" t="str">
        <f>IF('08_KPI_Promotion'!I184="Discontinue - high margin cost, weak lift","Action Required",IF('08_KPI_Promotion'!I184="Continue - efficient lift for margin cost","OK","Review"))</f>
        <v>Action Required</v>
      </c>
      <c r="E337" t="str">
        <f>IF('08_KPI_Promotion'!I184="Discontinue - high margin cost, weak lift","Discontinue "&amp;C337&amp;" at next renewal - margin cost "&amp;TEXT('08_KPI_Promotion'!G184,"0.0%")&amp;"pp for "&amp;TEXT('08_KPI_Promotion'!H184,"0.0%")&amp;" AOV lift.",IF('08_KPI_Promotion'!I184="Continue - efficient lift for margin cost","Continue "&amp;C337&amp;" - efficient: "&amp;TEXT('08_KPI_Promotion'!G184,"0.0%")&amp;"pp margin cost for "&amp;TEXT('08_KPI_Promotion'!H184,"0.0%")&amp;" AOV lift.","Review "&amp;C337&amp;" next cycle - mixed signal."))</f>
        <v>Discontinue Clearance Sep2023 - 30% Off at next renewal - margin cost -33.3%pp for -13.3% AOV lift.</v>
      </c>
    </row>
    <row r="338" spans="2:5" x14ac:dyDescent="0.3">
      <c r="B338" t="s">
        <v>848</v>
      </c>
      <c r="C338" t="str">
        <f>'08_KPI_Promotion'!A185</f>
        <v>Festive Mar2022 - 30% Off</v>
      </c>
      <c r="D338" t="str">
        <f>IF('08_KPI_Promotion'!I185="Discontinue - high margin cost, weak lift","Action Required",IF('08_KPI_Promotion'!I185="Continue - efficient lift for margin cost","OK","Review"))</f>
        <v>Action Required</v>
      </c>
      <c r="E338" t="str">
        <f>IF('08_KPI_Promotion'!I185="Discontinue - high margin cost, weak lift","Discontinue "&amp;C338&amp;" at next renewal - margin cost "&amp;TEXT('08_KPI_Promotion'!G185,"0.0%")&amp;"pp for "&amp;TEXT('08_KPI_Promotion'!H185,"0.0%")&amp;" AOV lift.",IF('08_KPI_Promotion'!I185="Continue - efficient lift for margin cost","Continue "&amp;C338&amp;" - efficient: "&amp;TEXT('08_KPI_Promotion'!G185,"0.0%")&amp;"pp margin cost for "&amp;TEXT('08_KPI_Promotion'!H185,"0.0%")&amp;" AOV lift.","Review "&amp;C338&amp;" next cycle - mixed signal."))</f>
        <v>Discontinue Festive Mar2022 - 30% Off at next renewal - margin cost -33.3%pp for -11.5% AOV lift.</v>
      </c>
    </row>
    <row r="339" spans="2:5" x14ac:dyDescent="0.3">
      <c r="B339" t="s">
        <v>848</v>
      </c>
      <c r="C339" t="str">
        <f>'08_KPI_Promotion'!A186</f>
        <v>Loyalty Nov2023 - 30% Off</v>
      </c>
      <c r="D339" t="str">
        <f>IF('08_KPI_Promotion'!I186="Discontinue - high margin cost, weak lift","Action Required",IF('08_KPI_Promotion'!I186="Continue - efficient lift for margin cost","OK","Review"))</f>
        <v>Action Required</v>
      </c>
      <c r="E339" t="str">
        <f>IF('08_KPI_Promotion'!I186="Discontinue - high margin cost, weak lift","Discontinue "&amp;C339&amp;" at next renewal - margin cost "&amp;TEXT('08_KPI_Promotion'!G186,"0.0%")&amp;"pp for "&amp;TEXT('08_KPI_Promotion'!H186,"0.0%")&amp;" AOV lift.",IF('08_KPI_Promotion'!I186="Continue - efficient lift for margin cost","Continue "&amp;C339&amp;" - efficient: "&amp;TEXT('08_KPI_Promotion'!G186,"0.0%")&amp;"pp margin cost for "&amp;TEXT('08_KPI_Promotion'!H186,"0.0%")&amp;" AOV lift.","Review "&amp;C339&amp;" next cycle - mixed signal."))</f>
        <v>Discontinue Loyalty Nov2023 - 30% Off at next renewal - margin cost -33.3%pp for -18.6% AOV lift.</v>
      </c>
    </row>
    <row r="340" spans="2:5" x14ac:dyDescent="0.3">
      <c r="B340" t="s">
        <v>848</v>
      </c>
      <c r="C340" t="str">
        <f>'08_KPI_Promotion'!A187</f>
        <v>Seasonal Mar2022 - 30% Off</v>
      </c>
      <c r="D340" t="str">
        <f>IF('08_KPI_Promotion'!I187="Discontinue - high margin cost, weak lift","Action Required",IF('08_KPI_Promotion'!I187="Continue - efficient lift for margin cost","OK","Review"))</f>
        <v>Action Required</v>
      </c>
      <c r="E340" t="str">
        <f>IF('08_KPI_Promotion'!I187="Discontinue - high margin cost, weak lift","Discontinue "&amp;C340&amp;" at next renewal - margin cost "&amp;TEXT('08_KPI_Promotion'!G187,"0.0%")&amp;"pp for "&amp;TEXT('08_KPI_Promotion'!H187,"0.0%")&amp;" AOV lift.",IF('08_KPI_Promotion'!I187="Continue - efficient lift for margin cost","Continue "&amp;C340&amp;" - efficient: "&amp;TEXT('08_KPI_Promotion'!G187,"0.0%")&amp;"pp margin cost for "&amp;TEXT('08_KPI_Promotion'!H187,"0.0%")&amp;" AOV lift.","Review "&amp;C340&amp;" next cycle - mixed signal."))</f>
        <v>Discontinue Seasonal Mar2022 - 30% Off at next renewal - margin cost -33.4%pp for -5.7% AOV lift.</v>
      </c>
    </row>
    <row r="341" spans="2:5" x14ac:dyDescent="0.3">
      <c r="B341" t="s">
        <v>848</v>
      </c>
      <c r="C341" t="str">
        <f>'08_KPI_Promotion'!A188</f>
        <v>Flash Sale Jun2022 - 30% Off</v>
      </c>
      <c r="D341" t="str">
        <f>IF('08_KPI_Promotion'!I188="Discontinue - high margin cost, weak lift","Action Required",IF('08_KPI_Promotion'!I188="Continue - efficient lift for margin cost","OK","Review"))</f>
        <v>Action Required</v>
      </c>
      <c r="E341" t="str">
        <f>IF('08_KPI_Promotion'!I188="Discontinue - high margin cost, weak lift","Discontinue "&amp;C341&amp;" at next renewal - margin cost "&amp;TEXT('08_KPI_Promotion'!G188,"0.0%")&amp;"pp for "&amp;TEXT('08_KPI_Promotion'!H188,"0.0%")&amp;" AOV lift.",IF('08_KPI_Promotion'!I188="Continue - efficient lift for margin cost","Continue "&amp;C341&amp;" - efficient: "&amp;TEXT('08_KPI_Promotion'!G188,"0.0%")&amp;"pp margin cost for "&amp;TEXT('08_KPI_Promotion'!H188,"0.0%")&amp;" AOV lift.","Review "&amp;C341&amp;" next cycle - mixed signal."))</f>
        <v>Discontinue Flash Sale Jun2022 - 30% Off at next renewal - margin cost -33.5%pp for -15.5% AOV lift.</v>
      </c>
    </row>
    <row r="342" spans="2:5" x14ac:dyDescent="0.3">
      <c r="B342" t="s">
        <v>848</v>
      </c>
      <c r="C342" t="str">
        <f>'08_KPI_Promotion'!A189</f>
        <v>Clearance Mar2024 - 30% Off</v>
      </c>
      <c r="D342" t="str">
        <f>IF('08_KPI_Promotion'!I189="Discontinue - high margin cost, weak lift","Action Required",IF('08_KPI_Promotion'!I189="Continue - efficient lift for margin cost","OK","Review"))</f>
        <v>Action Required</v>
      </c>
      <c r="E342" t="str">
        <f>IF('08_KPI_Promotion'!I189="Discontinue - high margin cost, weak lift","Discontinue "&amp;C342&amp;" at next renewal - margin cost "&amp;TEXT('08_KPI_Promotion'!G189,"0.0%")&amp;"pp for "&amp;TEXT('08_KPI_Promotion'!H189,"0.0%")&amp;" AOV lift.",IF('08_KPI_Promotion'!I189="Continue - efficient lift for margin cost","Continue "&amp;C342&amp;" - efficient: "&amp;TEXT('08_KPI_Promotion'!G189,"0.0%")&amp;"pp margin cost for "&amp;TEXT('08_KPI_Promotion'!H189,"0.0%")&amp;" AOV lift.","Review "&amp;C342&amp;" next cycle - mixed signal."))</f>
        <v>Discontinue Clearance Mar2024 - 30% Off at next renewal - margin cost -33.7%pp for -11.8% AOV lift.</v>
      </c>
    </row>
    <row r="343" spans="2:5" x14ac:dyDescent="0.3">
      <c r="B343" t="s">
        <v>848</v>
      </c>
      <c r="C343" t="str">
        <f>'08_KPI_Promotion'!A190</f>
        <v>Flash Sale Feb2021 - 30% Off</v>
      </c>
      <c r="D343" t="str">
        <f>IF('08_KPI_Promotion'!I190="Discontinue - high margin cost, weak lift","Action Required",IF('08_KPI_Promotion'!I190="Continue - efficient lift for margin cost","OK","Review"))</f>
        <v>Action Required</v>
      </c>
      <c r="E343" t="str">
        <f>IF('08_KPI_Promotion'!I190="Discontinue - high margin cost, weak lift","Discontinue "&amp;C343&amp;" at next renewal - margin cost "&amp;TEXT('08_KPI_Promotion'!G190,"0.0%")&amp;"pp for "&amp;TEXT('08_KPI_Promotion'!H190,"0.0%")&amp;" AOV lift.",IF('08_KPI_Promotion'!I190="Continue - efficient lift for margin cost","Continue "&amp;C343&amp;" - efficient: "&amp;TEXT('08_KPI_Promotion'!G190,"0.0%")&amp;"pp margin cost for "&amp;TEXT('08_KPI_Promotion'!H190,"0.0%")&amp;" AOV lift.","Review "&amp;C343&amp;" next cycle - mixed signal."))</f>
        <v>Discontinue Flash Sale Feb2021 - 30% Off at next renewal - margin cost -33.8%pp for -11.6% AOV lift.</v>
      </c>
    </row>
    <row r="344" spans="2:5" x14ac:dyDescent="0.3">
      <c r="B344" t="s">
        <v>848</v>
      </c>
      <c r="C344" t="str">
        <f>'08_KPI_Promotion'!A191</f>
        <v>Festive Apr2021 - 30% Off</v>
      </c>
      <c r="D344" t="str">
        <f>IF('08_KPI_Promotion'!I191="Discontinue - high margin cost, weak lift","Action Required",IF('08_KPI_Promotion'!I191="Continue - efficient lift for margin cost","OK","Review"))</f>
        <v>Action Required</v>
      </c>
      <c r="E344" t="str">
        <f>IF('08_KPI_Promotion'!I191="Discontinue - high margin cost, weak lift","Discontinue "&amp;C344&amp;" at next renewal - margin cost "&amp;TEXT('08_KPI_Promotion'!G191,"0.0%")&amp;"pp for "&amp;TEXT('08_KPI_Promotion'!H191,"0.0%")&amp;" AOV lift.",IF('08_KPI_Promotion'!I191="Continue - efficient lift for margin cost","Continue "&amp;C344&amp;" - efficient: "&amp;TEXT('08_KPI_Promotion'!G191,"0.0%")&amp;"pp margin cost for "&amp;TEXT('08_KPI_Promotion'!H191,"0.0%")&amp;" AOV lift.","Review "&amp;C344&amp;" next cycle - mixed signal."))</f>
        <v>Discontinue Festive Apr2021 - 30% Off at next renewal - margin cost -33.9%pp for -14.3% AOV lift.</v>
      </c>
    </row>
    <row r="345" spans="2:5" x14ac:dyDescent="0.3">
      <c r="B345" t="s">
        <v>848</v>
      </c>
      <c r="C345" t="str">
        <f>'08_KPI_Promotion'!A192</f>
        <v>Seasonal Jan2023 - 30% Off</v>
      </c>
      <c r="D345" t="str">
        <f>IF('08_KPI_Promotion'!I192="Discontinue - high margin cost, weak lift","Action Required",IF('08_KPI_Promotion'!I192="Continue - efficient lift for margin cost","OK","Review"))</f>
        <v>Action Required</v>
      </c>
      <c r="E345" t="str">
        <f>IF('08_KPI_Promotion'!I192="Discontinue - high margin cost, weak lift","Discontinue "&amp;C345&amp;" at next renewal - margin cost "&amp;TEXT('08_KPI_Promotion'!G192,"0.0%")&amp;"pp for "&amp;TEXT('08_KPI_Promotion'!H192,"0.0%")&amp;" AOV lift.",IF('08_KPI_Promotion'!I192="Continue - efficient lift for margin cost","Continue "&amp;C345&amp;" - efficient: "&amp;TEXT('08_KPI_Promotion'!G192,"0.0%")&amp;"pp margin cost for "&amp;TEXT('08_KPI_Promotion'!H192,"0.0%")&amp;" AOV lift.","Review "&amp;C345&amp;" next cycle - mixed signal."))</f>
        <v>Discontinue Seasonal Jan2023 - 30% Off at next renewal - margin cost -34.0%pp for -13.9% AOV lift.</v>
      </c>
    </row>
    <row r="346" spans="2:5" x14ac:dyDescent="0.3">
      <c r="B346" t="s">
        <v>848</v>
      </c>
      <c r="C346" t="str">
        <f>'08_KPI_Promotion'!A193</f>
        <v>Festive Oct2022 - 35% Off</v>
      </c>
      <c r="D346" t="str">
        <f>IF('08_KPI_Promotion'!I193="Discontinue - high margin cost, weak lift","Action Required",IF('08_KPI_Promotion'!I193="Continue - efficient lift for margin cost","OK","Review"))</f>
        <v>Action Required</v>
      </c>
      <c r="E346" t="str">
        <f>IF('08_KPI_Promotion'!I193="Discontinue - high margin cost, weak lift","Discontinue "&amp;C346&amp;" at next renewal - margin cost "&amp;TEXT('08_KPI_Promotion'!G193,"0.0%")&amp;"pp for "&amp;TEXT('08_KPI_Promotion'!H193,"0.0%")&amp;" AOV lift.",IF('08_KPI_Promotion'!I193="Continue - efficient lift for margin cost","Continue "&amp;C346&amp;" - efficient: "&amp;TEXT('08_KPI_Promotion'!G193,"0.0%")&amp;"pp margin cost for "&amp;TEXT('08_KPI_Promotion'!H193,"0.0%")&amp;" AOV lift.","Review "&amp;C346&amp;" next cycle - mixed signal."))</f>
        <v>Discontinue Festive Oct2022 - 35% Off at next renewal - margin cost -41.1%pp for -32.0% AOV lift.</v>
      </c>
    </row>
    <row r="347" spans="2:5" x14ac:dyDescent="0.3">
      <c r="B347" t="s">
        <v>848</v>
      </c>
      <c r="C347" t="str">
        <f>'08_KPI_Promotion'!A194</f>
        <v>Seasonal Aug2023 - 35% Off</v>
      </c>
      <c r="D347" t="str">
        <f>IF('08_KPI_Promotion'!I194="Discontinue - high margin cost, weak lift","Action Required",IF('08_KPI_Promotion'!I194="Continue - efficient lift for margin cost","OK","Review"))</f>
        <v>Action Required</v>
      </c>
      <c r="E347" t="str">
        <f>IF('08_KPI_Promotion'!I194="Discontinue - high margin cost, weak lift","Discontinue "&amp;C347&amp;" at next renewal - margin cost "&amp;TEXT('08_KPI_Promotion'!G194,"0.0%")&amp;"pp for "&amp;TEXT('08_KPI_Promotion'!H194,"0.0%")&amp;" AOV lift.",IF('08_KPI_Promotion'!I194="Continue - efficient lift for margin cost","Continue "&amp;C347&amp;" - efficient: "&amp;TEXT('08_KPI_Promotion'!G194,"0.0%")&amp;"pp margin cost for "&amp;TEXT('08_KPI_Promotion'!H194,"0.0%")&amp;" AOV lift.","Review "&amp;C347&amp;" next cycle - mixed signal."))</f>
        <v>Discontinue Seasonal Aug2023 - 35% Off at next renewal - margin cost -41.4%pp for -25.7% AOV lift.</v>
      </c>
    </row>
    <row r="348" spans="2:5" x14ac:dyDescent="0.3">
      <c r="B348" t="s">
        <v>848</v>
      </c>
      <c r="C348" t="str">
        <f>'08_KPI_Promotion'!A195</f>
        <v>Clearance Aug2022 - 35% Off</v>
      </c>
      <c r="D348" t="str">
        <f>IF('08_KPI_Promotion'!I195="Discontinue - high margin cost, weak lift","Action Required",IF('08_KPI_Promotion'!I195="Continue - efficient lift for margin cost","OK","Review"))</f>
        <v>Action Required</v>
      </c>
      <c r="E348" t="str">
        <f>IF('08_KPI_Promotion'!I195="Discontinue - high margin cost, weak lift","Discontinue "&amp;C348&amp;" at next renewal - margin cost "&amp;TEXT('08_KPI_Promotion'!G195,"0.0%")&amp;"pp for "&amp;TEXT('08_KPI_Promotion'!H195,"0.0%")&amp;" AOV lift.",IF('08_KPI_Promotion'!I195="Continue - efficient lift for margin cost","Continue "&amp;C348&amp;" - efficient: "&amp;TEXT('08_KPI_Promotion'!G195,"0.0%")&amp;"pp margin cost for "&amp;TEXT('08_KPI_Promotion'!H195,"0.0%")&amp;" AOV lift.","Review "&amp;C348&amp;" next cycle - mixed signal."))</f>
        <v>Discontinue Clearance Aug2022 - 35% Off at next renewal - margin cost -41.5%pp for -22.6% AOV lift.</v>
      </c>
    </row>
    <row r="349" spans="2:5" x14ac:dyDescent="0.3">
      <c r="B349" t="s">
        <v>848</v>
      </c>
      <c r="C349" t="str">
        <f>'08_KPI_Promotion'!A196</f>
        <v>Seasonal Jul2024 - 35% Off</v>
      </c>
      <c r="D349" t="str">
        <f>IF('08_KPI_Promotion'!I196="Discontinue - high margin cost, weak lift","Action Required",IF('08_KPI_Promotion'!I196="Continue - efficient lift for margin cost","OK","Review"))</f>
        <v>Action Required</v>
      </c>
      <c r="E349" t="str">
        <f>IF('08_KPI_Promotion'!I196="Discontinue - high margin cost, weak lift","Discontinue "&amp;C349&amp;" at next renewal - margin cost "&amp;TEXT('08_KPI_Promotion'!G196,"0.0%")&amp;"pp for "&amp;TEXT('08_KPI_Promotion'!H196,"0.0%")&amp;" AOV lift.",IF('08_KPI_Promotion'!I196="Continue - efficient lift for margin cost","Continue "&amp;C349&amp;" - efficient: "&amp;TEXT('08_KPI_Promotion'!G196,"0.0%")&amp;"pp margin cost for "&amp;TEXT('08_KPI_Promotion'!H196,"0.0%")&amp;" AOV lift.","Review "&amp;C349&amp;" next cycle - mixed signal."))</f>
        <v>Discontinue Seasonal Jul2024 - 35% Off at next renewal - margin cost -41.8%pp for -27.8% AOV lift.</v>
      </c>
    </row>
    <row r="350" spans="2:5" x14ac:dyDescent="0.3">
      <c r="B350" t="s">
        <v>848</v>
      </c>
      <c r="C350" t="str">
        <f>'08_KPI_Promotion'!A197</f>
        <v>Seasonal Mar2024 - 35% Off</v>
      </c>
      <c r="D350" t="str">
        <f>IF('08_KPI_Promotion'!I197="Discontinue - high margin cost, weak lift","Action Required",IF('08_KPI_Promotion'!I197="Continue - efficient lift for margin cost","OK","Review"))</f>
        <v>Action Required</v>
      </c>
      <c r="E350" t="str">
        <f>IF('08_KPI_Promotion'!I197="Discontinue - high margin cost, weak lift","Discontinue "&amp;C350&amp;" at next renewal - margin cost "&amp;TEXT('08_KPI_Promotion'!G197,"0.0%")&amp;"pp for "&amp;TEXT('08_KPI_Promotion'!H197,"0.0%")&amp;" AOV lift.",IF('08_KPI_Promotion'!I197="Continue - efficient lift for margin cost","Continue "&amp;C350&amp;" - efficient: "&amp;TEXT('08_KPI_Promotion'!G197,"0.0%")&amp;"pp margin cost for "&amp;TEXT('08_KPI_Promotion'!H197,"0.0%")&amp;" AOV lift.","Review "&amp;C350&amp;" next cycle - mixed signal."))</f>
        <v>Discontinue Seasonal Mar2024 - 35% Off at next renewal - margin cost -42.1%pp for -14.4% AOV lift.</v>
      </c>
    </row>
    <row r="351" spans="2:5" x14ac:dyDescent="0.3">
      <c r="B351" t="s">
        <v>848</v>
      </c>
      <c r="C351" t="str">
        <f>'08_KPI_Promotion'!A198</f>
        <v>Clearance Dec2021 - 35% Off</v>
      </c>
      <c r="D351" t="str">
        <f>IF('08_KPI_Promotion'!I198="Discontinue - high margin cost, weak lift","Action Required",IF('08_KPI_Promotion'!I198="Continue - efficient lift for margin cost","OK","Review"))</f>
        <v>Action Required</v>
      </c>
      <c r="E351" t="str">
        <f>IF('08_KPI_Promotion'!I198="Discontinue - high margin cost, weak lift","Discontinue "&amp;C351&amp;" at next renewal - margin cost "&amp;TEXT('08_KPI_Promotion'!G198,"0.0%")&amp;"pp for "&amp;TEXT('08_KPI_Promotion'!H198,"0.0%")&amp;" AOV lift.",IF('08_KPI_Promotion'!I198="Continue - efficient lift for margin cost","Continue "&amp;C351&amp;" - efficient: "&amp;TEXT('08_KPI_Promotion'!G198,"0.0%")&amp;"pp margin cost for "&amp;TEXT('08_KPI_Promotion'!H198,"0.0%")&amp;" AOV lift.","Review "&amp;C351&amp;" next cycle - mixed signal."))</f>
        <v>Discontinue Clearance Dec2021 - 35% Off at next renewal - margin cost -42.7%pp for -14.6% AOV lift.</v>
      </c>
    </row>
    <row r="352" spans="2:5" x14ac:dyDescent="0.3">
      <c r="B352" t="s">
        <v>848</v>
      </c>
      <c r="C352" t="str">
        <f>'08_KPI_Promotion'!A199</f>
        <v>Festive May2021 - 40% Off</v>
      </c>
      <c r="D352" t="str">
        <f>IF('08_KPI_Promotion'!I199="Discontinue - high margin cost, weak lift","Action Required",IF('08_KPI_Promotion'!I199="Continue - efficient lift for margin cost","OK","Review"))</f>
        <v>Action Required</v>
      </c>
      <c r="E352" t="str">
        <f>IF('08_KPI_Promotion'!I199="Discontinue - high margin cost, weak lift","Discontinue "&amp;C352&amp;" at next renewal - margin cost "&amp;TEXT('08_KPI_Promotion'!G199,"0.0%")&amp;"pp for "&amp;TEXT('08_KPI_Promotion'!H199,"0.0%")&amp;" AOV lift.",IF('08_KPI_Promotion'!I199="Continue - efficient lift for margin cost","Continue "&amp;C352&amp;" - efficient: "&amp;TEXT('08_KPI_Promotion'!G199,"0.0%")&amp;"pp margin cost for "&amp;TEXT('08_KPI_Promotion'!H199,"0.0%")&amp;" AOV lift.","Review "&amp;C352&amp;" next cycle - mixed signal."))</f>
        <v>Discontinue Festive May2021 - 40% Off at next renewal - margin cost -50.9%pp for -38.4% AOV lift.</v>
      </c>
    </row>
    <row r="353" spans="2:5" x14ac:dyDescent="0.3">
      <c r="B353" t="s">
        <v>848</v>
      </c>
      <c r="C353" t="str">
        <f>'08_KPI_Promotion'!A200</f>
        <v>Seasonal Jul2023 - 40% Off</v>
      </c>
      <c r="D353" t="str">
        <f>IF('08_KPI_Promotion'!I200="Discontinue - high margin cost, weak lift","Action Required",IF('08_KPI_Promotion'!I200="Continue - efficient lift for margin cost","OK","Review"))</f>
        <v>Action Required</v>
      </c>
      <c r="E353" t="str">
        <f>IF('08_KPI_Promotion'!I200="Discontinue - high margin cost, weak lift","Discontinue "&amp;C353&amp;" at next renewal - margin cost "&amp;TEXT('08_KPI_Promotion'!G200,"0.0%")&amp;"pp for "&amp;TEXT('08_KPI_Promotion'!H200,"0.0%")&amp;" AOV lift.",IF('08_KPI_Promotion'!I200="Continue - efficient lift for margin cost","Continue "&amp;C353&amp;" - efficient: "&amp;TEXT('08_KPI_Promotion'!G200,"0.0%")&amp;"pp margin cost for "&amp;TEXT('08_KPI_Promotion'!H200,"0.0%")&amp;" AOV lift.","Review "&amp;C353&amp;" next cycle - mixed signal."))</f>
        <v>Discontinue Seasonal Jul2023 - 40% Off at next renewal - margin cost -51.1%pp for -33.6% AOV lift.</v>
      </c>
    </row>
    <row r="354" spans="2:5" x14ac:dyDescent="0.3">
      <c r="B354" t="s">
        <v>848</v>
      </c>
      <c r="C354" t="str">
        <f>'08_KPI_Promotion'!A201</f>
        <v>Clearance Jun2021 - 40% Off</v>
      </c>
      <c r="D354" t="str">
        <f>IF('08_KPI_Promotion'!I201="Discontinue - high margin cost, weak lift","Action Required",IF('08_KPI_Promotion'!I201="Continue - efficient lift for margin cost","OK","Review"))</f>
        <v>Action Required</v>
      </c>
      <c r="E354" t="str">
        <f>IF('08_KPI_Promotion'!I201="Discontinue - high margin cost, weak lift","Discontinue "&amp;C354&amp;" at next renewal - margin cost "&amp;TEXT('08_KPI_Promotion'!G201,"0.0%")&amp;"pp for "&amp;TEXT('08_KPI_Promotion'!H201,"0.0%")&amp;" AOV lift.",IF('08_KPI_Promotion'!I201="Continue - efficient lift for margin cost","Continue "&amp;C354&amp;" - efficient: "&amp;TEXT('08_KPI_Promotion'!G201,"0.0%")&amp;"pp margin cost for "&amp;TEXT('08_KPI_Promotion'!H201,"0.0%")&amp;" AOV lift.","Review "&amp;C354&amp;" next cycle - mixed signal."))</f>
        <v>Discontinue Clearance Jun2021 - 40% Off at next renewal - margin cost -51.6%pp for -28.9% AOV lift.</v>
      </c>
    </row>
    <row r="355" spans="2:5" x14ac:dyDescent="0.3">
      <c r="B355" t="s">
        <v>848</v>
      </c>
      <c r="C355" t="str">
        <f>'08_KPI_Promotion'!A202</f>
        <v>Clearance Jan2023 - 40% Off</v>
      </c>
      <c r="D355" t="str">
        <f>IF('08_KPI_Promotion'!I202="Discontinue - high margin cost, weak lift","Action Required",IF('08_KPI_Promotion'!I202="Continue - efficient lift for margin cost","OK","Review"))</f>
        <v>Action Required</v>
      </c>
      <c r="E355" t="str">
        <f>IF('08_KPI_Promotion'!I202="Discontinue - high margin cost, weak lift","Discontinue "&amp;C355&amp;" at next renewal - margin cost "&amp;TEXT('08_KPI_Promotion'!G202,"0.0%")&amp;"pp for "&amp;TEXT('08_KPI_Promotion'!H202,"0.0%")&amp;" AOV lift.",IF('08_KPI_Promotion'!I202="Continue - efficient lift for margin cost","Continue "&amp;C355&amp;" - efficient: "&amp;TEXT('08_KPI_Promotion'!G202,"0.0%")&amp;"pp margin cost for "&amp;TEXT('08_KPI_Promotion'!H202,"0.0%")&amp;" AOV lift.","Review "&amp;C355&amp;" next cycle - mixed signal."))</f>
        <v>Discontinue Clearance Jan2023 - 40% Off at next renewal - margin cost -52.0%pp for -27.5% AOV lift.</v>
      </c>
    </row>
    <row r="356" spans="2:5" x14ac:dyDescent="0.3">
      <c r="B356" t="s">
        <v>848</v>
      </c>
      <c r="C356" t="str">
        <f>'08_KPI_Promotion'!A203</f>
        <v>Clearance Aug2022 - 40% Off</v>
      </c>
      <c r="D356" t="str">
        <f>IF('08_KPI_Promotion'!I203="Discontinue - high margin cost, weak lift","Action Required",IF('08_KPI_Promotion'!I203="Continue - efficient lift for margin cost","OK","Review"))</f>
        <v>Action Required</v>
      </c>
      <c r="E356" t="str">
        <f>IF('08_KPI_Promotion'!I203="Discontinue - high margin cost, weak lift","Discontinue "&amp;C356&amp;" at next renewal - margin cost "&amp;TEXT('08_KPI_Promotion'!G203,"0.0%")&amp;"pp for "&amp;TEXT('08_KPI_Promotion'!H203,"0.0%")&amp;" AOV lift.",IF('08_KPI_Promotion'!I203="Continue - efficient lift for margin cost","Continue "&amp;C356&amp;" - efficient: "&amp;TEXT('08_KPI_Promotion'!G203,"0.0%")&amp;"pp margin cost for "&amp;TEXT('08_KPI_Promotion'!H203,"0.0%")&amp;" AOV lift.","Review "&amp;C356&amp;" next cycle - mixed signal."))</f>
        <v>Discontinue Clearance Aug2022 - 40% Off at next renewal - margin cost -52.1%pp for -29.9% AOV lift.</v>
      </c>
    </row>
    <row r="357" spans="2:5" x14ac:dyDescent="0.3">
      <c r="B357" t="s">
        <v>848</v>
      </c>
      <c r="C357" t="str">
        <f>'08_KPI_Promotion'!A204</f>
        <v>Loyalty May2024 - 40% Off</v>
      </c>
      <c r="D357" t="str">
        <f>IF('08_KPI_Promotion'!I204="Discontinue - high margin cost, weak lift","Action Required",IF('08_KPI_Promotion'!I204="Continue - efficient lift for margin cost","OK","Review"))</f>
        <v>Action Required</v>
      </c>
      <c r="E357" t="str">
        <f>IF('08_KPI_Promotion'!I204="Discontinue - high margin cost, weak lift","Discontinue "&amp;C357&amp;" at next renewal - margin cost "&amp;TEXT('08_KPI_Promotion'!G204,"0.0%")&amp;"pp for "&amp;TEXT('08_KPI_Promotion'!H204,"0.0%")&amp;" AOV lift.",IF('08_KPI_Promotion'!I204="Continue - efficient lift for margin cost","Continue "&amp;C357&amp;" - efficient: "&amp;TEXT('08_KPI_Promotion'!G204,"0.0%")&amp;"pp margin cost for "&amp;TEXT('08_KPI_Promotion'!H204,"0.0%")&amp;" AOV lift.","Review "&amp;C357&amp;" next cycle - mixed signal."))</f>
        <v>Discontinue Loyalty May2024 - 40% Off at next renewal - margin cost -52.2%pp for -28.3% AOV lift.</v>
      </c>
    </row>
  </sheetData>
  <conditionalFormatting sqref="D6:D357">
    <cfRule type="cellIs" dxfId="0" priority="1" operator="equal">
      <formula>"Action Required"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00000"/>
  </sheetPr>
  <dimension ref="A2:C11"/>
  <sheetViews>
    <sheetView showGridLines="0" workbookViewId="0">
      <selection activeCell="C14" sqref="C14"/>
    </sheetView>
  </sheetViews>
  <sheetFormatPr defaultRowHeight="14.4" x14ac:dyDescent="0.3"/>
  <cols>
    <col min="1" max="1" width="4" customWidth="1"/>
    <col min="2" max="2" width="40" customWidth="1"/>
    <col min="3" max="3" width="75" customWidth="1"/>
  </cols>
  <sheetData>
    <row r="2" spans="1:3" ht="17.399999999999999" x14ac:dyDescent="0.3">
      <c r="B2" s="28" t="s">
        <v>895</v>
      </c>
    </row>
    <row r="3" spans="1:3" ht="19.95" customHeight="1" x14ac:dyDescent="0.3">
      <c r="B3" s="7" t="s">
        <v>910</v>
      </c>
    </row>
    <row r="5" spans="1:3" x14ac:dyDescent="0.3">
      <c r="A5" s="18"/>
      <c r="B5" s="18" t="s">
        <v>896</v>
      </c>
      <c r="C5" s="29" t="s">
        <v>897</v>
      </c>
    </row>
    <row r="6" spans="1:3" ht="46.05" customHeight="1" x14ac:dyDescent="0.3">
      <c r="B6" s="30" t="s">
        <v>898</v>
      </c>
      <c r="C6" s="4" t="s">
        <v>899</v>
      </c>
    </row>
    <row r="7" spans="1:3" ht="46.05" customHeight="1" x14ac:dyDescent="0.3">
      <c r="B7" s="30" t="s">
        <v>900</v>
      </c>
      <c r="C7" s="4" t="s">
        <v>901</v>
      </c>
    </row>
    <row r="8" spans="1:3" ht="46.05" customHeight="1" x14ac:dyDescent="0.3">
      <c r="B8" s="30" t="s">
        <v>902</v>
      </c>
      <c r="C8" s="4" t="s">
        <v>903</v>
      </c>
    </row>
    <row r="9" spans="1:3" ht="46.05" customHeight="1" x14ac:dyDescent="0.3">
      <c r="B9" s="30" t="s">
        <v>904</v>
      </c>
      <c r="C9" s="4" t="s">
        <v>905</v>
      </c>
    </row>
    <row r="10" spans="1:3" ht="46.05" customHeight="1" x14ac:dyDescent="0.3">
      <c r="B10" s="30" t="s">
        <v>906</v>
      </c>
      <c r="C10" s="4" t="s">
        <v>907</v>
      </c>
    </row>
    <row r="11" spans="1:3" ht="46.05" customHeight="1" x14ac:dyDescent="0.3">
      <c r="B11" s="30" t="s">
        <v>908</v>
      </c>
      <c r="C11" s="4" t="s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</vt:i4>
      </vt:variant>
    </vt:vector>
  </HeadingPairs>
  <TitlesOfParts>
    <vt:vector size="27" baseType="lpstr">
      <vt:lpstr>00_Cover_ReadMe</vt:lpstr>
      <vt:lpstr>01_Model_Overall_Month</vt:lpstr>
      <vt:lpstr>01_Model_Region_Month</vt:lpstr>
      <vt:lpstr>01_Model_Store_Month</vt:lpstr>
      <vt:lpstr>01_Model_Store_Score</vt:lpstr>
      <vt:lpstr>01_Model_Category</vt:lpstr>
      <vt:lpstr>01_Model_Category_Month</vt:lpstr>
      <vt:lpstr>01_Model_Promotion</vt:lpstr>
      <vt:lpstr>01_Model_SLA</vt:lpstr>
      <vt:lpstr>02_KPI_Margin</vt:lpstr>
      <vt:lpstr>03_KPI_Target</vt:lpstr>
      <vt:lpstr>04_KPI_Category</vt:lpstr>
      <vt:lpstr>05_KPI_Discount</vt:lpstr>
      <vt:lpstr>06_KPI_Returns</vt:lpstr>
      <vt:lpstr>07_KPI_SLA</vt:lpstr>
      <vt:lpstr>08_KPI_Promotion</vt:lpstr>
      <vt:lpstr>09_KPI_StoreScore</vt:lpstr>
      <vt:lpstr>10_Report_Trend</vt:lpstr>
      <vt:lpstr>11_Report_Contribution</vt:lpstr>
      <vt:lpstr>13_Business_Insights</vt:lpstr>
      <vt:lpstr>14_Recommendations</vt:lpstr>
      <vt:lpstr>15_Data_Limitations</vt:lpstr>
      <vt:lpstr>wDiscountWeight</vt:lpstr>
      <vt:lpstr>wGrowthWeight</vt:lpstr>
      <vt:lpstr>wMarginWeight</vt:lpstr>
      <vt:lpstr>wReturnWeight</vt:lpstr>
      <vt:lpstr>wTrendWeight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Rathore</cp:lastModifiedBy>
  <dcterms:created xsi:type="dcterms:W3CDTF">2026-08-08T17:22:17Z</dcterms:created>
  <dcterms:modified xsi:type="dcterms:W3CDTF">2026-08-09T17:55:36Z</dcterms:modified>
</cp:coreProperties>
</file>